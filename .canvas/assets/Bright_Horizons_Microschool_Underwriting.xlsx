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5" name="Cover" state="visible" r:id="rId4"/>
    <sheet sheetId="1" name="Assumptions" state="visible" r:id="rId5"/>
    <sheet sheetId="2" name="Enrollment &amp; Rev Drivers" state="visible" r:id="rId6"/>
    <sheet sheetId="3" name="Tuition &amp; Funding Detail" state="visible" r:id="rId7"/>
    <sheet sheetId="4" name="Staffing Plan" state="visible" r:id="rId8"/>
    <sheet sheetId="5" name="Operating Expenses" state="visible" r:id="rId9"/>
    <sheet sheetId="6" name="Facilities &amp; Occupancy" state="visible" r:id="rId10"/>
    <sheet sheetId="7" name="Sources &amp; Uses" state="visible" r:id="rId11"/>
    <sheet sheetId="8" name="Debt Schedule" state="visible" r:id="rId12"/>
    <sheet sheetId="9" name="Cash Flow Monthly Y1" state="visible" r:id="rId13"/>
    <sheet sheetId="10" name="5-Year P&amp;L" state="visible" r:id="rId14"/>
    <sheet sheetId="11" name="5-Year Balance Sheet" state="visible" r:id="rId15"/>
    <sheet sheetId="12" name="DSCR &amp; Covenants" state="visible" r:id="rId16"/>
    <sheet sheetId="13" name="Underwriting Snapshot" state="visible" r:id="rId17"/>
    <sheet sheetId="14" name="Summary" state="visible" r:id="rId18"/>
  </sheets>
  <definedNames>
    <definedName name="_xlnm.Print_Area" localSheetId="1">'Assumptions'!$A1:$B24</definedName>
    <definedName name="_xlnm.Print_Area" localSheetId="2">'Enrollment &amp; Rev Drivers'!$A1:$F11</definedName>
    <definedName name="_xlnm.Print_Area" localSheetId="3">'Tuition &amp; Funding Detail'!$A1:$F10</definedName>
    <definedName name="_xlnm.Print_Area" localSheetId="4">'Staffing Plan'!$A1:$H26</definedName>
    <definedName name="_xlnm.Print_Area" localSheetId="5">'Operating Expenses'!$A1:$F6</definedName>
    <definedName name="_xlnm.Print_Area" localSheetId="6">'Facilities &amp; Occupancy'!$A1:$F2</definedName>
    <definedName name="_xlnm.Print_Area" localSheetId="7">'Sources &amp; Uses'!$A1:$B16</definedName>
    <definedName name="_xlnm.Print_Area" localSheetId="8">'Debt Schedule'!$A1:$G10</definedName>
    <definedName name="_xlnm.Print_Area" localSheetId="9">'Cash Flow Monthly Y1'!$A1:$N13</definedName>
    <definedName name="_xlnm.Print_Area" localSheetId="10">'5-Year P&amp;L'!$A1:$F9</definedName>
    <definedName name="_xlnm.Print_Area" localSheetId="11">'5-Year Balance Sheet'!$A1:$F17</definedName>
    <definedName name="_xlnm.Print_Area" localSheetId="12">'DSCR &amp; Covenants'!$A1:$F17</definedName>
    <definedName name="_xlnm.Print_Area" localSheetId="13">'Underwriting Snapshot'!$A1:$C27</definedName>
    <definedName name="_xlnm.Print_Area" localSheetId="14">'Summary'!$A1:$F20</definedName>
  </definedNames>
  <calcPr calcId="171027" fullCalcOnLoad="1"/>
</workbook>
</file>

<file path=xl/sharedStrings.xml><?xml version="1.0" encoding="utf-8"?>
<sst xmlns="http://schemas.openxmlformats.org/spreadsheetml/2006/main" count="333" uniqueCount="230">
  <si>
    <t>SchoolStack Budget</t>
  </si>
  <si>
    <t>Underwriting Package</t>
  </si>
  <si>
    <t>Prepared for</t>
  </si>
  <si>
    <t>Bright Horizons Microschool</t>
  </si>
  <si>
    <t>Microschool  •  501(c)(3) Nonprofit  •  CO</t>
  </si>
  <si>
    <t>Date Prepared</t>
  </si>
  <si>
    <t>March 16, 2026</t>
  </si>
  <si>
    <t>UNDERWRITING HIGHLIGHTS</t>
  </si>
  <si>
    <t>Year 5 Revenue</t>
  </si>
  <si>
    <t>Year 5 Net Income</t>
  </si>
  <si>
    <t>Ending Cash Balance</t>
  </si>
  <si>
    <t>Overall Assessment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</si>
  <si>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</si>
  <si>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</si>
  <si>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</si>
  <si>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</si>
  <si>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</si>
  <si>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</si>
  <si>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Operating Expenses</t>
  </si>
  <si>
    <t>Facilities &amp; Occupancy</t>
  </si>
  <si>
    <t>Sources &amp;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</si>
  <si>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</si>
  <si>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</si>
  <si>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</si>
  <si>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</si>
  <si>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</si>
  <si>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</si>
  <si>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</si>
  <si>
    <t>Generated by SchoolStack Budget  •  budget.schoolstack.ai</t>
  </si>
  <si>
    <t>SchoolStack — Underwriting Assumptions</t>
  </si>
  <si>
    <t>SCHOOL INFORMATION</t>
  </si>
  <si>
    <t>School Name</t>
  </si>
  <si>
    <t>State</t>
  </si>
  <si>
    <t>CO</t>
  </si>
  <si>
    <t>School Type</t>
  </si>
  <si>
    <t>Microschool</t>
  </si>
  <si>
    <t>Entity Type</t>
  </si>
  <si>
    <t>501(c)(3) Nonprofit</t>
  </si>
  <si>
    <t>School Stage</t>
  </si>
  <si>
    <t>New School</t>
  </si>
  <si>
    <t>Year Opened</t>
  </si>
  <si>
    <t>Max Student Capacity</t>
  </si>
  <si>
    <t>Fiscal Year Start</t>
  </si>
  <si>
    <t>July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</si>
  <si>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</si>
  <si>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</si>
  <si>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</si>
  <si>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</si>
  <si>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</si>
  <si>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</si>
  <si>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</t>
  </si>
  <si>
    <t>Salary Escalation</t>
  </si>
  <si>
    <t>Cost Inflation</t>
  </si>
  <si>
    <t>Year 1 Proration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</si>
  <si>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</si>
  <si>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</si>
  <si>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</si>
  <si>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</si>
  <si>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</si>
  <si>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</si>
  <si>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</si>
  <si>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</si>
  <si>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</si>
  <si>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Enrollment Growth %</t>
  </si>
  <si>
    <t>—</t>
  </si>
  <si>
    <t>Capacity Utilization %</t>
  </si>
  <si>
    <t>REVENUE PER STUDENT</t>
  </si>
  <si>
    <t>Annual Tuition (per student)</t>
  </si>
  <si>
    <t>REVENUE MIX SUMMARY</t>
  </si>
  <si>
    <t>Tuition &amp; Student Fees</t>
  </si>
  <si>
    <t>Grants &amp; Contributions</t>
  </si>
  <si>
    <t>TUITION &amp; STUDENT FEES</t>
  </si>
  <si>
    <t>Annual Tuition</t>
  </si>
  <si>
    <t>Total Tuition &amp; Student Fees</t>
  </si>
  <si>
    <t>GRANTS &amp; CONTRIBUTIONS</t>
  </si>
  <si>
    <t>General Grants</t>
  </si>
  <si>
    <t>Total Grants &amp; Contributions</t>
  </si>
  <si>
    <t>TOTAL NET REVENUE</t>
  </si>
  <si>
    <t>SchoolStack —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</si>
  <si>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</si>
  <si>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</si>
  <si>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</si>
  <si>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</si>
  <si>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</si>
  <si>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</si>
  <si>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</si>
  <si>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</si>
  <si>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Lead Teacher</t>
  </si>
  <si>
    <t>instruction</t>
  </si>
  <si>
    <t>FT</t>
  </si>
  <si>
    <t>Founder/Director</t>
  </si>
  <si>
    <t>administration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</si>
  <si>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</si>
  <si>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</si>
  <si>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</si>
  <si>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</si>
  <si>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</si>
  <si>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</si>
  <si>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</si>
  <si>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</si>
  <si>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</si>
  <si>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Year 1 Personnel</t>
  </si>
  <si>
    <t>Year 2 Personnel</t>
  </si>
  <si>
    <t>Year 3 Personnel</t>
  </si>
  <si>
    <t>Year 4 Personnel</t>
  </si>
  <si>
    <t>Year 5 Personnel</t>
  </si>
  <si>
    <t>Base Cost</t>
  </si>
  <si>
    <t>Escalation Factor</t>
  </si>
  <si>
    <t>Proration</t>
  </si>
  <si>
    <t>Total Personnel</t>
  </si>
  <si>
    <t>TECHNOLOGY</t>
  </si>
  <si>
    <t>Technology</t>
  </si>
  <si>
    <t>Total Technology</t>
  </si>
  <si>
    <t>TOTAL OPERATING EXPENSES</t>
  </si>
  <si>
    <t>No facility expenses entered</t>
  </si>
  <si>
    <t>SchoolStack — Sources &amp; Uses</t>
  </si>
  <si>
    <t>SOURCES OF FUNDS</t>
  </si>
  <si>
    <t>Starting Cash / Equity</t>
  </si>
  <si>
    <t>Year 1 Revenue (Projected)</t>
  </si>
  <si>
    <t>TOTAL SOURCES</t>
  </si>
  <si>
    <t>USES OF FUNDS</t>
  </si>
  <si>
    <t>Equipment / FF&amp;E / Technology</t>
  </si>
  <si>
    <t>Working Capital Reserve (2 mo)</t>
  </si>
  <si>
    <t>Contingency (5%)</t>
  </si>
  <si>
    <t>TOTAL USES</t>
  </si>
  <si>
    <t>SOURCES − USES (SURPLUS / GAP)</t>
  </si>
  <si>
    <t>✓ Sources cover projected Year 1 uses</t>
  </si>
  <si>
    <t>SchoolStack —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</si>
  <si>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</si>
  <si>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</si>
  <si>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</si>
  <si>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</si>
  <si>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</si>
  <si>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</si>
  <si>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</si>
  <si>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No loans entered</t>
  </si>
  <si>
    <t>TOTAL DEBT SERVICE</t>
  </si>
  <si>
    <t>Annual Debt Service</t>
  </si>
  <si>
    <t>Monthly Debt Service</t>
  </si>
  <si>
    <t>AMORTIZATION SCHEDULE (ANNUAL)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</si>
  <si>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</si>
  <si>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</si>
  <si>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</si>
  <si>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</si>
  <si>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</si>
  <si>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</si>
  <si>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</si>
  <si>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</si>
  <si>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</si>
  <si>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</si>
  <si>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</si>
  <si>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</si>
  <si>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Revenue</t>
  </si>
  <si>
    <t>Personnel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</si>
  <si>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</si>
  <si>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</si>
  <si>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</si>
  <si>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</si>
  <si>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</si>
  <si>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</si>
  <si>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</si>
  <si>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</si>
  <si>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</si>
  <si>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</si>
  <si>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</si>
  <si>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</si>
  <si>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</si>
  <si>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</si>
  <si>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</si>
  <si>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</si>
  <si>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</si>
  <si>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</si>
  <si>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</si>
  <si>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</si>
  <si>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</si>
  <si>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</si>
  <si>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</si>
  <si>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</si>
  <si>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</si>
  <si>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</si>
  <si>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</si>
  <si>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</si>
  <si>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</si>
  <si>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N/A</t>
  </si>
  <si>
    <t>LIQUIDITY METRICS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</si>
  <si>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</si>
  <si>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</si>
  <si>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</si>
  <si>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</si>
  <si>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</si>
  <si>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</si>
  <si>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PASS</t>
  </si>
  <si>
    <t>Positive Net Income</t>
  </si>
  <si>
    <t>Enrollment ≥ 70% Capacity</t>
  </si>
  <si>
    <t>FAIL</t>
  </si>
  <si>
    <t>SchoolStack — Underwriting Snapshot</t>
  </si>
  <si>
    <t>Bright Horizons Microschool | Microschool | CO</t>
  </si>
  <si>
    <t>POLICY FLAGS</t>
  </si>
  <si>
    <t>Min 2 Months Cash Reserve (Year 1)</t>
  </si>
  <si>
    <t>3.1 months</t>
  </si>
  <si>
    <t>Positive Net Income (Year 1)</t>
  </si>
  <si>
    <t>Yes</t>
  </si>
  <si>
    <t>Break-Even Within Projection Period</t>
  </si>
  <si>
    <t>Enrollment ≥ 70% Capacity (Year 1)</t>
  </si>
  <si>
    <t>45%</t>
  </si>
  <si>
    <t>Positive Ending Cash (Final Year)</t>
  </si>
  <si>
    <t>UNDERWRITING ASSESSMENT</t>
  </si>
  <si>
    <t>Flags Passed</t>
  </si>
  <si>
    <t>4 / 5</t>
  </si>
  <si>
    <t>Conditional</t>
  </si>
  <si>
    <t>KEY METRICS SUMMARY</t>
  </si>
  <si>
    <t>Year 1 Revenue</t>
  </si>
  <si>
    <t>Year 1 Total Expenses</t>
  </si>
  <si>
    <t>Year 1 Net Income</t>
  </si>
  <si>
    <t>Year 1 Net Margin</t>
  </si>
  <si>
    <t>Year 1 Ending Cash</t>
  </si>
  <si>
    <t>Total Debt</t>
  </si>
  <si>
    <t>Year 1 DSCR</t>
  </si>
  <si>
    <t>Year 1 Cash Reserve (Months)</t>
  </si>
  <si>
    <t>3.1</t>
  </si>
  <si>
    <t>Break-Even Year</t>
  </si>
  <si>
    <t>Revenue per Student (Year 1)</t>
  </si>
  <si>
    <t>Cost per Student (Year 1)</t>
  </si>
  <si>
    <t>5-Year Financial Model</t>
  </si>
  <si>
    <t>Microschool  |  CO  |  Opening 2026-27</t>
  </si>
  <si>
    <t>Prepared March 16, 2026</t>
  </si>
  <si>
    <t>Capital &amp; Debt</t>
  </si>
  <si>
    <t>Cash Balance</t>
  </si>
  <si>
    <t>Revenue per Student</t>
  </si>
  <si>
    <t>Cost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</si>
</sst>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(#,##0);_(&quot;$&quot;* &quot;-&quot;??_);_(@_)"/>
    <numFmt numFmtId="165" formatCode="#,##0;#,##0;&quot;-&quot;"/>
    <numFmt numFmtId="166" formatCode="0.0%;[Red](0.0%);&quot;-&quot;"/>
    <numFmt numFmtId="167" formatCode="0.0000"/>
    <numFmt numFmtId="168" formatCode="0.000"/>
    <numFmt numFmtId="169" formatCode="0.00x"/>
    <numFmt numFmtId="170" formatCode="0.0"/>
  </numFmts>
  <fonts count="19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0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u/>
      <color rgb="FF2563EB"/>
      <sz val="11"/>
      <name val="Calibri"/>
    </font>
    <font>
      <i/>
      <color rgb="FF9CA3AF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i/>
      <color rgb="FF328555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0"/>
      <name val="Calibri"/>
    </font>
    <font>
      <i/>
      <color rgb="FF9CA3AF"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0" fontId="8" fillId="3" borderId="2" xfId="0" applyFont="1" applyFill="1" applyBorder="1"/>
    <xf numFmtId="0" fontId="9" fillId="0" borderId="2" xfId="0" applyFont="1" applyBorder="1"/>
    <xf numFmtId="0" fontId="0" fillId="0" borderId="2" xfId="0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166" fontId="8" fillId="0" borderId="0" xfId="0" applyNumberFormat="1" applyFont="1"/>
    <xf numFmtId="2" fontId="8" fillId="0" borderId="0" xfId="0" applyNumberFormat="1" applyFont="1"/>
    <xf numFmtId="0" fontId="12" fillId="4" borderId="2" xfId="0" applyFont="1" applyFill="1" applyBorder="1" applyAlignment="1">
      <alignment horizontal="center" vertical="center"/>
    </xf>
    <xf numFmtId="165" fontId="8" fillId="0" borderId="2" xfId="0" applyNumberFormat="1" applyFont="1" applyBorder="1"/>
    <xf numFmtId="166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167" fontId="7" fillId="0" borderId="2" xfId="0" applyNumberFormat="1" applyFont="1" applyBorder="1"/>
    <xf numFmtId="168" fontId="7" fillId="0" borderId="2" xfId="0" applyNumberFormat="1" applyFont="1" applyBorder="1"/>
    <xf numFmtId="164" fontId="8" fillId="2" borderId="2" xfId="0" applyNumberFormat="1" applyFont="1" applyFill="1" applyBorder="1"/>
    <xf numFmtId="164" fontId="8" fillId="3" borderId="0" xfId="0" applyNumberFormat="1" applyFont="1" applyFill="1"/>
    <xf numFmtId="0" fontId="13" fillId="0" borderId="0" xfId="0" applyFont="1"/>
    <xf numFmtId="164" fontId="8" fillId="2" borderId="3" xfId="0" applyNumberFormat="1" applyFont="1" applyFill="1" applyBorder="1"/>
    <xf numFmtId="164" fontId="8" fillId="3" borderId="3" xfId="0" applyNumberFormat="1" applyFont="1" applyFill="1" applyBorder="1"/>
    <xf numFmtId="169" fontId="8" fillId="0" borderId="2" xfId="0" applyNumberFormat="1" applyFont="1" applyBorder="1"/>
    <xf numFmtId="170" fontId="8" fillId="0" borderId="2" xfId="0" applyNumberFormat="1" applyFont="1" applyBorder="1"/>
    <xf numFmtId="165" fontId="7" fillId="0" borderId="2" xfId="0" applyNumberFormat="1" applyFont="1" applyBorder="1"/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8" fillId="6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Sources &amp;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2" width="25" customWidth="1"/>
  </cols>
  <sheetData>
    <row r="1" ht="32" customHeight="1" spans="1:2" x14ac:dyDescent="0.25">
      <c r="A1" s="15" t="s">
        <v>29</v>
      </c>
      <c r="B1" s="15"/>
    </row>
    <row r="3" ht="24" customHeight="1" spans="1:2" x14ac:dyDescent="0.25">
      <c r="A3" s="8" t="s">
        <v>30</v>
      </c>
      <c r="B3" s="8"/>
    </row>
    <row r="4" spans="1:2" x14ac:dyDescent="0.25">
      <c r="A4" s="16" t="s">
        <v>31</v>
      </c>
      <c r="B4" s="17" t="s">
        <v>3</v>
      </c>
    </row>
    <row r="5" spans="1:2" x14ac:dyDescent="0.25">
      <c r="A5" s="16" t="s">
        <v>32</v>
      </c>
      <c r="B5" s="17" t="s">
        <v>33</v>
      </c>
    </row>
    <row r="6" spans="1:2" x14ac:dyDescent="0.25">
      <c r="A6" s="16" t="s">
        <v>34</v>
      </c>
      <c r="B6" s="17" t="s">
        <v>35</v>
      </c>
    </row>
    <row r="7" spans="1:2" x14ac:dyDescent="0.25">
      <c r="A7" s="16" t="s">
        <v>36</v>
      </c>
      <c r="B7" s="17" t="s">
        <v>37</v>
      </c>
    </row>
    <row r="8" spans="1:2" x14ac:dyDescent="0.25">
      <c r="A8" s="16" t="s">
        <v>38</v>
      </c>
      <c r="B8" s="17" t="s">
        <v>39</v>
      </c>
    </row>
    <row r="9" spans="1:2" x14ac:dyDescent="0.25">
      <c r="A9" s="16" t="s">
        <v>40</v>
      </c>
      <c r="B9" s="17">
        <v>0</v>
      </c>
    </row>
    <row r="10" spans="1:2" x14ac:dyDescent="0.25">
      <c r="A10" s="16" t="s">
        <v>41</v>
      </c>
      <c r="B10" s="17">
        <v>40</v>
      </c>
    </row>
    <row r="11" spans="1:2" x14ac:dyDescent="0.25">
      <c r="A11" s="16" t="s">
        <v>42</v>
      </c>
      <c r="B11" s="17" t="s">
        <v>43</v>
      </c>
    </row>
    <row r="13" ht="24" customHeight="1" spans="1:2" x14ac:dyDescent="0.25">
      <c r="A13" s="8" t="s">
        <v>44</v>
      </c>
      <c r="B13" s="8"/>
    </row>
    <row r="14" spans="1:2" x14ac:dyDescent="0.25">
      <c r="A14" s="16" t="s">
        <v>45</v>
      </c>
      <c r="B14" s="18">
        <v>18</v>
      </c>
    </row>
    <row r="15" spans="1:2" x14ac:dyDescent="0.25">
      <c r="A15" s="16" t="s">
        <v>46</v>
      </c>
      <c r="B15" s="18">
        <v>25</v>
      </c>
    </row>
    <row r="16" spans="1:2" x14ac:dyDescent="0.25">
      <c r="A16" s="16" t="s">
        <v>47</v>
      </c>
      <c r="B16" s="18">
        <v>32</v>
      </c>
    </row>
    <row r="17" spans="1:2" x14ac:dyDescent="0.25">
      <c r="A17" s="16" t="s">
        <v>48</v>
      </c>
      <c r="B17" s="18">
        <v>36</v>
      </c>
    </row>
    <row r="18" spans="1:2" x14ac:dyDescent="0.25">
      <c r="A18" s="16" t="s">
        <v>49</v>
      </c>
      <c r="B18" s="18">
        <v>40</v>
      </c>
    </row>
    <row r="20" ht="24" customHeight="1" spans="1:2" x14ac:dyDescent="0.25">
      <c r="A20" s="8" t="s">
        <v>50</v>
      </c>
      <c r="B20" s="8"/>
    </row>
    <row r="21" spans="1:2" x14ac:dyDescent="0.25">
      <c r="A21" s="16" t="s">
        <v>51</v>
      </c>
      <c r="B21" s="19">
        <v>0</v>
      </c>
    </row>
    <row r="22" spans="1:2" x14ac:dyDescent="0.25">
      <c r="A22" s="16" t="s">
        <v>52</v>
      </c>
      <c r="B22" s="19">
        <v>0</v>
      </c>
    </row>
    <row r="23" spans="1:2" x14ac:dyDescent="0.25">
      <c r="A23" s="16" t="s">
        <v>53</v>
      </c>
      <c r="B23" s="20">
        <v>1</v>
      </c>
    </row>
    <row r="24" spans="1:2" x14ac:dyDescent="0.25">
      <c r="A24" s="16" t="s">
        <v>54</v>
      </c>
      <c r="B24" s="17" t="s">
        <v>55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6" x14ac:dyDescent="0.25">
      <c r="A2" s="17" t="s">
        <v>62</v>
      </c>
      <c r="B2" s="22">
        <v>18</v>
      </c>
      <c r="C2" s="22">
        <v>25</v>
      </c>
      <c r="D2" s="22">
        <v>32</v>
      </c>
      <c r="E2" s="22">
        <v>36</v>
      </c>
      <c r="F2" s="22">
        <v>40</v>
      </c>
    </row>
    <row r="3" spans="1:6" x14ac:dyDescent="0.25">
      <c r="A3" s="16" t="s">
        <v>63</v>
      </c>
      <c r="B3" s="9" t="s">
        <v>64</v>
      </c>
      <c r="C3" s="23">
        <f>IF(B2=0,"—",(C2-B2)/B2)</f>
        <v>0.39</v>
      </c>
      <c r="D3" s="23">
        <f>IF(C2=0,"—",(D2-C2)/C2)</f>
        <v>0.28</v>
      </c>
      <c r="E3" s="23">
        <f>IF(D2=0,"—",(E2-D2)/D2)</f>
        <v>0.13</v>
      </c>
      <c r="F3" s="23">
        <f>IF(E2=0,"—",(F2-E2)/E2)</f>
        <v>0.11</v>
      </c>
    </row>
    <row r="4" spans="1:6" x14ac:dyDescent="0.25">
      <c r="A4" s="16" t="s">
        <v>65</v>
      </c>
      <c r="B4" s="23">
        <v>0.45</v>
      </c>
      <c r="C4" s="23">
        <v>0.625</v>
      </c>
      <c r="D4" s="23">
        <v>0.8</v>
      </c>
      <c r="E4" s="23">
        <v>0.9</v>
      </c>
      <c r="F4" s="23">
        <v>1</v>
      </c>
    </row>
    <row r="6" ht="24" customHeight="1" spans="1:6" x14ac:dyDescent="0.25">
      <c r="A6" s="8" t="s">
        <v>66</v>
      </c>
      <c r="B6" s="8"/>
      <c r="C6" s="8"/>
      <c r="D6" s="8"/>
      <c r="E6" s="8"/>
      <c r="F6" s="8"/>
    </row>
    <row r="7" spans="1:6" x14ac:dyDescent="0.25">
      <c r="A7" s="16" t="s">
        <v>67</v>
      </c>
      <c r="B7" s="24">
        <v>15000</v>
      </c>
      <c r="C7" s="24">
        <v>15000</v>
      </c>
      <c r="D7" s="24">
        <v>15000</v>
      </c>
      <c r="E7" s="24">
        <v>15000</v>
      </c>
      <c r="F7" s="24">
        <v>15000</v>
      </c>
    </row>
    <row r="9" ht="24" customHeight="1" spans="1:6" x14ac:dyDescent="0.25">
      <c r="A9" s="8" t="s">
        <v>68</v>
      </c>
      <c r="B9" s="8"/>
      <c r="C9" s="8"/>
      <c r="D9" s="8"/>
      <c r="E9" s="8"/>
      <c r="F9" s="8"/>
    </row>
    <row r="10" spans="1:6" x14ac:dyDescent="0.25">
      <c r="A10" s="16" t="s">
        <v>69</v>
      </c>
      <c r="B10" s="24">
        <v>270000</v>
      </c>
      <c r="C10" s="24">
        <v>375000</v>
      </c>
      <c r="D10" s="24">
        <v>480000</v>
      </c>
      <c r="E10" s="24">
        <v>540000</v>
      </c>
      <c r="F10" s="24">
        <v>600000</v>
      </c>
    </row>
    <row r="11" spans="1:6" x14ac:dyDescent="0.25">
      <c r="A11" s="16" t="s">
        <v>70</v>
      </c>
      <c r="B11" s="24">
        <v>25000</v>
      </c>
      <c r="C11" s="24">
        <v>30000</v>
      </c>
      <c r="D11" s="24">
        <v>35000</v>
      </c>
      <c r="E11" s="24">
        <v>40000</v>
      </c>
      <c r="F11" s="24">
        <v>45000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6" x14ac:dyDescent="0.25">
      <c r="A2" s="17" t="s">
        <v>62</v>
      </c>
      <c r="B2" s="22">
        <v>18</v>
      </c>
      <c r="C2" s="22">
        <v>25</v>
      </c>
      <c r="D2" s="22">
        <v>32</v>
      </c>
      <c r="E2" s="22">
        <v>36</v>
      </c>
      <c r="F2" s="22">
        <v>40</v>
      </c>
    </row>
    <row r="3" ht="24" customHeight="1" spans="1:6" x14ac:dyDescent="0.25">
      <c r="A3" s="8" t="s">
        <v>71</v>
      </c>
      <c r="B3" s="8"/>
      <c r="C3" s="8"/>
      <c r="D3" s="8"/>
      <c r="E3" s="8"/>
      <c r="F3" s="8"/>
    </row>
    <row r="4" spans="1:6" x14ac:dyDescent="0.25">
      <c r="A4" s="16" t="s">
        <v>72</v>
      </c>
      <c r="B4" s="24">
        <v>270000</v>
      </c>
      <c r="C4" s="24">
        <v>375000</v>
      </c>
      <c r="D4" s="24">
        <v>480000</v>
      </c>
      <c r="E4" s="24">
        <v>540000</v>
      </c>
      <c r="F4" s="24">
        <v>600000</v>
      </c>
    </row>
    <row r="5" ht="24" customHeight="1" spans="1:6" x14ac:dyDescent="0.25">
      <c r="A5" s="8" t="s">
        <v>73</v>
      </c>
      <c r="B5" s="25">
        <f>SUM(B4:B4)</f>
        <v>270000</v>
      </c>
      <c r="C5" s="25">
        <f>SUM(C4:C4)</f>
        <v>375000</v>
      </c>
      <c r="D5" s="25">
        <f>SUM(D4:D4)</f>
        <v>480000</v>
      </c>
      <c r="E5" s="25">
        <f>SUM(E4:E4)</f>
        <v>540000</v>
      </c>
      <c r="F5" s="25">
        <f>SUM(F4:F4)</f>
        <v>600000</v>
      </c>
    </row>
    <row r="6" ht="24" customHeight="1" spans="1:6" x14ac:dyDescent="0.25">
      <c r="A6" s="8" t="s">
        <v>74</v>
      </c>
      <c r="B6" s="8"/>
      <c r="C6" s="8"/>
      <c r="D6" s="8"/>
      <c r="E6" s="8"/>
      <c r="F6" s="8"/>
    </row>
    <row r="7" spans="1:6" x14ac:dyDescent="0.25">
      <c r="A7" s="16" t="s">
        <v>75</v>
      </c>
      <c r="B7" s="24">
        <v>25000</v>
      </c>
      <c r="C7" s="24">
        <v>30000</v>
      </c>
      <c r="D7" s="24">
        <v>35000</v>
      </c>
      <c r="E7" s="24">
        <v>40000</v>
      </c>
      <c r="F7" s="24">
        <v>45000</v>
      </c>
    </row>
    <row r="8" ht="24" customHeight="1" spans="1:6" x14ac:dyDescent="0.25">
      <c r="A8" s="8" t="s">
        <v>76</v>
      </c>
      <c r="B8" s="25">
        <f>SUM(B7:B7)</f>
        <v>25000</v>
      </c>
      <c r="C8" s="25">
        <f>SUM(C7:C7)</f>
        <v>30000</v>
      </c>
      <c r="D8" s="25">
        <f>SUM(D7:D7)</f>
        <v>35000</v>
      </c>
      <c r="E8" s="25">
        <f>SUM(E7:E7)</f>
        <v>40000</v>
      </c>
      <c r="F8" s="25">
        <f>SUM(F7:F7)</f>
        <v>45000</v>
      </c>
    </row>
    <row r="10" ht="24" customHeight="1" spans="1:6" x14ac:dyDescent="0.25">
      <c r="A10" s="8" t="s">
        <v>77</v>
      </c>
      <c r="B10" s="25">
        <f>B5+B8</f>
        <v>295000</v>
      </c>
      <c r="C10" s="25">
        <f>C5+C8</f>
        <v>405000</v>
      </c>
      <c r="D10" s="25">
        <f>D5+D8</f>
        <v>515000</v>
      </c>
      <c r="E10" s="25">
        <f>E5+E8</f>
        <v>580000</v>
      </c>
      <c r="F10" s="25">
        <f>F5+F8</f>
        <v>645000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5" t="s">
        <v>78</v>
      </c>
      <c r="B1" s="15"/>
      <c r="C1" s="15"/>
      <c r="D1" s="15"/>
      <c r="E1" s="15"/>
      <c r="F1" s="15"/>
      <c r="G1" s="15"/>
      <c r="H1" s="15"/>
    </row>
    <row r="3" ht="28" customHeight="1" spans="1:8" x14ac:dyDescent="0.25">
      <c r="A3" s="21" t="s">
        <v>79</v>
      </c>
      <c r="B3" s="21" t="s">
        <v>80</v>
      </c>
      <c r="C3" s="21" t="s">
        <v>81</v>
      </c>
      <c r="D3" s="21" t="s">
        <v>82</v>
      </c>
      <c r="E3" s="21" t="s">
        <v>83</v>
      </c>
      <c r="F3" s="21" t="s">
        <v>84</v>
      </c>
      <c r="G3" s="21" t="s">
        <v>85</v>
      </c>
      <c r="H3" s="21" t="s">
        <v>86</v>
      </c>
    </row>
    <row r="4" spans="1:8" x14ac:dyDescent="0.25">
      <c r="A4" s="16" t="s">
        <v>87</v>
      </c>
      <c r="B4" s="16" t="s">
        <v>88</v>
      </c>
      <c r="C4" s="16" t="s">
        <v>89</v>
      </c>
      <c r="D4" s="26">
        <v>2</v>
      </c>
      <c r="E4" s="27">
        <v>55000</v>
      </c>
      <c r="F4" s="28">
        <v>0.25</v>
      </c>
      <c r="G4" s="28">
        <v>0.08</v>
      </c>
      <c r="H4" s="29">
        <v>146300</v>
      </c>
    </row>
    <row r="5" spans="1:8" x14ac:dyDescent="0.25">
      <c r="A5" s="16" t="s">
        <v>90</v>
      </c>
      <c r="B5" s="16" t="s">
        <v>91</v>
      </c>
      <c r="C5" s="16" t="s">
        <v>89</v>
      </c>
      <c r="D5" s="26">
        <v>1</v>
      </c>
      <c r="E5" s="27">
        <v>65000</v>
      </c>
      <c r="F5" s="28">
        <v>0.25</v>
      </c>
      <c r="G5" s="28">
        <v>0.08</v>
      </c>
      <c r="H5" s="29">
        <v>86450</v>
      </c>
    </row>
    <row r="7" ht="24" customHeight="1" spans="1:8" x14ac:dyDescent="0.25">
      <c r="A7" s="8" t="s">
        <v>92</v>
      </c>
      <c r="B7" s="8"/>
      <c r="C7" s="8"/>
      <c r="D7" s="8"/>
      <c r="E7" s="8"/>
      <c r="F7" s="8"/>
      <c r="G7" s="8"/>
      <c r="H7" s="8"/>
    </row>
    <row r="8" spans="1:2" x14ac:dyDescent="0.25">
      <c r="A8" s="16" t="s">
        <v>93</v>
      </c>
      <c r="B8" s="17">
        <v>2</v>
      </c>
    </row>
    <row r="9" spans="1:2" x14ac:dyDescent="0.25">
      <c r="A9" s="16" t="s">
        <v>94</v>
      </c>
      <c r="B9" s="17">
        <v>3</v>
      </c>
    </row>
    <row r="10" spans="1:2" x14ac:dyDescent="0.25">
      <c r="A10" s="16" t="s">
        <v>95</v>
      </c>
      <c r="B10" s="30">
        <v>175000</v>
      </c>
    </row>
    <row r="11" spans="1:2" x14ac:dyDescent="0.25">
      <c r="A11" s="16" t="s">
        <v>96</v>
      </c>
      <c r="B11" s="30">
        <v>43750</v>
      </c>
    </row>
    <row r="12" spans="1:2" x14ac:dyDescent="0.25">
      <c r="A12" s="16" t="s">
        <v>97</v>
      </c>
      <c r="B12" s="30">
        <v>14000</v>
      </c>
    </row>
    <row r="13" spans="1:2" x14ac:dyDescent="0.25">
      <c r="A13" s="16" t="s">
        <v>98</v>
      </c>
      <c r="B13" s="30">
        <v>0</v>
      </c>
    </row>
    <row r="14" spans="1:2" x14ac:dyDescent="0.25">
      <c r="A14" s="17" t="s">
        <v>99</v>
      </c>
      <c r="B14" s="29">
        <v>232750</v>
      </c>
    </row>
    <row r="16" ht="24" customHeight="1" spans="1:6" x14ac:dyDescent="0.25">
      <c r="A16" s="8" t="s">
        <v>100</v>
      </c>
      <c r="B16" s="8"/>
      <c r="C16" s="8"/>
      <c r="D16" s="8"/>
      <c r="E16" s="8"/>
      <c r="F16" s="8"/>
    </row>
    <row r="17" ht="28" customHeight="1" spans="1:6" x14ac:dyDescent="0.25">
      <c r="A17" s="21" t="s">
        <v>56</v>
      </c>
      <c r="B17" s="21" t="s">
        <v>57</v>
      </c>
      <c r="C17" s="21" t="s">
        <v>58</v>
      </c>
      <c r="D17" s="21" t="s">
        <v>59</v>
      </c>
      <c r="E17" s="21" t="s">
        <v>60</v>
      </c>
      <c r="F17" s="21" t="s">
        <v>61</v>
      </c>
    </row>
    <row r="18" spans="1:1" x14ac:dyDescent="0.25">
      <c r="A18" t="s">
        <v>101</v>
      </c>
    </row>
    <row r="19" spans="1:1" x14ac:dyDescent="0.25">
      <c r="A19" t="s">
        <v>102</v>
      </c>
    </row>
    <row r="20" spans="1:1" x14ac:dyDescent="0.25">
      <c r="A20" t="s">
        <v>103</v>
      </c>
    </row>
    <row r="21" spans="1:1" x14ac:dyDescent="0.25">
      <c r="A21" t="s">
        <v>104</v>
      </c>
    </row>
    <row r="22" spans="1:1" x14ac:dyDescent="0.25">
      <c r="A22" t="s">
        <v>105</v>
      </c>
    </row>
    <row r="23" spans="1:6" x14ac:dyDescent="0.25">
      <c r="A23" s="16" t="s">
        <v>106</v>
      </c>
      <c r="B23" s="24">
        <v>232750</v>
      </c>
      <c r="C23" s="24">
        <v>232750</v>
      </c>
      <c r="D23" s="24">
        <v>232750</v>
      </c>
      <c r="E23" s="24">
        <v>232750</v>
      </c>
      <c r="F23" s="24">
        <v>232750</v>
      </c>
    </row>
    <row r="24" spans="1:6" x14ac:dyDescent="0.25">
      <c r="A24" s="16" t="s">
        <v>107</v>
      </c>
      <c r="B24" s="31">
        <v>1</v>
      </c>
      <c r="C24" s="31">
        <v>1</v>
      </c>
      <c r="D24" s="31">
        <v>1</v>
      </c>
      <c r="E24" s="31">
        <v>1</v>
      </c>
      <c r="F24" s="31">
        <v>1</v>
      </c>
    </row>
    <row r="25" spans="1:6" x14ac:dyDescent="0.25">
      <c r="A25" s="16" t="s">
        <v>108</v>
      </c>
      <c r="B25" s="32">
        <v>1</v>
      </c>
      <c r="C25" s="32">
        <v>1</v>
      </c>
      <c r="D25" s="32">
        <v>1</v>
      </c>
      <c r="E25" s="32">
        <v>1</v>
      </c>
      <c r="F25" s="32">
        <v>1</v>
      </c>
    </row>
    <row r="26" spans="1:6" x14ac:dyDescent="0.25">
      <c r="A26" s="17" t="s">
        <v>109</v>
      </c>
      <c r="B26" s="24">
        <v>232750</v>
      </c>
      <c r="C26" s="24">
        <v>232750</v>
      </c>
      <c r="D26" s="24">
        <v>232750</v>
      </c>
      <c r="E26" s="24">
        <v>232750</v>
      </c>
      <c r="F26" s="24">
        <v>232750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ht="24" customHeight="1" spans="1:6" x14ac:dyDescent="0.25">
      <c r="A2" s="8" t="s">
        <v>110</v>
      </c>
      <c r="B2" s="8"/>
      <c r="C2" s="8"/>
      <c r="D2" s="8"/>
      <c r="E2" s="8"/>
      <c r="F2" s="8"/>
    </row>
    <row r="3" spans="1:6" x14ac:dyDescent="0.25">
      <c r="A3" s="16" t="s">
        <v>111</v>
      </c>
      <c r="B3" s="24">
        <v>8000</v>
      </c>
      <c r="C3" s="24">
        <v>8240</v>
      </c>
      <c r="D3" s="24">
        <v>8487</v>
      </c>
      <c r="E3" s="24">
        <v>8742</v>
      </c>
      <c r="F3" s="24">
        <v>9004</v>
      </c>
    </row>
    <row r="4" ht="24" customHeight="1" spans="1:6" x14ac:dyDescent="0.25">
      <c r="A4" s="8" t="s">
        <v>112</v>
      </c>
      <c r="B4" s="25">
        <f>SUM(B3:B3)</f>
        <v>8000</v>
      </c>
      <c r="C4" s="25">
        <f>SUM(C3:C3)</f>
        <v>8240</v>
      </c>
      <c r="D4" s="25">
        <f>SUM(D3:D3)</f>
        <v>8487</v>
      </c>
      <c r="E4" s="25">
        <f>SUM(E3:E3)</f>
        <v>8742</v>
      </c>
      <c r="F4" s="25">
        <f>SUM(F3:F3)</f>
        <v>9004</v>
      </c>
    </row>
    <row r="6" ht="24" customHeight="1" spans="1:6" x14ac:dyDescent="0.25">
      <c r="A6" s="8" t="s">
        <v>113</v>
      </c>
      <c r="B6" s="25">
        <f>B4</f>
        <v>8000</v>
      </c>
      <c r="C6" s="25">
        <f>C4</f>
        <v>8240</v>
      </c>
      <c r="D6" s="25">
        <f>D4</f>
        <v>8487</v>
      </c>
      <c r="E6" s="25">
        <f>E4</f>
        <v>8742</v>
      </c>
      <c r="F6" s="25">
        <f>F4</f>
        <v>9004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1" x14ac:dyDescent="0.25">
      <c r="A2" s="16" t="s">
        <v>114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5" t="s">
        <v>115</v>
      </c>
      <c r="B1" s="15"/>
    </row>
    <row r="3" ht="24" customHeight="1" spans="1:2" x14ac:dyDescent="0.25">
      <c r="A3" s="8" t="s">
        <v>116</v>
      </c>
      <c r="B3" s="8"/>
    </row>
    <row r="4" spans="1:2" x14ac:dyDescent="0.25">
      <c r="A4" s="16" t="s">
        <v>117</v>
      </c>
      <c r="B4" s="27">
        <v>0</v>
      </c>
    </row>
    <row r="5" spans="1:2" x14ac:dyDescent="0.25">
      <c r="A5" s="16" t="s">
        <v>118</v>
      </c>
      <c r="B5" s="27">
        <v>365000</v>
      </c>
    </row>
    <row r="6" ht="24" customHeight="1" spans="1:2" x14ac:dyDescent="0.25">
      <c r="A6" s="8" t="s">
        <v>119</v>
      </c>
      <c r="B6" s="33">
        <f>SUM(B4:B5)</f>
        <v>365000</v>
      </c>
    </row>
    <row r="8" ht="24" customHeight="1" spans="1:2" x14ac:dyDescent="0.25">
      <c r="A8" s="8" t="s">
        <v>120</v>
      </c>
      <c r="B8" s="8"/>
    </row>
    <row r="9" spans="1:2" x14ac:dyDescent="0.25">
      <c r="A9" s="16" t="s">
        <v>101</v>
      </c>
      <c r="B9" s="27">
        <v>232750</v>
      </c>
    </row>
    <row r="10" spans="1:2" x14ac:dyDescent="0.25">
      <c r="A10" s="16" t="s">
        <v>121</v>
      </c>
      <c r="B10" s="27">
        <v>4000</v>
      </c>
    </row>
    <row r="11" spans="1:2" x14ac:dyDescent="0.25">
      <c r="A11" s="16" t="s">
        <v>122</v>
      </c>
      <c r="B11" s="27">
        <v>48458</v>
      </c>
    </row>
    <row r="12" spans="1:2" x14ac:dyDescent="0.25">
      <c r="A12" s="16" t="s">
        <v>123</v>
      </c>
      <c r="B12" s="27">
        <v>14260</v>
      </c>
    </row>
    <row r="13" ht="24" customHeight="1" spans="1:2" x14ac:dyDescent="0.25">
      <c r="A13" s="8" t="s">
        <v>124</v>
      </c>
      <c r="B13" s="33">
        <f>SUM(B9:B12)</f>
        <v>299468</v>
      </c>
    </row>
    <row r="15" spans="1:2" x14ac:dyDescent="0.25">
      <c r="A15" s="17" t="s">
        <v>125</v>
      </c>
      <c r="B15" s="34">
        <f>B6-B13</f>
        <v>65532</v>
      </c>
    </row>
    <row r="16" spans="1:1" x14ac:dyDescent="0.25">
      <c r="A16" s="35" t="s">
        <v>126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5" t="s">
        <v>127</v>
      </c>
      <c r="B1" s="15"/>
      <c r="C1" s="15"/>
      <c r="D1" s="15"/>
      <c r="E1" s="15"/>
      <c r="F1" s="15"/>
      <c r="G1" s="15"/>
    </row>
    <row r="3" ht="28" customHeight="1" spans="1:7" x14ac:dyDescent="0.25">
      <c r="A3" s="21" t="s">
        <v>128</v>
      </c>
      <c r="B3" s="21" t="s">
        <v>129</v>
      </c>
      <c r="C3" s="21" t="s">
        <v>130</v>
      </c>
      <c r="D3" s="21" t="s">
        <v>131</v>
      </c>
      <c r="E3" s="21" t="s">
        <v>132</v>
      </c>
      <c r="F3" s="21" t="s">
        <v>133</v>
      </c>
      <c r="G3" s="21" t="s">
        <v>134</v>
      </c>
    </row>
    <row r="4" spans="1:1" x14ac:dyDescent="0.25">
      <c r="A4" s="16" t="s">
        <v>135</v>
      </c>
    </row>
    <row r="6" ht="24" customHeight="1" spans="1:7" x14ac:dyDescent="0.25">
      <c r="A6" s="8" t="s">
        <v>136</v>
      </c>
      <c r="B6" s="8"/>
      <c r="C6" s="8"/>
      <c r="D6" s="8"/>
      <c r="E6" s="8"/>
      <c r="F6" s="8"/>
      <c r="G6" s="8"/>
    </row>
    <row r="7" spans="1:2" x14ac:dyDescent="0.25">
      <c r="A7" s="17" t="s">
        <v>137</v>
      </c>
      <c r="B7" s="29">
        <v>0</v>
      </c>
    </row>
    <row r="8" spans="1:2" x14ac:dyDescent="0.25">
      <c r="A8" s="16" t="s">
        <v>138</v>
      </c>
      <c r="B8" s="30">
        <v>0</v>
      </c>
    </row>
    <row r="10" ht="24" customHeight="1" spans="1:7" x14ac:dyDescent="0.25">
      <c r="A10" s="8" t="s">
        <v>139</v>
      </c>
      <c r="B10" s="8"/>
      <c r="C10" s="8"/>
      <c r="D10" s="8"/>
      <c r="E10" s="8"/>
      <c r="F10" s="8"/>
      <c r="G10" s="8"/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21" t="s">
        <v>56</v>
      </c>
      <c r="B1" s="21" t="s">
        <v>43</v>
      </c>
      <c r="C1" s="21" t="s">
        <v>140</v>
      </c>
      <c r="D1" s="21" t="s">
        <v>141</v>
      </c>
      <c r="E1" s="21" t="s">
        <v>142</v>
      </c>
      <c r="F1" s="21" t="s">
        <v>143</v>
      </c>
      <c r="G1" s="21" t="s">
        <v>144</v>
      </c>
      <c r="H1" s="21" t="s">
        <v>145</v>
      </c>
      <c r="I1" s="21" t="s">
        <v>146</v>
      </c>
      <c r="J1" s="21" t="s">
        <v>147</v>
      </c>
      <c r="K1" s="21" t="s">
        <v>148</v>
      </c>
      <c r="L1" s="21" t="s">
        <v>149</v>
      </c>
      <c r="M1" s="21" t="s">
        <v>150</v>
      </c>
      <c r="N1" s="21" t="s">
        <v>151</v>
      </c>
    </row>
    <row r="2" spans="1:14" x14ac:dyDescent="0.25">
      <c r="A2" s="17" t="s">
        <v>152</v>
      </c>
      <c r="B2" s="24">
        <v>277917</v>
      </c>
      <c r="C2" s="24">
        <v>7917</v>
      </c>
      <c r="D2" s="24">
        <v>7917</v>
      </c>
      <c r="E2" s="24">
        <v>7917</v>
      </c>
      <c r="F2" s="24">
        <v>7917</v>
      </c>
      <c r="G2" s="24">
        <v>7917</v>
      </c>
      <c r="H2" s="24">
        <v>7917</v>
      </c>
      <c r="I2" s="24">
        <v>7917</v>
      </c>
      <c r="J2" s="24">
        <v>7917</v>
      </c>
      <c r="K2" s="24">
        <v>7917</v>
      </c>
      <c r="L2" s="24">
        <v>7917</v>
      </c>
      <c r="M2" s="24">
        <v>7917</v>
      </c>
      <c r="N2" s="10">
        <f>SUM(B2:M2)</f>
        <v>365004</v>
      </c>
    </row>
    <row r="3" spans="1:14" x14ac:dyDescent="0.25">
      <c r="A3" s="16" t="s">
        <v>153</v>
      </c>
      <c r="B3" s="24">
        <v>19396</v>
      </c>
      <c r="C3" s="24">
        <v>19396</v>
      </c>
      <c r="D3" s="24">
        <v>19396</v>
      </c>
      <c r="E3" s="24">
        <v>19396</v>
      </c>
      <c r="F3" s="24">
        <v>19396</v>
      </c>
      <c r="G3" s="24">
        <v>19396</v>
      </c>
      <c r="H3" s="24">
        <v>19396</v>
      </c>
      <c r="I3" s="24">
        <v>19396</v>
      </c>
      <c r="J3" s="24">
        <v>19396</v>
      </c>
      <c r="K3" s="24">
        <v>19396</v>
      </c>
      <c r="L3" s="24">
        <v>19396</v>
      </c>
      <c r="M3" s="24">
        <v>19396</v>
      </c>
      <c r="N3" s="24">
        <f>SUM(B3:M3)</f>
        <v>232752</v>
      </c>
    </row>
    <row r="4" spans="1:14" x14ac:dyDescent="0.25">
      <c r="A4" s="16" t="s">
        <v>18</v>
      </c>
      <c r="B4" s="24">
        <v>4833</v>
      </c>
      <c r="C4" s="24">
        <v>4833</v>
      </c>
      <c r="D4" s="24">
        <v>4833</v>
      </c>
      <c r="E4" s="24">
        <v>4833</v>
      </c>
      <c r="F4" s="24">
        <v>4833</v>
      </c>
      <c r="G4" s="24">
        <v>4833</v>
      </c>
      <c r="H4" s="24">
        <v>4833</v>
      </c>
      <c r="I4" s="24">
        <v>4833</v>
      </c>
      <c r="J4" s="24">
        <v>4833</v>
      </c>
      <c r="K4" s="24">
        <v>4833</v>
      </c>
      <c r="L4" s="24">
        <v>4833</v>
      </c>
      <c r="M4" s="24">
        <v>4833</v>
      </c>
      <c r="N4" s="24">
        <f>SUM(B4:M4)</f>
        <v>57996</v>
      </c>
    </row>
    <row r="5" spans="1:14" x14ac:dyDescent="0.25">
      <c r="A5" s="16" t="s">
        <v>154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 t="str">
        <f>SUM(B5:M5)</f>
        <v>0</v>
      </c>
    </row>
    <row r="6" ht="24" customHeight="1" spans="1:14" x14ac:dyDescent="0.25">
      <c r="A6" s="8" t="s">
        <v>155</v>
      </c>
      <c r="B6" s="33">
        <f>SUM(B3:B5)</f>
        <v>24229</v>
      </c>
      <c r="C6" s="33">
        <f>SUM(C3:C5)</f>
        <v>24229</v>
      </c>
      <c r="D6" s="33">
        <f>SUM(D3:D5)</f>
        <v>24229</v>
      </c>
      <c r="E6" s="33">
        <f>SUM(E3:E5)</f>
        <v>24229</v>
      </c>
      <c r="F6" s="33">
        <f>SUM(F3:F5)</f>
        <v>24229</v>
      </c>
      <c r="G6" s="33">
        <f>SUM(G3:G5)</f>
        <v>24229</v>
      </c>
      <c r="H6" s="33">
        <f>SUM(H3:H5)</f>
        <v>24229</v>
      </c>
      <c r="I6" s="33">
        <f>SUM(I3:I5)</f>
        <v>24229</v>
      </c>
      <c r="J6" s="33">
        <f>SUM(J3:J5)</f>
        <v>24229</v>
      </c>
      <c r="K6" s="33">
        <f>SUM(K3:K5)</f>
        <v>24229</v>
      </c>
      <c r="L6" s="33">
        <f>SUM(L3:L5)</f>
        <v>24229</v>
      </c>
      <c r="M6" s="33">
        <f>SUM(M3:M5)</f>
        <v>24229</v>
      </c>
      <c r="N6" s="33">
        <f>SUM(B6:M6)</f>
        <v>290748</v>
      </c>
    </row>
    <row r="7" spans="1:14" x14ac:dyDescent="0.25">
      <c r="A7" s="17" t="s">
        <v>156</v>
      </c>
      <c r="B7" s="10">
        <f>B2-B6</f>
        <v>253688</v>
      </c>
      <c r="C7" s="10">
        <f>C2-C6</f>
        <v>-16312</v>
      </c>
      <c r="D7" s="10">
        <f>D2-D6</f>
        <v>-16312</v>
      </c>
      <c r="E7" s="10">
        <f>E2-E6</f>
        <v>-16312</v>
      </c>
      <c r="F7" s="10">
        <f>F2-F6</f>
        <v>-16312</v>
      </c>
      <c r="G7" s="10">
        <f>G2-G6</f>
        <v>-16312</v>
      </c>
      <c r="H7" s="10">
        <f>H2-H6</f>
        <v>-16312</v>
      </c>
      <c r="I7" s="10">
        <f>I2-I6</f>
        <v>-16312</v>
      </c>
      <c r="J7" s="10">
        <f>J2-J6</f>
        <v>-16312</v>
      </c>
      <c r="K7" s="10">
        <f>K2-K6</f>
        <v>-16312</v>
      </c>
      <c r="L7" s="10">
        <f>L2-L6</f>
        <v>-16312</v>
      </c>
      <c r="M7" s="10">
        <f>M2-M6</f>
        <v>-16312</v>
      </c>
      <c r="N7" s="10">
        <f>SUM(B7:M7)</f>
        <v>74256</v>
      </c>
    </row>
    <row r="8" spans="1:14" x14ac:dyDescent="0.25">
      <c r="A8" s="17" t="s">
        <v>157</v>
      </c>
      <c r="B8" s="10">
        <f>0+B7</f>
        <v>253688</v>
      </c>
      <c r="C8" s="10">
        <f>B8+C7</f>
        <v>237376</v>
      </c>
      <c r="D8" s="10">
        <f>C8+D7</f>
        <v>221064</v>
      </c>
      <c r="E8" s="10">
        <f>D8+E7</f>
        <v>204752</v>
      </c>
      <c r="F8" s="10">
        <f>E8+F7</f>
        <v>188440</v>
      </c>
      <c r="G8" s="10">
        <f>F8+G7</f>
        <v>172128</v>
      </c>
      <c r="H8" s="10">
        <f>G8+H7</f>
        <v>155816</v>
      </c>
      <c r="I8" s="10">
        <f>H8+I7</f>
        <v>139504</v>
      </c>
      <c r="J8" s="10">
        <f>I8+J7</f>
        <v>123192</v>
      </c>
      <c r="K8" s="10">
        <f>J8+K7</f>
        <v>106880</v>
      </c>
      <c r="L8" s="10">
        <f>K8+L7</f>
        <v>90568</v>
      </c>
      <c r="M8" s="10">
        <f>L8+M7</f>
        <v>74256</v>
      </c>
      <c r="N8" s="10">
        <f>M8</f>
        <v>74256</v>
      </c>
    </row>
    <row r="10" ht="24" customHeight="1" spans="1:14" x14ac:dyDescent="0.25">
      <c r="A10" s="8" t="s">
        <v>158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2" x14ac:dyDescent="0.25">
      <c r="A11" s="16" t="s">
        <v>159</v>
      </c>
      <c r="B11" s="30">
        <v>0</v>
      </c>
    </row>
    <row r="12" spans="1:2" x14ac:dyDescent="0.25">
      <c r="A12" s="16" t="s">
        <v>160</v>
      </c>
      <c r="B12" s="29">
        <f>M8</f>
        <v>74256</v>
      </c>
    </row>
    <row r="13" spans="1:2" x14ac:dyDescent="0.25">
      <c r="A13" s="16" t="s">
        <v>161</v>
      </c>
      <c r="B13" s="30">
        <f>MIN(B8:M8)</f>
        <v>74256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6" x14ac:dyDescent="0.25">
      <c r="A2" s="17" t="s">
        <v>162</v>
      </c>
      <c r="B2" s="10">
        <v>365000</v>
      </c>
      <c r="C2" s="10">
        <v>498250</v>
      </c>
      <c r="D2" s="10">
        <v>638232</v>
      </c>
      <c r="E2" s="10">
        <v>736073</v>
      </c>
      <c r="F2" s="10">
        <v>838305</v>
      </c>
    </row>
    <row r="3" spans="1:6" x14ac:dyDescent="0.25">
      <c r="A3" s="16" t="s">
        <v>153</v>
      </c>
      <c r="B3" s="24">
        <v>232750</v>
      </c>
      <c r="C3" s="24">
        <v>232750</v>
      </c>
      <c r="D3" s="24">
        <v>232750</v>
      </c>
      <c r="E3" s="24">
        <v>232750</v>
      </c>
      <c r="F3" s="24">
        <v>232750</v>
      </c>
    </row>
    <row r="4" spans="1:6" x14ac:dyDescent="0.25">
      <c r="A4" s="16" t="s">
        <v>18</v>
      </c>
      <c r="B4" s="24">
        <v>58000</v>
      </c>
      <c r="C4" s="24">
        <v>63345</v>
      </c>
      <c r="D4" s="24">
        <v>68958</v>
      </c>
      <c r="E4" s="24">
        <v>73213</v>
      </c>
      <c r="F4" s="24">
        <v>77660</v>
      </c>
    </row>
    <row r="5" spans="1:6" x14ac:dyDescent="0.25">
      <c r="A5" s="16" t="s">
        <v>163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</row>
    <row r="6" ht="24" customHeight="1" spans="1:6" x14ac:dyDescent="0.25">
      <c r="A6" s="8" t="s">
        <v>155</v>
      </c>
      <c r="B6" s="36">
        <f>SUM(B3:B5)</f>
        <v>290750</v>
      </c>
      <c r="C6" s="36">
        <f>SUM(C3:C5)</f>
        <v>296095</v>
      </c>
      <c r="D6" s="36">
        <f>SUM(D3:D5)</f>
        <v>301708</v>
      </c>
      <c r="E6" s="36">
        <f>SUM(E3:E5)</f>
        <v>305963</v>
      </c>
      <c r="F6" s="36">
        <f>SUM(F3:F5)</f>
        <v>310410</v>
      </c>
    </row>
    <row r="7" spans="1:6" x14ac:dyDescent="0.25">
      <c r="A7" s="17" t="s">
        <v>164</v>
      </c>
      <c r="B7" s="37">
        <f>B2-B6</f>
        <v>74250</v>
      </c>
      <c r="C7" s="37">
        <f>C2-C6</f>
        <v>202155</v>
      </c>
      <c r="D7" s="37">
        <f>D2-D6</f>
        <v>336524</v>
      </c>
      <c r="E7" s="37">
        <f>E2-E6</f>
        <v>430110</v>
      </c>
      <c r="F7" s="37">
        <f>F2-F6</f>
        <v>527895</v>
      </c>
    </row>
    <row r="8" spans="1:6" x14ac:dyDescent="0.25">
      <c r="A8" s="16" t="s">
        <v>165</v>
      </c>
      <c r="B8" s="23">
        <f>IF(B2=0,0,B7/B2)</f>
        <v>0.2</v>
      </c>
      <c r="C8" s="23">
        <f>IF(C2=0,0,C7/C2)</f>
        <v>0.41</v>
      </c>
      <c r="D8" s="23">
        <f>IF(D2=0,0,D7/D2)</f>
        <v>0.53</v>
      </c>
      <c r="E8" s="23">
        <f>IF(E2=0,0,E7/E2)</f>
        <v>0.58</v>
      </c>
      <c r="F8" s="23">
        <f>IF(F2=0,0,F7/F2)</f>
        <v>0.63</v>
      </c>
    </row>
    <row r="9" spans="1:6" x14ac:dyDescent="0.25">
      <c r="A9" s="17" t="s">
        <v>166</v>
      </c>
      <c r="B9" s="10">
        <f>B7</f>
        <v>74250</v>
      </c>
      <c r="C9" s="10">
        <f>B9+C7</f>
        <v>276405</v>
      </c>
      <c r="D9" s="10">
        <f>C9+D7</f>
        <v>612929</v>
      </c>
      <c r="E9" s="10">
        <f>D9+E7</f>
        <v>1043039</v>
      </c>
      <c r="F9" s="10">
        <f>E9+F7</f>
        <v>1570934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ht="24" customHeight="1" spans="1:6" x14ac:dyDescent="0.25">
      <c r="A2" s="8" t="s">
        <v>167</v>
      </c>
      <c r="B2" s="8"/>
      <c r="C2" s="8"/>
      <c r="D2" s="8"/>
      <c r="E2" s="8"/>
      <c r="F2" s="8"/>
    </row>
    <row r="3" spans="1:6" x14ac:dyDescent="0.25">
      <c r="A3" s="16" t="s">
        <v>168</v>
      </c>
      <c r="B3" s="24">
        <v>74250</v>
      </c>
      <c r="C3" s="24">
        <v>276405</v>
      </c>
      <c r="D3" s="24">
        <v>612929</v>
      </c>
      <c r="E3" s="24">
        <v>1043039</v>
      </c>
      <c r="F3" s="24">
        <v>1570934</v>
      </c>
    </row>
    <row r="4" spans="1:6" x14ac:dyDescent="0.25">
      <c r="A4" s="16" t="s">
        <v>169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</row>
    <row r="5" ht="24" customHeight="1" spans="1:6" x14ac:dyDescent="0.25">
      <c r="A5" s="8" t="s">
        <v>170</v>
      </c>
      <c r="B5" s="25">
        <f>SUM(B3:B4)</f>
        <v>74250</v>
      </c>
      <c r="C5" s="25">
        <f>SUM(C3:C4)</f>
        <v>276405</v>
      </c>
      <c r="D5" s="25">
        <f>SUM(D3:D4)</f>
        <v>612929</v>
      </c>
      <c r="E5" s="25">
        <f>SUM(E3:E4)</f>
        <v>1043039</v>
      </c>
      <c r="F5" s="25">
        <f>SUM(F3:F4)</f>
        <v>1570934</v>
      </c>
    </row>
    <row r="7" ht="24" customHeight="1" spans="1:6" x14ac:dyDescent="0.25">
      <c r="A7" s="8" t="s">
        <v>171</v>
      </c>
      <c r="B7" s="8"/>
      <c r="C7" s="8"/>
      <c r="D7" s="8"/>
      <c r="E7" s="8"/>
      <c r="F7" s="8"/>
    </row>
    <row r="8" spans="1:6" x14ac:dyDescent="0.25">
      <c r="A8" s="16" t="s">
        <v>172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</row>
    <row r="9" spans="1:6" x14ac:dyDescent="0.25">
      <c r="A9" s="16" t="s">
        <v>173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</row>
    <row r="10" ht="24" customHeight="1" spans="1:6" x14ac:dyDescent="0.25">
      <c r="A10" s="8" t="s">
        <v>174</v>
      </c>
      <c r="B10" s="25" t="str">
        <f>SUM(B8:B9)</f>
        <v>0</v>
      </c>
      <c r="C10" s="25" t="str">
        <f>SUM(C8:C9)</f>
        <v>0</v>
      </c>
      <c r="D10" s="25" t="str">
        <f>SUM(D8:D9)</f>
        <v>0</v>
      </c>
      <c r="E10" s="25" t="str">
        <f>SUM(E8:E9)</f>
        <v>0</v>
      </c>
      <c r="F10" s="25" t="str">
        <f>SUM(F8:F9)</f>
        <v>0</v>
      </c>
    </row>
    <row r="12" ht="24" customHeight="1" spans="1:6" x14ac:dyDescent="0.25">
      <c r="A12" s="8" t="s">
        <v>175</v>
      </c>
      <c r="B12" s="8"/>
      <c r="C12" s="8"/>
      <c r="D12" s="8"/>
      <c r="E12" s="8"/>
      <c r="F12" s="8"/>
    </row>
    <row r="13" spans="1:6" x14ac:dyDescent="0.25">
      <c r="A13" s="16" t="s">
        <v>176</v>
      </c>
      <c r="B13" s="24">
        <v>0</v>
      </c>
      <c r="C13" s="24">
        <v>74250</v>
      </c>
      <c r="D13" s="24">
        <v>276405</v>
      </c>
      <c r="E13" s="24">
        <v>612929</v>
      </c>
      <c r="F13" s="24">
        <v>1043039</v>
      </c>
    </row>
    <row r="14" spans="1:6" x14ac:dyDescent="0.25">
      <c r="A14" s="16" t="s">
        <v>177</v>
      </c>
      <c r="B14" s="24">
        <v>74250</v>
      </c>
      <c r="C14" s="24">
        <v>202155</v>
      </c>
      <c r="D14" s="24">
        <v>336524</v>
      </c>
      <c r="E14" s="24">
        <v>430110</v>
      </c>
      <c r="F14" s="24">
        <v>527895</v>
      </c>
    </row>
    <row r="15" ht="24" customHeight="1" spans="1:6" x14ac:dyDescent="0.25">
      <c r="A15" s="8" t="s">
        <v>178</v>
      </c>
      <c r="B15" s="25">
        <f>B5-B10</f>
        <v>74250</v>
      </c>
      <c r="C15" s="25">
        <f>C5-C10</f>
        <v>276405</v>
      </c>
      <c r="D15" s="25">
        <f>D5-D10</f>
        <v>612929</v>
      </c>
      <c r="E15" s="25">
        <f>E5-E10</f>
        <v>1043039</v>
      </c>
      <c r="F15" s="25">
        <f>F5-F10</f>
        <v>1570934</v>
      </c>
    </row>
    <row r="17" spans="1:6" x14ac:dyDescent="0.25">
      <c r="A17" s="17" t="s">
        <v>179</v>
      </c>
      <c r="B17" s="10" t="str">
        <f>B5-B10-B15</f>
        <v>0</v>
      </c>
      <c r="C17" s="10" t="str">
        <f>C5-C10-C15</f>
        <v>0</v>
      </c>
      <c r="D17" s="10" t="str">
        <f>D5-D10-D15</f>
        <v>0</v>
      </c>
      <c r="E17" s="10" t="str">
        <f>E5-E10-E15</f>
        <v>0</v>
      </c>
      <c r="F17" s="10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ht="24" customHeight="1" spans="1:6" x14ac:dyDescent="0.25">
      <c r="A2" s="8" t="s">
        <v>180</v>
      </c>
      <c r="B2" s="8"/>
      <c r="C2" s="8"/>
      <c r="D2" s="8"/>
      <c r="E2" s="8"/>
      <c r="F2" s="8"/>
    </row>
    <row r="3" spans="1:6" x14ac:dyDescent="0.25">
      <c r="A3" s="16" t="s">
        <v>181</v>
      </c>
      <c r="B3" s="24">
        <v>74250</v>
      </c>
      <c r="C3" s="24">
        <v>202155</v>
      </c>
      <c r="D3" s="24">
        <v>336524</v>
      </c>
      <c r="E3" s="24">
        <v>430110</v>
      </c>
      <c r="F3" s="24">
        <v>527895</v>
      </c>
    </row>
    <row r="4" spans="1:6" x14ac:dyDescent="0.25">
      <c r="A4" s="16" t="s">
        <v>137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</row>
    <row r="5" spans="1:6" x14ac:dyDescent="0.25">
      <c r="A5" s="17" t="s">
        <v>182</v>
      </c>
      <c r="B5" s="38" t="s">
        <v>183</v>
      </c>
      <c r="C5" s="38" t="s">
        <v>183</v>
      </c>
      <c r="D5" s="38" t="s">
        <v>183</v>
      </c>
      <c r="E5" s="38" t="s">
        <v>183</v>
      </c>
      <c r="F5" s="38" t="s">
        <v>183</v>
      </c>
    </row>
    <row r="7" ht="24" customHeight="1" spans="1:6" x14ac:dyDescent="0.25">
      <c r="A7" s="8" t="s">
        <v>184</v>
      </c>
      <c r="B7" s="8"/>
      <c r="C7" s="8"/>
      <c r="D7" s="8"/>
      <c r="E7" s="8"/>
      <c r="F7" s="8"/>
    </row>
    <row r="8" spans="1:6" x14ac:dyDescent="0.25">
      <c r="A8" s="16" t="s">
        <v>10</v>
      </c>
      <c r="B8" s="24">
        <v>74250</v>
      </c>
      <c r="C8" s="24">
        <v>276405</v>
      </c>
      <c r="D8" s="24">
        <v>612929</v>
      </c>
      <c r="E8" s="24">
        <v>1043039</v>
      </c>
      <c r="F8" s="24">
        <v>1570934</v>
      </c>
    </row>
    <row r="9" spans="1:6" x14ac:dyDescent="0.25">
      <c r="A9" s="16" t="s">
        <v>185</v>
      </c>
      <c r="B9" s="24">
        <v>24229</v>
      </c>
      <c r="C9" s="24">
        <v>24675</v>
      </c>
      <c r="D9" s="24">
        <v>25142</v>
      </c>
      <c r="E9" s="24">
        <v>25497</v>
      </c>
      <c r="F9" s="24">
        <v>25868</v>
      </c>
    </row>
    <row r="10" spans="1:6" x14ac:dyDescent="0.25">
      <c r="A10" s="17" t="s">
        <v>186</v>
      </c>
      <c r="B10" s="39">
        <f>IF(B9=0,0,B8/B9)</f>
        <v>3.06</v>
      </c>
      <c r="C10" s="39">
        <f>IF(C9=0,0,C8/C9)</f>
        <v>11.2</v>
      </c>
      <c r="D10" s="39">
        <f>IF(D9=0,0,D8/D9)</f>
        <v>24.38</v>
      </c>
      <c r="E10" s="39">
        <f>IF(E9=0,0,E8/E9)</f>
        <v>40.91</v>
      </c>
      <c r="F10" s="39">
        <f>IF(F9=0,0,F8/F9)</f>
        <v>60.73</v>
      </c>
    </row>
    <row r="11" spans="1:6" x14ac:dyDescent="0.25">
      <c r="A11" s="16" t="s">
        <v>187</v>
      </c>
      <c r="B11" s="40">
        <v>93</v>
      </c>
      <c r="C11" s="40">
        <v>341</v>
      </c>
      <c r="D11" s="40">
        <v>742</v>
      </c>
      <c r="E11" s="40">
        <v>1244</v>
      </c>
      <c r="F11" s="40">
        <v>1847</v>
      </c>
    </row>
    <row r="13" ht="24" customHeight="1" spans="1:6" x14ac:dyDescent="0.25">
      <c r="A13" s="8" t="s">
        <v>188</v>
      </c>
      <c r="B13" s="8"/>
      <c r="C13" s="8"/>
      <c r="D13" s="8"/>
      <c r="E13" s="8"/>
      <c r="F13" s="8"/>
    </row>
    <row r="14" spans="1:6" x14ac:dyDescent="0.25">
      <c r="A14" s="16" t="s">
        <v>189</v>
      </c>
      <c r="B14" s="41" t="s">
        <v>183</v>
      </c>
      <c r="C14" s="41" t="s">
        <v>183</v>
      </c>
      <c r="D14" s="41" t="s">
        <v>183</v>
      </c>
      <c r="E14" s="41" t="s">
        <v>183</v>
      </c>
      <c r="F14" s="41" t="s">
        <v>183</v>
      </c>
    </row>
    <row r="15" spans="1:6" x14ac:dyDescent="0.25">
      <c r="A15" s="16" t="s">
        <v>190</v>
      </c>
      <c r="B15" s="42" t="s">
        <v>191</v>
      </c>
      <c r="C15" s="42" t="s">
        <v>191</v>
      </c>
      <c r="D15" s="42" t="s">
        <v>191</v>
      </c>
      <c r="E15" s="42" t="s">
        <v>191</v>
      </c>
      <c r="F15" s="42" t="s">
        <v>191</v>
      </c>
    </row>
    <row r="16" spans="1:6" x14ac:dyDescent="0.25">
      <c r="A16" s="16" t="s">
        <v>192</v>
      </c>
      <c r="B16" s="42" t="s">
        <v>191</v>
      </c>
      <c r="C16" s="42" t="s">
        <v>191</v>
      </c>
      <c r="D16" s="42" t="s">
        <v>191</v>
      </c>
      <c r="E16" s="42" t="s">
        <v>191</v>
      </c>
      <c r="F16" s="42" t="s">
        <v>191</v>
      </c>
    </row>
    <row r="17" spans="1:6" x14ac:dyDescent="0.25">
      <c r="A17" s="16" t="s">
        <v>193</v>
      </c>
      <c r="B17" s="43" t="s">
        <v>194</v>
      </c>
      <c r="C17" s="43" t="s">
        <v>194</v>
      </c>
      <c r="D17" s="42" t="s">
        <v>191</v>
      </c>
      <c r="E17" s="42" t="s">
        <v>191</v>
      </c>
      <c r="F17" s="42" t="s">
        <v>191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44" t="s">
        <v>195</v>
      </c>
      <c r="B1" s="44"/>
      <c r="C1" s="44"/>
    </row>
    <row r="2" spans="1:3" x14ac:dyDescent="0.25">
      <c r="A2" s="45" t="s">
        <v>196</v>
      </c>
      <c r="B2" s="45"/>
      <c r="C2" s="45"/>
    </row>
    <row r="4" ht="24" customHeight="1" spans="1:3" x14ac:dyDescent="0.25">
      <c r="A4" s="8" t="s">
        <v>197</v>
      </c>
      <c r="B4" s="8"/>
      <c r="C4" s="8"/>
    </row>
    <row r="5" spans="1:3" x14ac:dyDescent="0.25">
      <c r="A5" s="16" t="s">
        <v>198</v>
      </c>
      <c r="B5" s="42" t="s">
        <v>191</v>
      </c>
      <c r="C5" s="16" t="s">
        <v>199</v>
      </c>
    </row>
    <row r="6" spans="1:3" x14ac:dyDescent="0.25">
      <c r="A6" s="16" t="s">
        <v>200</v>
      </c>
      <c r="B6" s="42" t="s">
        <v>191</v>
      </c>
      <c r="C6" s="16" t="s">
        <v>201</v>
      </c>
    </row>
    <row r="7" spans="1:3" x14ac:dyDescent="0.25">
      <c r="A7" s="16" t="s">
        <v>202</v>
      </c>
      <c r="B7" s="42" t="s">
        <v>191</v>
      </c>
      <c r="C7" s="16" t="s">
        <v>57</v>
      </c>
    </row>
    <row r="8" spans="1:3" x14ac:dyDescent="0.25">
      <c r="A8" s="16" t="s">
        <v>203</v>
      </c>
      <c r="B8" s="43" t="s">
        <v>194</v>
      </c>
      <c r="C8" s="16" t="s">
        <v>204</v>
      </c>
    </row>
    <row r="9" spans="1:3" x14ac:dyDescent="0.25">
      <c r="A9" s="16" t="s">
        <v>205</v>
      </c>
      <c r="B9" s="42" t="s">
        <v>191</v>
      </c>
      <c r="C9" s="16" t="s">
        <v>201</v>
      </c>
    </row>
    <row r="11" ht="24" customHeight="1" spans="1:3" x14ac:dyDescent="0.25">
      <c r="A11" s="8" t="s">
        <v>206</v>
      </c>
      <c r="B11" s="8"/>
      <c r="C11" s="8"/>
    </row>
    <row r="12" spans="1:2" x14ac:dyDescent="0.25">
      <c r="A12" s="16" t="s">
        <v>207</v>
      </c>
      <c r="B12" s="17" t="s">
        <v>208</v>
      </c>
    </row>
    <row r="13" spans="1:2" x14ac:dyDescent="0.25">
      <c r="A13" s="16" t="s">
        <v>11</v>
      </c>
      <c r="B13" s="46" t="s">
        <v>209</v>
      </c>
    </row>
    <row r="15" ht="24" customHeight="1" spans="1:3" x14ac:dyDescent="0.25">
      <c r="A15" s="8" t="s">
        <v>210</v>
      </c>
      <c r="B15" s="8"/>
      <c r="C15" s="8"/>
    </row>
    <row r="16" spans="1:2" x14ac:dyDescent="0.25">
      <c r="A16" s="16" t="s">
        <v>211</v>
      </c>
      <c r="B16" s="29">
        <v>365000</v>
      </c>
    </row>
    <row r="17" spans="1:2" x14ac:dyDescent="0.25">
      <c r="A17" s="16" t="s">
        <v>212</v>
      </c>
      <c r="B17" s="29">
        <v>290750</v>
      </c>
    </row>
    <row r="18" spans="1:2" x14ac:dyDescent="0.25">
      <c r="A18" s="16" t="s">
        <v>213</v>
      </c>
      <c r="B18" s="29">
        <v>74250</v>
      </c>
    </row>
    <row r="19" spans="1:2" x14ac:dyDescent="0.25">
      <c r="A19" s="16" t="s">
        <v>214</v>
      </c>
      <c r="B19" s="19">
        <v>0.20342465753424657</v>
      </c>
    </row>
    <row r="20" spans="1:2" x14ac:dyDescent="0.25">
      <c r="A20" s="16" t="s">
        <v>159</v>
      </c>
      <c r="B20" s="29">
        <v>0</v>
      </c>
    </row>
    <row r="21" spans="1:2" x14ac:dyDescent="0.25">
      <c r="A21" s="16" t="s">
        <v>215</v>
      </c>
      <c r="B21" s="29">
        <v>74250</v>
      </c>
    </row>
    <row r="22" spans="1:2" x14ac:dyDescent="0.25">
      <c r="A22" s="16" t="s">
        <v>216</v>
      </c>
      <c r="B22" s="29">
        <v>0</v>
      </c>
    </row>
    <row r="23" spans="1:2" x14ac:dyDescent="0.25">
      <c r="A23" s="16" t="s">
        <v>217</v>
      </c>
      <c r="B23" s="17" t="s">
        <v>183</v>
      </c>
    </row>
    <row r="24" spans="1:2" x14ac:dyDescent="0.25">
      <c r="A24" s="16" t="s">
        <v>218</v>
      </c>
      <c r="B24" s="17" t="s">
        <v>219</v>
      </c>
    </row>
    <row r="25" spans="1:2" x14ac:dyDescent="0.25">
      <c r="A25" s="16" t="s">
        <v>220</v>
      </c>
      <c r="B25" s="17" t="s">
        <v>57</v>
      </c>
    </row>
    <row r="26" spans="1:2" x14ac:dyDescent="0.25">
      <c r="A26" s="16" t="s">
        <v>221</v>
      </c>
      <c r="B26" s="29">
        <v>20278</v>
      </c>
    </row>
    <row r="27" spans="1:2" x14ac:dyDescent="0.25">
      <c r="A27" s="16" t="s">
        <v>222</v>
      </c>
      <c r="B27" s="29">
        <v>16153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44" t="s">
        <v>3</v>
      </c>
      <c r="B1" s="44"/>
      <c r="C1" s="44"/>
      <c r="D1" s="44"/>
      <c r="E1" s="44"/>
      <c r="F1" s="44"/>
    </row>
    <row r="2" ht="22" customHeight="1" spans="1:6" x14ac:dyDescent="0.25">
      <c r="A2" s="47" t="s">
        <v>223</v>
      </c>
      <c r="B2" s="47"/>
      <c r="C2" s="47"/>
      <c r="D2" s="47"/>
      <c r="E2" s="47"/>
      <c r="F2" s="47"/>
    </row>
    <row r="3" ht="18" customHeight="1" spans="1:6" x14ac:dyDescent="0.25">
      <c r="A3" s="48" t="s">
        <v>224</v>
      </c>
      <c r="B3" s="48"/>
      <c r="C3" s="48"/>
      <c r="D3" s="48"/>
      <c r="E3" s="48"/>
      <c r="F3" s="48"/>
    </row>
    <row r="4" ht="16" customHeight="1" spans="1:6" x14ac:dyDescent="0.25">
      <c r="A4" s="14" t="s">
        <v>225</v>
      </c>
      <c r="B4" s="14"/>
      <c r="C4" s="14"/>
      <c r="D4" s="14"/>
      <c r="E4" s="14"/>
      <c r="F4" s="14"/>
    </row>
    <row r="6" ht="28" customHeight="1" spans="1:6" x14ac:dyDescent="0.25">
      <c r="A6" s="21" t="s">
        <v>56</v>
      </c>
      <c r="B6" s="21" t="s">
        <v>57</v>
      </c>
      <c r="C6" s="21" t="s">
        <v>58</v>
      </c>
      <c r="D6" s="21" t="s">
        <v>59</v>
      </c>
      <c r="E6" s="21" t="s">
        <v>60</v>
      </c>
      <c r="F6" s="21" t="s">
        <v>61</v>
      </c>
    </row>
    <row r="7" spans="1:6" x14ac:dyDescent="0.25">
      <c r="A7" s="16" t="s">
        <v>62</v>
      </c>
      <c r="B7" s="40">
        <v>18</v>
      </c>
      <c r="C7" s="40">
        <v>25</v>
      </c>
      <c r="D7" s="40">
        <v>32</v>
      </c>
      <c r="E7" s="40">
        <v>36</v>
      </c>
      <c r="F7" s="40">
        <v>40</v>
      </c>
    </row>
    <row r="8" spans="1:6" x14ac:dyDescent="0.25">
      <c r="A8" s="17" t="s">
        <v>162</v>
      </c>
      <c r="B8" s="10">
        <v>365000</v>
      </c>
      <c r="C8" s="10">
        <v>498250</v>
      </c>
      <c r="D8" s="10">
        <v>638232</v>
      </c>
      <c r="E8" s="10">
        <v>736073</v>
      </c>
      <c r="F8" s="10">
        <v>838305</v>
      </c>
    </row>
    <row r="9" spans="1:6" x14ac:dyDescent="0.25">
      <c r="A9" s="16" t="s">
        <v>153</v>
      </c>
      <c r="B9" s="24">
        <v>232750</v>
      </c>
      <c r="C9" s="24">
        <v>232750</v>
      </c>
      <c r="D9" s="24">
        <v>232750</v>
      </c>
      <c r="E9" s="24">
        <v>232750</v>
      </c>
      <c r="F9" s="24">
        <v>232750</v>
      </c>
    </row>
    <row r="10" spans="1:6" x14ac:dyDescent="0.25">
      <c r="A10" s="16" t="s">
        <v>18</v>
      </c>
      <c r="B10" s="24">
        <v>58000</v>
      </c>
      <c r="C10" s="24">
        <v>63345</v>
      </c>
      <c r="D10" s="24">
        <v>68958</v>
      </c>
      <c r="E10" s="24">
        <v>73213</v>
      </c>
      <c r="F10" s="24">
        <v>77660</v>
      </c>
    </row>
    <row r="11" spans="1:6" x14ac:dyDescent="0.25">
      <c r="A11" s="16" t="s">
        <v>226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</row>
    <row r="12" ht="24" customHeight="1" spans="1:6" x14ac:dyDescent="0.25">
      <c r="A12" s="8" t="s">
        <v>155</v>
      </c>
      <c r="B12" s="33">
        <v>290750</v>
      </c>
      <c r="C12" s="33">
        <v>296095</v>
      </c>
      <c r="D12" s="33">
        <v>301708</v>
      </c>
      <c r="E12" s="33">
        <v>305963</v>
      </c>
      <c r="F12" s="33">
        <v>310410</v>
      </c>
    </row>
    <row r="13" spans="1:6" x14ac:dyDescent="0.25">
      <c r="A13" s="17" t="s">
        <v>164</v>
      </c>
      <c r="B13" s="10">
        <v>74250</v>
      </c>
      <c r="C13" s="10">
        <v>202155</v>
      </c>
      <c r="D13" s="10">
        <v>336524</v>
      </c>
      <c r="E13" s="10">
        <v>430110</v>
      </c>
      <c r="F13" s="10">
        <v>527895</v>
      </c>
    </row>
    <row r="14" spans="1:6" x14ac:dyDescent="0.25">
      <c r="A14" s="16" t="s">
        <v>165</v>
      </c>
      <c r="B14" s="23">
        <v>0.20342465753424657</v>
      </c>
      <c r="C14" s="23">
        <v>0.4057300551931761</v>
      </c>
      <c r="D14" s="23">
        <v>0.5272753481492624</v>
      </c>
      <c r="E14" s="23">
        <v>0.5843306302499888</v>
      </c>
      <c r="F14" s="23">
        <v>0.6297171077352515</v>
      </c>
    </row>
    <row r="15" spans="1:6" x14ac:dyDescent="0.25">
      <c r="A15" s="17" t="s">
        <v>166</v>
      </c>
      <c r="B15" s="10">
        <v>74250</v>
      </c>
      <c r="C15" s="10">
        <v>276405</v>
      </c>
      <c r="D15" s="10">
        <v>612929</v>
      </c>
      <c r="E15" s="10">
        <v>1043039</v>
      </c>
      <c r="F15" s="10">
        <v>1570934</v>
      </c>
    </row>
    <row r="16" spans="1:6" x14ac:dyDescent="0.25">
      <c r="A16" s="17" t="s">
        <v>227</v>
      </c>
      <c r="B16" s="10">
        <v>74250</v>
      </c>
      <c r="C16" s="10">
        <v>276405</v>
      </c>
      <c r="D16" s="10">
        <v>612929</v>
      </c>
      <c r="E16" s="10">
        <v>1043039</v>
      </c>
      <c r="F16" s="10">
        <v>1570934</v>
      </c>
    </row>
    <row r="17" spans="1:6" x14ac:dyDescent="0.25">
      <c r="A17" s="16" t="s">
        <v>228</v>
      </c>
      <c r="B17" s="24">
        <v>20278</v>
      </c>
      <c r="C17" s="24">
        <v>19930</v>
      </c>
      <c r="D17" s="24">
        <v>19945</v>
      </c>
      <c r="E17" s="24">
        <v>20446</v>
      </c>
      <c r="F17" s="24">
        <v>20958</v>
      </c>
    </row>
    <row r="18" spans="1:6" x14ac:dyDescent="0.25">
      <c r="A18" s="16" t="s">
        <v>229</v>
      </c>
      <c r="B18" s="24">
        <v>16153</v>
      </c>
      <c r="C18" s="24">
        <v>11844</v>
      </c>
      <c r="D18" s="24">
        <v>9428</v>
      </c>
      <c r="E18" s="24">
        <v>8499</v>
      </c>
      <c r="F18" s="24">
        <v>7760</v>
      </c>
    </row>
    <row r="20" spans="1:6" x14ac:dyDescent="0.25">
      <c r="A20" s="49" t="s">
        <v>28</v>
      </c>
      <c r="B20" s="49"/>
      <c r="C20" s="49"/>
      <c r="D20" s="49"/>
      <c r="E20" s="49"/>
      <c r="F20" s="49"/>
    </row>
  </sheetData>
  <mergeCells count="5">
    <mergeCell ref="A1:F1"/>
    <mergeCell ref="A2:F2"/>
    <mergeCell ref="A3:F3"/>
    <mergeCell ref="A4:F4"/>
    <mergeCell ref="A20:F20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1:3" x14ac:dyDescent="0.25">
      <c r="A15" s="8"/>
      <c r="B15" s="8" t="s">
        <v>7</v>
      </c>
      <c r="C15" s="8"/>
    </row>
    <row r="16" spans="2:3" x14ac:dyDescent="0.25">
      <c r="B16" s="9" t="s">
        <v>8</v>
      </c>
      <c r="C16" s="10">
        <v>838305</v>
      </c>
    </row>
    <row r="17" spans="2:3" x14ac:dyDescent="0.25">
      <c r="B17" s="9" t="s">
        <v>9</v>
      </c>
      <c r="C17" s="10">
        <v>527895</v>
      </c>
    </row>
    <row r="18" spans="2:3" x14ac:dyDescent="0.25">
      <c r="B18" s="9" t="s">
        <v>10</v>
      </c>
      <c r="C18" s="10">
        <v>1570934</v>
      </c>
    </row>
    <row r="19" spans="2:3" x14ac:dyDescent="0.25">
      <c r="B19" s="9" t="s">
        <v>11</v>
      </c>
      <c r="C19" s="11" t="s">
        <v>12</v>
      </c>
    </row>
    <row r="22" ht="24" customHeight="1" spans="1:3" x14ac:dyDescent="0.25">
      <c r="A22" s="8"/>
      <c r="B22" s="8" t="s">
        <v>13</v>
      </c>
      <c r="C22" s="8"/>
    </row>
    <row r="23" spans="2:3" x14ac:dyDescent="0.25">
      <c r="B23" s="12" t="s">
        <v>14</v>
      </c>
      <c r="C23" s="13"/>
    </row>
    <row r="24" spans="2:3" x14ac:dyDescent="0.25">
      <c r="B24" s="12" t="s">
        <v>15</v>
      </c>
      <c r="C24" s="13"/>
    </row>
    <row r="25" spans="2:3" x14ac:dyDescent="0.25">
      <c r="B25" s="12" t="s">
        <v>16</v>
      </c>
      <c r="C25" s="13"/>
    </row>
    <row r="26" spans="2:3" x14ac:dyDescent="0.25">
      <c r="B26" s="12" t="s">
        <v>17</v>
      </c>
      <c r="C26" s="13"/>
    </row>
    <row r="27" spans="2:3" x14ac:dyDescent="0.25">
      <c r="B27" s="12" t="s">
        <v>18</v>
      </c>
      <c r="C27" s="13"/>
    </row>
    <row r="28" spans="2:3" x14ac:dyDescent="0.25">
      <c r="B28" s="12" t="s">
        <v>19</v>
      </c>
      <c r="C28" s="13"/>
    </row>
    <row r="29" spans="2:3" x14ac:dyDescent="0.25">
      <c r="B29" s="12" t="s">
        <v>20</v>
      </c>
      <c r="C29" s="13"/>
    </row>
    <row r="30" spans="2:3" x14ac:dyDescent="0.25">
      <c r="B30" s="12" t="s">
        <v>21</v>
      </c>
      <c r="C30" s="13"/>
    </row>
    <row r="31" spans="2:3" x14ac:dyDescent="0.25">
      <c r="B31" s="12" t="s">
        <v>22</v>
      </c>
      <c r="C31" s="13"/>
    </row>
    <row r="32" spans="2:3" x14ac:dyDescent="0.25">
      <c r="B32" s="12" t="s">
        <v>23</v>
      </c>
      <c r="C32" s="13"/>
    </row>
    <row r="33" spans="2:3" x14ac:dyDescent="0.25">
      <c r="B33" s="12" t="s">
        <v>24</v>
      </c>
      <c r="C33" s="13"/>
    </row>
    <row r="34" spans="2:3" x14ac:dyDescent="0.25">
      <c r="B34" s="12" t="s">
        <v>25</v>
      </c>
      <c r="C34" s="13"/>
    </row>
    <row r="35" spans="2:3" x14ac:dyDescent="0.25">
      <c r="B35" s="12" t="s">
        <v>26</v>
      </c>
      <c r="C35" s="13"/>
    </row>
    <row r="36" spans="2:3" x14ac:dyDescent="0.25">
      <c r="B36" s="12" t="s">
        <v>27</v>
      </c>
      <c r="C36" s="13"/>
    </row>
    <row r="39" spans="2:3" x14ac:dyDescent="0.25">
      <c r="B39" s="14" t="s">
        <v>28</v>
      </c>
      <c r="C39" s="14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Sources &amp;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Sources &amp;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Underwriting Export</dc:creator>
  <dc:title/>
  <dc:subject/>
  <dc:description/>
  <cp:keywords/>
  <cp:category/>
  <cp:lastModifiedBy>Unknown</cp:lastModifiedBy>
  <dcterms:created xsi:type="dcterms:W3CDTF">2026-03-16T03:43:36Z</dcterms:created>
  <dcterms:modified xsi:type="dcterms:W3CDTF">2026-03-16T03:43:36Z</dcterms:modified>
</cp:coreProperties>
</file>