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Enrollment &amp; Rev Drivers" state="visible" r:id="rId5"/>
    <sheet sheetId="3" name="Tuition &amp; Funding Detail" state="visible" r:id="rId6"/>
    <sheet sheetId="4" name="Staffing Plan" state="visible" r:id="rId7"/>
    <sheet sheetId="5" name="Operating Expenses" state="visible" r:id="rId8"/>
    <sheet sheetId="6" name="Facilities &amp; Occupancy" state="visible" r:id="rId9"/>
    <sheet sheetId="7" name="Sources &amp; Uses" state="visible" r:id="rId10"/>
    <sheet sheetId="8" name="Debt Schedule" state="visible" r:id="rId11"/>
    <sheet sheetId="9" name="Cash Flow Monthly Y1" state="visible" r:id="rId12"/>
    <sheet sheetId="10" name="5-Year P&amp;L" state="visible" r:id="rId13"/>
    <sheet sheetId="11" name="5-Year Balance Sheet" state="visible" r:id="rId14"/>
    <sheet sheetId="12" name="DSCR &amp; Covenants" state="visible" r:id="rId15"/>
    <sheet sheetId="13" name="Underwriting Snapshot" state="visible" r:id="rId16"/>
    <sheet sheetId="14" name="Summary" state="visible" r:id="rId17"/>
  </sheets>
  <calcPr calcId="171027" fullCalcOnLoad="1"/>
</workbook>
</file>

<file path=xl/sharedStrings.xml><?xml version="1.0" encoding="utf-8"?>
<sst xmlns="http://schemas.openxmlformats.org/spreadsheetml/2006/main" count="339" uniqueCount="237">
  <si>
    <t>SchoolStack — Underwriting Assumptions</t>
  </si>
  <si>
    <t>SCHOOL INFORMATION</t>
  </si>
  <si>
    <t>School Name</t>
  </si>
  <si>
    <t>Evergreen Microschool</t>
  </si>
  <si>
    <t>State</t>
  </si>
  <si>
    <t>TX</t>
  </si>
  <si>
    <t>School Type</t>
  </si>
  <si>
    <t>Microschool</t>
  </si>
  <si>
    <t>Entity Type</t>
  </si>
  <si>
    <t>501(c)(3) Nonprofit</t>
  </si>
  <si>
    <t>School Stage</t>
  </si>
  <si>
    <t>New School</t>
  </si>
  <si>
    <t>Opening Year</t>
  </si>
  <si>
    <t>Max Student Capacity</t>
  </si>
  <si>
    <t>Fiscal Year Start</t>
  </si>
  <si>
    <t>July</t>
  </si>
  <si>
    <t>ENROLLMENT BY YEAR</t>
  </si>
  <si>
    <t>Year 1 Students</t>
  </si>
  <si>
    <t>Year 2 Students</t>
  </si>
  <si>
    <t>Year 3 Students</t>
  </si>
  <si>
    <t>Year 4 Students</t>
  </si>
  <si>
    <t>Year 5 Students</t>
  </si>
  <si>
    <t>GROWTH &amp; ESCALATION</t>
  </si>
  <si>
    <t>Salary Escalation</t>
  </si>
  <si>
    <t>Cost Inflation</t>
  </si>
  <si>
    <t>Year 1 Proration</t>
  </si>
  <si>
    <t>Projection Period</t>
  </si>
  <si>
    <t>5 Years</t>
  </si>
  <si>
    <t/>
  </si>
  <si>
    <t>Year 1</t>
  </si>
  <si>
    <t>Year 2</t>
  </si>
  <si>
    <t>Year 3</t>
  </si>
  <si>
    <t>Year 4</t>
  </si>
  <si>
    <t>Year 5</t>
  </si>
  <si>
    <t>Students</t>
  </si>
  <si>
    <t>Enrollment Growth %</t>
  </si>
  <si>
    <t>—</t>
  </si>
  <si>
    <t>Capacity Utilization %</t>
  </si>
  <si>
    <t>REVENUE PER STUDENT</t>
  </si>
  <si>
    <t>Gross Tuition (per student)</t>
  </si>
  <si>
    <t>Registration Fees (per student)</t>
  </si>
  <si>
    <t>REVENUE MIX SUMMARY</t>
  </si>
  <si>
    <t>Tuition &amp; Student Fees</t>
  </si>
  <si>
    <t>Tuition Offsets</t>
  </si>
  <si>
    <t>Grants &amp; Contributions</t>
  </si>
  <si>
    <t>TUITION &amp; STUDENT FEES</t>
  </si>
  <si>
    <t>Gross Tuition</t>
  </si>
  <si>
    <t>Registration Fees</t>
  </si>
  <si>
    <t>Total Tuition &amp; Student Fees</t>
  </si>
  <si>
    <t>TUITION OFFSETS</t>
  </si>
  <si>
    <t>Financial Aid / Scholarships</t>
  </si>
  <si>
    <t>Total Tuition Offsets</t>
  </si>
  <si>
    <t>GRANTS &amp; CONTRIBUTIONS</t>
  </si>
  <si>
    <t>Startup Grant</t>
  </si>
  <si>
    <t>Individual Donations</t>
  </si>
  <si>
    <t>Total Grants &amp; Contributions</t>
  </si>
  <si>
    <t>TOTAL NET REVENUE</t>
  </si>
  <si>
    <t>SchoolStack — Staffing Plan</t>
  </si>
  <si>
    <t>Role</t>
  </si>
  <si>
    <t>Function</t>
  </si>
  <si>
    <t>Type</t>
  </si>
  <si>
    <t>FTE</t>
  </si>
  <si>
    <t>Annual Rate</t>
  </si>
  <si>
    <t>Benefits %</t>
  </si>
  <si>
    <t>Payroll Tax %</t>
  </si>
  <si>
    <t>Total Cost</t>
  </si>
  <si>
    <t>Head of School</t>
  </si>
  <si>
    <t>School Leadership</t>
  </si>
  <si>
    <t>FT</t>
  </si>
  <si>
    <t>Lead Teacher</t>
  </si>
  <si>
    <t>Instructional</t>
  </si>
  <si>
    <t>Teaching Assistant</t>
  </si>
  <si>
    <t>PT</t>
  </si>
  <si>
    <t>Admin Coordinator</t>
  </si>
  <si>
    <t>operations_admin</t>
  </si>
  <si>
    <t>PERSONNEL COST SUMMARY</t>
  </si>
  <si>
    <t>Total Headcount</t>
  </si>
  <si>
    <t>Total FTE</t>
  </si>
  <si>
    <t>Salaries &amp; Wages</t>
  </si>
  <si>
    <t>Benefits</t>
  </si>
  <si>
    <t>Payroll Taxes</t>
  </si>
  <si>
    <t>Contracted Personnel</t>
  </si>
  <si>
    <t>Total Base Personnel Cost</t>
  </si>
  <si>
    <t>MULTI-YEAR PERSONNEL PROJECTION</t>
  </si>
  <si>
    <t>Year 1 Personnel</t>
  </si>
  <si>
    <t>Year 2 Personnel</t>
  </si>
  <si>
    <t>Year 3 Personnel</t>
  </si>
  <si>
    <t>Year 4 Personnel</t>
  </si>
  <si>
    <t>Year 5 Personnel</t>
  </si>
  <si>
    <t>Base Cost</t>
  </si>
  <si>
    <t>Escalation Factor</t>
  </si>
  <si>
    <t>Proration</t>
  </si>
  <si>
    <t>Total Personnel</t>
  </si>
  <si>
    <t>INSTRUCTIONAL / PROGRAM</t>
  </si>
  <si>
    <t>Curriculum &amp; Materials</t>
  </si>
  <si>
    <t>Field Trips &amp; Activities</t>
  </si>
  <si>
    <t>Total Instructional / Program</t>
  </si>
  <si>
    <t>TECHNOLOGY</t>
  </si>
  <si>
    <t>Software &amp; Platform Licenses</t>
  </si>
  <si>
    <t>Total Technology</t>
  </si>
  <si>
    <t>ADMINISTRATIVE / GENERAL</t>
  </si>
  <si>
    <t>Insurance (GL + E&amp;O)</t>
  </si>
  <si>
    <t>Bookkeeping / Accounting</t>
  </si>
  <si>
    <t>Marketing &amp; Enrollment</t>
  </si>
  <si>
    <t>Total Administrative / General</t>
  </si>
  <si>
    <t>TOTAL OPERATING EXPENSES</t>
  </si>
  <si>
    <t>OCCUPANCY / FACILITY COSTS</t>
  </si>
  <si>
    <t>Rent / Lease</t>
  </si>
  <si>
    <t>Utilities</t>
  </si>
  <si>
    <t>Total Facility Costs</t>
  </si>
  <si>
    <t>Cost per Student</t>
  </si>
  <si>
    <t>% of Revenue</t>
  </si>
  <si>
    <t>SchoolStack — Sources &amp; Uses</t>
  </si>
  <si>
    <t>SOURCES OF FUNDS</t>
  </si>
  <si>
    <t>Starting Cash / Equity</t>
  </si>
  <si>
    <t>Loan: Startup Loan</t>
  </si>
  <si>
    <t>Year 1 Revenue (Projected)</t>
  </si>
  <si>
    <t>TOTAL SOURCES</t>
  </si>
  <si>
    <t>USES OF FUNDS</t>
  </si>
  <si>
    <t>Deposits &amp; Prepaid Occupancy (2 mo)</t>
  </si>
  <si>
    <t>Occupancy / Facility Costs (Year 1)</t>
  </si>
  <si>
    <t>Equipment / FF&amp;E / Technology</t>
  </si>
  <si>
    <t>Curriculum &amp; Program Launch Costs</t>
  </si>
  <si>
    <t>Professional Fees &amp; Administration</t>
  </si>
  <si>
    <t>Year 1 Debt Service</t>
  </si>
  <si>
    <t>Working Capital Reserve (2 mo)</t>
  </si>
  <si>
    <t>Contingency (5%)</t>
  </si>
  <si>
    <t>TOTAL USES</t>
  </si>
  <si>
    <t>SOURCES − USES (SURPLUS / GAP)</t>
  </si>
  <si>
    <t>⚠ Funding gap — additional sources needed</t>
  </si>
  <si>
    <t>SchoolStack — Debt Schedule</t>
  </si>
  <si>
    <t>Loan / Facility</t>
  </si>
  <si>
    <t>Principal</t>
  </si>
  <si>
    <t>Rate</t>
  </si>
  <si>
    <t>Term (yrs)</t>
  </si>
  <si>
    <t>Annual Payment</t>
  </si>
  <si>
    <t>Monthly Payment</t>
  </si>
  <si>
    <t>Total Interest</t>
  </si>
  <si>
    <t>Startup Loan</t>
  </si>
  <si>
    <t>TOTAL DEBT SERVICE</t>
  </si>
  <si>
    <t>Annual Debt Service</t>
  </si>
  <si>
    <t>Monthly Debt Service</t>
  </si>
  <si>
    <t>AMORTIZATION SCHEDULE (ANNUAL)</t>
  </si>
  <si>
    <t>Year</t>
  </si>
  <si>
    <t>Startup Loan Balance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</si>
  <si>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</si>
  <si>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</si>
  <si>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</si>
  <si>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</si>
  <si>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</si>
  <si>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</si>
  <si>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</si>
  <si>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</si>
  <si>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</si>
  <si>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</si>
  <si>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</si>
  <si>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Year 1 Total</t>
  </si>
  <si>
    <t>Revenue</t>
  </si>
  <si>
    <t>Personnel</t>
  </si>
  <si>
    <t>Operating Expenses</t>
  </si>
  <si>
    <t>Debt Service</t>
  </si>
  <si>
    <t>Total Expenses</t>
  </si>
  <si>
    <t>Net Cash Flow</t>
  </si>
  <si>
    <t>Cumulative Cash</t>
  </si>
  <si>
    <t>CASH FLOW METRICS</t>
  </si>
  <si>
    <t>Starting Cash</t>
  </si>
  <si>
    <t>Ending Cash (Month 12)</t>
  </si>
  <si>
    <t>Minimum Cash Month</t>
  </si>
  <si>
    <t>Total Revenue</t>
  </si>
  <si>
    <t>Capital &amp; Debt Service</t>
  </si>
  <si>
    <t>Net Income</t>
  </si>
  <si>
    <t>Net Margin %</t>
  </si>
  <si>
    <t>Cumulative Net Income</t>
  </si>
  <si>
    <t>ASSETS</t>
  </si>
  <si>
    <t>Cash &amp; Equivalents</t>
  </si>
  <si>
    <t>Other Assets</t>
  </si>
  <si>
    <t>Total Assets</t>
  </si>
  <si>
    <t>LIABILITIES</t>
  </si>
  <si>
    <t>Debt Outstanding</t>
  </si>
  <si>
    <t>Other Liabilities</t>
  </si>
  <si>
    <t>Total Liabilities</t>
  </si>
  <si>
    <t>EQUITY / NET ASSETS</t>
  </si>
  <si>
    <t>Beginning Net Position</t>
  </si>
  <si>
    <t>Change in Net Position</t>
  </si>
  <si>
    <t>Total Equity / Net Assets</t>
  </si>
  <si>
    <t>BALANCE CHECK (Assets − Liab − Equity)</t>
  </si>
  <si>
    <t>DEBT SERVICE COVERAGE RATIO (DSCR)</t>
  </si>
  <si>
    <t>Net Operating Income (NOI)</t>
  </si>
  <si>
    <t>DSCR</t>
  </si>
  <si>
    <t>LIQUIDITY METRICS</t>
  </si>
  <si>
    <t>Ending Cash Balance</t>
  </si>
  <si>
    <t>Monthly Operating Cost</t>
  </si>
  <si>
    <t>Cash Reserve (Months)</t>
  </si>
  <si>
    <t>Days Cash on Hand</t>
  </si>
  <si>
    <t>COVENANT CHECKS</t>
  </si>
  <si>
    <t>DSCR ≥ 1.20x</t>
  </si>
  <si>
    <t>FAIL</t>
  </si>
  <si>
    <t>PASS</t>
  </si>
  <si>
    <t>Cash Reserve ≥ 2.0 Months</t>
  </si>
  <si>
    <t>Positive Net Income</t>
  </si>
  <si>
    <t>Enrollment ≥ 70% Capacity</t>
  </si>
  <si>
    <t>SchoolStack — Underwriting Snapshot</t>
  </si>
  <si>
    <t>Evergreen Microschool | Microschool | TX</t>
  </si>
  <si>
    <t>POLICY FLAGS</t>
  </si>
  <si>
    <t>DSCR ≥ 1.20x (Year 1)</t>
  </si>
  <si>
    <t>-1.80x</t>
  </si>
  <si>
    <t>Min 2 Months Cash Reserve (Year 1)</t>
  </si>
  <si>
    <t>1.0 months</t>
  </si>
  <si>
    <t>Positive Net Income (Year 1)</t>
  </si>
  <si>
    <t>No</t>
  </si>
  <si>
    <t>Break-Even Within Projection Period</t>
  </si>
  <si>
    <t>Enrollment ≥ 70% Capacity (Year 1)</t>
  </si>
  <si>
    <t>36%</t>
  </si>
  <si>
    <t>Positive Ending Cash (Final Year)</t>
  </si>
  <si>
    <t>Yes</t>
  </si>
  <si>
    <t>UNDERWRITING ASSESSMENT</t>
  </si>
  <si>
    <t>Flags Passed</t>
  </si>
  <si>
    <t>2 / 6</t>
  </si>
  <si>
    <t>Overall Assessment</t>
  </si>
  <si>
    <t>Not Ready</t>
  </si>
  <si>
    <t>KEY METRICS SUMMARY</t>
  </si>
  <si>
    <t>Year 1 Revenue</t>
  </si>
  <si>
    <t>Year 1 Total Expenses</t>
  </si>
  <si>
    <t>Year 1 Net Income</t>
  </si>
  <si>
    <t>Year 1 Net Margin</t>
  </si>
  <si>
    <t>Year 1 Ending Cash</t>
  </si>
  <si>
    <t>Total Debt</t>
  </si>
  <si>
    <t>Year 1 DSCR</t>
  </si>
  <si>
    <t>Year 1 Cash Reserve (Months)</t>
  </si>
  <si>
    <t>1.0</t>
  </si>
  <si>
    <t>Break-Even Year</t>
  </si>
  <si>
    <t>Revenue per Student (Year 1)</t>
  </si>
  <si>
    <t>Cost per Student (Year 1)</t>
  </si>
  <si>
    <t>Evergreen Microschool — Financial Summary</t>
  </si>
  <si>
    <t>Capital &amp; Debt</t>
  </si>
  <si>
    <t>Cash Balance</t>
  </si>
  <si>
    <t>Revenue per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</si>
</sst>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;[Red](#,##0);&quot;-&quot;"/>
    <numFmt numFmtId="165" formatCode="0.0%;[Red](0.0%);&quot;-&quot;"/>
    <numFmt numFmtId="166" formatCode="0.0000"/>
    <numFmt numFmtId="167" formatCode="0.000"/>
    <numFmt numFmtId="168" formatCode="0.00x"/>
    <numFmt numFmtId="169" formatCode="0.0"/>
  </numFmts>
  <fonts count="9" x14ac:knownFonts="1">
    <font>
      <color theme="1"/>
      <family val="2"/>
      <scheme val="minor"/>
      <sz val="11"/>
      <name val="Calibri"/>
    </font>
    <font>
      <b/>
      <color rgb="FF1E293B"/>
      <sz val="14"/>
      <name val="Calibri"/>
    </font>
    <font>
      <b/>
      <color rgb="FF1E293B"/>
      <sz val="11"/>
      <name val="Calibri"/>
    </font>
    <font>
      <sz val="11"/>
      <name val="Calibri"/>
    </font>
    <font>
      <b/>
      <sz val="11"/>
      <name val="Calibri"/>
    </font>
    <font>
      <b/>
      <color rgb="FFFFFFFF"/>
      <sz val="11"/>
      <name val="Calibri"/>
    </font>
    <font>
      <i/>
      <color rgb="FFD32F2F"/>
      <sz val="11"/>
      <name val="Calibri"/>
    </font>
    <font>
      <b/>
      <color rgb="FF1E293B"/>
      <sz val="16"/>
      <name val="Calibri"/>
    </font>
    <font>
      <color rgb="FF64748B"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1E293B"/>
      </patternFill>
    </fill>
    <fill>
      <patternFill patternType="solid">
        <fgColor rgb="FCE4EC"/>
      </patternFill>
    </fill>
    <fill>
      <patternFill patternType="solid">
        <fgColor rgb="E8F5E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2" fontId="4" fillId="0" borderId="0" xfId="0" applyNumberFormat="1" applyFont="1"/>
    <xf numFmtId="0" fontId="5" fillId="3" borderId="1" xfId="0" applyFont="1" applyFill="1" applyBorder="1" applyAlignment="1">
      <alignment horizontal="center" vertical="center"/>
    </xf>
    <xf numFmtId="164" fontId="4" fillId="0" borderId="1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164" fontId="3" fillId="0" borderId="1" xfId="0" applyNumberFormat="1" applyFont="1" applyBorder="1"/>
    <xf numFmtId="164" fontId="2" fillId="2" borderId="1" xfId="0" applyNumberFormat="1" applyFont="1" applyFill="1" applyBorder="1"/>
    <xf numFmtId="2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64" fontId="0" fillId="0" borderId="0" xfId="0" applyNumberFormat="1"/>
    <xf numFmtId="166" fontId="3" fillId="0" borderId="1" xfId="0" applyNumberFormat="1" applyFont="1" applyBorder="1"/>
    <xf numFmtId="167" fontId="3" fillId="0" borderId="1" xfId="0" applyNumberFormat="1" applyFont="1" applyBorder="1"/>
    <xf numFmtId="164" fontId="4" fillId="2" borderId="1" xfId="0" applyNumberFormat="1" applyFont="1" applyFill="1" applyBorder="1"/>
    <xf numFmtId="164" fontId="4" fillId="4" borderId="0" xfId="0" applyNumberFormat="1" applyFont="1" applyFill="1"/>
    <xf numFmtId="0" fontId="6" fillId="0" borderId="0" xfId="0" applyFont="1"/>
    <xf numFmtId="1" fontId="3" fillId="0" borderId="1" xfId="0" applyNumberFormat="1" applyFont="1" applyBorder="1"/>
    <xf numFmtId="168" fontId="4" fillId="0" borderId="1" xfId="0" applyNumberFormat="1" applyFont="1" applyBorder="1"/>
    <xf numFmtId="169" fontId="4" fillId="0" borderId="1" xfId="0" applyNumberFormat="1" applyFont="1" applyBorder="1"/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38" customWidth="1"/>
    <col min="2" max="2" width="25" customWidth="1"/>
  </cols>
  <sheetData>
    <row r="1" ht="32" customHeight="1" spans="1:2" x14ac:dyDescent="0.25">
      <c r="A1" s="1" t="s">
        <v>0</v>
      </c>
      <c r="B1" s="1"/>
    </row>
    <row r="3" ht="24" customHeight="1" spans="1:2" x14ac:dyDescent="0.25">
      <c r="A3" s="2" t="s">
        <v>1</v>
      </c>
      <c r="B3" s="2"/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6</v>
      </c>
      <c r="B6" s="4" t="s">
        <v>7</v>
      </c>
    </row>
    <row r="7" spans="1:2" x14ac:dyDescent="0.25">
      <c r="A7" s="3" t="s">
        <v>8</v>
      </c>
      <c r="B7" s="4" t="s">
        <v>9</v>
      </c>
    </row>
    <row r="8" spans="1:2" x14ac:dyDescent="0.25">
      <c r="A8" s="3" t="s">
        <v>10</v>
      </c>
      <c r="B8" s="4" t="s">
        <v>11</v>
      </c>
    </row>
    <row r="9" spans="1:2" x14ac:dyDescent="0.25">
      <c r="A9" s="3" t="s">
        <v>12</v>
      </c>
      <c r="B9" s="4">
        <v>2026</v>
      </c>
    </row>
    <row r="10" spans="1:2" x14ac:dyDescent="0.25">
      <c r="A10" s="3" t="s">
        <v>13</v>
      </c>
      <c r="B10" s="4">
        <v>50</v>
      </c>
    </row>
    <row r="11" spans="1:2" x14ac:dyDescent="0.25">
      <c r="A11" s="3" t="s">
        <v>14</v>
      </c>
      <c r="B11" s="4" t="s">
        <v>15</v>
      </c>
    </row>
    <row r="13" ht="24" customHeight="1" spans="1:2" x14ac:dyDescent="0.25">
      <c r="A13" s="2" t="s">
        <v>16</v>
      </c>
      <c r="B13" s="2"/>
    </row>
    <row r="14" spans="1:2" x14ac:dyDescent="0.25">
      <c r="A14" s="3" t="s">
        <v>17</v>
      </c>
      <c r="B14" s="5">
        <v>18</v>
      </c>
    </row>
    <row r="15" spans="1:2" x14ac:dyDescent="0.25">
      <c r="A15" s="3" t="s">
        <v>18</v>
      </c>
      <c r="B15" s="5">
        <v>22</v>
      </c>
    </row>
    <row r="16" spans="1:2" x14ac:dyDescent="0.25">
      <c r="A16" s="3" t="s">
        <v>19</v>
      </c>
      <c r="B16" s="5">
        <v>26</v>
      </c>
    </row>
    <row r="17" spans="1:2" x14ac:dyDescent="0.25">
      <c r="A17" s="3" t="s">
        <v>20</v>
      </c>
      <c r="B17" s="5">
        <v>31</v>
      </c>
    </row>
    <row r="18" spans="1:2" x14ac:dyDescent="0.25">
      <c r="A18" s="3" t="s">
        <v>21</v>
      </c>
      <c r="B18" s="5">
        <v>36</v>
      </c>
    </row>
    <row r="20" ht="24" customHeight="1" spans="1:2" x14ac:dyDescent="0.25">
      <c r="A20" s="2" t="s">
        <v>22</v>
      </c>
      <c r="B20" s="2"/>
    </row>
    <row r="21" spans="1:2" x14ac:dyDescent="0.25">
      <c r="A21" s="3" t="s">
        <v>23</v>
      </c>
      <c r="B21" s="6">
        <v>0</v>
      </c>
    </row>
    <row r="22" spans="1:2" x14ac:dyDescent="0.25">
      <c r="A22" s="3" t="s">
        <v>24</v>
      </c>
      <c r="B22" s="6">
        <v>0</v>
      </c>
    </row>
    <row r="23" spans="1:2" x14ac:dyDescent="0.25">
      <c r="A23" s="3" t="s">
        <v>25</v>
      </c>
      <c r="B23" s="7">
        <v>1</v>
      </c>
    </row>
    <row r="24" spans="1:2" x14ac:dyDescent="0.25">
      <c r="A24" s="3" t="s">
        <v>26</v>
      </c>
      <c r="B24" s="4" t="s">
        <v>27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</row>
    <row r="2" spans="1:6" x14ac:dyDescent="0.25">
      <c r="A2" s="4" t="s">
        <v>34</v>
      </c>
      <c r="B2" s="9">
        <v>18</v>
      </c>
      <c r="C2" s="9">
        <v>22</v>
      </c>
      <c r="D2" s="9">
        <v>26</v>
      </c>
      <c r="E2" s="9">
        <v>31</v>
      </c>
      <c r="F2" s="9">
        <v>36</v>
      </c>
    </row>
    <row r="3" spans="1:6" x14ac:dyDescent="0.25">
      <c r="A3" s="3" t="s">
        <v>35</v>
      </c>
      <c r="B3" s="10" t="s">
        <v>36</v>
      </c>
      <c r="C3" s="11">
        <f>IF(B2=0,"—",(C2-B2)/B2)</f>
        <v>0.22</v>
      </c>
      <c r="D3" s="11">
        <f>IF(C2=0,"—",(D2-C2)/C2)</f>
        <v>0.18</v>
      </c>
      <c r="E3" s="11">
        <f>IF(D2=0,"—",(E2-D2)/D2)</f>
        <v>0.19</v>
      </c>
      <c r="F3" s="11">
        <f>IF(E2=0,"—",(F2-E2)/E2)</f>
        <v>0.16</v>
      </c>
    </row>
    <row r="4" spans="1:6" x14ac:dyDescent="0.25">
      <c r="A4" s="3" t="s">
        <v>37</v>
      </c>
      <c r="B4" s="11">
        <v>0.36</v>
      </c>
      <c r="C4" s="11">
        <v>0.44</v>
      </c>
      <c r="D4" s="11">
        <v>0.52</v>
      </c>
      <c r="E4" s="11">
        <v>0.62</v>
      </c>
      <c r="F4" s="11">
        <v>0.72</v>
      </c>
    </row>
    <row r="6" ht="24" customHeight="1" spans="1:6" x14ac:dyDescent="0.25">
      <c r="A6" s="2" t="s">
        <v>38</v>
      </c>
      <c r="B6" s="2"/>
      <c r="C6" s="2"/>
      <c r="D6" s="2"/>
      <c r="E6" s="2"/>
      <c r="F6" s="2"/>
    </row>
    <row r="7" spans="1:6" x14ac:dyDescent="0.25">
      <c r="A7" s="3" t="s">
        <v>39</v>
      </c>
      <c r="B7" s="12">
        <v>8200</v>
      </c>
      <c r="C7" s="12">
        <v>8450</v>
      </c>
      <c r="D7" s="12">
        <v>8700</v>
      </c>
      <c r="E7" s="12">
        <v>8960</v>
      </c>
      <c r="F7" s="12">
        <v>9230</v>
      </c>
    </row>
    <row r="8" spans="1:6" x14ac:dyDescent="0.25">
      <c r="A8" s="3" t="s">
        <v>40</v>
      </c>
      <c r="B8" s="12">
        <v>250</v>
      </c>
      <c r="C8" s="12">
        <v>250</v>
      </c>
      <c r="D8" s="12">
        <v>275</v>
      </c>
      <c r="E8" s="12">
        <v>275</v>
      </c>
      <c r="F8" s="12">
        <v>300</v>
      </c>
    </row>
    <row r="10" ht="24" customHeight="1" spans="1:6" x14ac:dyDescent="0.25">
      <c r="A10" s="2" t="s">
        <v>41</v>
      </c>
      <c r="B10" s="2"/>
      <c r="C10" s="2"/>
      <c r="D10" s="2"/>
      <c r="E10" s="2"/>
      <c r="F10" s="2"/>
    </row>
    <row r="11" spans="1:6" x14ac:dyDescent="0.25">
      <c r="A11" s="3" t="s">
        <v>42</v>
      </c>
      <c r="B11" s="12">
        <v>152100</v>
      </c>
      <c r="C11" s="12">
        <v>191400</v>
      </c>
      <c r="D11" s="12">
        <v>233350</v>
      </c>
      <c r="E11" s="12">
        <v>286285</v>
      </c>
      <c r="F11" s="12">
        <v>343080</v>
      </c>
    </row>
    <row r="12" spans="1:6" x14ac:dyDescent="0.25">
      <c r="A12" s="3" t="s">
        <v>43</v>
      </c>
      <c r="B12" s="12">
        <v>-5000</v>
      </c>
      <c r="C12" s="12">
        <v>-7500</v>
      </c>
      <c r="D12" s="12">
        <v>-10000</v>
      </c>
      <c r="E12" s="12">
        <v>-12500</v>
      </c>
      <c r="F12" s="12">
        <v>-15000</v>
      </c>
    </row>
    <row r="13" spans="1:6" x14ac:dyDescent="0.25">
      <c r="A13" s="3" t="s">
        <v>44</v>
      </c>
      <c r="B13" s="12">
        <v>30000</v>
      </c>
      <c r="C13" s="12">
        <v>22000</v>
      </c>
      <c r="D13" s="12">
        <v>19000</v>
      </c>
      <c r="E13" s="12">
        <v>16000</v>
      </c>
      <c r="F13" s="12">
        <v>13000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</row>
    <row r="2" spans="1:6" x14ac:dyDescent="0.25">
      <c r="A2" s="4" t="s">
        <v>34</v>
      </c>
      <c r="B2" s="9">
        <v>18</v>
      </c>
      <c r="C2" s="9">
        <v>22</v>
      </c>
      <c r="D2" s="9">
        <v>26</v>
      </c>
      <c r="E2" s="9">
        <v>31</v>
      </c>
      <c r="F2" s="9">
        <v>36</v>
      </c>
    </row>
    <row r="3" ht="24" customHeight="1" spans="1:6" x14ac:dyDescent="0.25">
      <c r="A3" s="2" t="s">
        <v>45</v>
      </c>
      <c r="B3" s="2"/>
      <c r="C3" s="2"/>
      <c r="D3" s="2"/>
      <c r="E3" s="2"/>
      <c r="F3" s="2"/>
    </row>
    <row r="4" spans="1:6" x14ac:dyDescent="0.25">
      <c r="A4" s="3" t="s">
        <v>46</v>
      </c>
      <c r="B4" s="12">
        <v>147600</v>
      </c>
      <c r="C4" s="12">
        <v>185900</v>
      </c>
      <c r="D4" s="12">
        <v>226200</v>
      </c>
      <c r="E4" s="12">
        <v>277760</v>
      </c>
      <c r="F4" s="12">
        <v>332280</v>
      </c>
    </row>
    <row r="5" spans="1:6" x14ac:dyDescent="0.25">
      <c r="A5" s="3" t="s">
        <v>47</v>
      </c>
      <c r="B5" s="12">
        <v>4500</v>
      </c>
      <c r="C5" s="12">
        <v>5500</v>
      </c>
      <c r="D5" s="12">
        <v>7150</v>
      </c>
      <c r="E5" s="12">
        <v>8525</v>
      </c>
      <c r="F5" s="12">
        <v>10800</v>
      </c>
    </row>
    <row r="6" ht="24" customHeight="1" spans="1:6" x14ac:dyDescent="0.25">
      <c r="A6" s="2" t="s">
        <v>48</v>
      </c>
      <c r="B6" s="13">
        <f>SUM(B4:B5)</f>
        <v>152100</v>
      </c>
      <c r="C6" s="13">
        <f>SUM(C4:C5)</f>
        <v>191400</v>
      </c>
      <c r="D6" s="13">
        <f>SUM(D4:D5)</f>
        <v>233350</v>
      </c>
      <c r="E6" s="13">
        <f>SUM(E4:E5)</f>
        <v>286285</v>
      </c>
      <c r="F6" s="13">
        <f>SUM(F4:F5)</f>
        <v>343080</v>
      </c>
    </row>
    <row r="7" ht="24" customHeight="1" spans="1:6" x14ac:dyDescent="0.25">
      <c r="A7" s="2" t="s">
        <v>49</v>
      </c>
      <c r="B7" s="2"/>
      <c r="C7" s="2"/>
      <c r="D7" s="2"/>
      <c r="E7" s="2"/>
      <c r="F7" s="2"/>
    </row>
    <row r="8" spans="1:6" x14ac:dyDescent="0.25">
      <c r="A8" s="3" t="s">
        <v>50</v>
      </c>
      <c r="B8" s="12">
        <v>-5000</v>
      </c>
      <c r="C8" s="12">
        <v>-7500</v>
      </c>
      <c r="D8" s="12">
        <v>-10000</v>
      </c>
      <c r="E8" s="12">
        <v>-12500</v>
      </c>
      <c r="F8" s="12">
        <v>-15000</v>
      </c>
    </row>
    <row r="9" ht="24" customHeight="1" spans="1:6" x14ac:dyDescent="0.25">
      <c r="A9" s="2" t="s">
        <v>51</v>
      </c>
      <c r="B9" s="13">
        <f>SUM(B8:B8)</f>
        <v>-5000</v>
      </c>
      <c r="C9" s="13">
        <f>SUM(C8:C8)</f>
        <v>-7500</v>
      </c>
      <c r="D9" s="13">
        <f>SUM(D8:D8)</f>
        <v>-10000</v>
      </c>
      <c r="E9" s="13">
        <f>SUM(E8:E8)</f>
        <v>-12500</v>
      </c>
      <c r="F9" s="13">
        <f>SUM(F8:F8)</f>
        <v>-15000</v>
      </c>
    </row>
    <row r="10" ht="24" customHeight="1" spans="1:6" x14ac:dyDescent="0.25">
      <c r="A10" s="2" t="s">
        <v>52</v>
      </c>
      <c r="B10" s="2"/>
      <c r="C10" s="2"/>
      <c r="D10" s="2"/>
      <c r="E10" s="2"/>
      <c r="F10" s="2"/>
    </row>
    <row r="11" spans="1:6" x14ac:dyDescent="0.25">
      <c r="A11" s="3" t="s">
        <v>53</v>
      </c>
      <c r="B11" s="12">
        <v>25000</v>
      </c>
      <c r="C11" s="12">
        <v>15000</v>
      </c>
      <c r="D11" s="12">
        <v>10000</v>
      </c>
      <c r="E11" s="12">
        <v>5000</v>
      </c>
      <c r="F11" s="12">
        <v>0</v>
      </c>
    </row>
    <row r="12" spans="1:6" x14ac:dyDescent="0.25">
      <c r="A12" s="3" t="s">
        <v>54</v>
      </c>
      <c r="B12" s="12">
        <v>5000</v>
      </c>
      <c r="C12" s="12">
        <v>7000</v>
      </c>
      <c r="D12" s="12">
        <v>9000</v>
      </c>
      <c r="E12" s="12">
        <v>11000</v>
      </c>
      <c r="F12" s="12">
        <v>13000</v>
      </c>
    </row>
    <row r="13" ht="24" customHeight="1" spans="1:6" x14ac:dyDescent="0.25">
      <c r="A13" s="2" t="s">
        <v>55</v>
      </c>
      <c r="B13" s="13">
        <f>SUM(B11:B12)</f>
        <v>30000</v>
      </c>
      <c r="C13" s="13">
        <f>SUM(C11:C12)</f>
        <v>22000</v>
      </c>
      <c r="D13" s="13">
        <f>SUM(D11:D12)</f>
        <v>19000</v>
      </c>
      <c r="E13" s="13">
        <f>SUM(E11:E12)</f>
        <v>16000</v>
      </c>
      <c r="F13" s="13">
        <f>SUM(F11:F12)</f>
        <v>13000</v>
      </c>
    </row>
    <row r="15" ht="24" customHeight="1" spans="1:6" x14ac:dyDescent="0.25">
      <c r="A15" s="2" t="s">
        <v>56</v>
      </c>
      <c r="B15" s="13">
        <f>B6+B9+B13</f>
        <v>177100</v>
      </c>
      <c r="C15" s="13">
        <f>C6+C9+C13</f>
        <v>205900</v>
      </c>
      <c r="D15" s="13">
        <f>D6+D9+D13</f>
        <v>242350</v>
      </c>
      <c r="E15" s="13">
        <f>E6+E9+E13</f>
        <v>289785</v>
      </c>
      <c r="F15" s="13">
        <f>F6+F9+F13</f>
        <v>341080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6" width="18" customWidth="1"/>
  </cols>
  <sheetData>
    <row r="1" ht="32" customHeight="1" spans="1:8" x14ac:dyDescent="0.25">
      <c r="A1" s="1" t="s">
        <v>57</v>
      </c>
      <c r="B1" s="1"/>
      <c r="C1" s="1"/>
      <c r="D1" s="1"/>
      <c r="E1" s="1"/>
      <c r="F1" s="1"/>
      <c r="G1" s="1"/>
      <c r="H1" s="1"/>
    </row>
    <row r="3" ht="28" customHeight="1" spans="1:8" x14ac:dyDescent="0.25">
      <c r="A3" s="8" t="s">
        <v>58</v>
      </c>
      <c r="B3" s="8" t="s">
        <v>59</v>
      </c>
      <c r="C3" s="8" t="s">
        <v>60</v>
      </c>
      <c r="D3" s="8" t="s">
        <v>61</v>
      </c>
      <c r="E3" s="8" t="s">
        <v>62</v>
      </c>
      <c r="F3" s="8" t="s">
        <v>63</v>
      </c>
      <c r="G3" s="8" t="s">
        <v>64</v>
      </c>
      <c r="H3" s="8" t="s">
        <v>65</v>
      </c>
    </row>
    <row r="4" spans="1:8" x14ac:dyDescent="0.25">
      <c r="A4" s="3" t="s">
        <v>66</v>
      </c>
      <c r="B4" s="3" t="s">
        <v>67</v>
      </c>
      <c r="C4" s="3" t="s">
        <v>68</v>
      </c>
      <c r="D4" s="14">
        <v>1</v>
      </c>
      <c r="E4" s="15">
        <v>55000</v>
      </c>
      <c r="F4" s="16">
        <v>0.15</v>
      </c>
      <c r="G4" s="16">
        <v>0.0765</v>
      </c>
      <c r="H4" s="5">
        <v>67458</v>
      </c>
    </row>
    <row r="5" spans="1:8" x14ac:dyDescent="0.25">
      <c r="A5" s="3" t="s">
        <v>69</v>
      </c>
      <c r="B5" s="3" t="s">
        <v>70</v>
      </c>
      <c r="C5" s="3" t="s">
        <v>68</v>
      </c>
      <c r="D5" s="14">
        <v>1</v>
      </c>
      <c r="E5" s="15">
        <v>42000</v>
      </c>
      <c r="F5" s="16">
        <v>0.15</v>
      </c>
      <c r="G5" s="16">
        <v>0.0765</v>
      </c>
      <c r="H5" s="5">
        <v>51513</v>
      </c>
    </row>
    <row r="6" spans="1:8" x14ac:dyDescent="0.25">
      <c r="A6" s="3" t="s">
        <v>71</v>
      </c>
      <c r="B6" s="3" t="s">
        <v>70</v>
      </c>
      <c r="C6" s="3" t="s">
        <v>72</v>
      </c>
      <c r="D6" s="14">
        <v>0.5</v>
      </c>
      <c r="E6" s="15">
        <v>18000</v>
      </c>
      <c r="F6" s="16">
        <v>0</v>
      </c>
      <c r="G6" s="16">
        <v>0.0765</v>
      </c>
      <c r="H6" s="5">
        <v>9689</v>
      </c>
    </row>
    <row r="7" spans="1:8" x14ac:dyDescent="0.25">
      <c r="A7" s="3" t="s">
        <v>73</v>
      </c>
      <c r="B7" s="3" t="s">
        <v>74</v>
      </c>
      <c r="C7" s="3" t="s">
        <v>72</v>
      </c>
      <c r="D7" s="14">
        <v>0.5</v>
      </c>
      <c r="E7" s="15">
        <v>22000</v>
      </c>
      <c r="F7" s="16">
        <v>0</v>
      </c>
      <c r="G7" s="16">
        <v>0.0765</v>
      </c>
      <c r="H7" s="5">
        <v>11842</v>
      </c>
    </row>
    <row r="9" ht="24" customHeight="1" spans="1:8" x14ac:dyDescent="0.25">
      <c r="A9" s="2" t="s">
        <v>75</v>
      </c>
      <c r="B9" s="2"/>
      <c r="C9" s="2"/>
      <c r="D9" s="2"/>
      <c r="E9" s="2"/>
      <c r="F9" s="2"/>
      <c r="G9" s="2"/>
      <c r="H9" s="2"/>
    </row>
    <row r="10" spans="1:2" x14ac:dyDescent="0.25">
      <c r="A10" s="3" t="s">
        <v>76</v>
      </c>
      <c r="B10" s="4">
        <v>4</v>
      </c>
    </row>
    <row r="11" spans="1:2" x14ac:dyDescent="0.25">
      <c r="A11" s="3" t="s">
        <v>77</v>
      </c>
      <c r="B11" s="4">
        <v>3</v>
      </c>
    </row>
    <row r="12" spans="1:2" x14ac:dyDescent="0.25">
      <c r="A12" s="3" t="s">
        <v>78</v>
      </c>
      <c r="B12" s="17">
        <v>117000</v>
      </c>
    </row>
    <row r="13" spans="1:2" x14ac:dyDescent="0.25">
      <c r="A13" s="3" t="s">
        <v>79</v>
      </c>
      <c r="B13" s="17">
        <v>14550</v>
      </c>
    </row>
    <row r="14" spans="1:2" x14ac:dyDescent="0.25">
      <c r="A14" s="3" t="s">
        <v>80</v>
      </c>
      <c r="B14" s="17">
        <v>8951</v>
      </c>
    </row>
    <row r="15" spans="1:2" x14ac:dyDescent="0.25">
      <c r="A15" s="3" t="s">
        <v>81</v>
      </c>
      <c r="B15" s="17">
        <v>0</v>
      </c>
    </row>
    <row r="16" spans="1:2" x14ac:dyDescent="0.25">
      <c r="A16" s="4" t="s">
        <v>82</v>
      </c>
      <c r="B16" s="5">
        <v>140501</v>
      </c>
    </row>
    <row r="18" ht="24" customHeight="1" spans="1:6" x14ac:dyDescent="0.25">
      <c r="A18" s="2" t="s">
        <v>83</v>
      </c>
      <c r="B18" s="2"/>
      <c r="C18" s="2"/>
      <c r="D18" s="2"/>
      <c r="E18" s="2"/>
      <c r="F18" s="2"/>
    </row>
    <row r="19" ht="28" customHeight="1" spans="1:6" x14ac:dyDescent="0.25">
      <c r="A19" s="8" t="s">
        <v>28</v>
      </c>
      <c r="B19" s="8" t="s">
        <v>29</v>
      </c>
      <c r="C19" s="8" t="s">
        <v>30</v>
      </c>
      <c r="D19" s="8" t="s">
        <v>31</v>
      </c>
      <c r="E19" s="8" t="s">
        <v>32</v>
      </c>
      <c r="F19" s="8" t="s">
        <v>33</v>
      </c>
    </row>
    <row r="20" spans="1:1" x14ac:dyDescent="0.25">
      <c r="A20" t="s">
        <v>84</v>
      </c>
    </row>
    <row r="21" spans="1:1" x14ac:dyDescent="0.25">
      <c r="A21" t="s">
        <v>85</v>
      </c>
    </row>
    <row r="22" spans="1:1" x14ac:dyDescent="0.25">
      <c r="A22" t="s">
        <v>86</v>
      </c>
    </row>
    <row r="23" spans="1:1" x14ac:dyDescent="0.25">
      <c r="A23" t="s">
        <v>87</v>
      </c>
    </row>
    <row r="24" spans="1:1" x14ac:dyDescent="0.25">
      <c r="A24" t="s">
        <v>88</v>
      </c>
    </row>
    <row r="25" spans="1:6" x14ac:dyDescent="0.25">
      <c r="A25" s="3" t="s">
        <v>89</v>
      </c>
      <c r="B25" s="12">
        <v>140501</v>
      </c>
      <c r="C25" s="12">
        <v>140501</v>
      </c>
      <c r="D25" s="12">
        <v>140501</v>
      </c>
      <c r="E25" s="12">
        <v>140501</v>
      </c>
      <c r="F25" s="12">
        <v>140501</v>
      </c>
    </row>
    <row r="26" spans="1:6" x14ac:dyDescent="0.25">
      <c r="A26" s="3" t="s">
        <v>90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</row>
    <row r="27" spans="1:6" x14ac:dyDescent="0.25">
      <c r="A27" s="3" t="s">
        <v>91</v>
      </c>
      <c r="B27" s="19">
        <v>1</v>
      </c>
      <c r="C27" s="19">
        <v>1</v>
      </c>
      <c r="D27" s="19">
        <v>1</v>
      </c>
      <c r="E27" s="19">
        <v>1</v>
      </c>
      <c r="F27" s="19">
        <v>1</v>
      </c>
    </row>
    <row r="28" spans="1:6" x14ac:dyDescent="0.25">
      <c r="A28" s="4" t="s">
        <v>92</v>
      </c>
      <c r="B28" s="12">
        <v>140501</v>
      </c>
      <c r="C28" s="12">
        <v>140501</v>
      </c>
      <c r="D28" s="12">
        <v>140501</v>
      </c>
      <c r="E28" s="12">
        <v>140501</v>
      </c>
      <c r="F28" s="12">
        <v>140501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</row>
    <row r="2" ht="24" customHeight="1" spans="1:6" x14ac:dyDescent="0.25">
      <c r="A2" s="2" t="s">
        <v>93</v>
      </c>
      <c r="B2" s="2"/>
      <c r="C2" s="2"/>
      <c r="D2" s="2"/>
      <c r="E2" s="2"/>
      <c r="F2" s="2"/>
    </row>
    <row r="3" spans="1:6" x14ac:dyDescent="0.25">
      <c r="A3" s="3" t="s">
        <v>94</v>
      </c>
      <c r="B3" s="12">
        <v>6300</v>
      </c>
      <c r="C3" s="12">
        <v>7920</v>
      </c>
      <c r="D3" s="12">
        <v>9620</v>
      </c>
      <c r="E3" s="12">
        <v>11780</v>
      </c>
      <c r="F3" s="12">
        <v>14220</v>
      </c>
    </row>
    <row r="4" spans="1:6" x14ac:dyDescent="0.25">
      <c r="A4" s="3" t="s">
        <v>95</v>
      </c>
      <c r="B4" s="12">
        <v>2700</v>
      </c>
      <c r="C4" s="12">
        <v>3410</v>
      </c>
      <c r="D4" s="12">
        <v>4160</v>
      </c>
      <c r="E4" s="12">
        <v>5115</v>
      </c>
      <c r="F4" s="12">
        <v>6120</v>
      </c>
    </row>
    <row r="5" ht="24" customHeight="1" spans="1:6" x14ac:dyDescent="0.25">
      <c r="A5" s="2" t="s">
        <v>96</v>
      </c>
      <c r="B5" s="13">
        <f>SUM(B3:B4)</f>
        <v>9000</v>
      </c>
      <c r="C5" s="13">
        <f>SUM(C3:C4)</f>
        <v>11330</v>
      </c>
      <c r="D5" s="13">
        <f>SUM(D3:D4)</f>
        <v>13780</v>
      </c>
      <c r="E5" s="13">
        <f>SUM(E3:E4)</f>
        <v>16895</v>
      </c>
      <c r="F5" s="13">
        <f>SUM(F3:F4)</f>
        <v>20340</v>
      </c>
    </row>
    <row r="6" ht="24" customHeight="1" spans="1:6" x14ac:dyDescent="0.25">
      <c r="A6" s="2" t="s">
        <v>97</v>
      </c>
      <c r="B6" s="2"/>
      <c r="C6" s="2"/>
      <c r="D6" s="2"/>
      <c r="E6" s="2"/>
      <c r="F6" s="2"/>
    </row>
    <row r="7" spans="1:6" x14ac:dyDescent="0.25">
      <c r="A7" s="3" t="s">
        <v>98</v>
      </c>
      <c r="B7" s="12">
        <v>2400</v>
      </c>
      <c r="C7" s="12">
        <v>2500</v>
      </c>
      <c r="D7" s="12">
        <v>3000</v>
      </c>
      <c r="E7" s="12">
        <v>3200</v>
      </c>
      <c r="F7" s="12">
        <v>3500</v>
      </c>
    </row>
    <row r="8" ht="24" customHeight="1" spans="1:6" x14ac:dyDescent="0.25">
      <c r="A8" s="2" t="s">
        <v>99</v>
      </c>
      <c r="B8" s="13">
        <f>SUM(B7:B7)</f>
        <v>2400</v>
      </c>
      <c r="C8" s="13">
        <f>SUM(C7:C7)</f>
        <v>2500</v>
      </c>
      <c r="D8" s="13">
        <f>SUM(D7:D7)</f>
        <v>3000</v>
      </c>
      <c r="E8" s="13">
        <f>SUM(E7:E7)</f>
        <v>3200</v>
      </c>
      <c r="F8" s="13">
        <f>SUM(F7:F7)</f>
        <v>3500</v>
      </c>
    </row>
    <row r="9" ht="24" customHeight="1" spans="1:6" x14ac:dyDescent="0.25">
      <c r="A9" s="2" t="s">
        <v>100</v>
      </c>
      <c r="B9" s="2"/>
      <c r="C9" s="2"/>
      <c r="D9" s="2"/>
      <c r="E9" s="2"/>
      <c r="F9" s="2"/>
    </row>
    <row r="10" spans="1:6" x14ac:dyDescent="0.25">
      <c r="A10" s="3" t="s">
        <v>101</v>
      </c>
      <c r="B10" s="12">
        <v>3600</v>
      </c>
      <c r="C10" s="12">
        <v>3700</v>
      </c>
      <c r="D10" s="12">
        <v>3800</v>
      </c>
      <c r="E10" s="12">
        <v>3900</v>
      </c>
      <c r="F10" s="12">
        <v>4000</v>
      </c>
    </row>
    <row r="11" spans="1:6" x14ac:dyDescent="0.25">
      <c r="A11" s="3" t="s">
        <v>102</v>
      </c>
      <c r="B11" s="12">
        <v>6000</v>
      </c>
      <c r="C11" s="12">
        <v>6180</v>
      </c>
      <c r="D11" s="12">
        <v>6360</v>
      </c>
      <c r="E11" s="12">
        <v>6540</v>
      </c>
      <c r="F11" s="12">
        <v>6720</v>
      </c>
    </row>
    <row r="12" spans="1:6" x14ac:dyDescent="0.25">
      <c r="A12" s="3" t="s">
        <v>103</v>
      </c>
      <c r="B12" s="12">
        <v>3000</v>
      </c>
      <c r="C12" s="12">
        <v>2500</v>
      </c>
      <c r="D12" s="12">
        <v>2000</v>
      </c>
      <c r="E12" s="12">
        <v>1500</v>
      </c>
      <c r="F12" s="12">
        <v>1000</v>
      </c>
    </row>
    <row r="13" ht="24" customHeight="1" spans="1:6" x14ac:dyDescent="0.25">
      <c r="A13" s="2" t="s">
        <v>104</v>
      </c>
      <c r="B13" s="13">
        <f>SUM(B10:B12)</f>
        <v>12600</v>
      </c>
      <c r="C13" s="13">
        <f>SUM(C10:C12)</f>
        <v>12380</v>
      </c>
      <c r="D13" s="13">
        <f>SUM(D10:D12)</f>
        <v>12160</v>
      </c>
      <c r="E13" s="13">
        <f>SUM(E10:E12)</f>
        <v>11940</v>
      </c>
      <c r="F13" s="13">
        <f>SUM(F10:F12)</f>
        <v>11720</v>
      </c>
    </row>
    <row r="15" ht="24" customHeight="1" spans="1:6" x14ac:dyDescent="0.25">
      <c r="A15" s="2" t="s">
        <v>105</v>
      </c>
      <c r="B15" s="13">
        <f>B5+B8+B13</f>
        <v>24000</v>
      </c>
      <c r="C15" s="13">
        <f>C5+C8+C13</f>
        <v>26210</v>
      </c>
      <c r="D15" s="13">
        <f>D5+D8+D13</f>
        <v>28940</v>
      </c>
      <c r="E15" s="13">
        <f>E5+E8+E13</f>
        <v>32035</v>
      </c>
      <c r="F15" s="13">
        <f>F5+F8+F13</f>
        <v>35560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</row>
    <row r="2" ht="24" customHeight="1" spans="1:6" x14ac:dyDescent="0.25">
      <c r="A2" s="2" t="s">
        <v>106</v>
      </c>
      <c r="B2" s="2"/>
      <c r="C2" s="2"/>
      <c r="D2" s="2"/>
      <c r="E2" s="2"/>
      <c r="F2" s="2"/>
    </row>
    <row r="3" spans="1:6" x14ac:dyDescent="0.25">
      <c r="A3" s="3" t="s">
        <v>107</v>
      </c>
      <c r="B3" s="12">
        <v>30000</v>
      </c>
      <c r="C3" s="12">
        <v>30900</v>
      </c>
      <c r="D3" s="12">
        <v>31800</v>
      </c>
      <c r="E3" s="12">
        <v>32760</v>
      </c>
      <c r="F3" s="12">
        <v>33720</v>
      </c>
    </row>
    <row r="4" spans="1:6" x14ac:dyDescent="0.25">
      <c r="A4" s="3" t="s">
        <v>108</v>
      </c>
      <c r="B4" s="12">
        <v>4200</v>
      </c>
      <c r="C4" s="12">
        <v>4380</v>
      </c>
      <c r="D4" s="12">
        <v>4560</v>
      </c>
      <c r="E4" s="12">
        <v>4740</v>
      </c>
      <c r="F4" s="12">
        <v>4920</v>
      </c>
    </row>
    <row r="5" ht="24" customHeight="1" spans="1:6" x14ac:dyDescent="0.25">
      <c r="A5" s="2" t="s">
        <v>109</v>
      </c>
      <c r="B5" s="13">
        <f>SUM(B3:B4)</f>
        <v>34200</v>
      </c>
      <c r="C5" s="13">
        <f>SUM(C3:C4)</f>
        <v>35280</v>
      </c>
      <c r="D5" s="13">
        <f>SUM(D3:D4)</f>
        <v>36360</v>
      </c>
      <c r="E5" s="13">
        <f>SUM(E3:E4)</f>
        <v>37500</v>
      </c>
      <c r="F5" s="13">
        <f>SUM(F3:F4)</f>
        <v>38640</v>
      </c>
    </row>
    <row r="7" spans="1:6" x14ac:dyDescent="0.25">
      <c r="A7" s="3" t="s">
        <v>110</v>
      </c>
      <c r="B7" s="12">
        <v>1900</v>
      </c>
      <c r="C7" s="12">
        <v>1604</v>
      </c>
      <c r="D7" s="12">
        <v>1398</v>
      </c>
      <c r="E7" s="12">
        <v>1210</v>
      </c>
      <c r="F7" s="12">
        <v>1073</v>
      </c>
    </row>
    <row r="8" spans="1:6" x14ac:dyDescent="0.25">
      <c r="A8" s="3" t="s">
        <v>111</v>
      </c>
      <c r="B8" s="11">
        <v>0.19311123658949747</v>
      </c>
      <c r="C8" s="11">
        <v>0.1713453132588635</v>
      </c>
      <c r="D8" s="11">
        <v>0.15003094697751188</v>
      </c>
      <c r="E8" s="11">
        <v>0.12940628396914955</v>
      </c>
      <c r="F8" s="11">
        <v>0.11328720534771901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44" customWidth="1"/>
    <col min="2" max="2" width="22" customWidth="1"/>
  </cols>
  <sheetData>
    <row r="1" ht="32" customHeight="1" spans="1:2" x14ac:dyDescent="0.25">
      <c r="A1" s="1" t="s">
        <v>112</v>
      </c>
      <c r="B1" s="1"/>
    </row>
    <row r="3" ht="24" customHeight="1" spans="1:2" x14ac:dyDescent="0.25">
      <c r="A3" s="2" t="s">
        <v>113</v>
      </c>
      <c r="B3" s="2"/>
    </row>
    <row r="4" spans="1:2" x14ac:dyDescent="0.25">
      <c r="A4" s="3" t="s">
        <v>114</v>
      </c>
      <c r="B4" s="15">
        <v>0</v>
      </c>
    </row>
    <row r="5" spans="1:2" x14ac:dyDescent="0.25">
      <c r="A5" s="3" t="s">
        <v>115</v>
      </c>
      <c r="B5" s="15">
        <v>50000</v>
      </c>
    </row>
    <row r="6" spans="1:2" x14ac:dyDescent="0.25">
      <c r="A6" s="3" t="s">
        <v>116</v>
      </c>
      <c r="B6" s="15">
        <v>177100</v>
      </c>
    </row>
    <row r="7" ht="24" customHeight="1" spans="1:2" x14ac:dyDescent="0.25">
      <c r="A7" s="2" t="s">
        <v>117</v>
      </c>
      <c r="B7" s="20">
        <f>SUM(B4:B6)</f>
        <v>227100</v>
      </c>
    </row>
    <row r="9" ht="24" customHeight="1" spans="1:2" x14ac:dyDescent="0.25">
      <c r="A9" s="2" t="s">
        <v>118</v>
      </c>
      <c r="B9" s="2"/>
    </row>
    <row r="10" spans="1:2" x14ac:dyDescent="0.25">
      <c r="A10" s="3" t="s">
        <v>84</v>
      </c>
      <c r="B10" s="15">
        <v>140501</v>
      </c>
    </row>
    <row r="11" spans="1:2" x14ac:dyDescent="0.25">
      <c r="A11" s="3" t="s">
        <v>119</v>
      </c>
      <c r="B11" s="15">
        <v>5700</v>
      </c>
    </row>
    <row r="12" spans="1:2" x14ac:dyDescent="0.25">
      <c r="A12" s="3" t="s">
        <v>120</v>
      </c>
      <c r="B12" s="15">
        <v>34200</v>
      </c>
    </row>
    <row r="13" spans="1:2" x14ac:dyDescent="0.25">
      <c r="A13" s="3" t="s">
        <v>121</v>
      </c>
      <c r="B13" s="15">
        <v>1200</v>
      </c>
    </row>
    <row r="14" spans="1:2" x14ac:dyDescent="0.25">
      <c r="A14" s="3" t="s">
        <v>122</v>
      </c>
      <c r="B14" s="15">
        <v>9000</v>
      </c>
    </row>
    <row r="15" spans="1:2" x14ac:dyDescent="0.25">
      <c r="A15" s="3" t="s">
        <v>123</v>
      </c>
      <c r="B15" s="15">
        <v>12600</v>
      </c>
    </row>
    <row r="16" spans="1:2" x14ac:dyDescent="0.25">
      <c r="A16" s="3" t="s">
        <v>124</v>
      </c>
      <c r="B16" s="15">
        <v>12023</v>
      </c>
    </row>
    <row r="17" spans="1:2" x14ac:dyDescent="0.25">
      <c r="A17" s="3" t="s">
        <v>125</v>
      </c>
      <c r="B17" s="15">
        <v>33117</v>
      </c>
    </row>
    <row r="18" spans="1:2" x14ac:dyDescent="0.25">
      <c r="A18" s="3" t="s">
        <v>126</v>
      </c>
      <c r="B18" s="15">
        <v>12417</v>
      </c>
    </row>
    <row r="19" ht="24" customHeight="1" spans="1:2" x14ac:dyDescent="0.25">
      <c r="A19" s="2" t="s">
        <v>127</v>
      </c>
      <c r="B19" s="20">
        <f>SUM(B10:B18)</f>
        <v>260758</v>
      </c>
    </row>
    <row r="21" spans="1:2" x14ac:dyDescent="0.25">
      <c r="A21" s="4" t="s">
        <v>128</v>
      </c>
      <c r="B21" s="21">
        <f>B7-B19</f>
        <v>-33658</v>
      </c>
    </row>
    <row r="22" spans="1:1" x14ac:dyDescent="0.25">
      <c r="A22" s="22" t="s">
        <v>129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30" customWidth="1"/>
    <col min="2" max="2" width="18" customWidth="1"/>
    <col min="3" max="4" width="14" customWidth="1"/>
    <col min="5" max="7" width="18" customWidth="1"/>
  </cols>
  <sheetData>
    <row r="1" ht="32" customHeight="1" spans="1:7" x14ac:dyDescent="0.25">
      <c r="A1" s="1" t="s">
        <v>130</v>
      </c>
      <c r="B1" s="1"/>
      <c r="C1" s="1"/>
      <c r="D1" s="1"/>
      <c r="E1" s="1"/>
      <c r="F1" s="1"/>
      <c r="G1" s="1"/>
    </row>
    <row r="3" ht="28" customHeight="1" spans="1:7" x14ac:dyDescent="0.25">
      <c r="A3" s="8" t="s">
        <v>131</v>
      </c>
      <c r="B3" s="8" t="s">
        <v>132</v>
      </c>
      <c r="C3" s="8" t="s">
        <v>133</v>
      </c>
      <c r="D3" s="8" t="s">
        <v>134</v>
      </c>
      <c r="E3" s="8" t="s">
        <v>135</v>
      </c>
      <c r="F3" s="8" t="s">
        <v>136</v>
      </c>
      <c r="G3" s="8" t="s">
        <v>137</v>
      </c>
    </row>
    <row r="4" spans="1:7" x14ac:dyDescent="0.25">
      <c r="A4" s="3" t="s">
        <v>138</v>
      </c>
      <c r="B4" s="12">
        <v>50000</v>
      </c>
      <c r="C4" s="11">
        <v>0.075</v>
      </c>
      <c r="D4" s="23">
        <v>5</v>
      </c>
      <c r="E4" s="12">
        <v>12023</v>
      </c>
      <c r="F4" s="12">
        <v>1002</v>
      </c>
      <c r="G4" s="12">
        <v>10114</v>
      </c>
    </row>
    <row r="6" ht="24" customHeight="1" spans="1:7" x14ac:dyDescent="0.25">
      <c r="A6" s="2" t="s">
        <v>139</v>
      </c>
      <c r="B6" s="2"/>
      <c r="C6" s="2"/>
      <c r="D6" s="2"/>
      <c r="E6" s="2"/>
      <c r="F6" s="2"/>
      <c r="G6" s="2"/>
    </row>
    <row r="7" spans="1:2" x14ac:dyDescent="0.25">
      <c r="A7" s="4" t="s">
        <v>140</v>
      </c>
      <c r="B7" s="5">
        <v>12023</v>
      </c>
    </row>
    <row r="8" spans="1:2" x14ac:dyDescent="0.25">
      <c r="A8" s="3" t="s">
        <v>141</v>
      </c>
      <c r="B8" s="17">
        <v>1002</v>
      </c>
    </row>
    <row r="10" ht="24" customHeight="1" spans="1:7" x14ac:dyDescent="0.25">
      <c r="A10" s="2" t="s">
        <v>142</v>
      </c>
      <c r="B10" s="2"/>
      <c r="C10" s="2"/>
      <c r="D10" s="2"/>
      <c r="E10" s="2"/>
      <c r="F10" s="2"/>
      <c r="G10" s="2"/>
    </row>
    <row r="11" ht="28" customHeight="1" spans="1:2" x14ac:dyDescent="0.25">
      <c r="A11" s="8" t="s">
        <v>143</v>
      </c>
      <c r="B11" s="8" t="s">
        <v>144</v>
      </c>
    </row>
    <row r="12" spans="1:2" x14ac:dyDescent="0.25">
      <c r="A12" s="3" t="s">
        <v>29</v>
      </c>
      <c r="B12" s="12">
        <v>41727</v>
      </c>
    </row>
    <row r="13" spans="1:2" x14ac:dyDescent="0.25">
      <c r="A13" s="3" t="s">
        <v>30</v>
      </c>
      <c r="B13" s="12">
        <v>32834</v>
      </c>
    </row>
    <row r="14" spans="1:2" x14ac:dyDescent="0.25">
      <c r="A14" s="3" t="s">
        <v>31</v>
      </c>
      <c r="B14" s="12">
        <v>23274</v>
      </c>
    </row>
    <row r="15" spans="1:2" x14ac:dyDescent="0.25">
      <c r="A15" s="3" t="s">
        <v>32</v>
      </c>
      <c r="B15" s="12">
        <v>12997</v>
      </c>
    </row>
    <row r="16" spans="1:2" x14ac:dyDescent="0.25">
      <c r="A16" s="3" t="s">
        <v>33</v>
      </c>
      <c r="B16" s="12">
        <v>1949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8" t="s">
        <v>28</v>
      </c>
      <c r="B1" s="8" t="s">
        <v>15</v>
      </c>
      <c r="C1" s="8" t="s">
        <v>145</v>
      </c>
      <c r="D1" s="8" t="s">
        <v>146</v>
      </c>
      <c r="E1" s="8" t="s">
        <v>147</v>
      </c>
      <c r="F1" s="8" t="s">
        <v>148</v>
      </c>
      <c r="G1" s="8" t="s">
        <v>149</v>
      </c>
      <c r="H1" s="8" t="s">
        <v>150</v>
      </c>
      <c r="I1" s="8" t="s">
        <v>151</v>
      </c>
      <c r="J1" s="8" t="s">
        <v>152</v>
      </c>
      <c r="K1" s="8" t="s">
        <v>153</v>
      </c>
      <c r="L1" s="8" t="s">
        <v>154</v>
      </c>
      <c r="M1" s="8" t="s">
        <v>155</v>
      </c>
      <c r="N1" s="8" t="s">
        <v>156</v>
      </c>
    </row>
    <row r="2" spans="1:14" x14ac:dyDescent="0.25">
      <c r="A2" s="4" t="s">
        <v>157</v>
      </c>
      <c r="B2" s="12">
        <v>7000</v>
      </c>
      <c r="C2" s="12">
        <v>16760</v>
      </c>
      <c r="D2" s="12">
        <v>16760</v>
      </c>
      <c r="E2" s="12">
        <v>16760</v>
      </c>
      <c r="F2" s="12">
        <v>16760</v>
      </c>
      <c r="G2" s="12">
        <v>16760</v>
      </c>
      <c r="H2" s="12">
        <v>16760</v>
      </c>
      <c r="I2" s="12">
        <v>16760</v>
      </c>
      <c r="J2" s="12">
        <v>16760</v>
      </c>
      <c r="K2" s="12">
        <v>16760</v>
      </c>
      <c r="L2" s="12">
        <v>16760</v>
      </c>
      <c r="M2" s="12">
        <v>2500</v>
      </c>
      <c r="N2" s="9">
        <f>SUM(B2:M2)</f>
        <v>177100</v>
      </c>
    </row>
    <row r="3" spans="1:14" x14ac:dyDescent="0.25">
      <c r="A3" s="3" t="s">
        <v>158</v>
      </c>
      <c r="B3" s="12">
        <v>11708</v>
      </c>
      <c r="C3" s="12">
        <v>11708</v>
      </c>
      <c r="D3" s="12">
        <v>11708</v>
      </c>
      <c r="E3" s="12">
        <v>11708</v>
      </c>
      <c r="F3" s="12">
        <v>11708</v>
      </c>
      <c r="G3" s="12">
        <v>11708</v>
      </c>
      <c r="H3" s="12">
        <v>11708</v>
      </c>
      <c r="I3" s="12">
        <v>11708</v>
      </c>
      <c r="J3" s="12">
        <v>11708</v>
      </c>
      <c r="K3" s="12">
        <v>11708</v>
      </c>
      <c r="L3" s="12">
        <v>11708</v>
      </c>
      <c r="M3" s="12">
        <v>11708</v>
      </c>
      <c r="N3" s="12">
        <f>SUM(B3:M3)</f>
        <v>140496</v>
      </c>
    </row>
    <row r="4" spans="1:14" x14ac:dyDescent="0.25">
      <c r="A4" s="3" t="s">
        <v>159</v>
      </c>
      <c r="B4" s="12">
        <v>4850</v>
      </c>
      <c r="C4" s="12">
        <v>4850</v>
      </c>
      <c r="D4" s="12">
        <v>4850</v>
      </c>
      <c r="E4" s="12">
        <v>4850</v>
      </c>
      <c r="F4" s="12">
        <v>4850</v>
      </c>
      <c r="G4" s="12">
        <v>4850</v>
      </c>
      <c r="H4" s="12">
        <v>4850</v>
      </c>
      <c r="I4" s="12">
        <v>4850</v>
      </c>
      <c r="J4" s="12">
        <v>4850</v>
      </c>
      <c r="K4" s="12">
        <v>4850</v>
      </c>
      <c r="L4" s="12">
        <v>4850</v>
      </c>
      <c r="M4" s="12">
        <v>4850</v>
      </c>
      <c r="N4" s="12">
        <f>SUM(B4:M4)</f>
        <v>58200</v>
      </c>
    </row>
    <row r="5" spans="1:14" x14ac:dyDescent="0.25">
      <c r="A5" s="3" t="s">
        <v>160</v>
      </c>
      <c r="B5" s="12">
        <v>1002</v>
      </c>
      <c r="C5" s="12">
        <v>1002</v>
      </c>
      <c r="D5" s="12">
        <v>1002</v>
      </c>
      <c r="E5" s="12">
        <v>1002</v>
      </c>
      <c r="F5" s="12">
        <v>1002</v>
      </c>
      <c r="G5" s="12">
        <v>1002</v>
      </c>
      <c r="H5" s="12">
        <v>1002</v>
      </c>
      <c r="I5" s="12">
        <v>1002</v>
      </c>
      <c r="J5" s="12">
        <v>1002</v>
      </c>
      <c r="K5" s="12">
        <v>1002</v>
      </c>
      <c r="L5" s="12">
        <v>1002</v>
      </c>
      <c r="M5" s="12">
        <v>1002</v>
      </c>
      <c r="N5" s="12">
        <f>SUM(B5:M5)</f>
        <v>12024</v>
      </c>
    </row>
    <row r="6" ht="24" customHeight="1" spans="1:14" x14ac:dyDescent="0.25">
      <c r="A6" s="2" t="s">
        <v>161</v>
      </c>
      <c r="B6" s="20">
        <f>SUM(B3:B5)</f>
        <v>17560</v>
      </c>
      <c r="C6" s="20">
        <f>SUM(C3:C5)</f>
        <v>17560</v>
      </c>
      <c r="D6" s="20">
        <f>SUM(D3:D5)</f>
        <v>17560</v>
      </c>
      <c r="E6" s="20">
        <f>SUM(E3:E5)</f>
        <v>17560</v>
      </c>
      <c r="F6" s="20">
        <f>SUM(F3:F5)</f>
        <v>17560</v>
      </c>
      <c r="G6" s="20">
        <f>SUM(G3:G5)</f>
        <v>17560</v>
      </c>
      <c r="H6" s="20">
        <f>SUM(H3:H5)</f>
        <v>17560</v>
      </c>
      <c r="I6" s="20">
        <f>SUM(I3:I5)</f>
        <v>17560</v>
      </c>
      <c r="J6" s="20">
        <f>SUM(J3:J5)</f>
        <v>17560</v>
      </c>
      <c r="K6" s="20">
        <f>SUM(K3:K5)</f>
        <v>17560</v>
      </c>
      <c r="L6" s="20">
        <f>SUM(L3:L5)</f>
        <v>17560</v>
      </c>
      <c r="M6" s="20">
        <f>SUM(M3:M5)</f>
        <v>17560</v>
      </c>
      <c r="N6" s="20">
        <f>SUM(B6:M6)</f>
        <v>210720</v>
      </c>
    </row>
    <row r="7" spans="1:14" x14ac:dyDescent="0.25">
      <c r="A7" s="4" t="s">
        <v>162</v>
      </c>
      <c r="B7" s="9">
        <f>B2-B6</f>
        <v>-10560</v>
      </c>
      <c r="C7" s="9">
        <f>C2-C6</f>
        <v>-800</v>
      </c>
      <c r="D7" s="9">
        <f>D2-D6</f>
        <v>-800</v>
      </c>
      <c r="E7" s="9">
        <f>E2-E6</f>
        <v>-800</v>
      </c>
      <c r="F7" s="9">
        <f>F2-F6</f>
        <v>-800</v>
      </c>
      <c r="G7" s="9">
        <f>G2-G6</f>
        <v>-800</v>
      </c>
      <c r="H7" s="9">
        <f>H2-H6</f>
        <v>-800</v>
      </c>
      <c r="I7" s="9">
        <f>I2-I6</f>
        <v>-800</v>
      </c>
      <c r="J7" s="9">
        <f>J2-J6</f>
        <v>-800</v>
      </c>
      <c r="K7" s="9">
        <f>K2-K6</f>
        <v>-800</v>
      </c>
      <c r="L7" s="9">
        <f>L2-L6</f>
        <v>-800</v>
      </c>
      <c r="M7" s="9">
        <f>M2-M6</f>
        <v>-15060</v>
      </c>
      <c r="N7" s="9">
        <f>SUM(B7:M7)</f>
        <v>-33620</v>
      </c>
    </row>
    <row r="8" spans="1:14" x14ac:dyDescent="0.25">
      <c r="A8" s="4" t="s">
        <v>163</v>
      </c>
      <c r="B8" s="9">
        <f>50000+B7</f>
        <v>39440</v>
      </c>
      <c r="C8" s="9">
        <f>B8+C7</f>
        <v>38640</v>
      </c>
      <c r="D8" s="9">
        <f>C8+D7</f>
        <v>37840</v>
      </c>
      <c r="E8" s="9">
        <f>D8+E7</f>
        <v>37040</v>
      </c>
      <c r="F8" s="9">
        <f>E8+F7</f>
        <v>36240</v>
      </c>
      <c r="G8" s="9">
        <f>F8+G7</f>
        <v>35440</v>
      </c>
      <c r="H8" s="9">
        <f>G8+H7</f>
        <v>34640</v>
      </c>
      <c r="I8" s="9">
        <f>H8+I7</f>
        <v>33840</v>
      </c>
      <c r="J8" s="9">
        <f>I8+J7</f>
        <v>33040</v>
      </c>
      <c r="K8" s="9">
        <f>J8+K7</f>
        <v>32240</v>
      </c>
      <c r="L8" s="9">
        <f>K8+L7</f>
        <v>31440</v>
      </c>
      <c r="M8" s="9">
        <f>L8+M7</f>
        <v>16380</v>
      </c>
      <c r="N8" s="9">
        <f>M8</f>
        <v>16380</v>
      </c>
    </row>
    <row r="10" ht="24" customHeight="1" spans="1:14" x14ac:dyDescent="0.25">
      <c r="A10" s="2" t="s">
        <v>164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2" x14ac:dyDescent="0.25">
      <c r="A11" s="3" t="s">
        <v>165</v>
      </c>
      <c r="B11" s="17">
        <v>50000</v>
      </c>
    </row>
    <row r="12" spans="1:2" x14ac:dyDescent="0.25">
      <c r="A12" s="3" t="s">
        <v>166</v>
      </c>
      <c r="B12" s="5">
        <f>M8</f>
        <v>16380</v>
      </c>
    </row>
    <row r="13" spans="1:2" x14ac:dyDescent="0.25">
      <c r="A13" s="3" t="s">
        <v>167</v>
      </c>
      <c r="B13" s="17">
        <f>MIN(B8:M8)</f>
        <v>16380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</row>
    <row r="2" spans="1:6" x14ac:dyDescent="0.25">
      <c r="A2" s="4" t="s">
        <v>168</v>
      </c>
      <c r="B2" s="9">
        <v>177100</v>
      </c>
      <c r="C2" s="9">
        <v>205900</v>
      </c>
      <c r="D2" s="9">
        <v>242350</v>
      </c>
      <c r="E2" s="9">
        <v>289785</v>
      </c>
      <c r="F2" s="9">
        <v>341080</v>
      </c>
    </row>
    <row r="3" spans="1:6" x14ac:dyDescent="0.25">
      <c r="A3" s="3" t="s">
        <v>158</v>
      </c>
      <c r="B3" s="12">
        <v>140501</v>
      </c>
      <c r="C3" s="12">
        <v>140501</v>
      </c>
      <c r="D3" s="12">
        <v>140501</v>
      </c>
      <c r="E3" s="12">
        <v>140501</v>
      </c>
      <c r="F3" s="12">
        <v>140501</v>
      </c>
    </row>
    <row r="4" spans="1:6" x14ac:dyDescent="0.25">
      <c r="A4" s="3" t="s">
        <v>159</v>
      </c>
      <c r="B4" s="12">
        <v>58200</v>
      </c>
      <c r="C4" s="12">
        <v>61490</v>
      </c>
      <c r="D4" s="12">
        <v>65300</v>
      </c>
      <c r="E4" s="12">
        <v>69535</v>
      </c>
      <c r="F4" s="12">
        <v>74200</v>
      </c>
    </row>
    <row r="5" spans="1:6" x14ac:dyDescent="0.25">
      <c r="A5" s="3" t="s">
        <v>169</v>
      </c>
      <c r="B5" s="12">
        <v>12023</v>
      </c>
      <c r="C5" s="12">
        <v>12023</v>
      </c>
      <c r="D5" s="12">
        <v>12023</v>
      </c>
      <c r="E5" s="12">
        <v>12023</v>
      </c>
      <c r="F5" s="12">
        <v>12023</v>
      </c>
    </row>
    <row r="6" ht="24" customHeight="1" spans="1:6" x14ac:dyDescent="0.25">
      <c r="A6" s="2" t="s">
        <v>161</v>
      </c>
      <c r="B6" s="20">
        <f>SUM(B3:B5)</f>
        <v>210724</v>
      </c>
      <c r="C6" s="20">
        <f>SUM(C3:C5)</f>
        <v>214014</v>
      </c>
      <c r="D6" s="20">
        <f>SUM(D3:D5)</f>
        <v>217824</v>
      </c>
      <c r="E6" s="20">
        <f>SUM(E3:E5)</f>
        <v>222059</v>
      </c>
      <c r="F6" s="20">
        <f>SUM(F3:F5)</f>
        <v>226724</v>
      </c>
    </row>
    <row r="7" spans="1:6" x14ac:dyDescent="0.25">
      <c r="A7" s="4" t="s">
        <v>170</v>
      </c>
      <c r="B7" s="9">
        <f>B2-B6</f>
        <v>-33623</v>
      </c>
      <c r="C7" s="9">
        <f>C2-C6</f>
        <v>-8113</v>
      </c>
      <c r="D7" s="9">
        <f>D2-D6</f>
        <v>24527</v>
      </c>
      <c r="E7" s="9">
        <f>E2-E6</f>
        <v>67727</v>
      </c>
      <c r="F7" s="9">
        <f>F2-F6</f>
        <v>114357</v>
      </c>
    </row>
    <row r="8" spans="1:6" x14ac:dyDescent="0.25">
      <c r="A8" s="3" t="s">
        <v>171</v>
      </c>
      <c r="B8" s="11">
        <f>IF(B2=0,0,B7/B2)</f>
        <v>-0.19</v>
      </c>
      <c r="C8" s="11">
        <f>IF(C2=0,0,C7/C2)</f>
        <v>-0.04</v>
      </c>
      <c r="D8" s="11">
        <f>IF(D2=0,0,D7/D2)</f>
        <v>0.1</v>
      </c>
      <c r="E8" s="11">
        <f>IF(E2=0,0,E7/E2)</f>
        <v>0.23</v>
      </c>
      <c r="F8" s="11">
        <f>IF(F2=0,0,F7/F2)</f>
        <v>0.34</v>
      </c>
    </row>
    <row r="9" spans="1:6" x14ac:dyDescent="0.25">
      <c r="A9" s="4" t="s">
        <v>172</v>
      </c>
      <c r="B9" s="9">
        <f>B7</f>
        <v>-33623</v>
      </c>
      <c r="C9" s="9">
        <f>B9+C7</f>
        <v>-41736</v>
      </c>
      <c r="D9" s="9">
        <f>C9+D7</f>
        <v>-17209</v>
      </c>
      <c r="E9" s="9">
        <f>D9+E7</f>
        <v>50518</v>
      </c>
      <c r="F9" s="9">
        <f>E9+F7</f>
        <v>164875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</row>
    <row r="2" ht="24" customHeight="1" spans="1:6" x14ac:dyDescent="0.25">
      <c r="A2" s="2" t="s">
        <v>173</v>
      </c>
      <c r="B2" s="2"/>
      <c r="C2" s="2"/>
      <c r="D2" s="2"/>
      <c r="E2" s="2"/>
      <c r="F2" s="2"/>
    </row>
    <row r="3" spans="1:6" x14ac:dyDescent="0.25">
      <c r="A3" s="3" t="s">
        <v>174</v>
      </c>
      <c r="B3" s="12">
        <v>16377</v>
      </c>
      <c r="C3" s="12">
        <v>8264</v>
      </c>
      <c r="D3" s="12">
        <v>32791</v>
      </c>
      <c r="E3" s="12">
        <v>100518</v>
      </c>
      <c r="F3" s="12">
        <v>214875</v>
      </c>
    </row>
    <row r="4" spans="1:6" x14ac:dyDescent="0.25">
      <c r="A4" s="3" t="s">
        <v>175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</row>
    <row r="5" ht="24" customHeight="1" spans="1:6" x14ac:dyDescent="0.25">
      <c r="A5" s="2" t="s">
        <v>176</v>
      </c>
      <c r="B5" s="13">
        <f>SUM(B3:B4)</f>
        <v>16377</v>
      </c>
      <c r="C5" s="13">
        <f>SUM(C3:C4)</f>
        <v>8264</v>
      </c>
      <c r="D5" s="13">
        <f>SUM(D3:D4)</f>
        <v>32791</v>
      </c>
      <c r="E5" s="13">
        <f>SUM(E3:E4)</f>
        <v>100518</v>
      </c>
      <c r="F5" s="13">
        <f>SUM(F3:F4)</f>
        <v>214875</v>
      </c>
    </row>
    <row r="7" ht="24" customHeight="1" spans="1:6" x14ac:dyDescent="0.25">
      <c r="A7" s="2" t="s">
        <v>177</v>
      </c>
      <c r="B7" s="2"/>
      <c r="C7" s="2"/>
      <c r="D7" s="2"/>
      <c r="E7" s="2"/>
      <c r="F7" s="2"/>
    </row>
    <row r="8" spans="1:6" x14ac:dyDescent="0.25">
      <c r="A8" s="3" t="s">
        <v>178</v>
      </c>
      <c r="B8" s="12">
        <v>41727</v>
      </c>
      <c r="C8" s="12">
        <v>32834</v>
      </c>
      <c r="D8" s="12">
        <v>23274</v>
      </c>
      <c r="E8" s="12">
        <v>12997</v>
      </c>
      <c r="F8" s="12">
        <v>1949</v>
      </c>
    </row>
    <row r="9" spans="1:6" x14ac:dyDescent="0.25">
      <c r="A9" s="3" t="s">
        <v>179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</row>
    <row r="10" ht="24" customHeight="1" spans="1:6" x14ac:dyDescent="0.25">
      <c r="A10" s="2" t="s">
        <v>180</v>
      </c>
      <c r="B10" s="13">
        <f>SUM(B8:B9)</f>
        <v>41727</v>
      </c>
      <c r="C10" s="13">
        <f>SUM(C8:C9)</f>
        <v>32834</v>
      </c>
      <c r="D10" s="13">
        <f>SUM(D8:D9)</f>
        <v>23274</v>
      </c>
      <c r="E10" s="13">
        <f>SUM(E8:E9)</f>
        <v>12997</v>
      </c>
      <c r="F10" s="13">
        <f>SUM(F8:F9)</f>
        <v>1949</v>
      </c>
    </row>
    <row r="12" ht="24" customHeight="1" spans="1:6" x14ac:dyDescent="0.25">
      <c r="A12" s="2" t="s">
        <v>181</v>
      </c>
      <c r="B12" s="2"/>
      <c r="C12" s="2"/>
      <c r="D12" s="2"/>
      <c r="E12" s="2"/>
      <c r="F12" s="2"/>
    </row>
    <row r="13" spans="1:6" x14ac:dyDescent="0.25">
      <c r="A13" s="3" t="s">
        <v>182</v>
      </c>
      <c r="B13" s="12">
        <v>0</v>
      </c>
      <c r="C13" s="12">
        <v>-25350</v>
      </c>
      <c r="D13" s="12">
        <v>-24570</v>
      </c>
      <c r="E13" s="12">
        <v>9517</v>
      </c>
      <c r="F13" s="12">
        <v>87521</v>
      </c>
    </row>
    <row r="14" spans="1:6" x14ac:dyDescent="0.25">
      <c r="A14" s="3" t="s">
        <v>183</v>
      </c>
      <c r="B14" s="12">
        <v>-25350</v>
      </c>
      <c r="C14" s="12">
        <v>780</v>
      </c>
      <c r="D14" s="12">
        <v>34087</v>
      </c>
      <c r="E14" s="12">
        <v>78004</v>
      </c>
      <c r="F14" s="12">
        <v>125405</v>
      </c>
    </row>
    <row r="15" ht="24" customHeight="1" spans="1:6" x14ac:dyDescent="0.25">
      <c r="A15" s="2" t="s">
        <v>184</v>
      </c>
      <c r="B15" s="13">
        <f>B5-B10</f>
        <v>-25350</v>
      </c>
      <c r="C15" s="13">
        <f>C5-C10</f>
        <v>-24570</v>
      </c>
      <c r="D15" s="13">
        <f>D5-D10</f>
        <v>9517</v>
      </c>
      <c r="E15" s="13">
        <f>E5-E10</f>
        <v>87521</v>
      </c>
      <c r="F15" s="13">
        <f>F5-F10</f>
        <v>212926</v>
      </c>
    </row>
    <row r="17" spans="1:6" x14ac:dyDescent="0.25">
      <c r="A17" s="4" t="s">
        <v>185</v>
      </c>
      <c r="B17" s="9">
        <f>B5-B10-B15</f>
        <v>0</v>
      </c>
      <c r="C17" s="9">
        <f>C5-C10-C15</f>
        <v>0</v>
      </c>
      <c r="D17" s="9">
        <f>D5-D10-D15</f>
        <v>0</v>
      </c>
      <c r="E17" s="9">
        <f>E5-E10-E15</f>
        <v>0</v>
      </c>
      <c r="F17" s="9">
        <f>F5-F10-F15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2" max="6" width="18" customWidth="1"/>
  </cols>
  <sheetData>
    <row r="1" ht="28" customHeight="1" spans="1:6" x14ac:dyDescent="0.25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</row>
    <row r="2" ht="24" customHeight="1" spans="1:6" x14ac:dyDescent="0.25">
      <c r="A2" s="2" t="s">
        <v>186</v>
      </c>
      <c r="B2" s="2"/>
      <c r="C2" s="2"/>
      <c r="D2" s="2"/>
      <c r="E2" s="2"/>
      <c r="F2" s="2"/>
    </row>
    <row r="3" spans="1:6" x14ac:dyDescent="0.25">
      <c r="A3" s="3" t="s">
        <v>187</v>
      </c>
      <c r="B3" s="12">
        <v>-21601</v>
      </c>
      <c r="C3" s="12">
        <v>3909</v>
      </c>
      <c r="D3" s="12">
        <v>36549</v>
      </c>
      <c r="E3" s="12">
        <v>79749</v>
      </c>
      <c r="F3" s="12">
        <v>126379</v>
      </c>
    </row>
    <row r="4" spans="1:6" x14ac:dyDescent="0.25">
      <c r="A4" s="3" t="s">
        <v>140</v>
      </c>
      <c r="B4" s="12">
        <v>12023</v>
      </c>
      <c r="C4" s="12">
        <v>12023</v>
      </c>
      <c r="D4" s="12">
        <v>12023</v>
      </c>
      <c r="E4" s="12">
        <v>12023</v>
      </c>
      <c r="F4" s="12">
        <v>12023</v>
      </c>
    </row>
    <row r="5" spans="1:6" x14ac:dyDescent="0.25">
      <c r="A5" s="4" t="s">
        <v>188</v>
      </c>
      <c r="B5" s="24">
        <f>IF(B4=0,"N/A",B3/B4)</f>
        <v>-1.8</v>
      </c>
      <c r="C5" s="24">
        <f>IF(C4=0,"N/A",C3/C4)</f>
        <v>0.33</v>
      </c>
      <c r="D5" s="24">
        <f>IF(D4=0,"N/A",D3/D4)</f>
        <v>3.04</v>
      </c>
      <c r="E5" s="24">
        <f>IF(E4=0,"N/A",E3/E4)</f>
        <v>6.63</v>
      </c>
      <c r="F5" s="24">
        <f>IF(F4=0,"N/A",F3/F4)</f>
        <v>10.51</v>
      </c>
    </row>
    <row r="7" ht="24" customHeight="1" spans="1:6" x14ac:dyDescent="0.25">
      <c r="A7" s="2" t="s">
        <v>189</v>
      </c>
      <c r="B7" s="2"/>
      <c r="C7" s="2"/>
      <c r="D7" s="2"/>
      <c r="E7" s="2"/>
      <c r="F7" s="2"/>
    </row>
    <row r="8" spans="1:6" x14ac:dyDescent="0.25">
      <c r="A8" s="3" t="s">
        <v>190</v>
      </c>
      <c r="B8" s="12">
        <v>16377</v>
      </c>
      <c r="C8" s="12">
        <v>8264</v>
      </c>
      <c r="D8" s="12">
        <v>32791</v>
      </c>
      <c r="E8" s="12">
        <v>100518</v>
      </c>
      <c r="F8" s="12">
        <v>214875</v>
      </c>
    </row>
    <row r="9" spans="1:6" x14ac:dyDescent="0.25">
      <c r="A9" s="3" t="s">
        <v>191</v>
      </c>
      <c r="B9" s="12">
        <v>16558</v>
      </c>
      <c r="C9" s="12">
        <v>16833</v>
      </c>
      <c r="D9" s="12">
        <v>17150</v>
      </c>
      <c r="E9" s="12">
        <v>17503</v>
      </c>
      <c r="F9" s="12">
        <v>17892</v>
      </c>
    </row>
    <row r="10" spans="1:6" x14ac:dyDescent="0.25">
      <c r="A10" s="4" t="s">
        <v>192</v>
      </c>
      <c r="B10" s="25">
        <f>IF(B9=0,0,B8/B9)</f>
        <v>0.99</v>
      </c>
      <c r="C10" s="25">
        <f>IF(C9=0,0,C8/C9)</f>
        <v>0.49</v>
      </c>
      <c r="D10" s="25">
        <f>IF(D9=0,0,D8/D9)</f>
        <v>1.91</v>
      </c>
      <c r="E10" s="25">
        <f>IF(E9=0,0,E8/E9)</f>
        <v>5.74</v>
      </c>
      <c r="F10" s="25">
        <f>IF(F9=0,0,F8/F9)</f>
        <v>12.01</v>
      </c>
    </row>
    <row r="11" spans="1:6" x14ac:dyDescent="0.25">
      <c r="A11" s="3" t="s">
        <v>193</v>
      </c>
      <c r="B11" s="12">
        <v>30</v>
      </c>
      <c r="C11" s="12">
        <v>15</v>
      </c>
      <c r="D11" s="12">
        <v>58</v>
      </c>
      <c r="E11" s="12">
        <v>175</v>
      </c>
      <c r="F11" s="12">
        <v>365</v>
      </c>
    </row>
    <row r="13" ht="24" customHeight="1" spans="1:6" x14ac:dyDescent="0.25">
      <c r="A13" s="2" t="s">
        <v>194</v>
      </c>
      <c r="B13" s="2"/>
      <c r="C13" s="2"/>
      <c r="D13" s="2"/>
      <c r="E13" s="2"/>
      <c r="F13" s="2"/>
    </row>
    <row r="14" spans="1:6" x14ac:dyDescent="0.25">
      <c r="A14" s="3" t="s">
        <v>195</v>
      </c>
      <c r="B14" s="26" t="s">
        <v>196</v>
      </c>
      <c r="C14" s="26" t="s">
        <v>196</v>
      </c>
      <c r="D14" s="27" t="s">
        <v>197</v>
      </c>
      <c r="E14" s="27" t="s">
        <v>197</v>
      </c>
      <c r="F14" s="27" t="s">
        <v>197</v>
      </c>
    </row>
    <row r="15" spans="1:6" x14ac:dyDescent="0.25">
      <c r="A15" s="3" t="s">
        <v>198</v>
      </c>
      <c r="B15" s="26" t="s">
        <v>196</v>
      </c>
      <c r="C15" s="26" t="s">
        <v>196</v>
      </c>
      <c r="D15" s="26" t="s">
        <v>196</v>
      </c>
      <c r="E15" s="27" t="s">
        <v>197</v>
      </c>
      <c r="F15" s="27" t="s">
        <v>197</v>
      </c>
    </row>
    <row r="16" spans="1:6" x14ac:dyDescent="0.25">
      <c r="A16" s="3" t="s">
        <v>199</v>
      </c>
      <c r="B16" s="26" t="s">
        <v>196</v>
      </c>
      <c r="C16" s="26" t="s">
        <v>196</v>
      </c>
      <c r="D16" s="27" t="s">
        <v>197</v>
      </c>
      <c r="E16" s="27" t="s">
        <v>197</v>
      </c>
      <c r="F16" s="27" t="s">
        <v>197</v>
      </c>
    </row>
    <row r="17" spans="1:6" x14ac:dyDescent="0.25">
      <c r="A17" s="3" t="s">
        <v>200</v>
      </c>
      <c r="B17" s="26" t="s">
        <v>196</v>
      </c>
      <c r="C17" s="26" t="s">
        <v>196</v>
      </c>
      <c r="D17" s="26" t="s">
        <v>196</v>
      </c>
      <c r="E17" s="26" t="s">
        <v>196</v>
      </c>
      <c r="F17" s="27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cols>
    <col min="1" max="1" width="42" customWidth="1"/>
    <col min="2" max="2" width="25" customWidth="1"/>
    <col min="3" max="3" width="16" customWidth="1"/>
  </cols>
  <sheetData>
    <row r="1" ht="36" customHeight="1" spans="1:3" x14ac:dyDescent="0.25">
      <c r="A1" s="28" t="s">
        <v>201</v>
      </c>
      <c r="B1" s="28"/>
      <c r="C1" s="28"/>
    </row>
    <row r="2" spans="1:3" x14ac:dyDescent="0.25">
      <c r="A2" s="29" t="s">
        <v>202</v>
      </c>
      <c r="B2" s="29"/>
      <c r="C2" s="29"/>
    </row>
    <row r="4" ht="24" customHeight="1" spans="1:3" x14ac:dyDescent="0.25">
      <c r="A4" s="2" t="s">
        <v>203</v>
      </c>
      <c r="B4" s="2"/>
      <c r="C4" s="2"/>
    </row>
    <row r="5" spans="1:3" x14ac:dyDescent="0.25">
      <c r="A5" s="3" t="s">
        <v>204</v>
      </c>
      <c r="B5" s="26" t="s">
        <v>196</v>
      </c>
      <c r="C5" s="3" t="s">
        <v>205</v>
      </c>
    </row>
    <row r="6" spans="1:3" x14ac:dyDescent="0.25">
      <c r="A6" s="3" t="s">
        <v>206</v>
      </c>
      <c r="B6" s="26" t="s">
        <v>196</v>
      </c>
      <c r="C6" s="3" t="s">
        <v>207</v>
      </c>
    </row>
    <row r="7" spans="1:3" x14ac:dyDescent="0.25">
      <c r="A7" s="3" t="s">
        <v>208</v>
      </c>
      <c r="B7" s="26" t="s">
        <v>196</v>
      </c>
      <c r="C7" s="3" t="s">
        <v>209</v>
      </c>
    </row>
    <row r="8" spans="1:3" x14ac:dyDescent="0.25">
      <c r="A8" s="3" t="s">
        <v>210</v>
      </c>
      <c r="B8" s="27" t="s">
        <v>197</v>
      </c>
      <c r="C8" s="3" t="s">
        <v>31</v>
      </c>
    </row>
    <row r="9" spans="1:3" x14ac:dyDescent="0.25">
      <c r="A9" s="3" t="s">
        <v>211</v>
      </c>
      <c r="B9" s="26" t="s">
        <v>196</v>
      </c>
      <c r="C9" s="3" t="s">
        <v>212</v>
      </c>
    </row>
    <row r="10" spans="1:3" x14ac:dyDescent="0.25">
      <c r="A10" s="3" t="s">
        <v>213</v>
      </c>
      <c r="B10" s="27" t="s">
        <v>197</v>
      </c>
      <c r="C10" s="3" t="s">
        <v>214</v>
      </c>
    </row>
    <row r="12" ht="24" customHeight="1" spans="1:3" x14ac:dyDescent="0.25">
      <c r="A12" s="2" t="s">
        <v>215</v>
      </c>
      <c r="B12" s="2"/>
      <c r="C12" s="2"/>
    </row>
    <row r="13" spans="1:2" x14ac:dyDescent="0.25">
      <c r="A13" s="3" t="s">
        <v>216</v>
      </c>
      <c r="B13" s="4" t="s">
        <v>217</v>
      </c>
    </row>
    <row r="14" spans="1:2" x14ac:dyDescent="0.25">
      <c r="A14" s="3" t="s">
        <v>218</v>
      </c>
      <c r="B14" s="30" t="s">
        <v>219</v>
      </c>
    </row>
    <row r="16" ht="24" customHeight="1" spans="1:3" x14ac:dyDescent="0.25">
      <c r="A16" s="2" t="s">
        <v>220</v>
      </c>
      <c r="B16" s="2"/>
      <c r="C16" s="2"/>
    </row>
    <row r="17" spans="1:2" x14ac:dyDescent="0.25">
      <c r="A17" s="3" t="s">
        <v>221</v>
      </c>
      <c r="B17" s="5">
        <v>177100</v>
      </c>
    </row>
    <row r="18" spans="1:2" x14ac:dyDescent="0.25">
      <c r="A18" s="3" t="s">
        <v>222</v>
      </c>
      <c r="B18" s="5">
        <v>210724</v>
      </c>
    </row>
    <row r="19" spans="1:2" x14ac:dyDescent="0.25">
      <c r="A19" s="3" t="s">
        <v>223</v>
      </c>
      <c r="B19" s="5">
        <v>-33623</v>
      </c>
    </row>
    <row r="20" spans="1:2" x14ac:dyDescent="0.25">
      <c r="A20" s="3" t="s">
        <v>224</v>
      </c>
      <c r="B20" s="6">
        <v>-0.1898531902879729</v>
      </c>
    </row>
    <row r="21" spans="1:2" x14ac:dyDescent="0.25">
      <c r="A21" s="3" t="s">
        <v>165</v>
      </c>
      <c r="B21" s="5">
        <v>50000</v>
      </c>
    </row>
    <row r="22" spans="1:2" x14ac:dyDescent="0.25">
      <c r="A22" s="3" t="s">
        <v>225</v>
      </c>
      <c r="B22" s="5">
        <v>16377</v>
      </c>
    </row>
    <row r="23" spans="1:2" x14ac:dyDescent="0.25">
      <c r="A23" s="3" t="s">
        <v>226</v>
      </c>
      <c r="B23" s="5">
        <v>50000</v>
      </c>
    </row>
    <row r="24" spans="1:2" x14ac:dyDescent="0.25">
      <c r="A24" s="3" t="s">
        <v>227</v>
      </c>
      <c r="B24" s="4" t="s">
        <v>205</v>
      </c>
    </row>
    <row r="25" spans="1:2" x14ac:dyDescent="0.25">
      <c r="A25" s="3" t="s">
        <v>228</v>
      </c>
      <c r="B25" s="4" t="s">
        <v>229</v>
      </c>
    </row>
    <row r="26" spans="1:2" x14ac:dyDescent="0.25">
      <c r="A26" s="3" t="s">
        <v>230</v>
      </c>
      <c r="B26" s="4" t="s">
        <v>31</v>
      </c>
    </row>
    <row r="27" spans="1:2" x14ac:dyDescent="0.25">
      <c r="A27" s="3" t="s">
        <v>231</v>
      </c>
      <c r="B27" s="5">
        <v>9839</v>
      </c>
    </row>
    <row r="28" spans="1:2" x14ac:dyDescent="0.25">
      <c r="A28" s="3" t="s">
        <v>232</v>
      </c>
      <c r="B28" s="5">
        <v>11707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32" customHeight="1" spans="1:6" x14ac:dyDescent="0.25">
      <c r="A1" s="1" t="s">
        <v>233</v>
      </c>
      <c r="B1" s="1"/>
      <c r="C1" s="1"/>
      <c r="D1" s="1"/>
      <c r="E1" s="1"/>
      <c r="F1" s="1"/>
    </row>
    <row r="3" ht="28" customHeight="1" spans="1:6" x14ac:dyDescent="0.25">
      <c r="A3" s="8" t="s">
        <v>28</v>
      </c>
      <c r="B3" s="8" t="s">
        <v>29</v>
      </c>
      <c r="C3" s="8" t="s">
        <v>30</v>
      </c>
      <c r="D3" s="8" t="s">
        <v>31</v>
      </c>
      <c r="E3" s="8" t="s">
        <v>32</v>
      </c>
      <c r="F3" s="8" t="s">
        <v>33</v>
      </c>
    </row>
    <row r="4" spans="1:6" x14ac:dyDescent="0.25">
      <c r="A4" s="3" t="s">
        <v>34</v>
      </c>
      <c r="B4" s="12">
        <v>18</v>
      </c>
      <c r="C4" s="12">
        <v>22</v>
      </c>
      <c r="D4" s="12">
        <v>26</v>
      </c>
      <c r="E4" s="12">
        <v>31</v>
      </c>
      <c r="F4" s="12">
        <v>36</v>
      </c>
    </row>
    <row r="5" spans="1:6" x14ac:dyDescent="0.25">
      <c r="A5" s="4" t="s">
        <v>168</v>
      </c>
      <c r="B5" s="9">
        <v>177100</v>
      </c>
      <c r="C5" s="9">
        <v>205900</v>
      </c>
      <c r="D5" s="9">
        <v>242350</v>
      </c>
      <c r="E5" s="9">
        <v>289785</v>
      </c>
      <c r="F5" s="9">
        <v>341080</v>
      </c>
    </row>
    <row r="6" spans="1:6" x14ac:dyDescent="0.25">
      <c r="A6" s="3" t="s">
        <v>158</v>
      </c>
      <c r="B6" s="12">
        <v>140501</v>
      </c>
      <c r="C6" s="12">
        <v>140501</v>
      </c>
      <c r="D6" s="12">
        <v>140501</v>
      </c>
      <c r="E6" s="12">
        <v>140501</v>
      </c>
      <c r="F6" s="12">
        <v>140501</v>
      </c>
    </row>
    <row r="7" spans="1:6" x14ac:dyDescent="0.25">
      <c r="A7" s="3" t="s">
        <v>159</v>
      </c>
      <c r="B7" s="12">
        <v>58200</v>
      </c>
      <c r="C7" s="12">
        <v>61490</v>
      </c>
      <c r="D7" s="12">
        <v>65300</v>
      </c>
      <c r="E7" s="12">
        <v>69535</v>
      </c>
      <c r="F7" s="12">
        <v>74200</v>
      </c>
    </row>
    <row r="8" spans="1:6" x14ac:dyDescent="0.25">
      <c r="A8" s="3" t="s">
        <v>234</v>
      </c>
      <c r="B8" s="12">
        <v>12023</v>
      </c>
      <c r="C8" s="12">
        <v>12023</v>
      </c>
      <c r="D8" s="12">
        <v>12023</v>
      </c>
      <c r="E8" s="12">
        <v>12023</v>
      </c>
      <c r="F8" s="12">
        <v>12023</v>
      </c>
    </row>
    <row r="9" ht="24" customHeight="1" spans="1:6" x14ac:dyDescent="0.25">
      <c r="A9" s="2" t="s">
        <v>161</v>
      </c>
      <c r="B9" s="20">
        <v>210724</v>
      </c>
      <c r="C9" s="20">
        <v>214014</v>
      </c>
      <c r="D9" s="20">
        <v>217824</v>
      </c>
      <c r="E9" s="20">
        <v>222059</v>
      </c>
      <c r="F9" s="20">
        <v>226724</v>
      </c>
    </row>
    <row r="10" spans="1:6" x14ac:dyDescent="0.25">
      <c r="A10" s="4" t="s">
        <v>170</v>
      </c>
      <c r="B10" s="9">
        <v>-33623</v>
      </c>
      <c r="C10" s="9">
        <v>-8113</v>
      </c>
      <c r="D10" s="9">
        <v>24527</v>
      </c>
      <c r="E10" s="9">
        <v>67727</v>
      </c>
      <c r="F10" s="9">
        <v>114357</v>
      </c>
    </row>
    <row r="11" spans="1:6" x14ac:dyDescent="0.25">
      <c r="A11" s="3" t="s">
        <v>171</v>
      </c>
      <c r="B11" s="11">
        <v>-0.1898531902879729</v>
      </c>
      <c r="C11" s="11">
        <v>-0.0394026226323458</v>
      </c>
      <c r="D11" s="11">
        <v>0.10120486899112853</v>
      </c>
      <c r="E11" s="11">
        <v>0.23371465051676243</v>
      </c>
      <c r="F11" s="11">
        <v>0.3352791134044799</v>
      </c>
    </row>
    <row r="12" spans="1:6" x14ac:dyDescent="0.25">
      <c r="A12" s="4" t="s">
        <v>172</v>
      </c>
      <c r="B12" s="9">
        <v>-33623</v>
      </c>
      <c r="C12" s="9">
        <v>-41736</v>
      </c>
      <c r="D12" s="9">
        <v>-17209</v>
      </c>
      <c r="E12" s="9">
        <v>50518</v>
      </c>
      <c r="F12" s="9">
        <v>164875</v>
      </c>
    </row>
    <row r="13" spans="1:6" x14ac:dyDescent="0.25">
      <c r="A13" s="4" t="s">
        <v>235</v>
      </c>
      <c r="B13" s="9">
        <v>16377</v>
      </c>
      <c r="C13" s="9">
        <v>8264</v>
      </c>
      <c r="D13" s="9">
        <v>32791</v>
      </c>
      <c r="E13" s="9">
        <v>100518</v>
      </c>
      <c r="F13" s="9">
        <v>214875</v>
      </c>
    </row>
    <row r="14" spans="1:6" x14ac:dyDescent="0.25">
      <c r="A14" s="3" t="s">
        <v>236</v>
      </c>
      <c r="B14" s="12">
        <v>9839</v>
      </c>
      <c r="C14" s="12">
        <v>9359</v>
      </c>
      <c r="D14" s="12">
        <v>9321</v>
      </c>
      <c r="E14" s="12">
        <v>9348</v>
      </c>
      <c r="F14" s="12">
        <v>9474</v>
      </c>
    </row>
    <row r="15" spans="1:6" x14ac:dyDescent="0.25">
      <c r="A15" s="3" t="s">
        <v>110</v>
      </c>
      <c r="B15" s="12">
        <v>11707</v>
      </c>
      <c r="C15" s="12">
        <v>9728</v>
      </c>
      <c r="D15" s="12">
        <v>8378</v>
      </c>
      <c r="E15" s="12">
        <v>7163</v>
      </c>
      <c r="F15" s="12">
        <v>6298</v>
      </c>
    </row>
    <row r="16" spans="1:6" x14ac:dyDescent="0.25">
      <c r="A16" s="4" t="s">
        <v>188</v>
      </c>
      <c r="B16" s="24">
        <v>-1.8</v>
      </c>
      <c r="C16" s="24">
        <v>0.33</v>
      </c>
      <c r="D16" s="24">
        <v>3.04</v>
      </c>
      <c r="E16" s="24">
        <v>6.63</v>
      </c>
      <c r="F16" s="24">
        <v>10.51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Assumptions</vt:lpstr>
      <vt:lpstr>Enrollment &amp; Rev Drivers</vt:lpstr>
      <vt:lpstr>Tuition &amp; Funding Detail</vt:lpstr>
      <vt:lpstr>Staffing Plan</vt:lpstr>
      <vt:lpstr>Operating Expenses</vt:lpstr>
      <vt:lpstr>Facilities &amp; Occupancy</vt:lpstr>
      <vt:lpstr>Sources &amp; Uses</vt:lpstr>
      <vt:lpstr>Debt Schedule</vt:lpstr>
      <vt:lpstr>Cash Flow Monthly Y1</vt:lpstr>
      <vt:lpstr>5-Year P&amp;L</vt:lpstr>
      <vt:lpstr>5-Year Balance Sheet</vt:lpstr>
      <vt:lpstr>DSCR &amp; Covenants</vt:lpstr>
      <vt:lpstr>Underwriting Snapshot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 — Underwriting Export</dc:creator>
  <dc:title/>
  <dc:subject/>
  <dc:description/>
  <cp:keywords/>
  <cp:category/>
  <cp:lastModifiedBy>Unknown</cp:lastModifiedBy>
  <dcterms:created xsi:type="dcterms:W3CDTF">2026-03-15T12:01:11Z</dcterms:created>
  <dcterms:modified xsi:type="dcterms:W3CDTF">2026-03-15T12:01:11Z</dcterms:modified>
</cp:coreProperties>
</file>