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<sst xmlns="http://schemas.openxmlformats.org/spreadsheetml/2006/main" count="339" uniqueCount="237">
  <si>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</si>
  <si>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</si>
  <si>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</si>
  <si>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</si>
  <si>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</si>
  <si>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</si>
  <si>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</si>
  <si>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</si>
  <si>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</si>
  <si>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</si>
  <si>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</si>
  <si>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</si>
  <si>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</si>
  <si>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</si>
  <si>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</si>
  <si>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</si>
  <si>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</si>
  <si>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</si>
  <si>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</si>
  <si>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</si>
  <si>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</si>
  <si>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</si>
  <si>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</si>
  <si>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</si>
  <si>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</si>
  <si>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</si>
  <si>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</si>
  <si>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</si>
  <si>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</si>
  <si>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</si>
  <si>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</si>
  <si>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</si>
  <si>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</si>
  <si>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</si>
  <si>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</si>
  <si>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</si>
  <si>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</si>
  <si>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</si>
  <si>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</si>
  <si>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</si>
  <si>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</si>
  <si>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</si>
  <si>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</si>
  <si>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</si>
  <si>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</si>
  <si>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</si>
  <si>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</si>
  <si>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</si>
  <si>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</si>
  <si>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</si>
  <si>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</si>
  <si>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</si>
  <si>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</si>
  <si>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</si>
  <si>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</si>
  <si>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</si>
  <si>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</si>
  <si>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</si>
  <si>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</si>
  <si>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</si>
  <si>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</si>
  <si>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</si>
  <si>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</si>
  <si>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</si>
  <si>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</si>
  <si>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</si>
  <si>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</si>
  <si>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</si>
  <si>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</si>
  <si>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</si>
  <si>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</si>
  <si>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</si>
  <si>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</si>
  <si>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</si>
  <si>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</si>
  <si>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</si>
  <si>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</si>
  <si>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</si>
  <si>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</si>
  <si>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</si>
  <si>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</si>
  <si>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</si>
  <si>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</si>
  <si>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</si>
  <si>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</si>
  <si>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</si>
  <si>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</si>
  <si>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</si>
  <si>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</si>
  <si>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</si>
  <si>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</si>
  <si>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</si>
  <si>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</si>
  <si>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</si>
  <si>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</si>
  <si>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</si>
  <si>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</si>
  <si>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</si>
  <si>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</si>
  <si>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</si>
  <si>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</si>
  <si>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</si>
  <si>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</si>
  <si>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</si>
  <si>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</si>
  <si>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</si>
  <si>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</si>
  <si>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</si>
  <si>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</si>
  <si>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</si>
  <si>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</si>
  <si>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</si>
  <si>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</si>
  <si>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</si>
  <si>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</si>
  <si>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</si>
  <si>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</si>
  <si>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</si>
  <si>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</si>
  <si>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Deposits &amp; Prepaid Occupancy (2 mo)</t>
  </si>
  <si>
    <t>Occupancy / Facility Costs (Year 1)</t>
  </si>
  <si>
    <t>Equipment / FF&amp;E / Technology</t>
  </si>
  <si>
    <t>Curriculum &amp; Program Launch Costs</t>
  </si>
  <si>
    <t>Professional Fees &amp; Administration</t>
  </si>
  <si>
    <t>Year 1 Debt Service</t>
  </si>
  <si>
    <t>Working Capital Reserve (2 mo)</t>
  </si>
  <si>
    <t>Contingency (5%)</t>
  </si>
  <si>
    <t>TOTAL USES</t>
  </si>
  <si>
    <t>SOURCES − USES (SURPLUS / GAP)</t>
  </si>
  <si>
    <t>⚠ Funding gap — additional sources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</si>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</sst>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</v>
      </c>
      <c r="D3" s="11">
        <f>IF(C2=0,"—",(D2-C2)/C2)</f>
        <v>0.18</v>
      </c>
      <c r="E3" s="11">
        <f>IF(D2=0,"—",(E2-D2)/D2)</f>
        <v>0.19</v>
      </c>
      <c r="F3" s="11">
        <f>IF(E2=0,"—",(F2-E2)/E2)</f>
        <v>0.16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1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84</v>
      </c>
      <c r="B10" s="15">
        <v>140501</v>
      </c>
    </row>
    <row r="11" spans="1:2" x14ac:dyDescent="0.25">
      <c r="A11" s="3" t="s">
        <v>119</v>
      </c>
      <c r="B11" s="15">
        <v>5700</v>
      </c>
    </row>
    <row r="12" spans="1:2" x14ac:dyDescent="0.25">
      <c r="A12" s="3" t="s">
        <v>120</v>
      </c>
      <c r="B12" s="15">
        <v>34200</v>
      </c>
    </row>
    <row r="13" spans="1:2" x14ac:dyDescent="0.25">
      <c r="A13" s="3" t="s">
        <v>121</v>
      </c>
      <c r="B13" s="15">
        <v>1200</v>
      </c>
    </row>
    <row r="14" spans="1:2" x14ac:dyDescent="0.25">
      <c r="A14" s="3" t="s">
        <v>122</v>
      </c>
      <c r="B14" s="15">
        <v>9000</v>
      </c>
    </row>
    <row r="15" spans="1:2" x14ac:dyDescent="0.25">
      <c r="A15" s="3" t="s">
        <v>123</v>
      </c>
      <c r="B15" s="15">
        <v>12600</v>
      </c>
    </row>
    <row r="16" spans="1:2" x14ac:dyDescent="0.25">
      <c r="A16" s="3" t="s">
        <v>124</v>
      </c>
      <c r="B16" s="15">
        <v>12023</v>
      </c>
    </row>
    <row r="17" spans="1:2" x14ac:dyDescent="0.25">
      <c r="A17" s="3" t="s">
        <v>125</v>
      </c>
      <c r="B17" s="15">
        <v>33117</v>
      </c>
    </row>
    <row r="18" spans="1:2" x14ac:dyDescent="0.25">
      <c r="A18" s="3" t="s">
        <v>126</v>
      </c>
      <c r="B18" s="15">
        <v>12417</v>
      </c>
    </row>
    <row r="19" ht="24" customHeight="1" spans="1:2" x14ac:dyDescent="0.25">
      <c r="A19" s="2" t="s">
        <v>127</v>
      </c>
      <c r="B19" s="20">
        <f>SUM(B10:B18)</f>
        <v>260758</v>
      </c>
    </row>
    <row r="21" spans="1:2" x14ac:dyDescent="0.25">
      <c r="A21" s="4" t="s">
        <v>128</v>
      </c>
      <c r="B21" s="21">
        <f>B7-B19</f>
        <v>-33658</v>
      </c>
    </row>
    <row r="22" spans="1:1" x14ac:dyDescent="0.25">
      <c r="A22" s="22" t="s">
        <v>129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131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</row>
    <row r="4" spans="1:7" x14ac:dyDescent="0.25">
      <c r="A4" s="3" t="s">
        <v>138</v>
      </c>
      <c r="B4" s="12">
        <v>50000</v>
      </c>
      <c r="C4" s="11">
        <v>0.075</v>
      </c>
      <c r="D4" s="23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139</v>
      </c>
      <c r="B6" s="2"/>
      <c r="C6" s="2"/>
      <c r="D6" s="2"/>
      <c r="E6" s="2"/>
      <c r="F6" s="2"/>
      <c r="G6" s="2"/>
    </row>
    <row r="7" spans="1:2" x14ac:dyDescent="0.25">
      <c r="A7" s="4" t="s">
        <v>140</v>
      </c>
      <c r="B7" s="5">
        <v>12023</v>
      </c>
    </row>
    <row r="8" spans="1:2" x14ac:dyDescent="0.25">
      <c r="A8" s="3" t="s">
        <v>141</v>
      </c>
      <c r="B8" s="17">
        <v>1002</v>
      </c>
    </row>
    <row r="10" ht="24" customHeight="1" spans="1:7" x14ac:dyDescent="0.25">
      <c r="A10" s="2" t="s">
        <v>142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143</v>
      </c>
      <c r="B11" s="8" t="s">
        <v>144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152</v>
      </c>
      <c r="K1" s="8" t="s">
        <v>153</v>
      </c>
      <c r="L1" s="8" t="s">
        <v>154</v>
      </c>
      <c r="M1" s="8" t="s">
        <v>155</v>
      </c>
      <c r="N1" s="8" t="s">
        <v>156</v>
      </c>
    </row>
    <row r="2" spans="1:14" x14ac:dyDescent="0.25">
      <c r="A2" s="4" t="s">
        <v>157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158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159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160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161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162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163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164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165</v>
      </c>
      <c r="B11" s="17">
        <v>50000</v>
      </c>
    </row>
    <row r="12" spans="1:2" x14ac:dyDescent="0.25">
      <c r="A12" s="3" t="s">
        <v>166</v>
      </c>
      <c r="B12" s="5">
        <f>M8</f>
        <v>16380</v>
      </c>
    </row>
    <row r="13" spans="1:2" x14ac:dyDescent="0.25">
      <c r="A13" s="3" t="s">
        <v>167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168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158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159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169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161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170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171</v>
      </c>
      <c r="B8" s="11">
        <f>IF(B2=0,0,B7/B2)</f>
        <v>-0.19</v>
      </c>
      <c r="C8" s="11">
        <f>IF(C2=0,0,C7/C2)</f>
        <v>-0.04</v>
      </c>
      <c r="D8" s="11">
        <f>IF(D2=0,0,D7/D2)</f>
        <v>0.1</v>
      </c>
      <c r="E8" s="11">
        <f>IF(E2=0,0,E7/E2)</f>
        <v>0.23</v>
      </c>
      <c r="F8" s="11">
        <f>IF(F2=0,0,F7/F2)</f>
        <v>0.34</v>
      </c>
    </row>
    <row r="9" spans="1:6" x14ac:dyDescent="0.25">
      <c r="A9" s="4" t="s">
        <v>172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173</v>
      </c>
      <c r="B2" s="2"/>
      <c r="C2" s="2"/>
      <c r="D2" s="2"/>
      <c r="E2" s="2"/>
      <c r="F2" s="2"/>
    </row>
    <row r="3" spans="1:6" x14ac:dyDescent="0.25">
      <c r="A3" s="3" t="s">
        <v>174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175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176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177</v>
      </c>
      <c r="B7" s="2"/>
      <c r="C7" s="2"/>
      <c r="D7" s="2"/>
      <c r="E7" s="2"/>
      <c r="F7" s="2"/>
    </row>
    <row r="8" spans="1:6" x14ac:dyDescent="0.25">
      <c r="A8" s="3" t="s">
        <v>178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179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180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181</v>
      </c>
      <c r="B12" s="2"/>
      <c r="C12" s="2"/>
      <c r="D12" s="2"/>
      <c r="E12" s="2"/>
      <c r="F12" s="2"/>
    </row>
    <row r="13" spans="1:6" x14ac:dyDescent="0.25">
      <c r="A13" s="3" t="s">
        <v>182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183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184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185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186</v>
      </c>
      <c r="B2" s="2"/>
      <c r="C2" s="2"/>
      <c r="D2" s="2"/>
      <c r="E2" s="2"/>
      <c r="F2" s="2"/>
    </row>
    <row r="3" spans="1:6" x14ac:dyDescent="0.25">
      <c r="A3" s="3" t="s">
        <v>187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140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188</v>
      </c>
      <c r="B5" s="24">
        <f>IF(B4=0,"N/A",B3/B4)</f>
        <v>-1.8</v>
      </c>
      <c r="C5" s="24">
        <f>IF(C4=0,"N/A",C3/C4)</f>
        <v>0.33</v>
      </c>
      <c r="D5" s="24">
        <f>IF(D4=0,"N/A",D3/D4)</f>
        <v>3.04</v>
      </c>
      <c r="E5" s="24">
        <f>IF(E4=0,"N/A",E3/E4)</f>
        <v>6.63</v>
      </c>
      <c r="F5" s="24">
        <f>IF(F4=0,"N/A",F3/F4)</f>
        <v>10.51</v>
      </c>
    </row>
    <row r="7" ht="24" customHeight="1" spans="1:6" x14ac:dyDescent="0.25">
      <c r="A7" s="2" t="s">
        <v>189</v>
      </c>
      <c r="B7" s="2"/>
      <c r="C7" s="2"/>
      <c r="D7" s="2"/>
      <c r="E7" s="2"/>
      <c r="F7" s="2"/>
    </row>
    <row r="8" spans="1:6" x14ac:dyDescent="0.25">
      <c r="A8" s="3" t="s">
        <v>190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191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192</v>
      </c>
      <c r="B10" s="25">
        <f>IF(B9=0,0,B8/B9)</f>
        <v>0.99</v>
      </c>
      <c r="C10" s="25">
        <f>IF(C9=0,0,C8/C9)</f>
        <v>0.49</v>
      </c>
      <c r="D10" s="25">
        <f>IF(D9=0,0,D8/D9)</f>
        <v>1.91</v>
      </c>
      <c r="E10" s="25">
        <f>IF(E9=0,0,E8/E9)</f>
        <v>5.74</v>
      </c>
      <c r="F10" s="25">
        <f>IF(F9=0,0,F8/F9)</f>
        <v>12.01</v>
      </c>
    </row>
    <row r="11" spans="1:6" x14ac:dyDescent="0.25">
      <c r="A11" s="3" t="s">
        <v>193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194</v>
      </c>
      <c r="B13" s="2"/>
      <c r="C13" s="2"/>
      <c r="D13" s="2"/>
      <c r="E13" s="2"/>
      <c r="F13" s="2"/>
    </row>
    <row r="14" spans="1:6" x14ac:dyDescent="0.25">
      <c r="A14" s="3" t="s">
        <v>195</v>
      </c>
      <c r="B14" s="26" t="s">
        <v>196</v>
      </c>
      <c r="C14" s="26" t="s">
        <v>196</v>
      </c>
      <c r="D14" s="27" t="s">
        <v>197</v>
      </c>
      <c r="E14" s="27" t="s">
        <v>197</v>
      </c>
      <c r="F14" s="27" t="s">
        <v>197</v>
      </c>
    </row>
    <row r="15" spans="1:6" x14ac:dyDescent="0.25">
      <c r="A15" s="3" t="s">
        <v>198</v>
      </c>
      <c r="B15" s="26" t="s">
        <v>196</v>
      </c>
      <c r="C15" s="26" t="s">
        <v>196</v>
      </c>
      <c r="D15" s="26" t="s">
        <v>196</v>
      </c>
      <c r="E15" s="27" t="s">
        <v>197</v>
      </c>
      <c r="F15" s="27" t="s">
        <v>197</v>
      </c>
    </row>
    <row r="16" spans="1:6" x14ac:dyDescent="0.25">
      <c r="A16" s="3" t="s">
        <v>199</v>
      </c>
      <c r="B16" s="26" t="s">
        <v>196</v>
      </c>
      <c r="C16" s="26" t="s">
        <v>196</v>
      </c>
      <c r="D16" s="27" t="s">
        <v>197</v>
      </c>
      <c r="E16" s="27" t="s">
        <v>197</v>
      </c>
      <c r="F16" s="27" t="s">
        <v>197</v>
      </c>
    </row>
    <row r="17" spans="1:6" x14ac:dyDescent="0.25">
      <c r="A17" s="3" t="s">
        <v>200</v>
      </c>
      <c r="B17" s="26" t="s">
        <v>196</v>
      </c>
      <c r="C17" s="26" t="s">
        <v>196</v>
      </c>
      <c r="D17" s="26" t="s">
        <v>196</v>
      </c>
      <c r="E17" s="26" t="s">
        <v>196</v>
      </c>
      <c r="F17" s="27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201</v>
      </c>
      <c r="B1" s="28"/>
      <c r="C1" s="28"/>
    </row>
    <row r="2" spans="1:3" x14ac:dyDescent="0.25">
      <c r="A2" s="29" t="s">
        <v>202</v>
      </c>
      <c r="B2" s="29"/>
      <c r="C2" s="29"/>
    </row>
    <row r="4" ht="24" customHeight="1" spans="1:3" x14ac:dyDescent="0.25">
      <c r="A4" s="2" t="s">
        <v>203</v>
      </c>
      <c r="B4" s="2"/>
      <c r="C4" s="2"/>
    </row>
    <row r="5" spans="1:3" x14ac:dyDescent="0.25">
      <c r="A5" s="3" t="s">
        <v>204</v>
      </c>
      <c r="B5" s="26" t="s">
        <v>196</v>
      </c>
      <c r="C5" s="3" t="s">
        <v>205</v>
      </c>
    </row>
    <row r="6" spans="1:3" x14ac:dyDescent="0.25">
      <c r="A6" s="3" t="s">
        <v>206</v>
      </c>
      <c r="B6" s="26" t="s">
        <v>196</v>
      </c>
      <c r="C6" s="3" t="s">
        <v>207</v>
      </c>
    </row>
    <row r="7" spans="1:3" x14ac:dyDescent="0.25">
      <c r="A7" s="3" t="s">
        <v>208</v>
      </c>
      <c r="B7" s="26" t="s">
        <v>196</v>
      </c>
      <c r="C7" s="3" t="s">
        <v>209</v>
      </c>
    </row>
    <row r="8" spans="1:3" x14ac:dyDescent="0.25">
      <c r="A8" s="3" t="s">
        <v>210</v>
      </c>
      <c r="B8" s="27" t="s">
        <v>197</v>
      </c>
      <c r="C8" s="3" t="s">
        <v>31</v>
      </c>
    </row>
    <row r="9" spans="1:3" x14ac:dyDescent="0.25">
      <c r="A9" s="3" t="s">
        <v>211</v>
      </c>
      <c r="B9" s="26" t="s">
        <v>196</v>
      </c>
      <c r="C9" s="3" t="s">
        <v>212</v>
      </c>
    </row>
    <row r="10" spans="1:3" x14ac:dyDescent="0.25">
      <c r="A10" s="3" t="s">
        <v>213</v>
      </c>
      <c r="B10" s="27" t="s">
        <v>197</v>
      </c>
      <c r="C10" s="3" t="s">
        <v>214</v>
      </c>
    </row>
    <row r="12" ht="24" customHeight="1" spans="1:3" x14ac:dyDescent="0.25">
      <c r="A12" s="2" t="s">
        <v>215</v>
      </c>
      <c r="B12" s="2"/>
      <c r="C12" s="2"/>
    </row>
    <row r="13" spans="1:2" x14ac:dyDescent="0.25">
      <c r="A13" s="3" t="s">
        <v>216</v>
      </c>
      <c r="B13" s="4" t="s">
        <v>217</v>
      </c>
    </row>
    <row r="14" spans="1:2" x14ac:dyDescent="0.25">
      <c r="A14" s="3" t="s">
        <v>218</v>
      </c>
      <c r="B14" s="30" t="s">
        <v>219</v>
      </c>
    </row>
    <row r="16" ht="24" customHeight="1" spans="1:3" x14ac:dyDescent="0.25">
      <c r="A16" s="2" t="s">
        <v>220</v>
      </c>
      <c r="B16" s="2"/>
      <c r="C16" s="2"/>
    </row>
    <row r="17" spans="1:2" x14ac:dyDescent="0.25">
      <c r="A17" s="3" t="s">
        <v>221</v>
      </c>
      <c r="B17" s="5">
        <v>177100</v>
      </c>
    </row>
    <row r="18" spans="1:2" x14ac:dyDescent="0.25">
      <c r="A18" s="3" t="s">
        <v>222</v>
      </c>
      <c r="B18" s="5">
        <v>210724</v>
      </c>
    </row>
    <row r="19" spans="1:2" x14ac:dyDescent="0.25">
      <c r="A19" s="3" t="s">
        <v>223</v>
      </c>
      <c r="B19" s="5">
        <v>-33623</v>
      </c>
    </row>
    <row r="20" spans="1:2" x14ac:dyDescent="0.25">
      <c r="A20" s="3" t="s">
        <v>224</v>
      </c>
      <c r="B20" s="6">
        <v>-0.1898531902879729</v>
      </c>
    </row>
    <row r="21" spans="1:2" x14ac:dyDescent="0.25">
      <c r="A21" s="3" t="s">
        <v>165</v>
      </c>
      <c r="B21" s="5">
        <v>50000</v>
      </c>
    </row>
    <row r="22" spans="1:2" x14ac:dyDescent="0.25">
      <c r="A22" s="3" t="s">
        <v>225</v>
      </c>
      <c r="B22" s="5">
        <v>16377</v>
      </c>
    </row>
    <row r="23" spans="1:2" x14ac:dyDescent="0.25">
      <c r="A23" s="3" t="s">
        <v>226</v>
      </c>
      <c r="B23" s="5">
        <v>50000</v>
      </c>
    </row>
    <row r="24" spans="1:2" x14ac:dyDescent="0.25">
      <c r="A24" s="3" t="s">
        <v>227</v>
      </c>
      <c r="B24" s="4" t="s">
        <v>205</v>
      </c>
    </row>
    <row r="25" spans="1:2" x14ac:dyDescent="0.25">
      <c r="A25" s="3" t="s">
        <v>228</v>
      </c>
      <c r="B25" s="4" t="s">
        <v>229</v>
      </c>
    </row>
    <row r="26" spans="1:2" x14ac:dyDescent="0.25">
      <c r="A26" s="3" t="s">
        <v>230</v>
      </c>
      <c r="B26" s="4" t="s">
        <v>31</v>
      </c>
    </row>
    <row r="27" spans="1:2" x14ac:dyDescent="0.25">
      <c r="A27" s="3" t="s">
        <v>231</v>
      </c>
      <c r="B27" s="5">
        <v>9839</v>
      </c>
    </row>
    <row r="28" spans="1:2" x14ac:dyDescent="0.25">
      <c r="A28" s="3" t="s">
        <v>232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233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168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158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159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234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161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170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171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172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235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236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188</v>
      </c>
      <c r="B16" s="24">
        <v>-1.8</v>
      </c>
      <c r="C16" s="24">
        <v>0.33</v>
      </c>
      <c r="D16" s="24">
        <v>3.04</v>
      </c>
      <c r="E16" s="24">
        <v>6.63</v>
      </c>
      <c r="F16" s="24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2026-03-15T12:42:55Z</dcterms:created>
  <dcterms:modified xsi:type="dcterms:W3CDTF">2026-03-15T12:42:55Z</dcterms:modified>
</cp:coreProperties>
</file>