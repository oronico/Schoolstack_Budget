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<sst xmlns="http://schemas.openxmlformats.org/spreadsheetml/2006/main" count="766" uniqueCount="428">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</sst>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0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6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0" fontId="17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8" fillId="0" borderId="1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600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8500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750</v>
      </c>
      <c r="E22" s="18">
        <v>0</v>
      </c>
    </row>
    <row r="23" spans="1:5" x14ac:dyDescent="0.25">
      <c r="A23" s="4" t="s">
        <v>111</v>
      </c>
      <c r="B23" s="4" t="s">
        <v>108</v>
      </c>
      <c r="C23" s="4" t="s">
        <v>109</v>
      </c>
      <c r="D23" s="17">
        <v>1100</v>
      </c>
      <c r="E23" s="18">
        <v>0</v>
      </c>
    </row>
    <row r="24" spans="1:5" x14ac:dyDescent="0.25">
      <c r="A24" s="4" t="s">
        <v>112</v>
      </c>
      <c r="B24" s="4" t="s">
        <v>113</v>
      </c>
      <c r="C24" s="4" t="s">
        <v>114</v>
      </c>
      <c r="D24" s="17">
        <v>150000</v>
      </c>
      <c r="E24" s="18">
        <v>0</v>
      </c>
    </row>
    <row r="25" spans="1:5" x14ac:dyDescent="0.25">
      <c r="A25" s="4" t="s">
        <v>115</v>
      </c>
      <c r="B25" s="4" t="s">
        <v>113</v>
      </c>
      <c r="C25" s="4" t="s">
        <v>114</v>
      </c>
      <c r="D25" s="17">
        <v>25000</v>
      </c>
      <c r="E25" s="18">
        <v>0</v>
      </c>
    </row>
    <row r="26" spans="1:5" x14ac:dyDescent="0.25">
      <c r="A26" s="4" t="s">
        <v>116</v>
      </c>
      <c r="B26" s="4" t="s">
        <v>117</v>
      </c>
      <c r="C26" s="4" t="s">
        <v>109</v>
      </c>
      <c r="D26" s="17">
        <v>400</v>
      </c>
      <c r="E26" s="18">
        <v>0</v>
      </c>
    </row>
    <row r="28" ht="24" customHeight="1" spans="1:7" x14ac:dyDescent="0.25">
      <c r="A28" s="13" t="s">
        <v>118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119</v>
      </c>
      <c r="B29" s="15" t="s">
        <v>103</v>
      </c>
      <c r="C29" s="15" t="s">
        <v>120</v>
      </c>
      <c r="D29" s="15" t="s">
        <v>121</v>
      </c>
      <c r="E29" s="15" t="s">
        <v>122</v>
      </c>
      <c r="F29" s="15" t="s">
        <v>123</v>
      </c>
      <c r="G29" s="15" t="s">
        <v>124</v>
      </c>
    </row>
    <row r="30" spans="1:7" x14ac:dyDescent="0.25">
      <c r="A30" s="4" t="s">
        <v>125</v>
      </c>
      <c r="B30" s="4" t="s">
        <v>126</v>
      </c>
      <c r="C30" s="4" t="s">
        <v>127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128</v>
      </c>
      <c r="B31" s="4" t="s">
        <v>126</v>
      </c>
      <c r="C31" s="4" t="s">
        <v>127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129</v>
      </c>
      <c r="B32" s="4" t="s">
        <v>130</v>
      </c>
      <c r="C32" s="4" t="s">
        <v>127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131</v>
      </c>
      <c r="B33" s="4" t="s">
        <v>130</v>
      </c>
      <c r="C33" s="4" t="s">
        <v>127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132</v>
      </c>
      <c r="B34" s="4" t="s">
        <v>130</v>
      </c>
      <c r="C34" s="4" t="s">
        <v>127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133</v>
      </c>
      <c r="B35" s="4" t="s">
        <v>134</v>
      </c>
      <c r="C35" s="4" t="s">
        <v>127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127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137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102</v>
      </c>
      <c r="B39" s="15" t="s">
        <v>103</v>
      </c>
      <c r="C39" s="15" t="s">
        <v>104</v>
      </c>
      <c r="D39" s="15" t="s">
        <v>105</v>
      </c>
      <c r="E39" s="15" t="s">
        <v>106</v>
      </c>
    </row>
    <row r="40" spans="1:5" x14ac:dyDescent="0.25">
      <c r="A40" s="4" t="s">
        <v>138</v>
      </c>
      <c r="B40" s="4" t="s">
        <v>139</v>
      </c>
      <c r="C40" s="4" t="s">
        <v>140</v>
      </c>
      <c r="D40" s="17">
        <v>22000</v>
      </c>
      <c r="E40" s="18">
        <v>0.03</v>
      </c>
    </row>
    <row r="41" spans="1:5" x14ac:dyDescent="0.25">
      <c r="A41" s="4" t="s">
        <v>141</v>
      </c>
      <c r="B41" s="4" t="s">
        <v>139</v>
      </c>
      <c r="C41" s="4" t="s">
        <v>140</v>
      </c>
      <c r="D41" s="17">
        <v>3000</v>
      </c>
      <c r="E41" s="18">
        <v>0</v>
      </c>
    </row>
    <row r="42" spans="1:5" x14ac:dyDescent="0.25">
      <c r="A42" s="4" t="s">
        <v>142</v>
      </c>
      <c r="B42" s="4" t="s">
        <v>139</v>
      </c>
      <c r="C42" s="4" t="s">
        <v>114</v>
      </c>
      <c r="D42" s="17">
        <v>22000</v>
      </c>
      <c r="E42" s="18">
        <v>0</v>
      </c>
    </row>
    <row r="43" spans="1:5" x14ac:dyDescent="0.25">
      <c r="A43" s="4" t="s">
        <v>143</v>
      </c>
      <c r="B43" s="4" t="s">
        <v>144</v>
      </c>
      <c r="C43" s="4" t="s">
        <v>109</v>
      </c>
      <c r="D43" s="17">
        <v>650</v>
      </c>
      <c r="E43" s="18">
        <v>0</v>
      </c>
    </row>
    <row r="44" spans="1:5" x14ac:dyDescent="0.25">
      <c r="A44" s="4" t="s">
        <v>145</v>
      </c>
      <c r="B44" s="4" t="s">
        <v>146</v>
      </c>
      <c r="C44" s="4" t="s">
        <v>109</v>
      </c>
      <c r="D44" s="17">
        <v>450</v>
      </c>
      <c r="E44" s="18">
        <v>0</v>
      </c>
    </row>
    <row r="45" spans="1:5" x14ac:dyDescent="0.25">
      <c r="A45" s="4" t="s">
        <v>147</v>
      </c>
      <c r="B45" s="4" t="s">
        <v>148</v>
      </c>
      <c r="C45" s="4" t="s">
        <v>114</v>
      </c>
      <c r="D45" s="17">
        <v>30000</v>
      </c>
      <c r="E45" s="18">
        <v>0</v>
      </c>
    </row>
    <row r="46" spans="1:5" x14ac:dyDescent="0.25">
      <c r="A46" s="4" t="s">
        <v>149</v>
      </c>
      <c r="B46" s="4" t="s">
        <v>148</v>
      </c>
      <c r="C46" s="4" t="s">
        <v>114</v>
      </c>
      <c r="D46" s="17">
        <v>12000</v>
      </c>
      <c r="E46" s="18">
        <v>0</v>
      </c>
    </row>
    <row r="47" spans="1:5" x14ac:dyDescent="0.25">
      <c r="A47" s="4" t="s">
        <v>150</v>
      </c>
      <c r="B47" s="4" t="s">
        <v>148</v>
      </c>
      <c r="C47" s="4" t="s">
        <v>114</v>
      </c>
      <c r="D47" s="17">
        <v>18000</v>
      </c>
      <c r="E47" s="18">
        <v>0</v>
      </c>
    </row>
    <row r="48" spans="1:5" x14ac:dyDescent="0.25">
      <c r="A48" s="4" t="s">
        <v>151</v>
      </c>
      <c r="B48" s="4" t="s">
        <v>148</v>
      </c>
      <c r="C48" s="4" t="s">
        <v>109</v>
      </c>
      <c r="D48" s="17">
        <v>750</v>
      </c>
      <c r="E48" s="18">
        <v>0</v>
      </c>
    </row>
    <row r="50" ht="24" customHeight="1" spans="1:7" x14ac:dyDescent="0.25">
      <c r="A50" s="13" t="s">
        <v>152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153</v>
      </c>
      <c r="B51" s="15" t="s">
        <v>120</v>
      </c>
      <c r="C51" s="15" t="s">
        <v>154</v>
      </c>
      <c r="D51" s="15" t="s">
        <v>122</v>
      </c>
      <c r="E51" s="15" t="s">
        <v>155</v>
      </c>
    </row>
    <row r="52" spans="1:5" x14ac:dyDescent="0.25">
      <c r="A52" s="4" t="s">
        <v>156</v>
      </c>
      <c r="B52" s="4" t="s">
        <v>157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158</v>
      </c>
      <c r="B53" s="4" t="s">
        <v>159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160</v>
      </c>
      <c r="B55" s="13"/>
      <c r="C55" s="13"/>
      <c r="D55" s="13"/>
      <c r="E55" s="13"/>
      <c r="F55" s="13"/>
      <c r="G55" s="13"/>
    </row>
    <row r="56" spans="1:3" x14ac:dyDescent="0.25">
      <c r="A56" s="4" t="s">
        <v>161</v>
      </c>
      <c r="B56" s="18">
        <v>0.03</v>
      </c>
      <c r="C56" s="20" t="s">
        <v>162</v>
      </c>
    </row>
    <row r="57" spans="1:3" x14ac:dyDescent="0.25">
      <c r="A57" s="4" t="s">
        <v>163</v>
      </c>
      <c r="B57" s="18">
        <v>0.03</v>
      </c>
      <c r="C57" s="20" t="s">
        <v>164</v>
      </c>
    </row>
    <row r="58" spans="1:2" x14ac:dyDescent="0.25">
      <c r="A58" s="4" t="s">
        <v>165</v>
      </c>
      <c r="B58" s="19">
        <v>0.8333333333333334</v>
      </c>
    </row>
    <row r="59" spans="1:2" x14ac:dyDescent="0.25">
      <c r="A59" s="4" t="s">
        <v>166</v>
      </c>
      <c r="B59" s="17">
        <v>0</v>
      </c>
    </row>
    <row r="60" spans="1:2" x14ac:dyDescent="0.25">
      <c r="A60" s="4" t="s">
        <v>167</v>
      </c>
      <c r="B60" s="14" t="s">
        <v>168</v>
      </c>
    </row>
    <row r="62" ht="24" customHeight="1" spans="1:7" x14ac:dyDescent="0.25">
      <c r="A62" s="13" t="s">
        <v>169</v>
      </c>
      <c r="B62" s="13"/>
      <c r="C62" s="13"/>
      <c r="D62" s="13"/>
      <c r="E62" s="13"/>
      <c r="F62" s="13"/>
      <c r="G62" s="13"/>
    </row>
    <row r="63" spans="1:2" x14ac:dyDescent="0.25">
      <c r="A63" s="4" t="s">
        <v>170</v>
      </c>
      <c r="B63" s="14" t="s">
        <v>171</v>
      </c>
    </row>
    <row r="64" spans="1:2" x14ac:dyDescent="0.25">
      <c r="A64" s="4" t="s">
        <v>172</v>
      </c>
      <c r="B64" s="14" t="s">
        <v>140</v>
      </c>
    </row>
    <row r="65" spans="1:2" x14ac:dyDescent="0.25">
      <c r="A65" s="4" t="s">
        <v>173</v>
      </c>
      <c r="B65" s="16">
        <v>0</v>
      </c>
    </row>
    <row r="66" spans="1:2" x14ac:dyDescent="0.25">
      <c r="A66" s="4" t="s">
        <v>174</v>
      </c>
      <c r="B66" s="16">
        <v>0</v>
      </c>
    </row>
    <row r="67" spans="1:2" x14ac:dyDescent="0.25">
      <c r="A67" s="4" t="s">
        <v>175</v>
      </c>
      <c r="B67" s="21">
        <v>0.95</v>
      </c>
    </row>
    <row r="69" ht="28" customHeight="1" spans="1:4" x14ac:dyDescent="0.25">
      <c r="A69" s="15" t="s">
        <v>176</v>
      </c>
      <c r="B69" s="15" t="s">
        <v>177</v>
      </c>
      <c r="C69" s="15" t="s">
        <v>178</v>
      </c>
      <c r="D69" s="15" t="s">
        <v>179</v>
      </c>
    </row>
    <row r="70" spans="1:4" x14ac:dyDescent="0.25">
      <c r="A70" s="4" t="s">
        <v>180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181</v>
      </c>
      <c r="B72" s="15" t="s">
        <v>95</v>
      </c>
      <c r="C72" s="15" t="s">
        <v>96</v>
      </c>
      <c r="D72" s="15" t="s">
        <v>97</v>
      </c>
      <c r="E72" s="15" t="s">
        <v>98</v>
      </c>
      <c r="F72" s="15" t="s">
        <v>99</v>
      </c>
    </row>
    <row r="73" spans="1:6" x14ac:dyDescent="0.25">
      <c r="A73" s="4" t="s">
        <v>182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183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184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185</v>
      </c>
      <c r="B3" s="4" t="s">
        <v>186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187</v>
      </c>
      <c r="B6" s="4" t="s">
        <v>188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189</v>
      </c>
      <c r="B8" s="4" t="s">
        <v>17</v>
      </c>
    </row>
    <row r="9" spans="1:2" x14ac:dyDescent="0.25">
      <c r="A9" s="3" t="s">
        <v>92</v>
      </c>
      <c r="B9" s="4" t="s">
        <v>190</v>
      </c>
    </row>
    <row r="10" spans="1:2" x14ac:dyDescent="0.25">
      <c r="A10" s="3" t="s">
        <v>191</v>
      </c>
      <c r="B10" s="4" t="s">
        <v>192</v>
      </c>
    </row>
    <row r="11" spans="1:2" x14ac:dyDescent="0.25">
      <c r="A11" s="3" t="s">
        <v>193</v>
      </c>
      <c r="B11" s="4" t="s">
        <v>194</v>
      </c>
    </row>
    <row r="12" spans="1:2" x14ac:dyDescent="0.25">
      <c r="A12" s="3" t="s">
        <v>167</v>
      </c>
      <c r="B12" s="4" t="s">
        <v>168</v>
      </c>
    </row>
    <row r="13" spans="1:2" x14ac:dyDescent="0.25">
      <c r="A13" s="3" t="s">
        <v>93</v>
      </c>
      <c r="B13" s="4" t="s">
        <v>195</v>
      </c>
    </row>
    <row r="14" spans="1:2" x14ac:dyDescent="0.25">
      <c r="A14" s="3" t="s">
        <v>196</v>
      </c>
      <c r="B14" s="4" t="s">
        <v>197</v>
      </c>
    </row>
    <row r="15" spans="1:2" x14ac:dyDescent="0.25">
      <c r="A15" s="3" t="s">
        <v>198</v>
      </c>
      <c r="B15" s="4" t="s">
        <v>199</v>
      </c>
    </row>
    <row r="16" spans="1:2" x14ac:dyDescent="0.25">
      <c r="A16" s="3" t="s">
        <v>200</v>
      </c>
      <c r="B16" s="4" t="s">
        <v>201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5" ht="24" customHeight="1" spans="1:6" x14ac:dyDescent="0.25">
      <c r="A5" s="13" t="s">
        <v>202</v>
      </c>
      <c r="B5" s="13"/>
      <c r="C5" s="13"/>
      <c r="D5" s="13"/>
      <c r="E5" s="13"/>
      <c r="F5" s="13"/>
    </row>
    <row r="6" spans="1:6" x14ac:dyDescent="0.25">
      <c r="A6" s="3" t="s">
        <v>100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93</v>
      </c>
      <c r="B7" s="23">
        <v>600</v>
      </c>
    </row>
    <row r="8" spans="1:6" x14ac:dyDescent="0.25">
      <c r="A8" s="4" t="s">
        <v>203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204</v>
      </c>
      <c r="B10" s="4" t="s">
        <v>205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209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210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211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212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213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214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119</v>
      </c>
      <c r="B3" s="15" t="s">
        <v>103</v>
      </c>
      <c r="C3" s="15" t="s">
        <v>121</v>
      </c>
      <c r="D3" s="15" t="s">
        <v>215</v>
      </c>
      <c r="E3" s="15" t="s">
        <v>123</v>
      </c>
      <c r="F3" s="15" t="s">
        <v>124</v>
      </c>
      <c r="G3" s="15" t="s">
        <v>216</v>
      </c>
    </row>
    <row r="4" spans="1:7" x14ac:dyDescent="0.25">
      <c r="A4" s="4" t="s">
        <v>125</v>
      </c>
      <c r="B4" s="4" t="s">
        <v>126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128</v>
      </c>
      <c r="B5" s="4" t="s">
        <v>126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129</v>
      </c>
      <c r="B6" s="4" t="s">
        <v>130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131</v>
      </c>
      <c r="B7" s="4" t="s">
        <v>130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132</v>
      </c>
      <c r="B8" s="4" t="s">
        <v>130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133</v>
      </c>
      <c r="B9" s="4" t="s">
        <v>134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135</v>
      </c>
      <c r="B10" s="4" t="s">
        <v>136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217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69</v>
      </c>
      <c r="B13" s="15" t="s">
        <v>95</v>
      </c>
      <c r="C13" s="15" t="s">
        <v>96</v>
      </c>
      <c r="D13" s="15" t="s">
        <v>97</v>
      </c>
      <c r="E13" s="15" t="s">
        <v>98</v>
      </c>
      <c r="F13" s="15" t="s">
        <v>99</v>
      </c>
    </row>
    <row r="14" spans="1:6" x14ac:dyDescent="0.25">
      <c r="A14" s="3" t="s">
        <v>218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219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220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144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223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146</v>
      </c>
      <c r="B7" s="13"/>
      <c r="C7" s="13"/>
      <c r="D7" s="13"/>
      <c r="E7" s="13"/>
      <c r="F7" s="13"/>
    </row>
    <row r="8" spans="1:6" x14ac:dyDescent="0.25">
      <c r="A8" s="4" t="s">
        <v>224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225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139</v>
      </c>
      <c r="B10" s="13"/>
      <c r="C10" s="13"/>
      <c r="D10" s="13"/>
      <c r="E10" s="13"/>
      <c r="F10" s="13"/>
    </row>
    <row r="11" spans="1:6" x14ac:dyDescent="0.25">
      <c r="A11" s="4" t="s">
        <v>226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227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228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229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148</v>
      </c>
      <c r="B15" s="13"/>
      <c r="C15" s="13"/>
      <c r="D15" s="13"/>
      <c r="E15" s="13"/>
      <c r="F15" s="13"/>
    </row>
    <row r="16" spans="1:6" x14ac:dyDescent="0.25">
      <c r="A16" s="4" t="s">
        <v>230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231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232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233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234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235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120</v>
      </c>
      <c r="C3" s="15" t="s">
        <v>154</v>
      </c>
      <c r="D3" s="15" t="s">
        <v>122</v>
      </c>
      <c r="E3" s="15" t="s">
        <v>155</v>
      </c>
      <c r="F3" s="15" t="s">
        <v>237</v>
      </c>
    </row>
    <row r="4" spans="1:6" x14ac:dyDescent="0.25">
      <c r="A4" s="4" t="s">
        <v>156</v>
      </c>
      <c r="B4" s="4" t="s">
        <v>157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158</v>
      </c>
      <c r="B5" s="4" t="s">
        <v>238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239</v>
      </c>
      <c r="F7" s="27">
        <v>46629</v>
      </c>
    </row>
    <row r="8" spans="1:6" x14ac:dyDescent="0.25">
      <c r="A8" s="3" t="s">
        <v>240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242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110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111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112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115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116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214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243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130</v>
      </c>
      <c r="B4" s="13"/>
      <c r="C4" s="13"/>
      <c r="D4" s="13"/>
      <c r="E4" s="13"/>
      <c r="F4" s="13"/>
    </row>
    <row r="5" spans="1:6" x14ac:dyDescent="0.25">
      <c r="A5" s="4" t="s">
        <v>245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246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247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248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126</v>
      </c>
      <c r="B9" s="13"/>
      <c r="C9" s="13"/>
      <c r="D9" s="13"/>
      <c r="E9" s="13"/>
      <c r="F9" s="13"/>
    </row>
    <row r="10" spans="1:6" x14ac:dyDescent="0.25">
      <c r="A10" s="4" t="s">
        <v>249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250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251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134</v>
      </c>
      <c r="B13" s="13"/>
      <c r="C13" s="13"/>
      <c r="D13" s="13"/>
      <c r="E13" s="13"/>
      <c r="F13" s="13"/>
    </row>
    <row r="14" spans="1:6" x14ac:dyDescent="0.25">
      <c r="A14" s="4" t="s">
        <v>252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253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136</v>
      </c>
      <c r="B16" s="13"/>
      <c r="C16" s="13"/>
      <c r="D16" s="13"/>
      <c r="E16" s="13"/>
      <c r="F16" s="13"/>
    </row>
    <row r="17" spans="1:6" x14ac:dyDescent="0.25">
      <c r="A17" s="4" t="s">
        <v>254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255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256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258</v>
      </c>
      <c r="B4" s="13"/>
      <c r="C4" s="13"/>
      <c r="D4" s="13"/>
      <c r="E4" s="13"/>
      <c r="F4" s="13"/>
    </row>
    <row r="5" spans="1:6" x14ac:dyDescent="0.25">
      <c r="A5" s="4" t="s">
        <v>259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260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261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262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263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264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265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266</v>
      </c>
      <c r="B13" s="13"/>
      <c r="C13" s="13"/>
      <c r="D13" s="13"/>
      <c r="E13" s="13"/>
      <c r="F13" s="13"/>
    </row>
    <row r="14" spans="1:6" x14ac:dyDescent="0.25">
      <c r="A14" s="4" t="s">
        <v>249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250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245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246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247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252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254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218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137</v>
      </c>
      <c r="B23" s="13"/>
      <c r="C23" s="13"/>
      <c r="D23" s="13"/>
      <c r="E23" s="13"/>
      <c r="F23" s="13"/>
    </row>
    <row r="24" spans="1:1" x14ac:dyDescent="0.25">
      <c r="A24" s="33" t="s">
        <v>144</v>
      </c>
    </row>
    <row r="25" spans="1:6" x14ac:dyDescent="0.25">
      <c r="A25" s="4" t="s">
        <v>267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146</v>
      </c>
    </row>
    <row r="27" spans="1:6" x14ac:dyDescent="0.25">
      <c r="A27" s="4" t="s">
        <v>268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139</v>
      </c>
    </row>
    <row r="29" spans="1:6" x14ac:dyDescent="0.25">
      <c r="A29" s="4" t="s">
        <v>269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270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271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272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148</v>
      </c>
    </row>
    <row r="34" spans="1:6" x14ac:dyDescent="0.25">
      <c r="A34" s="4" t="s">
        <v>273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274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275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276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277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278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279</v>
      </c>
      <c r="B41" s="13"/>
      <c r="C41" s="13"/>
      <c r="D41" s="13"/>
      <c r="E41" s="13"/>
      <c r="F41" s="13"/>
    </row>
    <row r="42" spans="1:6" x14ac:dyDescent="0.25">
      <c r="A42" s="4" t="s">
        <v>280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281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282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265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218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278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284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285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286</v>
      </c>
      <c r="B10" s="13"/>
      <c r="C10" s="13"/>
      <c r="D10" s="13"/>
      <c r="E10" s="13"/>
      <c r="F10" s="13"/>
    </row>
    <row r="11" spans="1:6" x14ac:dyDescent="0.25">
      <c r="A11" s="3" t="s">
        <v>287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288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289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243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290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292</v>
      </c>
      <c r="C2" s="15" t="s">
        <v>293</v>
      </c>
      <c r="D2" s="15" t="s">
        <v>294</v>
      </c>
      <c r="E2" s="15" t="s">
        <v>295</v>
      </c>
      <c r="F2" s="15" t="s">
        <v>296</v>
      </c>
      <c r="G2" s="15" t="s">
        <v>297</v>
      </c>
      <c r="H2" s="15" t="s">
        <v>298</v>
      </c>
      <c r="I2" s="15" t="s">
        <v>299</v>
      </c>
      <c r="J2" s="15" t="s">
        <v>300</v>
      </c>
      <c r="K2" s="15" t="s">
        <v>301</v>
      </c>
      <c r="L2" s="15" t="s">
        <v>302</v>
      </c>
      <c r="M2" s="15" t="s">
        <v>303</v>
      </c>
      <c r="N2" s="15" t="s">
        <v>304</v>
      </c>
    </row>
    <row r="3" ht="24" customHeight="1" spans="1:14" x14ac:dyDescent="0.25">
      <c r="A3" s="13" t="s">
        <v>258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265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3" t="s">
        <v>305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306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f>SUM(B7:M7)</f>
        <v>780535</v>
      </c>
    </row>
    <row r="8" spans="1:14" x14ac:dyDescent="0.25">
      <c r="A8" s="4" t="s">
        <v>307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f>SUM(B8:M8)</f>
        <v>503333</v>
      </c>
    </row>
    <row r="9" spans="1:14" x14ac:dyDescent="0.25">
      <c r="A9" s="4" t="s">
        <v>308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f>SUM(B9:M9)</f>
        <v>106629</v>
      </c>
    </row>
    <row r="11" ht="24" customHeight="1" spans="1:14" x14ac:dyDescent="0.25">
      <c r="A11" s="13" t="s">
        <v>309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285</v>
      </c>
      <c r="B12" s="29">
        <f>B7+B8+B9</f>
        <v>137273</v>
      </c>
      <c r="C12" s="29">
        <f>C7+C8+C9</f>
        <v>137273</v>
      </c>
      <c r="D12" s="29">
        <f>D7+D8+D9</f>
        <v>137273</v>
      </c>
      <c r="E12" s="29">
        <f>E7+E8+E9</f>
        <v>137273</v>
      </c>
      <c r="F12" s="29">
        <f>F7+F8+F9</f>
        <v>137273</v>
      </c>
      <c r="G12" s="29">
        <f>G7+G8+G9</f>
        <v>137273</v>
      </c>
      <c r="H12" s="29">
        <f>H7+H8+H9</f>
        <v>137273</v>
      </c>
      <c r="I12" s="29">
        <f>I7+I8+I9</f>
        <v>137273</v>
      </c>
      <c r="J12" s="29">
        <f>J7+J8+J9</f>
        <v>137273</v>
      </c>
      <c r="K12" s="29">
        <f>K7+K8+K9</f>
        <v>137273</v>
      </c>
      <c r="L12" s="29">
        <f>L7+L8+L9</f>
        <v>8886</v>
      </c>
      <c r="M12" s="29">
        <f>M7+M8+M9</f>
        <v>8886</v>
      </c>
      <c r="N12" s="29">
        <f>SUM(B12:M12)</f>
        <v>1390502</v>
      </c>
    </row>
    <row r="13" spans="1:14" x14ac:dyDescent="0.25">
      <c r="A13" s="3" t="s">
        <v>310</v>
      </c>
      <c r="B13" s="29">
        <f>B4-B12</f>
        <v>9227</v>
      </c>
      <c r="C13" s="29">
        <f>C4-C12</f>
        <v>9227</v>
      </c>
      <c r="D13" s="29">
        <f>D4-D12</f>
        <v>9227</v>
      </c>
      <c r="E13" s="29">
        <f>E4-E12</f>
        <v>9227</v>
      </c>
      <c r="F13" s="29">
        <f>F4-F12</f>
        <v>9227</v>
      </c>
      <c r="G13" s="29">
        <f>G4-G12</f>
        <v>9227</v>
      </c>
      <c r="H13" s="29">
        <f>H4-H12</f>
        <v>9227</v>
      </c>
      <c r="I13" s="29">
        <f>I4-I12</f>
        <v>9227</v>
      </c>
      <c r="J13" s="29">
        <f>J4-J12</f>
        <v>9227</v>
      </c>
      <c r="K13" s="29">
        <f>K4-K12</f>
        <v>9227</v>
      </c>
      <c r="L13" s="29">
        <f>L4-L12</f>
        <v>-8886</v>
      </c>
      <c r="M13" s="29">
        <f>M4-M12</f>
        <v>-8886</v>
      </c>
      <c r="N13" s="29">
        <f>SUM(B13:M13)</f>
        <v>74498</v>
      </c>
    </row>
    <row r="14" spans="1:14" x14ac:dyDescent="0.25">
      <c r="A14" s="3" t="s">
        <v>311</v>
      </c>
      <c r="B14" s="34">
        <f>B17+B13</f>
        <v>9227</v>
      </c>
      <c r="C14" s="34">
        <f>B14+C13</f>
        <v>18454</v>
      </c>
      <c r="D14" s="34">
        <f>C14+D13</f>
        <v>27681</v>
      </c>
      <c r="E14" s="34">
        <f>D14+E13</f>
        <v>36908</v>
      </c>
      <c r="F14" s="34">
        <f>E14+F13</f>
        <v>46135</v>
      </c>
      <c r="G14" s="34">
        <f>F14+G13</f>
        <v>55362</v>
      </c>
      <c r="H14" s="34">
        <f>G14+H13</f>
        <v>64589</v>
      </c>
      <c r="I14" s="34">
        <f>H14+I13</f>
        <v>73816</v>
      </c>
      <c r="J14" s="34">
        <f>I14+J13</f>
        <v>83043</v>
      </c>
      <c r="K14" s="34">
        <f>J14+K13</f>
        <v>92270</v>
      </c>
      <c r="L14" s="34">
        <f>K14+L13</f>
        <v>83384</v>
      </c>
      <c r="M14" s="34">
        <f>L14+M13</f>
        <v>74498</v>
      </c>
      <c r="N14" s="27">
        <f>M14</f>
        <v>74498</v>
      </c>
    </row>
    <row r="16" ht="24" customHeight="1" spans="1:3" x14ac:dyDescent="0.25">
      <c r="A16" s="13" t="s">
        <v>312</v>
      </c>
      <c r="B16" s="13"/>
      <c r="C16" s="13"/>
    </row>
    <row r="17" spans="1:2" x14ac:dyDescent="0.25">
      <c r="A17" s="4" t="s">
        <v>166</v>
      </c>
      <c r="B17" s="17">
        <v>0</v>
      </c>
    </row>
    <row r="18" spans="1:2" x14ac:dyDescent="0.25">
      <c r="A18" s="4" t="s">
        <v>313</v>
      </c>
      <c r="B18" s="34">
        <f>M14</f>
        <v>74498</v>
      </c>
    </row>
    <row r="19" spans="1:2" x14ac:dyDescent="0.25">
      <c r="A19" s="4" t="s">
        <v>314</v>
      </c>
      <c r="B19" s="26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258</v>
      </c>
      <c r="B4" s="13"/>
      <c r="C4" s="13"/>
      <c r="D4" s="13"/>
      <c r="E4" s="13"/>
      <c r="F4" s="13"/>
    </row>
    <row r="5" spans="1:6" x14ac:dyDescent="0.25">
      <c r="A5" s="35" t="s">
        <v>265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305</v>
      </c>
      <c r="B7" s="13"/>
      <c r="C7" s="13"/>
      <c r="D7" s="13"/>
      <c r="E7" s="13"/>
      <c r="F7" s="13"/>
    </row>
    <row r="8" spans="1:6" x14ac:dyDescent="0.25">
      <c r="A8" s="3" t="s">
        <v>306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307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316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285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317</v>
      </c>
      <c r="B13" s="13"/>
      <c r="C13" s="13"/>
      <c r="D13" s="13"/>
      <c r="E13" s="13"/>
      <c r="F13" s="13"/>
    </row>
    <row r="14" spans="1:6" x14ac:dyDescent="0.25">
      <c r="A14" s="35" t="s">
        <v>287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288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5" x14ac:dyDescent="0.25">
      <c r="A5" s="36" t="s">
        <v>319</v>
      </c>
      <c r="B5" s="37" t="s">
        <v>154</v>
      </c>
      <c r="C5" s="38" t="s">
        <v>320</v>
      </c>
      <c r="D5" s="36" t="s">
        <v>321</v>
      </c>
      <c r="E5" s="37" t="s">
        <v>237</v>
      </c>
    </row>
    <row r="6" spans="1:5" x14ac:dyDescent="0.25">
      <c r="A6" s="14" t="s">
        <v>156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322</v>
      </c>
      <c r="B8" s="13"/>
      <c r="C8" s="13"/>
      <c r="D8" s="13"/>
      <c r="E8" s="13"/>
      <c r="F8" s="13"/>
    </row>
    <row r="9" spans="1:6" x14ac:dyDescent="0.25">
      <c r="A9" s="4" t="s">
        <v>323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324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325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326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327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39">
        <f>'Monthly Cash Flow Y1'!M14</f>
        <v>74498</v>
      </c>
      <c r="C5" s="39">
        <f>B5+'5-Year Operating Stmt'!C14</f>
        <v>530168</v>
      </c>
      <c r="D5" s="39">
        <f>B5+'5-Year Operating Stmt'!C14+'5-Year Operating Stmt'!D14</f>
        <v>1838758</v>
      </c>
      <c r="E5" s="39">
        <f>B5+'5-Year Operating Stmt'!C14+'5-Year Operating Stmt'!D14+'5-Year Operating Stmt'!E14</f>
        <v>4035127</v>
      </c>
      <c r="F5" s="39">
        <f>B5+'5-Year Operating Stmt'!C14+'5-Year Operating Stmt'!D14+'5-Year Operating Stmt'!E14+'5-Year Operating Stmt'!F14</f>
        <v>7149621</v>
      </c>
    </row>
    <row r="6" spans="1:6" x14ac:dyDescent="0.25">
      <c r="A6" s="4" t="s">
        <v>331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334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3" t="s">
        <v>335</v>
      </c>
      <c r="B11" s="13"/>
      <c r="C11" s="13"/>
      <c r="D11" s="13"/>
      <c r="E11" s="13"/>
      <c r="F11" s="13"/>
    </row>
    <row r="12" spans="1:6" x14ac:dyDescent="0.25">
      <c r="A12" s="4" t="s">
        <v>336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337</v>
      </c>
      <c r="B13" s="26">
        <f>'Debt Schedule'!B13</f>
        <v>323655</v>
      </c>
      <c r="C13" s="26">
        <f>'Debt Schedule'!C13</f>
        <v>295685</v>
      </c>
      <c r="D13" s="26">
        <f>'Debt Schedule'!D13</f>
        <v>265989</v>
      </c>
      <c r="E13" s="26">
        <f>'Debt Schedule'!E13</f>
        <v>234462</v>
      </c>
      <c r="F13" s="26">
        <f>'Debt Schedule'!F13</f>
        <v>200991</v>
      </c>
    </row>
    <row r="14" spans="1:6" x14ac:dyDescent="0.25">
      <c r="A14" s="3" t="s">
        <v>338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3" t="s">
        <v>339</v>
      </c>
      <c r="B16" s="13"/>
      <c r="C16" s="13"/>
      <c r="D16" s="13"/>
      <c r="E16" s="13"/>
      <c r="F16" s="13"/>
    </row>
    <row r="17" spans="1:6" x14ac:dyDescent="0.25">
      <c r="A17" s="3" t="s">
        <v>340</v>
      </c>
      <c r="B17" s="27">
        <f>B9-B14</f>
        <v>-249157</v>
      </c>
      <c r="C17" s="27">
        <f>C9-C14</f>
        <v>234484</v>
      </c>
      <c r="D17" s="27">
        <f>D9-D14</f>
        <v>1572769</v>
      </c>
      <c r="E17" s="27">
        <f>E9-E14</f>
        <v>3800665</v>
      </c>
      <c r="F17" s="27">
        <f>F9-F14</f>
        <v>6948630</v>
      </c>
    </row>
    <row r="19" spans="1:6" x14ac:dyDescent="0.25">
      <c r="A19" s="3" t="s">
        <v>341</v>
      </c>
      <c r="B19" s="40" t="str">
        <f>B9-B14-B17</f>
        <v>0</v>
      </c>
      <c r="C19" s="41">
        <f>C9-C14-C17</f>
        <v>-1</v>
      </c>
      <c r="D19" s="40" t="str">
        <f>D9-D14-D17</f>
        <v>0</v>
      </c>
      <c r="E19" s="40" t="str">
        <f>E9-E14-E17</f>
        <v>0</v>
      </c>
      <c r="F19" s="40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343</v>
      </c>
      <c r="B4" s="13"/>
      <c r="C4" s="13"/>
      <c r="D4" s="13"/>
      <c r="E4" s="13"/>
      <c r="F4" s="13"/>
    </row>
    <row r="5" spans="1:6" x14ac:dyDescent="0.25">
      <c r="A5" s="4" t="s">
        <v>344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306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307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345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308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346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347</v>
      </c>
      <c r="B12" s="13"/>
      <c r="C12" s="13"/>
      <c r="D12" s="13"/>
      <c r="E12" s="13"/>
      <c r="F12" s="13"/>
    </row>
    <row r="13" spans="1:6" x14ac:dyDescent="0.25">
      <c r="A13" s="4" t="s">
        <v>348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349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350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203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351</v>
      </c>
      <c r="B18" s="13"/>
      <c r="C18" s="13"/>
      <c r="D18" s="13"/>
      <c r="E18" s="13"/>
      <c r="F18" s="13"/>
    </row>
    <row r="19" spans="1:6" x14ac:dyDescent="0.25">
      <c r="A19" s="4" t="s">
        <v>243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352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353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354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355</v>
      </c>
      <c r="B24" s="13"/>
      <c r="C24" s="13"/>
      <c r="D24" s="13"/>
      <c r="E24" s="13"/>
      <c r="F24" s="13"/>
    </row>
    <row r="25" spans="1:6" x14ac:dyDescent="0.25">
      <c r="A25" s="4" t="s">
        <v>356</v>
      </c>
      <c r="B25" s="44" t="s">
        <v>357</v>
      </c>
      <c r="C25" s="45" t="s">
        <v>358</v>
      </c>
      <c r="D25" s="45" t="s">
        <v>358</v>
      </c>
      <c r="E25" s="45" t="s">
        <v>358</v>
      </c>
      <c r="F25" s="45" t="s">
        <v>358</v>
      </c>
    </row>
    <row r="26" spans="1:6" x14ac:dyDescent="0.25">
      <c r="A26" s="4" t="s">
        <v>359</v>
      </c>
      <c r="B26" s="44" t="s">
        <v>357</v>
      </c>
      <c r="C26" s="45" t="s">
        <v>358</v>
      </c>
      <c r="D26" s="45" t="s">
        <v>358</v>
      </c>
      <c r="E26" s="45" t="s">
        <v>358</v>
      </c>
      <c r="F26" s="45" t="s">
        <v>358</v>
      </c>
    </row>
    <row r="27" spans="1:6" x14ac:dyDescent="0.25">
      <c r="A27" s="4" t="s">
        <v>360</v>
      </c>
      <c r="B27" s="44" t="s">
        <v>357</v>
      </c>
      <c r="C27" s="44" t="s">
        <v>357</v>
      </c>
      <c r="D27" s="44" t="s">
        <v>357</v>
      </c>
      <c r="E27" s="44" t="s">
        <v>357</v>
      </c>
      <c r="F27" s="44" t="s">
        <v>357</v>
      </c>
    </row>
    <row r="28" spans="1:6" x14ac:dyDescent="0.25">
      <c r="A28" s="4" t="s">
        <v>361</v>
      </c>
      <c r="B28" s="44" t="s">
        <v>357</v>
      </c>
      <c r="C28" s="45" t="s">
        <v>358</v>
      </c>
      <c r="D28" s="45" t="s">
        <v>358</v>
      </c>
      <c r="E28" s="45" t="s">
        <v>358</v>
      </c>
      <c r="F28" s="45" t="s">
        <v>358</v>
      </c>
    </row>
    <row r="29" spans="1:6" x14ac:dyDescent="0.25">
      <c r="A29" s="4" t="s">
        <v>362</v>
      </c>
      <c r="B29" s="44" t="s">
        <v>357</v>
      </c>
      <c r="C29" s="45" t="s">
        <v>358</v>
      </c>
      <c r="D29" s="45" t="s">
        <v>358</v>
      </c>
      <c r="E29" s="45" t="s">
        <v>358</v>
      </c>
      <c r="F29" s="45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363</v>
      </c>
      <c r="B3" s="46" t="s">
        <v>105</v>
      </c>
      <c r="D3" s="46" t="s">
        <v>364</v>
      </c>
      <c r="E3" s="46" t="s">
        <v>105</v>
      </c>
    </row>
    <row r="4" spans="1:5" x14ac:dyDescent="0.25">
      <c r="A4" s="4" t="s">
        <v>156</v>
      </c>
      <c r="B4" s="26">
        <v>350000</v>
      </c>
      <c r="D4" s="4" t="s">
        <v>365</v>
      </c>
      <c r="E4" s="26">
        <v>250000</v>
      </c>
    </row>
    <row r="5" spans="1:5" x14ac:dyDescent="0.25">
      <c r="A5" s="4" t="s">
        <v>366</v>
      </c>
      <c r="B5" s="26">
        <v>150000</v>
      </c>
      <c r="D5" s="4" t="s">
        <v>158</v>
      </c>
      <c r="E5" s="26">
        <v>60000</v>
      </c>
    </row>
    <row r="6" spans="4:5" x14ac:dyDescent="0.25">
      <c r="D6" s="4" t="s">
        <v>367</v>
      </c>
      <c r="E6" s="26">
        <v>50000</v>
      </c>
    </row>
    <row r="7" spans="4:5" x14ac:dyDescent="0.25">
      <c r="D7" s="4" t="s">
        <v>368</v>
      </c>
      <c r="E7" s="26">
        <v>140000</v>
      </c>
    </row>
    <row r="9" spans="1:5" x14ac:dyDescent="0.25">
      <c r="A9" s="3" t="s">
        <v>369</v>
      </c>
      <c r="B9" s="27">
        <v>500000</v>
      </c>
      <c r="D9" s="3" t="s">
        <v>370</v>
      </c>
      <c r="E9" s="27">
        <v>500000</v>
      </c>
    </row>
    <row r="10" spans="1:2" x14ac:dyDescent="0.25">
      <c r="A10" s="3" t="s">
        <v>371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344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285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287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288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346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354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344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285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287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288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346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354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69</v>
      </c>
      <c r="B25" s="15" t="s">
        <v>95</v>
      </c>
      <c r="C25" s="15" t="s">
        <v>96</v>
      </c>
      <c r="D25" s="15" t="s">
        <v>97</v>
      </c>
      <c r="E25" s="15" t="s">
        <v>98</v>
      </c>
      <c r="F25" s="15" t="s">
        <v>99</v>
      </c>
    </row>
    <row r="26" spans="1:6" x14ac:dyDescent="0.25">
      <c r="A26" s="4" t="s">
        <v>344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285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287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288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346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354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379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120</v>
      </c>
      <c r="B5" s="4" t="s">
        <v>5</v>
      </c>
    </row>
    <row r="6" spans="1:2" x14ac:dyDescent="0.25">
      <c r="A6" s="4" t="s">
        <v>380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381</v>
      </c>
      <c r="B9" s="4" t="s">
        <v>17</v>
      </c>
    </row>
    <row r="11" ht="24" customHeight="1" spans="1:8" x14ac:dyDescent="0.25">
      <c r="A11" s="13" t="s">
        <v>382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8" t="s">
        <v>95</v>
      </c>
      <c r="E12" s="48" t="s">
        <v>96</v>
      </c>
      <c r="F12" s="48" t="s">
        <v>97</v>
      </c>
      <c r="G12" s="48" t="s">
        <v>98</v>
      </c>
      <c r="H12" s="48" t="s">
        <v>99</v>
      </c>
    </row>
    <row r="13" spans="1:8" x14ac:dyDescent="0.25">
      <c r="A13" s="4" t="s">
        <v>344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285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287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383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384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8" t="s">
        <v>95</v>
      </c>
      <c r="E20" s="48" t="s">
        <v>96</v>
      </c>
      <c r="F20" s="48" t="s">
        <v>97</v>
      </c>
      <c r="G20" s="48" t="s">
        <v>98</v>
      </c>
      <c r="H20" s="48" t="s">
        <v>99</v>
      </c>
    </row>
    <row r="21" spans="1:8" x14ac:dyDescent="0.25">
      <c r="A21" s="4" t="s">
        <v>386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346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203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387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389</v>
      </c>
      <c r="C2" s="9"/>
      <c r="D2" s="9"/>
      <c r="E2" s="9"/>
      <c r="F2" s="9"/>
      <c r="G2" s="9"/>
    </row>
    <row r="3" spans="2:7" x14ac:dyDescent="0.25">
      <c r="B3" s="49" t="s">
        <v>390</v>
      </c>
      <c r="C3" s="49"/>
      <c r="D3" s="49"/>
      <c r="E3" s="49"/>
      <c r="F3" s="49"/>
      <c r="G3" s="49"/>
    </row>
    <row r="5" ht="24" customHeight="1" spans="2:7" x14ac:dyDescent="0.25">
      <c r="B5" s="13" t="s">
        <v>391</v>
      </c>
      <c r="C5" s="50" t="s">
        <v>392</v>
      </c>
      <c r="D5" s="50" t="s">
        <v>393</v>
      </c>
      <c r="E5" s="50" t="s">
        <v>394</v>
      </c>
      <c r="F5" s="50" t="s">
        <v>395</v>
      </c>
      <c r="G5" s="50" t="s">
        <v>396</v>
      </c>
    </row>
    <row r="6" spans="2:7" x14ac:dyDescent="0.25">
      <c r="B6" s="4" t="s">
        <v>387</v>
      </c>
      <c r="C6" s="51">
        <v>120</v>
      </c>
      <c r="D6" s="51">
        <v>200</v>
      </c>
      <c r="E6" s="51">
        <v>300</v>
      </c>
      <c r="F6" s="51">
        <v>400</v>
      </c>
      <c r="G6" s="51">
        <v>500</v>
      </c>
    </row>
    <row r="7" spans="2:7" x14ac:dyDescent="0.25">
      <c r="B7" s="4" t="s">
        <v>344</v>
      </c>
      <c r="C7" s="52">
        <v>1178333.3333333335</v>
      </c>
      <c r="D7" s="52">
        <v>2261600</v>
      </c>
      <c r="E7" s="52">
        <v>3367965</v>
      </c>
      <c r="F7" s="52">
        <v>4502531.525</v>
      </c>
      <c r="G7" s="52">
        <v>5696361.453</v>
      </c>
    </row>
    <row r="8" spans="2:7" x14ac:dyDescent="0.25">
      <c r="B8" s="4" t="s">
        <v>306</v>
      </c>
      <c r="C8" s="52">
        <v>780535</v>
      </c>
      <c r="D8" s="52">
        <v>964741.26</v>
      </c>
      <c r="E8" s="52">
        <v>993683.4978</v>
      </c>
      <c r="F8" s="52">
        <v>1023494.002734</v>
      </c>
      <c r="G8" s="52">
        <v>1054198.82281602</v>
      </c>
    </row>
    <row r="9" spans="2:7" x14ac:dyDescent="0.25">
      <c r="B9" s="4" t="s">
        <v>307</v>
      </c>
      <c r="C9" s="52">
        <v>503333.3333333334</v>
      </c>
      <c r="D9" s="52">
        <v>774560</v>
      </c>
      <c r="E9" s="52">
        <v>994063.2999999999</v>
      </c>
      <c r="F9" s="52">
        <v>1226039.6940000001</v>
      </c>
      <c r="G9" s="52">
        <v>1471040.01467</v>
      </c>
    </row>
    <row r="10" spans="2:7" x14ac:dyDescent="0.25">
      <c r="B10" s="4" t="s">
        <v>308</v>
      </c>
      <c r="C10" s="52">
        <v>46628.6108154935</v>
      </c>
      <c r="D10" s="52">
        <v>46628.6108154935</v>
      </c>
      <c r="E10" s="52">
        <v>46628.6108154935</v>
      </c>
      <c r="F10" s="52">
        <v>46628.6108154935</v>
      </c>
      <c r="G10" s="52">
        <v>46628.6108154935</v>
      </c>
    </row>
    <row r="11" spans="2:7" x14ac:dyDescent="0.25">
      <c r="B11" s="3" t="s">
        <v>397</v>
      </c>
      <c r="C11" s="53">
        <v>-212163.6108154934</v>
      </c>
      <c r="D11" s="54">
        <v>455670.12918450637</v>
      </c>
      <c r="E11" s="54">
        <v>1308589.5913845068</v>
      </c>
      <c r="F11" s="54">
        <v>2196369.217450507</v>
      </c>
      <c r="G11" s="54">
        <v>3114494.004698486</v>
      </c>
    </row>
    <row r="12" spans="2:7" x14ac:dyDescent="0.25">
      <c r="B12" s="3" t="s">
        <v>348</v>
      </c>
      <c r="C12" s="54">
        <v>74498</v>
      </c>
      <c r="D12" s="54">
        <v>530168.1291845064</v>
      </c>
      <c r="E12" s="54">
        <v>1838757.7205690132</v>
      </c>
      <c r="F12" s="54">
        <v>4035126.93801952</v>
      </c>
      <c r="G12" s="54">
        <v>7149620.942718007</v>
      </c>
    </row>
    <row r="13" spans="2:7" x14ac:dyDescent="0.25">
      <c r="B13" s="3" t="s">
        <v>386</v>
      </c>
      <c r="C13" s="55">
        <v>-0.18005398371894768</v>
      </c>
      <c r="D13" s="56">
        <v>0.20148130933167066</v>
      </c>
      <c r="E13" s="56">
        <v>0.38854013963461814</v>
      </c>
      <c r="F13" s="56">
        <v>0.48780762672183775</v>
      </c>
      <c r="G13" s="56">
        <v>0.54675147116204</v>
      </c>
    </row>
    <row r="15" ht="24" customHeight="1" spans="2:7" x14ac:dyDescent="0.25">
      <c r="B15" s="13" t="s">
        <v>398</v>
      </c>
      <c r="C15" s="13" t="s">
        <v>399</v>
      </c>
      <c r="D15" s="13" t="s">
        <v>400</v>
      </c>
      <c r="E15" s="13"/>
      <c r="F15" s="13" t="s">
        <v>401</v>
      </c>
      <c r="G15" s="13"/>
    </row>
    <row r="16" ht="45" customHeight="1" spans="2:7" x14ac:dyDescent="0.25">
      <c r="B16" s="36" t="s">
        <v>402</v>
      </c>
      <c r="C16" s="57" t="s">
        <v>403</v>
      </c>
      <c r="D16" s="58" t="s">
        <v>404</v>
      </c>
      <c r="E16" s="58"/>
      <c r="F16" s="59" t="s">
        <v>405</v>
      </c>
      <c r="G16" s="59"/>
    </row>
    <row r="17" ht="45" customHeight="1" spans="2:7" x14ac:dyDescent="0.25">
      <c r="B17" s="36" t="s">
        <v>406</v>
      </c>
      <c r="C17" s="60" t="s">
        <v>407</v>
      </c>
      <c r="D17" s="58" t="s">
        <v>408</v>
      </c>
      <c r="E17" s="58"/>
      <c r="F17" s="59" t="s">
        <v>409</v>
      </c>
      <c r="G17" s="59"/>
    </row>
    <row r="18" ht="45" customHeight="1" spans="2:7" x14ac:dyDescent="0.25">
      <c r="B18" s="36" t="s">
        <v>410</v>
      </c>
      <c r="C18" s="57" t="s">
        <v>403</v>
      </c>
      <c r="D18" s="58" t="s">
        <v>411</v>
      </c>
      <c r="E18" s="58"/>
      <c r="F18" s="59" t="s">
        <v>412</v>
      </c>
      <c r="G18" s="59"/>
    </row>
    <row r="19" ht="45" customHeight="1" spans="2:7" x14ac:dyDescent="0.25">
      <c r="B19" s="36" t="s">
        <v>413</v>
      </c>
      <c r="C19" s="57" t="s">
        <v>403</v>
      </c>
      <c r="D19" s="58" t="s">
        <v>414</v>
      </c>
      <c r="E19" s="58"/>
      <c r="F19" s="59" t="s">
        <v>415</v>
      </c>
      <c r="G19" s="59"/>
    </row>
    <row r="20" ht="45" customHeight="1" spans="2:7" x14ac:dyDescent="0.25">
      <c r="B20" s="36" t="s">
        <v>416</v>
      </c>
      <c r="C20" s="57" t="s">
        <v>403</v>
      </c>
      <c r="D20" s="58" t="s">
        <v>417</v>
      </c>
      <c r="E20" s="58"/>
      <c r="F20" s="59" t="s">
        <v>418</v>
      </c>
      <c r="G20" s="59"/>
    </row>
    <row r="21" ht="45" customHeight="1" spans="2:7" x14ac:dyDescent="0.25">
      <c r="B21" s="36" t="s">
        <v>419</v>
      </c>
      <c r="C21" s="57" t="s">
        <v>403</v>
      </c>
      <c r="D21" s="58" t="s">
        <v>420</v>
      </c>
      <c r="E21" s="58"/>
      <c r="F21" s="59" t="s">
        <v>421</v>
      </c>
      <c r="G21" s="59"/>
    </row>
    <row r="22" ht="45" customHeight="1" spans="2:7" x14ac:dyDescent="0.25">
      <c r="B22" s="36" t="s">
        <v>422</v>
      </c>
      <c r="C22" s="57" t="s">
        <v>403</v>
      </c>
      <c r="D22" s="58" t="s">
        <v>423</v>
      </c>
      <c r="E22" s="58"/>
      <c r="F22" s="59" t="s">
        <v>424</v>
      </c>
      <c r="G22" s="59"/>
    </row>
    <row r="24" spans="2:5" x14ac:dyDescent="0.25">
      <c r="B24" s="36" t="s">
        <v>425</v>
      </c>
      <c r="C24" s="3" t="s">
        <v>426</v>
      </c>
      <c r="D24" s="3"/>
      <c r="E24" s="3"/>
    </row>
    <row r="26" spans="2:7" x14ac:dyDescent="0.25">
      <c r="B26" s="61" t="s">
        <v>427</v>
      </c>
      <c r="C26" s="61"/>
      <c r="D26" s="61"/>
      <c r="E26" s="61"/>
      <c r="F26" s="61"/>
      <c r="G26" s="61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