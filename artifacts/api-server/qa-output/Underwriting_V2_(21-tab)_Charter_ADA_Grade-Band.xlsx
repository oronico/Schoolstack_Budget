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<sst xmlns="http://schemas.openxmlformats.org/spreadsheetml/2006/main" count="809" uniqueCount="455">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</sst>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256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257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252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253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254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259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261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274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275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276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277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278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279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280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281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282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283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284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285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286</v>
      </c>
      <c r="B41" s="19"/>
      <c r="C41" s="19"/>
      <c r="D41" s="19"/>
      <c r="E41" s="19"/>
      <c r="F41" s="19"/>
    </row>
    <row r="42" spans="1:6" x14ac:dyDescent="0.25">
      <c r="A42" s="11" t="s">
        <v>287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288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289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285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291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292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293</v>
      </c>
      <c r="B10" s="19"/>
      <c r="C10" s="19"/>
      <c r="D10" s="19"/>
      <c r="E10" s="19"/>
      <c r="F10" s="19"/>
    </row>
    <row r="11" spans="1:6" x14ac:dyDescent="0.25">
      <c r="A11" s="10" t="s">
        <v>294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295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296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297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299</v>
      </c>
      <c r="C2" s="21" t="s">
        <v>300</v>
      </c>
      <c r="D2" s="21" t="s">
        <v>301</v>
      </c>
      <c r="E2" s="21" t="s">
        <v>302</v>
      </c>
      <c r="F2" s="21" t="s">
        <v>303</v>
      </c>
      <c r="G2" s="21" t="s">
        <v>304</v>
      </c>
      <c r="H2" s="21" t="s">
        <v>305</v>
      </c>
      <c r="I2" s="21" t="s">
        <v>306</v>
      </c>
      <c r="J2" s="21" t="s">
        <v>307</v>
      </c>
      <c r="K2" s="21" t="s">
        <v>308</v>
      </c>
      <c r="L2" s="21" t="s">
        <v>309</v>
      </c>
      <c r="M2" s="21" t="s">
        <v>310</v>
      </c>
      <c r="N2" s="21" t="s">
        <v>311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312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313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314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315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316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292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317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318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319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320</v>
      </c>
      <c r="B18" s="39">
        <f>M14</f>
        <v>74498</v>
      </c>
    </row>
    <row r="19" spans="1:2" x14ac:dyDescent="0.25">
      <c r="A19" s="11" t="s">
        <v>321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312</v>
      </c>
      <c r="B7" s="19"/>
      <c r="C7" s="19"/>
      <c r="D7" s="19"/>
      <c r="E7" s="19"/>
      <c r="F7" s="19"/>
    </row>
    <row r="8" spans="1:6" x14ac:dyDescent="0.25">
      <c r="A8" s="10" t="s">
        <v>313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314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323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292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324</v>
      </c>
      <c r="B13" s="19"/>
      <c r="C13" s="19"/>
      <c r="D13" s="19"/>
      <c r="E13" s="19"/>
      <c r="F13" s="19"/>
    </row>
    <row r="14" spans="1:6" x14ac:dyDescent="0.25">
      <c r="A14" s="40" t="s">
        <v>294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295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  <row r="16" spans="1:6" x14ac:dyDescent="0.25">
      <c r="A16" s="10" t="s">
        <v>325</v>
      </c>
      <c r="B16" s="34">
        <f>B14</f>
        <v>-212164</v>
      </c>
      <c r="C16" s="34">
        <f>B16+C14</f>
        <v>243507</v>
      </c>
      <c r="D16" s="34">
        <f>C16+D14</f>
        <v>1552096</v>
      </c>
      <c r="E16" s="34">
        <f>D16+E14</f>
        <v>3748465</v>
      </c>
      <c r="F16" s="34">
        <f>E16+F14</f>
        <v>6862959</v>
      </c>
    </row>
    <row r="17" spans="1:6" x14ac:dyDescent="0.25">
      <c r="A17" s="10" t="s">
        <v>326</v>
      </c>
      <c r="B17" s="41" t="s">
        <v>7</v>
      </c>
      <c r="C17" s="42" t="s">
        <v>327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328</v>
      </c>
      <c r="B4" s="19"/>
      <c r="C4" s="19"/>
      <c r="D4" s="19"/>
      <c r="E4" s="19"/>
      <c r="F4" s="19"/>
    </row>
    <row r="5" spans="1:5" x14ac:dyDescent="0.25">
      <c r="A5" s="43" t="s">
        <v>329</v>
      </c>
      <c r="B5" s="44" t="s">
        <v>161</v>
      </c>
      <c r="C5" s="45" t="s">
        <v>330</v>
      </c>
      <c r="D5" s="43" t="s">
        <v>331</v>
      </c>
      <c r="E5" s="44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332</v>
      </c>
      <c r="B8" s="19"/>
      <c r="C8" s="19"/>
      <c r="D8" s="19"/>
      <c r="E8" s="19"/>
      <c r="F8" s="19"/>
    </row>
    <row r="9" spans="1:6" x14ac:dyDescent="0.25">
      <c r="A9" s="11" t="s">
        <v>333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334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335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336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337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339</v>
      </c>
      <c r="B4" s="19"/>
      <c r="C4" s="19"/>
      <c r="D4" s="19"/>
      <c r="E4" s="19"/>
      <c r="F4" s="19"/>
    </row>
    <row r="5" spans="1:6" x14ac:dyDescent="0.25">
      <c r="A5" s="11" t="s">
        <v>340</v>
      </c>
      <c r="B5" s="46">
        <f>'Monthly Cash Flow Y1'!M14</f>
        <v>74498</v>
      </c>
      <c r="C5" s="46">
        <f>B5+'5-Year Operating Stmt'!C14</f>
        <v>530168</v>
      </c>
      <c r="D5" s="46">
        <f>B5+'5-Year Operating Stmt'!C14+'5-Year Operating Stmt'!D14</f>
        <v>1838758</v>
      </c>
      <c r="E5" s="46">
        <f>B5+'5-Year Operating Stmt'!C14+'5-Year Operating Stmt'!D14+'5-Year Operating Stmt'!E14</f>
        <v>4035127</v>
      </c>
      <c r="F5" s="46">
        <f>B5+'5-Year Operating Stmt'!C14+'5-Year Operating Stmt'!D14+'5-Year Operating Stmt'!E14+'5-Year Operating Stmt'!F14</f>
        <v>7149621</v>
      </c>
    </row>
    <row r="6" spans="1:6" x14ac:dyDescent="0.25">
      <c r="A6" s="11" t="s">
        <v>341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342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343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344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345</v>
      </c>
      <c r="B11" s="19"/>
      <c r="C11" s="19"/>
      <c r="D11" s="19"/>
      <c r="E11" s="19"/>
      <c r="F11" s="19"/>
    </row>
    <row r="12" spans="1:6" x14ac:dyDescent="0.25">
      <c r="A12" s="11" t="s">
        <v>346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347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348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349</v>
      </c>
      <c r="B16" s="19"/>
      <c r="C16" s="19"/>
      <c r="D16" s="19"/>
      <c r="E16" s="19"/>
      <c r="F16" s="19"/>
    </row>
    <row r="17" spans="1:6" x14ac:dyDescent="0.25">
      <c r="A17" s="10" t="s">
        <v>350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351</v>
      </c>
      <c r="B19" s="47" t="str">
        <f>B9-B14-B17</f>
        <v>0</v>
      </c>
      <c r="C19" s="48">
        <f>C9-C14-C17</f>
        <v>-1</v>
      </c>
      <c r="D19" s="47" t="str">
        <f>D9-D14-D17</f>
        <v>0</v>
      </c>
      <c r="E19" s="47" t="str">
        <f>E9-E14-E17</f>
        <v>0</v>
      </c>
      <c r="F19" s="47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353</v>
      </c>
      <c r="B4" s="19"/>
      <c r="C4" s="19"/>
      <c r="D4" s="19"/>
      <c r="E4" s="19"/>
      <c r="F4" s="19"/>
    </row>
    <row r="5" spans="1:6" x14ac:dyDescent="0.25">
      <c r="A5" s="11" t="s">
        <v>354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313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314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355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315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356</v>
      </c>
      <c r="B10" s="49">
        <f>IF(B9=0,"N/A",B8/B9)</f>
        <v>-2.26</v>
      </c>
      <c r="C10" s="49">
        <f>IF(C9=0,"N/A",C8/C9)</f>
        <v>11.2</v>
      </c>
      <c r="D10" s="49">
        <f>IF(D9=0,"N/A",D8/D9)</f>
        <v>29.6</v>
      </c>
      <c r="E10" s="49">
        <f>IF(E9=0,"N/A",E8/E9)</f>
        <v>48.32</v>
      </c>
      <c r="F10" s="49">
        <f>IF(F9=0,"N/A",F8/F9)</f>
        <v>68.01</v>
      </c>
    </row>
    <row r="12" ht="24" customHeight="1" spans="1:6" x14ac:dyDescent="0.25">
      <c r="A12" s="19" t="s">
        <v>357</v>
      </c>
      <c r="B12" s="19"/>
      <c r="C12" s="19"/>
      <c r="D12" s="19"/>
      <c r="E12" s="19"/>
      <c r="F12" s="19"/>
    </row>
    <row r="13" spans="1:6" x14ac:dyDescent="0.25">
      <c r="A13" s="11" t="s">
        <v>358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359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360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361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362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363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364</v>
      </c>
      <c r="B22" s="50">
        <v>148</v>
      </c>
      <c r="C22" s="50">
        <v>137</v>
      </c>
      <c r="D22" s="50">
        <v>132</v>
      </c>
      <c r="E22" s="50">
        <v>131</v>
      </c>
      <c r="F22" s="50">
        <v>131</v>
      </c>
    </row>
    <row r="24" ht="24" customHeight="1" spans="1:6" x14ac:dyDescent="0.25">
      <c r="A24" s="19" t="s">
        <v>365</v>
      </c>
      <c r="B24" s="19"/>
      <c r="C24" s="19"/>
      <c r="D24" s="19"/>
      <c r="E24" s="19"/>
      <c r="F24" s="19"/>
    </row>
    <row r="25" spans="1:6" x14ac:dyDescent="0.25">
      <c r="A25" s="11" t="s">
        <v>366</v>
      </c>
      <c r="B25" s="51" t="s">
        <v>367</v>
      </c>
      <c r="C25" s="52" t="s">
        <v>368</v>
      </c>
      <c r="D25" s="52" t="s">
        <v>368</v>
      </c>
      <c r="E25" s="52" t="s">
        <v>368</v>
      </c>
      <c r="F25" s="52" t="s">
        <v>368</v>
      </c>
    </row>
    <row r="26" spans="1:6" x14ac:dyDescent="0.25">
      <c r="A26" s="11" t="s">
        <v>369</v>
      </c>
      <c r="B26" s="51" t="s">
        <v>367</v>
      </c>
      <c r="C26" s="52" t="s">
        <v>368</v>
      </c>
      <c r="D26" s="52" t="s">
        <v>368</v>
      </c>
      <c r="E26" s="52" t="s">
        <v>368</v>
      </c>
      <c r="F26" s="52" t="s">
        <v>368</v>
      </c>
    </row>
    <row r="27" spans="1:6" x14ac:dyDescent="0.25">
      <c r="A27" s="11" t="s">
        <v>370</v>
      </c>
      <c r="B27" s="51" t="s">
        <v>367</v>
      </c>
      <c r="C27" s="51" t="s">
        <v>367</v>
      </c>
      <c r="D27" s="51" t="s">
        <v>367</v>
      </c>
      <c r="E27" s="51" t="s">
        <v>367</v>
      </c>
      <c r="F27" s="51" t="s">
        <v>367</v>
      </c>
    </row>
    <row r="28" spans="1:6" x14ac:dyDescent="0.25">
      <c r="A28" s="11" t="s">
        <v>371</v>
      </c>
      <c r="B28" s="51" t="s">
        <v>367</v>
      </c>
      <c r="C28" s="52" t="s">
        <v>368</v>
      </c>
      <c r="D28" s="52" t="s">
        <v>368</v>
      </c>
      <c r="E28" s="52" t="s">
        <v>368</v>
      </c>
      <c r="F28" s="52" t="s">
        <v>368</v>
      </c>
    </row>
    <row r="29" spans="1:6" x14ac:dyDescent="0.25">
      <c r="A29" s="11" t="s">
        <v>372</v>
      </c>
      <c r="B29" s="51" t="s">
        <v>367</v>
      </c>
      <c r="C29" s="52" t="s">
        <v>368</v>
      </c>
      <c r="D29" s="52" t="s">
        <v>368</v>
      </c>
      <c r="E29" s="52" t="s">
        <v>368</v>
      </c>
      <c r="F29" s="52" t="s">
        <v>368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373</v>
      </c>
      <c r="B3" s="53" t="s">
        <v>112</v>
      </c>
      <c r="D3" s="53" t="s">
        <v>374</v>
      </c>
      <c r="E3" s="53" t="s">
        <v>112</v>
      </c>
    </row>
    <row r="4" spans="1:5" x14ac:dyDescent="0.25">
      <c r="A4" s="11" t="s">
        <v>163</v>
      </c>
      <c r="B4" s="31">
        <v>350000</v>
      </c>
      <c r="D4" s="11" t="s">
        <v>375</v>
      </c>
      <c r="E4" s="31">
        <v>250000</v>
      </c>
    </row>
    <row r="5" spans="1:5" x14ac:dyDescent="0.25">
      <c r="A5" s="11" t="s">
        <v>376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377</v>
      </c>
      <c r="E6" s="31">
        <v>50000</v>
      </c>
    </row>
    <row r="7" spans="4:5" x14ac:dyDescent="0.25">
      <c r="D7" s="11" t="s">
        <v>378</v>
      </c>
      <c r="E7" s="31">
        <v>140000</v>
      </c>
    </row>
    <row r="9" spans="1:5" x14ac:dyDescent="0.25">
      <c r="A9" s="10" t="s">
        <v>379</v>
      </c>
      <c r="B9" s="33">
        <v>500000</v>
      </c>
      <c r="D9" s="10" t="s">
        <v>380</v>
      </c>
      <c r="E9" s="33">
        <v>500000</v>
      </c>
    </row>
    <row r="10" spans="1:2" x14ac:dyDescent="0.25">
      <c r="A10" s="10" t="s">
        <v>381</v>
      </c>
      <c r="B10" s="4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382</v>
      </c>
      <c r="B1" s="15"/>
      <c r="C1" s="15"/>
      <c r="D1" s="15"/>
      <c r="E1" s="15"/>
      <c r="F1" s="15"/>
    </row>
    <row r="3" ht="24" customHeight="1" spans="1:6" x14ac:dyDescent="0.25">
      <c r="A3" s="19" t="s">
        <v>383</v>
      </c>
      <c r="B3" s="19"/>
      <c r="C3" s="19"/>
      <c r="D3" s="19"/>
      <c r="E3" s="19"/>
      <c r="F3" s="19"/>
    </row>
    <row r="4" spans="1:1" x14ac:dyDescent="0.25">
      <c r="A4" s="17" t="s">
        <v>384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354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292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294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295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356</v>
      </c>
      <c r="B10" s="54">
        <v>-2.26</v>
      </c>
      <c r="C10" s="54">
        <v>11.2</v>
      </c>
      <c r="D10" s="54">
        <v>29.6</v>
      </c>
      <c r="E10" s="54">
        <v>48.32</v>
      </c>
      <c r="F10" s="54">
        <v>68.01</v>
      </c>
    </row>
    <row r="11" spans="1:6" x14ac:dyDescent="0.25">
      <c r="A11" s="11" t="s">
        <v>364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385</v>
      </c>
      <c r="B13" s="19"/>
      <c r="C13" s="19"/>
      <c r="D13" s="19"/>
      <c r="E13" s="19"/>
      <c r="F13" s="19"/>
    </row>
    <row r="14" spans="1:1" x14ac:dyDescent="0.25">
      <c r="A14" s="17" t="s">
        <v>386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354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292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294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295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356</v>
      </c>
      <c r="B20" s="54">
        <v>-6.05</v>
      </c>
      <c r="C20" s="54">
        <v>3.93</v>
      </c>
      <c r="D20" s="54">
        <v>18.77</v>
      </c>
      <c r="E20" s="54">
        <v>33.83</v>
      </c>
      <c r="F20" s="54">
        <v>49.68</v>
      </c>
    </row>
    <row r="21" spans="1:6" x14ac:dyDescent="0.25">
      <c r="A21" s="11" t="s">
        <v>364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387</v>
      </c>
      <c r="B23" s="19"/>
      <c r="C23" s="19"/>
      <c r="D23" s="19"/>
      <c r="E23" s="19"/>
      <c r="F23" s="19"/>
    </row>
    <row r="24" spans="1:1" x14ac:dyDescent="0.25">
      <c r="A24" s="17" t="s">
        <v>388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354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292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294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295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356</v>
      </c>
      <c r="B30" s="54">
        <v>-4.28</v>
      </c>
      <c r="C30" s="54">
        <v>7.32</v>
      </c>
      <c r="D30" s="54">
        <v>23.82</v>
      </c>
      <c r="E30" s="54">
        <v>40.59</v>
      </c>
      <c r="F30" s="54">
        <v>58.23</v>
      </c>
    </row>
    <row r="31" spans="1:6" x14ac:dyDescent="0.25">
      <c r="A31" s="11" t="s">
        <v>364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391</v>
      </c>
      <c r="B9" s="11" t="s">
        <v>46</v>
      </c>
    </row>
    <row r="11" ht="24" customHeight="1" spans="1:8" x14ac:dyDescent="0.25">
      <c r="A11" s="19" t="s">
        <v>392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354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292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294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393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394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395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396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356</v>
      </c>
      <c r="D22" s="54">
        <v>-2.26</v>
      </c>
      <c r="E22" s="54">
        <v>11.2</v>
      </c>
      <c r="F22" s="54">
        <v>29.6</v>
      </c>
      <c r="G22" s="54">
        <v>48.32</v>
      </c>
      <c r="H22" s="54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397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398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399</v>
      </c>
      <c r="C2" s="1"/>
      <c r="D2" s="1"/>
      <c r="E2" s="1"/>
      <c r="F2" s="1"/>
      <c r="G2" s="1"/>
      <c r="H2" s="1"/>
    </row>
    <row r="3" spans="2:8" x14ac:dyDescent="0.25">
      <c r="B3" s="56" t="s">
        <v>400</v>
      </c>
      <c r="C3" s="56"/>
      <c r="D3" s="56"/>
      <c r="E3" s="56"/>
      <c r="F3" s="56"/>
      <c r="G3" s="56"/>
      <c r="H3" s="56"/>
    </row>
    <row r="4" spans="2:6" x14ac:dyDescent="0.25">
      <c r="B4" s="57" t="s">
        <v>401</v>
      </c>
      <c r="D4" s="58" t="s">
        <v>402</v>
      </c>
      <c r="F4" s="59" t="s">
        <v>403</v>
      </c>
    </row>
    <row r="6" ht="24" customHeight="1" spans="2:8" x14ac:dyDescent="0.25">
      <c r="B6" s="19" t="s">
        <v>404</v>
      </c>
      <c r="C6" s="60" t="s">
        <v>405</v>
      </c>
      <c r="D6" s="60" t="s">
        <v>406</v>
      </c>
      <c r="E6" s="60" t="s">
        <v>407</v>
      </c>
      <c r="F6" s="60" t="s">
        <v>408</v>
      </c>
      <c r="G6" s="60" t="s">
        <v>409</v>
      </c>
      <c r="H6" s="60" t="s">
        <v>410</v>
      </c>
    </row>
    <row r="7" spans="2:7" x14ac:dyDescent="0.25">
      <c r="B7" s="11" t="s">
        <v>397</v>
      </c>
      <c r="C7" s="61">
        <v>120</v>
      </c>
      <c r="D7" s="61">
        <v>200</v>
      </c>
      <c r="E7" s="61">
        <v>300</v>
      </c>
      <c r="F7" s="61">
        <v>400</v>
      </c>
      <c r="G7" s="61">
        <v>500</v>
      </c>
    </row>
    <row r="8" spans="2:7" x14ac:dyDescent="0.25">
      <c r="B8" s="11" t="s">
        <v>354</v>
      </c>
      <c r="C8" s="62">
        <v>1178333.3333333335</v>
      </c>
      <c r="D8" s="62">
        <v>2261600</v>
      </c>
      <c r="E8" s="62">
        <v>3367965</v>
      </c>
      <c r="F8" s="62">
        <v>4502531.525</v>
      </c>
      <c r="G8" s="62">
        <v>5696361.453</v>
      </c>
    </row>
    <row r="9" spans="2:7" x14ac:dyDescent="0.25">
      <c r="B9" s="11" t="s">
        <v>313</v>
      </c>
      <c r="C9" s="62">
        <v>780535</v>
      </c>
      <c r="D9" s="62">
        <v>964741.26</v>
      </c>
      <c r="E9" s="62">
        <v>993683.4978</v>
      </c>
      <c r="F9" s="62">
        <v>1023494.002734</v>
      </c>
      <c r="G9" s="62">
        <v>1054198.82281602</v>
      </c>
    </row>
    <row r="10" spans="2:7" x14ac:dyDescent="0.25">
      <c r="B10" s="11" t="s">
        <v>314</v>
      </c>
      <c r="C10" s="62">
        <v>503333.3333333334</v>
      </c>
      <c r="D10" s="62">
        <v>774560</v>
      </c>
      <c r="E10" s="62">
        <v>994063.2999999999</v>
      </c>
      <c r="F10" s="62">
        <v>1226039.6940000001</v>
      </c>
      <c r="G10" s="62">
        <v>1471040.01467</v>
      </c>
    </row>
    <row r="11" spans="2:7" x14ac:dyDescent="0.25">
      <c r="B11" s="11" t="s">
        <v>315</v>
      </c>
      <c r="C11" s="62">
        <v>46628.6108154935</v>
      </c>
      <c r="D11" s="62">
        <v>46628.6108154935</v>
      </c>
      <c r="E11" s="62">
        <v>46628.6108154935</v>
      </c>
      <c r="F11" s="62">
        <v>46628.6108154935</v>
      </c>
      <c r="G11" s="62">
        <v>46628.6108154935</v>
      </c>
    </row>
    <row r="12" spans="2:7" x14ac:dyDescent="0.25">
      <c r="B12" s="10" t="s">
        <v>411</v>
      </c>
      <c r="C12" s="63">
        <v>-212163.6108154934</v>
      </c>
      <c r="D12" s="64">
        <v>455670.12918450637</v>
      </c>
      <c r="E12" s="64">
        <v>1308589.5913845068</v>
      </c>
      <c r="F12" s="64">
        <v>2196369.217450507</v>
      </c>
      <c r="G12" s="64">
        <v>3114494.004698486</v>
      </c>
    </row>
    <row r="13" spans="2:7" x14ac:dyDescent="0.25">
      <c r="B13" s="10" t="s">
        <v>358</v>
      </c>
      <c r="C13" s="64">
        <v>74498</v>
      </c>
      <c r="D13" s="64">
        <v>530168.1291845064</v>
      </c>
      <c r="E13" s="64">
        <v>1838757.7205690132</v>
      </c>
      <c r="F13" s="64">
        <v>4035126.93801952</v>
      </c>
      <c r="G13" s="64">
        <v>7149620.942718007</v>
      </c>
    </row>
    <row r="14" spans="2:7" x14ac:dyDescent="0.25">
      <c r="B14" s="10" t="s">
        <v>396</v>
      </c>
      <c r="C14" s="65">
        <v>-0.18005398371894768</v>
      </c>
      <c r="D14" s="66">
        <v>0.20148130933167066</v>
      </c>
      <c r="E14" s="66">
        <v>0.38854013963461814</v>
      </c>
      <c r="F14" s="66">
        <v>0.48780762672183775</v>
      </c>
      <c r="G14" s="66">
        <v>0.54675147116204</v>
      </c>
    </row>
    <row r="15" spans="2:8" x14ac:dyDescent="0.25">
      <c r="B15" s="10" t="s">
        <v>250</v>
      </c>
      <c r="C15" s="67">
        <v>9819.444444444445</v>
      </c>
      <c r="D15" s="68">
        <v>11308</v>
      </c>
      <c r="E15" s="68">
        <v>11226.55</v>
      </c>
      <c r="F15" s="68">
        <v>11256.328812500002</v>
      </c>
      <c r="G15" s="68">
        <v>11392.722905999999</v>
      </c>
      <c r="H15" s="69" t="s">
        <v>412</v>
      </c>
    </row>
    <row r="16" spans="2:8" x14ac:dyDescent="0.25">
      <c r="B16" s="10" t="s">
        <v>413</v>
      </c>
      <c r="C16" s="65">
        <v>0.6624059405940593</v>
      </c>
      <c r="D16" s="66">
        <v>0.4265746639547223</v>
      </c>
      <c r="E16" s="66">
        <v>0.29503973402336425</v>
      </c>
      <c r="F16" s="66">
        <v>0.22731523300861284</v>
      </c>
      <c r="G16" s="66">
        <v>0.18506529677129674</v>
      </c>
      <c r="H16" s="69" t="s">
        <v>414</v>
      </c>
    </row>
    <row r="17" spans="2:8" x14ac:dyDescent="0.25">
      <c r="B17" s="10" t="s">
        <v>415</v>
      </c>
      <c r="C17" s="65">
        <v>0.27326732673267323</v>
      </c>
      <c r="D17" s="66">
        <v>0.14664839051998585</v>
      </c>
      <c r="E17" s="66">
        <v>0.1014291419299191</v>
      </c>
      <c r="F17" s="66">
        <v>0.07814672524697092</v>
      </c>
      <c r="G17" s="66">
        <v>0.06362198744062038</v>
      </c>
      <c r="H17" s="69" t="s">
        <v>416</v>
      </c>
    </row>
    <row r="18" spans="2:8" x14ac:dyDescent="0.25">
      <c r="B18" s="10" t="s">
        <v>417</v>
      </c>
      <c r="C18" s="65">
        <v>-0.08956294200848645</v>
      </c>
      <c r="D18" s="66">
        <v>0.23094213830916166</v>
      </c>
      <c r="E18" s="66">
        <v>0.40980776290727494</v>
      </c>
      <c r="F18" s="66">
        <v>0.5003846870935568</v>
      </c>
      <c r="G18" s="66">
        <v>0.5566926610396014</v>
      </c>
      <c r="H18" s="69" t="s">
        <v>418</v>
      </c>
    </row>
    <row r="19" spans="2:8" x14ac:dyDescent="0.25">
      <c r="B19" s="10" t="s">
        <v>419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420</v>
      </c>
    </row>
    <row r="20" spans="2:8" x14ac:dyDescent="0.25">
      <c r="B20" s="10" t="s">
        <v>356</v>
      </c>
      <c r="C20" s="71">
        <v>-2.2633099754482346</v>
      </c>
      <c r="D20" s="72">
        <v>11.201250281006729</v>
      </c>
      <c r="E20" s="72">
        <v>29.600242813611526</v>
      </c>
      <c r="F20" s="72">
        <v>48.31792731679209</v>
      </c>
      <c r="G20" s="72">
        <v>68.00808688171976</v>
      </c>
      <c r="H20" s="69" t="s">
        <v>421</v>
      </c>
    </row>
    <row r="21" spans="2:8" x14ac:dyDescent="0.25">
      <c r="B21" s="10" t="s">
        <v>422</v>
      </c>
      <c r="C21" s="73" t="str">
        <f>IF('5-Year Operating Stmt'!B16&gt;=0,"✓ Break-even","")</f>
        <v>0</v>
      </c>
      <c r="D21" s="42" t="str">
        <f>IF(AND('5-Year Operating Stmt'!C16&gt;=0,'5-Year Operating Stmt'!B16&lt;0),"✓ Break-even","")</f>
        <v>✓ Break-even</v>
      </c>
      <c r="E21" s="73" t="str">
        <f>IF(AND('5-Year Operating Stmt'!D16&gt;=0,'5-Year Operating Stmt'!C16&lt;0),"✓ Break-even","")</f>
        <v>0</v>
      </c>
      <c r="F21" s="73" t="str">
        <f>IF(AND('5-Year Operating Stmt'!E16&gt;=0,'5-Year Operating Stmt'!D16&lt;0),"✓ Break-even","")</f>
        <v>0</v>
      </c>
      <c r="G21" s="73" t="str">
        <f>IF(AND('5-Year Operating Stmt'!F16&gt;=0,'5-Year Operating Stmt'!E16&lt;0),"✓ Break-even","")</f>
        <v>0</v>
      </c>
      <c r="H21" s="69" t="s">
        <v>405</v>
      </c>
    </row>
    <row r="22" spans="2:8" x14ac:dyDescent="0.25">
      <c r="B22" s="10" t="s">
        <v>423</v>
      </c>
      <c r="C22" s="74">
        <v>1</v>
      </c>
      <c r="D22" s="74">
        <v>4</v>
      </c>
      <c r="E22" s="74">
        <v>11</v>
      </c>
      <c r="F22" s="75">
        <v>21</v>
      </c>
      <c r="G22" s="70">
        <v>33</v>
      </c>
      <c r="H22" s="69" t="s">
        <v>424</v>
      </c>
    </row>
    <row r="24" ht="24" customHeight="1" spans="2:8" x14ac:dyDescent="0.25">
      <c r="B24" s="19" t="s">
        <v>425</v>
      </c>
      <c r="C24" s="19" t="s">
        <v>426</v>
      </c>
      <c r="D24" s="19" t="s">
        <v>427</v>
      </c>
      <c r="E24" s="19"/>
      <c r="F24" s="19" t="s">
        <v>428</v>
      </c>
      <c r="G24" s="19"/>
      <c r="H24" s="19"/>
    </row>
    <row r="25" ht="45" customHeight="1" spans="2:8" x14ac:dyDescent="0.25">
      <c r="B25" s="43" t="s">
        <v>429</v>
      </c>
      <c r="C25" s="42" t="s">
        <v>430</v>
      </c>
      <c r="D25" s="76" t="s">
        <v>431</v>
      </c>
      <c r="E25" s="76"/>
      <c r="F25" s="77" t="s">
        <v>432</v>
      </c>
      <c r="G25" s="77"/>
      <c r="H25" s="77"/>
    </row>
    <row r="26" ht="45" customHeight="1" spans="2:8" x14ac:dyDescent="0.25">
      <c r="B26" s="43" t="s">
        <v>433</v>
      </c>
      <c r="C26" s="78" t="s">
        <v>434</v>
      </c>
      <c r="D26" s="76" t="s">
        <v>435</v>
      </c>
      <c r="E26" s="76"/>
      <c r="F26" s="77" t="s">
        <v>436</v>
      </c>
      <c r="G26" s="77"/>
      <c r="H26" s="77"/>
    </row>
    <row r="27" ht="45" customHeight="1" spans="2:8" x14ac:dyDescent="0.25">
      <c r="B27" s="43" t="s">
        <v>437</v>
      </c>
      <c r="C27" s="42" t="s">
        <v>430</v>
      </c>
      <c r="D27" s="76" t="s">
        <v>438</v>
      </c>
      <c r="E27" s="76"/>
      <c r="F27" s="77" t="s">
        <v>439</v>
      </c>
      <c r="G27" s="77"/>
      <c r="H27" s="77"/>
    </row>
    <row r="28" ht="45" customHeight="1" spans="2:8" x14ac:dyDescent="0.25">
      <c r="B28" s="43" t="s">
        <v>440</v>
      </c>
      <c r="C28" s="42" t="s">
        <v>430</v>
      </c>
      <c r="D28" s="76" t="s">
        <v>441</v>
      </c>
      <c r="E28" s="76"/>
      <c r="F28" s="77" t="s">
        <v>442</v>
      </c>
      <c r="G28" s="77"/>
      <c r="H28" s="77"/>
    </row>
    <row r="29" ht="45" customHeight="1" spans="2:8" x14ac:dyDescent="0.25">
      <c r="B29" s="43" t="s">
        <v>443</v>
      </c>
      <c r="C29" s="42" t="s">
        <v>430</v>
      </c>
      <c r="D29" s="76" t="s">
        <v>444</v>
      </c>
      <c r="E29" s="76"/>
      <c r="F29" s="77" t="s">
        <v>445</v>
      </c>
      <c r="G29" s="77"/>
      <c r="H29" s="77"/>
    </row>
    <row r="30" ht="45" customHeight="1" spans="2:8" x14ac:dyDescent="0.25">
      <c r="B30" s="43" t="s">
        <v>446</v>
      </c>
      <c r="C30" s="42" t="s">
        <v>430</v>
      </c>
      <c r="D30" s="76" t="s">
        <v>447</v>
      </c>
      <c r="E30" s="76"/>
      <c r="F30" s="77" t="s">
        <v>448</v>
      </c>
      <c r="G30" s="77"/>
      <c r="H30" s="77"/>
    </row>
    <row r="31" ht="45" customHeight="1" spans="2:8" x14ac:dyDescent="0.25">
      <c r="B31" s="43" t="s">
        <v>449</v>
      </c>
      <c r="C31" s="42" t="s">
        <v>430</v>
      </c>
      <c r="D31" s="76" t="s">
        <v>450</v>
      </c>
      <c r="E31" s="76"/>
      <c r="F31" s="77" t="s">
        <v>451</v>
      </c>
      <c r="G31" s="77"/>
      <c r="H31" s="77"/>
    </row>
    <row r="33" spans="2:6" x14ac:dyDescent="0.25">
      <c r="B33" s="43" t="s">
        <v>452</v>
      </c>
      <c r="C33" s="10" t="s">
        <v>453</v>
      </c>
      <c r="D33" s="10"/>
      <c r="E33" s="10"/>
      <c r="F33" s="10"/>
    </row>
    <row r="35" spans="2:8" x14ac:dyDescent="0.25">
      <c r="B35" s="79" t="s">
        <v>454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2026-03-26T12:59:27Z</dcterms:created>
  <dcterms:modified xsi:type="dcterms:W3CDTF">2026-03-26T12:59:27Z</dcterms:modified>
</cp:coreProperties>
</file>