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<sst xmlns="http://schemas.openxmlformats.org/spreadsheetml/2006/main" count="816" uniqueCount="467">
  <si>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</si>
  <si>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</si>
  <si>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</si>
  <si>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</si>
  <si>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</si>
  <si>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</si>
  <si>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</si>
  <si>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</si>
  <si>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</si>
  <si>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</si>
  <si>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</si>
  <si>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</si>
  <si>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</si>
  <si>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</si>
  <si>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</si>
  <si>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</si>
  <si>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</si>
  <si>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</si>
  <si>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</si>
  <si>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</si>
  <si>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</si>
  <si>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</si>
  <si>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</si>
  <si>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</si>
  <si>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</si>
  <si>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</si>
  <si>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</si>
  <si>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</si>
  <si>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</si>
  <si>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</si>
  <si>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</si>
  <si>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</si>
  <si>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</si>
  <si>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</si>
  <si>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</si>
  <si>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</si>
  <si>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</si>
  <si>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</si>
  <si>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</si>
  <si>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</si>
  <si>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</si>
  <si>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</si>
  <si>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</si>
  <si>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</si>
  <si>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</si>
  <si>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</si>
  <si>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</si>
  <si>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</si>
  <si>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</si>
  <si>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</si>
  <si>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</si>
  <si>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</si>
  <si>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</si>
  <si>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</si>
  <si>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</si>
  <si>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</si>
  <si>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</si>
  <si>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</si>
  <si>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</si>
  <si>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</si>
  <si>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</si>
  <si>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</si>
  <si>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</si>
  <si>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</si>
  <si>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</si>
  <si>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</si>
  <si>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</si>
  <si>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</si>
  <si>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</si>
  <si>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</si>
  <si>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</si>
  <si>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</si>
  <si>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</si>
  <si>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</si>
  <si>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</si>
  <si>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</si>
  <si>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</si>
  <si>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</si>
  <si>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</si>
  <si>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</si>
  <si>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</si>
  <si>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</si>
  <si>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</si>
  <si>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</si>
  <si>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</si>
  <si>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</si>
  <si>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</si>
  <si>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</si>
  <si>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</si>
  <si>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</si>
  <si>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</si>
  <si>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</si>
  <si>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</si>
  <si>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</si>
  <si>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</si>
  <si>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</si>
  <si>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</si>
  <si>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</si>
  <si>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</si>
  <si>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</si>
  <si>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</si>
  <si>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</si>
  <si>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</si>
  <si>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</si>
  <si>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</si>
  <si>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</si>
  <si>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</si>
  <si>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</si>
  <si>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</si>
  <si>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</si>
  <si>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</si>
  <si>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</si>
  <si>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</si>
  <si>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</si>
  <si>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</si>
  <si>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</si>
  <si>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</si>
  <si>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</si>
  <si>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</si>
  <si>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</si>
  <si>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</si>
  <si>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</si>
  <si>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</si>
  <si>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</si>
  <si>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</si>
  <si>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</si>
  <si>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</si>
  <si>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</si>
  <si>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</si>
  <si>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</si>
  <si>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</si>
  <si>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</si>
  <si>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</si>
  <si>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</si>
  <si>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</si>
  <si>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</si>
  <si>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</si>
  <si>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</si>
  <si>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</si>
  <si>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</si>
  <si>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</si>
  <si>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</si>
  <si>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</si>
  <si>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</si>
  <si>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</si>
  <si>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</si>
  <si>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</si>
  <si>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</si>
  <si>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</si>
  <si>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</si>
  <si>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</si>
  <si>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</si>
  <si>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</si>
  <si>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</si>
  <si>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</si>
  <si>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</si>
  <si>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</si>
  <si>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</si>
  <si>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</si>
  <si>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</si>
  <si>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</si>
  <si>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</si>
  <si>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</si>
  <si>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</si>
  <si>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</si>
  <si>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</si>
  <si>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</si>
  <si>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</si>
  <si>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</si>
  <si>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</si>
  <si>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</si>
  <si>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</si>
  <si>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</si>
  <si>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</si>
  <si>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</si>
  <si>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</si>
  <si>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</si>
  <si>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</si>
  <si>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</si>
  <si>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</si>
  <si>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</si>
  <si>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</si>
  <si>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</si>
  <si>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</si>
  <si>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</si>
  <si>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</si>
  <si>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</si>
  <si>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</si>
  <si>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</si>
  <si>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</si>
  <si>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</si>
  <si>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</si>
  <si>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</si>
  <si>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</si>
  <si>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</si>
  <si>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</si>
  <si>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</si>
  <si>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</si>
  <si>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</si>
  <si>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</si>
  <si>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</si>
  <si>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</si>
  <si>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</si>
  <si>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</si>
  <si>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</si>
  <si>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</si>
  <si>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</si>
  <si>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</si>
  <si>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</si>
  <si>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</si>
  <si>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</si>
  <si>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</si>
  <si>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</si>
  <si>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</si>
  <si>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</si>
  <si>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</si>
  <si>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</si>
  <si>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</si>
  <si>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</si>
  <si>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</si>
  <si>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</si>
  <si>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</si>
  <si>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</si>
  <si>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</si>
  <si>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</si>
  <si>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</si>
  <si>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</si>
  <si>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</si>
  <si>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</si>
  <si>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</si>
  <si>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</si>
  <si>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</si>
  <si>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</si>
  <si>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</si>
  <si>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</si>
  <si>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</si>
  <si>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</si>
  <si>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</si>
  <si>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</si>
  <si>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</si>
  <si>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</si>
  <si>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</si>
  <si>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</si>
  <si>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</si>
  <si>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</si>
  <si>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</si>
  <si>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</si>
  <si>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</si>
  <si>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</si>
  <si>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</si>
  <si>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</si>
  <si>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</si>
  <si>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 [5 FTE]</t>
  </si>
  <si>
    <t xml:space="preserve">  SPED Teacher [1 FTE]</t>
  </si>
  <si>
    <t xml:space="preserve">  Instructional Aides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</si>
  <si>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</si>
  <si>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</si>
  <si>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</si>
  <si>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</si>
  <si>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Business Manager [1 FTE]</t>
  </si>
  <si>
    <t>Total Operations</t>
  </si>
  <si>
    <t xml:space="preserve">  Front Office [2 FTE]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</si>
  <si>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</si>
  <si>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</si>
  <si>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</si>
  <si>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</si>
  <si>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</si>
  <si>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</si>
  <si>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</si>
  <si>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</si>
  <si>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</si>
  <si>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</si>
  <si>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</si>
  <si>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</si>
  <si>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Head of School</t>
  </si>
  <si>
    <t xml:space="preserve">  Assistant Principal</t>
  </si>
  <si>
    <t xml:space="preserve">  Lead Teachers</t>
  </si>
  <si>
    <t xml:space="preserve">  SPED Teacher</t>
  </si>
  <si>
    <t xml:space="preserve">  Instructional Aides</t>
  </si>
  <si>
    <t xml:space="preserve">  Business Manager</t>
  </si>
  <si>
    <t xml:space="preserve">  Front Office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</si>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</sst>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274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275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276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277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278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279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280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281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282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283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284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285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286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287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288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289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290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291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292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293</v>
      </c>
      <c r="B41" s="19"/>
      <c r="C41" s="19"/>
      <c r="D41" s="19"/>
      <c r="E41" s="19"/>
      <c r="F41" s="19"/>
    </row>
    <row r="42" spans="1:6" x14ac:dyDescent="0.25">
      <c r="A42" s="11" t="s">
        <v>294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295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296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292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298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299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300</v>
      </c>
      <c r="B10" s="19"/>
      <c r="C10" s="19"/>
      <c r="D10" s="19"/>
      <c r="E10" s="19"/>
      <c r="F10" s="19"/>
    </row>
    <row r="11" spans="1:6" x14ac:dyDescent="0.25">
      <c r="A11" s="10" t="s">
        <v>301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302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303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304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306</v>
      </c>
      <c r="C2" s="21" t="s">
        <v>307</v>
      </c>
      <c r="D2" s="21" t="s">
        <v>308</v>
      </c>
      <c r="E2" s="21" t="s">
        <v>309</v>
      </c>
      <c r="F2" s="21" t="s">
        <v>310</v>
      </c>
      <c r="G2" s="21" t="s">
        <v>311</v>
      </c>
      <c r="H2" s="21" t="s">
        <v>312</v>
      </c>
      <c r="I2" s="21" t="s">
        <v>313</v>
      </c>
      <c r="J2" s="21" t="s">
        <v>314</v>
      </c>
      <c r="K2" s="21" t="s">
        <v>315</v>
      </c>
      <c r="L2" s="21" t="s">
        <v>316</v>
      </c>
      <c r="M2" s="21" t="s">
        <v>317</v>
      </c>
      <c r="N2" s="21" t="s">
        <v>318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320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321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322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323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299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324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325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326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327</v>
      </c>
      <c r="B18" s="39">
        <f>M14</f>
        <v>74498</v>
      </c>
    </row>
    <row r="19" spans="1:2" x14ac:dyDescent="0.25">
      <c r="A19" s="11" t="s">
        <v>328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319</v>
      </c>
      <c r="B7" s="19"/>
      <c r="C7" s="19"/>
      <c r="D7" s="19"/>
      <c r="E7" s="19"/>
      <c r="F7" s="19"/>
    </row>
    <row r="8" spans="1:6" x14ac:dyDescent="0.25">
      <c r="A8" s="10" t="s">
        <v>320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321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330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299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331</v>
      </c>
      <c r="B13" s="19"/>
      <c r="C13" s="19"/>
      <c r="D13" s="19"/>
      <c r="E13" s="19"/>
      <c r="F13" s="19"/>
    </row>
    <row r="14" spans="1:6" x14ac:dyDescent="0.25">
      <c r="A14" s="40" t="s">
        <v>301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302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332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333</v>
      </c>
      <c r="B17" s="41" t="s">
        <v>7</v>
      </c>
      <c r="C17" s="42" t="s">
        <v>334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335</v>
      </c>
      <c r="B4" s="19"/>
      <c r="C4" s="19"/>
      <c r="D4" s="19"/>
      <c r="E4" s="19"/>
      <c r="F4" s="19"/>
    </row>
    <row r="5" spans="1:5" x14ac:dyDescent="0.25">
      <c r="A5" s="43" t="s">
        <v>336</v>
      </c>
      <c r="B5" s="44" t="s">
        <v>161</v>
      </c>
      <c r="C5" s="45" t="s">
        <v>337</v>
      </c>
      <c r="D5" s="43" t="s">
        <v>338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339</v>
      </c>
      <c r="B8" s="19"/>
      <c r="C8" s="19"/>
      <c r="D8" s="19"/>
      <c r="E8" s="19"/>
      <c r="F8" s="19"/>
    </row>
    <row r="9" spans="1:6" x14ac:dyDescent="0.25">
      <c r="A9" s="11" t="s">
        <v>340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341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342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343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344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346</v>
      </c>
      <c r="B4" s="19"/>
      <c r="C4" s="19"/>
      <c r="D4" s="19"/>
      <c r="E4" s="19"/>
      <c r="F4" s="19"/>
    </row>
    <row r="5" spans="1:6" x14ac:dyDescent="0.25">
      <c r="A5" s="11" t="s">
        <v>347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348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349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350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351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352</v>
      </c>
      <c r="B11" s="19"/>
      <c r="C11" s="19"/>
      <c r="D11" s="19"/>
      <c r="E11" s="19"/>
      <c r="F11" s="19"/>
    </row>
    <row r="12" spans="1:6" x14ac:dyDescent="0.25">
      <c r="A12" s="11" t="s">
        <v>353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354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355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356</v>
      </c>
      <c r="B16" s="19"/>
      <c r="C16" s="19"/>
      <c r="D16" s="19"/>
      <c r="E16" s="19"/>
      <c r="F16" s="19"/>
    </row>
    <row r="17" spans="1:6" x14ac:dyDescent="0.25">
      <c r="A17" s="10" t="s">
        <v>357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358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360</v>
      </c>
      <c r="B4" s="19"/>
      <c r="C4" s="19"/>
      <c r="D4" s="19"/>
      <c r="E4" s="19"/>
      <c r="F4" s="19"/>
    </row>
    <row r="5" spans="1:6" x14ac:dyDescent="0.25">
      <c r="A5" s="11" t="s">
        <v>361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320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321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362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322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363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364</v>
      </c>
      <c r="B12" s="19"/>
      <c r="C12" s="19"/>
      <c r="D12" s="19"/>
      <c r="E12" s="19"/>
      <c r="F12" s="19"/>
    </row>
    <row r="13" spans="1:6" x14ac:dyDescent="0.25">
      <c r="A13" s="11" t="s">
        <v>365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366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367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368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369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370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371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372</v>
      </c>
      <c r="B24" s="19"/>
      <c r="C24" s="19"/>
      <c r="D24" s="19"/>
      <c r="E24" s="19"/>
      <c r="F24" s="19"/>
    </row>
    <row r="25" spans="1:6" x14ac:dyDescent="0.25">
      <c r="A25" s="11" t="s">
        <v>373</v>
      </c>
      <c r="B25" s="51" t="s">
        <v>374</v>
      </c>
      <c r="C25" s="52" t="s">
        <v>375</v>
      </c>
      <c r="D25" s="52" t="s">
        <v>375</v>
      </c>
      <c r="E25" s="52" t="s">
        <v>375</v>
      </c>
      <c r="F25" s="52" t="s">
        <v>375</v>
      </c>
    </row>
    <row r="26" spans="1:6" x14ac:dyDescent="0.25">
      <c r="A26" s="11" t="s">
        <v>376</v>
      </c>
      <c r="B26" s="51" t="s">
        <v>374</v>
      </c>
      <c r="C26" s="52" t="s">
        <v>375</v>
      </c>
      <c r="D26" s="52" t="s">
        <v>375</v>
      </c>
      <c r="E26" s="52" t="s">
        <v>375</v>
      </c>
      <c r="F26" s="52" t="s">
        <v>375</v>
      </c>
    </row>
    <row r="27" spans="1:6" x14ac:dyDescent="0.25">
      <c r="A27" s="11" t="s">
        <v>377</v>
      </c>
      <c r="B27" s="51" t="s">
        <v>374</v>
      </c>
      <c r="C27" s="51" t="s">
        <v>374</v>
      </c>
      <c r="D27" s="51" t="s">
        <v>374</v>
      </c>
      <c r="E27" s="51" t="s">
        <v>374</v>
      </c>
      <c r="F27" s="51" t="s">
        <v>374</v>
      </c>
    </row>
    <row r="28" spans="1:6" x14ac:dyDescent="0.25">
      <c r="A28" s="11" t="s">
        <v>378</v>
      </c>
      <c r="B28" s="51" t="s">
        <v>374</v>
      </c>
      <c r="C28" s="52" t="s">
        <v>375</v>
      </c>
      <c r="D28" s="52" t="s">
        <v>375</v>
      </c>
      <c r="E28" s="52" t="s">
        <v>375</v>
      </c>
      <c r="F28" s="52" t="s">
        <v>375</v>
      </c>
    </row>
    <row r="29" spans="1:6" x14ac:dyDescent="0.25">
      <c r="A29" s="11" t="s">
        <v>379</v>
      </c>
      <c r="B29" s="51" t="s">
        <v>374</v>
      </c>
      <c r="C29" s="52" t="s">
        <v>375</v>
      </c>
      <c r="D29" s="52" t="s">
        <v>375</v>
      </c>
      <c r="E29" s="52" t="s">
        <v>375</v>
      </c>
      <c r="F29" s="52" t="s">
        <v>375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380</v>
      </c>
      <c r="B3" s="53" t="s">
        <v>112</v>
      </c>
      <c r="D3" s="53" t="s">
        <v>381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382</v>
      </c>
      <c r="E4" s="31">
        <v>250000</v>
      </c>
    </row>
    <row r="5" spans="1:5" x14ac:dyDescent="0.25">
      <c r="A5" s="11" t="s">
        <v>383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384</v>
      </c>
      <c r="E6" s="31">
        <v>50000</v>
      </c>
    </row>
    <row r="7" spans="4:5" x14ac:dyDescent="0.25">
      <c r="D7" s="11" t="s">
        <v>385</v>
      </c>
      <c r="E7" s="31">
        <v>140000</v>
      </c>
    </row>
    <row r="9" spans="1:5" x14ac:dyDescent="0.25">
      <c r="A9" s="10" t="s">
        <v>386</v>
      </c>
      <c r="B9" s="33">
        <v>500000</v>
      </c>
      <c r="D9" s="10" t="s">
        <v>387</v>
      </c>
      <c r="E9" s="33">
        <v>500000</v>
      </c>
    </row>
    <row r="10" spans="1:2" x14ac:dyDescent="0.25">
      <c r="A10" s="10" t="s">
        <v>388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389</v>
      </c>
      <c r="B1" s="15"/>
      <c r="C1" s="15"/>
      <c r="D1" s="15"/>
      <c r="E1" s="15"/>
      <c r="F1" s="15"/>
    </row>
    <row r="3" ht="24" customHeight="1" spans="1:6" x14ac:dyDescent="0.25">
      <c r="A3" s="19" t="s">
        <v>390</v>
      </c>
      <c r="B3" s="19"/>
      <c r="C3" s="19"/>
      <c r="D3" s="19"/>
      <c r="E3" s="19"/>
      <c r="F3" s="19"/>
    </row>
    <row r="4" spans="1:1" x14ac:dyDescent="0.25">
      <c r="A4" s="17" t="s">
        <v>391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361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299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301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302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363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371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392</v>
      </c>
      <c r="B13" s="19"/>
      <c r="C13" s="19"/>
      <c r="D13" s="19"/>
      <c r="E13" s="19"/>
      <c r="F13" s="19"/>
    </row>
    <row r="14" spans="1:1" x14ac:dyDescent="0.25">
      <c r="A14" s="17" t="s">
        <v>393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361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299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301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302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363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371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394</v>
      </c>
      <c r="B23" s="19"/>
      <c r="C23" s="19"/>
      <c r="D23" s="19"/>
      <c r="E23" s="19"/>
      <c r="F23" s="19"/>
    </row>
    <row r="24" spans="1:1" x14ac:dyDescent="0.25">
      <c r="A24" s="17" t="s">
        <v>395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361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299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301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302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363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371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398</v>
      </c>
      <c r="B9" s="11" t="s">
        <v>46</v>
      </c>
    </row>
    <row r="11" ht="24" customHeight="1" spans="1:8" x14ac:dyDescent="0.25">
      <c r="A11" s="19" t="s">
        <v>399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361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299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301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400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401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402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403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363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404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405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406</v>
      </c>
      <c r="C2" s="1"/>
      <c r="D2" s="1"/>
      <c r="E2" s="1"/>
      <c r="F2" s="1"/>
      <c r="G2" s="1"/>
      <c r="H2" s="1"/>
    </row>
    <row r="3" spans="2:8" x14ac:dyDescent="0.25">
      <c r="B3" s="56" t="s">
        <v>407</v>
      </c>
      <c r="C3" s="56"/>
      <c r="D3" s="56"/>
      <c r="E3" s="56"/>
      <c r="F3" s="56"/>
      <c r="G3" s="56"/>
      <c r="H3" s="56"/>
    </row>
    <row r="4" spans="2:6" x14ac:dyDescent="0.25">
      <c r="B4" s="57" t="s">
        <v>408</v>
      </c>
      <c r="D4" s="58" t="s">
        <v>409</v>
      </c>
      <c r="F4" s="59" t="s">
        <v>410</v>
      </c>
    </row>
    <row r="6" ht="24" customHeight="1" spans="2:8" x14ac:dyDescent="0.25">
      <c r="B6" s="19" t="s">
        <v>411</v>
      </c>
      <c r="C6" s="60" t="s">
        <v>412</v>
      </c>
      <c r="D6" s="60" t="s">
        <v>413</v>
      </c>
      <c r="E6" s="60" t="s">
        <v>414</v>
      </c>
      <c r="F6" s="60" t="s">
        <v>415</v>
      </c>
      <c r="G6" s="60" t="s">
        <v>416</v>
      </c>
      <c r="H6" s="60" t="s">
        <v>417</v>
      </c>
    </row>
    <row r="7" spans="2:7" x14ac:dyDescent="0.25">
      <c r="B7" s="11" t="s">
        <v>404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361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320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321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322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418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365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403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419</v>
      </c>
    </row>
    <row r="16" spans="2:7" x14ac:dyDescent="0.25">
      <c r="B16" s="10" t="s">
        <v>304</v>
      </c>
      <c r="C16" s="70">
        <v>11087.474534573557</v>
      </c>
      <c r="D16" s="70">
        <v>8929.649354077466</v>
      </c>
      <c r="E16" s="70">
        <v>6781.251362051644</v>
      </c>
      <c r="F16" s="70">
        <v>5740.405768873734</v>
      </c>
      <c r="G16" s="70">
        <v>5143.734896603028</v>
      </c>
    </row>
    <row r="17" spans="2:7" x14ac:dyDescent="0.25">
      <c r="B17" s="11" t="s">
        <v>420</v>
      </c>
      <c r="C17" s="62">
        <v>650</v>
      </c>
      <c r="D17" s="62">
        <v>669.5</v>
      </c>
      <c r="E17" s="62">
        <v>689.5849999999999</v>
      </c>
      <c r="F17" s="62">
        <v>710.27255</v>
      </c>
      <c r="G17" s="62">
        <v>731.5807265000001</v>
      </c>
    </row>
    <row r="18" spans="2:8" x14ac:dyDescent="0.25">
      <c r="B18" s="11" t="s">
        <v>421</v>
      </c>
      <c r="C18" s="67">
        <v>2683.3333333333335</v>
      </c>
      <c r="D18" s="68">
        <v>1658.3</v>
      </c>
      <c r="E18" s="68">
        <v>1138.6993333333332</v>
      </c>
      <c r="F18" s="68">
        <v>879.645235</v>
      </c>
      <c r="G18" s="68">
        <v>724.8276736400001</v>
      </c>
      <c r="H18" s="69" t="s">
        <v>422</v>
      </c>
    </row>
    <row r="19" spans="2:7" x14ac:dyDescent="0.25">
      <c r="B19" s="10" t="s">
        <v>423</v>
      </c>
      <c r="C19" s="71">
        <v>-1768.0300901291116</v>
      </c>
      <c r="D19" s="72">
        <v>2278.350645922532</v>
      </c>
      <c r="E19" s="72">
        <v>4361.965304615022</v>
      </c>
      <c r="F19" s="72">
        <v>5490.923043626268</v>
      </c>
      <c r="G19" s="72">
        <v>6228.988009396972</v>
      </c>
    </row>
    <row r="20" spans="2:8" x14ac:dyDescent="0.25">
      <c r="B20" s="10" t="s">
        <v>424</v>
      </c>
      <c r="C20" s="65">
        <v>0.6624059405940593</v>
      </c>
      <c r="D20" s="66">
        <v>0.4265746639547223</v>
      </c>
      <c r="E20" s="66">
        <v>0.29503973402336425</v>
      </c>
      <c r="F20" s="66">
        <v>0.22731523300861284</v>
      </c>
      <c r="G20" s="66">
        <v>0.18506529677129674</v>
      </c>
      <c r="H20" s="69" t="s">
        <v>425</v>
      </c>
    </row>
    <row r="21" spans="2:8" x14ac:dyDescent="0.25">
      <c r="B21" s="10" t="s">
        <v>426</v>
      </c>
      <c r="C21" s="65">
        <v>0.27326732673267323</v>
      </c>
      <c r="D21" s="66">
        <v>0.14664839051998585</v>
      </c>
      <c r="E21" s="66">
        <v>0.1014291419299191</v>
      </c>
      <c r="F21" s="66">
        <v>0.07814672524697092</v>
      </c>
      <c r="G21" s="66">
        <v>0.06362198744062038</v>
      </c>
      <c r="H21" s="69" t="s">
        <v>427</v>
      </c>
    </row>
    <row r="22" spans="2:8" x14ac:dyDescent="0.25">
      <c r="B22" s="10" t="s">
        <v>428</v>
      </c>
      <c r="C22" s="65">
        <v>-0.08956294200848645</v>
      </c>
      <c r="D22" s="66">
        <v>0.23094213830916166</v>
      </c>
      <c r="E22" s="66">
        <v>0.40980776290727494</v>
      </c>
      <c r="F22" s="66">
        <v>0.5003846870935568</v>
      </c>
      <c r="G22" s="66">
        <v>0.5566926610396014</v>
      </c>
      <c r="H22" s="69" t="s">
        <v>429</v>
      </c>
    </row>
    <row r="23" spans="2:8" x14ac:dyDescent="0.25">
      <c r="B23" s="10" t="s">
        <v>430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9" t="s">
        <v>431</v>
      </c>
    </row>
    <row r="24" spans="2:8" x14ac:dyDescent="0.25">
      <c r="B24" s="10" t="s">
        <v>363</v>
      </c>
      <c r="C24" s="74">
        <v>-2.2633099754482346</v>
      </c>
      <c r="D24" s="75">
        <v>11.201250281006729</v>
      </c>
      <c r="E24" s="75">
        <v>29.600242813611526</v>
      </c>
      <c r="F24" s="75">
        <v>48.31792731679209</v>
      </c>
      <c r="G24" s="75">
        <v>68.00808688171976</v>
      </c>
      <c r="H24" s="69" t="s">
        <v>432</v>
      </c>
    </row>
    <row r="25" spans="2:8" x14ac:dyDescent="0.25">
      <c r="B25" s="10" t="s">
        <v>433</v>
      </c>
      <c r="C25" s="76" t="str">
        <f>IF('5-Year Operating Stmt'!B16&gt;=0,"✓ Break-even","")</f>
        <v>0</v>
      </c>
      <c r="D25" s="42" t="str">
        <f>IF(AND('5-Year Operating Stmt'!C16&gt;=0,'5-Year Operating Stmt'!B16&lt;0),"✓ Break-even","")</f>
        <v>✓ Break-even</v>
      </c>
      <c r="E25" s="76" t="str">
        <f>IF(AND('5-Year Operating Stmt'!D16&gt;=0,'5-Year Operating Stmt'!C16&lt;0),"✓ Break-even","")</f>
        <v>0</v>
      </c>
      <c r="F25" s="76" t="str">
        <f>IF(AND('5-Year Operating Stmt'!E16&gt;=0,'5-Year Operating Stmt'!D16&lt;0),"✓ Break-even","")</f>
        <v>0</v>
      </c>
      <c r="G25" s="76" t="str">
        <f>IF(AND('5-Year Operating Stmt'!F16&gt;=0,'5-Year Operating Stmt'!E16&lt;0),"✓ Break-even","")</f>
        <v>0</v>
      </c>
      <c r="H25" s="69" t="s">
        <v>412</v>
      </c>
    </row>
    <row r="26" spans="2:8" x14ac:dyDescent="0.25">
      <c r="B26" s="10" t="s">
        <v>434</v>
      </c>
      <c r="C26" s="77">
        <v>1</v>
      </c>
      <c r="D26" s="77">
        <v>4</v>
      </c>
      <c r="E26" s="77">
        <v>11</v>
      </c>
      <c r="F26" s="78">
        <v>21</v>
      </c>
      <c r="G26" s="73">
        <v>33</v>
      </c>
      <c r="H26" s="69" t="s">
        <v>435</v>
      </c>
    </row>
    <row r="27" spans="2:8" x14ac:dyDescent="0.25">
      <c r="B27" s="10" t="s">
        <v>366</v>
      </c>
      <c r="C27" s="77">
        <v>20</v>
      </c>
      <c r="D27" s="73">
        <v>108</v>
      </c>
      <c r="E27" s="73">
        <v>330</v>
      </c>
      <c r="F27" s="73">
        <v>641</v>
      </c>
      <c r="G27" s="73">
        <v>1015</v>
      </c>
      <c r="H27" s="69" t="s">
        <v>436</v>
      </c>
    </row>
    <row r="29" ht="24" customHeight="1" spans="2:8" x14ac:dyDescent="0.25">
      <c r="B29" s="19" t="s">
        <v>437</v>
      </c>
      <c r="C29" s="19" t="s">
        <v>438</v>
      </c>
      <c r="D29" s="19" t="s">
        <v>439</v>
      </c>
      <c r="E29" s="19"/>
      <c r="F29" s="19" t="s">
        <v>440</v>
      </c>
      <c r="G29" s="19"/>
      <c r="H29" s="19"/>
    </row>
    <row r="30" ht="45" customHeight="1" spans="2:8" x14ac:dyDescent="0.25">
      <c r="B30" s="43" t="s">
        <v>441</v>
      </c>
      <c r="C30" s="42" t="s">
        <v>442</v>
      </c>
      <c r="D30" s="79" t="s">
        <v>443</v>
      </c>
      <c r="E30" s="79"/>
      <c r="F30" s="80" t="s">
        <v>444</v>
      </c>
      <c r="G30" s="80"/>
      <c r="H30" s="80"/>
    </row>
    <row r="31" ht="45" customHeight="1" spans="2:8" x14ac:dyDescent="0.25">
      <c r="B31" s="43" t="s">
        <v>445</v>
      </c>
      <c r="C31" s="81" t="s">
        <v>446</v>
      </c>
      <c r="D31" s="79" t="s">
        <v>447</v>
      </c>
      <c r="E31" s="79"/>
      <c r="F31" s="80" t="s">
        <v>448</v>
      </c>
      <c r="G31" s="80"/>
      <c r="H31" s="80"/>
    </row>
    <row r="32" ht="45" customHeight="1" spans="2:8" x14ac:dyDescent="0.25">
      <c r="B32" s="43" t="s">
        <v>449</v>
      </c>
      <c r="C32" s="42" t="s">
        <v>442</v>
      </c>
      <c r="D32" s="79" t="s">
        <v>450</v>
      </c>
      <c r="E32" s="79"/>
      <c r="F32" s="80" t="s">
        <v>451</v>
      </c>
      <c r="G32" s="80"/>
      <c r="H32" s="80"/>
    </row>
    <row r="33" ht="45" customHeight="1" spans="2:8" x14ac:dyDescent="0.25">
      <c r="B33" s="43" t="s">
        <v>452</v>
      </c>
      <c r="C33" s="42" t="s">
        <v>442</v>
      </c>
      <c r="D33" s="79" t="s">
        <v>453</v>
      </c>
      <c r="E33" s="79"/>
      <c r="F33" s="80" t="s">
        <v>454</v>
      </c>
      <c r="G33" s="80"/>
      <c r="H33" s="80"/>
    </row>
    <row r="34" ht="45" customHeight="1" spans="2:8" x14ac:dyDescent="0.25">
      <c r="B34" s="43" t="s">
        <v>455</v>
      </c>
      <c r="C34" s="42" t="s">
        <v>442</v>
      </c>
      <c r="D34" s="79" t="s">
        <v>456</v>
      </c>
      <c r="E34" s="79"/>
      <c r="F34" s="80" t="s">
        <v>457</v>
      </c>
      <c r="G34" s="80"/>
      <c r="H34" s="80"/>
    </row>
    <row r="35" ht="45" customHeight="1" spans="2:8" x14ac:dyDescent="0.25">
      <c r="B35" s="43" t="s">
        <v>458</v>
      </c>
      <c r="C35" s="42" t="s">
        <v>442</v>
      </c>
      <c r="D35" s="79" t="s">
        <v>459</v>
      </c>
      <c r="E35" s="79"/>
      <c r="F35" s="80" t="s">
        <v>460</v>
      </c>
      <c r="G35" s="80"/>
      <c r="H35" s="80"/>
    </row>
    <row r="36" ht="45" customHeight="1" spans="2:8" x14ac:dyDescent="0.25">
      <c r="B36" s="43" t="s">
        <v>461</v>
      </c>
      <c r="C36" s="42" t="s">
        <v>442</v>
      </c>
      <c r="D36" s="79" t="s">
        <v>462</v>
      </c>
      <c r="E36" s="79"/>
      <c r="F36" s="80" t="s">
        <v>463</v>
      </c>
      <c r="G36" s="80"/>
      <c r="H36" s="80"/>
    </row>
    <row r="38" spans="2:6" x14ac:dyDescent="0.25">
      <c r="B38" s="43" t="s">
        <v>464</v>
      </c>
      <c r="C38" s="10" t="s">
        <v>465</v>
      </c>
      <c r="D38" s="10"/>
      <c r="E38" s="10"/>
      <c r="F38" s="10"/>
    </row>
    <row r="40" spans="2:8" x14ac:dyDescent="0.25">
      <c r="B40" s="82" t="s">
        <v>466</v>
      </c>
      <c r="C40" s="82"/>
      <c r="D40" s="82"/>
      <c r="E40" s="82"/>
      <c r="F40" s="82"/>
      <c r="G40" s="82"/>
      <c r="H40" s="82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2026-03-27T03:41:14Z</dcterms:created>
  <dcterms:modified xsi:type="dcterms:W3CDTF">2026-03-27T03:41:14Z</dcterms:modified>
</cp:coreProperties>
</file>