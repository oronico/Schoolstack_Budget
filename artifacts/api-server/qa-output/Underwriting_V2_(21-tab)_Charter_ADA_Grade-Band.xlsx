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<sst xmlns="http://schemas.openxmlformats.org/spreadsheetml/2006/main" count="816" uniqueCount="467">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</sst>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7" x14ac:dyDescent="0.25">
      <c r="B16" s="10" t="s">
        <v>304</v>
      </c>
      <c r="C16" s="70">
        <v>11087.474534573557</v>
      </c>
      <c r="D16" s="70">
        <v>8929.649354077466</v>
      </c>
      <c r="E16" s="70">
        <v>6781.251362051644</v>
      </c>
      <c r="F16" s="70">
        <v>5740.405768873734</v>
      </c>
      <c r="G16" s="70">
        <v>5143.734896603028</v>
      </c>
    </row>
    <row r="17" spans="2:7" x14ac:dyDescent="0.25">
      <c r="B17" s="11" t="s">
        <v>420</v>
      </c>
      <c r="C17" s="62">
        <v>650</v>
      </c>
      <c r="D17" s="62">
        <v>669.5</v>
      </c>
      <c r="E17" s="62">
        <v>689.5849999999999</v>
      </c>
      <c r="F17" s="62">
        <v>710.27255</v>
      </c>
      <c r="G17" s="62">
        <v>731.5807265000001</v>
      </c>
    </row>
    <row r="18" spans="2:8" x14ac:dyDescent="0.25">
      <c r="B18" s="11" t="s">
        <v>421</v>
      </c>
      <c r="C18" s="67">
        <v>2683.3333333333335</v>
      </c>
      <c r="D18" s="68">
        <v>1658.3</v>
      </c>
      <c r="E18" s="68">
        <v>1138.6993333333332</v>
      </c>
      <c r="F18" s="68">
        <v>879.645235</v>
      </c>
      <c r="G18" s="68">
        <v>724.8276736400001</v>
      </c>
      <c r="H18" s="69" t="s">
        <v>422</v>
      </c>
    </row>
    <row r="19" spans="2:7" x14ac:dyDescent="0.25">
      <c r="B19" s="10" t="s">
        <v>423</v>
      </c>
      <c r="C19" s="71">
        <v>-1768.0300901291116</v>
      </c>
      <c r="D19" s="72">
        <v>2278.350645922532</v>
      </c>
      <c r="E19" s="72">
        <v>4361.965304615022</v>
      </c>
      <c r="F19" s="72">
        <v>5490.923043626268</v>
      </c>
      <c r="G19" s="72">
        <v>6228.988009396972</v>
      </c>
    </row>
    <row r="20" spans="2:8" x14ac:dyDescent="0.25">
      <c r="B20" s="10" t="s">
        <v>424</v>
      </c>
      <c r="C20" s="65">
        <v>0.6624059405940593</v>
      </c>
      <c r="D20" s="66">
        <v>0.4265746639547223</v>
      </c>
      <c r="E20" s="66">
        <v>0.29503973402336425</v>
      </c>
      <c r="F20" s="66">
        <v>0.22731523300861284</v>
      </c>
      <c r="G20" s="66">
        <v>0.18506529677129674</v>
      </c>
      <c r="H20" s="69" t="s">
        <v>425</v>
      </c>
    </row>
    <row r="21" spans="2:8" x14ac:dyDescent="0.25">
      <c r="B21" s="10" t="s">
        <v>426</v>
      </c>
      <c r="C21" s="65">
        <v>0.27326732673267323</v>
      </c>
      <c r="D21" s="66">
        <v>0.14664839051998585</v>
      </c>
      <c r="E21" s="66">
        <v>0.1014291419299191</v>
      </c>
      <c r="F21" s="66">
        <v>0.07814672524697092</v>
      </c>
      <c r="G21" s="66">
        <v>0.06362198744062038</v>
      </c>
      <c r="H21" s="69" t="s">
        <v>427</v>
      </c>
    </row>
    <row r="22" spans="2:8" x14ac:dyDescent="0.25">
      <c r="B22" s="10" t="s">
        <v>428</v>
      </c>
      <c r="C22" s="65">
        <v>-0.08956294200848645</v>
      </c>
      <c r="D22" s="66">
        <v>0.23094213830916166</v>
      </c>
      <c r="E22" s="66">
        <v>0.40980776290727494</v>
      </c>
      <c r="F22" s="66">
        <v>0.5003846870935568</v>
      </c>
      <c r="G22" s="66">
        <v>0.5566926610396014</v>
      </c>
      <c r="H22" s="69" t="s">
        <v>429</v>
      </c>
    </row>
    <row r="23" spans="2:8" x14ac:dyDescent="0.25">
      <c r="B23" s="10" t="s">
        <v>430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431</v>
      </c>
    </row>
    <row r="24" spans="2:8" x14ac:dyDescent="0.25">
      <c r="B24" s="10" t="s">
        <v>363</v>
      </c>
      <c r="C24" s="74">
        <v>-2.2633099754482346</v>
      </c>
      <c r="D24" s="75">
        <v>11.201250281006729</v>
      </c>
      <c r="E24" s="75">
        <v>29.600242813611526</v>
      </c>
      <c r="F24" s="75">
        <v>48.31792731679209</v>
      </c>
      <c r="G24" s="75">
        <v>68.00808688171976</v>
      </c>
      <c r="H24" s="69" t="s">
        <v>432</v>
      </c>
    </row>
    <row r="25" spans="2:8" x14ac:dyDescent="0.25">
      <c r="B25" s="10" t="s">
        <v>433</v>
      </c>
      <c r="C25" s="76" t="str">
        <f>IF('5-Year Operating Stmt'!B16&gt;=0,"✓ Break-even","")</f>
        <v>0</v>
      </c>
      <c r="D25" s="42" t="str">
        <f>IF(AND('5-Year Operating Stmt'!C16&gt;=0,'5-Year Operating Stmt'!B16&lt;0),"✓ Break-even","")</f>
        <v>✓ Break-even</v>
      </c>
      <c r="E25" s="76" t="str">
        <f>IF(AND('5-Year Operating Stmt'!D16&gt;=0,'5-Year Operating Stmt'!C16&lt;0),"✓ Break-even","")</f>
        <v>0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9" t="s">
        <v>412</v>
      </c>
    </row>
    <row r="26" spans="2:8" x14ac:dyDescent="0.25">
      <c r="B26" s="10" t="s">
        <v>434</v>
      </c>
      <c r="C26" s="77">
        <v>1</v>
      </c>
      <c r="D26" s="77">
        <v>4</v>
      </c>
      <c r="E26" s="77">
        <v>11</v>
      </c>
      <c r="F26" s="78">
        <v>21</v>
      </c>
      <c r="G26" s="73">
        <v>33</v>
      </c>
      <c r="H26" s="69" t="s">
        <v>435</v>
      </c>
    </row>
    <row r="27" spans="2:8" x14ac:dyDescent="0.25">
      <c r="B27" s="10" t="s">
        <v>366</v>
      </c>
      <c r="C27" s="77">
        <v>20</v>
      </c>
      <c r="D27" s="73">
        <v>108</v>
      </c>
      <c r="E27" s="73">
        <v>330</v>
      </c>
      <c r="F27" s="73">
        <v>641</v>
      </c>
      <c r="G27" s="73">
        <v>1015</v>
      </c>
      <c r="H27" s="69" t="s">
        <v>436</v>
      </c>
    </row>
    <row r="29" ht="24" customHeight="1" spans="2:8" x14ac:dyDescent="0.25">
      <c r="B29" s="19" t="s">
        <v>437</v>
      </c>
      <c r="C29" s="19" t="s">
        <v>438</v>
      </c>
      <c r="D29" s="19" t="s">
        <v>439</v>
      </c>
      <c r="E29" s="19"/>
      <c r="F29" s="19" t="s">
        <v>440</v>
      </c>
      <c r="G29" s="19"/>
      <c r="H29" s="19"/>
    </row>
    <row r="30" ht="45" customHeight="1" spans="2:8" x14ac:dyDescent="0.25">
      <c r="B30" s="43" t="s">
        <v>441</v>
      </c>
      <c r="C30" s="42" t="s">
        <v>442</v>
      </c>
      <c r="D30" s="79" t="s">
        <v>443</v>
      </c>
      <c r="E30" s="79"/>
      <c r="F30" s="80" t="s">
        <v>444</v>
      </c>
      <c r="G30" s="80"/>
      <c r="H30" s="80"/>
    </row>
    <row r="31" ht="45" customHeight="1" spans="2:8" x14ac:dyDescent="0.25">
      <c r="B31" s="43" t="s">
        <v>445</v>
      </c>
      <c r="C31" s="81" t="s">
        <v>446</v>
      </c>
      <c r="D31" s="79" t="s">
        <v>447</v>
      </c>
      <c r="E31" s="79"/>
      <c r="F31" s="80" t="s">
        <v>448</v>
      </c>
      <c r="G31" s="80"/>
      <c r="H31" s="80"/>
    </row>
    <row r="32" ht="45" customHeight="1" spans="2:8" x14ac:dyDescent="0.25">
      <c r="B32" s="43" t="s">
        <v>449</v>
      </c>
      <c r="C32" s="42" t="s">
        <v>442</v>
      </c>
      <c r="D32" s="79" t="s">
        <v>450</v>
      </c>
      <c r="E32" s="79"/>
      <c r="F32" s="80" t="s">
        <v>451</v>
      </c>
      <c r="G32" s="80"/>
      <c r="H32" s="80"/>
    </row>
    <row r="33" ht="45" customHeight="1" spans="2:8" x14ac:dyDescent="0.25">
      <c r="B33" s="43" t="s">
        <v>452</v>
      </c>
      <c r="C33" s="42" t="s">
        <v>442</v>
      </c>
      <c r="D33" s="79" t="s">
        <v>453</v>
      </c>
      <c r="E33" s="79"/>
      <c r="F33" s="80" t="s">
        <v>454</v>
      </c>
      <c r="G33" s="80"/>
      <c r="H33" s="80"/>
    </row>
    <row r="34" ht="45" customHeight="1" spans="2:8" x14ac:dyDescent="0.25">
      <c r="B34" s="43" t="s">
        <v>455</v>
      </c>
      <c r="C34" s="42" t="s">
        <v>442</v>
      </c>
      <c r="D34" s="79" t="s">
        <v>456</v>
      </c>
      <c r="E34" s="79"/>
      <c r="F34" s="80" t="s">
        <v>457</v>
      </c>
      <c r="G34" s="80"/>
      <c r="H34" s="80"/>
    </row>
    <row r="35" ht="45" customHeight="1" spans="2:8" x14ac:dyDescent="0.25">
      <c r="B35" s="43" t="s">
        <v>458</v>
      </c>
      <c r="C35" s="42" t="s">
        <v>442</v>
      </c>
      <c r="D35" s="79" t="s">
        <v>459</v>
      </c>
      <c r="E35" s="79"/>
      <c r="F35" s="80" t="s">
        <v>460</v>
      </c>
      <c r="G35" s="80"/>
      <c r="H35" s="80"/>
    </row>
    <row r="36" ht="45" customHeight="1" spans="2:8" x14ac:dyDescent="0.25">
      <c r="B36" s="43" t="s">
        <v>461</v>
      </c>
      <c r="C36" s="42" t="s">
        <v>442</v>
      </c>
      <c r="D36" s="79" t="s">
        <v>462</v>
      </c>
      <c r="E36" s="79"/>
      <c r="F36" s="80" t="s">
        <v>463</v>
      </c>
      <c r="G36" s="80"/>
      <c r="H36" s="80"/>
    </row>
    <row r="38" spans="2:6" x14ac:dyDescent="0.25">
      <c r="B38" s="43" t="s">
        <v>464</v>
      </c>
      <c r="C38" s="10" t="s">
        <v>465</v>
      </c>
      <c r="D38" s="10"/>
      <c r="E38" s="10"/>
      <c r="F38" s="10"/>
    </row>
    <row r="40" spans="2:8" x14ac:dyDescent="0.25">
      <c r="B40" s="82" t="s">
        <v>466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