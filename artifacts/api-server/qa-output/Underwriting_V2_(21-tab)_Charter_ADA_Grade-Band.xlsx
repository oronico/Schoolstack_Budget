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</sheets>
  <calcPr calcId="171027"/>
</workbook>
</file>

<file path=xl/sharedStrings.xml><?xml version="1.0" encoding="utf-8"?>
<sst xmlns="http://schemas.openxmlformats.org/spreadsheetml/2006/main" count="700" uniqueCount="377">
  <si>
    <t>SchoolStack Budget</t>
  </si>
  <si>
    <t>5-Year Financial Model &amp; Underwriting Workbook</t>
  </si>
  <si>
    <t>School Name</t>
  </si>
  <si>
    <t>Heritage Academy Charter</t>
  </si>
  <si>
    <t>School Type</t>
  </si>
  <si>
    <t>Charter School</t>
  </si>
  <si>
    <t>Entity Type</t>
  </si>
  <si>
    <t>501(c)(3) Nonprofit</t>
  </si>
  <si>
    <t>State</t>
  </si>
  <si>
    <t>AZ</t>
  </si>
  <si>
    <t>Fiscal Year Start</t>
  </si>
  <si>
    <t>Month 7</t>
  </si>
  <si>
    <t>Model Date</t>
  </si>
  <si>
    <t>March 17, 2026</t>
  </si>
  <si>
    <t>Stage</t>
  </si>
  <si>
    <t>Startup / Pre-Opening</t>
  </si>
  <si>
    <t>Funding Profile</t>
  </si>
  <si>
    <t>Public Funded (Charter)</t>
  </si>
  <si>
    <t>Table of Contents</t>
  </si>
  <si>
    <t>1.</t>
  </si>
  <si>
    <t>Cover</t>
  </si>
  <si>
    <t>2.</t>
  </si>
  <si>
    <t>Instructions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</si>
  <si>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</si>
  <si>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</si>
  <si>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</si>
  <si>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</si>
  <si>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</si>
  <si>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</si>
  <si>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</si>
  <si>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</si>
  <si>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</si>
  <si>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</si>
  <si>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</si>
  <si>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</si>
  <si>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</si>
  <si>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</si>
  <si>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</si>
  <si>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</si>
  <si>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</si>
  <si>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</si>
  <si>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</si>
  <si>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</si>
  <si>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</si>
  <si>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</si>
  <si>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</si>
  <si>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</si>
  <si>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</si>
  <si>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</si>
  <si>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</si>
  <si>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</si>
  <si>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</si>
  <si>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</si>
  <si>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</si>
  <si>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</si>
  <si>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</si>
  <si>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</si>
  <si>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</si>
  <si>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</si>
  <si>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</si>
  <si>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</si>
  <si>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CONFIDENTIAL — Prepared by SchoolStack Budget (budget.schoolstack.ai)</t>
  </si>
  <si>
    <t>How to Use This Workbook</t>
  </si>
  <si>
    <t>Color Legend</t>
  </si>
  <si>
    <t>Yellow cells are editable inputs — change these to update your model.</t>
  </si>
  <si>
    <t>Gray cells contain formulas — do not edit.</t>
  </si>
  <si>
    <t>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</si>
  <si>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</si>
  <si>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</si>
  <si>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</si>
  <si>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</si>
  <si>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</si>
  <si>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</si>
  <si>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</si>
  <si>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18-21: Analysis &amp; underwriting</t>
  </si>
  <si>
    <t>Tips</t>
  </si>
  <si>
    <t>Review the Budget Summary for a high-level view.</t>
  </si>
  <si>
    <t>Check DSCR &amp; Covenants for lender readiness.</t>
  </si>
  <si>
    <t>The Underwriting Snapshot provides a one-page summary.</t>
  </si>
  <si>
    <t>Disclaimer</t>
  </si>
  <si>
    <t>a loan commitment, or a guarantee of funding. All projections are based on</t>
  </si>
  <si>
    <t>user-provided assumptions and should be independently verified.</t>
  </si>
  <si>
    <t>Heritage Academy Charter — Assumptions</t>
  </si>
  <si>
    <t>Yellow cells are editable inputs. All other cells are formulas.</t>
  </si>
  <si>
    <t>SCHOOL PROFILE</t>
  </si>
  <si>
    <t>EIN</t>
  </si>
  <si>
    <t>86-4441234</t>
  </si>
  <si>
    <t>Fiscal Year Start Month</t>
  </si>
  <si>
    <t>Max Capacity</t>
  </si>
  <si>
    <t>ENROLLMENT</t>
  </si>
  <si>
    <t>2026-27</t>
  </si>
  <si>
    <t>2027-28</t>
  </si>
  <si>
    <t>2028-29</t>
  </si>
  <si>
    <t>2029-30</t>
  </si>
  <si>
    <t>2030-31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</si>
  <si>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</si>
  <si>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</si>
  <si>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</si>
  <si>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</si>
  <si>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</si>
  <si>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</si>
  <si>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</si>
  <si>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State Per-Pupil Funding</t>
  </si>
  <si>
    <t>Public Funding</t>
  </si>
  <si>
    <t>Per Student</t>
  </si>
  <si>
    <t>Federal Title I</t>
  </si>
  <si>
    <t>IDEA Special Ed</t>
  </si>
  <si>
    <t>CSP Startup Grant</t>
  </si>
  <si>
    <t>Philanthropy</t>
  </si>
  <si>
    <t>Annual Fixed</t>
  </si>
  <si>
    <t>Annual Fundraising</t>
  </si>
  <si>
    <t>Before/After Care</t>
  </si>
  <si>
    <t>Other Revenue</t>
  </si>
  <si>
    <t>STAFFING</t>
  </si>
  <si>
    <t>Role</t>
  </si>
  <si>
    <t>Type</t>
  </si>
  <si>
    <t>FTE</t>
  </si>
  <si>
    <t>Rate</t>
  </si>
  <si>
    <t>Benefits %</t>
  </si>
  <si>
    <t>Tax %</t>
  </si>
  <si>
    <t>Head of School</t>
  </si>
  <si>
    <t>School Leadership</t>
  </si>
  <si>
    <t>full_time</t>
  </si>
  <si>
    <t>Assistant Principal</t>
  </si>
  <si>
    <t>Lead Teachers</t>
  </si>
  <si>
    <t>Instructional</t>
  </si>
  <si>
    <t>SPED Teacher</t>
  </si>
  <si>
    <t>Instructional Aides</t>
  </si>
  <si>
    <t>Business Manager</t>
  </si>
  <si>
    <t>Operations</t>
  </si>
  <si>
    <t>Front Office</t>
  </si>
  <si>
    <t>Administrative</t>
  </si>
  <si>
    <t>OPERATING EXPENSES</t>
  </si>
  <si>
    <t>Facility Lease</t>
  </si>
  <si>
    <t>Occupancy / Facility</t>
  </si>
  <si>
    <t>Monthly</t>
  </si>
  <si>
    <t>Utilities</t>
  </si>
  <si>
    <t>Property Insurance</t>
  </si>
  <si>
    <t>Curriculum</t>
  </si>
  <si>
    <t>Instructional / Program</t>
  </si>
  <si>
    <t>Devices &amp; Software</t>
  </si>
  <si>
    <t>Technology</t>
  </si>
  <si>
    <t>Marketing</t>
  </si>
  <si>
    <t>Administrative / General</t>
  </si>
  <si>
    <t>Professional Development</t>
  </si>
  <si>
    <t>Legal &amp; Audit</t>
  </si>
  <si>
    <t>Food Service</t>
  </si>
  <si>
    <t>CAPITAL &amp; DEBT</t>
  </si>
  <si>
    <t>Instrument</t>
  </si>
  <si>
    <t>Principal</t>
  </si>
  <si>
    <t>Term (Yrs)</t>
  </si>
  <si>
    <t>Startup Loan</t>
  </si>
  <si>
    <t>Loan</t>
  </si>
  <si>
    <t>FF&amp;E</t>
  </si>
  <si>
    <t>Capital</t>
  </si>
  <si>
    <t>GROWTH &amp; TIMING</t>
  </si>
  <si>
    <t>Salary Escalation Rate</t>
  </si>
  <si>
    <t>Cost Inflation Rate</t>
  </si>
  <si>
    <t>Year 1 Proration Factor</t>
  </si>
  <si>
    <t>Starting Cash</t>
  </si>
  <si>
    <t>Debt Included</t>
  </si>
  <si>
    <t>Yes</t>
  </si>
  <si>
    <t>CHARTER FUNDING DETAILS</t>
  </si>
  <si>
    <t>Enrollment Revenue Method</t>
  </si>
  <si>
    <t>ADA (Avg Daily Attendance)</t>
  </si>
  <si>
    <t>Charter Deposit Timing</t>
  </si>
  <si>
    <t>Prior-Year ADM</t>
  </si>
  <si>
    <t>Prior-Year ADA</t>
  </si>
  <si>
    <t>Attendance Ratio (ADA ÷ ADM)</t>
  </si>
  <si>
    <t>Per-Pupil Rate</t>
  </si>
  <si>
    <t>K-5</t>
  </si>
  <si>
    <t>6-8</t>
  </si>
  <si>
    <t>9-12</t>
  </si>
  <si>
    <t>Rate per Student</t>
  </si>
  <si>
    <t>Grade-Band Enrollment</t>
  </si>
  <si>
    <t xml:space="preserve">  K-5</t>
  </si>
  <si>
    <t xml:space="preserve">  6-8</t>
  </si>
  <si>
    <t xml:space="preserve">  9-12</t>
  </si>
  <si>
    <t>School Model</t>
  </si>
  <si>
    <t>charter</t>
  </si>
  <si>
    <t>Financial Label Convention</t>
  </si>
  <si>
    <t>Nonprofit (Change in Net Assets / Net Assets)</t>
  </si>
  <si>
    <t>Funding Mix</t>
  </si>
  <si>
    <t>7</t>
  </si>
  <si>
    <t>Year 1 Operating Months</t>
  </si>
  <si>
    <t>10</t>
  </si>
  <si>
    <t>Proration Factor</t>
  </si>
  <si>
    <t>83.3%</t>
  </si>
  <si>
    <t>600</t>
  </si>
  <si>
    <t>Accredited</t>
  </si>
  <si>
    <t>No</t>
  </si>
  <si>
    <t>Location</t>
  </si>
  <si>
    <t>1200 N Central Ave, Phoenix, AZ 85004</t>
  </si>
  <si>
    <t>Facility</t>
  </si>
  <si>
    <t>Leased</t>
  </si>
  <si>
    <t>TOTAL ENROLLMENT</t>
  </si>
  <si>
    <t>Capacity Utilization</t>
  </si>
  <si>
    <t>Enrollment Growth Rate</t>
  </si>
  <si>
    <t>—</t>
  </si>
  <si>
    <t>Tuition &amp; Funding Drivers</t>
  </si>
  <si>
    <t>REVENUE BY LINE ITEM</t>
  </si>
  <si>
    <t>State Per-Pupil Funding (Public Funding)</t>
  </si>
  <si>
    <t>Federal Title I (Public Funding)</t>
  </si>
  <si>
    <t>IDEA Special Ed (Public Funding)</t>
  </si>
  <si>
    <t>CSP Startup Grant (Philanthropy)</t>
  </si>
  <si>
    <t>Annual Fundraising (Philanthropy)</t>
  </si>
  <si>
    <t>Before/After Care (Other Revenue)</t>
  </si>
  <si>
    <t>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</si>
  <si>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</si>
  <si>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</si>
  <si>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</si>
  <si>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</si>
  <si>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</si>
  <si>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</si>
  <si>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</si>
  <si>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</t>
  </si>
  <si>
    <t>Total Instructional / Program</t>
  </si>
  <si>
    <t xml:space="preserve">  Devices &amp; Software</t>
  </si>
  <si>
    <t>Total Technology</t>
  </si>
  <si>
    <t xml:space="preserve">  Facility Lease</t>
  </si>
  <si>
    <t xml:space="preserve">  Utilities</t>
  </si>
  <si>
    <t xml:space="preserve">  Property Insurance</t>
  </si>
  <si>
    <t>Total Occupancy / Facility</t>
  </si>
  <si>
    <t xml:space="preserve">  Marketing</t>
  </si>
  <si>
    <t xml:space="preserve">  Professional Development</t>
  </si>
  <si>
    <t xml:space="preserve">  Legal &amp; Audit</t>
  </si>
  <si>
    <t xml:space="preserve">  Food Service</t>
  </si>
  <si>
    <t>Total Administrative / General</t>
  </si>
  <si>
    <t>TOTAL OPERATING EXPENSES</t>
  </si>
  <si>
    <t>Capital Stack &amp; Loan Terms</t>
  </si>
  <si>
    <t>Annual Payment</t>
  </si>
  <si>
    <t>Capital Expense</t>
  </si>
  <si>
    <t>Total Annual Debt Service</t>
  </si>
  <si>
    <t>Total Loan Principal</t>
  </si>
  <si>
    <t>Enrollment &amp; Tuition Forecast</t>
  </si>
  <si>
    <t>REVENUE FORECAST</t>
  </si>
  <si>
    <t>Revenue per Student</t>
  </si>
  <si>
    <t>Staffing Costs Forecast</t>
  </si>
  <si>
    <t xml:space="preserve">  Lead Teachers</t>
  </si>
  <si>
    <t xml:space="preserve">  SPED Teacher</t>
  </si>
  <si>
    <t xml:space="preserve">  Instructional Aides</t>
  </si>
  <si>
    <t>Total Instructional</t>
  </si>
  <si>
    <t xml:space="preserve">  Head of School</t>
  </si>
  <si>
    <t xml:space="preserve">  Assistant Principal</t>
  </si>
  <si>
    <t>Total School Leadership</t>
  </si>
  <si>
    <t xml:space="preserve">  Business Manager</t>
  </si>
  <si>
    <t>Total Operations</t>
  </si>
  <si>
    <t xml:space="preserve">  Front Office</t>
  </si>
  <si>
    <t>Total Administrative</t>
  </si>
  <si>
    <t>TOTAL PERSONNEL</t>
  </si>
  <si>
    <t>Heritage Academy Charter — Budget Detail</t>
  </si>
  <si>
    <t>REVENUE</t>
  </si>
  <si>
    <t xml:space="preserve">  State Per-Pupil Funding</t>
  </si>
  <si>
    <t xml:space="preserve">  Federal Title I</t>
  </si>
  <si>
    <t xml:space="preserve">  IDEA Special Ed</t>
  </si>
  <si>
    <t xml:space="preserve">  CSP Startup Grant</t>
  </si>
  <si>
    <t xml:space="preserve">  Annual Fundraising</t>
  </si>
  <si>
    <t xml:space="preserve">  Before/After Care</t>
  </si>
  <si>
    <t>Total Revenue</t>
  </si>
  <si>
    <t>PERSONNEL</t>
  </si>
  <si>
    <t xml:space="preserve">    Curriculum</t>
  </si>
  <si>
    <t xml:space="preserve">    Devices &amp; Software</t>
  </si>
  <si>
    <t xml:space="preserve">    Facility Lease</t>
  </si>
  <si>
    <t xml:space="preserve">    Utilities</t>
  </si>
  <si>
    <t xml:space="preserve">    Property Insurance</t>
  </si>
  <si>
    <t xml:space="preserve">  Total Occupancy / Facility</t>
  </si>
  <si>
    <t xml:space="preserve">    Marketing</t>
  </si>
  <si>
    <t xml:space="preserve">    Professional Development</t>
  </si>
  <si>
    <t xml:space="preserve">    Legal &amp; Audit</t>
  </si>
  <si>
    <t xml:space="preserve">    Food Service</t>
  </si>
  <si>
    <t xml:space="preserve">  Total Administrative / General</t>
  </si>
  <si>
    <t>Total Operating Expenses</t>
  </si>
  <si>
    <t>CAPITAL &amp; DEBT SERVICE</t>
  </si>
  <si>
    <t xml:space="preserve">  Startup Loan</t>
  </si>
  <si>
    <t xml:space="preserve">  FF&amp;E</t>
  </si>
  <si>
    <t>Total Capital &amp; Debt</t>
  </si>
  <si>
    <t>Heritage Academy Charter — Budget Summary</t>
  </si>
  <si>
    <t>Total Capital &amp; Debt Service</t>
  </si>
  <si>
    <t>Total Expenses</t>
  </si>
  <si>
    <t>KEY METRICS</t>
  </si>
  <si>
    <t>Change in Net Assets</t>
  </si>
  <si>
    <t>Net Margin %</t>
  </si>
  <si>
    <t>Cumulative Change in Net Assets</t>
  </si>
  <si>
    <t>Cost per Student</t>
  </si>
  <si>
    <t>Heritage Academy Charter —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</si>
  <si>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</si>
  <si>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</si>
  <si>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</si>
  <si>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</si>
  <si>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</si>
  <si>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</si>
  <si>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</si>
  <si>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</si>
  <si>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</si>
  <si>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</si>
  <si>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</si>
  <si>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</si>
  <si>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</si>
  <si>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</si>
  <si>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</si>
  <si>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</si>
  <si>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</si>
  <si>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</si>
  <si>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</si>
  <si>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</si>
  <si>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</si>
  <si>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</si>
  <si>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</si>
  <si>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Heritage Academy Charter — 5-Year Operating Statement</t>
  </si>
  <si>
    <t>Capital &amp; Debt Service</t>
  </si>
  <si>
    <t>BOTTOM LINE</t>
  </si>
  <si>
    <t>Beginning Balance</t>
  </si>
  <si>
    <t>Interest</t>
  </si>
  <si>
    <t>Principal Payment</t>
  </si>
  <si>
    <t>Total Payment</t>
  </si>
  <si>
    <t>Ending Balance</t>
  </si>
  <si>
    <t>Heritage Academy Charter —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</si>
  <si>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</si>
  <si>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</si>
  <si>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</si>
  <si>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</si>
  <si>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</si>
  <si>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</si>
  <si>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</si>
  <si>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</si>
  <si>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</si>
  <si>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</si>
  <si>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NET ASSETS</t>
  </si>
  <si>
    <t>Net Assets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</si>
  <si>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</si>
  <si>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</si>
  <si>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</si>
  <si>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</si>
  <si>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</si>
  <si>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</si>
  <si>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</si>
  <si>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</si>
  <si>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</si>
  <si>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</si>
  <si>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</si>
  <si>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</si>
  <si>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</si>
  <si>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</si>
  <si>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</si>
  <si>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1.15x</t>
  </si>
  <si>
    <t>FAIL</t>
  </si>
  <si>
    <t>PASS</t>
  </si>
  <si>
    <t>Positive Net Income</t>
  </si>
  <si>
    <t>Capacity ≥ 7000%</t>
  </si>
  <si>
    <t>Cash Reserve ≥ 2 months</t>
  </si>
  <si>
    <t>Days Cash ≥ 45</t>
  </si>
  <si>
    <t>SOURCES</t>
  </si>
  <si>
    <t>USES</t>
  </si>
  <si>
    <t>Facility Prep</t>
  </si>
  <si>
    <t>CSP Grant</t>
  </si>
  <si>
    <t>Pre-Opening Costs</t>
  </si>
  <si>
    <t>Working Capital Reserve</t>
  </si>
  <si>
    <t>Total Sources</t>
  </si>
  <si>
    <t>Total Uses</t>
  </si>
  <si>
    <t>Sources - Uses (should = 0)</t>
  </si>
  <si>
    <t>Scenario Analysis</t>
  </si>
  <si>
    <t>BASE CASE</t>
  </si>
  <si>
    <t>Enrollment: +0%  |  Revenue: +0%  |  Expenses: +0%</t>
  </si>
  <si>
    <t>LOW ADA</t>
  </si>
  <si>
    <t>Enrollment: -15%  |  Revenue: +0%  |  Expenses: +0%</t>
  </si>
  <si>
    <t>FUNDING CUT</t>
  </si>
  <si>
    <t>Enrollment: +0%  |  Revenue: -8%  |  Expenses: +0%</t>
  </si>
  <si>
    <t>Underwriting Snapshot —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</si>
  <si>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</si>
  <si>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</si>
  <si>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</si>
  <si>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</si>
  <si>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</si>
  <si>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</si>
  <si>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</si>
  <si>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</si>
  <si>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—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</si>
</sst>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14" x14ac:knownFonts="1">
    <font>
      <color theme="1"/>
      <family val="2"/>
      <scheme val="minor"/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b/>
      <color rgb="FF328555"/>
      <sz val="11"/>
      <name val="Calibri"/>
    </font>
    <font>
      <b/>
      <color rgb="FFFF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9" fillId="2" borderId="1" xfId="0" applyFont="1" applyFill="1" applyBorder="1"/>
    <xf numFmtId="0" fontId="4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10" fontId="4" fillId="0" borderId="1" xfId="0" applyNumberFormat="1" applyFont="1" applyBorder="1"/>
    <xf numFmtId="164" fontId="3" fillId="5" borderId="2" xfId="0" applyNumberFormat="1" applyFont="1" applyFill="1" applyBorder="1"/>
    <xf numFmtId="164" fontId="4" fillId="0" borderId="1" xfId="0" applyNumberFormat="1" applyFont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5" fontId="3" fillId="5" borderId="2" xfId="0" applyNumberFormat="1" applyFont="1" applyFill="1" applyBorder="1"/>
    <xf numFmtId="2" fontId="4" fillId="0" borderId="1" xfId="0" applyNumberFormat="1" applyFont="1" applyBorder="1"/>
    <xf numFmtId="165" fontId="3" fillId="0" borderId="1" xfId="0" applyNumberFormat="1" applyFont="1" applyBorder="1"/>
    <xf numFmtId="167" fontId="4" fillId="0" borderId="1" xfId="0" applyNumberFormat="1" applyFont="1" applyBorder="1"/>
    <xf numFmtId="165" fontId="3" fillId="0" borderId="2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5" fontId="3" fillId="5" borderId="1" xfId="0" applyNumberFormat="1" applyFont="1" applyFill="1" applyBorder="1"/>
    <xf numFmtId="0" fontId="3" fillId="0" borderId="2" xfId="0" applyFont="1" applyBorder="1"/>
    <xf numFmtId="165" fontId="4" fillId="5" borderId="1" xfId="0" applyNumberFormat="1" applyFont="1" applyFill="1" applyBorder="1"/>
    <xf numFmtId="165" fontId="12" fillId="0" borderId="1" xfId="0" applyNumberFormat="1" applyFont="1" applyBorder="1"/>
    <xf numFmtId="165" fontId="13" fillId="0" borderId="1" xfId="0" applyNumberFormat="1" applyFont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4" borderId="1" xfId="0" applyFont="1" applyFill="1" applyBorder="1"/>
    <xf numFmtId="168" fontId="4" fillId="0" borderId="1" xfId="0" applyNumberFormat="1" applyFont="1" applyBorder="1"/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ver&apos;!A1" TargetMode="External"/><Relationship Id="rId2" Type="http://schemas.openxmlformats.org/officeDocument/2006/relationships/hyperlink" Target="#&apos;Instructions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2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1" t="s">
        <v>0</v>
      </c>
      <c r="C3" s="1"/>
    </row>
    <row r="5" spans="2:3" x14ac:dyDescent="0.25">
      <c r="B5" s="2" t="s">
        <v>1</v>
      </c>
      <c r="C5" s="2"/>
    </row>
    <row r="8" spans="2:3" x14ac:dyDescent="0.25">
      <c r="B8" s="3" t="s">
        <v>2</v>
      </c>
      <c r="C8" s="4" t="s">
        <v>3</v>
      </c>
    </row>
    <row r="9" spans="2:3" x14ac:dyDescent="0.25">
      <c r="B9" s="3" t="s">
        <v>4</v>
      </c>
      <c r="C9" s="4" t="s">
        <v>5</v>
      </c>
    </row>
    <row r="10" spans="2:3" x14ac:dyDescent="0.25">
      <c r="B10" s="3" t="s">
        <v>6</v>
      </c>
      <c r="C10" s="4" t="s">
        <v>7</v>
      </c>
    </row>
    <row r="11" spans="2:3" x14ac:dyDescent="0.25">
      <c r="B11" s="3" t="s">
        <v>8</v>
      </c>
      <c r="C11" s="4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4" t="s">
        <v>13</v>
      </c>
    </row>
    <row r="14" spans="2:3" x14ac:dyDescent="0.25">
      <c r="B14" s="3" t="s">
        <v>14</v>
      </c>
      <c r="C14" s="4" t="s">
        <v>15</v>
      </c>
    </row>
    <row r="15" spans="2:3" x14ac:dyDescent="0.25">
      <c r="B15" s="3" t="s">
        <v>16</v>
      </c>
      <c r="C15" s="4" t="s">
        <v>17</v>
      </c>
    </row>
    <row r="18" spans="2:3" x14ac:dyDescent="0.25">
      <c r="B18" s="5" t="s">
        <v>18</v>
      </c>
      <c r="C18" s="5"/>
    </row>
    <row r="19" spans="2:3" x14ac:dyDescent="0.25">
      <c r="B19" s="6" t="s">
        <v>19</v>
      </c>
      <c r="C19" s="7" t="s">
        <v>20</v>
      </c>
    </row>
    <row r="20" spans="2:3" x14ac:dyDescent="0.25">
      <c r="B20" s="6" t="s">
        <v>21</v>
      </c>
      <c r="C20" s="7" t="s">
        <v>22</v>
      </c>
    </row>
    <row r="21" spans="2:3" x14ac:dyDescent="0.25">
      <c r="B21" s="6" t="s">
        <v>23</v>
      </c>
      <c r="C21" s="7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6" t="s">
        <v>27</v>
      </c>
      <c r="C23" s="7" t="s">
        <v>28</v>
      </c>
    </row>
    <row r="24" spans="2:3" x14ac:dyDescent="0.25">
      <c r="B24" s="6" t="s">
        <v>29</v>
      </c>
      <c r="C24" s="7" t="s">
        <v>30</v>
      </c>
    </row>
    <row r="25" spans="2:3" x14ac:dyDescent="0.25">
      <c r="B25" s="6" t="s">
        <v>31</v>
      </c>
      <c r="C25" s="7" t="s">
        <v>32</v>
      </c>
    </row>
    <row r="26" spans="2:3" x14ac:dyDescent="0.25">
      <c r="B26" s="6" t="s">
        <v>33</v>
      </c>
      <c r="C26" s="7" t="s">
        <v>34</v>
      </c>
    </row>
    <row r="27" spans="2:3" x14ac:dyDescent="0.25">
      <c r="B27" s="6" t="s">
        <v>35</v>
      </c>
      <c r="C27" s="7" t="s">
        <v>36</v>
      </c>
    </row>
    <row r="28" spans="2:3" x14ac:dyDescent="0.25">
      <c r="B28" s="6" t="s">
        <v>37</v>
      </c>
      <c r="C28" s="7" t="s">
        <v>38</v>
      </c>
    </row>
    <row r="29" spans="2:3" x14ac:dyDescent="0.25">
      <c r="B29" s="6" t="s">
        <v>39</v>
      </c>
      <c r="C29" s="7" t="s">
        <v>40</v>
      </c>
    </row>
    <row r="30" spans="2:3" x14ac:dyDescent="0.25">
      <c r="B30" s="6" t="s">
        <v>41</v>
      </c>
      <c r="C30" s="7" t="s">
        <v>42</v>
      </c>
    </row>
    <row r="31" spans="2:3" x14ac:dyDescent="0.25">
      <c r="B31" s="6" t="s">
        <v>43</v>
      </c>
      <c r="C31" s="7" t="s">
        <v>44</v>
      </c>
    </row>
    <row r="32" spans="2:3" x14ac:dyDescent="0.25">
      <c r="B32" s="6" t="s">
        <v>45</v>
      </c>
      <c r="C32" s="7" t="s">
        <v>46</v>
      </c>
    </row>
    <row r="33" spans="2:3" x14ac:dyDescent="0.25">
      <c r="B33" s="6" t="s">
        <v>47</v>
      </c>
      <c r="C33" s="7" t="s">
        <v>48</v>
      </c>
    </row>
    <row r="34" spans="2:3" x14ac:dyDescent="0.25">
      <c r="B34" s="6" t="s">
        <v>49</v>
      </c>
      <c r="C34" s="7" t="s">
        <v>50</v>
      </c>
    </row>
    <row r="35" spans="2:3" x14ac:dyDescent="0.25">
      <c r="B35" s="6" t="s">
        <v>51</v>
      </c>
      <c r="C35" s="7" t="s">
        <v>52</v>
      </c>
    </row>
    <row r="36" spans="2:3" x14ac:dyDescent="0.25">
      <c r="B36" s="6" t="s">
        <v>53</v>
      </c>
      <c r="C36" s="7" t="s">
        <v>54</v>
      </c>
    </row>
    <row r="37" spans="2:3" x14ac:dyDescent="0.25">
      <c r="B37" s="6" t="s">
        <v>55</v>
      </c>
      <c r="C37" s="7" t="s">
        <v>56</v>
      </c>
    </row>
    <row r="38" spans="2:3" x14ac:dyDescent="0.25">
      <c r="B38" s="6" t="s">
        <v>57</v>
      </c>
      <c r="C38" s="7" t="s">
        <v>58</v>
      </c>
    </row>
    <row r="39" spans="2:3" x14ac:dyDescent="0.25">
      <c r="B39" s="6" t="s">
        <v>59</v>
      </c>
      <c r="C39" s="7" t="s">
        <v>60</v>
      </c>
    </row>
    <row r="42" spans="2:3" x14ac:dyDescent="0.25">
      <c r="B42" s="8" t="s">
        <v>61</v>
      </c>
      <c r="C42" s="8"/>
    </row>
  </sheetData>
  <mergeCells count="4">
    <mergeCell ref="B3:C3"/>
    <mergeCell ref="B5:C5"/>
    <mergeCell ref="B18:C18"/>
    <mergeCell ref="B42:C42"/>
  </mergeCells>
  <hyperlinks>
    <hyperlink ref="C19" r:id="rId1" location="#'Cover'!A1"/>
    <hyperlink ref="C20" r:id="rId2" location="#'Instructions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25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9" t="s">
        <v>62</v>
      </c>
    </row>
    <row r="4" spans="2:2" x14ac:dyDescent="0.25">
      <c r="B4" s="10" t="s">
        <v>63</v>
      </c>
    </row>
    <row r="5" spans="2:2" x14ac:dyDescent="0.25">
      <c r="B5" s="6" t="s">
        <v>64</v>
      </c>
    </row>
    <row r="6" spans="2:2" x14ac:dyDescent="0.25">
      <c r="B6" s="6" t="s">
        <v>65</v>
      </c>
    </row>
    <row r="7" spans="2:2" x14ac:dyDescent="0.25">
      <c r="B7" s="6" t="s">
        <v>66</v>
      </c>
    </row>
    <row r="8" spans="2:2" x14ac:dyDescent="0.25">
      <c r="B8" s="6" t="s">
        <v>67</v>
      </c>
    </row>
    <row r="9" spans="2:2" x14ac:dyDescent="0.25">
      <c r="B9" s="10" t="s">
        <v>68</v>
      </c>
    </row>
    <row r="10" spans="2:2" x14ac:dyDescent="0.25">
      <c r="B10" s="6" t="s">
        <v>69</v>
      </c>
    </row>
    <row r="11" spans="2:2" x14ac:dyDescent="0.25">
      <c r="B11" s="6" t="s">
        <v>67</v>
      </c>
    </row>
    <row r="12" spans="2:2" x14ac:dyDescent="0.25">
      <c r="B12" s="10" t="s">
        <v>70</v>
      </c>
    </row>
    <row r="13" spans="2:2" x14ac:dyDescent="0.25">
      <c r="B13" s="6" t="s">
        <v>71</v>
      </c>
    </row>
    <row r="14" spans="2:2" x14ac:dyDescent="0.25">
      <c r="B14" s="6" t="s">
        <v>72</v>
      </c>
    </row>
    <row r="15" spans="2:2" x14ac:dyDescent="0.25">
      <c r="B15" s="6" t="s">
        <v>73</v>
      </c>
    </row>
    <row r="16" spans="2:2" x14ac:dyDescent="0.25">
      <c r="B16" s="6" t="s">
        <v>74</v>
      </c>
    </row>
    <row r="17" spans="2:2" x14ac:dyDescent="0.25">
      <c r="B17" s="6" t="s">
        <v>67</v>
      </c>
    </row>
    <row r="18" spans="2:2" x14ac:dyDescent="0.25">
      <c r="B18" s="10" t="s">
        <v>75</v>
      </c>
    </row>
    <row r="19" spans="2:2" x14ac:dyDescent="0.25">
      <c r="B19" s="6" t="s">
        <v>76</v>
      </c>
    </row>
    <row r="20" spans="2:2" x14ac:dyDescent="0.25">
      <c r="B20" s="6" t="s">
        <v>77</v>
      </c>
    </row>
    <row r="21" spans="2:2" x14ac:dyDescent="0.25">
      <c r="B21" s="6" t="s">
        <v>78</v>
      </c>
    </row>
    <row r="22" spans="2:2" x14ac:dyDescent="0.25">
      <c r="B22" s="6" t="s">
        <v>67</v>
      </c>
    </row>
    <row r="23" spans="2:2" x14ac:dyDescent="0.25">
      <c r="B23" s="10" t="s">
        <v>79</v>
      </c>
    </row>
    <row r="24" spans="2:2" x14ac:dyDescent="0.25">
      <c r="B24" s="6" t="s">
        <v>80</v>
      </c>
    </row>
    <row r="25" spans="2:2" x14ac:dyDescent="0.25">
      <c r="B25" s="6" t="s">
        <v>81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5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1" t="s">
        <v>82</v>
      </c>
      <c r="B1" s="11"/>
      <c r="C1" s="11"/>
      <c r="D1" s="11"/>
      <c r="E1" s="11"/>
      <c r="F1" s="11"/>
      <c r="G1" s="11"/>
    </row>
    <row r="2" spans="1:1" x14ac:dyDescent="0.25">
      <c r="A2" s="12" t="s">
        <v>83</v>
      </c>
    </row>
    <row r="4" ht="24" customHeight="1" spans="1:7" x14ac:dyDescent="0.25">
      <c r="A4" s="13" t="s">
        <v>84</v>
      </c>
      <c r="B4" s="13"/>
      <c r="C4" s="13"/>
      <c r="D4" s="13"/>
      <c r="E4" s="13"/>
      <c r="F4" s="13"/>
      <c r="G4" s="13"/>
    </row>
    <row r="5" spans="1:2" x14ac:dyDescent="0.25">
      <c r="A5" s="4" t="s">
        <v>2</v>
      </c>
      <c r="B5" s="14" t="s">
        <v>3</v>
      </c>
    </row>
    <row r="6" spans="1:2" x14ac:dyDescent="0.25">
      <c r="A6" s="4" t="s">
        <v>4</v>
      </c>
      <c r="B6" s="14" t="s">
        <v>5</v>
      </c>
    </row>
    <row r="7" spans="1:2" x14ac:dyDescent="0.25">
      <c r="A7" s="4" t="s">
        <v>6</v>
      </c>
      <c r="B7" s="14" t="s">
        <v>7</v>
      </c>
    </row>
    <row r="8" spans="1:2" x14ac:dyDescent="0.25">
      <c r="A8" s="4" t="s">
        <v>8</v>
      </c>
      <c r="B8" s="14" t="s">
        <v>9</v>
      </c>
    </row>
    <row r="9" spans="1:2" x14ac:dyDescent="0.25">
      <c r="A9" s="4" t="s">
        <v>85</v>
      </c>
      <c r="B9" s="14" t="s">
        <v>86</v>
      </c>
    </row>
    <row r="10" spans="1:2" x14ac:dyDescent="0.25">
      <c r="A10" s="4" t="s">
        <v>14</v>
      </c>
      <c r="B10" s="14" t="s">
        <v>15</v>
      </c>
    </row>
    <row r="11" spans="1:2" x14ac:dyDescent="0.25">
      <c r="A11" s="4" t="s">
        <v>16</v>
      </c>
      <c r="B11" s="14" t="s">
        <v>17</v>
      </c>
    </row>
    <row r="12" spans="1:2" x14ac:dyDescent="0.25">
      <c r="A12" s="4" t="s">
        <v>87</v>
      </c>
      <c r="B12" s="14">
        <v>7</v>
      </c>
    </row>
    <row r="13" spans="1:2" x14ac:dyDescent="0.25">
      <c r="A13" s="4" t="s">
        <v>88</v>
      </c>
      <c r="B13" s="14">
        <v>600</v>
      </c>
    </row>
    <row r="15" ht="24" customHeight="1" spans="1:7" x14ac:dyDescent="0.25">
      <c r="A15" s="13" t="s">
        <v>89</v>
      </c>
      <c r="B15" s="13"/>
      <c r="C15" s="13"/>
      <c r="D15" s="13"/>
      <c r="E15" s="13"/>
      <c r="F15" s="13"/>
      <c r="G15" s="13"/>
    </row>
    <row r="16" ht="28" customHeight="1" spans="1:6" x14ac:dyDescent="0.25">
      <c r="A16" s="15" t="s">
        <v>67</v>
      </c>
      <c r="B16" s="15" t="s">
        <v>90</v>
      </c>
      <c r="C16" s="15" t="s">
        <v>91</v>
      </c>
      <c r="D16" s="15" t="s">
        <v>92</v>
      </c>
      <c r="E16" s="15" t="s">
        <v>93</v>
      </c>
      <c r="F16" s="15" t="s">
        <v>94</v>
      </c>
    </row>
    <row r="17" spans="1:6" x14ac:dyDescent="0.25">
      <c r="A17" s="4" t="s">
        <v>95</v>
      </c>
      <c r="B17" s="16">
        <v>120</v>
      </c>
      <c r="C17" s="16">
        <v>200</v>
      </c>
      <c r="D17" s="16">
        <v>300</v>
      </c>
      <c r="E17" s="16">
        <v>400</v>
      </c>
      <c r="F17" s="16">
        <v>500</v>
      </c>
    </row>
    <row r="19" ht="24" customHeight="1" spans="1:7" x14ac:dyDescent="0.25">
      <c r="A19" s="13" t="s">
        <v>96</v>
      </c>
      <c r="B19" s="13"/>
      <c r="C19" s="13"/>
      <c r="D19" s="13"/>
      <c r="E19" s="13"/>
      <c r="F19" s="13"/>
      <c r="G19" s="13"/>
    </row>
    <row r="20" ht="28" customHeight="1" spans="1:5" x14ac:dyDescent="0.25">
      <c r="A20" s="15" t="s">
        <v>97</v>
      </c>
      <c r="B20" s="15" t="s">
        <v>98</v>
      </c>
      <c r="C20" s="15" t="s">
        <v>99</v>
      </c>
      <c r="D20" s="15" t="s">
        <v>100</v>
      </c>
      <c r="E20" s="15" t="s">
        <v>101</v>
      </c>
    </row>
    <row r="21" spans="1:5" x14ac:dyDescent="0.25">
      <c r="A21" s="4" t="s">
        <v>102</v>
      </c>
      <c r="B21" s="4" t="s">
        <v>103</v>
      </c>
      <c r="C21" s="4" t="s">
        <v>104</v>
      </c>
      <c r="D21" s="17">
        <v>8500</v>
      </c>
      <c r="E21" s="18">
        <v>0</v>
      </c>
    </row>
    <row r="22" spans="1:5" x14ac:dyDescent="0.25">
      <c r="A22" s="4" t="s">
        <v>105</v>
      </c>
      <c r="B22" s="4" t="s">
        <v>103</v>
      </c>
      <c r="C22" s="4" t="s">
        <v>104</v>
      </c>
      <c r="D22" s="17">
        <v>750</v>
      </c>
      <c r="E22" s="18">
        <v>0</v>
      </c>
    </row>
    <row r="23" spans="1:5" x14ac:dyDescent="0.25">
      <c r="A23" s="4" t="s">
        <v>106</v>
      </c>
      <c r="B23" s="4" t="s">
        <v>103</v>
      </c>
      <c r="C23" s="4" t="s">
        <v>104</v>
      </c>
      <c r="D23" s="17">
        <v>1100</v>
      </c>
      <c r="E23" s="18">
        <v>0</v>
      </c>
    </row>
    <row r="24" spans="1:5" x14ac:dyDescent="0.25">
      <c r="A24" s="4" t="s">
        <v>107</v>
      </c>
      <c r="B24" s="4" t="s">
        <v>108</v>
      </c>
      <c r="C24" s="4" t="s">
        <v>109</v>
      </c>
      <c r="D24" s="17">
        <v>150000</v>
      </c>
      <c r="E24" s="18">
        <v>0</v>
      </c>
    </row>
    <row r="25" spans="1:5" x14ac:dyDescent="0.25">
      <c r="A25" s="4" t="s">
        <v>110</v>
      </c>
      <c r="B25" s="4" t="s">
        <v>108</v>
      </c>
      <c r="C25" s="4" t="s">
        <v>109</v>
      </c>
      <c r="D25" s="17">
        <v>25000</v>
      </c>
      <c r="E25" s="18">
        <v>0</v>
      </c>
    </row>
    <row r="26" spans="1:5" x14ac:dyDescent="0.25">
      <c r="A26" s="4" t="s">
        <v>111</v>
      </c>
      <c r="B26" s="4" t="s">
        <v>112</v>
      </c>
      <c r="C26" s="4" t="s">
        <v>104</v>
      </c>
      <c r="D26" s="17">
        <v>400</v>
      </c>
      <c r="E26" s="18">
        <v>0</v>
      </c>
    </row>
    <row r="28" ht="24" customHeight="1" spans="1:7" x14ac:dyDescent="0.25">
      <c r="A28" s="13" t="s">
        <v>113</v>
      </c>
      <c r="B28" s="13"/>
      <c r="C28" s="13"/>
      <c r="D28" s="13"/>
      <c r="E28" s="13"/>
      <c r="F28" s="13"/>
      <c r="G28" s="13"/>
    </row>
    <row r="29" ht="28" customHeight="1" spans="1:7" x14ac:dyDescent="0.25">
      <c r="A29" s="15" t="s">
        <v>114</v>
      </c>
      <c r="B29" s="15" t="s">
        <v>98</v>
      </c>
      <c r="C29" s="15" t="s">
        <v>115</v>
      </c>
      <c r="D29" s="15" t="s">
        <v>116</v>
      </c>
      <c r="E29" s="15" t="s">
        <v>117</v>
      </c>
      <c r="F29" s="15" t="s">
        <v>118</v>
      </c>
      <c r="G29" s="15" t="s">
        <v>119</v>
      </c>
    </row>
    <row r="30" spans="1:7" x14ac:dyDescent="0.25">
      <c r="A30" s="4" t="s">
        <v>120</v>
      </c>
      <c r="B30" s="4" t="s">
        <v>121</v>
      </c>
      <c r="C30" s="4" t="s">
        <v>122</v>
      </c>
      <c r="D30" s="19">
        <v>1</v>
      </c>
      <c r="E30" s="17">
        <v>105000</v>
      </c>
      <c r="F30" s="18">
        <v>0.26</v>
      </c>
      <c r="G30" s="18">
        <v>0.0765</v>
      </c>
    </row>
    <row r="31" spans="1:7" x14ac:dyDescent="0.25">
      <c r="A31" s="4" t="s">
        <v>123</v>
      </c>
      <c r="B31" s="4" t="s">
        <v>121</v>
      </c>
      <c r="C31" s="4" t="s">
        <v>122</v>
      </c>
      <c r="D31" s="19">
        <v>1</v>
      </c>
      <c r="E31" s="17">
        <v>82000</v>
      </c>
      <c r="F31" s="18">
        <v>0.26</v>
      </c>
      <c r="G31" s="18">
        <v>0.0765</v>
      </c>
    </row>
    <row r="32" spans="1:7" x14ac:dyDescent="0.25">
      <c r="A32" s="4" t="s">
        <v>124</v>
      </c>
      <c r="B32" s="4" t="s">
        <v>125</v>
      </c>
      <c r="C32" s="4" t="s">
        <v>122</v>
      </c>
      <c r="D32" s="19">
        <v>5</v>
      </c>
      <c r="E32" s="17">
        <v>50000</v>
      </c>
      <c r="F32" s="18">
        <v>0.26</v>
      </c>
      <c r="G32" s="18">
        <v>0.0765</v>
      </c>
    </row>
    <row r="33" spans="1:7" x14ac:dyDescent="0.25">
      <c r="A33" s="4" t="s">
        <v>126</v>
      </c>
      <c r="B33" s="4" t="s">
        <v>125</v>
      </c>
      <c r="C33" s="4" t="s">
        <v>122</v>
      </c>
      <c r="D33" s="19">
        <v>1</v>
      </c>
      <c r="E33" s="17">
        <v>53000</v>
      </c>
      <c r="F33" s="18">
        <v>0.26</v>
      </c>
      <c r="G33" s="18">
        <v>0.0765</v>
      </c>
    </row>
    <row r="34" spans="1:7" x14ac:dyDescent="0.25">
      <c r="A34" s="4" t="s">
        <v>127</v>
      </c>
      <c r="B34" s="4" t="s">
        <v>125</v>
      </c>
      <c r="C34" s="4" t="s">
        <v>122</v>
      </c>
      <c r="D34" s="19">
        <v>3</v>
      </c>
      <c r="E34" s="17">
        <v>28000</v>
      </c>
      <c r="F34" s="18">
        <v>0.18</v>
      </c>
      <c r="G34" s="18">
        <v>0.0765</v>
      </c>
    </row>
    <row r="35" spans="1:7" x14ac:dyDescent="0.25">
      <c r="A35" s="4" t="s">
        <v>128</v>
      </c>
      <c r="B35" s="4" t="s">
        <v>129</v>
      </c>
      <c r="C35" s="4" t="s">
        <v>122</v>
      </c>
      <c r="D35" s="19">
        <v>1</v>
      </c>
      <c r="E35" s="17">
        <v>62000</v>
      </c>
      <c r="F35" s="18">
        <v>0.26</v>
      </c>
      <c r="G35" s="18">
        <v>0.0765</v>
      </c>
    </row>
    <row r="36" spans="1:7" x14ac:dyDescent="0.25">
      <c r="A36" s="4" t="s">
        <v>130</v>
      </c>
      <c r="B36" s="4" t="s">
        <v>131</v>
      </c>
      <c r="C36" s="4" t="s">
        <v>122</v>
      </c>
      <c r="D36" s="19">
        <v>2</v>
      </c>
      <c r="E36" s="17">
        <v>36000</v>
      </c>
      <c r="F36" s="18">
        <v>0.22</v>
      </c>
      <c r="G36" s="18">
        <v>0.0765</v>
      </c>
    </row>
    <row r="38" ht="24" customHeight="1" spans="1:7" x14ac:dyDescent="0.25">
      <c r="A38" s="13" t="s">
        <v>132</v>
      </c>
      <c r="B38" s="13"/>
      <c r="C38" s="13"/>
      <c r="D38" s="13"/>
      <c r="E38" s="13"/>
      <c r="F38" s="13"/>
      <c r="G38" s="13"/>
    </row>
    <row r="39" ht="28" customHeight="1" spans="1:5" x14ac:dyDescent="0.25">
      <c r="A39" s="15" t="s">
        <v>97</v>
      </c>
      <c r="B39" s="15" t="s">
        <v>98</v>
      </c>
      <c r="C39" s="15" t="s">
        <v>99</v>
      </c>
      <c r="D39" s="15" t="s">
        <v>100</v>
      </c>
      <c r="E39" s="15" t="s">
        <v>101</v>
      </c>
    </row>
    <row r="40" spans="1:5" x14ac:dyDescent="0.25">
      <c r="A40" s="4" t="s">
        <v>133</v>
      </c>
      <c r="B40" s="4" t="s">
        <v>134</v>
      </c>
      <c r="C40" s="4" t="s">
        <v>135</v>
      </c>
      <c r="D40" s="17">
        <v>22000</v>
      </c>
      <c r="E40" s="18">
        <v>0.03</v>
      </c>
    </row>
    <row r="41" spans="1:5" x14ac:dyDescent="0.25">
      <c r="A41" s="4" t="s">
        <v>136</v>
      </c>
      <c r="B41" s="4" t="s">
        <v>134</v>
      </c>
      <c r="C41" s="4" t="s">
        <v>135</v>
      </c>
      <c r="D41" s="17">
        <v>3000</v>
      </c>
      <c r="E41" s="18">
        <v>0</v>
      </c>
    </row>
    <row r="42" spans="1:5" x14ac:dyDescent="0.25">
      <c r="A42" s="4" t="s">
        <v>137</v>
      </c>
      <c r="B42" s="4" t="s">
        <v>134</v>
      </c>
      <c r="C42" s="4" t="s">
        <v>109</v>
      </c>
      <c r="D42" s="17">
        <v>22000</v>
      </c>
      <c r="E42" s="18">
        <v>0</v>
      </c>
    </row>
    <row r="43" spans="1:5" x14ac:dyDescent="0.25">
      <c r="A43" s="4" t="s">
        <v>138</v>
      </c>
      <c r="B43" s="4" t="s">
        <v>139</v>
      </c>
      <c r="C43" s="4" t="s">
        <v>104</v>
      </c>
      <c r="D43" s="17">
        <v>650</v>
      </c>
      <c r="E43" s="18">
        <v>0</v>
      </c>
    </row>
    <row r="44" spans="1:5" x14ac:dyDescent="0.25">
      <c r="A44" s="4" t="s">
        <v>140</v>
      </c>
      <c r="B44" s="4" t="s">
        <v>141</v>
      </c>
      <c r="C44" s="4" t="s">
        <v>104</v>
      </c>
      <c r="D44" s="17">
        <v>450</v>
      </c>
      <c r="E44" s="18">
        <v>0</v>
      </c>
    </row>
    <row r="45" spans="1:5" x14ac:dyDescent="0.25">
      <c r="A45" s="4" t="s">
        <v>142</v>
      </c>
      <c r="B45" s="4" t="s">
        <v>143</v>
      </c>
      <c r="C45" s="4" t="s">
        <v>109</v>
      </c>
      <c r="D45" s="17">
        <v>30000</v>
      </c>
      <c r="E45" s="18">
        <v>0</v>
      </c>
    </row>
    <row r="46" spans="1:5" x14ac:dyDescent="0.25">
      <c r="A46" s="4" t="s">
        <v>144</v>
      </c>
      <c r="B46" s="4" t="s">
        <v>143</v>
      </c>
      <c r="C46" s="4" t="s">
        <v>109</v>
      </c>
      <c r="D46" s="17">
        <v>12000</v>
      </c>
      <c r="E46" s="18">
        <v>0</v>
      </c>
    </row>
    <row r="47" spans="1:5" x14ac:dyDescent="0.25">
      <c r="A47" s="4" t="s">
        <v>145</v>
      </c>
      <c r="B47" s="4" t="s">
        <v>143</v>
      </c>
      <c r="C47" s="4" t="s">
        <v>109</v>
      </c>
      <c r="D47" s="17">
        <v>18000</v>
      </c>
      <c r="E47" s="18">
        <v>0</v>
      </c>
    </row>
    <row r="48" spans="1:5" x14ac:dyDescent="0.25">
      <c r="A48" s="4" t="s">
        <v>146</v>
      </c>
      <c r="B48" s="4" t="s">
        <v>143</v>
      </c>
      <c r="C48" s="4" t="s">
        <v>104</v>
      </c>
      <c r="D48" s="17">
        <v>750</v>
      </c>
      <c r="E48" s="18">
        <v>0</v>
      </c>
    </row>
    <row r="50" ht="24" customHeight="1" spans="1:7" x14ac:dyDescent="0.25">
      <c r="A50" s="13" t="s">
        <v>147</v>
      </c>
      <c r="B50" s="13"/>
      <c r="C50" s="13"/>
      <c r="D50" s="13"/>
      <c r="E50" s="13"/>
      <c r="F50" s="13"/>
      <c r="G50" s="13"/>
    </row>
    <row r="51" ht="28" customHeight="1" spans="1:5" x14ac:dyDescent="0.25">
      <c r="A51" s="15" t="s">
        <v>148</v>
      </c>
      <c r="B51" s="15" t="s">
        <v>115</v>
      </c>
      <c r="C51" s="15" t="s">
        <v>149</v>
      </c>
      <c r="D51" s="15" t="s">
        <v>117</v>
      </c>
      <c r="E51" s="15" t="s">
        <v>150</v>
      </c>
    </row>
    <row r="52" spans="1:5" x14ac:dyDescent="0.25">
      <c r="A52" s="4" t="s">
        <v>151</v>
      </c>
      <c r="B52" s="4" t="s">
        <v>152</v>
      </c>
      <c r="C52" s="17">
        <v>350000</v>
      </c>
      <c r="D52" s="18">
        <v>0.06</v>
      </c>
      <c r="E52" s="16">
        <v>10</v>
      </c>
    </row>
    <row r="53" spans="1:5" x14ac:dyDescent="0.25">
      <c r="A53" s="4" t="s">
        <v>153</v>
      </c>
      <c r="B53" s="4" t="s">
        <v>154</v>
      </c>
      <c r="C53" s="17">
        <v>60000</v>
      </c>
      <c r="D53" s="18">
        <v>0</v>
      </c>
      <c r="E53" s="16">
        <v>0</v>
      </c>
    </row>
    <row r="55" ht="24" customHeight="1" spans="1:7" x14ac:dyDescent="0.25">
      <c r="A55" s="13" t="s">
        <v>155</v>
      </c>
      <c r="B55" s="13"/>
      <c r="C55" s="13"/>
      <c r="D55" s="13"/>
      <c r="E55" s="13"/>
      <c r="F55" s="13"/>
      <c r="G55" s="13"/>
    </row>
    <row r="56" spans="1:2" x14ac:dyDescent="0.25">
      <c r="A56" s="4" t="s">
        <v>156</v>
      </c>
      <c r="B56" s="18">
        <v>0.03</v>
      </c>
    </row>
    <row r="57" spans="1:2" x14ac:dyDescent="0.25">
      <c r="A57" s="4" t="s">
        <v>157</v>
      </c>
      <c r="B57" s="18">
        <v>0.03</v>
      </c>
    </row>
    <row r="58" spans="1:2" x14ac:dyDescent="0.25">
      <c r="A58" s="4" t="s">
        <v>158</v>
      </c>
      <c r="B58" s="19">
        <v>0.8333333333333334</v>
      </c>
    </row>
    <row r="59" spans="1:2" x14ac:dyDescent="0.25">
      <c r="A59" s="4" t="s">
        <v>159</v>
      </c>
      <c r="B59" s="17">
        <v>0</v>
      </c>
    </row>
    <row r="60" spans="1:2" x14ac:dyDescent="0.25">
      <c r="A60" s="4" t="s">
        <v>160</v>
      </c>
      <c r="B60" s="14" t="s">
        <v>161</v>
      </c>
    </row>
    <row r="62" ht="24" customHeight="1" spans="1:7" x14ac:dyDescent="0.25">
      <c r="A62" s="13" t="s">
        <v>162</v>
      </c>
      <c r="B62" s="13"/>
      <c r="C62" s="13"/>
      <c r="D62" s="13"/>
      <c r="E62" s="13"/>
      <c r="F62" s="13"/>
      <c r="G62" s="13"/>
    </row>
    <row r="63" spans="1:2" x14ac:dyDescent="0.25">
      <c r="A63" s="4" t="s">
        <v>163</v>
      </c>
      <c r="B63" s="14" t="s">
        <v>164</v>
      </c>
    </row>
    <row r="64" spans="1:2" x14ac:dyDescent="0.25">
      <c r="A64" s="4" t="s">
        <v>165</v>
      </c>
      <c r="B64" s="14" t="s">
        <v>135</v>
      </c>
    </row>
    <row r="65" spans="1:2" x14ac:dyDescent="0.25">
      <c r="A65" s="4" t="s">
        <v>166</v>
      </c>
      <c r="B65" s="16">
        <v>0</v>
      </c>
    </row>
    <row r="66" spans="1:2" x14ac:dyDescent="0.25">
      <c r="A66" s="4" t="s">
        <v>167</v>
      </c>
      <c r="B66" s="16">
        <v>0</v>
      </c>
    </row>
    <row r="67" spans="1:2" x14ac:dyDescent="0.25">
      <c r="A67" s="4" t="s">
        <v>168</v>
      </c>
      <c r="B67" s="20">
        <v>0.95</v>
      </c>
    </row>
    <row r="69" ht="28" customHeight="1" spans="1:4" x14ac:dyDescent="0.25">
      <c r="A69" s="15" t="s">
        <v>169</v>
      </c>
      <c r="B69" s="15" t="s">
        <v>170</v>
      </c>
      <c r="C69" s="15" t="s">
        <v>171</v>
      </c>
      <c r="D69" s="15" t="s">
        <v>172</v>
      </c>
    </row>
    <row r="70" spans="1:4" x14ac:dyDescent="0.25">
      <c r="A70" s="4" t="s">
        <v>173</v>
      </c>
      <c r="B70" s="17">
        <v>8200</v>
      </c>
      <c r="C70" s="17">
        <v>9100</v>
      </c>
      <c r="D70" s="17">
        <v>10500</v>
      </c>
    </row>
    <row r="72" ht="28" customHeight="1" spans="1:6" x14ac:dyDescent="0.25">
      <c r="A72" s="15" t="s">
        <v>174</v>
      </c>
      <c r="B72" s="15" t="s">
        <v>90</v>
      </c>
      <c r="C72" s="15" t="s">
        <v>91</v>
      </c>
      <c r="D72" s="15" t="s">
        <v>92</v>
      </c>
      <c r="E72" s="15" t="s">
        <v>93</v>
      </c>
      <c r="F72" s="15" t="s">
        <v>94</v>
      </c>
    </row>
    <row r="73" spans="1:6" x14ac:dyDescent="0.25">
      <c r="A73" s="4" t="s">
        <v>175</v>
      </c>
      <c r="B73" s="16">
        <v>80</v>
      </c>
      <c r="C73" s="16">
        <v>130</v>
      </c>
      <c r="D73" s="16">
        <v>180</v>
      </c>
      <c r="E73" s="16">
        <v>230</v>
      </c>
      <c r="F73" s="16">
        <v>260</v>
      </c>
    </row>
    <row r="74" spans="1:6" x14ac:dyDescent="0.25">
      <c r="A74" s="4" t="s">
        <v>176</v>
      </c>
      <c r="B74" s="16">
        <v>40</v>
      </c>
      <c r="C74" s="16">
        <v>70</v>
      </c>
      <c r="D74" s="16">
        <v>100</v>
      </c>
      <c r="E74" s="16">
        <v>120</v>
      </c>
      <c r="F74" s="16">
        <v>140</v>
      </c>
    </row>
    <row r="75" spans="1:6" x14ac:dyDescent="0.25">
      <c r="A75" s="4" t="s">
        <v>177</v>
      </c>
      <c r="B75" s="16">
        <v>0</v>
      </c>
      <c r="C75" s="16">
        <v>0</v>
      </c>
      <c r="D75" s="16">
        <v>20</v>
      </c>
      <c r="E75" s="16">
        <v>50</v>
      </c>
      <c r="F75" s="16">
        <v>100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1" t="s">
        <v>26</v>
      </c>
      <c r="B1" s="11"/>
    </row>
    <row r="3" spans="1:2" x14ac:dyDescent="0.25">
      <c r="A3" s="3" t="s">
        <v>178</v>
      </c>
      <c r="B3" s="4" t="s">
        <v>179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180</v>
      </c>
      <c r="B6" s="4" t="s">
        <v>181</v>
      </c>
    </row>
    <row r="7" spans="1:2" x14ac:dyDescent="0.25">
      <c r="A7" s="3" t="s">
        <v>14</v>
      </c>
      <c r="B7" s="4" t="s">
        <v>15</v>
      </c>
    </row>
    <row r="8" spans="1:2" x14ac:dyDescent="0.25">
      <c r="A8" s="3" t="s">
        <v>182</v>
      </c>
      <c r="B8" s="4" t="s">
        <v>17</v>
      </c>
    </row>
    <row r="9" spans="1:2" x14ac:dyDescent="0.25">
      <c r="A9" s="3" t="s">
        <v>87</v>
      </c>
      <c r="B9" s="4" t="s">
        <v>183</v>
      </c>
    </row>
    <row r="10" spans="1:2" x14ac:dyDescent="0.25">
      <c r="A10" s="3" t="s">
        <v>184</v>
      </c>
      <c r="B10" s="4" t="s">
        <v>185</v>
      </c>
    </row>
    <row r="11" spans="1:2" x14ac:dyDescent="0.25">
      <c r="A11" s="3" t="s">
        <v>186</v>
      </c>
      <c r="B11" s="4" t="s">
        <v>187</v>
      </c>
    </row>
    <row r="12" spans="1:2" x14ac:dyDescent="0.25">
      <c r="A12" s="3" t="s">
        <v>160</v>
      </c>
      <c r="B12" s="4" t="s">
        <v>161</v>
      </c>
    </row>
    <row r="13" spans="1:2" x14ac:dyDescent="0.25">
      <c r="A13" s="3" t="s">
        <v>88</v>
      </c>
      <c r="B13" s="4" t="s">
        <v>188</v>
      </c>
    </row>
    <row r="14" spans="1:2" x14ac:dyDescent="0.25">
      <c r="A14" s="3" t="s">
        <v>189</v>
      </c>
      <c r="B14" s="4" t="s">
        <v>190</v>
      </c>
    </row>
    <row r="15" spans="1:2" x14ac:dyDescent="0.25">
      <c r="A15" s="3" t="s">
        <v>191</v>
      </c>
      <c r="B15" s="4" t="s">
        <v>192</v>
      </c>
    </row>
    <row r="16" spans="1:2" x14ac:dyDescent="0.25">
      <c r="A16" s="3" t="s">
        <v>193</v>
      </c>
      <c r="B16" s="4" t="s">
        <v>194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1" t="s">
        <v>28</v>
      </c>
      <c r="B1" s="11"/>
      <c r="C1" s="11"/>
      <c r="D1" s="11"/>
      <c r="E1" s="11"/>
      <c r="F1" s="11"/>
      <c r="G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5" ht="24" customHeight="1" spans="1:6" x14ac:dyDescent="0.25">
      <c r="A5" s="13" t="s">
        <v>195</v>
      </c>
      <c r="B5" s="13"/>
      <c r="C5" s="13"/>
      <c r="D5" s="13"/>
      <c r="E5" s="13"/>
      <c r="F5" s="13"/>
    </row>
    <row r="6" spans="1:6" x14ac:dyDescent="0.25">
      <c r="A6" s="3" t="s">
        <v>95</v>
      </c>
      <c r="B6" s="21">
        <v>120</v>
      </c>
      <c r="C6" s="21">
        <v>200</v>
      </c>
      <c r="D6" s="21">
        <v>300</v>
      </c>
      <c r="E6" s="21">
        <v>400</v>
      </c>
      <c r="F6" s="21">
        <v>500</v>
      </c>
    </row>
    <row r="7" spans="1:2" x14ac:dyDescent="0.25">
      <c r="A7" s="4" t="s">
        <v>88</v>
      </c>
      <c r="B7" s="22">
        <v>600</v>
      </c>
    </row>
    <row r="8" spans="1:6" x14ac:dyDescent="0.25">
      <c r="A8" s="4" t="s">
        <v>196</v>
      </c>
      <c r="B8" s="23">
        <v>0.2</v>
      </c>
      <c r="C8" s="23">
        <v>0.3333333333333333</v>
      </c>
      <c r="D8" s="23">
        <v>0.5</v>
      </c>
      <c r="E8" s="23">
        <v>0.6666666666666666</v>
      </c>
      <c r="F8" s="23">
        <v>0.8333333333333334</v>
      </c>
    </row>
    <row r="10" spans="1:6" x14ac:dyDescent="0.25">
      <c r="A10" s="4" t="s">
        <v>197</v>
      </c>
      <c r="B10" s="4" t="s">
        <v>198</v>
      </c>
      <c r="C10" s="24">
        <v>0.6666666666666666</v>
      </c>
      <c r="D10" s="24">
        <v>0.5</v>
      </c>
      <c r="E10" s="24">
        <v>0.3333333333333333</v>
      </c>
      <c r="F10" s="24">
        <v>0.25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199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200</v>
      </c>
      <c r="B4" s="13"/>
      <c r="C4" s="13"/>
      <c r="D4" s="13"/>
      <c r="E4" s="13"/>
      <c r="F4" s="13"/>
    </row>
    <row r="5" spans="1:6" x14ac:dyDescent="0.25">
      <c r="A5" s="4" t="s">
        <v>201</v>
      </c>
      <c r="B5" s="25">
        <v>969000</v>
      </c>
      <c r="C5" s="25">
        <v>1617850</v>
      </c>
      <c r="D5" s="25">
        <v>2466200</v>
      </c>
      <c r="E5" s="25">
        <v>3327850</v>
      </c>
      <c r="F5" s="25">
        <v>4233200</v>
      </c>
    </row>
    <row r="6" spans="1:6" x14ac:dyDescent="0.25">
      <c r="A6" s="4" t="s">
        <v>202</v>
      </c>
      <c r="B6" s="25">
        <v>90000</v>
      </c>
      <c r="C6" s="25">
        <v>154500</v>
      </c>
      <c r="D6" s="25">
        <v>238703</v>
      </c>
      <c r="E6" s="25">
        <v>327818</v>
      </c>
      <c r="F6" s="25">
        <v>422066</v>
      </c>
    </row>
    <row r="7" spans="1:6" x14ac:dyDescent="0.25">
      <c r="A7" s="4" t="s">
        <v>203</v>
      </c>
      <c r="B7" s="25">
        <v>132000</v>
      </c>
      <c r="C7" s="25">
        <v>226600</v>
      </c>
      <c r="D7" s="25">
        <v>350097</v>
      </c>
      <c r="E7" s="25">
        <v>480800</v>
      </c>
      <c r="F7" s="25">
        <v>619030</v>
      </c>
    </row>
    <row r="8" spans="1:6" x14ac:dyDescent="0.25">
      <c r="A8" s="4" t="s">
        <v>204</v>
      </c>
      <c r="B8" s="25">
        <v>150000</v>
      </c>
      <c r="C8" s="25">
        <v>154500</v>
      </c>
      <c r="D8" s="25">
        <v>159135</v>
      </c>
      <c r="E8" s="25">
        <v>163909</v>
      </c>
      <c r="F8" s="25">
        <v>168826</v>
      </c>
    </row>
    <row r="9" spans="1:6" x14ac:dyDescent="0.25">
      <c r="A9" s="4" t="s">
        <v>205</v>
      </c>
      <c r="B9" s="25">
        <v>25000</v>
      </c>
      <c r="C9" s="25">
        <v>25750</v>
      </c>
      <c r="D9" s="25">
        <v>26523</v>
      </c>
      <c r="E9" s="25">
        <v>27318</v>
      </c>
      <c r="F9" s="25">
        <v>28138</v>
      </c>
    </row>
    <row r="10" spans="1:6" x14ac:dyDescent="0.25">
      <c r="A10" s="4" t="s">
        <v>206</v>
      </c>
      <c r="B10" s="25">
        <v>48000</v>
      </c>
      <c r="C10" s="25">
        <v>82400</v>
      </c>
      <c r="D10" s="25">
        <v>127308</v>
      </c>
      <c r="E10" s="25">
        <v>174836</v>
      </c>
      <c r="F10" s="25">
        <v>225102</v>
      </c>
    </row>
    <row r="11" ht="24" customHeight="1" spans="1:6" x14ac:dyDescent="0.25">
      <c r="A11" s="13" t="s">
        <v>207</v>
      </c>
      <c r="B11" s="26">
        <f>SUM(B5:B10)</f>
        <v>1414000</v>
      </c>
      <c r="C11" s="26">
        <f>SUM(C5:C10)</f>
        <v>2261600</v>
      </c>
      <c r="D11" s="26">
        <f>SUM(D5:D10)</f>
        <v>3367965</v>
      </c>
      <c r="E11" s="26">
        <f>SUM(E5:E10)</f>
        <v>4502532</v>
      </c>
      <c r="F11" s="26">
        <f>SUM(F5:F10)</f>
        <v>5696361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1" t="s">
        <v>32</v>
      </c>
      <c r="B1" s="11"/>
      <c r="C1" s="11"/>
      <c r="D1" s="11"/>
      <c r="E1" s="11"/>
      <c r="F1" s="11"/>
      <c r="G1" s="11"/>
    </row>
    <row r="3" ht="28" customHeight="1" spans="1:7" x14ac:dyDescent="0.25">
      <c r="A3" s="15" t="s">
        <v>114</v>
      </c>
      <c r="B3" s="15" t="s">
        <v>98</v>
      </c>
      <c r="C3" s="15" t="s">
        <v>116</v>
      </c>
      <c r="D3" s="15" t="s">
        <v>208</v>
      </c>
      <c r="E3" s="15" t="s">
        <v>118</v>
      </c>
      <c r="F3" s="15" t="s">
        <v>119</v>
      </c>
      <c r="G3" s="15" t="s">
        <v>209</v>
      </c>
    </row>
    <row r="4" spans="1:7" x14ac:dyDescent="0.25">
      <c r="A4" s="4" t="s">
        <v>120</v>
      </c>
      <c r="B4" s="4" t="s">
        <v>121</v>
      </c>
      <c r="C4" s="27">
        <v>1</v>
      </c>
      <c r="D4" s="25">
        <v>105000</v>
      </c>
      <c r="E4" s="24">
        <v>0.26</v>
      </c>
      <c r="F4" s="24">
        <v>0.0765</v>
      </c>
      <c r="G4" s="28">
        <v>140333</v>
      </c>
    </row>
    <row r="5" spans="1:7" x14ac:dyDescent="0.25">
      <c r="A5" s="4" t="s">
        <v>123</v>
      </c>
      <c r="B5" s="4" t="s">
        <v>121</v>
      </c>
      <c r="C5" s="27">
        <v>1</v>
      </c>
      <c r="D5" s="25">
        <v>82000</v>
      </c>
      <c r="E5" s="24">
        <v>0.26</v>
      </c>
      <c r="F5" s="24">
        <v>0.0765</v>
      </c>
      <c r="G5" s="28">
        <v>109593</v>
      </c>
    </row>
    <row r="6" spans="1:7" x14ac:dyDescent="0.25">
      <c r="A6" s="4" t="s">
        <v>124</v>
      </c>
      <c r="B6" s="4" t="s">
        <v>125</v>
      </c>
      <c r="C6" s="27">
        <v>5</v>
      </c>
      <c r="D6" s="25">
        <v>50000</v>
      </c>
      <c r="E6" s="24">
        <v>0.26</v>
      </c>
      <c r="F6" s="24">
        <v>0.0765</v>
      </c>
      <c r="G6" s="28">
        <v>334125</v>
      </c>
    </row>
    <row r="7" spans="1:7" x14ac:dyDescent="0.25">
      <c r="A7" s="4" t="s">
        <v>126</v>
      </c>
      <c r="B7" s="4" t="s">
        <v>125</v>
      </c>
      <c r="C7" s="27">
        <v>1</v>
      </c>
      <c r="D7" s="25">
        <v>53000</v>
      </c>
      <c r="E7" s="24">
        <v>0.26</v>
      </c>
      <c r="F7" s="24">
        <v>0.0765</v>
      </c>
      <c r="G7" s="28">
        <v>70835</v>
      </c>
    </row>
    <row r="8" spans="1:7" x14ac:dyDescent="0.25">
      <c r="A8" s="4" t="s">
        <v>127</v>
      </c>
      <c r="B8" s="4" t="s">
        <v>125</v>
      </c>
      <c r="C8" s="27">
        <v>3</v>
      </c>
      <c r="D8" s="25">
        <v>28000</v>
      </c>
      <c r="E8" s="24">
        <v>0.18</v>
      </c>
      <c r="F8" s="24">
        <v>0.0765</v>
      </c>
      <c r="G8" s="28">
        <v>105546</v>
      </c>
    </row>
    <row r="9" spans="1:7" x14ac:dyDescent="0.25">
      <c r="A9" s="4" t="s">
        <v>128</v>
      </c>
      <c r="B9" s="4" t="s">
        <v>129</v>
      </c>
      <c r="C9" s="27">
        <v>1</v>
      </c>
      <c r="D9" s="25">
        <v>62000</v>
      </c>
      <c r="E9" s="24">
        <v>0.26</v>
      </c>
      <c r="F9" s="24">
        <v>0.0765</v>
      </c>
      <c r="G9" s="28">
        <v>82863</v>
      </c>
    </row>
    <row r="10" spans="1:7" x14ac:dyDescent="0.25">
      <c r="A10" s="4" t="s">
        <v>130</v>
      </c>
      <c r="B10" s="4" t="s">
        <v>131</v>
      </c>
      <c r="C10" s="27">
        <v>2</v>
      </c>
      <c r="D10" s="25">
        <v>36000</v>
      </c>
      <c r="E10" s="24">
        <v>0.22</v>
      </c>
      <c r="F10" s="24">
        <v>0.0765</v>
      </c>
      <c r="G10" s="28">
        <v>93348</v>
      </c>
    </row>
    <row r="12" ht="24" customHeight="1" spans="1:7" x14ac:dyDescent="0.25">
      <c r="A12" s="13" t="s">
        <v>210</v>
      </c>
      <c r="B12" s="13"/>
      <c r="C12" s="13"/>
      <c r="D12" s="13"/>
      <c r="E12" s="13"/>
      <c r="F12" s="13"/>
      <c r="G12" s="13"/>
    </row>
    <row r="13" ht="28" customHeight="1" spans="1:6" x14ac:dyDescent="0.25">
      <c r="A13" s="15" t="s">
        <v>67</v>
      </c>
      <c r="B13" s="15" t="s">
        <v>90</v>
      </c>
      <c r="C13" s="15" t="s">
        <v>91</v>
      </c>
      <c r="D13" s="15" t="s">
        <v>92</v>
      </c>
      <c r="E13" s="15" t="s">
        <v>93</v>
      </c>
      <c r="F13" s="15" t="s">
        <v>94</v>
      </c>
    </row>
    <row r="14" spans="1:6" x14ac:dyDescent="0.25">
      <c r="A14" s="3" t="s">
        <v>211</v>
      </c>
      <c r="B14" s="26">
        <v>780535</v>
      </c>
      <c r="C14" s="26">
        <v>964741</v>
      </c>
      <c r="D14" s="26">
        <v>993683</v>
      </c>
      <c r="E14" s="26">
        <v>1023494</v>
      </c>
      <c r="F14" s="26">
        <v>1054199</v>
      </c>
    </row>
    <row r="15" spans="1:6" x14ac:dyDescent="0.25">
      <c r="A15" s="4" t="s">
        <v>212</v>
      </c>
      <c r="B15" s="24">
        <v>0.5520049504950495</v>
      </c>
      <c r="C15" s="24">
        <v>0.4265746639547223</v>
      </c>
      <c r="D15" s="24">
        <v>0.29503973402336425</v>
      </c>
      <c r="E15" s="24">
        <v>0.22731523300861284</v>
      </c>
      <c r="F15" s="24">
        <v>0.18506529677129674</v>
      </c>
    </row>
    <row r="16" spans="1:6" x14ac:dyDescent="0.25">
      <c r="A16" s="4" t="s">
        <v>213</v>
      </c>
      <c r="B16" s="29">
        <v>8.6</v>
      </c>
      <c r="C16" s="29">
        <v>14.3</v>
      </c>
      <c r="D16" s="29">
        <v>21.4</v>
      </c>
      <c r="E16" s="29">
        <v>28.6</v>
      </c>
      <c r="F16" s="29">
        <v>35.7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214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139</v>
      </c>
      <c r="B4" s="13"/>
      <c r="C4" s="13"/>
      <c r="D4" s="13"/>
      <c r="E4" s="13"/>
      <c r="F4" s="13"/>
    </row>
    <row r="5" spans="1:6" x14ac:dyDescent="0.25">
      <c r="A5" s="4" t="s">
        <v>215</v>
      </c>
      <c r="B5" s="25">
        <v>78000</v>
      </c>
      <c r="C5" s="25">
        <v>133900</v>
      </c>
      <c r="D5" s="25">
        <v>206875</v>
      </c>
      <c r="E5" s="25">
        <v>284109</v>
      </c>
      <c r="F5" s="25">
        <v>365790</v>
      </c>
    </row>
    <row r="6" spans="1:6" x14ac:dyDescent="0.25">
      <c r="A6" s="3" t="s">
        <v>216</v>
      </c>
      <c r="B6" s="30">
        <f>SUM(B5:B5)</f>
        <v>78000</v>
      </c>
      <c r="C6" s="30">
        <f>SUM(C5:C5)</f>
        <v>133900</v>
      </c>
      <c r="D6" s="30">
        <f>SUM(D5:D5)</f>
        <v>206875</v>
      </c>
      <c r="E6" s="30">
        <f>SUM(E5:E5)</f>
        <v>284109</v>
      </c>
      <c r="F6" s="30">
        <f>SUM(F5:F5)</f>
        <v>365790</v>
      </c>
    </row>
    <row r="7" ht="24" customHeight="1" spans="1:6" x14ac:dyDescent="0.25">
      <c r="A7" s="13" t="s">
        <v>141</v>
      </c>
      <c r="B7" s="13"/>
      <c r="C7" s="13"/>
      <c r="D7" s="13"/>
      <c r="E7" s="13"/>
      <c r="F7" s="13"/>
    </row>
    <row r="8" spans="1:6" x14ac:dyDescent="0.25">
      <c r="A8" s="4" t="s">
        <v>217</v>
      </c>
      <c r="B8" s="25">
        <v>54000</v>
      </c>
      <c r="C8" s="25">
        <v>92700</v>
      </c>
      <c r="D8" s="25">
        <v>143222</v>
      </c>
      <c r="E8" s="25">
        <v>196691</v>
      </c>
      <c r="F8" s="25">
        <v>253239</v>
      </c>
    </row>
    <row r="9" spans="1:6" x14ac:dyDescent="0.25">
      <c r="A9" s="3" t="s">
        <v>218</v>
      </c>
      <c r="B9" s="30">
        <f>SUM(B8:B8)</f>
        <v>54000</v>
      </c>
      <c r="C9" s="30">
        <f>SUM(C8:C8)</f>
        <v>92700</v>
      </c>
      <c r="D9" s="30">
        <f>SUM(D8:D8)</f>
        <v>143222</v>
      </c>
      <c r="E9" s="30">
        <f>SUM(E8:E8)</f>
        <v>196691</v>
      </c>
      <c r="F9" s="30">
        <f>SUM(F8:F8)</f>
        <v>253239</v>
      </c>
    </row>
    <row r="10" ht="24" customHeight="1" spans="1:6" x14ac:dyDescent="0.25">
      <c r="A10" s="13" t="s">
        <v>134</v>
      </c>
      <c r="B10" s="13"/>
      <c r="C10" s="13"/>
      <c r="D10" s="13"/>
      <c r="E10" s="13"/>
      <c r="F10" s="13"/>
    </row>
    <row r="11" spans="1:6" x14ac:dyDescent="0.25">
      <c r="A11" s="4" t="s">
        <v>219</v>
      </c>
      <c r="B11" s="25">
        <v>264000</v>
      </c>
      <c r="C11" s="25">
        <v>271920</v>
      </c>
      <c r="D11" s="25">
        <v>280078</v>
      </c>
      <c r="E11" s="25">
        <v>288480</v>
      </c>
      <c r="F11" s="25">
        <v>297134</v>
      </c>
    </row>
    <row r="12" spans="1:6" x14ac:dyDescent="0.25">
      <c r="A12" s="4" t="s">
        <v>220</v>
      </c>
      <c r="B12" s="25">
        <v>36000</v>
      </c>
      <c r="C12" s="25">
        <v>37080</v>
      </c>
      <c r="D12" s="25">
        <v>38192</v>
      </c>
      <c r="E12" s="25">
        <v>39338</v>
      </c>
      <c r="F12" s="25">
        <v>40518</v>
      </c>
    </row>
    <row r="13" spans="1:6" x14ac:dyDescent="0.25">
      <c r="A13" s="4" t="s">
        <v>221</v>
      </c>
      <c r="B13" s="25">
        <v>22000</v>
      </c>
      <c r="C13" s="25">
        <v>22660</v>
      </c>
      <c r="D13" s="25">
        <v>23340</v>
      </c>
      <c r="E13" s="25">
        <v>24040</v>
      </c>
      <c r="F13" s="25">
        <v>24761</v>
      </c>
    </row>
    <row r="14" spans="1:6" x14ac:dyDescent="0.25">
      <c r="A14" s="3" t="s">
        <v>222</v>
      </c>
      <c r="B14" s="30">
        <f>SUM(B11:B13)</f>
        <v>322000</v>
      </c>
      <c r="C14" s="30">
        <f>SUM(C11:C13)</f>
        <v>331660</v>
      </c>
      <c r="D14" s="30">
        <f>SUM(D11:D13)</f>
        <v>341610</v>
      </c>
      <c r="E14" s="30">
        <f>SUM(E11:E13)</f>
        <v>351858</v>
      </c>
      <c r="F14" s="30">
        <f>SUM(F11:F13)</f>
        <v>362414</v>
      </c>
    </row>
    <row r="15" ht="24" customHeight="1" spans="1:6" x14ac:dyDescent="0.25">
      <c r="A15" s="13" t="s">
        <v>143</v>
      </c>
      <c r="B15" s="13"/>
      <c r="C15" s="13"/>
      <c r="D15" s="13"/>
      <c r="E15" s="13"/>
      <c r="F15" s="13"/>
    </row>
    <row r="16" spans="1:6" x14ac:dyDescent="0.25">
      <c r="A16" s="4" t="s">
        <v>223</v>
      </c>
      <c r="B16" s="25">
        <v>30000</v>
      </c>
      <c r="C16" s="25">
        <v>30900</v>
      </c>
      <c r="D16" s="25">
        <v>31827</v>
      </c>
      <c r="E16" s="25">
        <v>32782</v>
      </c>
      <c r="F16" s="25">
        <v>33765</v>
      </c>
    </row>
    <row r="17" spans="1:6" x14ac:dyDescent="0.25">
      <c r="A17" s="4" t="s">
        <v>224</v>
      </c>
      <c r="B17" s="25">
        <v>12000</v>
      </c>
      <c r="C17" s="25">
        <v>12360</v>
      </c>
      <c r="D17" s="25">
        <v>12731</v>
      </c>
      <c r="E17" s="25">
        <v>13113</v>
      </c>
      <c r="F17" s="25">
        <v>13506</v>
      </c>
    </row>
    <row r="18" spans="1:6" x14ac:dyDescent="0.25">
      <c r="A18" s="4" t="s">
        <v>225</v>
      </c>
      <c r="B18" s="25">
        <v>18000</v>
      </c>
      <c r="C18" s="25">
        <v>18540</v>
      </c>
      <c r="D18" s="25">
        <v>19096</v>
      </c>
      <c r="E18" s="25">
        <v>19669</v>
      </c>
      <c r="F18" s="25">
        <v>20259</v>
      </c>
    </row>
    <row r="19" spans="1:6" x14ac:dyDescent="0.25">
      <c r="A19" s="4" t="s">
        <v>226</v>
      </c>
      <c r="B19" s="25">
        <v>90000</v>
      </c>
      <c r="C19" s="25">
        <v>154500</v>
      </c>
      <c r="D19" s="25">
        <v>238703</v>
      </c>
      <c r="E19" s="25">
        <v>327818</v>
      </c>
      <c r="F19" s="25">
        <v>422066</v>
      </c>
    </row>
    <row r="20" spans="1:6" x14ac:dyDescent="0.25">
      <c r="A20" s="3" t="s">
        <v>227</v>
      </c>
      <c r="B20" s="30">
        <f>SUM(B16:B19)</f>
        <v>150000</v>
      </c>
      <c r="C20" s="30">
        <f>SUM(C16:C19)</f>
        <v>216300</v>
      </c>
      <c r="D20" s="30">
        <f>SUM(D16:D19)</f>
        <v>302357</v>
      </c>
      <c r="E20" s="30">
        <f>SUM(E16:E19)</f>
        <v>393382</v>
      </c>
      <c r="F20" s="30">
        <f>SUM(F16:F19)</f>
        <v>489596</v>
      </c>
    </row>
    <row r="22" ht="24" customHeight="1" spans="1:6" x14ac:dyDescent="0.25">
      <c r="A22" s="13" t="s">
        <v>228</v>
      </c>
      <c r="B22" s="26">
        <f>B6+B9+B14+B20</f>
        <v>604000</v>
      </c>
      <c r="C22" s="26">
        <f>C6+C9+C14+C20</f>
        <v>774560</v>
      </c>
      <c r="D22" s="26">
        <f>D6+D9+D14+D20</f>
        <v>994063</v>
      </c>
      <c r="E22" s="26">
        <f>E6+E9+E14+E20</f>
        <v>1226040</v>
      </c>
      <c r="F22" s="26">
        <f>F6+F9+F14+F20</f>
        <v>1471040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1" t="s">
        <v>229</v>
      </c>
      <c r="B1" s="11"/>
      <c r="C1" s="11"/>
      <c r="D1" s="11"/>
      <c r="E1" s="11"/>
      <c r="F1" s="11"/>
    </row>
    <row r="3" ht="28" customHeight="1" spans="1:6" x14ac:dyDescent="0.25">
      <c r="A3" s="15" t="s">
        <v>148</v>
      </c>
      <c r="B3" s="15" t="s">
        <v>115</v>
      </c>
      <c r="C3" s="15" t="s">
        <v>149</v>
      </c>
      <c r="D3" s="15" t="s">
        <v>117</v>
      </c>
      <c r="E3" s="15" t="s">
        <v>150</v>
      </c>
      <c r="F3" s="15" t="s">
        <v>230</v>
      </c>
    </row>
    <row r="4" spans="1:6" x14ac:dyDescent="0.25">
      <c r="A4" s="4" t="s">
        <v>151</v>
      </c>
      <c r="B4" s="4" t="s">
        <v>152</v>
      </c>
      <c r="C4" s="17">
        <v>350000</v>
      </c>
      <c r="D4" s="24">
        <v>0.06</v>
      </c>
      <c r="E4" s="22">
        <v>10</v>
      </c>
      <c r="F4" s="28">
        <v>46629</v>
      </c>
    </row>
    <row r="5" spans="1:6" x14ac:dyDescent="0.25">
      <c r="A5" s="4" t="s">
        <v>153</v>
      </c>
      <c r="B5" s="4" t="s">
        <v>231</v>
      </c>
      <c r="C5" s="17">
        <v>60000</v>
      </c>
      <c r="D5" s="24">
        <v>0</v>
      </c>
      <c r="E5" s="22">
        <v>0</v>
      </c>
      <c r="F5" s="28">
        <v>60000</v>
      </c>
    </row>
    <row r="7" spans="1:6" x14ac:dyDescent="0.25">
      <c r="A7" s="3" t="s">
        <v>232</v>
      </c>
      <c r="F7" s="26">
        <v>46629</v>
      </c>
    </row>
    <row r="8" spans="1:6" x14ac:dyDescent="0.25">
      <c r="A8" s="3" t="s">
        <v>233</v>
      </c>
      <c r="F8" s="30">
        <v>350000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234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spans="1:6" x14ac:dyDescent="0.25">
      <c r="A4" s="3" t="s">
        <v>95</v>
      </c>
      <c r="B4" s="31">
        <v>120</v>
      </c>
      <c r="C4" s="31">
        <v>200</v>
      </c>
      <c r="D4" s="31">
        <v>300</v>
      </c>
      <c r="E4" s="31">
        <v>400</v>
      </c>
      <c r="F4" s="31">
        <v>500</v>
      </c>
    </row>
    <row r="6" ht="24" customHeight="1" spans="1:6" x14ac:dyDescent="0.25">
      <c r="A6" s="13" t="s">
        <v>235</v>
      </c>
      <c r="B6" s="13"/>
      <c r="C6" s="13"/>
      <c r="D6" s="13"/>
      <c r="E6" s="13"/>
      <c r="F6" s="13"/>
    </row>
    <row r="7" spans="1:6" x14ac:dyDescent="0.25">
      <c r="A7" s="4" t="s">
        <v>102</v>
      </c>
      <c r="B7" s="25">
        <v>969000</v>
      </c>
      <c r="C7" s="25">
        <v>1617850</v>
      </c>
      <c r="D7" s="25">
        <v>2466200</v>
      </c>
      <c r="E7" s="25">
        <v>3327850</v>
      </c>
      <c r="F7" s="25">
        <v>4233200</v>
      </c>
    </row>
    <row r="8" spans="1:6" x14ac:dyDescent="0.25">
      <c r="A8" s="4" t="s">
        <v>105</v>
      </c>
      <c r="B8" s="25">
        <v>90000</v>
      </c>
      <c r="C8" s="25">
        <v>154500</v>
      </c>
      <c r="D8" s="25">
        <v>238703</v>
      </c>
      <c r="E8" s="25">
        <v>327818</v>
      </c>
      <c r="F8" s="25">
        <v>422066</v>
      </c>
    </row>
    <row r="9" spans="1:6" x14ac:dyDescent="0.25">
      <c r="A9" s="4" t="s">
        <v>106</v>
      </c>
      <c r="B9" s="25">
        <v>132000</v>
      </c>
      <c r="C9" s="25">
        <v>226600</v>
      </c>
      <c r="D9" s="25">
        <v>350097</v>
      </c>
      <c r="E9" s="25">
        <v>480800</v>
      </c>
      <c r="F9" s="25">
        <v>619030</v>
      </c>
    </row>
    <row r="10" spans="1:6" x14ac:dyDescent="0.25">
      <c r="A10" s="4" t="s">
        <v>107</v>
      </c>
      <c r="B10" s="25">
        <v>150000</v>
      </c>
      <c r="C10" s="25">
        <v>154500</v>
      </c>
      <c r="D10" s="25">
        <v>159135</v>
      </c>
      <c r="E10" s="25">
        <v>163909</v>
      </c>
      <c r="F10" s="25">
        <v>168826</v>
      </c>
    </row>
    <row r="11" spans="1:6" x14ac:dyDescent="0.25">
      <c r="A11" s="4" t="s">
        <v>110</v>
      </c>
      <c r="B11" s="25">
        <v>25000</v>
      </c>
      <c r="C11" s="25">
        <v>25750</v>
      </c>
      <c r="D11" s="25">
        <v>26523</v>
      </c>
      <c r="E11" s="25">
        <v>27318</v>
      </c>
      <c r="F11" s="25">
        <v>28138</v>
      </c>
    </row>
    <row r="12" spans="1:6" x14ac:dyDescent="0.25">
      <c r="A12" s="4" t="s">
        <v>111</v>
      </c>
      <c r="B12" s="25">
        <v>48000</v>
      </c>
      <c r="C12" s="25">
        <v>82400</v>
      </c>
      <c r="D12" s="25">
        <v>127308</v>
      </c>
      <c r="E12" s="25">
        <v>174836</v>
      </c>
      <c r="F12" s="25">
        <v>225102</v>
      </c>
    </row>
    <row r="13" ht="24" customHeight="1" spans="1:6" x14ac:dyDescent="0.25">
      <c r="A13" s="13" t="s">
        <v>207</v>
      </c>
      <c r="B13" s="26">
        <f>SUM(B7:B12)</f>
        <v>1414000</v>
      </c>
      <c r="C13" s="26">
        <f>SUM(C7:C12)</f>
        <v>2261600</v>
      </c>
      <c r="D13" s="26">
        <f>SUM(D7:D12)</f>
        <v>3367965</v>
      </c>
      <c r="E13" s="26">
        <f>SUM(E7:E12)</f>
        <v>4502532</v>
      </c>
      <c r="F13" s="26">
        <f>SUM(F7:F12)</f>
        <v>5696361</v>
      </c>
    </row>
    <row r="15" spans="1:6" x14ac:dyDescent="0.25">
      <c r="A15" s="4" t="s">
        <v>236</v>
      </c>
      <c r="B15" s="25">
        <v>11783</v>
      </c>
      <c r="C15" s="25">
        <v>11308</v>
      </c>
      <c r="D15" s="25">
        <v>11227</v>
      </c>
      <c r="E15" s="25">
        <v>11256</v>
      </c>
      <c r="F15" s="25">
        <v>11393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1" t="s">
        <v>237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125</v>
      </c>
      <c r="B4" s="13"/>
      <c r="C4" s="13"/>
      <c r="D4" s="13"/>
      <c r="E4" s="13"/>
      <c r="F4" s="13"/>
    </row>
    <row r="5" spans="1:6" x14ac:dyDescent="0.25">
      <c r="A5" s="4" t="s">
        <v>238</v>
      </c>
      <c r="B5" s="25">
        <v>278438</v>
      </c>
      <c r="C5" s="25">
        <v>344149</v>
      </c>
      <c r="D5" s="25">
        <v>354473</v>
      </c>
      <c r="E5" s="25">
        <v>365107</v>
      </c>
      <c r="F5" s="25">
        <v>376061</v>
      </c>
    </row>
    <row r="6" spans="1:6" x14ac:dyDescent="0.25">
      <c r="A6" s="4" t="s">
        <v>239</v>
      </c>
      <c r="B6" s="25">
        <v>59029</v>
      </c>
      <c r="C6" s="25">
        <v>72960</v>
      </c>
      <c r="D6" s="25">
        <v>75148</v>
      </c>
      <c r="E6" s="25">
        <v>77403</v>
      </c>
      <c r="F6" s="25">
        <v>79725</v>
      </c>
    </row>
    <row r="7" spans="1:6" x14ac:dyDescent="0.25">
      <c r="A7" s="4" t="s">
        <v>240</v>
      </c>
      <c r="B7" s="25">
        <v>87955</v>
      </c>
      <c r="C7" s="25">
        <v>108712</v>
      </c>
      <c r="D7" s="25">
        <v>111974</v>
      </c>
      <c r="E7" s="25">
        <v>115333</v>
      </c>
      <c r="F7" s="25">
        <v>118793</v>
      </c>
    </row>
    <row r="8" spans="1:6" x14ac:dyDescent="0.25">
      <c r="A8" s="3" t="s">
        <v>241</v>
      </c>
      <c r="B8" s="30">
        <f>SUM(B5:B7)</f>
        <v>425421</v>
      </c>
      <c r="C8" s="30">
        <f>SUM(C5:C7)</f>
        <v>525821</v>
      </c>
      <c r="D8" s="30">
        <f>SUM(D5:D7)</f>
        <v>541595</v>
      </c>
      <c r="E8" s="30">
        <f>SUM(E5:E7)</f>
        <v>557843</v>
      </c>
      <c r="F8" s="30">
        <f>SUM(F5:F7)</f>
        <v>574578</v>
      </c>
    </row>
    <row r="9" ht="24" customHeight="1" spans="1:6" x14ac:dyDescent="0.25">
      <c r="A9" s="13" t="s">
        <v>121</v>
      </c>
      <c r="B9" s="13"/>
      <c r="C9" s="13"/>
      <c r="D9" s="13"/>
      <c r="E9" s="13"/>
      <c r="F9" s="13"/>
    </row>
    <row r="10" spans="1:6" x14ac:dyDescent="0.25">
      <c r="A10" s="4" t="s">
        <v>242</v>
      </c>
      <c r="B10" s="25">
        <v>116944</v>
      </c>
      <c r="C10" s="25">
        <v>144542</v>
      </c>
      <c r="D10" s="25">
        <v>148879</v>
      </c>
      <c r="E10" s="25">
        <v>153345</v>
      </c>
      <c r="F10" s="25">
        <v>157945</v>
      </c>
    </row>
    <row r="11" spans="1:6" x14ac:dyDescent="0.25">
      <c r="A11" s="4" t="s">
        <v>243</v>
      </c>
      <c r="B11" s="25">
        <v>91328</v>
      </c>
      <c r="C11" s="25">
        <v>112881</v>
      </c>
      <c r="D11" s="25">
        <v>116267</v>
      </c>
      <c r="E11" s="25">
        <v>119755</v>
      </c>
      <c r="F11" s="25">
        <v>123348</v>
      </c>
    </row>
    <row r="12" spans="1:6" x14ac:dyDescent="0.25">
      <c r="A12" s="3" t="s">
        <v>244</v>
      </c>
      <c r="B12" s="30">
        <f>SUM(B10:B11)</f>
        <v>208271</v>
      </c>
      <c r="C12" s="30">
        <f>SUM(C10:C11)</f>
        <v>257423</v>
      </c>
      <c r="D12" s="30">
        <f>SUM(D10:D11)</f>
        <v>265146</v>
      </c>
      <c r="E12" s="30">
        <f>SUM(E10:E11)</f>
        <v>273100</v>
      </c>
      <c r="F12" s="30">
        <f>SUM(F10:F11)</f>
        <v>281293</v>
      </c>
    </row>
    <row r="13" ht="24" customHeight="1" spans="1:6" x14ac:dyDescent="0.25">
      <c r="A13" s="13" t="s">
        <v>129</v>
      </c>
      <c r="B13" s="13"/>
      <c r="C13" s="13"/>
      <c r="D13" s="13"/>
      <c r="E13" s="13"/>
      <c r="F13" s="13"/>
    </row>
    <row r="14" spans="1:6" x14ac:dyDescent="0.25">
      <c r="A14" s="4" t="s">
        <v>245</v>
      </c>
      <c r="B14" s="25">
        <v>69053</v>
      </c>
      <c r="C14" s="25">
        <v>85349</v>
      </c>
      <c r="D14" s="25">
        <v>87909</v>
      </c>
      <c r="E14" s="25">
        <v>90547</v>
      </c>
      <c r="F14" s="25">
        <v>93263</v>
      </c>
    </row>
    <row r="15" spans="1:6" x14ac:dyDescent="0.25">
      <c r="A15" s="3" t="s">
        <v>246</v>
      </c>
      <c r="B15" s="30">
        <f>SUM(B14:B14)</f>
        <v>69053</v>
      </c>
      <c r="C15" s="30">
        <f>SUM(C14:C14)</f>
        <v>85349</v>
      </c>
      <c r="D15" s="30">
        <f>SUM(D14:D14)</f>
        <v>87909</v>
      </c>
      <c r="E15" s="30">
        <f>SUM(E14:E14)</f>
        <v>90547</v>
      </c>
      <c r="F15" s="30">
        <f>SUM(F14:F14)</f>
        <v>93263</v>
      </c>
    </row>
    <row r="16" ht="24" customHeight="1" spans="1:6" x14ac:dyDescent="0.25">
      <c r="A16" s="13" t="s">
        <v>131</v>
      </c>
      <c r="B16" s="13"/>
      <c r="C16" s="13"/>
      <c r="D16" s="13"/>
      <c r="E16" s="13"/>
      <c r="F16" s="13"/>
    </row>
    <row r="17" spans="1:6" x14ac:dyDescent="0.25">
      <c r="A17" s="4" t="s">
        <v>247</v>
      </c>
      <c r="B17" s="25">
        <v>77790</v>
      </c>
      <c r="C17" s="25">
        <v>96148</v>
      </c>
      <c r="D17" s="25">
        <v>99033</v>
      </c>
      <c r="E17" s="25">
        <v>102004</v>
      </c>
      <c r="F17" s="25">
        <v>105064</v>
      </c>
    </row>
    <row r="18" spans="1:6" x14ac:dyDescent="0.25">
      <c r="A18" s="3" t="s">
        <v>248</v>
      </c>
      <c r="B18" s="30">
        <f>SUM(B17:B17)</f>
        <v>77790</v>
      </c>
      <c r="C18" s="30">
        <f>SUM(C17:C17)</f>
        <v>96148</v>
      </c>
      <c r="D18" s="30">
        <f>SUM(D17:D17)</f>
        <v>99033</v>
      </c>
      <c r="E18" s="30">
        <f>SUM(E17:E17)</f>
        <v>102004</v>
      </c>
      <c r="F18" s="30">
        <f>SUM(F17:F17)</f>
        <v>105064</v>
      </c>
    </row>
    <row r="20" ht="24" customHeight="1" spans="1:6" x14ac:dyDescent="0.25">
      <c r="A20" s="13" t="s">
        <v>249</v>
      </c>
      <c r="B20" s="26">
        <f>B8+B12+B15+B18</f>
        <v>780535</v>
      </c>
      <c r="C20" s="26">
        <f>C8+C12+C15+C18</f>
        <v>964741</v>
      </c>
      <c r="D20" s="26">
        <f>D8+D12+D15+D18</f>
        <v>993683</v>
      </c>
      <c r="E20" s="26">
        <f>E8+E12+E15+E18</f>
        <v>1023494</v>
      </c>
      <c r="F20" s="26">
        <f>F8+F12+F15+F18</f>
        <v>1054199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250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251</v>
      </c>
      <c r="B4" s="13"/>
      <c r="C4" s="13"/>
      <c r="D4" s="13"/>
      <c r="E4" s="13"/>
      <c r="F4" s="13"/>
    </row>
    <row r="5" spans="1:6" x14ac:dyDescent="0.25">
      <c r="A5" s="4" t="s">
        <v>252</v>
      </c>
      <c r="B5" s="25">
        <v>807500</v>
      </c>
      <c r="C5" s="25">
        <v>1617850</v>
      </c>
      <c r="D5" s="25">
        <v>2466200</v>
      </c>
      <c r="E5" s="25">
        <v>3327850</v>
      </c>
      <c r="F5" s="25">
        <v>4233200</v>
      </c>
    </row>
    <row r="6" spans="1:6" x14ac:dyDescent="0.25">
      <c r="A6" s="4" t="s">
        <v>253</v>
      </c>
      <c r="B6" s="25">
        <v>75000</v>
      </c>
      <c r="C6" s="25">
        <v>154500</v>
      </c>
      <c r="D6" s="25">
        <v>238703</v>
      </c>
      <c r="E6" s="25">
        <v>327818</v>
      </c>
      <c r="F6" s="25">
        <v>422066</v>
      </c>
    </row>
    <row r="7" spans="1:6" x14ac:dyDescent="0.25">
      <c r="A7" s="4" t="s">
        <v>254</v>
      </c>
      <c r="B7" s="25">
        <v>110000</v>
      </c>
      <c r="C7" s="25">
        <v>226600</v>
      </c>
      <c r="D7" s="25">
        <v>350097</v>
      </c>
      <c r="E7" s="25">
        <v>480800</v>
      </c>
      <c r="F7" s="25">
        <v>619030</v>
      </c>
    </row>
    <row r="8" spans="1:6" x14ac:dyDescent="0.25">
      <c r="A8" s="4" t="s">
        <v>255</v>
      </c>
      <c r="B8" s="25">
        <v>125000</v>
      </c>
      <c r="C8" s="25">
        <v>154500</v>
      </c>
      <c r="D8" s="25">
        <v>159135</v>
      </c>
      <c r="E8" s="25">
        <v>163909</v>
      </c>
      <c r="F8" s="25">
        <v>168826</v>
      </c>
    </row>
    <row r="9" spans="1:6" x14ac:dyDescent="0.25">
      <c r="A9" s="4" t="s">
        <v>256</v>
      </c>
      <c r="B9" s="25">
        <v>20833</v>
      </c>
      <c r="C9" s="25">
        <v>25750</v>
      </c>
      <c r="D9" s="25">
        <v>26523</v>
      </c>
      <c r="E9" s="25">
        <v>27318</v>
      </c>
      <c r="F9" s="25">
        <v>28138</v>
      </c>
    </row>
    <row r="10" spans="1:6" x14ac:dyDescent="0.25">
      <c r="A10" s="4" t="s">
        <v>257</v>
      </c>
      <c r="B10" s="25">
        <v>40000</v>
      </c>
      <c r="C10" s="25">
        <v>82400</v>
      </c>
      <c r="D10" s="25">
        <v>127308</v>
      </c>
      <c r="E10" s="25">
        <v>174836</v>
      </c>
      <c r="F10" s="25">
        <v>225102</v>
      </c>
    </row>
    <row r="11" spans="1:6" x14ac:dyDescent="0.25">
      <c r="A11" s="3" t="s">
        <v>258</v>
      </c>
      <c r="B11" s="30">
        <f>SUM(B5:B10)</f>
        <v>1178333</v>
      </c>
      <c r="C11" s="30">
        <f>SUM(C5:C10)</f>
        <v>2261600</v>
      </c>
      <c r="D11" s="30">
        <f>SUM(D5:D10)</f>
        <v>3367965</v>
      </c>
      <c r="E11" s="30">
        <f>SUM(E5:E10)</f>
        <v>4502532</v>
      </c>
      <c r="F11" s="30">
        <f>SUM(F5:F10)</f>
        <v>5696361</v>
      </c>
    </row>
    <row r="13" ht="24" customHeight="1" spans="1:6" x14ac:dyDescent="0.25">
      <c r="A13" s="13" t="s">
        <v>259</v>
      </c>
      <c r="B13" s="13"/>
      <c r="C13" s="13"/>
      <c r="D13" s="13"/>
      <c r="E13" s="13"/>
      <c r="F13" s="13"/>
    </row>
    <row r="14" spans="1:6" x14ac:dyDescent="0.25">
      <c r="A14" s="4" t="s">
        <v>242</v>
      </c>
      <c r="B14" s="25">
        <v>116944</v>
      </c>
      <c r="C14" s="25">
        <v>144542</v>
      </c>
      <c r="D14" s="25">
        <v>148879</v>
      </c>
      <c r="E14" s="25">
        <v>153345</v>
      </c>
      <c r="F14" s="25">
        <v>157945</v>
      </c>
    </row>
    <row r="15" spans="1:6" x14ac:dyDescent="0.25">
      <c r="A15" s="4" t="s">
        <v>243</v>
      </c>
      <c r="B15" s="25">
        <v>91328</v>
      </c>
      <c r="C15" s="25">
        <v>112881</v>
      </c>
      <c r="D15" s="25">
        <v>116267</v>
      </c>
      <c r="E15" s="25">
        <v>119755</v>
      </c>
      <c r="F15" s="25">
        <v>123348</v>
      </c>
    </row>
    <row r="16" spans="1:6" x14ac:dyDescent="0.25">
      <c r="A16" s="4" t="s">
        <v>238</v>
      </c>
      <c r="B16" s="25">
        <v>278438</v>
      </c>
      <c r="C16" s="25">
        <v>344149</v>
      </c>
      <c r="D16" s="25">
        <v>354473</v>
      </c>
      <c r="E16" s="25">
        <v>365107</v>
      </c>
      <c r="F16" s="25">
        <v>376061</v>
      </c>
    </row>
    <row r="17" spans="1:6" x14ac:dyDescent="0.25">
      <c r="A17" s="4" t="s">
        <v>239</v>
      </c>
      <c r="B17" s="25">
        <v>59029</v>
      </c>
      <c r="C17" s="25">
        <v>72960</v>
      </c>
      <c r="D17" s="25">
        <v>75148</v>
      </c>
      <c r="E17" s="25">
        <v>77403</v>
      </c>
      <c r="F17" s="25">
        <v>79725</v>
      </c>
    </row>
    <row r="18" spans="1:6" x14ac:dyDescent="0.25">
      <c r="A18" s="4" t="s">
        <v>240</v>
      </c>
      <c r="B18" s="25">
        <v>87955</v>
      </c>
      <c r="C18" s="25">
        <v>108712</v>
      </c>
      <c r="D18" s="25">
        <v>111974</v>
      </c>
      <c r="E18" s="25">
        <v>115333</v>
      </c>
      <c r="F18" s="25">
        <v>118793</v>
      </c>
    </row>
    <row r="19" spans="1:6" x14ac:dyDescent="0.25">
      <c r="A19" s="4" t="s">
        <v>245</v>
      </c>
      <c r="B19" s="25">
        <v>69053</v>
      </c>
      <c r="C19" s="25">
        <v>85349</v>
      </c>
      <c r="D19" s="25">
        <v>87909</v>
      </c>
      <c r="E19" s="25">
        <v>90547</v>
      </c>
      <c r="F19" s="25">
        <v>93263</v>
      </c>
    </row>
    <row r="20" spans="1:6" x14ac:dyDescent="0.25">
      <c r="A20" s="4" t="s">
        <v>247</v>
      </c>
      <c r="B20" s="25">
        <v>77790</v>
      </c>
      <c r="C20" s="25">
        <v>96148</v>
      </c>
      <c r="D20" s="25">
        <v>99033</v>
      </c>
      <c r="E20" s="25">
        <v>102004</v>
      </c>
      <c r="F20" s="25">
        <v>105064</v>
      </c>
    </row>
    <row r="21" spans="1:6" x14ac:dyDescent="0.25">
      <c r="A21" s="3" t="s">
        <v>211</v>
      </c>
      <c r="B21" s="30">
        <f>SUM(B14:B20)</f>
        <v>780535</v>
      </c>
      <c r="C21" s="30">
        <f>SUM(C14:C20)</f>
        <v>964741</v>
      </c>
      <c r="D21" s="30">
        <f>SUM(D14:D20)</f>
        <v>993683</v>
      </c>
      <c r="E21" s="30">
        <f>SUM(E14:E20)</f>
        <v>1023494</v>
      </c>
      <c r="F21" s="30">
        <f>SUM(F14:F20)</f>
        <v>1054199</v>
      </c>
    </row>
    <row r="23" ht="24" customHeight="1" spans="1:6" x14ac:dyDescent="0.25">
      <c r="A23" s="13" t="s">
        <v>132</v>
      </c>
      <c r="B23" s="13"/>
      <c r="C23" s="13"/>
      <c r="D23" s="13"/>
      <c r="E23" s="13"/>
      <c r="F23" s="13"/>
    </row>
    <row r="24" spans="1:1" x14ac:dyDescent="0.25">
      <c r="A24" s="32" t="s">
        <v>139</v>
      </c>
    </row>
    <row r="25" spans="1:6" x14ac:dyDescent="0.25">
      <c r="A25" s="4" t="s">
        <v>260</v>
      </c>
      <c r="B25" s="25">
        <v>65000</v>
      </c>
      <c r="C25" s="25">
        <v>133900</v>
      </c>
      <c r="D25" s="25">
        <v>206875</v>
      </c>
      <c r="E25" s="25">
        <v>284109</v>
      </c>
      <c r="F25" s="25">
        <v>365790</v>
      </c>
    </row>
    <row r="26" spans="1:1" x14ac:dyDescent="0.25">
      <c r="A26" s="32" t="s">
        <v>141</v>
      </c>
    </row>
    <row r="27" spans="1:6" x14ac:dyDescent="0.25">
      <c r="A27" s="4" t="s">
        <v>261</v>
      </c>
      <c r="B27" s="25">
        <v>45000</v>
      </c>
      <c r="C27" s="25">
        <v>92700</v>
      </c>
      <c r="D27" s="25">
        <v>143222</v>
      </c>
      <c r="E27" s="25">
        <v>196691</v>
      </c>
      <c r="F27" s="25">
        <v>253239</v>
      </c>
    </row>
    <row r="28" spans="1:1" x14ac:dyDescent="0.25">
      <c r="A28" s="32" t="s">
        <v>134</v>
      </c>
    </row>
    <row r="29" spans="1:6" x14ac:dyDescent="0.25">
      <c r="A29" s="4" t="s">
        <v>262</v>
      </c>
      <c r="B29" s="25">
        <v>220000</v>
      </c>
      <c r="C29" s="25">
        <v>271920</v>
      </c>
      <c r="D29" s="25">
        <v>280078</v>
      </c>
      <c r="E29" s="25">
        <v>288480</v>
      </c>
      <c r="F29" s="25">
        <v>297134</v>
      </c>
    </row>
    <row r="30" spans="1:6" x14ac:dyDescent="0.25">
      <c r="A30" s="4" t="s">
        <v>263</v>
      </c>
      <c r="B30" s="25">
        <v>30000</v>
      </c>
      <c r="C30" s="25">
        <v>37080</v>
      </c>
      <c r="D30" s="25">
        <v>38192</v>
      </c>
      <c r="E30" s="25">
        <v>39338</v>
      </c>
      <c r="F30" s="25">
        <v>40518</v>
      </c>
    </row>
    <row r="31" spans="1:6" x14ac:dyDescent="0.25">
      <c r="A31" s="4" t="s">
        <v>264</v>
      </c>
      <c r="B31" s="25">
        <v>18333</v>
      </c>
      <c r="C31" s="25">
        <v>22660</v>
      </c>
      <c r="D31" s="25">
        <v>23340</v>
      </c>
      <c r="E31" s="25">
        <v>24040</v>
      </c>
      <c r="F31" s="25">
        <v>24761</v>
      </c>
    </row>
    <row r="32" spans="1:6" x14ac:dyDescent="0.25">
      <c r="A32" s="3" t="s">
        <v>265</v>
      </c>
      <c r="B32" s="30">
        <f>SUM(B29:B31)</f>
        <v>268333</v>
      </c>
      <c r="C32" s="30">
        <f>SUM(C29:C31)</f>
        <v>331660</v>
      </c>
      <c r="D32" s="30">
        <f>SUM(D29:D31)</f>
        <v>341610</v>
      </c>
      <c r="E32" s="30">
        <f>SUM(E29:E31)</f>
        <v>351858</v>
      </c>
      <c r="F32" s="30">
        <f>SUM(F29:F31)</f>
        <v>362414</v>
      </c>
    </row>
    <row r="33" spans="1:1" x14ac:dyDescent="0.25">
      <c r="A33" s="32" t="s">
        <v>143</v>
      </c>
    </row>
    <row r="34" spans="1:6" x14ac:dyDescent="0.25">
      <c r="A34" s="4" t="s">
        <v>266</v>
      </c>
      <c r="B34" s="25">
        <v>25000</v>
      </c>
      <c r="C34" s="25">
        <v>30900</v>
      </c>
      <c r="D34" s="25">
        <v>31827</v>
      </c>
      <c r="E34" s="25">
        <v>32782</v>
      </c>
      <c r="F34" s="25">
        <v>33765</v>
      </c>
    </row>
    <row r="35" spans="1:6" x14ac:dyDescent="0.25">
      <c r="A35" s="4" t="s">
        <v>267</v>
      </c>
      <c r="B35" s="25">
        <v>10000</v>
      </c>
      <c r="C35" s="25">
        <v>12360</v>
      </c>
      <c r="D35" s="25">
        <v>12731</v>
      </c>
      <c r="E35" s="25">
        <v>13113</v>
      </c>
      <c r="F35" s="25">
        <v>13506</v>
      </c>
    </row>
    <row r="36" spans="1:6" x14ac:dyDescent="0.25">
      <c r="A36" s="4" t="s">
        <v>268</v>
      </c>
      <c r="B36" s="25">
        <v>15000</v>
      </c>
      <c r="C36" s="25">
        <v>18540</v>
      </c>
      <c r="D36" s="25">
        <v>19096</v>
      </c>
      <c r="E36" s="25">
        <v>19669</v>
      </c>
      <c r="F36" s="25">
        <v>20259</v>
      </c>
    </row>
    <row r="37" spans="1:6" x14ac:dyDescent="0.25">
      <c r="A37" s="4" t="s">
        <v>269</v>
      </c>
      <c r="B37" s="25">
        <v>75000</v>
      </c>
      <c r="C37" s="25">
        <v>154500</v>
      </c>
      <c r="D37" s="25">
        <v>238703</v>
      </c>
      <c r="E37" s="25">
        <v>327818</v>
      </c>
      <c r="F37" s="25">
        <v>422066</v>
      </c>
    </row>
    <row r="38" spans="1:6" x14ac:dyDescent="0.25">
      <c r="A38" s="3" t="s">
        <v>270</v>
      </c>
      <c r="B38" s="30">
        <f>SUM(B34:B37)</f>
        <v>125000</v>
      </c>
      <c r="C38" s="30">
        <f>SUM(C34:C37)</f>
        <v>216300</v>
      </c>
      <c r="D38" s="30">
        <f>SUM(D34:D37)</f>
        <v>302357</v>
      </c>
      <c r="E38" s="30">
        <f>SUM(E34:E37)</f>
        <v>393382</v>
      </c>
      <c r="F38" s="30">
        <f>SUM(F34:F37)</f>
        <v>489596</v>
      </c>
    </row>
    <row r="39" spans="1:6" x14ac:dyDescent="0.25">
      <c r="A39" s="3" t="s">
        <v>271</v>
      </c>
      <c r="B39" s="30">
        <f>B25+B27+B32+B38</f>
        <v>503333</v>
      </c>
      <c r="C39" s="30">
        <f>C25+C27+C32+C38</f>
        <v>774560</v>
      </c>
      <c r="D39" s="30">
        <f>D25+D27+D32+D38</f>
        <v>994063</v>
      </c>
      <c r="E39" s="30">
        <f>E25+E27+E32+E38</f>
        <v>1226040</v>
      </c>
      <c r="F39" s="30">
        <f>F25+F27+F32+F38</f>
        <v>1471040</v>
      </c>
    </row>
    <row r="41" ht="24" customHeight="1" spans="1:6" x14ac:dyDescent="0.25">
      <c r="A41" s="13" t="s">
        <v>272</v>
      </c>
      <c r="B41" s="13"/>
      <c r="C41" s="13"/>
      <c r="D41" s="13"/>
      <c r="E41" s="13"/>
      <c r="F41" s="13"/>
    </row>
    <row r="42" spans="1:6" x14ac:dyDescent="0.25">
      <c r="A42" s="4" t="s">
        <v>273</v>
      </c>
      <c r="B42" s="25">
        <v>46629</v>
      </c>
      <c r="C42" s="25">
        <v>46629</v>
      </c>
      <c r="D42" s="25">
        <v>46629</v>
      </c>
      <c r="E42" s="25">
        <v>46629</v>
      </c>
      <c r="F42" s="25">
        <v>46629</v>
      </c>
    </row>
    <row r="43" spans="1:6" x14ac:dyDescent="0.25">
      <c r="A43" s="4" t="s">
        <v>274</v>
      </c>
      <c r="B43" s="25">
        <v>60000</v>
      </c>
      <c r="C43" s="25">
        <v>20000</v>
      </c>
      <c r="D43" s="25">
        <v>25000</v>
      </c>
      <c r="E43" s="25">
        <v>10000</v>
      </c>
      <c r="F43" s="25">
        <v>10000</v>
      </c>
    </row>
    <row r="44" spans="1:6" x14ac:dyDescent="0.25">
      <c r="A44" s="3" t="s">
        <v>275</v>
      </c>
      <c r="B44" s="30">
        <f>SUM(B42:B43)</f>
        <v>106629</v>
      </c>
      <c r="C44" s="30">
        <f>SUM(C42:C43)</f>
        <v>66629</v>
      </c>
      <c r="D44" s="30">
        <f>SUM(D42:D43)</f>
        <v>71629</v>
      </c>
      <c r="E44" s="30">
        <f>SUM(E42:E43)</f>
        <v>56629</v>
      </c>
      <c r="F44" s="30">
        <f>SUM(F42:F43)</f>
        <v>56629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276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spans="1:6" x14ac:dyDescent="0.25">
      <c r="A4" s="3" t="s">
        <v>258</v>
      </c>
      <c r="B4" s="28">
        <f>'Budget Detail'!B11</f>
        <v>1178333</v>
      </c>
      <c r="C4" s="28">
        <f>'Budget Detail'!C11</f>
        <v>2261600</v>
      </c>
      <c r="D4" s="28">
        <f>'Budget Detail'!D11</f>
        <v>3367965</v>
      </c>
      <c r="E4" s="28">
        <f>'Budget Detail'!E11</f>
        <v>4502532</v>
      </c>
      <c r="F4" s="28">
        <f>'Budget Detail'!F11</f>
        <v>5696361</v>
      </c>
    </row>
    <row r="5" spans="1:6" x14ac:dyDescent="0.25">
      <c r="A5" s="3" t="s">
        <v>211</v>
      </c>
      <c r="B5" s="28">
        <f>'Budget Detail'!B21</f>
        <v>780535</v>
      </c>
      <c r="C5" s="28">
        <f>'Budget Detail'!C21</f>
        <v>964741</v>
      </c>
      <c r="D5" s="28">
        <f>'Budget Detail'!D21</f>
        <v>993683</v>
      </c>
      <c r="E5" s="28">
        <f>'Budget Detail'!E21</f>
        <v>1023494</v>
      </c>
      <c r="F5" s="28">
        <f>'Budget Detail'!F21</f>
        <v>1054199</v>
      </c>
    </row>
    <row r="6" spans="1:6" x14ac:dyDescent="0.25">
      <c r="A6" s="3" t="s">
        <v>271</v>
      </c>
      <c r="B6" s="28">
        <f>'Budget Detail'!B39</f>
        <v>503333</v>
      </c>
      <c r="C6" s="28">
        <f>'Budget Detail'!C39</f>
        <v>774560</v>
      </c>
      <c r="D6" s="28">
        <f>'Budget Detail'!D39</f>
        <v>994063</v>
      </c>
      <c r="E6" s="28">
        <f>'Budget Detail'!E39</f>
        <v>1226040</v>
      </c>
      <c r="F6" s="28">
        <f>'Budget Detail'!F39</f>
        <v>1471040</v>
      </c>
    </row>
    <row r="7" spans="1:6" x14ac:dyDescent="0.25">
      <c r="A7" s="3" t="s">
        <v>277</v>
      </c>
      <c r="B7" s="28">
        <f>'Budget Detail'!B44</f>
        <v>106629</v>
      </c>
      <c r="C7" s="28">
        <f>'Budget Detail'!C44</f>
        <v>66629</v>
      </c>
      <c r="D7" s="28">
        <f>'Budget Detail'!D44</f>
        <v>71629</v>
      </c>
      <c r="E7" s="28">
        <f>'Budget Detail'!E44</f>
        <v>56629</v>
      </c>
      <c r="F7" s="28">
        <f>'Budget Detail'!F44</f>
        <v>56629</v>
      </c>
    </row>
    <row r="8" spans="1:6" x14ac:dyDescent="0.25">
      <c r="A8" s="3" t="s">
        <v>278</v>
      </c>
      <c r="B8" s="30">
        <f>SUM(B5:B7)</f>
        <v>1390497</v>
      </c>
      <c r="C8" s="30">
        <f>SUM(C5:C7)</f>
        <v>1805930</v>
      </c>
      <c r="D8" s="30">
        <f>SUM(D5:D7)</f>
        <v>2059375</v>
      </c>
      <c r="E8" s="30">
        <f>SUM(E5:E7)</f>
        <v>2306162</v>
      </c>
      <c r="F8" s="30">
        <f>SUM(F5:F7)</f>
        <v>2581867</v>
      </c>
    </row>
    <row r="10" ht="24" customHeight="1" spans="1:6" x14ac:dyDescent="0.25">
      <c r="A10" s="13" t="s">
        <v>279</v>
      </c>
      <c r="B10" s="13"/>
      <c r="C10" s="13"/>
      <c r="D10" s="13"/>
      <c r="E10" s="13"/>
      <c r="F10" s="13"/>
    </row>
    <row r="11" spans="1:6" x14ac:dyDescent="0.25">
      <c r="A11" s="3" t="s">
        <v>280</v>
      </c>
      <c r="B11" s="26">
        <f>B4-B8</f>
        <v>-212164</v>
      </c>
      <c r="C11" s="26">
        <f>C4-C8</f>
        <v>455670</v>
      </c>
      <c r="D11" s="26">
        <f>D4-D8</f>
        <v>1308590</v>
      </c>
      <c r="E11" s="26">
        <f>E4-E8</f>
        <v>2196369</v>
      </c>
      <c r="F11" s="26">
        <f>F4-F8</f>
        <v>3114494</v>
      </c>
    </row>
    <row r="12" spans="1:6" x14ac:dyDescent="0.25">
      <c r="A12" s="4" t="s">
        <v>281</v>
      </c>
      <c r="B12" s="24">
        <f>IF(B4=0,0,B11/B4)</f>
        <v>-0.18005398</v>
      </c>
      <c r="C12" s="24">
        <f>IF(C4=0,0,C11/C4)</f>
        <v>0.20148131</v>
      </c>
      <c r="D12" s="24">
        <f>IF(D4=0,0,D11/D4)</f>
        <v>0.38854014</v>
      </c>
      <c r="E12" s="24">
        <f>IF(E4=0,0,E11/E4)</f>
        <v>0.48780763</v>
      </c>
      <c r="F12" s="24">
        <f>IF(F4=0,0,F11/F4)</f>
        <v>0.54675147</v>
      </c>
    </row>
    <row r="13" spans="1:6" x14ac:dyDescent="0.25">
      <c r="A13" s="4" t="s">
        <v>282</v>
      </c>
      <c r="B13" s="25">
        <v>-212164</v>
      </c>
      <c r="C13" s="25">
        <v>243507</v>
      </c>
      <c r="D13" s="25">
        <v>1552096</v>
      </c>
      <c r="E13" s="25">
        <v>3748465</v>
      </c>
      <c r="F13" s="25">
        <v>6862959</v>
      </c>
    </row>
    <row r="14" spans="1:6" x14ac:dyDescent="0.25">
      <c r="A14" s="4" t="s">
        <v>236</v>
      </c>
      <c r="B14" s="25">
        <v>9819</v>
      </c>
      <c r="C14" s="25">
        <v>11308</v>
      </c>
      <c r="D14" s="25">
        <v>11227</v>
      </c>
      <c r="E14" s="25">
        <v>11256</v>
      </c>
      <c r="F14" s="25">
        <v>11393</v>
      </c>
    </row>
    <row r="15" spans="1:6" x14ac:dyDescent="0.25">
      <c r="A15" s="4" t="s">
        <v>283</v>
      </c>
      <c r="B15" s="25">
        <v>11587</v>
      </c>
      <c r="C15" s="25">
        <v>9030</v>
      </c>
      <c r="D15" s="25">
        <v>6865</v>
      </c>
      <c r="E15" s="25">
        <v>5765</v>
      </c>
      <c r="F15" s="25">
        <v>5164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" t="s">
        <v>284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8" customHeight="1" spans="1:14" x14ac:dyDescent="0.25">
      <c r="A2" s="15" t="s">
        <v>67</v>
      </c>
      <c r="B2" s="15" t="s">
        <v>285</v>
      </c>
      <c r="C2" s="15" t="s">
        <v>286</v>
      </c>
      <c r="D2" s="15" t="s">
        <v>287</v>
      </c>
      <c r="E2" s="15" t="s">
        <v>288</v>
      </c>
      <c r="F2" s="15" t="s">
        <v>289</v>
      </c>
      <c r="G2" s="15" t="s">
        <v>290</v>
      </c>
      <c r="H2" s="15" t="s">
        <v>291</v>
      </c>
      <c r="I2" s="15" t="s">
        <v>292</v>
      </c>
      <c r="J2" s="15" t="s">
        <v>293</v>
      </c>
      <c r="K2" s="15" t="s">
        <v>294</v>
      </c>
      <c r="L2" s="15" t="s">
        <v>295</v>
      </c>
      <c r="M2" s="15" t="s">
        <v>296</v>
      </c>
      <c r="N2" s="15" t="s">
        <v>297</v>
      </c>
    </row>
    <row r="3" ht="24" customHeight="1" spans="1:14" x14ac:dyDescent="0.25">
      <c r="A3" s="13" t="s">
        <v>251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3" t="s">
        <v>258</v>
      </c>
      <c r="B4" s="30">
        <v>146500</v>
      </c>
      <c r="C4" s="30">
        <v>146500</v>
      </c>
      <c r="D4" s="30">
        <v>146500</v>
      </c>
      <c r="E4" s="30">
        <v>146500</v>
      </c>
      <c r="F4" s="30">
        <v>146500</v>
      </c>
      <c r="G4" s="30">
        <v>146500</v>
      </c>
      <c r="H4" s="30">
        <v>146500</v>
      </c>
      <c r="I4" s="30">
        <v>146500</v>
      </c>
      <c r="J4" s="30">
        <v>146500</v>
      </c>
      <c r="K4" s="30">
        <v>146500</v>
      </c>
      <c r="L4" s="30">
        <v>0</v>
      </c>
      <c r="M4" s="30">
        <v>0</v>
      </c>
      <c r="N4" s="30">
        <v>1465000</v>
      </c>
    </row>
    <row r="6" ht="24" customHeight="1" spans="1:14" x14ac:dyDescent="0.25">
      <c r="A6" s="13" t="s">
        <v>298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4" t="s">
        <v>299</v>
      </c>
      <c r="B7" s="25">
        <v>78054</v>
      </c>
      <c r="C7" s="25">
        <v>78054</v>
      </c>
      <c r="D7" s="25">
        <v>78054</v>
      </c>
      <c r="E7" s="25">
        <v>78054</v>
      </c>
      <c r="F7" s="25">
        <v>78054</v>
      </c>
      <c r="G7" s="25">
        <v>78054</v>
      </c>
      <c r="H7" s="25">
        <v>78054</v>
      </c>
      <c r="I7" s="25">
        <v>78054</v>
      </c>
      <c r="J7" s="25">
        <v>78054</v>
      </c>
      <c r="K7" s="25">
        <v>78054</v>
      </c>
      <c r="L7" s="25">
        <v>0</v>
      </c>
      <c r="M7" s="25">
        <v>0</v>
      </c>
      <c r="N7" s="25">
        <v>780535</v>
      </c>
    </row>
    <row r="8" spans="1:14" x14ac:dyDescent="0.25">
      <c r="A8" s="4" t="s">
        <v>300</v>
      </c>
      <c r="B8" s="25">
        <v>50333</v>
      </c>
      <c r="C8" s="25">
        <v>50333</v>
      </c>
      <c r="D8" s="25">
        <v>50333</v>
      </c>
      <c r="E8" s="25">
        <v>50333</v>
      </c>
      <c r="F8" s="25">
        <v>50333</v>
      </c>
      <c r="G8" s="25">
        <v>50333</v>
      </c>
      <c r="H8" s="25">
        <v>50333</v>
      </c>
      <c r="I8" s="25">
        <v>50333</v>
      </c>
      <c r="J8" s="25">
        <v>50333</v>
      </c>
      <c r="K8" s="25">
        <v>50333</v>
      </c>
      <c r="L8" s="25">
        <v>0</v>
      </c>
      <c r="M8" s="25">
        <v>0</v>
      </c>
      <c r="N8" s="25">
        <v>503333</v>
      </c>
    </row>
    <row r="9" spans="1:14" x14ac:dyDescent="0.25">
      <c r="A9" s="4" t="s">
        <v>301</v>
      </c>
      <c r="B9" s="25">
        <v>8886</v>
      </c>
      <c r="C9" s="25">
        <v>8886</v>
      </c>
      <c r="D9" s="25">
        <v>8886</v>
      </c>
      <c r="E9" s="25">
        <v>8886</v>
      </c>
      <c r="F9" s="25">
        <v>8886</v>
      </c>
      <c r="G9" s="25">
        <v>8886</v>
      </c>
      <c r="H9" s="25">
        <v>8886</v>
      </c>
      <c r="I9" s="25">
        <v>8886</v>
      </c>
      <c r="J9" s="25">
        <v>8886</v>
      </c>
      <c r="K9" s="25">
        <v>8886</v>
      </c>
      <c r="L9" s="25">
        <v>8886</v>
      </c>
      <c r="M9" s="25">
        <v>8886</v>
      </c>
      <c r="N9" s="25">
        <v>106629</v>
      </c>
    </row>
    <row r="11" ht="24" customHeight="1" spans="1:14" x14ac:dyDescent="0.25">
      <c r="A11" s="13" t="s">
        <v>302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" t="s">
        <v>278</v>
      </c>
      <c r="B12" s="28">
        <v>137273</v>
      </c>
      <c r="C12" s="28">
        <v>137273</v>
      </c>
      <c r="D12" s="28">
        <v>137273</v>
      </c>
      <c r="E12" s="28">
        <v>137273</v>
      </c>
      <c r="F12" s="28">
        <v>137273</v>
      </c>
      <c r="G12" s="28">
        <v>137273</v>
      </c>
      <c r="H12" s="28">
        <v>137273</v>
      </c>
      <c r="I12" s="28">
        <v>137273</v>
      </c>
      <c r="J12" s="28">
        <v>137273</v>
      </c>
      <c r="K12" s="28">
        <v>137273</v>
      </c>
      <c r="L12" s="28">
        <v>8886</v>
      </c>
      <c r="M12" s="28">
        <v>8886</v>
      </c>
      <c r="N12" s="28">
        <v>1390502</v>
      </c>
    </row>
    <row r="13" spans="1:14" x14ac:dyDescent="0.25">
      <c r="A13" s="3" t="s">
        <v>303</v>
      </c>
      <c r="B13" s="28">
        <v>9227</v>
      </c>
      <c r="C13" s="28">
        <v>9227</v>
      </c>
      <c r="D13" s="28">
        <v>9227</v>
      </c>
      <c r="E13" s="28">
        <v>9227</v>
      </c>
      <c r="F13" s="28">
        <v>9227</v>
      </c>
      <c r="G13" s="28">
        <v>9227</v>
      </c>
      <c r="H13" s="28">
        <v>9227</v>
      </c>
      <c r="I13" s="28">
        <v>9227</v>
      </c>
      <c r="J13" s="28">
        <v>9227</v>
      </c>
      <c r="K13" s="28">
        <v>9227</v>
      </c>
      <c r="L13" s="28">
        <v>-8886</v>
      </c>
      <c r="M13" s="28">
        <v>-8886</v>
      </c>
      <c r="N13" s="28">
        <v>74498</v>
      </c>
    </row>
    <row r="14" spans="1:14" x14ac:dyDescent="0.25">
      <c r="A14" s="3" t="s">
        <v>304</v>
      </c>
      <c r="B14" s="33">
        <v>9227</v>
      </c>
      <c r="C14" s="33">
        <v>18454</v>
      </c>
      <c r="D14" s="33">
        <v>27681</v>
      </c>
      <c r="E14" s="33">
        <v>36908</v>
      </c>
      <c r="F14" s="33">
        <v>46135</v>
      </c>
      <c r="G14" s="33">
        <v>55362</v>
      </c>
      <c r="H14" s="33">
        <v>64589</v>
      </c>
      <c r="I14" s="33">
        <v>73816</v>
      </c>
      <c r="J14" s="33">
        <v>83043</v>
      </c>
      <c r="K14" s="33">
        <v>92270</v>
      </c>
      <c r="L14" s="33">
        <v>83384</v>
      </c>
      <c r="M14" s="33">
        <v>74498</v>
      </c>
      <c r="N14" s="26">
        <v>74498</v>
      </c>
    </row>
    <row r="16" ht="24" customHeight="1" spans="1:3" x14ac:dyDescent="0.25">
      <c r="A16" s="13" t="s">
        <v>305</v>
      </c>
      <c r="B16" s="13"/>
      <c r="C16" s="13"/>
    </row>
    <row r="17" spans="1:2" x14ac:dyDescent="0.25">
      <c r="A17" s="4" t="s">
        <v>159</v>
      </c>
      <c r="B17" s="25">
        <v>0</v>
      </c>
    </row>
    <row r="18" spans="1:2" x14ac:dyDescent="0.25">
      <c r="A18" s="4" t="s">
        <v>306</v>
      </c>
      <c r="B18" s="33">
        <v>74498</v>
      </c>
    </row>
    <row r="19" spans="1:2" x14ac:dyDescent="0.25">
      <c r="A19" s="4" t="s">
        <v>307</v>
      </c>
      <c r="B19" s="25">
        <v>9227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308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251</v>
      </c>
      <c r="B4" s="13"/>
      <c r="C4" s="13"/>
      <c r="D4" s="13"/>
      <c r="E4" s="13"/>
      <c r="F4" s="13"/>
    </row>
    <row r="5" spans="1:6" x14ac:dyDescent="0.25">
      <c r="A5" s="34" t="s">
        <v>258</v>
      </c>
      <c r="B5" s="30">
        <v>1178333</v>
      </c>
      <c r="C5" s="30">
        <v>2261600</v>
      </c>
      <c r="D5" s="30">
        <v>3367965</v>
      </c>
      <c r="E5" s="30">
        <v>4502532</v>
      </c>
      <c r="F5" s="30">
        <v>5696361</v>
      </c>
    </row>
    <row r="7" ht="24" customHeight="1" spans="1:6" x14ac:dyDescent="0.25">
      <c r="A7" s="13" t="s">
        <v>298</v>
      </c>
      <c r="B7" s="13"/>
      <c r="C7" s="13"/>
      <c r="D7" s="13"/>
      <c r="E7" s="13"/>
      <c r="F7" s="13"/>
    </row>
    <row r="8" spans="1:6" x14ac:dyDescent="0.25">
      <c r="A8" s="3" t="s">
        <v>299</v>
      </c>
      <c r="B8" s="28">
        <v>780535</v>
      </c>
      <c r="C8" s="28">
        <v>964741</v>
      </c>
      <c r="D8" s="28">
        <v>993683</v>
      </c>
      <c r="E8" s="28">
        <v>1023494</v>
      </c>
      <c r="F8" s="28">
        <v>1054199</v>
      </c>
    </row>
    <row r="9" spans="1:6" x14ac:dyDescent="0.25">
      <c r="A9" s="3" t="s">
        <v>300</v>
      </c>
      <c r="B9" s="28">
        <v>503333</v>
      </c>
      <c r="C9" s="28">
        <v>774560</v>
      </c>
      <c r="D9" s="28">
        <v>994063</v>
      </c>
      <c r="E9" s="28">
        <v>1226040</v>
      </c>
      <c r="F9" s="28">
        <v>1471040</v>
      </c>
    </row>
    <row r="10" spans="1:6" x14ac:dyDescent="0.25">
      <c r="A10" s="3" t="s">
        <v>309</v>
      </c>
      <c r="B10" s="28">
        <v>106629</v>
      </c>
      <c r="C10" s="28">
        <v>66629</v>
      </c>
      <c r="D10" s="28">
        <v>71629</v>
      </c>
      <c r="E10" s="28">
        <v>56629</v>
      </c>
      <c r="F10" s="28">
        <v>56629</v>
      </c>
    </row>
    <row r="11" spans="1:6" x14ac:dyDescent="0.25">
      <c r="A11" s="34" t="s">
        <v>278</v>
      </c>
      <c r="B11" s="30">
        <f>SUM(B8:B10)</f>
        <v>1390497</v>
      </c>
      <c r="C11" s="30">
        <f>SUM(C8:C10)</f>
        <v>1805930</v>
      </c>
      <c r="D11" s="30">
        <f>SUM(D8:D10)</f>
        <v>2059375</v>
      </c>
      <c r="E11" s="30">
        <f>SUM(E8:E10)</f>
        <v>2306162</v>
      </c>
      <c r="F11" s="30">
        <f>SUM(F8:F10)</f>
        <v>2581867</v>
      </c>
    </row>
    <row r="13" ht="24" customHeight="1" spans="1:6" x14ac:dyDescent="0.25">
      <c r="A13" s="13" t="s">
        <v>310</v>
      </c>
      <c r="B13" s="13"/>
      <c r="C13" s="13"/>
      <c r="D13" s="13"/>
      <c r="E13" s="13"/>
      <c r="F13" s="13"/>
    </row>
    <row r="14" spans="1:6" x14ac:dyDescent="0.25">
      <c r="A14" s="34" t="s">
        <v>280</v>
      </c>
      <c r="B14" s="26">
        <f>B5-B11</f>
        <v>-212164</v>
      </c>
      <c r="C14" s="26">
        <f>C5-C11</f>
        <v>455670</v>
      </c>
      <c r="D14" s="26">
        <f>D5-D11</f>
        <v>1308590</v>
      </c>
      <c r="E14" s="26">
        <f>E5-E11</f>
        <v>2196369</v>
      </c>
      <c r="F14" s="26">
        <f>F5-F11</f>
        <v>3114494</v>
      </c>
    </row>
    <row r="15" spans="1:6" x14ac:dyDescent="0.25">
      <c r="A15" s="4" t="s">
        <v>281</v>
      </c>
      <c r="B15" s="24">
        <f>IF(B5=0,0,B14/B5)</f>
        <v>-0.18005398</v>
      </c>
      <c r="C15" s="24">
        <f>IF(C5=0,0,C14/C5)</f>
        <v>0.20148131</v>
      </c>
      <c r="D15" s="24">
        <f>IF(D5=0,0,D14/D5)</f>
        <v>0.38854014</v>
      </c>
      <c r="E15" s="24">
        <f>IF(E5=0,0,E14/E5)</f>
        <v>0.48780763</v>
      </c>
      <c r="F15" s="24">
        <f>IF(F5=0,0,F14/F5)</f>
        <v>0.54675147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151</v>
      </c>
      <c r="B4" s="13"/>
      <c r="C4" s="13"/>
      <c r="D4" s="13"/>
      <c r="E4" s="13"/>
      <c r="F4" s="13"/>
    </row>
    <row r="5" spans="1:6" x14ac:dyDescent="0.25">
      <c r="A5" s="4" t="s">
        <v>311</v>
      </c>
      <c r="B5" s="25">
        <v>350000</v>
      </c>
      <c r="C5" s="25">
        <v>323655</v>
      </c>
      <c r="D5" s="25">
        <v>295685</v>
      </c>
      <c r="E5" s="25">
        <v>265989</v>
      </c>
      <c r="F5" s="25">
        <v>234462</v>
      </c>
    </row>
    <row r="6" spans="1:6" x14ac:dyDescent="0.25">
      <c r="A6" s="4" t="s">
        <v>312</v>
      </c>
      <c r="B6" s="25">
        <v>20283</v>
      </c>
      <c r="C6" s="25">
        <v>18658</v>
      </c>
      <c r="D6" s="25">
        <v>16933</v>
      </c>
      <c r="E6" s="25">
        <v>15102</v>
      </c>
      <c r="F6" s="25">
        <v>13157</v>
      </c>
    </row>
    <row r="7" spans="1:6" x14ac:dyDescent="0.25">
      <c r="A7" s="4" t="s">
        <v>313</v>
      </c>
      <c r="B7" s="25">
        <v>26345</v>
      </c>
      <c r="C7" s="25">
        <v>27970</v>
      </c>
      <c r="D7" s="25">
        <v>29695</v>
      </c>
      <c r="E7" s="25">
        <v>31527</v>
      </c>
      <c r="F7" s="25">
        <v>33471</v>
      </c>
    </row>
    <row r="8" spans="1:6" x14ac:dyDescent="0.25">
      <c r="A8" s="3" t="s">
        <v>314</v>
      </c>
      <c r="B8" s="28">
        <v>46629</v>
      </c>
      <c r="C8" s="28">
        <v>46629</v>
      </c>
      <c r="D8" s="28">
        <v>46629</v>
      </c>
      <c r="E8" s="28">
        <v>46629</v>
      </c>
      <c r="F8" s="28">
        <v>46629</v>
      </c>
    </row>
    <row r="9" spans="1:6" x14ac:dyDescent="0.25">
      <c r="A9" s="3" t="s">
        <v>315</v>
      </c>
      <c r="B9" s="33">
        <v>323655</v>
      </c>
      <c r="C9" s="33">
        <v>295685</v>
      </c>
      <c r="D9" s="33">
        <v>265989</v>
      </c>
      <c r="E9" s="33">
        <v>234462</v>
      </c>
      <c r="F9" s="33">
        <v>200991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316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317</v>
      </c>
      <c r="B4" s="13"/>
      <c r="C4" s="13"/>
      <c r="D4" s="13"/>
      <c r="E4" s="13"/>
      <c r="F4" s="13"/>
    </row>
    <row r="5" spans="1:6" x14ac:dyDescent="0.25">
      <c r="A5" s="4" t="s">
        <v>318</v>
      </c>
      <c r="B5" s="35">
        <v>74498</v>
      </c>
      <c r="C5" s="35">
        <v>530168</v>
      </c>
      <c r="D5" s="35">
        <v>1838758</v>
      </c>
      <c r="E5" s="35">
        <v>4035127</v>
      </c>
      <c r="F5" s="35">
        <v>7149621</v>
      </c>
    </row>
    <row r="6" spans="1:6" x14ac:dyDescent="0.25">
      <c r="A6" s="4" t="s">
        <v>319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</row>
    <row r="7" spans="1:6" x14ac:dyDescent="0.25">
      <c r="A7" s="4" t="s">
        <v>320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</row>
    <row r="8" spans="1:6" x14ac:dyDescent="0.25">
      <c r="A8" s="4" t="s">
        <v>321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</row>
    <row r="9" spans="1:6" x14ac:dyDescent="0.25">
      <c r="A9" s="3" t="s">
        <v>322</v>
      </c>
      <c r="B9" s="30">
        <v>74498</v>
      </c>
      <c r="C9" s="30">
        <v>530168</v>
      </c>
      <c r="D9" s="30">
        <v>1838758</v>
      </c>
      <c r="E9" s="30">
        <v>4035127</v>
      </c>
      <c r="F9" s="30">
        <v>7149621</v>
      </c>
    </row>
    <row r="11" ht="24" customHeight="1" spans="1:6" x14ac:dyDescent="0.25">
      <c r="A11" s="13" t="s">
        <v>323</v>
      </c>
      <c r="B11" s="13"/>
      <c r="C11" s="13"/>
      <c r="D11" s="13"/>
      <c r="E11" s="13"/>
      <c r="F11" s="13"/>
    </row>
    <row r="12" spans="1:6" x14ac:dyDescent="0.25">
      <c r="A12" s="4" t="s">
        <v>324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</row>
    <row r="13" spans="1:6" x14ac:dyDescent="0.25">
      <c r="A13" s="4" t="s">
        <v>325</v>
      </c>
      <c r="B13" s="25">
        <v>323655</v>
      </c>
      <c r="C13" s="25">
        <v>295685</v>
      </c>
      <c r="D13" s="25">
        <v>265989</v>
      </c>
      <c r="E13" s="25">
        <v>234462</v>
      </c>
      <c r="F13" s="25">
        <v>200991</v>
      </c>
    </row>
    <row r="14" spans="1:6" x14ac:dyDescent="0.25">
      <c r="A14" s="3" t="s">
        <v>326</v>
      </c>
      <c r="B14" s="30">
        <v>323655</v>
      </c>
      <c r="C14" s="30">
        <v>295685</v>
      </c>
      <c r="D14" s="30">
        <v>265989</v>
      </c>
      <c r="E14" s="30">
        <v>234462</v>
      </c>
      <c r="F14" s="30">
        <v>200991</v>
      </c>
    </row>
    <row r="16" ht="24" customHeight="1" spans="1:6" x14ac:dyDescent="0.25">
      <c r="A16" s="13" t="s">
        <v>327</v>
      </c>
      <c r="B16" s="13"/>
      <c r="C16" s="13"/>
      <c r="D16" s="13"/>
      <c r="E16" s="13"/>
      <c r="F16" s="13"/>
    </row>
    <row r="17" spans="1:6" x14ac:dyDescent="0.25">
      <c r="A17" s="3" t="s">
        <v>328</v>
      </c>
      <c r="B17" s="26">
        <v>-249157</v>
      </c>
      <c r="C17" s="26">
        <v>234484</v>
      </c>
      <c r="D17" s="26">
        <v>1572769</v>
      </c>
      <c r="E17" s="26">
        <v>3800665</v>
      </c>
      <c r="F17" s="26">
        <v>6948630</v>
      </c>
    </row>
    <row r="19" spans="1:6" x14ac:dyDescent="0.25">
      <c r="A19" s="3" t="s">
        <v>329</v>
      </c>
      <c r="B19" s="36">
        <v>0</v>
      </c>
      <c r="C19" s="37">
        <v>-1</v>
      </c>
      <c r="D19" s="36">
        <v>0</v>
      </c>
      <c r="E19" s="36">
        <v>0</v>
      </c>
      <c r="F19" s="36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330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331</v>
      </c>
      <c r="B4" s="13"/>
      <c r="C4" s="13"/>
      <c r="D4" s="13"/>
      <c r="E4" s="13"/>
      <c r="F4" s="13"/>
    </row>
    <row r="5" spans="1:6" x14ac:dyDescent="0.25">
      <c r="A5" s="4" t="s">
        <v>332</v>
      </c>
      <c r="B5" s="25">
        <v>1178333</v>
      </c>
      <c r="C5" s="25">
        <v>2261600</v>
      </c>
      <c r="D5" s="25">
        <v>3367965</v>
      </c>
      <c r="E5" s="25">
        <v>4502532</v>
      </c>
      <c r="F5" s="25">
        <v>5696361</v>
      </c>
    </row>
    <row r="6" spans="1:6" x14ac:dyDescent="0.25">
      <c r="A6" s="4" t="s">
        <v>299</v>
      </c>
      <c r="B6" s="25">
        <v>780535</v>
      </c>
      <c r="C6" s="25">
        <v>964741</v>
      </c>
      <c r="D6" s="25">
        <v>993683</v>
      </c>
      <c r="E6" s="25">
        <v>1023494</v>
      </c>
      <c r="F6" s="25">
        <v>1054199</v>
      </c>
    </row>
    <row r="7" spans="1:6" x14ac:dyDescent="0.25">
      <c r="A7" s="4" t="s">
        <v>300</v>
      </c>
      <c r="B7" s="25">
        <v>503333</v>
      </c>
      <c r="C7" s="25">
        <v>774560</v>
      </c>
      <c r="D7" s="25">
        <v>994063</v>
      </c>
      <c r="E7" s="25">
        <v>1226040</v>
      </c>
      <c r="F7" s="25">
        <v>1471040</v>
      </c>
    </row>
    <row r="8" spans="1:6" x14ac:dyDescent="0.25">
      <c r="A8" s="3" t="s">
        <v>333</v>
      </c>
      <c r="B8" s="28">
        <f>B5-B6-B7</f>
        <v>-105535</v>
      </c>
      <c r="C8" s="28">
        <f>C5-C6-C7</f>
        <v>522299</v>
      </c>
      <c r="D8" s="28">
        <f>D5-D6-D7</f>
        <v>1380218</v>
      </c>
      <c r="E8" s="28">
        <f>E5-E6-E7</f>
        <v>2252998</v>
      </c>
      <c r="F8" s="28">
        <f>F5-F6-F7</f>
        <v>3171123</v>
      </c>
    </row>
    <row r="9" spans="1:6" x14ac:dyDescent="0.25">
      <c r="A9" s="4" t="s">
        <v>301</v>
      </c>
      <c r="B9" s="25">
        <v>46629</v>
      </c>
      <c r="C9" s="25">
        <v>46629</v>
      </c>
      <c r="D9" s="25">
        <v>46629</v>
      </c>
      <c r="E9" s="25">
        <v>46629</v>
      </c>
      <c r="F9" s="25">
        <v>46629</v>
      </c>
    </row>
    <row r="10" spans="1:6" x14ac:dyDescent="0.25">
      <c r="A10" s="3" t="s">
        <v>334</v>
      </c>
      <c r="B10" s="38">
        <f>IF(B9=0,"N/A",B8/B9)</f>
        <v>-2.26</v>
      </c>
      <c r="C10" s="38">
        <f>IF(C9=0,"N/A",C8/C9)</f>
        <v>11.2</v>
      </c>
      <c r="D10" s="38">
        <f>IF(D9=0,"N/A",D8/D9)</f>
        <v>29.6</v>
      </c>
      <c r="E10" s="38">
        <f>IF(E9=0,"N/A",E8/E9)</f>
        <v>48.32</v>
      </c>
      <c r="F10" s="38">
        <f>IF(F9=0,"N/A",F8/F9)</f>
        <v>68.01</v>
      </c>
    </row>
    <row r="12" ht="24" customHeight="1" spans="1:6" x14ac:dyDescent="0.25">
      <c r="A12" s="13" t="s">
        <v>335</v>
      </c>
      <c r="B12" s="13"/>
      <c r="C12" s="13"/>
      <c r="D12" s="13"/>
      <c r="E12" s="13"/>
      <c r="F12" s="13"/>
    </row>
    <row r="13" spans="1:6" x14ac:dyDescent="0.25">
      <c r="A13" s="4" t="s">
        <v>336</v>
      </c>
      <c r="B13" s="25">
        <v>74498</v>
      </c>
      <c r="C13" s="25">
        <v>530168</v>
      </c>
      <c r="D13" s="25">
        <v>1838758</v>
      </c>
      <c r="E13" s="25">
        <v>4035127</v>
      </c>
      <c r="F13" s="25">
        <v>7149621</v>
      </c>
    </row>
    <row r="14" spans="1:6" x14ac:dyDescent="0.25">
      <c r="A14" s="4" t="s">
        <v>337</v>
      </c>
      <c r="B14" s="22">
        <f>IF((B6+B7+B9)=0,0,(B13/(B6+B7+B9))*365)</f>
        <v>20</v>
      </c>
      <c r="C14" s="22">
        <f>IF((C6+C7+C9)=0,0,(C13/(C6+C7+C9))*365)</f>
        <v>108</v>
      </c>
      <c r="D14" s="22">
        <f>IF((D6+D7+D9)=0,0,(D13/(D6+D7+D9))*365)</f>
        <v>330</v>
      </c>
      <c r="E14" s="22">
        <f>IF((E6+E7+E9)=0,0,(E13/(E6+E7+E9))*365)</f>
        <v>641</v>
      </c>
      <c r="F14" s="22">
        <f>IF((F6+F7+F9)=0,0,(F13/(F6+F7+F9))*365)</f>
        <v>1015</v>
      </c>
    </row>
    <row r="15" spans="1:6" x14ac:dyDescent="0.25">
      <c r="A15" s="4" t="s">
        <v>338</v>
      </c>
      <c r="B15" s="29">
        <f>IF((B6+B7+B9)=0,0,B13/((B6+B7+B9)/12))</f>
        <v>0.7</v>
      </c>
      <c r="C15" s="29">
        <f>IF((C6+C7+C9)=0,0,C13/((C6+C7+C9)/12))</f>
        <v>3.6</v>
      </c>
      <c r="D15" s="29">
        <f>IF((D6+D7+D9)=0,0,D13/((D6+D7+D9)/12))</f>
        <v>10.8</v>
      </c>
      <c r="E15" s="29">
        <f>IF((E6+E7+E9)=0,0,E13/((E6+E7+E9)/12))</f>
        <v>21.1</v>
      </c>
      <c r="F15" s="29">
        <f>IF((F6+F7+F9)=0,0,F13/((F6+F7+F9)/12))</f>
        <v>33.4</v>
      </c>
    </row>
    <row r="16" spans="1:6" x14ac:dyDescent="0.25">
      <c r="A16" s="4" t="s">
        <v>196</v>
      </c>
      <c r="B16" s="24">
        <v>0.2</v>
      </c>
      <c r="C16" s="24">
        <v>0.3333333333333333</v>
      </c>
      <c r="D16" s="24">
        <v>0.5</v>
      </c>
      <c r="E16" s="24">
        <v>0.6666666666666666</v>
      </c>
      <c r="F16" s="24">
        <v>0.8333333333333334</v>
      </c>
    </row>
    <row r="18" ht="24" customHeight="1" spans="1:6" x14ac:dyDescent="0.25">
      <c r="A18" s="13" t="s">
        <v>339</v>
      </c>
      <c r="B18" s="13"/>
      <c r="C18" s="13"/>
      <c r="D18" s="13"/>
      <c r="E18" s="13"/>
      <c r="F18" s="13"/>
    </row>
    <row r="19" spans="1:6" x14ac:dyDescent="0.25">
      <c r="A19" s="4" t="s">
        <v>236</v>
      </c>
      <c r="B19" s="25">
        <v>9819</v>
      </c>
      <c r="C19" s="25">
        <v>11308</v>
      </c>
      <c r="D19" s="25">
        <v>11227</v>
      </c>
      <c r="E19" s="25">
        <v>11256</v>
      </c>
      <c r="F19" s="25">
        <v>11393</v>
      </c>
    </row>
    <row r="20" spans="1:6" x14ac:dyDescent="0.25">
      <c r="A20" s="4" t="s">
        <v>340</v>
      </c>
      <c r="B20" s="25">
        <v>827164</v>
      </c>
      <c r="C20" s="25">
        <v>1011370</v>
      </c>
      <c r="D20" s="25">
        <v>1040312</v>
      </c>
      <c r="E20" s="25">
        <v>1070123</v>
      </c>
      <c r="F20" s="25">
        <v>1100827</v>
      </c>
    </row>
    <row r="21" spans="1:6" x14ac:dyDescent="0.25">
      <c r="A21" s="4" t="s">
        <v>341</v>
      </c>
      <c r="B21" s="25">
        <v>4194</v>
      </c>
      <c r="C21" s="25">
        <v>3873</v>
      </c>
      <c r="D21" s="25">
        <v>3314</v>
      </c>
      <c r="E21" s="25">
        <v>3065</v>
      </c>
      <c r="F21" s="25">
        <v>2942</v>
      </c>
    </row>
    <row r="22" spans="1:6" x14ac:dyDescent="0.25">
      <c r="A22" s="3" t="s">
        <v>342</v>
      </c>
      <c r="B22" s="39">
        <v>148</v>
      </c>
      <c r="C22" s="39">
        <v>137</v>
      </c>
      <c r="D22" s="39">
        <v>132</v>
      </c>
      <c r="E22" s="39">
        <v>131</v>
      </c>
      <c r="F22" s="39">
        <v>131</v>
      </c>
    </row>
    <row r="24" ht="24" customHeight="1" spans="1:6" x14ac:dyDescent="0.25">
      <c r="A24" s="13" t="s">
        <v>343</v>
      </c>
      <c r="B24" s="13"/>
      <c r="C24" s="13"/>
      <c r="D24" s="13"/>
      <c r="E24" s="13"/>
      <c r="F24" s="13"/>
    </row>
    <row r="25" spans="1:6" x14ac:dyDescent="0.25">
      <c r="A25" s="4" t="s">
        <v>344</v>
      </c>
      <c r="B25" s="40" t="s">
        <v>345</v>
      </c>
      <c r="C25" s="41" t="s">
        <v>346</v>
      </c>
      <c r="D25" s="41" t="s">
        <v>346</v>
      </c>
      <c r="E25" s="41" t="s">
        <v>346</v>
      </c>
      <c r="F25" s="41" t="s">
        <v>346</v>
      </c>
    </row>
    <row r="26" spans="1:6" x14ac:dyDescent="0.25">
      <c r="A26" s="4" t="s">
        <v>347</v>
      </c>
      <c r="B26" s="40" t="s">
        <v>345</v>
      </c>
      <c r="C26" s="41" t="s">
        <v>346</v>
      </c>
      <c r="D26" s="41" t="s">
        <v>346</v>
      </c>
      <c r="E26" s="41" t="s">
        <v>346</v>
      </c>
      <c r="F26" s="41" t="s">
        <v>346</v>
      </c>
    </row>
    <row r="27" spans="1:6" x14ac:dyDescent="0.25">
      <c r="A27" s="4" t="s">
        <v>348</v>
      </c>
      <c r="B27" s="40" t="s">
        <v>345</v>
      </c>
      <c r="C27" s="40" t="s">
        <v>345</v>
      </c>
      <c r="D27" s="40" t="s">
        <v>345</v>
      </c>
      <c r="E27" s="40" t="s">
        <v>345</v>
      </c>
      <c r="F27" s="40" t="s">
        <v>345</v>
      </c>
    </row>
    <row r="28" spans="1:6" x14ac:dyDescent="0.25">
      <c r="A28" s="4" t="s">
        <v>349</v>
      </c>
      <c r="B28" s="40" t="s">
        <v>345</v>
      </c>
      <c r="C28" s="41" t="s">
        <v>346</v>
      </c>
      <c r="D28" s="41" t="s">
        <v>346</v>
      </c>
      <c r="E28" s="41" t="s">
        <v>346</v>
      </c>
      <c r="F28" s="41" t="s">
        <v>346</v>
      </c>
    </row>
    <row r="29" spans="1:6" x14ac:dyDescent="0.25">
      <c r="A29" s="4" t="s">
        <v>350</v>
      </c>
      <c r="B29" s="40" t="s">
        <v>345</v>
      </c>
      <c r="C29" s="41" t="s">
        <v>346</v>
      </c>
      <c r="D29" s="41" t="s">
        <v>346</v>
      </c>
      <c r="E29" s="41" t="s">
        <v>346</v>
      </c>
      <c r="F29" s="41" t="s">
        <v>346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1" t="s">
        <v>56</v>
      </c>
      <c r="B1" s="11"/>
      <c r="C1" s="11"/>
      <c r="D1" s="11"/>
      <c r="E1" s="11"/>
    </row>
    <row r="3" spans="1:5" x14ac:dyDescent="0.25">
      <c r="A3" s="42" t="s">
        <v>351</v>
      </c>
      <c r="B3" s="42" t="s">
        <v>100</v>
      </c>
      <c r="D3" s="42" t="s">
        <v>352</v>
      </c>
      <c r="E3" s="42" t="s">
        <v>100</v>
      </c>
    </row>
    <row r="4" spans="1:5" x14ac:dyDescent="0.25">
      <c r="A4" s="4" t="s">
        <v>151</v>
      </c>
      <c r="B4" s="25">
        <v>350000</v>
      </c>
      <c r="D4" s="4" t="s">
        <v>353</v>
      </c>
      <c r="E4" s="25">
        <v>250000</v>
      </c>
    </row>
    <row r="5" spans="1:5" x14ac:dyDescent="0.25">
      <c r="A5" s="4" t="s">
        <v>354</v>
      </c>
      <c r="B5" s="25">
        <v>150000</v>
      </c>
      <c r="D5" s="4" t="s">
        <v>153</v>
      </c>
      <c r="E5" s="25">
        <v>60000</v>
      </c>
    </row>
    <row r="6" spans="4:5" x14ac:dyDescent="0.25">
      <c r="D6" s="4" t="s">
        <v>355</v>
      </c>
      <c r="E6" s="25">
        <v>50000</v>
      </c>
    </row>
    <row r="7" spans="4:5" x14ac:dyDescent="0.25">
      <c r="D7" s="4" t="s">
        <v>356</v>
      </c>
      <c r="E7" s="25">
        <v>140000</v>
      </c>
    </row>
    <row r="9" spans="1:5" x14ac:dyDescent="0.25">
      <c r="A9" s="3" t="s">
        <v>357</v>
      </c>
      <c r="B9" s="26">
        <v>500000</v>
      </c>
      <c r="D9" s="3" t="s">
        <v>358</v>
      </c>
      <c r="E9" s="26">
        <v>500000</v>
      </c>
    </row>
    <row r="10" spans="1:2" x14ac:dyDescent="0.25">
      <c r="A10" s="3" t="s">
        <v>359</v>
      </c>
      <c r="B10" s="36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360</v>
      </c>
      <c r="B1" s="11"/>
      <c r="C1" s="11"/>
      <c r="D1" s="11"/>
      <c r="E1" s="11"/>
      <c r="F1" s="11"/>
    </row>
    <row r="3" ht="24" customHeight="1" spans="1:6" x14ac:dyDescent="0.25">
      <c r="A3" s="13" t="s">
        <v>361</v>
      </c>
      <c r="B3" s="13"/>
      <c r="C3" s="13"/>
      <c r="D3" s="13"/>
      <c r="E3" s="13"/>
      <c r="F3" s="13"/>
    </row>
    <row r="4" spans="1:1" x14ac:dyDescent="0.25">
      <c r="A4" s="12" t="s">
        <v>362</v>
      </c>
    </row>
    <row r="5" ht="28" customHeight="1" spans="1:6" x14ac:dyDescent="0.25">
      <c r="A5" s="15" t="s">
        <v>67</v>
      </c>
      <c r="B5" s="15" t="s">
        <v>90</v>
      </c>
      <c r="C5" s="15" t="s">
        <v>91</v>
      </c>
      <c r="D5" s="15" t="s">
        <v>92</v>
      </c>
      <c r="E5" s="15" t="s">
        <v>93</v>
      </c>
      <c r="F5" s="15" t="s">
        <v>94</v>
      </c>
    </row>
    <row r="6" spans="1:6" x14ac:dyDescent="0.25">
      <c r="A6" s="4" t="s">
        <v>332</v>
      </c>
      <c r="B6" s="25">
        <v>1178333</v>
      </c>
      <c r="C6" s="25">
        <v>2261600</v>
      </c>
      <c r="D6" s="25">
        <v>3367965</v>
      </c>
      <c r="E6" s="25">
        <v>4502532</v>
      </c>
      <c r="F6" s="25">
        <v>5696361</v>
      </c>
    </row>
    <row r="7" spans="1:6" x14ac:dyDescent="0.25">
      <c r="A7" s="4" t="s">
        <v>278</v>
      </c>
      <c r="B7" s="25">
        <v>1330497</v>
      </c>
      <c r="C7" s="25">
        <v>1785930</v>
      </c>
      <c r="D7" s="25">
        <v>2034375</v>
      </c>
      <c r="E7" s="25">
        <v>2296162</v>
      </c>
      <c r="F7" s="25">
        <v>2571867</v>
      </c>
    </row>
    <row r="8" spans="1:6" x14ac:dyDescent="0.25">
      <c r="A8" s="3" t="s">
        <v>280</v>
      </c>
      <c r="B8" s="26">
        <v>-152164</v>
      </c>
      <c r="C8" s="26">
        <v>475670</v>
      </c>
      <c r="D8" s="26">
        <v>1333590</v>
      </c>
      <c r="E8" s="26">
        <v>2206369</v>
      </c>
      <c r="F8" s="26">
        <v>3124494</v>
      </c>
    </row>
    <row r="9" spans="1:6" x14ac:dyDescent="0.25">
      <c r="A9" s="4" t="s">
        <v>281</v>
      </c>
      <c r="B9" s="24">
        <v>-0.12913460606689678</v>
      </c>
      <c r="C9" s="24">
        <v>0.21032460611271073</v>
      </c>
      <c r="D9" s="24">
        <v>0.3959630196229791</v>
      </c>
      <c r="E9" s="24">
        <v>0.49002859951113986</v>
      </c>
      <c r="F9" s="24">
        <v>0.5485069777397931</v>
      </c>
    </row>
    <row r="10" spans="1:6" x14ac:dyDescent="0.25">
      <c r="A10" s="4" t="s">
        <v>334</v>
      </c>
      <c r="B10" s="43">
        <v>-2.26</v>
      </c>
      <c r="C10" s="43">
        <v>11.2</v>
      </c>
      <c r="D10" s="43">
        <v>29.6</v>
      </c>
      <c r="E10" s="43">
        <v>48.32</v>
      </c>
      <c r="F10" s="43">
        <v>68.01</v>
      </c>
    </row>
    <row r="11" spans="1:6" x14ac:dyDescent="0.25">
      <c r="A11" s="4" t="s">
        <v>342</v>
      </c>
      <c r="B11" s="22">
        <v>148</v>
      </c>
      <c r="C11" s="22">
        <v>137</v>
      </c>
      <c r="D11" s="22">
        <v>132</v>
      </c>
      <c r="E11" s="22">
        <v>131</v>
      </c>
      <c r="F11" s="22">
        <v>131</v>
      </c>
    </row>
    <row r="13" ht="24" customHeight="1" spans="1:6" x14ac:dyDescent="0.25">
      <c r="A13" s="13" t="s">
        <v>363</v>
      </c>
      <c r="B13" s="13"/>
      <c r="C13" s="13"/>
      <c r="D13" s="13"/>
      <c r="E13" s="13"/>
      <c r="F13" s="13"/>
    </row>
    <row r="14" spans="1:1" x14ac:dyDescent="0.25">
      <c r="A14" s="12" t="s">
        <v>364</v>
      </c>
    </row>
    <row r="15" ht="28" customHeight="1" spans="1:6" x14ac:dyDescent="0.25">
      <c r="A15" s="15" t="s">
        <v>67</v>
      </c>
      <c r="B15" s="15" t="s">
        <v>90</v>
      </c>
      <c r="C15" s="15" t="s">
        <v>91</v>
      </c>
      <c r="D15" s="15" t="s">
        <v>92</v>
      </c>
      <c r="E15" s="15" t="s">
        <v>93</v>
      </c>
      <c r="F15" s="15" t="s">
        <v>94</v>
      </c>
    </row>
    <row r="16" spans="1:6" x14ac:dyDescent="0.25">
      <c r="A16" s="4" t="s">
        <v>332</v>
      </c>
      <c r="B16" s="25">
        <v>1178333</v>
      </c>
      <c r="C16" s="25">
        <v>2261600</v>
      </c>
      <c r="D16" s="25">
        <v>3367965</v>
      </c>
      <c r="E16" s="25">
        <v>4502532</v>
      </c>
      <c r="F16" s="25">
        <v>5696361</v>
      </c>
    </row>
    <row r="17" spans="1:6" x14ac:dyDescent="0.25">
      <c r="A17" s="4" t="s">
        <v>278</v>
      </c>
      <c r="B17" s="25">
        <v>1330497</v>
      </c>
      <c r="C17" s="25">
        <v>1785930</v>
      </c>
      <c r="D17" s="25">
        <v>2034375</v>
      </c>
      <c r="E17" s="25">
        <v>2296162</v>
      </c>
      <c r="F17" s="25">
        <v>2571867</v>
      </c>
    </row>
    <row r="18" spans="1:6" x14ac:dyDescent="0.25">
      <c r="A18" s="3" t="s">
        <v>280</v>
      </c>
      <c r="B18" s="26">
        <v>-152164</v>
      </c>
      <c r="C18" s="26">
        <v>475670</v>
      </c>
      <c r="D18" s="26">
        <v>1333590</v>
      </c>
      <c r="E18" s="26">
        <v>2206369</v>
      </c>
      <c r="F18" s="26">
        <v>3124494</v>
      </c>
    </row>
    <row r="19" spans="1:6" x14ac:dyDescent="0.25">
      <c r="A19" s="4" t="s">
        <v>281</v>
      </c>
      <c r="B19" s="24">
        <v>-0.12913460606689678</v>
      </c>
      <c r="C19" s="24">
        <v>0.21032460611271073</v>
      </c>
      <c r="D19" s="24">
        <v>0.3959630196229791</v>
      </c>
      <c r="E19" s="24">
        <v>0.49002859951113986</v>
      </c>
      <c r="F19" s="24">
        <v>0.5485069777397931</v>
      </c>
    </row>
    <row r="20" spans="1:6" x14ac:dyDescent="0.25">
      <c r="A20" s="4" t="s">
        <v>334</v>
      </c>
      <c r="B20" s="43">
        <v>-2.26</v>
      </c>
      <c r="C20" s="43">
        <v>11.2</v>
      </c>
      <c r="D20" s="43">
        <v>29.6</v>
      </c>
      <c r="E20" s="43">
        <v>48.32</v>
      </c>
      <c r="F20" s="43">
        <v>68.01</v>
      </c>
    </row>
    <row r="21" spans="1:6" x14ac:dyDescent="0.25">
      <c r="A21" s="4" t="s">
        <v>342</v>
      </c>
      <c r="B21" s="22">
        <v>125</v>
      </c>
      <c r="C21" s="22">
        <v>116</v>
      </c>
      <c r="D21" s="22">
        <v>112</v>
      </c>
      <c r="E21" s="22">
        <v>112</v>
      </c>
      <c r="F21" s="22">
        <v>111</v>
      </c>
    </row>
    <row r="23" ht="24" customHeight="1" spans="1:6" x14ac:dyDescent="0.25">
      <c r="A23" s="13" t="s">
        <v>365</v>
      </c>
      <c r="B23" s="13"/>
      <c r="C23" s="13"/>
      <c r="D23" s="13"/>
      <c r="E23" s="13"/>
      <c r="F23" s="13"/>
    </row>
    <row r="24" spans="1:1" x14ac:dyDescent="0.25">
      <c r="A24" s="12" t="s">
        <v>366</v>
      </c>
    </row>
    <row r="25" ht="28" customHeight="1" spans="1:6" x14ac:dyDescent="0.25">
      <c r="A25" s="15" t="s">
        <v>67</v>
      </c>
      <c r="B25" s="15" t="s">
        <v>90</v>
      </c>
      <c r="C25" s="15" t="s">
        <v>91</v>
      </c>
      <c r="D25" s="15" t="s">
        <v>92</v>
      </c>
      <c r="E25" s="15" t="s">
        <v>93</v>
      </c>
      <c r="F25" s="15" t="s">
        <v>94</v>
      </c>
    </row>
    <row r="26" spans="1:6" x14ac:dyDescent="0.25">
      <c r="A26" s="4" t="s">
        <v>332</v>
      </c>
      <c r="B26" s="25">
        <v>1084067</v>
      </c>
      <c r="C26" s="25">
        <v>2080672</v>
      </c>
      <c r="D26" s="25">
        <v>3098528</v>
      </c>
      <c r="E26" s="25">
        <v>4142329</v>
      </c>
      <c r="F26" s="25">
        <v>5240653</v>
      </c>
    </row>
    <row r="27" spans="1:6" x14ac:dyDescent="0.25">
      <c r="A27" s="4" t="s">
        <v>278</v>
      </c>
      <c r="B27" s="25">
        <v>1330497</v>
      </c>
      <c r="C27" s="25">
        <v>1785930</v>
      </c>
      <c r="D27" s="25">
        <v>2034375</v>
      </c>
      <c r="E27" s="25">
        <v>2296162</v>
      </c>
      <c r="F27" s="25">
        <v>2571867</v>
      </c>
    </row>
    <row r="28" spans="1:6" x14ac:dyDescent="0.25">
      <c r="A28" s="3" t="s">
        <v>280</v>
      </c>
      <c r="B28" s="26">
        <v>-246430</v>
      </c>
      <c r="C28" s="26">
        <v>294742</v>
      </c>
      <c r="D28" s="26">
        <v>1064152</v>
      </c>
      <c r="E28" s="26">
        <v>1846167</v>
      </c>
      <c r="F28" s="26">
        <v>2668785</v>
      </c>
    </row>
    <row r="29" spans="1:6" x14ac:dyDescent="0.25">
      <c r="A29" s="4" t="s">
        <v>281</v>
      </c>
      <c r="B29" s="24">
        <v>-0.22732022398575744</v>
      </c>
      <c r="C29" s="24">
        <v>0.1416571805572943</v>
      </c>
      <c r="D29" s="24">
        <v>0.34343806480758604</v>
      </c>
      <c r="E29" s="24">
        <v>0.4456832603381955</v>
      </c>
      <c r="F29" s="24">
        <v>0.5092467149345576</v>
      </c>
    </row>
    <row r="30" spans="1:6" x14ac:dyDescent="0.25">
      <c r="A30" s="4" t="s">
        <v>334</v>
      </c>
      <c r="B30" s="43">
        <v>-4.28</v>
      </c>
      <c r="C30" s="43">
        <v>7.32</v>
      </c>
      <c r="D30" s="43">
        <v>23.82</v>
      </c>
      <c r="E30" s="43">
        <v>40.59</v>
      </c>
      <c r="F30" s="43">
        <v>58.23</v>
      </c>
    </row>
    <row r="31" spans="1:6" x14ac:dyDescent="0.25">
      <c r="A31" s="4" t="s">
        <v>342</v>
      </c>
      <c r="B31" s="22">
        <v>171</v>
      </c>
      <c r="C31" s="22">
        <v>155</v>
      </c>
      <c r="D31" s="22">
        <v>149</v>
      </c>
      <c r="E31" s="22">
        <v>147</v>
      </c>
      <c r="F31" s="22">
        <v>147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1" t="s">
        <v>367</v>
      </c>
      <c r="B1" s="11"/>
      <c r="C1" s="11"/>
      <c r="D1" s="11"/>
      <c r="E1" s="11"/>
      <c r="F1" s="11"/>
      <c r="G1" s="11"/>
      <c r="H1" s="11"/>
    </row>
    <row r="3" ht="24" customHeight="1" spans="1:2" x14ac:dyDescent="0.25">
      <c r="A3" s="13" t="s">
        <v>84</v>
      </c>
      <c r="B3" s="13"/>
    </row>
    <row r="4" spans="1:2" x14ac:dyDescent="0.25">
      <c r="A4" s="4" t="s">
        <v>2</v>
      </c>
      <c r="B4" s="4" t="s">
        <v>3</v>
      </c>
    </row>
    <row r="5" spans="1:2" x14ac:dyDescent="0.25">
      <c r="A5" s="4" t="s">
        <v>115</v>
      </c>
      <c r="B5" s="4" t="s">
        <v>5</v>
      </c>
    </row>
    <row r="6" spans="1:2" x14ac:dyDescent="0.25">
      <c r="A6" s="4" t="s">
        <v>368</v>
      </c>
      <c r="B6" s="4" t="s">
        <v>7</v>
      </c>
    </row>
    <row r="7" spans="1:2" x14ac:dyDescent="0.25">
      <c r="A7" s="4" t="s">
        <v>14</v>
      </c>
      <c r="B7" s="4" t="s">
        <v>15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369</v>
      </c>
      <c r="B9" s="4" t="s">
        <v>17</v>
      </c>
    </row>
    <row r="11" ht="24" customHeight="1" spans="1:8" x14ac:dyDescent="0.25">
      <c r="A11" s="13" t="s">
        <v>370</v>
      </c>
      <c r="B11" s="13"/>
      <c r="C11" s="13"/>
      <c r="D11" s="13"/>
      <c r="E11" s="13"/>
      <c r="F11" s="13"/>
      <c r="G11" s="13"/>
      <c r="H11" s="13"/>
    </row>
    <row r="12" spans="1:8" x14ac:dyDescent="0.25">
      <c r="A12" t="s">
        <v>67</v>
      </c>
      <c r="B12" t="s">
        <v>67</v>
      </c>
      <c r="C12" t="s">
        <v>67</v>
      </c>
      <c r="D12" s="44" t="s">
        <v>90</v>
      </c>
      <c r="E12" s="44" t="s">
        <v>91</v>
      </c>
      <c r="F12" s="44" t="s">
        <v>92</v>
      </c>
      <c r="G12" s="44" t="s">
        <v>93</v>
      </c>
      <c r="H12" s="44" t="s">
        <v>94</v>
      </c>
    </row>
    <row r="13" spans="1:8" x14ac:dyDescent="0.25">
      <c r="A13" s="4" t="s">
        <v>332</v>
      </c>
      <c r="D13" s="25">
        <v>1178333</v>
      </c>
      <c r="E13" s="25">
        <v>2261600</v>
      </c>
      <c r="F13" s="25">
        <v>3367965</v>
      </c>
      <c r="G13" s="25">
        <v>4502532</v>
      </c>
      <c r="H13" s="25">
        <v>5696361</v>
      </c>
    </row>
    <row r="14" spans="1:8" x14ac:dyDescent="0.25">
      <c r="A14" s="4" t="s">
        <v>278</v>
      </c>
      <c r="D14" s="25">
        <v>1330497</v>
      </c>
      <c r="E14" s="25">
        <v>1785930</v>
      </c>
      <c r="F14" s="25">
        <v>2034375</v>
      </c>
      <c r="G14" s="25">
        <v>2296162</v>
      </c>
      <c r="H14" s="25">
        <v>2571867</v>
      </c>
    </row>
    <row r="15" spans="1:8" x14ac:dyDescent="0.25">
      <c r="A15" s="4" t="s">
        <v>280</v>
      </c>
      <c r="D15" s="25">
        <v>-212164</v>
      </c>
      <c r="E15" s="25">
        <v>455670</v>
      </c>
      <c r="F15" s="25">
        <v>1308590</v>
      </c>
      <c r="G15" s="25">
        <v>2196369</v>
      </c>
      <c r="H15" s="25">
        <v>3114494</v>
      </c>
    </row>
    <row r="16" spans="1:8" x14ac:dyDescent="0.25">
      <c r="A16" s="4" t="s">
        <v>371</v>
      </c>
      <c r="D16" s="25">
        <v>74498</v>
      </c>
      <c r="E16" s="25">
        <v>530168</v>
      </c>
      <c r="F16" s="25">
        <v>1838758</v>
      </c>
      <c r="G16" s="25">
        <v>4035127</v>
      </c>
      <c r="H16" s="25">
        <v>7149621</v>
      </c>
    </row>
    <row r="17" spans="1:8" x14ac:dyDescent="0.25">
      <c r="A17" s="4" t="s">
        <v>372</v>
      </c>
      <c r="D17" s="25">
        <v>323655</v>
      </c>
      <c r="E17" s="25">
        <v>295685</v>
      </c>
      <c r="F17" s="25">
        <v>265989</v>
      </c>
      <c r="G17" s="25">
        <v>234462</v>
      </c>
      <c r="H17" s="25">
        <v>200991</v>
      </c>
    </row>
    <row r="19" ht="24" customHeight="1" spans="1:8" x14ac:dyDescent="0.25">
      <c r="A19" s="13" t="s">
        <v>373</v>
      </c>
      <c r="B19" s="13"/>
      <c r="C19" s="13"/>
      <c r="D19" s="13"/>
      <c r="E19" s="13"/>
      <c r="F19" s="13"/>
      <c r="G19" s="13"/>
      <c r="H19" s="13"/>
    </row>
    <row r="20" spans="1:8" x14ac:dyDescent="0.25">
      <c r="A20" t="s">
        <v>67</v>
      </c>
      <c r="B20" t="s">
        <v>67</v>
      </c>
      <c r="C20" t="s">
        <v>67</v>
      </c>
      <c r="D20" s="44" t="s">
        <v>90</v>
      </c>
      <c r="E20" s="44" t="s">
        <v>91</v>
      </c>
      <c r="F20" s="44" t="s">
        <v>92</v>
      </c>
      <c r="G20" s="44" t="s">
        <v>93</v>
      </c>
      <c r="H20" s="44" t="s">
        <v>94</v>
      </c>
    </row>
    <row r="21" spans="1:8" x14ac:dyDescent="0.25">
      <c r="A21" s="4" t="s">
        <v>374</v>
      </c>
      <c r="D21" s="24">
        <v>-0.18005398371894768</v>
      </c>
      <c r="E21" s="24">
        <v>0.20148130933167066</v>
      </c>
      <c r="F21" s="24">
        <v>0.38854013963461814</v>
      </c>
      <c r="G21" s="24">
        <v>0.48780762672183775</v>
      </c>
      <c r="H21" s="24">
        <v>0.54675147116204</v>
      </c>
    </row>
    <row r="22" spans="1:8" x14ac:dyDescent="0.25">
      <c r="A22" s="4" t="s">
        <v>334</v>
      </c>
      <c r="D22" s="43">
        <v>-2.26</v>
      </c>
      <c r="E22" s="43">
        <v>11.2</v>
      </c>
      <c r="F22" s="43">
        <v>29.6</v>
      </c>
      <c r="G22" s="43">
        <v>48.32</v>
      </c>
      <c r="H22" s="43">
        <v>68.01</v>
      </c>
    </row>
    <row r="23" spans="1:8" x14ac:dyDescent="0.25">
      <c r="A23" s="4" t="s">
        <v>196</v>
      </c>
      <c r="D23" s="24">
        <v>0.2</v>
      </c>
      <c r="E23" s="24">
        <v>0.3333333333333333</v>
      </c>
      <c r="F23" s="24">
        <v>0.5</v>
      </c>
      <c r="G23" s="24">
        <v>0.6666666666666666</v>
      </c>
      <c r="H23" s="24">
        <v>0.8333333333333334</v>
      </c>
    </row>
    <row r="24" spans="1:8" x14ac:dyDescent="0.25">
      <c r="A24" s="4" t="s">
        <v>375</v>
      </c>
      <c r="D24" s="22">
        <v>120</v>
      </c>
      <c r="E24" s="22">
        <v>200</v>
      </c>
      <c r="F24" s="22">
        <v>300</v>
      </c>
      <c r="G24" s="22">
        <v>400</v>
      </c>
      <c r="H24" s="22">
        <v>500</v>
      </c>
    </row>
    <row r="26" spans="1:8" x14ac:dyDescent="0.25">
      <c r="A26" s="8" t="s">
        <v>376</v>
      </c>
      <c r="B26" s="8"/>
      <c r="C26" s="8"/>
      <c r="D26" s="8"/>
      <c r="E26" s="8"/>
      <c r="F26" s="8"/>
      <c r="G26" s="8"/>
      <c r="H26" s="8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Instructions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2026-03-17T02:55:56Z</dcterms:created>
  <dcterms:modified xsi:type="dcterms:W3CDTF">2026-03-17T02:55:56Z</dcterms:modified>
</cp:coreProperties>
</file>