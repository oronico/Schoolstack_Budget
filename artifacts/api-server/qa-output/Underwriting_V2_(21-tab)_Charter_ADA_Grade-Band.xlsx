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<sst xmlns="http://schemas.openxmlformats.org/spreadsheetml/2006/main" count="884" uniqueCount="508">
  <si>
    <t>How to Use This Workbook</t>
  </si>
  <si>
    <t>Heritage Academy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</si>
  <si>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</si>
  <si>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</si>
  <si>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</si>
  <si>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</si>
  <si>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</si>
  <si>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</si>
  <si>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</si>
  <si>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</si>
  <si>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</si>
  <si>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</si>
  <si>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</si>
  <si>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</si>
  <si>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</si>
  <si>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</si>
  <si>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</si>
  <si>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</si>
  <si>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</si>
  <si>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</si>
  <si>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</si>
  <si>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</si>
  <si>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</si>
  <si>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</si>
  <si>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</si>
  <si>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</si>
  <si>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</si>
  <si>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</si>
  <si>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</si>
  <si>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</si>
  <si>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</si>
  <si>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</si>
  <si>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</si>
  <si>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</si>
  <si>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</si>
  <si>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</si>
  <si>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</si>
  <si>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</si>
  <si>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</si>
  <si>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</si>
  <si>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</si>
  <si>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</si>
  <si>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May 7,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</si>
  <si>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</si>
  <si>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</si>
  <si>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</si>
  <si>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</si>
  <si>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</si>
  <si>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</si>
  <si>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</si>
  <si>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</si>
  <si>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</si>
  <si>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</si>
  <si>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</si>
  <si>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</si>
  <si>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</si>
  <si>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</si>
  <si>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</si>
  <si>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</si>
  <si>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</si>
  <si>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</si>
  <si>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</si>
  <si>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</si>
  <si>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</si>
  <si>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</si>
  <si>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</si>
  <si>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</si>
  <si>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</si>
  <si>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</si>
  <si>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</si>
  <si>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</si>
  <si>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</si>
  <si>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</si>
  <si>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</si>
  <si>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</si>
  <si>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</si>
  <si>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</si>
  <si>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</si>
  <si>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</si>
  <si>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</si>
  <si>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</si>
  <si>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</si>
  <si>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</si>
  <si>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</si>
  <si>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</si>
  <si>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</si>
  <si>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</si>
  <si>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</si>
  <si>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</si>
  <si>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</si>
  <si>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</si>
  <si>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</si>
  <si>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</si>
  <si>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</si>
  <si>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</si>
  <si>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</si>
  <si>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</si>
  <si>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</si>
  <si>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</si>
  <si>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</si>
  <si>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</si>
  <si>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</si>
  <si>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</si>
  <si>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</si>
  <si>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</si>
  <si>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</si>
  <si>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</si>
  <si>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</si>
  <si>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</si>
  <si>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</si>
  <si>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</si>
  <si>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</si>
  <si>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</si>
  <si>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</si>
  <si>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</si>
  <si>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</si>
  <si>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</si>
  <si>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</si>
  <si>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</si>
  <si>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</si>
  <si>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</si>
  <si>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</si>
  <si>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</si>
  <si>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</si>
  <si>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</si>
  <si>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</si>
  <si>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</si>
  <si>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</si>
  <si>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</si>
  <si>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</si>
  <si>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</si>
  <si>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</si>
  <si>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</si>
  <si>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</si>
  <si>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</si>
  <si>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</si>
  <si>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</si>
  <si>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</si>
  <si>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</si>
  <si>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</si>
  <si>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</si>
  <si>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</si>
  <si>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</si>
  <si>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</si>
  <si>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</si>
  <si>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</si>
  <si>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</si>
  <si>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</si>
  <si>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</si>
  <si>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</si>
  <si>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</si>
  <si>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</si>
  <si>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</si>
  <si>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</si>
  <si>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</si>
  <si>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</si>
  <si>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</si>
  <si>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</si>
  <si>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</si>
  <si>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</si>
  <si>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</si>
  <si>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</si>
  <si>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</si>
  <si>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</si>
  <si>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</si>
  <si>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</si>
  <si>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</si>
  <si>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</si>
  <si>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</si>
  <si>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</si>
  <si>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</si>
  <si>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</si>
  <si>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</si>
  <si>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</si>
  <si>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</si>
  <si>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</si>
  <si>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</si>
  <si>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</si>
  <si>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</si>
  <si>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</si>
  <si>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</si>
  <si>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</si>
  <si>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</si>
  <si>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</si>
  <si>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</si>
  <si>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</si>
  <si>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</si>
  <si>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</si>
  <si>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</si>
  <si>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</si>
  <si>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</si>
  <si>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</si>
  <si>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</si>
  <si>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</si>
  <si>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</si>
  <si>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</si>
  <si>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</si>
  <si>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</si>
  <si>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</si>
  <si>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</si>
  <si>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</si>
  <si>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</si>
  <si>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</si>
  <si>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</si>
  <si>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</si>
  <si>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</si>
  <si>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</si>
  <si>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</si>
  <si>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</si>
  <si>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</si>
  <si>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</si>
  <si>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</si>
  <si>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</si>
  <si>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</si>
  <si>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</si>
  <si>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</si>
  <si>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</si>
  <si>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</si>
  <si>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</si>
  <si>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</si>
  <si>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</si>
  <si>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</si>
  <si>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</si>
  <si>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</si>
  <si>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</si>
  <si>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</si>
  <si>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</si>
  <si>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</si>
  <si>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</si>
  <si>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</si>
  <si>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</si>
  <si>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</si>
  <si>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</si>
  <si>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</si>
  <si>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</si>
  <si>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</si>
  <si>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</si>
  <si>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</si>
  <si>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</si>
  <si>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</si>
  <si>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</si>
  <si>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</si>
  <si>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</si>
  <si>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</si>
  <si>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</si>
  <si>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</si>
  <si>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</si>
  <si>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</si>
  <si>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</si>
  <si>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</si>
  <si>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</si>
  <si>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</si>
  <si>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</si>
  <si>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</si>
  <si>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</si>
  <si>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</si>
  <si>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</si>
  <si>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</si>
  <si>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</si>
  <si>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</si>
  <si>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</si>
  <si>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</si>
  <si>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</si>
  <si>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</si>
  <si>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</si>
  <si>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</si>
  <si>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</si>
  <si>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</si>
  <si>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</si>
  <si>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</si>
  <si>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</si>
  <si>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</si>
  <si>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</si>
  <si>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</si>
  <si>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</si>
  <si>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</si>
  <si>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</si>
  <si>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</si>
  <si>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</si>
  <si>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</si>
  <si>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</si>
  <si>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</si>
  <si>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</si>
  <si>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</si>
  <si>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</si>
  <si>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</si>
  <si>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</si>
  <si>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</si>
  <si>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</si>
  <si>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</si>
  <si>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</si>
  <si>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</si>
  <si>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</si>
  <si>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</si>
  <si>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</si>
  <si>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</si>
  <si>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</si>
  <si>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</si>
  <si>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</si>
  <si>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</si>
  <si>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</si>
  <si>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</si>
  <si>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</si>
  <si>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</si>
  <si>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</si>
  <si>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</si>
  <si>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</si>
  <si>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</si>
  <si>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</si>
  <si>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</si>
  <si>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</si>
  <si>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</si>
  <si>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</si>
  <si>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</si>
  <si>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</si>
  <si>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</si>
  <si>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</si>
  <si>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</si>
  <si>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</si>
  <si>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</si>
  <si>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</si>
  <si>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</si>
  <si>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</si>
  <si>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</si>
  <si>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</si>
  <si>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</si>
  <si>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</si>
  <si>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</si>
  <si>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</si>
  <si>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</si>
  <si>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</si>
  <si>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</si>
  <si>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</si>
  <si>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</si>
  <si>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</si>
  <si>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</si>
  <si>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</si>
  <si>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</si>
  <si>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</si>
  <si>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</si>
  <si>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</si>
  <si>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</si>
  <si>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</si>
  <si>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</si>
  <si>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</si>
  <si>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</si>
  <si>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</si>
  <si>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</si>
  <si>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</si>
  <si>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</si>
  <si>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</si>
  <si>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</si>
  <si>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</si>
  <si>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</si>
  <si>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</si>
  <si>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</si>
  <si>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</si>
  <si>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</si>
  <si>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</si>
  <si>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</si>
  <si>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</si>
  <si>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</si>
  <si>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</si>
  <si>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</si>
  <si>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</si>
  <si>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</si>
  <si>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</si>
  <si>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</si>
  <si>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</si>
  <si>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</si>
  <si>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</si>
  <si>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</si>
  <si>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</si>
  <si>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</si>
  <si>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</si>
  <si>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</si>
  <si>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</si>
  <si>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</si>
  <si>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</si>
  <si>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</si>
  <si>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</si>
  <si>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</si>
  <si>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</si>
  <si>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</si>
  <si>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</si>
  <si>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</si>
  <si>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</si>
  <si>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</si>
  <si>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</si>
  <si>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</si>
  <si>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</si>
  <si>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</si>
  <si>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</si>
  <si>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</si>
  <si>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</si>
  <si>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</si>
  <si>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</si>
  <si>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</si>
  <si>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</si>
  <si>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</si>
  <si>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</si>
  <si>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</si>
  <si>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</si>
  <si>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</si>
  <si>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</si>
  <si>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</si>
  <si>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</si>
  <si>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</si>
  <si>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</si>
  <si>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</si>
  <si>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</si>
  <si>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</si>
  <si>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</si>
  <si>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</si>
  <si>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</si>
  <si>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</si>
  <si>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</si>
  <si>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</si>
  <si>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</si>
  <si>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</si>
  <si>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</si>
  <si>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</si>
  <si>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</si>
  <si>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</si>
  <si>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</si>
  <si>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</si>
  <si>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</si>
  <si>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</si>
  <si>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</si>
  <si>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</si>
  <si>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</si>
  <si>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</si>
  <si>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</si>
  <si>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</si>
  <si>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</si>
  <si>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</si>
  <si>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</si>
  <si>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</si>
  <si>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</si>
  <si>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</si>
  <si>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</si>
  <si>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</si>
  <si>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</si>
  <si>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</si>
  <si>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</si>
  <si>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</si>
  <si>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</si>
  <si>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</si>
  <si>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</si>
  <si>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</si>
  <si>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</si>
  <si>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</si>
  <si>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</si>
  <si>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</si>
  <si>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</si>
  <si>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</si>
  <si>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</si>
  <si>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</si>
  <si>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</si>
  <si>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</si>
  <si>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</si>
  <si>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</si>
  <si>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</si>
  <si>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</si>
  <si>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</si>
  <si>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</si>
  <si>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</si>
  <si>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</si>
  <si>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</si>
  <si>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</si>
  <si>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</si>
  <si>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</si>
  <si>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</si>
  <si>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</si>
  <si>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</si>
  <si>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18%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</si>
  <si>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</si>
  <si>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</si>
  <si>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</si>
  <si>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</si>
  <si>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</si>
  <si>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72.19x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</si>
  <si>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</si>
  <si>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</si>
  <si>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</si>
  <si>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</si>
  <si>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</si>
  <si>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35.5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</si>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</sst>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6" x14ac:dyDescent="0.25">
      <c r="A12" s="19" t="s">
        <v>241</v>
      </c>
      <c r="B12" s="19"/>
      <c r="C12" s="19"/>
      <c r="D12" s="19"/>
      <c r="E12" s="19"/>
      <c r="F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1220833</v>
      </c>
      <c r="C11" s="32">
        <f>SUM(C5:C10)</f>
        <v>2328800</v>
      </c>
      <c r="D11" s="32">
        <f>SUM(D5:D10)</f>
        <v>3452300</v>
      </c>
      <c r="E11" s="32">
        <f>SUM(E5:E10)</f>
        <v>4623000</v>
      </c>
      <c r="F11" s="32">
        <f>SUM(F5:F10)</f>
        <v>5891500</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1220833</v>
      </c>
      <c r="C4" s="34">
        <f>'Budget Detail'!C11</f>
        <v>2328800</v>
      </c>
      <c r="D4" s="34">
        <f>'Budget Detail'!D11</f>
        <v>3452300</v>
      </c>
      <c r="E4" s="34">
        <f>'Budget Detail'!E11</f>
        <v>4623000</v>
      </c>
      <c r="F4" s="34">
        <f>'Budget Detail'!F11</f>
        <v>5891500</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-169664</v>
      </c>
      <c r="C11" s="33">
        <f>C4-C8</f>
        <v>522870</v>
      </c>
      <c r="D11" s="33">
        <f>D4-D8</f>
        <v>1392925</v>
      </c>
      <c r="E11" s="33">
        <f>E4-E8</f>
        <v>2316838</v>
      </c>
      <c r="F11" s="33">
        <f>F4-F8</f>
        <v>3309633</v>
      </c>
    </row>
    <row r="12" spans="1:6" x14ac:dyDescent="0.25">
      <c r="A12" s="11" t="s">
        <v>320</v>
      </c>
      <c r="B12" s="30">
        <f>IF(B4=0,0,B11/B4)</f>
        <v>-0.13897361</v>
      </c>
      <c r="C12" s="30">
        <f>IF(C4=0,0,C11/C4)</f>
        <v>0.22452342</v>
      </c>
      <c r="D12" s="30">
        <f>IF(D4=0,0,D11/D4)</f>
        <v>0.40347727</v>
      </c>
      <c r="E12" s="30">
        <f>IF(E4=0,0,E11/E4)</f>
        <v>0.50115459</v>
      </c>
      <c r="F12" s="30">
        <f>IF(F4=0,0,F11/F4)</f>
        <v>0.56176399</v>
      </c>
    </row>
    <row r="13" spans="1:6" x14ac:dyDescent="0.25">
      <c r="A13" s="11" t="s">
        <v>321</v>
      </c>
      <c r="B13" s="31">
        <v>-169664</v>
      </c>
      <c r="C13" s="31">
        <v>353207</v>
      </c>
      <c r="D13" s="31">
        <v>1746131</v>
      </c>
      <c r="E13" s="31">
        <v>4062969</v>
      </c>
      <c r="F13" s="31">
        <v>7372601</v>
      </c>
    </row>
    <row r="14" spans="1:6" x14ac:dyDescent="0.25">
      <c r="A14" s="11" t="s">
        <v>268</v>
      </c>
      <c r="B14" s="31">
        <v>10174</v>
      </c>
      <c r="C14" s="31">
        <v>11644</v>
      </c>
      <c r="D14" s="31">
        <v>11508</v>
      </c>
      <c r="E14" s="31">
        <v>11558</v>
      </c>
      <c r="F14" s="31">
        <v>11783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1220833</v>
      </c>
      <c r="C5" s="32">
        <v>2328800</v>
      </c>
      <c r="D5" s="32">
        <v>3452300</v>
      </c>
      <c r="E5" s="32">
        <v>4623000</v>
      </c>
      <c r="F5" s="32">
        <v>5891500</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-169664</v>
      </c>
      <c r="C15" s="33">
        <f>C5-C12</f>
        <v>522870</v>
      </c>
      <c r="D15" s="33">
        <f>D5-D12</f>
        <v>1392925</v>
      </c>
      <c r="E15" s="33">
        <f>E5-E12</f>
        <v>2316838</v>
      </c>
      <c r="F15" s="33">
        <f>F5-F12</f>
        <v>3309633</v>
      </c>
    </row>
    <row r="16" spans="1:6" x14ac:dyDescent="0.25">
      <c r="A16" s="11" t="s">
        <v>320</v>
      </c>
      <c r="B16" s="30">
        <f>IF(B5=0,0,B15/B5)</f>
        <v>-0.13897361</v>
      </c>
      <c r="C16" s="30">
        <f>IF(C5=0,0,C15/C5)</f>
        <v>0.22452342</v>
      </c>
      <c r="D16" s="30">
        <f>IF(D5=0,0,D15/D5)</f>
        <v>0.40347727</v>
      </c>
      <c r="E16" s="30">
        <f>IF(E5=0,0,E15/E5)</f>
        <v>0.50115459</v>
      </c>
      <c r="F16" s="30">
        <f>IF(F5=0,0,F15/F5)</f>
        <v>0.56176399</v>
      </c>
    </row>
    <row r="17" spans="1:6" x14ac:dyDescent="0.25">
      <c r="A17" s="10" t="s">
        <v>354</v>
      </c>
      <c r="B17" s="34">
        <f>B15</f>
        <v>-169664</v>
      </c>
      <c r="C17" s="34">
        <f>B17+C15</f>
        <v>353207</v>
      </c>
      <c r="D17" s="34">
        <f>C17+D15</f>
        <v>1746131</v>
      </c>
      <c r="E17" s="34">
        <f>D17+E15</f>
        <v>4062969</v>
      </c>
      <c r="F17" s="34">
        <f>E17+F15</f>
        <v>7372601</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597368</v>
      </c>
      <c r="D5" s="48">
        <f>B5+'5-Year Operating Stmt'!C15+'5-Year Operating Stmt'!D15</f>
        <v>1990293</v>
      </c>
      <c r="E5" s="48">
        <f>B5+'5-Year Operating Stmt'!C15+'5-Year Operating Stmt'!D15+'5-Year Operating Stmt'!E15</f>
        <v>4307130</v>
      </c>
      <c r="F5" s="48">
        <f>B5+'5-Year Operating Stmt'!C15+'5-Year Operating Stmt'!D15+'5-Year Operating Stmt'!E15+'5-Year Operating Stmt'!F15</f>
        <v>7616763</v>
      </c>
    </row>
    <row r="6" spans="1:6" x14ac:dyDescent="0.25">
      <c r="A6" s="11" t="s">
        <v>370</v>
      </c>
      <c r="B6" s="31">
        <v>70240</v>
      </c>
      <c r="C6" s="31">
        <v>133986</v>
      </c>
      <c r="D6" s="31">
        <v>198625</v>
      </c>
      <c r="E6" s="31">
        <v>265981</v>
      </c>
      <c r="F6" s="31">
        <v>338963</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144738</v>
      </c>
      <c r="C9" s="32">
        <f>SUM(C5:C8)</f>
        <v>731354</v>
      </c>
      <c r="D9" s="32">
        <f>SUM(D5:D8)</f>
        <v>2188918</v>
      </c>
      <c r="E9" s="32">
        <f>SUM(E5:E8)</f>
        <v>4573111</v>
      </c>
      <c r="F9" s="32">
        <f>SUM(F5:F8)</f>
        <v>7955726</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-178917</v>
      </c>
      <c r="C17" s="33">
        <f>C9-C14</f>
        <v>435669</v>
      </c>
      <c r="D17" s="33">
        <f>D9-D14</f>
        <v>1922929</v>
      </c>
      <c r="E17" s="33">
        <f>E9-E14</f>
        <v>4338649</v>
      </c>
      <c r="F17" s="33">
        <f>F9-F14</f>
        <v>7754735</v>
      </c>
    </row>
    <row r="19" spans="1:6" x14ac:dyDescent="0.25">
      <c r="A19" s="10" t="s">
        <v>380</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1220833</v>
      </c>
      <c r="C5" s="31">
        <v>2328800</v>
      </c>
      <c r="D5" s="31">
        <v>3452300</v>
      </c>
      <c r="E5" s="31">
        <v>4623000</v>
      </c>
      <c r="F5" s="31">
        <v>5891500</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-169664</v>
      </c>
      <c r="C8" s="34">
        <v>522870</v>
      </c>
      <c r="D8" s="34">
        <v>1392925</v>
      </c>
      <c r="E8" s="34">
        <v>2316838</v>
      </c>
      <c r="F8" s="34">
        <v>3309633</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-123035</v>
      </c>
      <c r="C11" s="34">
        <f>C8+C9+C10</f>
        <v>569499</v>
      </c>
      <c r="D11" s="34">
        <f>D8+D9+D10</f>
        <v>1439553</v>
      </c>
      <c r="E11" s="34">
        <f>E8+E9+E10</f>
        <v>2363466</v>
      </c>
      <c r="F11" s="34">
        <f>F8+F9+F10</f>
        <v>3356261</v>
      </c>
    </row>
    <row r="12" spans="1:6" x14ac:dyDescent="0.25">
      <c r="A12" s="10" t="s">
        <v>388</v>
      </c>
      <c r="B12" s="50">
        <f>IF(B10=0,"N/A",B11/B10)</f>
        <v>-2.64</v>
      </c>
      <c r="C12" s="50">
        <f>IF(C10=0,"N/A",C11/C10)</f>
        <v>12.21</v>
      </c>
      <c r="D12" s="50">
        <f>IF(D10=0,"N/A",D11/D10)</f>
        <v>30.87</v>
      </c>
      <c r="E12" s="50">
        <f>IF(E10=0,"N/A",E11/E10)</f>
        <v>50.69</v>
      </c>
      <c r="F12" s="50">
        <f>IF(F10=0,"N/A",F11/F10)</f>
        <v>71.98</v>
      </c>
    </row>
    <row r="14" ht="24" customHeight="1" spans="1:6" x14ac:dyDescent="0.25">
      <c r="A14" s="19" t="s">
        <v>389</v>
      </c>
      <c r="B14" s="19"/>
      <c r="C14" s="19"/>
      <c r="D14" s="19"/>
      <c r="E14" s="19"/>
      <c r="F14" s="19"/>
    </row>
    <row r="15" spans="1:6" x14ac:dyDescent="0.25">
      <c r="A15" s="11" t="s">
        <v>390</v>
      </c>
      <c r="B15" s="31">
        <v>74498</v>
      </c>
      <c r="C15" s="31">
        <v>597368</v>
      </c>
      <c r="D15" s="31">
        <v>1990293</v>
      </c>
      <c r="E15" s="31">
        <v>4307130</v>
      </c>
      <c r="F15" s="31">
        <v>7616763</v>
      </c>
    </row>
    <row r="16" spans="1:6" x14ac:dyDescent="0.25">
      <c r="A16" s="11" t="s">
        <v>391</v>
      </c>
      <c r="B16" s="36">
        <f>IF((B5-B8)=0,0,(B15/(B5-B8))*365)</f>
        <v>20</v>
      </c>
      <c r="C16" s="36">
        <f>IF((C5-C8)=0,0,(C15/(C5-C8))*365)</f>
        <v>121</v>
      </c>
      <c r="D16" s="36">
        <f>IF((D5-D8)=0,0,(D15/(D5-D8))*365)</f>
        <v>353</v>
      </c>
      <c r="E16" s="36">
        <f>IF((E5-E8)=0,0,(E15/(E5-E8))*365)</f>
        <v>682</v>
      </c>
      <c r="F16" s="36">
        <f>IF((F5-F8)=0,0,(F15/(F5-F8))*365)</f>
        <v>1077</v>
      </c>
    </row>
    <row r="17" spans="1:6" x14ac:dyDescent="0.25">
      <c r="A17" s="11" t="s">
        <v>392</v>
      </c>
      <c r="B17" s="35">
        <f>IF((B5-B8)=0,0,B15/((B5-B8)/12))</f>
        <v>0.6</v>
      </c>
      <c r="C17" s="35">
        <f>IF((C5-C8)=0,0,C15/((C5-C8)/12))</f>
        <v>4</v>
      </c>
      <c r="D17" s="35">
        <f>IF((D5-D8)=0,0,D15/((D5-D8)/12))</f>
        <v>11.6</v>
      </c>
      <c r="E17" s="35">
        <f>IF((E5-E8)=0,0,E15/((E5-E8)/12))</f>
        <v>22.4</v>
      </c>
      <c r="F17" s="35">
        <f>IF((F5-F8)=0,0,F15/((F5-F8)/12))</f>
        <v>35.4</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10174</v>
      </c>
      <c r="C21" s="31">
        <v>11644</v>
      </c>
      <c r="D21" s="31">
        <v>11508</v>
      </c>
      <c r="E21" s="31">
        <v>11558</v>
      </c>
      <c r="F21" s="31">
        <v>11783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1">
        <v>139</v>
      </c>
      <c r="C24" s="51">
        <v>131</v>
      </c>
      <c r="D24" s="51">
        <v>127</v>
      </c>
      <c r="E24" s="51">
        <v>127</v>
      </c>
      <c r="F24" s="51">
        <v>125</v>
      </c>
    </row>
    <row r="26" ht="24" customHeight="1" spans="1:6" x14ac:dyDescent="0.25">
      <c r="A26" s="19" t="s">
        <v>397</v>
      </c>
      <c r="B26" s="19"/>
      <c r="C26" s="19"/>
      <c r="D26" s="19"/>
      <c r="E26" s="19"/>
      <c r="F26" s="19"/>
    </row>
    <row r="27" spans="1:6" x14ac:dyDescent="0.25">
      <c r="A27" s="11" t="s">
        <v>398</v>
      </c>
      <c r="B27" s="52" t="s">
        <v>399</v>
      </c>
      <c r="C27" s="53" t="s">
        <v>400</v>
      </c>
      <c r="D27" s="53" t="s">
        <v>400</v>
      </c>
      <c r="E27" s="53" t="s">
        <v>400</v>
      </c>
      <c r="F27" s="53" t="s">
        <v>400</v>
      </c>
    </row>
    <row r="28" spans="1:6" x14ac:dyDescent="0.25">
      <c r="A28" s="11" t="s">
        <v>401</v>
      </c>
      <c r="B28" s="52" t="s">
        <v>399</v>
      </c>
      <c r="C28" s="53" t="s">
        <v>400</v>
      </c>
      <c r="D28" s="53" t="s">
        <v>400</v>
      </c>
      <c r="E28" s="53" t="s">
        <v>400</v>
      </c>
      <c r="F28" s="53" t="s">
        <v>400</v>
      </c>
    </row>
    <row r="29" spans="1:6" x14ac:dyDescent="0.25">
      <c r="A29" s="11" t="s">
        <v>402</v>
      </c>
      <c r="B29" s="53" t="s">
        <v>400</v>
      </c>
      <c r="C29" s="53" t="s">
        <v>400</v>
      </c>
      <c r="D29" s="53" t="s">
        <v>400</v>
      </c>
      <c r="E29" s="53" t="s">
        <v>400</v>
      </c>
      <c r="F29" s="53" t="s">
        <v>400</v>
      </c>
    </row>
    <row r="30" spans="1:6" x14ac:dyDescent="0.25">
      <c r="A30" s="11" t="s">
        <v>403</v>
      </c>
      <c r="B30" s="52" t="s">
        <v>399</v>
      </c>
      <c r="C30" s="52" t="s">
        <v>399</v>
      </c>
      <c r="D30" s="52" t="s">
        <v>399</v>
      </c>
      <c r="E30" s="52" t="s">
        <v>399</v>
      </c>
      <c r="F30" s="52" t="s">
        <v>399</v>
      </c>
    </row>
    <row r="31" spans="1:6" x14ac:dyDescent="0.25">
      <c r="A31" s="11" t="s">
        <v>404</v>
      </c>
      <c r="B31" s="52" t="s">
        <v>399</v>
      </c>
      <c r="C31" s="53" t="s">
        <v>400</v>
      </c>
      <c r="D31" s="53" t="s">
        <v>400</v>
      </c>
      <c r="E31" s="53" t="s">
        <v>400</v>
      </c>
      <c r="F31" s="53" t="s">
        <v>400</v>
      </c>
    </row>
    <row r="32" spans="1:6" x14ac:dyDescent="0.25">
      <c r="A32" s="11" t="s">
        <v>405</v>
      </c>
      <c r="B32" s="52" t="s">
        <v>399</v>
      </c>
      <c r="C32" s="53" t="s">
        <v>400</v>
      </c>
      <c r="D32" s="53" t="s">
        <v>400</v>
      </c>
      <c r="E32" s="53" t="s">
        <v>400</v>
      </c>
      <c r="F32" s="53"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406</v>
      </c>
      <c r="B3" s="54" t="s">
        <v>114</v>
      </c>
      <c r="D3" s="54" t="s">
        <v>407</v>
      </c>
      <c r="E3" s="54"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1220833</v>
      </c>
      <c r="C6" s="31">
        <v>2328800</v>
      </c>
      <c r="D6" s="31">
        <v>3452300</v>
      </c>
      <c r="E6" s="31">
        <v>4623000</v>
      </c>
      <c r="F6" s="31">
        <v>5891500</v>
      </c>
    </row>
    <row r="7" spans="1:6" x14ac:dyDescent="0.25">
      <c r="A7" s="11" t="s">
        <v>317</v>
      </c>
      <c r="B7" s="31">
        <v>1330497</v>
      </c>
      <c r="C7" s="31">
        <v>1785930</v>
      </c>
      <c r="D7" s="31">
        <v>2034375</v>
      </c>
      <c r="E7" s="31">
        <v>2296162</v>
      </c>
      <c r="F7" s="31">
        <v>2571867</v>
      </c>
    </row>
    <row r="8" spans="1:6" x14ac:dyDescent="0.25">
      <c r="A8" s="10" t="s">
        <v>319</v>
      </c>
      <c r="B8" s="33">
        <v>-109664</v>
      </c>
      <c r="C8" s="33">
        <v>542870</v>
      </c>
      <c r="D8" s="33">
        <v>1417925</v>
      </c>
      <c r="E8" s="33">
        <v>2326838</v>
      </c>
      <c r="F8" s="33">
        <v>3319633</v>
      </c>
    </row>
    <row r="9" spans="1:6" x14ac:dyDescent="0.25">
      <c r="A9" s="11" t="s">
        <v>320</v>
      </c>
      <c r="B9" s="30">
        <v>-0.08982684844955091</v>
      </c>
      <c r="C9" s="30">
        <v>0.23311152919293482</v>
      </c>
      <c r="D9" s="30">
        <v>0.41071882263549125</v>
      </c>
      <c r="E9" s="30">
        <v>0.5033176925049766</v>
      </c>
      <c r="F9" s="30">
        <v>0.5634613513873353</v>
      </c>
    </row>
    <row r="10" spans="1:6" x14ac:dyDescent="0.25">
      <c r="A10" s="11" t="s">
        <v>388</v>
      </c>
      <c r="B10" s="55">
        <v>-1.35</v>
      </c>
      <c r="C10" s="55">
        <v>12.64</v>
      </c>
      <c r="D10" s="55">
        <v>31.41</v>
      </c>
      <c r="E10" s="55">
        <v>50.9</v>
      </c>
      <c r="F10" s="55">
        <v>72.19</v>
      </c>
    </row>
    <row r="11" spans="1:6" x14ac:dyDescent="0.25">
      <c r="A11" s="11" t="s">
        <v>396</v>
      </c>
      <c r="B11" s="36">
        <v>139</v>
      </c>
      <c r="C11" s="36">
        <v>131</v>
      </c>
      <c r="D11" s="36">
        <v>127</v>
      </c>
      <c r="E11" s="36">
        <v>127</v>
      </c>
      <c r="F11" s="36">
        <v>125</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1037708</v>
      </c>
      <c r="C16" s="31">
        <v>1979480</v>
      </c>
      <c r="D16" s="31">
        <v>2934455</v>
      </c>
      <c r="E16" s="31">
        <v>3929550</v>
      </c>
      <c r="F16" s="31">
        <v>5007775</v>
      </c>
    </row>
    <row r="17" spans="1:6" x14ac:dyDescent="0.25">
      <c r="A17" s="11" t="s">
        <v>317</v>
      </c>
      <c r="B17" s="31">
        <v>1330497</v>
      </c>
      <c r="C17" s="31">
        <v>1785930</v>
      </c>
      <c r="D17" s="31">
        <v>2034375</v>
      </c>
      <c r="E17" s="31">
        <v>2296162</v>
      </c>
      <c r="F17" s="31">
        <v>2571867</v>
      </c>
    </row>
    <row r="18" spans="1:6" x14ac:dyDescent="0.25">
      <c r="A18" s="10" t="s">
        <v>319</v>
      </c>
      <c r="B18" s="33">
        <v>-292789</v>
      </c>
      <c r="C18" s="33">
        <v>193550</v>
      </c>
      <c r="D18" s="33">
        <v>900080</v>
      </c>
      <c r="E18" s="33">
        <v>1633388</v>
      </c>
      <c r="F18" s="33">
        <v>2435908</v>
      </c>
    </row>
    <row r="19" spans="1:6" x14ac:dyDescent="0.25">
      <c r="A19" s="11" t="s">
        <v>320</v>
      </c>
      <c r="B19" s="30">
        <v>-0.2821492334700599</v>
      </c>
      <c r="C19" s="30">
        <v>0.09777826963874685</v>
      </c>
      <c r="D19" s="30">
        <v>0.30672802662998977</v>
      </c>
      <c r="E19" s="30">
        <v>0.4156678735352665</v>
      </c>
      <c r="F19" s="30">
        <v>0.48642511927921805</v>
      </c>
    </row>
    <row r="20" spans="1:6" x14ac:dyDescent="0.25">
      <c r="A20" s="11" t="s">
        <v>388</v>
      </c>
      <c r="B20" s="55">
        <v>-5.28</v>
      </c>
      <c r="C20" s="55">
        <v>5.15</v>
      </c>
      <c r="D20" s="55">
        <v>20.3</v>
      </c>
      <c r="E20" s="55">
        <v>36.03</v>
      </c>
      <c r="F20" s="55">
        <v>53.24</v>
      </c>
    </row>
    <row r="21" spans="1:6" x14ac:dyDescent="0.25">
      <c r="A21" s="11" t="s">
        <v>396</v>
      </c>
      <c r="B21" s="36">
        <v>158</v>
      </c>
      <c r="C21" s="36">
        <v>143</v>
      </c>
      <c r="D21" s="36">
        <v>137</v>
      </c>
      <c r="E21" s="36">
        <v>135</v>
      </c>
      <c r="F21" s="36">
        <v>133</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1123167</v>
      </c>
      <c r="C26" s="31">
        <v>2142496</v>
      </c>
      <c r="D26" s="31">
        <v>3176116</v>
      </c>
      <c r="E26" s="31">
        <v>4253160</v>
      </c>
      <c r="F26" s="31">
        <v>5420180</v>
      </c>
    </row>
    <row r="27" spans="1:6" x14ac:dyDescent="0.25">
      <c r="A27" s="11" t="s">
        <v>317</v>
      </c>
      <c r="B27" s="31">
        <v>1330497</v>
      </c>
      <c r="C27" s="31">
        <v>1785930</v>
      </c>
      <c r="D27" s="31">
        <v>2034375</v>
      </c>
      <c r="E27" s="31">
        <v>2296162</v>
      </c>
      <c r="F27" s="31">
        <v>2571867</v>
      </c>
    </row>
    <row r="28" spans="1:6" x14ac:dyDescent="0.25">
      <c r="A28" s="10" t="s">
        <v>319</v>
      </c>
      <c r="B28" s="33">
        <v>-207330</v>
      </c>
      <c r="C28" s="33">
        <v>356566</v>
      </c>
      <c r="D28" s="33">
        <v>1141741</v>
      </c>
      <c r="E28" s="33">
        <v>1956998</v>
      </c>
      <c r="F28" s="33">
        <v>2848313</v>
      </c>
    </row>
    <row r="29" spans="1:6" x14ac:dyDescent="0.25">
      <c r="A29" s="11" t="s">
        <v>320</v>
      </c>
      <c r="B29" s="30">
        <v>-0.18459440048864212</v>
      </c>
      <c r="C29" s="30">
        <v>0.16642557520971177</v>
      </c>
      <c r="D29" s="30">
        <v>0.359476981125534</v>
      </c>
      <c r="E29" s="30">
        <v>0.46012792663584406</v>
      </c>
      <c r="F29" s="30">
        <v>0.5255014688992776</v>
      </c>
    </row>
    <row r="30" spans="1:6" x14ac:dyDescent="0.25">
      <c r="A30" s="11" t="s">
        <v>388</v>
      </c>
      <c r="B30" s="55">
        <v>-3.45</v>
      </c>
      <c r="C30" s="55">
        <v>8.65</v>
      </c>
      <c r="D30" s="55">
        <v>25.49</v>
      </c>
      <c r="E30" s="55">
        <v>42.97</v>
      </c>
      <c r="F30" s="55">
        <v>62.09</v>
      </c>
    </row>
    <row r="31" spans="1:6" x14ac:dyDescent="0.25">
      <c r="A31" s="11" t="s">
        <v>396</v>
      </c>
      <c r="B31" s="36">
        <v>161</v>
      </c>
      <c r="C31" s="36">
        <v>148</v>
      </c>
      <c r="D31" s="36">
        <v>144</v>
      </c>
      <c r="E31" s="36">
        <v>142</v>
      </c>
      <c r="F31" s="36">
        <v>140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383</v>
      </c>
      <c r="D13" s="31">
        <v>1220833</v>
      </c>
      <c r="E13" s="31">
        <v>2328800</v>
      </c>
      <c r="F13" s="31">
        <v>3452300</v>
      </c>
      <c r="G13" s="31">
        <v>4623000</v>
      </c>
      <c r="H13" s="31">
        <v>5891500</v>
      </c>
    </row>
    <row r="14" spans="1:8" x14ac:dyDescent="0.25">
      <c r="A14" s="11" t="s">
        <v>317</v>
      </c>
      <c r="D14" s="31">
        <v>1330497</v>
      </c>
      <c r="E14" s="31">
        <v>1785930</v>
      </c>
      <c r="F14" s="31">
        <v>2034375</v>
      </c>
      <c r="G14" s="31">
        <v>2296162</v>
      </c>
      <c r="H14" s="31">
        <v>2571867</v>
      </c>
    </row>
    <row r="15" spans="1:8" x14ac:dyDescent="0.25">
      <c r="A15" s="11" t="s">
        <v>319</v>
      </c>
      <c r="D15" s="31">
        <v>-169664</v>
      </c>
      <c r="E15" s="31">
        <v>522870</v>
      </c>
      <c r="F15" s="31">
        <v>1392925</v>
      </c>
      <c r="G15" s="31">
        <v>2316838</v>
      </c>
      <c r="H15" s="31">
        <v>3309633</v>
      </c>
    </row>
    <row r="16" spans="1:8" x14ac:dyDescent="0.25">
      <c r="A16" s="11" t="s">
        <v>426</v>
      </c>
      <c r="D16" s="31">
        <v>74498</v>
      </c>
      <c r="E16" s="31">
        <v>597368</v>
      </c>
      <c r="F16" s="31">
        <v>1990293</v>
      </c>
      <c r="G16" s="31">
        <v>4307130</v>
      </c>
      <c r="H16" s="31">
        <v>7616763</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429</v>
      </c>
      <c r="D21" s="30">
        <v>-0.138973606128732</v>
      </c>
      <c r="E21" s="30">
        <v>0.22452341514278013</v>
      </c>
      <c r="F21" s="30">
        <v>0.40347727352330515</v>
      </c>
      <c r="G21" s="30">
        <v>0.5011545949492768</v>
      </c>
      <c r="H21" s="30">
        <v>0.561763990783075</v>
      </c>
    </row>
    <row r="22" spans="1:8" x14ac:dyDescent="0.25">
      <c r="A22" s="11" t="s">
        <v>388</v>
      </c>
      <c r="D22" s="55">
        <v>-2.64</v>
      </c>
      <c r="E22" s="55">
        <v>12.21</v>
      </c>
      <c r="F22" s="55">
        <v>30.87</v>
      </c>
      <c r="G22" s="55">
        <v>50.69</v>
      </c>
      <c r="H22" s="55">
        <v>71.98</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432</v>
      </c>
      <c r="C2" s="1"/>
      <c r="D2" s="1"/>
      <c r="E2" s="1"/>
      <c r="F2" s="1"/>
      <c r="G2" s="1"/>
      <c r="H2" s="1"/>
      <c r="I2" s="1"/>
    </row>
    <row r="3" spans="2:9" x14ac:dyDescent="0.25">
      <c r="B3" s="57" t="s">
        <v>433</v>
      </c>
      <c r="C3" s="57"/>
      <c r="D3" s="57"/>
      <c r="E3" s="57"/>
      <c r="F3" s="57"/>
      <c r="G3" s="57"/>
      <c r="H3" s="57"/>
      <c r="I3" s="57"/>
    </row>
    <row r="4" spans="2:6" x14ac:dyDescent="0.25">
      <c r="B4" s="58" t="s">
        <v>434</v>
      </c>
      <c r="D4" s="59" t="s">
        <v>435</v>
      </c>
      <c r="F4" s="60" t="s">
        <v>436</v>
      </c>
    </row>
    <row r="6" ht="24" customHeight="1" spans="2:8" x14ac:dyDescent="0.25">
      <c r="B6" s="19" t="s">
        <v>437</v>
      </c>
      <c r="C6" s="61" t="s">
        <v>438</v>
      </c>
      <c r="D6" s="61" t="s">
        <v>439</v>
      </c>
      <c r="E6" s="61" t="s">
        <v>440</v>
      </c>
      <c r="F6" s="61" t="s">
        <v>441</v>
      </c>
      <c r="G6" s="61" t="s">
        <v>442</v>
      </c>
      <c r="H6" s="61" t="s">
        <v>443</v>
      </c>
    </row>
    <row r="7" spans="2:7" x14ac:dyDescent="0.25">
      <c r="B7" s="11" t="s">
        <v>430</v>
      </c>
      <c r="C7" s="62">
        <v>120</v>
      </c>
      <c r="D7" s="62">
        <v>200</v>
      </c>
      <c r="E7" s="62">
        <v>300</v>
      </c>
      <c r="F7" s="62">
        <v>400</v>
      </c>
      <c r="G7" s="62">
        <v>500</v>
      </c>
    </row>
    <row r="8" spans="2:7" x14ac:dyDescent="0.25">
      <c r="B8" s="11" t="s">
        <v>383</v>
      </c>
      <c r="C8" s="63">
        <v>1220833.3333333333</v>
      </c>
      <c r="D8" s="63">
        <v>2328800</v>
      </c>
      <c r="E8" s="63">
        <v>3452300</v>
      </c>
      <c r="F8" s="63">
        <v>4623000</v>
      </c>
      <c r="G8" s="63">
        <v>5891500</v>
      </c>
    </row>
    <row r="9" spans="2:7" x14ac:dyDescent="0.25">
      <c r="B9" s="11" t="s">
        <v>338</v>
      </c>
      <c r="C9" s="63">
        <v>780535</v>
      </c>
      <c r="D9" s="63">
        <v>964741.26</v>
      </c>
      <c r="E9" s="63">
        <v>993683.4978</v>
      </c>
      <c r="F9" s="63">
        <v>1023494.0027339999</v>
      </c>
      <c r="G9" s="63">
        <v>1054198.82281602</v>
      </c>
    </row>
    <row r="10" spans="2:7" x14ac:dyDescent="0.25">
      <c r="B10" s="11" t="s">
        <v>339</v>
      </c>
      <c r="C10" s="63">
        <v>503333.3333333333</v>
      </c>
      <c r="D10" s="63">
        <v>774560</v>
      </c>
      <c r="E10" s="63">
        <v>994063.3</v>
      </c>
      <c r="F10" s="63">
        <v>1226039.694</v>
      </c>
      <c r="G10" s="63">
        <v>1471040.0146700002</v>
      </c>
    </row>
    <row r="11" spans="2:7" x14ac:dyDescent="0.25">
      <c r="B11" s="11" t="s">
        <v>340</v>
      </c>
      <c r="C11" s="63">
        <v>46628.6108154935</v>
      </c>
      <c r="D11" s="63">
        <v>46628.6108154935</v>
      </c>
      <c r="E11" s="63">
        <v>46628.6108154935</v>
      </c>
      <c r="F11" s="63">
        <v>46628.6108154935</v>
      </c>
      <c r="G11" s="63">
        <v>46628.6108154935</v>
      </c>
    </row>
    <row r="12" spans="2:7" x14ac:dyDescent="0.25">
      <c r="B12" s="10" t="s">
        <v>384</v>
      </c>
      <c r="C12" s="64">
        <v>-169663.61081549362</v>
      </c>
      <c r="D12" s="65">
        <v>522870.12918450637</v>
      </c>
      <c r="E12" s="65">
        <v>1392924.5913845063</v>
      </c>
      <c r="F12" s="65">
        <v>2316837.6924505066</v>
      </c>
      <c r="G12" s="65">
        <v>3309632.5516984863</v>
      </c>
    </row>
    <row r="13" spans="2:7" x14ac:dyDescent="0.25">
      <c r="B13" s="10" t="s">
        <v>390</v>
      </c>
      <c r="C13" s="65">
        <v>74498</v>
      </c>
      <c r="D13" s="65">
        <v>597368.1291845064</v>
      </c>
      <c r="E13" s="65">
        <v>1990292.7205690127</v>
      </c>
      <c r="F13" s="65">
        <v>4307130.413019519</v>
      </c>
      <c r="G13" s="65">
        <v>7616762.964718006</v>
      </c>
    </row>
    <row r="14" spans="2:7" x14ac:dyDescent="0.25">
      <c r="B14" s="10" t="s">
        <v>429</v>
      </c>
      <c r="C14" s="66">
        <v>-0.138973606128732</v>
      </c>
      <c r="D14" s="67">
        <v>0.22452341514278013</v>
      </c>
      <c r="E14" s="67">
        <v>0.40347727352330515</v>
      </c>
      <c r="F14" s="67">
        <v>0.5011545949492768</v>
      </c>
      <c r="G14" s="67">
        <v>0.561763990783075</v>
      </c>
    </row>
    <row r="15" spans="2:8" x14ac:dyDescent="0.25">
      <c r="B15" s="10" t="s">
        <v>268</v>
      </c>
      <c r="C15" s="68">
        <v>10173.611111111111</v>
      </c>
      <c r="D15" s="68">
        <v>11644</v>
      </c>
      <c r="E15" s="68">
        <v>11507.666666666666</v>
      </c>
      <c r="F15" s="68">
        <v>11557.5</v>
      </c>
      <c r="G15" s="68">
        <v>11783</v>
      </c>
      <c r="H15" s="69" t="s">
        <v>444</v>
      </c>
    </row>
    <row r="16" spans="2:7" x14ac:dyDescent="0.25">
      <c r="B16" s="10" t="s">
        <v>322</v>
      </c>
      <c r="C16" s="70">
        <v>11087.474534573556</v>
      </c>
      <c r="D16" s="70">
        <v>8929.649354077466</v>
      </c>
      <c r="E16" s="70">
        <v>6781.251362051645</v>
      </c>
      <c r="F16" s="70">
        <v>5740.405768873734</v>
      </c>
      <c r="G16" s="70">
        <v>5143.734896603028</v>
      </c>
    </row>
    <row r="17" spans="2:7" x14ac:dyDescent="0.25">
      <c r="B17" s="11" t="s">
        <v>445</v>
      </c>
      <c r="C17" s="63">
        <v>650</v>
      </c>
      <c r="D17" s="63">
        <v>669.5</v>
      </c>
      <c r="E17" s="63">
        <v>689.5849999999999</v>
      </c>
      <c r="F17" s="63">
        <v>710.27255</v>
      </c>
      <c r="G17" s="63">
        <v>731.5807265000001</v>
      </c>
    </row>
    <row r="18" spans="2:8" x14ac:dyDescent="0.25">
      <c r="B18" s="11" t="s">
        <v>446</v>
      </c>
      <c r="C18" s="71">
        <v>2683.3333333333335</v>
      </c>
      <c r="D18" s="68">
        <v>1658.3</v>
      </c>
      <c r="E18" s="68">
        <v>1138.6993333333332</v>
      </c>
      <c r="F18" s="68">
        <v>879.645235</v>
      </c>
      <c r="G18" s="68">
        <v>724.8276736400001</v>
      </c>
      <c r="H18" s="69" t="s">
        <v>447</v>
      </c>
    </row>
    <row r="19" spans="2:7" x14ac:dyDescent="0.25">
      <c r="B19" s="10" t="s">
        <v>448</v>
      </c>
      <c r="C19" s="72">
        <v>-1413.863423462447</v>
      </c>
      <c r="D19" s="73">
        <v>2614.350645922532</v>
      </c>
      <c r="E19" s="73">
        <v>4643.081971281687</v>
      </c>
      <c r="F19" s="73">
        <v>5792.094231126266</v>
      </c>
      <c r="G19" s="73">
        <v>6619.265103396972</v>
      </c>
    </row>
    <row r="20" spans="2:8" x14ac:dyDescent="0.25">
      <c r="B20" s="10" t="s">
        <v>449</v>
      </c>
      <c r="C20" s="74">
        <v>0.6393460750853243</v>
      </c>
      <c r="D20" s="67">
        <v>0.4142653984884919</v>
      </c>
      <c r="E20" s="67">
        <v>0.2878323140515019</v>
      </c>
      <c r="F20" s="67">
        <v>0.22139173755872807</v>
      </c>
      <c r="G20" s="67">
        <v>0.1789355550905576</v>
      </c>
      <c r="H20" s="69" t="s">
        <v>450</v>
      </c>
    </row>
    <row r="21" spans="2:8" x14ac:dyDescent="0.25">
      <c r="B21" s="10" t="s">
        <v>451</v>
      </c>
      <c r="C21" s="66">
        <v>0.26375426621160414</v>
      </c>
      <c r="D21" s="67">
        <v>0.1424166952937135</v>
      </c>
      <c r="E21" s="67">
        <v>0.09895136575616255</v>
      </c>
      <c r="F21" s="67">
        <v>0.0761103383084577</v>
      </c>
      <c r="G21" s="67">
        <v>0.061514696905711624</v>
      </c>
      <c r="H21" s="69" t="s">
        <v>452</v>
      </c>
    </row>
    <row r="22" spans="2:8" x14ac:dyDescent="0.25">
      <c r="B22" s="10" t="s">
        <v>453</v>
      </c>
      <c r="C22" s="66">
        <v>-0.051632764505119506</v>
      </c>
      <c r="D22" s="67">
        <v>0.25313412057712126</v>
      </c>
      <c r="E22" s="67">
        <v>0.4242253576456275</v>
      </c>
      <c r="F22" s="67">
        <v>0.5134039159130435</v>
      </c>
      <c r="G22" s="67">
        <v>0.5713759080902961</v>
      </c>
      <c r="H22" s="69" t="s">
        <v>454</v>
      </c>
    </row>
    <row r="23" spans="2:8" x14ac:dyDescent="0.25">
      <c r="B23" s="10" t="s">
        <v>455</v>
      </c>
      <c r="C23" s="75">
        <v>3</v>
      </c>
      <c r="D23" s="75">
        <v>3</v>
      </c>
      <c r="E23" s="75">
        <v>3</v>
      </c>
      <c r="F23" s="75">
        <v>3</v>
      </c>
      <c r="G23" s="75">
        <v>3</v>
      </c>
      <c r="H23" s="69" t="s">
        <v>456</v>
      </c>
    </row>
    <row r="24" spans="2:8" x14ac:dyDescent="0.25">
      <c r="B24" s="10" t="s">
        <v>388</v>
      </c>
      <c r="C24" s="76">
        <v>-1.3518524120185698</v>
      </c>
      <c r="D24" s="77">
        <v>12.642425534241406</v>
      </c>
      <c r="E24" s="77">
        <v>31.408896310360724</v>
      </c>
      <c r="F24" s="77">
        <v>50.90150149781768</v>
      </c>
      <c r="G24" s="77">
        <v>72.19303993065684</v>
      </c>
      <c r="H24" s="69"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69" t="s">
        <v>438</v>
      </c>
    </row>
    <row r="26" spans="2:8" x14ac:dyDescent="0.25">
      <c r="B26" s="10" t="s">
        <v>459</v>
      </c>
      <c r="C26" s="79">
        <v>1</v>
      </c>
      <c r="D26" s="79">
        <v>4</v>
      </c>
      <c r="E26" s="80">
        <v>12</v>
      </c>
      <c r="F26" s="80">
        <v>23</v>
      </c>
      <c r="G26" s="75">
        <v>36</v>
      </c>
      <c r="H26" s="69" t="s">
        <v>460</v>
      </c>
    </row>
    <row r="27" spans="2:8" x14ac:dyDescent="0.25">
      <c r="B27" s="10" t="s">
        <v>391</v>
      </c>
      <c r="C27" s="79">
        <v>20</v>
      </c>
      <c r="D27" s="75">
        <v>122</v>
      </c>
      <c r="E27" s="75">
        <v>357</v>
      </c>
      <c r="F27" s="75">
        <v>685</v>
      </c>
      <c r="G27" s="75">
        <v>1081</v>
      </c>
      <c r="H27" s="69" t="s">
        <v>461</v>
      </c>
    </row>
    <row r="29" ht="24" customHeight="1" spans="2:9" x14ac:dyDescent="0.25">
      <c r="B29" s="19" t="s">
        <v>462</v>
      </c>
      <c r="C29" s="19" t="s">
        <v>463</v>
      </c>
      <c r="D29" s="19" t="s">
        <v>464</v>
      </c>
      <c r="E29" s="19"/>
      <c r="F29" s="19" t="s">
        <v>465</v>
      </c>
      <c r="G29" s="19"/>
      <c r="H29" s="19"/>
      <c r="I29" s="19"/>
    </row>
    <row r="30" ht="45" customHeight="1" spans="2:9" x14ac:dyDescent="0.25">
      <c r="B30" s="45" t="s">
        <v>466</v>
      </c>
      <c r="C30" s="44" t="s">
        <v>467</v>
      </c>
      <c r="D30" s="81" t="s">
        <v>468</v>
      </c>
      <c r="E30" s="81"/>
      <c r="F30" s="82" t="s">
        <v>469</v>
      </c>
      <c r="G30" s="82"/>
      <c r="H30" s="82"/>
      <c r="I30" s="82"/>
    </row>
    <row r="31" ht="45" customHeight="1" spans="2:9" x14ac:dyDescent="0.25">
      <c r="B31" s="45" t="s">
        <v>470</v>
      </c>
      <c r="C31" s="83" t="s">
        <v>471</v>
      </c>
      <c r="D31" s="81" t="s">
        <v>472</v>
      </c>
      <c r="E31" s="81"/>
      <c r="F31" s="82" t="s">
        <v>473</v>
      </c>
      <c r="G31" s="82"/>
      <c r="H31" s="82"/>
      <c r="I31" s="82"/>
    </row>
    <row r="32" ht="45" customHeight="1" spans="2:9" x14ac:dyDescent="0.25">
      <c r="B32" s="45" t="s">
        <v>474</v>
      </c>
      <c r="C32" s="44" t="s">
        <v>467</v>
      </c>
      <c r="D32" s="81" t="s">
        <v>475</v>
      </c>
      <c r="E32" s="81"/>
      <c r="F32" s="82" t="s">
        <v>476</v>
      </c>
      <c r="G32" s="82"/>
      <c r="H32" s="82"/>
      <c r="I32" s="82"/>
    </row>
    <row r="33" ht="45" customHeight="1" spans="2:9" x14ac:dyDescent="0.25">
      <c r="B33" s="45" t="s">
        <v>477</v>
      </c>
      <c r="C33" s="44" t="s">
        <v>467</v>
      </c>
      <c r="D33" s="81" t="s">
        <v>478</v>
      </c>
      <c r="E33" s="81"/>
      <c r="F33" s="82" t="s">
        <v>479</v>
      </c>
      <c r="G33" s="82"/>
      <c r="H33" s="82"/>
      <c r="I33" s="82"/>
    </row>
    <row r="34" ht="45" customHeight="1" spans="2:9" x14ac:dyDescent="0.25">
      <c r="B34" s="45" t="s">
        <v>480</v>
      </c>
      <c r="C34" s="44" t="s">
        <v>467</v>
      </c>
      <c r="D34" s="81" t="s">
        <v>481</v>
      </c>
      <c r="E34" s="81"/>
      <c r="F34" s="82" t="s">
        <v>482</v>
      </c>
      <c r="G34" s="82"/>
      <c r="H34" s="82"/>
      <c r="I34" s="82"/>
    </row>
    <row r="35" ht="45" customHeight="1" spans="2:9" x14ac:dyDescent="0.25">
      <c r="B35" s="45" t="s">
        <v>483</v>
      </c>
      <c r="C35" s="44" t="s">
        <v>467</v>
      </c>
      <c r="D35" s="81" t="s">
        <v>484</v>
      </c>
      <c r="E35" s="81"/>
      <c r="F35" s="82" t="s">
        <v>485</v>
      </c>
      <c r="G35" s="82"/>
      <c r="H35" s="82"/>
      <c r="I35" s="82"/>
    </row>
    <row r="36" ht="45" customHeight="1" spans="2:9" x14ac:dyDescent="0.25">
      <c r="B36" s="45" t="s">
        <v>486</v>
      </c>
      <c r="C36" s="44" t="s">
        <v>467</v>
      </c>
      <c r="D36" s="81" t="s">
        <v>487</v>
      </c>
      <c r="E36" s="81"/>
      <c r="F36" s="82" t="s">
        <v>488</v>
      </c>
      <c r="G36" s="82"/>
      <c r="H36" s="82"/>
      <c r="I36" s="82"/>
    </row>
    <row r="38" spans="2:6" x14ac:dyDescent="0.25">
      <c r="B38" s="45" t="s">
        <v>489</v>
      </c>
      <c r="C38" s="10" t="s">
        <v>490</v>
      </c>
      <c r="D38" s="10"/>
      <c r="E38" s="10"/>
      <c r="F38" s="10"/>
    </row>
    <row r="40" spans="2:9" x14ac:dyDescent="0.25">
      <c r="B40" s="84" t="s">
        <v>491</v>
      </c>
      <c r="C40" s="84"/>
      <c r="D40" s="84"/>
      <c r="E40" s="84"/>
      <c r="F40" s="84"/>
      <c r="G40" s="84"/>
      <c r="H40" s="84"/>
      <c r="I40" s="84"/>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502</v>
      </c>
      <c r="B1" s="21"/>
      <c r="C1" s="21"/>
    </row>
    <row r="2" spans="1:3" x14ac:dyDescent="0.25">
      <c r="A2" s="86" t="s">
        <v>503</v>
      </c>
      <c r="B2" s="86"/>
      <c r="C2" s="86"/>
    </row>
    <row r="4" ht="24" customHeight="1" spans="1:3" x14ac:dyDescent="0.25">
      <c r="A4" s="87" t="s">
        <v>504</v>
      </c>
      <c r="B4" s="87"/>
      <c r="C4" s="87"/>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505</v>
      </c>
      <c r="C1" s="15"/>
      <c r="D1" s="15"/>
      <c r="E1" s="15"/>
      <c r="F1" s="15"/>
      <c r="G1" s="15"/>
      <c r="H1" s="15"/>
    </row>
    <row r="2" ht="60" customHeight="1" spans="2:8" x14ac:dyDescent="0.25">
      <c r="B2" s="88" t="s">
        <v>506</v>
      </c>
      <c r="C2" s="88"/>
      <c r="D2" s="88"/>
      <c r="E2" s="88"/>
      <c r="F2" s="88"/>
      <c r="G2" s="88"/>
      <c r="H2" s="88"/>
    </row>
    <row r="4" ht="30" customHeight="1" spans="2:8" x14ac:dyDescent="0.25">
      <c r="B4" s="89" t="s">
        <v>507</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