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<sst xmlns="http://schemas.openxmlformats.org/spreadsheetml/2006/main" count="809" uniqueCount="455">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</sst>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325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326</v>
      </c>
      <c r="B17" s="41" t="s">
        <v>7</v>
      </c>
      <c r="C17" s="42" t="s">
        <v>327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328</v>
      </c>
      <c r="B4" s="19"/>
      <c r="C4" s="19"/>
      <c r="D4" s="19"/>
      <c r="E4" s="19"/>
      <c r="F4" s="19"/>
    </row>
    <row r="5" spans="1:5" x14ac:dyDescent="0.25">
      <c r="A5" s="43" t="s">
        <v>329</v>
      </c>
      <c r="B5" s="44" t="s">
        <v>161</v>
      </c>
      <c r="C5" s="45" t="s">
        <v>330</v>
      </c>
      <c r="D5" s="43" t="s">
        <v>331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332</v>
      </c>
      <c r="B8" s="19"/>
      <c r="C8" s="19"/>
      <c r="D8" s="19"/>
      <c r="E8" s="19"/>
      <c r="F8" s="19"/>
    </row>
    <row r="9" spans="1:6" x14ac:dyDescent="0.25">
      <c r="A9" s="11" t="s">
        <v>333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334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335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336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337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339</v>
      </c>
      <c r="B4" s="19"/>
      <c r="C4" s="19"/>
      <c r="D4" s="19"/>
      <c r="E4" s="19"/>
      <c r="F4" s="19"/>
    </row>
    <row r="5" spans="1:6" x14ac:dyDescent="0.25">
      <c r="A5" s="11" t="s">
        <v>340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341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342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343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344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345</v>
      </c>
      <c r="B11" s="19"/>
      <c r="C11" s="19"/>
      <c r="D11" s="19"/>
      <c r="E11" s="19"/>
      <c r="F11" s="19"/>
    </row>
    <row r="12" spans="1:6" x14ac:dyDescent="0.25">
      <c r="A12" s="11" t="s">
        <v>346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347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348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349</v>
      </c>
      <c r="B16" s="19"/>
      <c r="C16" s="19"/>
      <c r="D16" s="19"/>
      <c r="E16" s="19"/>
      <c r="F16" s="19"/>
    </row>
    <row r="17" spans="1:6" x14ac:dyDescent="0.25">
      <c r="A17" s="10" t="s">
        <v>350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351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353</v>
      </c>
      <c r="B4" s="19"/>
      <c r="C4" s="19"/>
      <c r="D4" s="19"/>
      <c r="E4" s="19"/>
      <c r="F4" s="19"/>
    </row>
    <row r="5" spans="1:6" x14ac:dyDescent="0.25">
      <c r="A5" s="11" t="s">
        <v>354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355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356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357</v>
      </c>
      <c r="B12" s="19"/>
      <c r="C12" s="19"/>
      <c r="D12" s="19"/>
      <c r="E12" s="19"/>
      <c r="F12" s="19"/>
    </row>
    <row r="13" spans="1:6" x14ac:dyDescent="0.25">
      <c r="A13" s="11" t="s">
        <v>358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359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360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361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362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363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364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365</v>
      </c>
      <c r="B24" s="19"/>
      <c r="C24" s="19"/>
      <c r="D24" s="19"/>
      <c r="E24" s="19"/>
      <c r="F24" s="19"/>
    </row>
    <row r="25" spans="1:6" x14ac:dyDescent="0.25">
      <c r="A25" s="11" t="s">
        <v>366</v>
      </c>
      <c r="B25" s="51" t="s">
        <v>367</v>
      </c>
      <c r="C25" s="52" t="s">
        <v>368</v>
      </c>
      <c r="D25" s="52" t="s">
        <v>368</v>
      </c>
      <c r="E25" s="52" t="s">
        <v>368</v>
      </c>
      <c r="F25" s="52" t="s">
        <v>368</v>
      </c>
    </row>
    <row r="26" spans="1:6" x14ac:dyDescent="0.25">
      <c r="A26" s="11" t="s">
        <v>369</v>
      </c>
      <c r="B26" s="51" t="s">
        <v>367</v>
      </c>
      <c r="C26" s="52" t="s">
        <v>368</v>
      </c>
      <c r="D26" s="52" t="s">
        <v>368</v>
      </c>
      <c r="E26" s="52" t="s">
        <v>368</v>
      </c>
      <c r="F26" s="52" t="s">
        <v>368</v>
      </c>
    </row>
    <row r="27" spans="1:6" x14ac:dyDescent="0.25">
      <c r="A27" s="11" t="s">
        <v>370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371</v>
      </c>
      <c r="B28" s="51" t="s">
        <v>367</v>
      </c>
      <c r="C28" s="52" t="s">
        <v>368</v>
      </c>
      <c r="D28" s="52" t="s">
        <v>368</v>
      </c>
      <c r="E28" s="52" t="s">
        <v>368</v>
      </c>
      <c r="F28" s="52" t="s">
        <v>368</v>
      </c>
    </row>
    <row r="29" spans="1:6" x14ac:dyDescent="0.25">
      <c r="A29" s="11" t="s">
        <v>372</v>
      </c>
      <c r="B29" s="51" t="s">
        <v>367</v>
      </c>
      <c r="C29" s="52" t="s">
        <v>368</v>
      </c>
      <c r="D29" s="52" t="s">
        <v>368</v>
      </c>
      <c r="E29" s="52" t="s">
        <v>368</v>
      </c>
      <c r="F29" s="52" t="s">
        <v>368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373</v>
      </c>
      <c r="B3" s="53" t="s">
        <v>112</v>
      </c>
      <c r="D3" s="53" t="s">
        <v>374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375</v>
      </c>
      <c r="E4" s="31">
        <v>250000</v>
      </c>
    </row>
    <row r="5" spans="1:5" x14ac:dyDescent="0.25">
      <c r="A5" s="11" t="s">
        <v>376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377</v>
      </c>
      <c r="E6" s="31">
        <v>50000</v>
      </c>
    </row>
    <row r="7" spans="4:5" x14ac:dyDescent="0.25">
      <c r="D7" s="11" t="s">
        <v>378</v>
      </c>
      <c r="E7" s="31">
        <v>140000</v>
      </c>
    </row>
    <row r="9" spans="1:5" x14ac:dyDescent="0.25">
      <c r="A9" s="10" t="s">
        <v>379</v>
      </c>
      <c r="B9" s="33">
        <v>500000</v>
      </c>
      <c r="D9" s="10" t="s">
        <v>380</v>
      </c>
      <c r="E9" s="33">
        <v>500000</v>
      </c>
    </row>
    <row r="10" spans="1:2" x14ac:dyDescent="0.25">
      <c r="A10" s="10" t="s">
        <v>381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382</v>
      </c>
      <c r="B1" s="15"/>
      <c r="C1" s="15"/>
      <c r="D1" s="15"/>
      <c r="E1" s="15"/>
      <c r="F1" s="15"/>
    </row>
    <row r="3" ht="24" customHeight="1" spans="1:6" x14ac:dyDescent="0.25">
      <c r="A3" s="19" t="s">
        <v>383</v>
      </c>
      <c r="B3" s="19"/>
      <c r="C3" s="19"/>
      <c r="D3" s="19"/>
      <c r="E3" s="19"/>
      <c r="F3" s="19"/>
    </row>
    <row r="4" spans="1:1" x14ac:dyDescent="0.25">
      <c r="A4" s="17" t="s">
        <v>384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354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356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364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385</v>
      </c>
      <c r="B13" s="19"/>
      <c r="C13" s="19"/>
      <c r="D13" s="19"/>
      <c r="E13" s="19"/>
      <c r="F13" s="19"/>
    </row>
    <row r="14" spans="1:1" x14ac:dyDescent="0.25">
      <c r="A14" s="17" t="s">
        <v>386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354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356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364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387</v>
      </c>
      <c r="B23" s="19"/>
      <c r="C23" s="19"/>
      <c r="D23" s="19"/>
      <c r="E23" s="19"/>
      <c r="F23" s="19"/>
    </row>
    <row r="24" spans="1:1" x14ac:dyDescent="0.25">
      <c r="A24" s="17" t="s">
        <v>388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354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356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364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391</v>
      </c>
      <c r="B9" s="11" t="s">
        <v>46</v>
      </c>
    </row>
    <row r="11" ht="24" customHeight="1" spans="1:8" x14ac:dyDescent="0.25">
      <c r="A11" s="19" t="s">
        <v>392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354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393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394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396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356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397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399</v>
      </c>
      <c r="C2" s="1"/>
      <c r="D2" s="1"/>
      <c r="E2" s="1"/>
      <c r="F2" s="1"/>
      <c r="G2" s="1"/>
      <c r="H2" s="1"/>
    </row>
    <row r="3" spans="2:8" x14ac:dyDescent="0.25">
      <c r="B3" s="56" t="s">
        <v>400</v>
      </c>
      <c r="C3" s="56"/>
      <c r="D3" s="56"/>
      <c r="E3" s="56"/>
      <c r="F3" s="56"/>
      <c r="G3" s="56"/>
      <c r="H3" s="56"/>
    </row>
    <row r="4" spans="2:6" x14ac:dyDescent="0.25">
      <c r="B4" s="57" t="s">
        <v>401</v>
      </c>
      <c r="D4" s="58" t="s">
        <v>402</v>
      </c>
      <c r="F4" s="59" t="s">
        <v>403</v>
      </c>
    </row>
    <row r="6" ht="24" customHeight="1" spans="2:8" x14ac:dyDescent="0.25">
      <c r="B6" s="19" t="s">
        <v>404</v>
      </c>
      <c r="C6" s="60" t="s">
        <v>405</v>
      </c>
      <c r="D6" s="60" t="s">
        <v>406</v>
      </c>
      <c r="E6" s="60" t="s">
        <v>407</v>
      </c>
      <c r="F6" s="60" t="s">
        <v>408</v>
      </c>
      <c r="G6" s="60" t="s">
        <v>409</v>
      </c>
      <c r="H6" s="60" t="s">
        <v>410</v>
      </c>
    </row>
    <row r="7" spans="2:7" x14ac:dyDescent="0.25">
      <c r="B7" s="11" t="s">
        <v>397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354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313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314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315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411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358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396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412</v>
      </c>
    </row>
    <row r="16" spans="2:8" x14ac:dyDescent="0.25">
      <c r="B16" s="10" t="s">
        <v>413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414</v>
      </c>
    </row>
    <row r="17" spans="2:8" x14ac:dyDescent="0.25">
      <c r="B17" s="10" t="s">
        <v>415</v>
      </c>
      <c r="C17" s="65">
        <v>0.27326732673267323</v>
      </c>
      <c r="D17" s="66">
        <v>0.14664839051998585</v>
      </c>
      <c r="E17" s="66">
        <v>0.1014291419299191</v>
      </c>
      <c r="F17" s="66">
        <v>0.07814672524697092</v>
      </c>
      <c r="G17" s="66">
        <v>0.06362198744062038</v>
      </c>
      <c r="H17" s="69" t="s">
        <v>416</v>
      </c>
    </row>
    <row r="18" spans="2:8" x14ac:dyDescent="0.25">
      <c r="B18" s="10" t="s">
        <v>417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418</v>
      </c>
    </row>
    <row r="19" spans="2:8" x14ac:dyDescent="0.25">
      <c r="B19" s="10" t="s">
        <v>419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420</v>
      </c>
    </row>
    <row r="20" spans="2:8" x14ac:dyDescent="0.25">
      <c r="B20" s="10" t="s">
        <v>356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421</v>
      </c>
    </row>
    <row r="21" spans="2:8" x14ac:dyDescent="0.25">
      <c r="B21" s="10" t="s">
        <v>422</v>
      </c>
      <c r="C21" s="73" t="str">
        <f>IF('5-Year Operating Stmt'!B16&gt;=0,"✓ Break-even","")</f>
        <v>0</v>
      </c>
      <c r="D21" s="42" t="str">
        <f>IF(AND('5-Year Operating Stmt'!C16&gt;=0,'5-Year Operating Stmt'!B16&lt;0),"✓ Break-even","")</f>
        <v>✓ Break-even</v>
      </c>
      <c r="E21" s="73" t="str">
        <f>IF(AND('5-Year Operating Stmt'!D16&gt;=0,'5-Year Operating Stmt'!C16&lt;0),"✓ Break-even","")</f>
        <v>0</v>
      </c>
      <c r="F21" s="73" t="str">
        <f>IF(AND('5-Year Operating Stmt'!E16&gt;=0,'5-Year Operating Stmt'!D16&lt;0),"✓ Break-even","")</f>
        <v>0</v>
      </c>
      <c r="G21" s="73" t="str">
        <f>IF(AND('5-Year Operating Stmt'!F16&gt;=0,'5-Year Operating Stmt'!E16&lt;0),"✓ Break-even","")</f>
        <v>0</v>
      </c>
      <c r="H21" s="69" t="s">
        <v>405</v>
      </c>
    </row>
    <row r="22" spans="2:8" x14ac:dyDescent="0.25">
      <c r="B22" s="10" t="s">
        <v>423</v>
      </c>
      <c r="C22" s="74">
        <v>1</v>
      </c>
      <c r="D22" s="74">
        <v>4</v>
      </c>
      <c r="E22" s="74">
        <v>11</v>
      </c>
      <c r="F22" s="75">
        <v>21</v>
      </c>
      <c r="G22" s="70">
        <v>33</v>
      </c>
      <c r="H22" s="69" t="s">
        <v>424</v>
      </c>
    </row>
    <row r="24" ht="24" customHeight="1" spans="2:8" x14ac:dyDescent="0.25">
      <c r="B24" s="19" t="s">
        <v>425</v>
      </c>
      <c r="C24" s="19" t="s">
        <v>426</v>
      </c>
      <c r="D24" s="19" t="s">
        <v>427</v>
      </c>
      <c r="E24" s="19"/>
      <c r="F24" s="19" t="s">
        <v>428</v>
      </c>
      <c r="G24" s="19"/>
      <c r="H24" s="19"/>
    </row>
    <row r="25" ht="45" customHeight="1" spans="2:8" x14ac:dyDescent="0.25">
      <c r="B25" s="43" t="s">
        <v>429</v>
      </c>
      <c r="C25" s="42" t="s">
        <v>430</v>
      </c>
      <c r="D25" s="76" t="s">
        <v>431</v>
      </c>
      <c r="E25" s="76"/>
      <c r="F25" s="77" t="s">
        <v>432</v>
      </c>
      <c r="G25" s="77"/>
      <c r="H25" s="77"/>
    </row>
    <row r="26" ht="45" customHeight="1" spans="2:8" x14ac:dyDescent="0.25">
      <c r="B26" s="43" t="s">
        <v>433</v>
      </c>
      <c r="C26" s="78" t="s">
        <v>434</v>
      </c>
      <c r="D26" s="76" t="s">
        <v>435</v>
      </c>
      <c r="E26" s="76"/>
      <c r="F26" s="77" t="s">
        <v>436</v>
      </c>
      <c r="G26" s="77"/>
      <c r="H26" s="77"/>
    </row>
    <row r="27" ht="45" customHeight="1" spans="2:8" x14ac:dyDescent="0.25">
      <c r="B27" s="43" t="s">
        <v>437</v>
      </c>
      <c r="C27" s="42" t="s">
        <v>430</v>
      </c>
      <c r="D27" s="76" t="s">
        <v>438</v>
      </c>
      <c r="E27" s="76"/>
      <c r="F27" s="77" t="s">
        <v>439</v>
      </c>
      <c r="G27" s="77"/>
      <c r="H27" s="77"/>
    </row>
    <row r="28" ht="45" customHeight="1" spans="2:8" x14ac:dyDescent="0.25">
      <c r="B28" s="43" t="s">
        <v>440</v>
      </c>
      <c r="C28" s="42" t="s">
        <v>430</v>
      </c>
      <c r="D28" s="76" t="s">
        <v>441</v>
      </c>
      <c r="E28" s="76"/>
      <c r="F28" s="77" t="s">
        <v>442</v>
      </c>
      <c r="G28" s="77"/>
      <c r="H28" s="77"/>
    </row>
    <row r="29" ht="45" customHeight="1" spans="2:8" x14ac:dyDescent="0.25">
      <c r="B29" s="43" t="s">
        <v>443</v>
      </c>
      <c r="C29" s="42" t="s">
        <v>430</v>
      </c>
      <c r="D29" s="76" t="s">
        <v>444</v>
      </c>
      <c r="E29" s="76"/>
      <c r="F29" s="77" t="s">
        <v>445</v>
      </c>
      <c r="G29" s="77"/>
      <c r="H29" s="77"/>
    </row>
    <row r="30" ht="45" customHeight="1" spans="2:8" x14ac:dyDescent="0.25">
      <c r="B30" s="43" t="s">
        <v>446</v>
      </c>
      <c r="C30" s="42" t="s">
        <v>430</v>
      </c>
      <c r="D30" s="76" t="s">
        <v>447</v>
      </c>
      <c r="E30" s="76"/>
      <c r="F30" s="77" t="s">
        <v>448</v>
      </c>
      <c r="G30" s="77"/>
      <c r="H30" s="77"/>
    </row>
    <row r="31" ht="45" customHeight="1" spans="2:8" x14ac:dyDescent="0.25">
      <c r="B31" s="43" t="s">
        <v>449</v>
      </c>
      <c r="C31" s="42" t="s">
        <v>430</v>
      </c>
      <c r="D31" s="76" t="s">
        <v>450</v>
      </c>
      <c r="E31" s="76"/>
      <c r="F31" s="77" t="s">
        <v>451</v>
      </c>
      <c r="G31" s="77"/>
      <c r="H31" s="77"/>
    </row>
    <row r="33" spans="2:6" x14ac:dyDescent="0.25">
      <c r="B33" s="43" t="s">
        <v>452</v>
      </c>
      <c r="C33" s="10" t="s">
        <v>453</v>
      </c>
      <c r="D33" s="10"/>
      <c r="E33" s="10"/>
      <c r="F33" s="10"/>
    </row>
    <row r="35" spans="2:8" x14ac:dyDescent="0.25">
      <c r="B35" s="79" t="s">
        <v>454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2026-03-26T22:14:47Z</dcterms:created>
  <dcterms:modified xsi:type="dcterms:W3CDTF">2026-03-26T22:14:47Z</dcterms:modified>
</cp:coreProperties>
</file>