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<sst xmlns="http://schemas.openxmlformats.org/spreadsheetml/2006/main" count="881" uniqueCount="505">
  <si>
    <t>How to Use This Workbook</t>
  </si>
  <si>
    <t>Heritage Academy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</si>
  <si>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</si>
  <si>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</si>
  <si>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</si>
  <si>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</si>
  <si>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</si>
  <si>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</si>
  <si>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</si>
  <si>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</si>
  <si>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</si>
  <si>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</si>
  <si>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</si>
  <si>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</si>
  <si>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</si>
  <si>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</si>
  <si>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</si>
  <si>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</si>
  <si>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</si>
  <si>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</si>
  <si>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</si>
  <si>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</si>
  <si>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</si>
  <si>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</si>
  <si>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</si>
  <si>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</si>
  <si>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</si>
  <si>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</si>
  <si>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</si>
  <si>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</si>
  <si>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</si>
  <si>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</si>
  <si>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</si>
  <si>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</si>
  <si>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</si>
  <si>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</si>
  <si>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</si>
  <si>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</si>
  <si>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AZ</t>
  </si>
  <si>
    <t>Fiscal Year Start</t>
  </si>
  <si>
    <t>Month 7</t>
  </si>
  <si>
    <t>Model Date</t>
  </si>
  <si>
    <t>April 29,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</si>
  <si>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</si>
  <si>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</si>
  <si>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</si>
  <si>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</si>
  <si>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</si>
  <si>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</si>
  <si>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</si>
  <si>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</si>
  <si>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</si>
  <si>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</si>
  <si>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</si>
  <si>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</si>
  <si>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</si>
  <si>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</si>
  <si>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</si>
  <si>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</si>
  <si>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</si>
  <si>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</si>
  <si>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</si>
  <si>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</si>
  <si>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</si>
  <si>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</si>
  <si>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</si>
  <si>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</si>
  <si>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</si>
  <si>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</si>
  <si>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</si>
  <si>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</si>
  <si>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</si>
  <si>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</si>
  <si>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</si>
  <si>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</si>
  <si>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</si>
  <si>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</si>
  <si>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</si>
  <si>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</si>
  <si>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</si>
  <si>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</si>
  <si>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</si>
  <si>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</si>
  <si>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</si>
  <si>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</si>
  <si>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</si>
  <si>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</si>
  <si>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</si>
  <si>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</si>
  <si>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</si>
  <si>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</si>
  <si>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</si>
  <si>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</si>
  <si>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</si>
  <si>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</si>
  <si>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Charter - Assumptions</t>
  </si>
  <si>
    <t>Editable assumption — change this value</t>
  </si>
  <si>
    <t>Calculated — driven by formula</t>
  </si>
  <si>
    <t>SCHOOL PROFILE</t>
  </si>
  <si>
    <t>EIN</t>
  </si>
  <si>
    <t>86-4441234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</si>
  <si>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</si>
  <si>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</si>
  <si>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</si>
  <si>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</si>
  <si>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</si>
  <si>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</si>
  <si>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</si>
  <si>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</si>
  <si>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</si>
  <si>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</si>
  <si>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</si>
  <si>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</si>
  <si>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</si>
  <si>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</si>
  <si>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</si>
  <si>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</si>
  <si>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</si>
  <si>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</si>
  <si>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</si>
  <si>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</si>
  <si>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</si>
  <si>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IDEA Special Ed</t>
  </si>
  <si>
    <t>CSP Startup Grant</t>
  </si>
  <si>
    <t>Philanthropy</t>
  </si>
  <si>
    <t>Annual Fixed</t>
  </si>
  <si>
    <t>Annual Fundraising</t>
  </si>
  <si>
    <t>Before/After Care</t>
  </si>
  <si>
    <t>Other Revenue</t>
  </si>
  <si>
    <t>STAFFING</t>
  </si>
  <si>
    <t>Role</t>
  </si>
  <si>
    <t>Type</t>
  </si>
  <si>
    <t>FTE</t>
  </si>
  <si>
    <t>Rate</t>
  </si>
  <si>
    <t>Benefits %</t>
  </si>
  <si>
    <t>Tax %</t>
  </si>
  <si>
    <t>Head of School</t>
  </si>
  <si>
    <t>School Leadership</t>
  </si>
  <si>
    <t>full_time</t>
  </si>
  <si>
    <t>Assistant Principal</t>
  </si>
  <si>
    <t>Lead Teachers</t>
  </si>
  <si>
    <t>Instructional</t>
  </si>
  <si>
    <t>SPED Teacher</t>
  </si>
  <si>
    <t>Instructional Aides</t>
  </si>
  <si>
    <t>Business Manager</t>
  </si>
  <si>
    <t>Operations</t>
  </si>
  <si>
    <t>Front Office</t>
  </si>
  <si>
    <t>Administrative</t>
  </si>
  <si>
    <t>OPERATING EXPENSES</t>
  </si>
  <si>
    <t>Facility Lease</t>
  </si>
  <si>
    <t>Occupancy / Facility</t>
  </si>
  <si>
    <t>Monthly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</si>
  <si>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</si>
  <si>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</si>
  <si>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</si>
  <si>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</si>
  <si>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</si>
  <si>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</si>
  <si>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</si>
  <si>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</si>
  <si>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</si>
  <si>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</si>
  <si>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</si>
  <si>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</si>
  <si>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Instrument</t>
  </si>
  <si>
    <t>Principal</t>
  </si>
  <si>
    <t>Term (Yrs)</t>
  </si>
  <si>
    <t>Startup Loan</t>
  </si>
  <si>
    <t>Loan</t>
  </si>
  <si>
    <t>FF&amp;E</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</si>
  <si>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</si>
  <si>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</si>
  <si>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</si>
  <si>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</si>
  <si>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</si>
  <si>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</si>
  <si>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</si>
  <si>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</si>
  <si>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</si>
  <si>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</si>
  <si>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</si>
  <si>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</si>
  <si>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</si>
  <si>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</si>
  <si>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</si>
  <si>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</si>
  <si>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</si>
  <si>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</si>
  <si>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</si>
  <si>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</si>
  <si>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</si>
  <si>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</si>
  <si>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</si>
  <si>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</si>
  <si>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</si>
  <si>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</si>
  <si>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</si>
  <si>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</si>
  <si>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</si>
  <si>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</si>
  <si>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</si>
  <si>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</si>
  <si>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</si>
  <si>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</si>
  <si>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</si>
  <si>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</si>
  <si>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</si>
  <si>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</si>
  <si>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</si>
  <si>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</si>
  <si>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School Model</t>
  </si>
  <si>
    <t>charter</t>
  </si>
  <si>
    <t>Financial Label Convention</t>
  </si>
  <si>
    <t>Nonprofit (Change in Net Assets / Net Assets)</t>
  </si>
  <si>
    <t>Funding Mix</t>
  </si>
  <si>
    <t>7</t>
  </si>
  <si>
    <t>Year 1 Operating Months</t>
  </si>
  <si>
    <t>10</t>
  </si>
  <si>
    <t>Proration Factor</t>
  </si>
  <si>
    <t>83.3%</t>
  </si>
  <si>
    <t>600</t>
  </si>
  <si>
    <t>Accredited</t>
  </si>
  <si>
    <t>No</t>
  </si>
  <si>
    <t>Location</t>
  </si>
  <si>
    <t>1200 N Central Ave, Phoenix, AZ 85004</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</si>
  <si>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</si>
  <si>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</si>
  <si>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</si>
  <si>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</si>
  <si>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</si>
  <si>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</si>
  <si>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</si>
  <si>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</si>
  <si>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</si>
  <si>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</si>
  <si>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</si>
  <si>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</si>
  <si>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</si>
  <si>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</si>
  <si>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</si>
  <si>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</si>
  <si>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</si>
  <si>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</si>
  <si>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</si>
  <si>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</si>
  <si>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</si>
  <si>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</si>
  <si>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</si>
  <si>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Devices &amp; Software</t>
  </si>
  <si>
    <t>Total Technology</t>
  </si>
  <si>
    <t xml:space="preserve">  Facility Lease</t>
  </si>
  <si>
    <t xml:space="preserve">  Utilities</t>
  </si>
  <si>
    <t xml:space="preserve">  Property Insurance</t>
  </si>
  <si>
    <t>Total Occupancy / Facility</t>
  </si>
  <si>
    <t xml:space="preserve">  Marketing</t>
  </si>
  <si>
    <t xml:space="preserve">  Professional Development</t>
  </si>
  <si>
    <t xml:space="preserve">  Legal &amp; Audit</t>
  </si>
  <si>
    <t xml:space="preserve">  Food Service</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</si>
  <si>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</si>
  <si>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</si>
  <si>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</si>
  <si>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</si>
  <si>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</si>
  <si>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</si>
  <si>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</si>
  <si>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</si>
  <si>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</si>
  <si>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</si>
  <si>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</si>
  <si>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</si>
  <si>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Lead Teachers [5 FTE]</t>
  </si>
  <si>
    <t xml:space="preserve">  SPED Teacher [1 FTE]</t>
  </si>
  <si>
    <t xml:space="preserve">  Instructional Aides [3 FTE]</t>
  </si>
  <si>
    <t>Total Instructional</t>
  </si>
  <si>
    <t xml:space="preserve">  Head of School [1 FTE]</t>
  </si>
  <si>
    <t xml:space="preserve">  Assistant Principal [1 FTE]</t>
  </si>
  <si>
    <t>Total School Leadership</t>
  </si>
  <si>
    <t xml:space="preserve">  Business Manager [1 FTE]</t>
  </si>
  <si>
    <t>Total Operations</t>
  </si>
  <si>
    <t xml:space="preserve">  Front Office [2 FTE]</t>
  </si>
  <si>
    <t>Total Administrative</t>
  </si>
  <si>
    <t>TOTAL PERSONNEL</t>
  </si>
  <si>
    <t>Heritage Academy Charter - Budget Detail</t>
  </si>
  <si>
    <t>REVENUE</t>
  </si>
  <si>
    <t xml:space="preserve">  State Per-Pupil Funding</t>
  </si>
  <si>
    <t xml:space="preserve">  Federal Title I</t>
  </si>
  <si>
    <t xml:space="preserve">  IDEA Special Ed</t>
  </si>
  <si>
    <t xml:space="preserve">  CSP Startup Grant</t>
  </si>
  <si>
    <t xml:space="preserve">  Annual Fundraising</t>
  </si>
  <si>
    <t xml:space="preserve">  Before/After Care</t>
  </si>
  <si>
    <t>Total Revenue</t>
  </si>
  <si>
    <t>PERSONNEL</t>
  </si>
  <si>
    <t xml:space="preserve">  Head of School</t>
  </si>
  <si>
    <t xml:space="preserve">  Assistant Principal</t>
  </si>
  <si>
    <t xml:space="preserve">  Lead Teachers</t>
  </si>
  <si>
    <t xml:space="preserve">  SPED Teacher</t>
  </si>
  <si>
    <t xml:space="preserve">  Instructional Aides</t>
  </si>
  <si>
    <t xml:space="preserve">  Business Manager</t>
  </si>
  <si>
    <t xml:space="preserve">  Front Office</t>
  </si>
  <si>
    <t xml:space="preserve">    Curriculum</t>
  </si>
  <si>
    <t xml:space="preserve">    Devices &amp; Software</t>
  </si>
  <si>
    <t xml:space="preserve">    Facility Lease</t>
  </si>
  <si>
    <t xml:space="preserve">    Utilities</t>
  </si>
  <si>
    <t xml:space="preserve">    Property Insurance</t>
  </si>
  <si>
    <t xml:space="preserve">  Total Occupancy / Facility</t>
  </si>
  <si>
    <t xml:space="preserve">    Marketing</t>
  </si>
  <si>
    <t xml:space="preserve">    Professional Development</t>
  </si>
  <si>
    <t xml:space="preserve">    Legal &amp; Audit</t>
  </si>
  <si>
    <t xml:space="preserve">    Food Service</t>
  </si>
  <si>
    <t xml:space="preserve">  Total Administrative / General</t>
  </si>
  <si>
    <t>Total Operating Expenses</t>
  </si>
  <si>
    <t>CAPITAL &amp; DEBT SERVICE</t>
  </si>
  <si>
    <t xml:space="preserve">  Startup Loan</t>
  </si>
  <si>
    <t xml:space="preserve">  FF&amp;E</t>
  </si>
  <si>
    <t>Total Capital &amp; Debt</t>
  </si>
  <si>
    <t>Heritage Academy Charter - Budget Summary</t>
  </si>
  <si>
    <t>Total Capital &amp; Debt Service</t>
  </si>
  <si>
    <t>Total Expenses</t>
  </si>
  <si>
    <t>KEY METRICS</t>
  </si>
  <si>
    <t>Change in Net Assets</t>
  </si>
  <si>
    <t>Net Margin %</t>
  </si>
  <si>
    <t>Cumulative Change in Net Assets</t>
  </si>
  <si>
    <t>Cost per Student</t>
  </si>
  <si>
    <t>Heritage Academy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</si>
  <si>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</si>
  <si>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</si>
  <si>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</si>
  <si>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</si>
  <si>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</si>
  <si>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</si>
  <si>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</si>
  <si>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</si>
  <si>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</si>
  <si>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</si>
  <si>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</si>
  <si>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</si>
  <si>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</si>
  <si>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</si>
  <si>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</si>
  <si>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</si>
  <si>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</si>
  <si>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</si>
  <si>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</si>
  <si>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</si>
  <si>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</si>
  <si>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</si>
  <si>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</si>
  <si>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</si>
  <si>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</si>
  <si>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</si>
  <si>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</si>
  <si>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</si>
  <si>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</si>
  <si>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</si>
  <si>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</si>
  <si>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</si>
  <si>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</si>
  <si>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</si>
  <si>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</si>
  <si>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</si>
  <si>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</si>
  <si>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Startup Loan</t>
  </si>
  <si>
    <t>Beginning Balance</t>
  </si>
  <si>
    <t>Interest</t>
  </si>
  <si>
    <t>Principal Payment</t>
  </si>
  <si>
    <t>Total Payment</t>
  </si>
  <si>
    <t>Ending Balance</t>
  </si>
  <si>
    <t>Heritage Academy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</si>
  <si>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</si>
  <si>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</si>
  <si>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</si>
  <si>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</si>
  <si>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</si>
  <si>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</si>
  <si>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</si>
  <si>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</si>
  <si>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</si>
  <si>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</si>
  <si>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</si>
  <si>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</si>
  <si>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</si>
  <si>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</si>
  <si>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</si>
  <si>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</si>
  <si>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</si>
  <si>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</si>
  <si>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</si>
  <si>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</si>
  <si>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</si>
  <si>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</si>
  <si>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</si>
  <si>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</si>
  <si>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</si>
  <si>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</si>
  <si>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</si>
  <si>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</si>
  <si>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</si>
  <si>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</si>
  <si>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</si>
  <si>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</si>
  <si>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</si>
  <si>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</si>
  <si>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</si>
  <si>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</si>
  <si>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</si>
  <si>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</si>
  <si>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</si>
  <si>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</si>
  <si>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Prep</t>
  </si>
  <si>
    <t>CSP Grant</t>
  </si>
  <si>
    <t>Pre-Opening Costs</t>
  </si>
  <si>
    <t>Working Capital Reserve</t>
  </si>
  <si>
    <t>Total Sources</t>
  </si>
  <si>
    <t>Total Uses</t>
  </si>
  <si>
    <t>Sources - Uses (should = 0)</t>
  </si>
  <si>
    <t>Scenario Analysis</t>
  </si>
  <si>
    <t>BASE CASE</t>
  </si>
  <si>
    <t>Enrollment: +0%  |  Revenue: +0%  |  Staffing: +0%  |  Facility: +0%  |  Expenses: +0%</t>
  </si>
  <si>
    <t>LOW ADA</t>
  </si>
  <si>
    <t>Enrollment: -15%  |  Revenue: +0%  |  Staffing: +0%  |  Facility: +0%  |  Expenses: +0%</t>
  </si>
  <si>
    <t>FUNDING CUT</t>
  </si>
  <si>
    <t>Enrollment: +0%  |  Revenue: -8%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</si>
  <si>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</si>
  <si>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</si>
  <si>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</si>
  <si>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</si>
  <si>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</si>
  <si>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</si>
  <si>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</si>
  <si>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</si>
  <si>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</si>
  <si>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</si>
  <si>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Charter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</si>
  <si>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</si>
  <si>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</si>
  <si>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</si>
  <si>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</si>
  <si>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</si>
  <si>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</si>
  <si>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</si>
  <si>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</si>
  <si>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</si>
  <si>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</si>
  <si>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</si>
  <si>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</si>
  <si>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</si>
  <si>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</si>
  <si>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</si>
  <si>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</si>
  <si>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</si>
  <si>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</si>
  <si>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</si>
  <si>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</si>
  <si>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</si>
  <si>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</si>
  <si>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</si>
  <si>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</si>
  <si>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</si>
  <si>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</si>
  <si>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</si>
  <si>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</si>
  <si>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</si>
  <si>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</si>
  <si>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</si>
  <si>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</si>
  <si>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</si>
  <si>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</si>
  <si>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</si>
  <si>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</si>
  <si>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</si>
  <si>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</si>
  <si>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</si>
  <si>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</si>
  <si>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</si>
  <si>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</si>
  <si>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19%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</si>
  <si>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</si>
  <si>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</si>
  <si>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</si>
  <si>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</si>
  <si>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</si>
  <si>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68.01x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</si>
  <si>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</si>
  <si>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</si>
  <si>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</si>
  <si>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</si>
  <si>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</si>
  <si>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33.4 months of reserves by Year 5 — a strong buffer for unexpected costs.</t>
  </si>
  <si>
    <t>Continue growing reserves toward 6 months for best-in-class financial health.</t>
  </si>
  <si>
    <t>Summary</t>
  </si>
  <si>
    <t>6 Healthy  |  0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</si>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</sst>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5"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0" fontId="6"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0" fillId="0" borderId="1" xfId="0" applyBorder="1" applyAlignment="1">
      <alignment horizontal="center"/>
    </xf>
    <xf numFmtId="0" fontId="18"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7"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7"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8" borderId="1"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7"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7"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3" fillId="0" borderId="1" xfId="0" applyFont="1" applyBorder="1" applyAlignment="1">
      <alignment horizontal="center"/>
    </xf>
    <xf numFmtId="0" fontId="24" fillId="0" borderId="0" xfId="0" applyFont="1" applyAlignment="1">
      <alignment horizontal="center"/>
    </xf>
    <xf numFmtId="0" fontId="6" fillId="0" borderId="0" xfId="0" applyFont="1" applyAlignment="1">
      <alignment vertical="top" wrapText="1"/>
    </xf>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600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400</v>
      </c>
      <c r="F17" s="22">
        <v>500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8500</v>
      </c>
      <c r="E21" s="24">
        <v>0</v>
      </c>
      <c r="F21" s="11" t="s">
        <v>120</v>
      </c>
    </row>
    <row r="22" spans="1:6" x14ac:dyDescent="0.25">
      <c r="A22" s="11" t="s">
        <v>121</v>
      </c>
      <c r="B22" s="11" t="s">
        <v>118</v>
      </c>
      <c r="C22" s="11" t="s">
        <v>119</v>
      </c>
      <c r="D22" s="23">
        <v>750</v>
      </c>
      <c r="E22" s="24">
        <v>0</v>
      </c>
      <c r="F22" s="11" t="s">
        <v>120</v>
      </c>
    </row>
    <row r="23" spans="1:6" x14ac:dyDescent="0.25">
      <c r="A23" s="11" t="s">
        <v>122</v>
      </c>
      <c r="B23" s="11" t="s">
        <v>118</v>
      </c>
      <c r="C23" s="11" t="s">
        <v>119</v>
      </c>
      <c r="D23" s="23">
        <v>1100</v>
      </c>
      <c r="E23" s="24">
        <v>0</v>
      </c>
      <c r="F23" s="11" t="s">
        <v>120</v>
      </c>
    </row>
    <row r="24" spans="1:6" x14ac:dyDescent="0.25">
      <c r="A24" s="11" t="s">
        <v>123</v>
      </c>
      <c r="B24" s="11" t="s">
        <v>124</v>
      </c>
      <c r="C24" s="11" t="s">
        <v>125</v>
      </c>
      <c r="D24" s="23">
        <v>150000</v>
      </c>
      <c r="E24" s="24">
        <v>0</v>
      </c>
      <c r="F24" s="11" t="s">
        <v>120</v>
      </c>
    </row>
    <row r="25" spans="1:6" x14ac:dyDescent="0.25">
      <c r="A25" s="11" t="s">
        <v>126</v>
      </c>
      <c r="B25" s="11" t="s">
        <v>124</v>
      </c>
      <c r="C25" s="11" t="s">
        <v>125</v>
      </c>
      <c r="D25" s="23">
        <v>25000</v>
      </c>
      <c r="E25" s="24">
        <v>0</v>
      </c>
      <c r="F25" s="11" t="s">
        <v>120</v>
      </c>
    </row>
    <row r="26" spans="1:6" x14ac:dyDescent="0.25">
      <c r="A26" s="11" t="s">
        <v>127</v>
      </c>
      <c r="B26" s="11" t="s">
        <v>128</v>
      </c>
      <c r="C26" s="11" t="s">
        <v>119</v>
      </c>
      <c r="D26" s="23">
        <v>400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105000</v>
      </c>
      <c r="F30" s="24">
        <v>0.26</v>
      </c>
      <c r="G30" s="24">
        <v>0.0765</v>
      </c>
    </row>
    <row r="31" spans="1:7" x14ac:dyDescent="0.25">
      <c r="A31" s="11" t="s">
        <v>139</v>
      </c>
      <c r="B31" s="11" t="s">
        <v>137</v>
      </c>
      <c r="C31" s="11" t="s">
        <v>138</v>
      </c>
      <c r="D31" s="25">
        <v>1</v>
      </c>
      <c r="E31" s="23">
        <v>82000</v>
      </c>
      <c r="F31" s="24">
        <v>0.26</v>
      </c>
      <c r="G31" s="24">
        <v>0.0765</v>
      </c>
    </row>
    <row r="32" spans="1:7" x14ac:dyDescent="0.25">
      <c r="A32" s="11" t="s">
        <v>140</v>
      </c>
      <c r="B32" s="11" t="s">
        <v>141</v>
      </c>
      <c r="C32" s="11" t="s">
        <v>138</v>
      </c>
      <c r="D32" s="25">
        <v>5</v>
      </c>
      <c r="E32" s="23">
        <v>50000</v>
      </c>
      <c r="F32" s="24">
        <v>0.26</v>
      </c>
      <c r="G32" s="24">
        <v>0.0765</v>
      </c>
    </row>
    <row r="33" spans="1:7" x14ac:dyDescent="0.25">
      <c r="A33" s="11" t="s">
        <v>142</v>
      </c>
      <c r="B33" s="11" t="s">
        <v>141</v>
      </c>
      <c r="C33" s="11" t="s">
        <v>138</v>
      </c>
      <c r="D33" s="25">
        <v>1</v>
      </c>
      <c r="E33" s="23">
        <v>53000</v>
      </c>
      <c r="F33" s="24">
        <v>0.26</v>
      </c>
      <c r="G33" s="24">
        <v>0.0765</v>
      </c>
    </row>
    <row r="34" spans="1:7" x14ac:dyDescent="0.25">
      <c r="A34" s="11" t="s">
        <v>143</v>
      </c>
      <c r="B34" s="11" t="s">
        <v>141</v>
      </c>
      <c r="C34" s="11" t="s">
        <v>138</v>
      </c>
      <c r="D34" s="25">
        <v>3</v>
      </c>
      <c r="E34" s="23">
        <v>28000</v>
      </c>
      <c r="F34" s="24">
        <v>0.18</v>
      </c>
      <c r="G34" s="24">
        <v>0.0765</v>
      </c>
    </row>
    <row r="35" spans="1:7" x14ac:dyDescent="0.25">
      <c r="A35" s="11" t="s">
        <v>144</v>
      </c>
      <c r="B35" s="11" t="s">
        <v>145</v>
      </c>
      <c r="C35" s="11" t="s">
        <v>138</v>
      </c>
      <c r="D35" s="25">
        <v>1</v>
      </c>
      <c r="E35" s="23">
        <v>62000</v>
      </c>
      <c r="F35" s="24">
        <v>0.26</v>
      </c>
      <c r="G35" s="24">
        <v>0.0765</v>
      </c>
    </row>
    <row r="36" spans="1:7" x14ac:dyDescent="0.25">
      <c r="A36" s="11" t="s">
        <v>146</v>
      </c>
      <c r="B36" s="11" t="s">
        <v>147</v>
      </c>
      <c r="C36" s="11" t="s">
        <v>138</v>
      </c>
      <c r="D36" s="25">
        <v>2</v>
      </c>
      <c r="E36" s="23">
        <v>36000</v>
      </c>
      <c r="F36" s="24">
        <v>0.22</v>
      </c>
      <c r="G36" s="24">
        <v>0.0765</v>
      </c>
    </row>
    <row r="38" ht="24" customHeight="1" spans="1:7" x14ac:dyDescent="0.25">
      <c r="A38" s="19" t="s">
        <v>148</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149</v>
      </c>
      <c r="B40" s="11" t="s">
        <v>150</v>
      </c>
      <c r="C40" s="11" t="s">
        <v>151</v>
      </c>
      <c r="D40" s="23">
        <v>22000</v>
      </c>
      <c r="E40" s="24">
        <v>0.03</v>
      </c>
    </row>
    <row r="41" spans="1:5" x14ac:dyDescent="0.25">
      <c r="A41" s="11" t="s">
        <v>152</v>
      </c>
      <c r="B41" s="11" t="s">
        <v>150</v>
      </c>
      <c r="C41" s="11" t="s">
        <v>151</v>
      </c>
      <c r="D41" s="23">
        <v>3000</v>
      </c>
      <c r="E41" s="24">
        <v>0</v>
      </c>
    </row>
    <row r="42" spans="1:5" x14ac:dyDescent="0.25">
      <c r="A42" s="11" t="s">
        <v>153</v>
      </c>
      <c r="B42" s="11" t="s">
        <v>150</v>
      </c>
      <c r="C42" s="11" t="s">
        <v>125</v>
      </c>
      <c r="D42" s="23">
        <v>22000</v>
      </c>
      <c r="E42" s="24">
        <v>0</v>
      </c>
    </row>
    <row r="43" spans="1:5" x14ac:dyDescent="0.25">
      <c r="A43" s="11" t="s">
        <v>154</v>
      </c>
      <c r="B43" s="11" t="s">
        <v>155</v>
      </c>
      <c r="C43" s="11" t="s">
        <v>119</v>
      </c>
      <c r="D43" s="23">
        <v>650</v>
      </c>
      <c r="E43" s="24">
        <v>0</v>
      </c>
    </row>
    <row r="44" spans="1:5" x14ac:dyDescent="0.25">
      <c r="A44" s="11" t="s">
        <v>156</v>
      </c>
      <c r="B44" s="11" t="s">
        <v>157</v>
      </c>
      <c r="C44" s="11" t="s">
        <v>119</v>
      </c>
      <c r="D44" s="23">
        <v>450</v>
      </c>
      <c r="E44" s="24">
        <v>0</v>
      </c>
    </row>
    <row r="45" spans="1:5" x14ac:dyDescent="0.25">
      <c r="A45" s="11" t="s">
        <v>158</v>
      </c>
      <c r="B45" s="11" t="s">
        <v>159</v>
      </c>
      <c r="C45" s="11" t="s">
        <v>125</v>
      </c>
      <c r="D45" s="23">
        <v>30000</v>
      </c>
      <c r="E45" s="24">
        <v>0</v>
      </c>
    </row>
    <row r="46" spans="1:5" x14ac:dyDescent="0.25">
      <c r="A46" s="11" t="s">
        <v>160</v>
      </c>
      <c r="B46" s="11" t="s">
        <v>159</v>
      </c>
      <c r="C46" s="11" t="s">
        <v>125</v>
      </c>
      <c r="D46" s="23">
        <v>12000</v>
      </c>
      <c r="E46" s="24">
        <v>0</v>
      </c>
    </row>
    <row r="47" spans="1:5" x14ac:dyDescent="0.25">
      <c r="A47" s="11" t="s">
        <v>161</v>
      </c>
      <c r="B47" s="11" t="s">
        <v>159</v>
      </c>
      <c r="C47" s="11" t="s">
        <v>125</v>
      </c>
      <c r="D47" s="23">
        <v>18000</v>
      </c>
      <c r="E47" s="24">
        <v>0</v>
      </c>
    </row>
    <row r="48" spans="1:5" x14ac:dyDescent="0.25">
      <c r="A48" s="11" t="s">
        <v>162</v>
      </c>
      <c r="B48" s="11" t="s">
        <v>159</v>
      </c>
      <c r="C48" s="11" t="s">
        <v>119</v>
      </c>
      <c r="D48" s="23">
        <v>750</v>
      </c>
      <c r="E48" s="24">
        <v>0</v>
      </c>
    </row>
    <row r="50" ht="24" customHeight="1" spans="1:7" x14ac:dyDescent="0.25">
      <c r="A50" s="19" t="s">
        <v>163</v>
      </c>
      <c r="B50" s="19"/>
      <c r="C50" s="19"/>
      <c r="D50" s="19"/>
      <c r="E50" s="19"/>
      <c r="F50" s="19"/>
      <c r="G50" s="19"/>
    </row>
    <row r="51" ht="28" customHeight="1" spans="1:5" x14ac:dyDescent="0.25">
      <c r="A51" s="21" t="s">
        <v>164</v>
      </c>
      <c r="B51" s="21" t="s">
        <v>131</v>
      </c>
      <c r="C51" s="21" t="s">
        <v>165</v>
      </c>
      <c r="D51" s="21" t="s">
        <v>133</v>
      </c>
      <c r="E51" s="21" t="s">
        <v>166</v>
      </c>
    </row>
    <row r="52" spans="1:5" x14ac:dyDescent="0.25">
      <c r="A52" s="11" t="s">
        <v>167</v>
      </c>
      <c r="B52" s="11" t="s">
        <v>168</v>
      </c>
      <c r="C52" s="23">
        <v>350000</v>
      </c>
      <c r="D52" s="24">
        <v>0.06</v>
      </c>
      <c r="E52" s="22">
        <v>10</v>
      </c>
    </row>
    <row r="53" spans="1:5" x14ac:dyDescent="0.25">
      <c r="A53" s="11" t="s">
        <v>169</v>
      </c>
      <c r="B53" s="11" t="s">
        <v>170</v>
      </c>
      <c r="C53" s="23">
        <v>60000</v>
      </c>
      <c r="D53" s="24">
        <v>0</v>
      </c>
      <c r="E53" s="22">
        <v>0</v>
      </c>
    </row>
    <row r="55" ht="24" customHeight="1" spans="1:7" x14ac:dyDescent="0.25">
      <c r="A55" s="19" t="s">
        <v>171</v>
      </c>
      <c r="B55" s="19"/>
      <c r="C55" s="19"/>
      <c r="D55" s="19"/>
      <c r="E55" s="19"/>
      <c r="F55" s="19"/>
      <c r="G55" s="19"/>
    </row>
    <row r="56" spans="1:3" x14ac:dyDescent="0.25">
      <c r="A56" s="11" t="s">
        <v>172</v>
      </c>
      <c r="B56" s="24">
        <v>0.03</v>
      </c>
      <c r="C56" s="26" t="s">
        <v>173</v>
      </c>
    </row>
    <row r="57" spans="1:3" x14ac:dyDescent="0.25">
      <c r="A57" s="11" t="s">
        <v>174</v>
      </c>
      <c r="B57" s="24">
        <v>0.03</v>
      </c>
      <c r="C57" s="26" t="s">
        <v>175</v>
      </c>
    </row>
    <row r="58" spans="1:2" x14ac:dyDescent="0.25">
      <c r="A58" s="11" t="s">
        <v>176</v>
      </c>
      <c r="B58" s="25">
        <v>0.8333333333333334</v>
      </c>
    </row>
    <row r="59" spans="1:2" x14ac:dyDescent="0.25">
      <c r="A59" s="11" t="s">
        <v>177</v>
      </c>
      <c r="B59" s="23">
        <v>0</v>
      </c>
    </row>
    <row r="60" spans="1:2" x14ac:dyDescent="0.25">
      <c r="A60" s="11" t="s">
        <v>178</v>
      </c>
      <c r="B60" s="20" t="s">
        <v>179</v>
      </c>
    </row>
    <row r="61" spans="1:2" x14ac:dyDescent="0.25">
      <c r="A61" s="11" t="s">
        <v>180</v>
      </c>
      <c r="B61" s="24">
        <v>0</v>
      </c>
    </row>
    <row r="62" spans="1:2" x14ac:dyDescent="0.25">
      <c r="A62" s="11" t="s">
        <v>181</v>
      </c>
      <c r="B62" s="24">
        <v>0.03</v>
      </c>
    </row>
    <row r="63" spans="1:2" x14ac:dyDescent="0.25">
      <c r="A63" s="11" t="s">
        <v>182</v>
      </c>
      <c r="B63" s="24">
        <v>0.03</v>
      </c>
    </row>
    <row r="64" spans="1:2" x14ac:dyDescent="0.25">
      <c r="A64" s="11" t="s">
        <v>183</v>
      </c>
      <c r="B64" s="24">
        <v>0.25</v>
      </c>
    </row>
    <row r="65" spans="1:2" x14ac:dyDescent="0.25">
      <c r="A65" s="11" t="s">
        <v>184</v>
      </c>
      <c r="B65" s="24">
        <v>0.08</v>
      </c>
    </row>
    <row r="66" spans="1:2" x14ac:dyDescent="0.25">
      <c r="A66" s="11" t="s">
        <v>185</v>
      </c>
      <c r="B66" s="24">
        <v>0.85</v>
      </c>
    </row>
    <row r="68" ht="24" customHeight="1" spans="1:7" x14ac:dyDescent="0.25">
      <c r="A68" s="19" t="s">
        <v>186</v>
      </c>
      <c r="B68" s="19"/>
      <c r="C68" s="19"/>
      <c r="D68" s="19"/>
      <c r="E68" s="19"/>
      <c r="F68" s="19"/>
      <c r="G68" s="19"/>
    </row>
    <row r="69" spans="1:2" x14ac:dyDescent="0.25">
      <c r="A69" s="11" t="s">
        <v>187</v>
      </c>
      <c r="B69" s="20" t="s">
        <v>188</v>
      </c>
    </row>
    <row r="70" spans="1:2" x14ac:dyDescent="0.25">
      <c r="A70" s="11" t="s">
        <v>189</v>
      </c>
      <c r="B70" s="20" t="s">
        <v>190</v>
      </c>
    </row>
    <row r="71" spans="1:2" x14ac:dyDescent="0.25">
      <c r="A71" s="11" t="s">
        <v>191</v>
      </c>
      <c r="B71" s="24">
        <v>1</v>
      </c>
    </row>
    <row r="72" spans="1:2" x14ac:dyDescent="0.25">
      <c r="A72" s="11" t="s">
        <v>192</v>
      </c>
      <c r="B72" s="20" t="s">
        <v>193</v>
      </c>
    </row>
    <row r="74" ht="24" customHeight="1" spans="1:7" x14ac:dyDescent="0.25">
      <c r="A74" s="19" t="s">
        <v>194</v>
      </c>
      <c r="B74" s="19"/>
      <c r="C74" s="19"/>
      <c r="D74" s="19"/>
      <c r="E74" s="19"/>
      <c r="F74" s="19"/>
      <c r="G74" s="19"/>
    </row>
    <row r="75" spans="1:2" x14ac:dyDescent="0.25">
      <c r="A75" s="11" t="s">
        <v>195</v>
      </c>
      <c r="B75" s="20" t="s">
        <v>196</v>
      </c>
    </row>
    <row r="76" spans="1:2" x14ac:dyDescent="0.25">
      <c r="A76" s="11" t="s">
        <v>197</v>
      </c>
      <c r="B76" s="20" t="s">
        <v>151</v>
      </c>
    </row>
    <row r="77" spans="1:2" x14ac:dyDescent="0.25">
      <c r="A77" s="11" t="s">
        <v>198</v>
      </c>
      <c r="B77" s="22">
        <v>0</v>
      </c>
    </row>
    <row r="78" spans="1:2" x14ac:dyDescent="0.25">
      <c r="A78" s="11" t="s">
        <v>199</v>
      </c>
      <c r="B78" s="22">
        <v>0</v>
      </c>
    </row>
    <row r="79" spans="1:2" x14ac:dyDescent="0.25">
      <c r="A79" s="11" t="s">
        <v>200</v>
      </c>
      <c r="B79" s="27">
        <v>0.95</v>
      </c>
    </row>
    <row r="81" ht="28" customHeight="1" spans="1:4" x14ac:dyDescent="0.25">
      <c r="A81" s="21" t="s">
        <v>201</v>
      </c>
      <c r="B81" s="21" t="s">
        <v>202</v>
      </c>
      <c r="C81" s="21" t="s">
        <v>203</v>
      </c>
      <c r="D81" s="21" t="s">
        <v>204</v>
      </c>
    </row>
    <row r="82" spans="1:4" x14ac:dyDescent="0.25">
      <c r="A82" s="11" t="s">
        <v>205</v>
      </c>
      <c r="B82" s="23">
        <v>8200</v>
      </c>
      <c r="C82" s="23">
        <v>9100</v>
      </c>
      <c r="D82" s="23">
        <v>10500</v>
      </c>
    </row>
    <row r="84" ht="28" customHeight="1" spans="1:6" x14ac:dyDescent="0.25">
      <c r="A84" s="21" t="s">
        <v>206</v>
      </c>
      <c r="B84" s="21" t="s">
        <v>104</v>
      </c>
      <c r="C84" s="21" t="s">
        <v>105</v>
      </c>
      <c r="D84" s="21" t="s">
        <v>106</v>
      </c>
      <c r="E84" s="21" t="s">
        <v>107</v>
      </c>
      <c r="F84" s="21" t="s">
        <v>108</v>
      </c>
    </row>
    <row r="85" spans="1:6" x14ac:dyDescent="0.25">
      <c r="A85" s="11" t="s">
        <v>207</v>
      </c>
      <c r="B85" s="22">
        <v>80</v>
      </c>
      <c r="C85" s="22">
        <v>130</v>
      </c>
      <c r="D85" s="22">
        <v>180</v>
      </c>
      <c r="E85" s="22">
        <v>230</v>
      </c>
      <c r="F85" s="22">
        <v>260</v>
      </c>
    </row>
    <row r="86" spans="1:6" x14ac:dyDescent="0.25">
      <c r="A86" s="11" t="s">
        <v>208</v>
      </c>
      <c r="B86" s="22">
        <v>40</v>
      </c>
      <c r="C86" s="22">
        <v>70</v>
      </c>
      <c r="D86" s="22">
        <v>100</v>
      </c>
      <c r="E86" s="22">
        <v>120</v>
      </c>
      <c r="F86" s="22">
        <v>140</v>
      </c>
    </row>
    <row r="87" spans="1:6" x14ac:dyDescent="0.25">
      <c r="A87" s="11" t="s">
        <v>209</v>
      </c>
      <c r="B87" s="22">
        <v>0</v>
      </c>
      <c r="C87" s="22">
        <v>0</v>
      </c>
      <c r="D87" s="22">
        <v>20</v>
      </c>
      <c r="E87" s="22">
        <v>50</v>
      </c>
      <c r="F87" s="22">
        <v>100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210</v>
      </c>
      <c r="B3" s="11" t="s">
        <v>211</v>
      </c>
    </row>
    <row r="4" spans="1:2" x14ac:dyDescent="0.25">
      <c r="A4" s="10" t="s">
        <v>33</v>
      </c>
      <c r="B4" s="11" t="s">
        <v>34</v>
      </c>
    </row>
    <row r="5" spans="1:2" x14ac:dyDescent="0.25">
      <c r="A5" s="10" t="s">
        <v>35</v>
      </c>
      <c r="B5" s="11" t="s">
        <v>36</v>
      </c>
    </row>
    <row r="6" spans="1:2" x14ac:dyDescent="0.25">
      <c r="A6" s="10" t="s">
        <v>212</v>
      </c>
      <c r="B6" s="11" t="s">
        <v>213</v>
      </c>
    </row>
    <row r="7" spans="1:2" x14ac:dyDescent="0.25">
      <c r="A7" s="10" t="s">
        <v>43</v>
      </c>
      <c r="B7" s="11" t="s">
        <v>44</v>
      </c>
    </row>
    <row r="8" spans="1:2" x14ac:dyDescent="0.25">
      <c r="A8" s="10" t="s">
        <v>214</v>
      </c>
      <c r="B8" s="11" t="s">
        <v>46</v>
      </c>
    </row>
    <row r="9" spans="1:2" x14ac:dyDescent="0.25">
      <c r="A9" s="10" t="s">
        <v>101</v>
      </c>
      <c r="B9" s="11" t="s">
        <v>215</v>
      </c>
    </row>
    <row r="10" spans="1:2" x14ac:dyDescent="0.25">
      <c r="A10" s="10" t="s">
        <v>216</v>
      </c>
      <c r="B10" s="11" t="s">
        <v>217</v>
      </c>
    </row>
    <row r="11" spans="1:2" x14ac:dyDescent="0.25">
      <c r="A11" s="10" t="s">
        <v>218</v>
      </c>
      <c r="B11" s="11" t="s">
        <v>219</v>
      </c>
    </row>
    <row r="12" spans="1:2" x14ac:dyDescent="0.25">
      <c r="A12" s="10" t="s">
        <v>178</v>
      </c>
      <c r="B12" s="11" t="s">
        <v>179</v>
      </c>
    </row>
    <row r="13" spans="1:2" x14ac:dyDescent="0.25">
      <c r="A13" s="10" t="s">
        <v>102</v>
      </c>
      <c r="B13" s="11" t="s">
        <v>220</v>
      </c>
    </row>
    <row r="14" spans="1:2" x14ac:dyDescent="0.25">
      <c r="A14" s="10" t="s">
        <v>221</v>
      </c>
      <c r="B14" s="11" t="s">
        <v>222</v>
      </c>
    </row>
    <row r="15" spans="1:2" x14ac:dyDescent="0.25">
      <c r="A15" s="10" t="s">
        <v>223</v>
      </c>
      <c r="B15" s="11" t="s">
        <v>224</v>
      </c>
    </row>
    <row r="16" spans="1:2" x14ac:dyDescent="0.25">
      <c r="A16" s="10" t="s">
        <v>225</v>
      </c>
      <c r="B16" s="11" t="s">
        <v>226</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227</v>
      </c>
      <c r="B5" s="19"/>
      <c r="C5" s="19"/>
      <c r="D5" s="19"/>
      <c r="E5" s="19"/>
      <c r="F5" s="19"/>
    </row>
    <row r="6" spans="1:6" x14ac:dyDescent="0.25">
      <c r="A6" s="10" t="s">
        <v>109</v>
      </c>
      <c r="B6" s="28">
        <v>120</v>
      </c>
      <c r="C6" s="28">
        <v>200</v>
      </c>
      <c r="D6" s="28">
        <v>300</v>
      </c>
      <c r="E6" s="28">
        <v>400</v>
      </c>
      <c r="F6" s="28">
        <v>500</v>
      </c>
    </row>
    <row r="7" spans="1:2" x14ac:dyDescent="0.25">
      <c r="A7" s="11" t="s">
        <v>102</v>
      </c>
      <c r="B7" s="22">
        <v>600</v>
      </c>
    </row>
    <row r="8" spans="1:6" x14ac:dyDescent="0.25">
      <c r="A8" s="11" t="s">
        <v>228</v>
      </c>
      <c r="B8" s="29">
        <f>B6/$B$7</f>
        <v>0.2</v>
      </c>
      <c r="C8" s="29">
        <f>C6/$B$7</f>
        <v>0.33333333</v>
      </c>
      <c r="D8" s="29">
        <f>D6/$B$7</f>
        <v>0.5</v>
      </c>
      <c r="E8" s="29">
        <f>E6/$B$7</f>
        <v>0.66666667</v>
      </c>
      <c r="F8" s="29">
        <f>F6/$B$7</f>
        <v>0.83333333</v>
      </c>
    </row>
    <row r="10" spans="1:6" x14ac:dyDescent="0.25">
      <c r="A10" s="11" t="s">
        <v>180</v>
      </c>
      <c r="B10" s="11" t="s">
        <v>229</v>
      </c>
      <c r="C10" s="30">
        <f>IF(B6=0,0,(C6-B6)/B6)</f>
        <v>0.66666667</v>
      </c>
      <c r="D10" s="30">
        <f>IF(C6=0,0,(D6-C6)/C6)</f>
        <v>0.5</v>
      </c>
      <c r="E10" s="30">
        <f>IF(D6=0,0,(E6-D6)/D6)</f>
        <v>0.33333333</v>
      </c>
      <c r="F10" s="30">
        <f>IF(E6=0,0,(F6-E6)/E6)</f>
        <v>0.25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7" width="16" customWidth="1"/>
  </cols>
  <sheetData>
    <row r="1" spans="1:6" x14ac:dyDescent="0.25">
      <c r="A1" s="15" t="s">
        <v>230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231</v>
      </c>
      <c r="B4" s="19"/>
      <c r="C4" s="19"/>
      <c r="D4" s="19"/>
      <c r="E4" s="19"/>
      <c r="F4" s="19"/>
    </row>
    <row r="5" spans="1:6" x14ac:dyDescent="0.25">
      <c r="A5" s="11" t="s">
        <v>117</v>
      </c>
      <c r="B5" s="31">
        <v>969000</v>
      </c>
      <c r="C5" s="31">
        <v>1617850</v>
      </c>
      <c r="D5" s="31">
        <v>2466200</v>
      </c>
      <c r="E5" s="31">
        <v>3327850</v>
      </c>
      <c r="F5" s="31">
        <v>4233200</v>
      </c>
    </row>
    <row r="6" spans="1:6" x14ac:dyDescent="0.25">
      <c r="A6" s="11" t="s">
        <v>121</v>
      </c>
      <c r="B6" s="31">
        <v>90000</v>
      </c>
      <c r="C6" s="31">
        <v>154500</v>
      </c>
      <c r="D6" s="31">
        <v>238703</v>
      </c>
      <c r="E6" s="31">
        <v>327818</v>
      </c>
      <c r="F6" s="31">
        <v>422066</v>
      </c>
    </row>
    <row r="7" spans="1:6" x14ac:dyDescent="0.25">
      <c r="A7" s="11" t="s">
        <v>122</v>
      </c>
      <c r="B7" s="31">
        <v>132000</v>
      </c>
      <c r="C7" s="31">
        <v>226600</v>
      </c>
      <c r="D7" s="31">
        <v>350097</v>
      </c>
      <c r="E7" s="31">
        <v>480800</v>
      </c>
      <c r="F7" s="31">
        <v>619030</v>
      </c>
    </row>
    <row r="8" spans="1:6" x14ac:dyDescent="0.25">
      <c r="A8" s="10" t="s">
        <v>232</v>
      </c>
      <c r="B8" s="32">
        <f>SUM(B5,B6,B7)</f>
        <v>1191000</v>
      </c>
      <c r="C8" s="32">
        <f>SUM(C5,C6,C7)</f>
        <v>1998950</v>
      </c>
      <c r="D8" s="32">
        <f>SUM(D5,D6,D7)</f>
        <v>3055000</v>
      </c>
      <c r="E8" s="32">
        <f>SUM(E5,E6,E7)</f>
        <v>4136468</v>
      </c>
      <c r="F8" s="32">
        <f>SUM(F5,F6,F7)</f>
        <v>5274296</v>
      </c>
    </row>
    <row r="9" ht="24" customHeight="1" spans="1:6" x14ac:dyDescent="0.25">
      <c r="A9" s="19" t="s">
        <v>233</v>
      </c>
      <c r="B9" s="19"/>
      <c r="C9" s="19"/>
      <c r="D9" s="19"/>
      <c r="E9" s="19"/>
      <c r="F9" s="19"/>
    </row>
    <row r="10" spans="1:6" x14ac:dyDescent="0.25">
      <c r="A10" s="11" t="s">
        <v>123</v>
      </c>
      <c r="B10" s="23">
        <v>150000</v>
      </c>
      <c r="C10" s="31">
        <v>154500</v>
      </c>
      <c r="D10" s="31">
        <v>159135</v>
      </c>
      <c r="E10" s="31">
        <v>163909</v>
      </c>
      <c r="F10" s="31">
        <v>168826</v>
      </c>
    </row>
    <row r="11" spans="1:6" x14ac:dyDescent="0.25">
      <c r="A11" s="11" t="s">
        <v>126</v>
      </c>
      <c r="B11" s="23">
        <v>25000</v>
      </c>
      <c r="C11" s="31">
        <v>25750</v>
      </c>
      <c r="D11" s="31">
        <v>26523</v>
      </c>
      <c r="E11" s="31">
        <v>27318</v>
      </c>
      <c r="F11" s="31">
        <v>28138</v>
      </c>
    </row>
    <row r="12" spans="1:6" x14ac:dyDescent="0.25">
      <c r="A12" s="10" t="s">
        <v>234</v>
      </c>
      <c r="B12" s="32">
        <f>SUM(B10,B11)</f>
        <v>175000</v>
      </c>
      <c r="C12" s="32">
        <f>SUM(C10,C11)</f>
        <v>180250</v>
      </c>
      <c r="D12" s="32">
        <f>SUM(D10,D11)</f>
        <v>185658</v>
      </c>
      <c r="E12" s="32">
        <f>SUM(E10,E11)</f>
        <v>191227</v>
      </c>
      <c r="F12" s="32">
        <f>SUM(F10,F11)</f>
        <v>196964</v>
      </c>
    </row>
    <row r="13" ht="24" customHeight="1" spans="1:6" x14ac:dyDescent="0.25">
      <c r="A13" s="19" t="s">
        <v>235</v>
      </c>
      <c r="B13" s="19"/>
      <c r="C13" s="19"/>
      <c r="D13" s="19"/>
      <c r="E13" s="19"/>
      <c r="F13" s="19"/>
    </row>
    <row r="14" spans="1:6" x14ac:dyDescent="0.25">
      <c r="A14" s="11" t="s">
        <v>127</v>
      </c>
      <c r="B14" s="31">
        <v>48000</v>
      </c>
      <c r="C14" s="31">
        <v>82400</v>
      </c>
      <c r="D14" s="31">
        <v>127308</v>
      </c>
      <c r="E14" s="31">
        <v>174836</v>
      </c>
      <c r="F14" s="31">
        <v>225102</v>
      </c>
    </row>
    <row r="15" spans="1:6" x14ac:dyDescent="0.25">
      <c r="A15" s="10" t="s">
        <v>236</v>
      </c>
      <c r="B15" s="32">
        <f>SUM(B14)</f>
        <v>48000</v>
      </c>
      <c r="C15" s="32">
        <f>SUM(C14)</f>
        <v>82400</v>
      </c>
      <c r="D15" s="32">
        <f>SUM(D14)</f>
        <v>127308</v>
      </c>
      <c r="E15" s="32">
        <f>SUM(E14)</f>
        <v>174836</v>
      </c>
      <c r="F15" s="32">
        <f>SUM(F14)</f>
        <v>225102</v>
      </c>
    </row>
    <row r="17" ht="24" customHeight="1" spans="1:6" x14ac:dyDescent="0.25">
      <c r="A17" s="19" t="s">
        <v>237</v>
      </c>
      <c r="B17" s="33">
        <f>SUM(B8,B12,B15)</f>
        <v>1414000</v>
      </c>
      <c r="C17" s="33">
        <f>SUM(C8,C12,C15)</f>
        <v>2261600</v>
      </c>
      <c r="D17" s="33">
        <f>SUM(D8,D12,D15)</f>
        <v>3367965</v>
      </c>
      <c r="E17" s="33">
        <f>SUM(E8,E12,E15)</f>
        <v>4502532</v>
      </c>
      <c r="F17" s="33">
        <f>SUM(F8,F12,F15)</f>
        <v>5696361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238</v>
      </c>
      <c r="E3" s="21" t="s">
        <v>134</v>
      </c>
      <c r="F3" s="21" t="s">
        <v>135</v>
      </c>
      <c r="G3" s="21" t="s">
        <v>239</v>
      </c>
      <c r="H3" s="21" t="s">
        <v>240</v>
      </c>
    </row>
    <row r="4" spans="1:8" x14ac:dyDescent="0.25">
      <c r="A4" s="11" t="s">
        <v>136</v>
      </c>
      <c r="B4" s="11" t="s">
        <v>137</v>
      </c>
      <c r="C4" s="25">
        <v>1</v>
      </c>
      <c r="D4" s="23">
        <v>105000</v>
      </c>
      <c r="E4" s="24">
        <v>0.26</v>
      </c>
      <c r="F4" s="24">
        <v>0.0765</v>
      </c>
      <c r="G4" s="34">
        <v>140333</v>
      </c>
      <c r="H4" s="11" t="s">
        <v>120</v>
      </c>
    </row>
    <row r="5" spans="1:8" x14ac:dyDescent="0.25">
      <c r="A5" s="11" t="s">
        <v>139</v>
      </c>
      <c r="B5" s="11" t="s">
        <v>137</v>
      </c>
      <c r="C5" s="25">
        <v>1</v>
      </c>
      <c r="D5" s="23">
        <v>82000</v>
      </c>
      <c r="E5" s="24">
        <v>0.26</v>
      </c>
      <c r="F5" s="24">
        <v>0.0765</v>
      </c>
      <c r="G5" s="34">
        <v>109593</v>
      </c>
      <c r="H5" s="11" t="s">
        <v>120</v>
      </c>
    </row>
    <row r="6" spans="1:8" x14ac:dyDescent="0.25">
      <c r="A6" s="11" t="s">
        <v>140</v>
      </c>
      <c r="B6" s="11" t="s">
        <v>141</v>
      </c>
      <c r="C6" s="25">
        <v>5</v>
      </c>
      <c r="D6" s="23">
        <v>50000</v>
      </c>
      <c r="E6" s="24">
        <v>0.26</v>
      </c>
      <c r="F6" s="24">
        <v>0.0765</v>
      </c>
      <c r="G6" s="34">
        <v>334125</v>
      </c>
      <c r="H6" s="11" t="s">
        <v>120</v>
      </c>
    </row>
    <row r="7" spans="1:8" x14ac:dyDescent="0.25">
      <c r="A7" s="11" t="s">
        <v>142</v>
      </c>
      <c r="B7" s="11" t="s">
        <v>141</v>
      </c>
      <c r="C7" s="25">
        <v>1</v>
      </c>
      <c r="D7" s="23">
        <v>53000</v>
      </c>
      <c r="E7" s="24">
        <v>0.26</v>
      </c>
      <c r="F7" s="24">
        <v>0.0765</v>
      </c>
      <c r="G7" s="34">
        <v>70835</v>
      </c>
      <c r="H7" s="11" t="s">
        <v>120</v>
      </c>
    </row>
    <row r="8" spans="1:8" x14ac:dyDescent="0.25">
      <c r="A8" s="11" t="s">
        <v>143</v>
      </c>
      <c r="B8" s="11" t="s">
        <v>141</v>
      </c>
      <c r="C8" s="25">
        <v>3</v>
      </c>
      <c r="D8" s="23">
        <v>28000</v>
      </c>
      <c r="E8" s="24">
        <v>0.18</v>
      </c>
      <c r="F8" s="24">
        <v>0.0765</v>
      </c>
      <c r="G8" s="34">
        <v>105546</v>
      </c>
      <c r="H8" s="11" t="s">
        <v>120</v>
      </c>
    </row>
    <row r="9" spans="1:8" x14ac:dyDescent="0.25">
      <c r="A9" s="11" t="s">
        <v>144</v>
      </c>
      <c r="B9" s="11" t="s">
        <v>145</v>
      </c>
      <c r="C9" s="25">
        <v>1</v>
      </c>
      <c r="D9" s="23">
        <v>62000</v>
      </c>
      <c r="E9" s="24">
        <v>0.26</v>
      </c>
      <c r="F9" s="24">
        <v>0.0765</v>
      </c>
      <c r="G9" s="34">
        <v>82863</v>
      </c>
      <c r="H9" s="11" t="s">
        <v>120</v>
      </c>
    </row>
    <row r="10" spans="1:8" x14ac:dyDescent="0.25">
      <c r="A10" s="11" t="s">
        <v>146</v>
      </c>
      <c r="B10" s="11" t="s">
        <v>147</v>
      </c>
      <c r="C10" s="25">
        <v>2</v>
      </c>
      <c r="D10" s="23">
        <v>36000</v>
      </c>
      <c r="E10" s="24">
        <v>0.22</v>
      </c>
      <c r="F10" s="24">
        <v>0.0765</v>
      </c>
      <c r="G10" s="34">
        <v>93348</v>
      </c>
      <c r="H10" s="11" t="s">
        <v>120</v>
      </c>
    </row>
    <row r="12" ht="24" customHeight="1" spans="1:7" x14ac:dyDescent="0.25">
      <c r="A12" s="19" t="s">
        <v>241</v>
      </c>
      <c r="B12" s="19"/>
      <c r="C12" s="19"/>
      <c r="D12" s="19"/>
      <c r="E12" s="19"/>
      <c r="F12" s="19"/>
      <c r="G12" s="19"/>
    </row>
    <row r="13" ht="28" customHeight="1" spans="1:6" x14ac:dyDescent="0.25">
      <c r="A13" s="21" t="s">
        <v>7</v>
      </c>
      <c r="B13" s="21" t="s">
        <v>104</v>
      </c>
      <c r="C13" s="21" t="s">
        <v>105</v>
      </c>
      <c r="D13" s="21" t="s">
        <v>106</v>
      </c>
      <c r="E13" s="21" t="s">
        <v>107</v>
      </c>
      <c r="F13" s="21" t="s">
        <v>108</v>
      </c>
    </row>
    <row r="14" spans="1:6" x14ac:dyDescent="0.25">
      <c r="A14" s="10" t="s">
        <v>242</v>
      </c>
      <c r="B14" s="33">
        <v>780535</v>
      </c>
      <c r="C14" s="33">
        <v>964741</v>
      </c>
      <c r="D14" s="33">
        <v>993683</v>
      </c>
      <c r="E14" s="33">
        <v>1023494</v>
      </c>
      <c r="F14" s="33">
        <v>1054199</v>
      </c>
    </row>
    <row r="15" spans="1:6" x14ac:dyDescent="0.25">
      <c r="A15" s="11" t="s">
        <v>243</v>
      </c>
      <c r="B15" s="30">
        <v>0.5520049504950495</v>
      </c>
      <c r="C15" s="30">
        <v>0.4265746639547223</v>
      </c>
      <c r="D15" s="30">
        <v>0.29503973402336425</v>
      </c>
      <c r="E15" s="30">
        <v>0.22731523300861284</v>
      </c>
      <c r="F15" s="30">
        <v>0.18506529677129674</v>
      </c>
    </row>
    <row r="16" spans="1:6" x14ac:dyDescent="0.25">
      <c r="A16" s="11" t="s">
        <v>244</v>
      </c>
      <c r="B16" s="35">
        <v>8.6</v>
      </c>
      <c r="C16" s="35">
        <v>14.3</v>
      </c>
      <c r="D16" s="35">
        <v>21.4</v>
      </c>
      <c r="E16" s="35">
        <v>28.6</v>
      </c>
      <c r="F16" s="35">
        <v>35.7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7"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155</v>
      </c>
      <c r="B4" s="19"/>
      <c r="C4" s="19"/>
      <c r="D4" s="19"/>
      <c r="E4" s="19"/>
      <c r="F4" s="19"/>
    </row>
    <row r="5" spans="1:6" x14ac:dyDescent="0.25">
      <c r="A5" s="11" t="s">
        <v>246</v>
      </c>
      <c r="B5" s="31">
        <v>78000</v>
      </c>
      <c r="C5" s="31">
        <v>133900</v>
      </c>
      <c r="D5" s="31">
        <v>206875</v>
      </c>
      <c r="E5" s="31">
        <v>284109</v>
      </c>
      <c r="F5" s="31">
        <v>365790</v>
      </c>
    </row>
    <row r="6" spans="1:6" x14ac:dyDescent="0.25">
      <c r="A6" s="10" t="s">
        <v>247</v>
      </c>
      <c r="B6" s="32">
        <f>SUM(B5:B5)</f>
        <v>78000</v>
      </c>
      <c r="C6" s="32">
        <f>SUM(C5:C5)</f>
        <v>133900</v>
      </c>
      <c r="D6" s="32">
        <f>SUM(D5:D5)</f>
        <v>206875</v>
      </c>
      <c r="E6" s="32">
        <f>SUM(E5:E5)</f>
        <v>284109</v>
      </c>
      <c r="F6" s="32">
        <f>SUM(F5:F5)</f>
        <v>365790</v>
      </c>
    </row>
    <row r="7" ht="24" customHeight="1" spans="1:6" x14ac:dyDescent="0.25">
      <c r="A7" s="19" t="s">
        <v>157</v>
      </c>
      <c r="B7" s="19"/>
      <c r="C7" s="19"/>
      <c r="D7" s="19"/>
      <c r="E7" s="19"/>
      <c r="F7" s="19"/>
    </row>
    <row r="8" spans="1:6" x14ac:dyDescent="0.25">
      <c r="A8" s="11" t="s">
        <v>248</v>
      </c>
      <c r="B8" s="31">
        <v>54000</v>
      </c>
      <c r="C8" s="31">
        <v>92700</v>
      </c>
      <c r="D8" s="31">
        <v>143222</v>
      </c>
      <c r="E8" s="31">
        <v>196691</v>
      </c>
      <c r="F8" s="31">
        <v>253239</v>
      </c>
    </row>
    <row r="9" spans="1:6" x14ac:dyDescent="0.25">
      <c r="A9" s="10" t="s">
        <v>249</v>
      </c>
      <c r="B9" s="32">
        <f>SUM(B8:B8)</f>
        <v>54000</v>
      </c>
      <c r="C9" s="32">
        <f>SUM(C8:C8)</f>
        <v>92700</v>
      </c>
      <c r="D9" s="32">
        <f>SUM(D8:D8)</f>
        <v>143222</v>
      </c>
      <c r="E9" s="32">
        <f>SUM(E8:E8)</f>
        <v>196691</v>
      </c>
      <c r="F9" s="32">
        <f>SUM(F8:F8)</f>
        <v>253239</v>
      </c>
    </row>
    <row r="10" ht="24" customHeight="1" spans="1:6" x14ac:dyDescent="0.25">
      <c r="A10" s="19" t="s">
        <v>150</v>
      </c>
      <c r="B10" s="19"/>
      <c r="C10" s="19"/>
      <c r="D10" s="19"/>
      <c r="E10" s="19"/>
      <c r="F10" s="19"/>
    </row>
    <row r="11" spans="1:6" x14ac:dyDescent="0.25">
      <c r="A11" s="11" t="s">
        <v>250</v>
      </c>
      <c r="B11" s="31">
        <v>264000</v>
      </c>
      <c r="C11" s="31">
        <v>271920</v>
      </c>
      <c r="D11" s="31">
        <v>280078</v>
      </c>
      <c r="E11" s="31">
        <v>288480</v>
      </c>
      <c r="F11" s="31">
        <v>297134</v>
      </c>
    </row>
    <row r="12" spans="1:6" x14ac:dyDescent="0.25">
      <c r="A12" s="11" t="s">
        <v>251</v>
      </c>
      <c r="B12" s="31">
        <v>36000</v>
      </c>
      <c r="C12" s="31">
        <v>37080</v>
      </c>
      <c r="D12" s="31">
        <v>38192</v>
      </c>
      <c r="E12" s="31">
        <v>39338</v>
      </c>
      <c r="F12" s="31">
        <v>40518</v>
      </c>
    </row>
    <row r="13" spans="1:6" x14ac:dyDescent="0.25">
      <c r="A13" s="11" t="s">
        <v>252</v>
      </c>
      <c r="B13" s="31">
        <v>22000</v>
      </c>
      <c r="C13" s="31">
        <v>22660</v>
      </c>
      <c r="D13" s="31">
        <v>23340</v>
      </c>
      <c r="E13" s="31">
        <v>24040</v>
      </c>
      <c r="F13" s="31">
        <v>24761</v>
      </c>
    </row>
    <row r="14" spans="1:6" x14ac:dyDescent="0.25">
      <c r="A14" s="10" t="s">
        <v>253</v>
      </c>
      <c r="B14" s="32">
        <f>SUM(B11:B13)</f>
        <v>322000</v>
      </c>
      <c r="C14" s="32">
        <f>SUM(C11:C13)</f>
        <v>331660</v>
      </c>
      <c r="D14" s="32">
        <f>SUM(D11:D13)</f>
        <v>341610</v>
      </c>
      <c r="E14" s="32">
        <f>SUM(E11:E13)</f>
        <v>351858</v>
      </c>
      <c r="F14" s="32">
        <f>SUM(F11:F13)</f>
        <v>362414</v>
      </c>
    </row>
    <row r="15" ht="24" customHeight="1" spans="1:6" x14ac:dyDescent="0.25">
      <c r="A15" s="19" t="s">
        <v>159</v>
      </c>
      <c r="B15" s="19"/>
      <c r="C15" s="19"/>
      <c r="D15" s="19"/>
      <c r="E15" s="19"/>
      <c r="F15" s="19"/>
    </row>
    <row r="16" spans="1:6" x14ac:dyDescent="0.25">
      <c r="A16" s="11" t="s">
        <v>254</v>
      </c>
      <c r="B16" s="31">
        <v>30000</v>
      </c>
      <c r="C16" s="31">
        <v>30900</v>
      </c>
      <c r="D16" s="31">
        <v>31827</v>
      </c>
      <c r="E16" s="31">
        <v>32782</v>
      </c>
      <c r="F16" s="31">
        <v>33765</v>
      </c>
    </row>
    <row r="17" spans="1:6" x14ac:dyDescent="0.25">
      <c r="A17" s="11" t="s">
        <v>255</v>
      </c>
      <c r="B17" s="31">
        <v>12000</v>
      </c>
      <c r="C17" s="31">
        <v>12360</v>
      </c>
      <c r="D17" s="31">
        <v>12731</v>
      </c>
      <c r="E17" s="31">
        <v>13113</v>
      </c>
      <c r="F17" s="31">
        <v>13506</v>
      </c>
    </row>
    <row r="18" spans="1:6" x14ac:dyDescent="0.25">
      <c r="A18" s="11" t="s">
        <v>256</v>
      </c>
      <c r="B18" s="31">
        <v>18000</v>
      </c>
      <c r="C18" s="31">
        <v>18540</v>
      </c>
      <c r="D18" s="31">
        <v>19096</v>
      </c>
      <c r="E18" s="31">
        <v>19669</v>
      </c>
      <c r="F18" s="31">
        <v>20259</v>
      </c>
    </row>
    <row r="19" spans="1:6" x14ac:dyDescent="0.25">
      <c r="A19" s="11" t="s">
        <v>257</v>
      </c>
      <c r="B19" s="31">
        <v>90000</v>
      </c>
      <c r="C19" s="31">
        <v>154500</v>
      </c>
      <c r="D19" s="31">
        <v>238703</v>
      </c>
      <c r="E19" s="31">
        <v>327818</v>
      </c>
      <c r="F19" s="31">
        <v>422066</v>
      </c>
    </row>
    <row r="20" spans="1:6" x14ac:dyDescent="0.25">
      <c r="A20" s="10" t="s">
        <v>258</v>
      </c>
      <c r="B20" s="32">
        <f>SUM(B16:B19)</f>
        <v>150000</v>
      </c>
      <c r="C20" s="32">
        <f>SUM(C16:C19)</f>
        <v>216300</v>
      </c>
      <c r="D20" s="32">
        <f>SUM(D16:D19)</f>
        <v>302357</v>
      </c>
      <c r="E20" s="32">
        <f>SUM(E16:E19)</f>
        <v>393382</v>
      </c>
      <c r="F20" s="32">
        <f>SUM(F16:F19)</f>
        <v>489596</v>
      </c>
    </row>
    <row r="22" ht="24" customHeight="1" spans="1:6" x14ac:dyDescent="0.25">
      <c r="A22" s="19" t="s">
        <v>259</v>
      </c>
      <c r="B22" s="33">
        <f>B6+B9+B14+B20</f>
        <v>604000</v>
      </c>
      <c r="C22" s="33">
        <f>C6+C9+C14+C20</f>
        <v>774560</v>
      </c>
      <c r="D22" s="33">
        <f>D6+D9+D14+D20</f>
        <v>994063</v>
      </c>
      <c r="E22" s="33">
        <f>E6+E9+E14+E20</f>
        <v>1226040</v>
      </c>
      <c r="F22" s="33">
        <f>F6+F9+F14+F20</f>
        <v>1471040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260</v>
      </c>
      <c r="B1" s="15"/>
      <c r="C1" s="15"/>
      <c r="D1" s="15"/>
      <c r="E1" s="15"/>
      <c r="F1" s="15"/>
    </row>
    <row r="3" ht="28" customHeight="1" spans="1:6" x14ac:dyDescent="0.25">
      <c r="A3" s="21" t="s">
        <v>164</v>
      </c>
      <c r="B3" s="21" t="s">
        <v>131</v>
      </c>
      <c r="C3" s="21" t="s">
        <v>165</v>
      </c>
      <c r="D3" s="21" t="s">
        <v>133</v>
      </c>
      <c r="E3" s="21" t="s">
        <v>166</v>
      </c>
      <c r="F3" s="21" t="s">
        <v>261</v>
      </c>
    </row>
    <row r="4" spans="1:6" x14ac:dyDescent="0.25">
      <c r="A4" s="11" t="s">
        <v>167</v>
      </c>
      <c r="B4" s="11" t="s">
        <v>168</v>
      </c>
      <c r="C4" s="23">
        <v>350000</v>
      </c>
      <c r="D4" s="24">
        <v>0.06</v>
      </c>
      <c r="E4" s="22">
        <v>10</v>
      </c>
      <c r="F4" s="34">
        <v>46629</v>
      </c>
    </row>
    <row r="5" spans="1:6" x14ac:dyDescent="0.25">
      <c r="A5" s="11" t="s">
        <v>169</v>
      </c>
      <c r="B5" s="11" t="s">
        <v>262</v>
      </c>
      <c r="C5" s="23">
        <v>60000</v>
      </c>
      <c r="D5" s="30">
        <v>0</v>
      </c>
      <c r="E5" s="36">
        <v>0</v>
      </c>
      <c r="F5" s="34">
        <v>60000</v>
      </c>
    </row>
    <row r="7" spans="1:6" x14ac:dyDescent="0.25">
      <c r="A7" s="10" t="s">
        <v>263</v>
      </c>
      <c r="F7" s="33">
        <v>46629</v>
      </c>
    </row>
    <row r="8" spans="1:6" x14ac:dyDescent="0.25">
      <c r="A8" s="10" t="s">
        <v>264</v>
      </c>
      <c r="F8" s="32">
        <v>350000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7">
        <v>120</v>
      </c>
      <c r="C4" s="37">
        <v>200</v>
      </c>
      <c r="D4" s="37">
        <v>300</v>
      </c>
      <c r="E4" s="37">
        <v>400</v>
      </c>
      <c r="F4" s="37">
        <v>500</v>
      </c>
    </row>
    <row r="6" ht="24" customHeight="1" spans="1:6" x14ac:dyDescent="0.25">
      <c r="A6" s="19" t="s">
        <v>266</v>
      </c>
      <c r="B6" s="19"/>
      <c r="C6" s="19"/>
      <c r="D6" s="19"/>
      <c r="E6" s="19"/>
      <c r="F6" s="19"/>
    </row>
    <row r="7" spans="1:6" x14ac:dyDescent="0.25">
      <c r="A7" s="11" t="s">
        <v>117</v>
      </c>
      <c r="B7" s="31">
        <v>969000</v>
      </c>
      <c r="C7" s="31">
        <v>1617850</v>
      </c>
      <c r="D7" s="31">
        <v>2466200</v>
      </c>
      <c r="E7" s="31">
        <v>3327850</v>
      </c>
      <c r="F7" s="31">
        <v>4233200</v>
      </c>
    </row>
    <row r="8" spans="1:6" x14ac:dyDescent="0.25">
      <c r="A8" s="11" t="s">
        <v>121</v>
      </c>
      <c r="B8" s="31">
        <v>90000</v>
      </c>
      <c r="C8" s="31">
        <v>154500</v>
      </c>
      <c r="D8" s="31">
        <v>238703</v>
      </c>
      <c r="E8" s="31">
        <v>327818</v>
      </c>
      <c r="F8" s="31">
        <v>422066</v>
      </c>
    </row>
    <row r="9" spans="1:6" x14ac:dyDescent="0.25">
      <c r="A9" s="11" t="s">
        <v>122</v>
      </c>
      <c r="B9" s="31">
        <v>132000</v>
      </c>
      <c r="C9" s="31">
        <v>226600</v>
      </c>
      <c r="D9" s="31">
        <v>350097</v>
      </c>
      <c r="E9" s="31">
        <v>480800</v>
      </c>
      <c r="F9" s="31">
        <v>619030</v>
      </c>
    </row>
    <row r="10" spans="1:6" x14ac:dyDescent="0.25">
      <c r="A10" s="11" t="s">
        <v>123</v>
      </c>
      <c r="B10" s="31">
        <v>150000</v>
      </c>
      <c r="C10" s="31">
        <v>154500</v>
      </c>
      <c r="D10" s="31">
        <v>159135</v>
      </c>
      <c r="E10" s="31">
        <v>163909</v>
      </c>
      <c r="F10" s="31">
        <v>168826</v>
      </c>
    </row>
    <row r="11" spans="1:6" x14ac:dyDescent="0.25">
      <c r="A11" s="11" t="s">
        <v>126</v>
      </c>
      <c r="B11" s="31">
        <v>25000</v>
      </c>
      <c r="C11" s="31">
        <v>25750</v>
      </c>
      <c r="D11" s="31">
        <v>26523</v>
      </c>
      <c r="E11" s="31">
        <v>27318</v>
      </c>
      <c r="F11" s="31">
        <v>28138</v>
      </c>
    </row>
    <row r="12" spans="1:6" x14ac:dyDescent="0.25">
      <c r="A12" s="11" t="s">
        <v>127</v>
      </c>
      <c r="B12" s="31">
        <v>48000</v>
      </c>
      <c r="C12" s="31">
        <v>82400</v>
      </c>
      <c r="D12" s="31">
        <v>127308</v>
      </c>
      <c r="E12" s="31">
        <v>174836</v>
      </c>
      <c r="F12" s="31">
        <v>225102</v>
      </c>
    </row>
    <row r="13" ht="24" customHeight="1" spans="1:6" x14ac:dyDescent="0.25">
      <c r="A13" s="19" t="s">
        <v>267</v>
      </c>
      <c r="B13" s="33">
        <f>SUM(B7:B12)</f>
        <v>1414000</v>
      </c>
      <c r="C13" s="33">
        <f>SUM(C7:C12)</f>
        <v>2261600</v>
      </c>
      <c r="D13" s="33">
        <f>SUM(D7:D12)</f>
        <v>3367965</v>
      </c>
      <c r="E13" s="33">
        <f>SUM(E7:E12)</f>
        <v>4502532</v>
      </c>
      <c r="F13" s="33">
        <f>SUM(F7:F12)</f>
        <v>5696361</v>
      </c>
    </row>
    <row r="15" spans="1:6" x14ac:dyDescent="0.25">
      <c r="A15" s="11" t="s">
        <v>268</v>
      </c>
      <c r="B15" s="31">
        <v>11783</v>
      </c>
      <c r="C15" s="31">
        <v>11308</v>
      </c>
      <c r="D15" s="31">
        <v>11227</v>
      </c>
      <c r="E15" s="31">
        <v>11256</v>
      </c>
      <c r="F15" s="31">
        <v>11393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0"/>
  <sheetFormatPr defaultRowHeight="15" outlineLevelRow="0" outlineLevelCol="0" x14ac:dyDescent="55"/>
  <cols>
    <col min="1" max="1" width="30"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270</v>
      </c>
      <c r="B5" s="31">
        <v>278438</v>
      </c>
      <c r="C5" s="31">
        <v>344149</v>
      </c>
      <c r="D5" s="31">
        <v>354473</v>
      </c>
      <c r="E5" s="31">
        <v>365107</v>
      </c>
      <c r="F5" s="31">
        <v>376061</v>
      </c>
    </row>
    <row r="6" spans="1:6" x14ac:dyDescent="0.25">
      <c r="A6" s="11" t="s">
        <v>271</v>
      </c>
      <c r="B6" s="31">
        <v>59029</v>
      </c>
      <c r="C6" s="31">
        <v>72960</v>
      </c>
      <c r="D6" s="31">
        <v>75148</v>
      </c>
      <c r="E6" s="31">
        <v>77403</v>
      </c>
      <c r="F6" s="31">
        <v>79725</v>
      </c>
    </row>
    <row r="7" spans="1:6" x14ac:dyDescent="0.25">
      <c r="A7" s="11" t="s">
        <v>272</v>
      </c>
      <c r="B7" s="31">
        <v>87955</v>
      </c>
      <c r="C7" s="31">
        <v>108712</v>
      </c>
      <c r="D7" s="31">
        <v>111974</v>
      </c>
      <c r="E7" s="31">
        <v>115333</v>
      </c>
      <c r="F7" s="31">
        <v>118793</v>
      </c>
    </row>
    <row r="8" spans="1:6" x14ac:dyDescent="0.25">
      <c r="A8" s="10" t="s">
        <v>273</v>
      </c>
      <c r="B8" s="32">
        <f>SUM(B5:B7)</f>
        <v>425421</v>
      </c>
      <c r="C8" s="32">
        <f>SUM(C5:C7)</f>
        <v>525821</v>
      </c>
      <c r="D8" s="32">
        <f>SUM(D5:D7)</f>
        <v>541595</v>
      </c>
      <c r="E8" s="32">
        <f>SUM(E5:E7)</f>
        <v>557843</v>
      </c>
      <c r="F8" s="32">
        <f>SUM(F5:F7)</f>
        <v>574578</v>
      </c>
    </row>
    <row r="9" ht="24" customHeight="1" spans="1:6" x14ac:dyDescent="0.25">
      <c r="A9" s="19" t="s">
        <v>137</v>
      </c>
      <c r="B9" s="19"/>
      <c r="C9" s="19"/>
      <c r="D9" s="19"/>
      <c r="E9" s="19"/>
      <c r="F9" s="19"/>
    </row>
    <row r="10" spans="1:6" x14ac:dyDescent="0.25">
      <c r="A10" s="11" t="s">
        <v>274</v>
      </c>
      <c r="B10" s="31">
        <v>116944</v>
      </c>
      <c r="C10" s="31">
        <v>144542</v>
      </c>
      <c r="D10" s="31">
        <v>148879</v>
      </c>
      <c r="E10" s="31">
        <v>153345</v>
      </c>
      <c r="F10" s="31">
        <v>157945</v>
      </c>
    </row>
    <row r="11" spans="1:6" x14ac:dyDescent="0.25">
      <c r="A11" s="11" t="s">
        <v>275</v>
      </c>
      <c r="B11" s="31">
        <v>91328</v>
      </c>
      <c r="C11" s="31">
        <v>112881</v>
      </c>
      <c r="D11" s="31">
        <v>116267</v>
      </c>
      <c r="E11" s="31">
        <v>119755</v>
      </c>
      <c r="F11" s="31">
        <v>123348</v>
      </c>
    </row>
    <row r="12" spans="1:6" x14ac:dyDescent="0.25">
      <c r="A12" s="10" t="s">
        <v>276</v>
      </c>
      <c r="B12" s="32">
        <f>SUM(B10:B11)</f>
        <v>208271</v>
      </c>
      <c r="C12" s="32">
        <f>SUM(C10:C11)</f>
        <v>257423</v>
      </c>
      <c r="D12" s="32">
        <f>SUM(D10:D11)</f>
        <v>265146</v>
      </c>
      <c r="E12" s="32">
        <f>SUM(E10:E11)</f>
        <v>273100</v>
      </c>
      <c r="F12" s="32">
        <f>SUM(F10:F11)</f>
        <v>281293</v>
      </c>
    </row>
    <row r="13" ht="24" customHeight="1" spans="1:6" x14ac:dyDescent="0.25">
      <c r="A13" s="19" t="s">
        <v>145</v>
      </c>
      <c r="B13" s="19"/>
      <c r="C13" s="19"/>
      <c r="D13" s="19"/>
      <c r="E13" s="19"/>
      <c r="F13" s="19"/>
    </row>
    <row r="14" spans="1:6" x14ac:dyDescent="0.25">
      <c r="A14" s="11" t="s">
        <v>277</v>
      </c>
      <c r="B14" s="31">
        <v>69053</v>
      </c>
      <c r="C14" s="31">
        <v>85349</v>
      </c>
      <c r="D14" s="31">
        <v>87909</v>
      </c>
      <c r="E14" s="31">
        <v>90547</v>
      </c>
      <c r="F14" s="31">
        <v>93263</v>
      </c>
    </row>
    <row r="15" spans="1:6" x14ac:dyDescent="0.25">
      <c r="A15" s="10" t="s">
        <v>278</v>
      </c>
      <c r="B15" s="32">
        <f>SUM(B14:B14)</f>
        <v>69053</v>
      </c>
      <c r="C15" s="32">
        <f>SUM(C14:C14)</f>
        <v>85349</v>
      </c>
      <c r="D15" s="32">
        <f>SUM(D14:D14)</f>
        <v>87909</v>
      </c>
      <c r="E15" s="32">
        <f>SUM(E14:E14)</f>
        <v>90547</v>
      </c>
      <c r="F15" s="32">
        <f>SUM(F14:F14)</f>
        <v>93263</v>
      </c>
    </row>
    <row r="16" ht="24" customHeight="1" spans="1:6" x14ac:dyDescent="0.25">
      <c r="A16" s="19" t="s">
        <v>147</v>
      </c>
      <c r="B16" s="19"/>
      <c r="C16" s="19"/>
      <c r="D16" s="19"/>
      <c r="E16" s="19"/>
      <c r="F16" s="19"/>
    </row>
    <row r="17" spans="1:6" x14ac:dyDescent="0.25">
      <c r="A17" s="11" t="s">
        <v>279</v>
      </c>
      <c r="B17" s="31">
        <v>77790</v>
      </c>
      <c r="C17" s="31">
        <v>96148</v>
      </c>
      <c r="D17" s="31">
        <v>99033</v>
      </c>
      <c r="E17" s="31">
        <v>102004</v>
      </c>
      <c r="F17" s="31">
        <v>105064</v>
      </c>
    </row>
    <row r="18" spans="1:6" x14ac:dyDescent="0.25">
      <c r="A18" s="10" t="s">
        <v>280</v>
      </c>
      <c r="B18" s="32">
        <f>SUM(B17:B17)</f>
        <v>77790</v>
      </c>
      <c r="C18" s="32">
        <f>SUM(C17:C17)</f>
        <v>96148</v>
      </c>
      <c r="D18" s="32">
        <f>SUM(D17:D17)</f>
        <v>99033</v>
      </c>
      <c r="E18" s="32">
        <f>SUM(E17:E17)</f>
        <v>102004</v>
      </c>
      <c r="F18" s="32">
        <f>SUM(F17:F17)</f>
        <v>105064</v>
      </c>
    </row>
    <row r="20" ht="24" customHeight="1" spans="1:6" x14ac:dyDescent="0.25">
      <c r="A20" s="19" t="s">
        <v>281</v>
      </c>
      <c r="B20" s="33">
        <f>B8+B12+B15+B18</f>
        <v>780535</v>
      </c>
      <c r="C20" s="33">
        <f>C8+C12+C15+C18</f>
        <v>964741</v>
      </c>
      <c r="D20" s="33">
        <f>D8+D12+D15+D18</f>
        <v>993683</v>
      </c>
      <c r="E20" s="33">
        <f>E8+E12+E15+E18</f>
        <v>1023494</v>
      </c>
      <c r="F20" s="33">
        <f>F8+F12+F15+F18</f>
        <v>1054199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282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11" t="s">
        <v>284</v>
      </c>
      <c r="B5" s="31">
        <v>807500</v>
      </c>
      <c r="C5" s="31">
        <v>1617850</v>
      </c>
      <c r="D5" s="31">
        <v>2466200</v>
      </c>
      <c r="E5" s="31">
        <v>3327850</v>
      </c>
      <c r="F5" s="31">
        <v>4233200</v>
      </c>
    </row>
    <row r="6" spans="1:6" x14ac:dyDescent="0.25">
      <c r="A6" s="11" t="s">
        <v>285</v>
      </c>
      <c r="B6" s="31">
        <v>75000</v>
      </c>
      <c r="C6" s="31">
        <v>154500</v>
      </c>
      <c r="D6" s="31">
        <v>238703</v>
      </c>
      <c r="E6" s="31">
        <v>327818</v>
      </c>
      <c r="F6" s="31">
        <v>422066</v>
      </c>
    </row>
    <row r="7" spans="1:6" x14ac:dyDescent="0.25">
      <c r="A7" s="11" t="s">
        <v>286</v>
      </c>
      <c r="B7" s="31">
        <v>110000</v>
      </c>
      <c r="C7" s="31">
        <v>226600</v>
      </c>
      <c r="D7" s="31">
        <v>350097</v>
      </c>
      <c r="E7" s="31">
        <v>480800</v>
      </c>
      <c r="F7" s="31">
        <v>619030</v>
      </c>
    </row>
    <row r="8" spans="1:6" x14ac:dyDescent="0.25">
      <c r="A8" s="11" t="s">
        <v>287</v>
      </c>
      <c r="B8" s="31">
        <v>125000</v>
      </c>
      <c r="C8" s="31">
        <v>154500</v>
      </c>
      <c r="D8" s="31">
        <v>159135</v>
      </c>
      <c r="E8" s="31">
        <v>163909</v>
      </c>
      <c r="F8" s="31">
        <v>168826</v>
      </c>
    </row>
    <row r="9" spans="1:6" x14ac:dyDescent="0.25">
      <c r="A9" s="11" t="s">
        <v>288</v>
      </c>
      <c r="B9" s="31">
        <v>20833</v>
      </c>
      <c r="C9" s="31">
        <v>25750</v>
      </c>
      <c r="D9" s="31">
        <v>26523</v>
      </c>
      <c r="E9" s="31">
        <v>27318</v>
      </c>
      <c r="F9" s="31">
        <v>28138</v>
      </c>
    </row>
    <row r="10" spans="1:6" x14ac:dyDescent="0.25">
      <c r="A10" s="11" t="s">
        <v>289</v>
      </c>
      <c r="B10" s="31">
        <v>40000</v>
      </c>
      <c r="C10" s="31">
        <v>82400</v>
      </c>
      <c r="D10" s="31">
        <v>127308</v>
      </c>
      <c r="E10" s="31">
        <v>174836</v>
      </c>
      <c r="F10" s="31">
        <v>225102</v>
      </c>
    </row>
    <row r="11" spans="1:6" x14ac:dyDescent="0.25">
      <c r="A11" s="10" t="s">
        <v>290</v>
      </c>
      <c r="B11" s="32">
        <f>SUM(B5:B10)</f>
        <v>1178333</v>
      </c>
      <c r="C11" s="32">
        <f>SUM(C5:C10)</f>
        <v>2261600</v>
      </c>
      <c r="D11" s="32">
        <f>SUM(D5:D10)</f>
        <v>3367965</v>
      </c>
      <c r="E11" s="32">
        <f>SUM(E5:E10)</f>
        <v>4502532</v>
      </c>
      <c r="F11" s="32">
        <f>SUM(F5:F10)</f>
        <v>5696361</v>
      </c>
    </row>
    <row r="13" ht="24" customHeight="1" spans="1:6" x14ac:dyDescent="0.25">
      <c r="A13" s="19" t="s">
        <v>291</v>
      </c>
      <c r="B13" s="19"/>
      <c r="C13" s="19"/>
      <c r="D13" s="19"/>
      <c r="E13" s="19"/>
      <c r="F13" s="19"/>
    </row>
    <row r="14" spans="1:6" x14ac:dyDescent="0.25">
      <c r="A14" s="11" t="s">
        <v>292</v>
      </c>
      <c r="B14" s="31">
        <v>116944</v>
      </c>
      <c r="C14" s="31">
        <v>144542</v>
      </c>
      <c r="D14" s="31">
        <v>148879</v>
      </c>
      <c r="E14" s="31">
        <v>153345</v>
      </c>
      <c r="F14" s="31">
        <v>157945</v>
      </c>
    </row>
    <row r="15" spans="1:6" x14ac:dyDescent="0.25">
      <c r="A15" s="11" t="s">
        <v>293</v>
      </c>
      <c r="B15" s="31">
        <v>91328</v>
      </c>
      <c r="C15" s="31">
        <v>112881</v>
      </c>
      <c r="D15" s="31">
        <v>116267</v>
      </c>
      <c r="E15" s="31">
        <v>119755</v>
      </c>
      <c r="F15" s="31">
        <v>123348</v>
      </c>
    </row>
    <row r="16" spans="1:6" x14ac:dyDescent="0.25">
      <c r="A16" s="11" t="s">
        <v>294</v>
      </c>
      <c r="B16" s="31">
        <v>278438</v>
      </c>
      <c r="C16" s="31">
        <v>344149</v>
      </c>
      <c r="D16" s="31">
        <v>354473</v>
      </c>
      <c r="E16" s="31">
        <v>365107</v>
      </c>
      <c r="F16" s="31">
        <v>376061</v>
      </c>
    </row>
    <row r="17" spans="1:6" x14ac:dyDescent="0.25">
      <c r="A17" s="11" t="s">
        <v>295</v>
      </c>
      <c r="B17" s="31">
        <v>59029</v>
      </c>
      <c r="C17" s="31">
        <v>72960</v>
      </c>
      <c r="D17" s="31">
        <v>75148</v>
      </c>
      <c r="E17" s="31">
        <v>77403</v>
      </c>
      <c r="F17" s="31">
        <v>79725</v>
      </c>
    </row>
    <row r="18" spans="1:6" x14ac:dyDescent="0.25">
      <c r="A18" s="11" t="s">
        <v>296</v>
      </c>
      <c r="B18" s="31">
        <v>87955</v>
      </c>
      <c r="C18" s="31">
        <v>108712</v>
      </c>
      <c r="D18" s="31">
        <v>111974</v>
      </c>
      <c r="E18" s="31">
        <v>115333</v>
      </c>
      <c r="F18" s="31">
        <v>118793</v>
      </c>
    </row>
    <row r="19" spans="1:6" x14ac:dyDescent="0.25">
      <c r="A19" s="11" t="s">
        <v>297</v>
      </c>
      <c r="B19" s="31">
        <v>69053</v>
      </c>
      <c r="C19" s="31">
        <v>85349</v>
      </c>
      <c r="D19" s="31">
        <v>87909</v>
      </c>
      <c r="E19" s="31">
        <v>90547</v>
      </c>
      <c r="F19" s="31">
        <v>93263</v>
      </c>
    </row>
    <row r="20" spans="1:6" x14ac:dyDescent="0.25">
      <c r="A20" s="11" t="s">
        <v>298</v>
      </c>
      <c r="B20" s="31">
        <v>77790</v>
      </c>
      <c r="C20" s="31">
        <v>96148</v>
      </c>
      <c r="D20" s="31">
        <v>99033</v>
      </c>
      <c r="E20" s="31">
        <v>102004</v>
      </c>
      <c r="F20" s="31">
        <v>105064</v>
      </c>
    </row>
    <row r="21" spans="1:6" x14ac:dyDescent="0.25">
      <c r="A21" s="10" t="s">
        <v>242</v>
      </c>
      <c r="B21" s="32">
        <f>SUM(B14:B20)</f>
        <v>780535</v>
      </c>
      <c r="C21" s="32">
        <f>SUM(C14:C20)</f>
        <v>964741</v>
      </c>
      <c r="D21" s="32">
        <f>SUM(D14:D20)</f>
        <v>993683</v>
      </c>
      <c r="E21" s="32">
        <f>SUM(E14:E20)</f>
        <v>1023494</v>
      </c>
      <c r="F21" s="32">
        <f>SUM(F14:F20)</f>
        <v>1054199</v>
      </c>
    </row>
    <row r="23" ht="24" customHeight="1" spans="1:6" x14ac:dyDescent="0.25">
      <c r="A23" s="19" t="s">
        <v>148</v>
      </c>
      <c r="B23" s="19"/>
      <c r="C23" s="19"/>
      <c r="D23" s="19"/>
      <c r="E23" s="19"/>
      <c r="F23" s="19"/>
    </row>
    <row r="24" spans="1:1" x14ac:dyDescent="0.25">
      <c r="A24" s="38" t="s">
        <v>155</v>
      </c>
    </row>
    <row r="25" spans="1:6" x14ac:dyDescent="0.25">
      <c r="A25" s="11" t="s">
        <v>299</v>
      </c>
      <c r="B25" s="31">
        <v>65000</v>
      </c>
      <c r="C25" s="31">
        <v>133900</v>
      </c>
      <c r="D25" s="31">
        <v>206875</v>
      </c>
      <c r="E25" s="31">
        <v>284109</v>
      </c>
      <c r="F25" s="31">
        <v>365790</v>
      </c>
    </row>
    <row r="26" spans="1:1" x14ac:dyDescent="0.25">
      <c r="A26" s="38" t="s">
        <v>157</v>
      </c>
    </row>
    <row r="27" spans="1:6" x14ac:dyDescent="0.25">
      <c r="A27" s="11" t="s">
        <v>300</v>
      </c>
      <c r="B27" s="31">
        <v>45000</v>
      </c>
      <c r="C27" s="31">
        <v>92700</v>
      </c>
      <c r="D27" s="31">
        <v>143222</v>
      </c>
      <c r="E27" s="31">
        <v>196691</v>
      </c>
      <c r="F27" s="31">
        <v>253239</v>
      </c>
    </row>
    <row r="28" spans="1:1" x14ac:dyDescent="0.25">
      <c r="A28" s="38" t="s">
        <v>150</v>
      </c>
    </row>
    <row r="29" spans="1:6" x14ac:dyDescent="0.25">
      <c r="A29" s="11" t="s">
        <v>301</v>
      </c>
      <c r="B29" s="31">
        <v>220000</v>
      </c>
      <c r="C29" s="31">
        <v>271920</v>
      </c>
      <c r="D29" s="31">
        <v>280078</v>
      </c>
      <c r="E29" s="31">
        <v>288480</v>
      </c>
      <c r="F29" s="31">
        <v>297134</v>
      </c>
    </row>
    <row r="30" spans="1:6" x14ac:dyDescent="0.25">
      <c r="A30" s="11" t="s">
        <v>302</v>
      </c>
      <c r="B30" s="31">
        <v>30000</v>
      </c>
      <c r="C30" s="31">
        <v>37080</v>
      </c>
      <c r="D30" s="31">
        <v>38192</v>
      </c>
      <c r="E30" s="31">
        <v>39338</v>
      </c>
      <c r="F30" s="31">
        <v>40518</v>
      </c>
    </row>
    <row r="31" spans="1:6" x14ac:dyDescent="0.25">
      <c r="A31" s="11" t="s">
        <v>303</v>
      </c>
      <c r="B31" s="31">
        <v>18333</v>
      </c>
      <c r="C31" s="31">
        <v>22660</v>
      </c>
      <c r="D31" s="31">
        <v>23340</v>
      </c>
      <c r="E31" s="31">
        <v>24040</v>
      </c>
      <c r="F31" s="31">
        <v>24761</v>
      </c>
    </row>
    <row r="32" spans="1:6" x14ac:dyDescent="0.25">
      <c r="A32" s="10" t="s">
        <v>304</v>
      </c>
      <c r="B32" s="32">
        <f>SUM(B29:B31)</f>
        <v>268333</v>
      </c>
      <c r="C32" s="32">
        <f>SUM(C29:C31)</f>
        <v>331660</v>
      </c>
      <c r="D32" s="32">
        <f>SUM(D29:D31)</f>
        <v>341610</v>
      </c>
      <c r="E32" s="32">
        <f>SUM(E29:E31)</f>
        <v>351858</v>
      </c>
      <c r="F32" s="32">
        <f>SUM(F29:F31)</f>
        <v>362414</v>
      </c>
    </row>
    <row r="33" spans="1:1" x14ac:dyDescent="0.25">
      <c r="A33" s="38" t="s">
        <v>159</v>
      </c>
    </row>
    <row r="34" spans="1:6" x14ac:dyDescent="0.25">
      <c r="A34" s="11" t="s">
        <v>305</v>
      </c>
      <c r="B34" s="31">
        <v>25000</v>
      </c>
      <c r="C34" s="31">
        <v>30900</v>
      </c>
      <c r="D34" s="31">
        <v>31827</v>
      </c>
      <c r="E34" s="31">
        <v>32782</v>
      </c>
      <c r="F34" s="31">
        <v>33765</v>
      </c>
    </row>
    <row r="35" spans="1:6" x14ac:dyDescent="0.25">
      <c r="A35" s="11" t="s">
        <v>306</v>
      </c>
      <c r="B35" s="31">
        <v>10000</v>
      </c>
      <c r="C35" s="31">
        <v>12360</v>
      </c>
      <c r="D35" s="31">
        <v>12731</v>
      </c>
      <c r="E35" s="31">
        <v>13113</v>
      </c>
      <c r="F35" s="31">
        <v>13506</v>
      </c>
    </row>
    <row r="36" spans="1:6" x14ac:dyDescent="0.25">
      <c r="A36" s="11" t="s">
        <v>307</v>
      </c>
      <c r="B36" s="31">
        <v>15000</v>
      </c>
      <c r="C36" s="31">
        <v>18540</v>
      </c>
      <c r="D36" s="31">
        <v>19096</v>
      </c>
      <c r="E36" s="31">
        <v>19669</v>
      </c>
      <c r="F36" s="31">
        <v>20259</v>
      </c>
    </row>
    <row r="37" spans="1:6" x14ac:dyDescent="0.25">
      <c r="A37" s="11" t="s">
        <v>308</v>
      </c>
      <c r="B37" s="31">
        <v>75000</v>
      </c>
      <c r="C37" s="31">
        <v>154500</v>
      </c>
      <c r="D37" s="31">
        <v>238703</v>
      </c>
      <c r="E37" s="31">
        <v>327818</v>
      </c>
      <c r="F37" s="31">
        <v>422066</v>
      </c>
    </row>
    <row r="38" spans="1:6" x14ac:dyDescent="0.25">
      <c r="A38" s="10" t="s">
        <v>309</v>
      </c>
      <c r="B38" s="32">
        <f>SUM(B34:B37)</f>
        <v>125000</v>
      </c>
      <c r="C38" s="32">
        <f>SUM(C34:C37)</f>
        <v>216300</v>
      </c>
      <c r="D38" s="32">
        <f>SUM(D34:D37)</f>
        <v>302357</v>
      </c>
      <c r="E38" s="32">
        <f>SUM(E34:E37)</f>
        <v>393382</v>
      </c>
      <c r="F38" s="32">
        <f>SUM(F34:F37)</f>
        <v>489596</v>
      </c>
    </row>
    <row r="39" spans="1:6" x14ac:dyDescent="0.25">
      <c r="A39" s="10" t="s">
        <v>310</v>
      </c>
      <c r="B39" s="32">
        <f>B25+B27+B32+B38</f>
        <v>503333</v>
      </c>
      <c r="C39" s="32">
        <f>C25+C27+C32+C38</f>
        <v>774560</v>
      </c>
      <c r="D39" s="32">
        <f>D25+D27+D32+D38</f>
        <v>994063</v>
      </c>
      <c r="E39" s="32">
        <f>E25+E27+E32+E38</f>
        <v>1226040</v>
      </c>
      <c r="F39" s="32">
        <f>F25+F27+F32+F38</f>
        <v>1471040</v>
      </c>
    </row>
    <row r="41" ht="24" customHeight="1" spans="1:6" x14ac:dyDescent="0.25">
      <c r="A41" s="19" t="s">
        <v>311</v>
      </c>
      <c r="B41" s="19"/>
      <c r="C41" s="19"/>
      <c r="D41" s="19"/>
      <c r="E41" s="19"/>
      <c r="F41" s="19"/>
    </row>
    <row r="42" spans="1:6" x14ac:dyDescent="0.25">
      <c r="A42" s="11" t="s">
        <v>312</v>
      </c>
      <c r="B42" s="31">
        <v>46629</v>
      </c>
      <c r="C42" s="31">
        <v>46629</v>
      </c>
      <c r="D42" s="31">
        <v>46629</v>
      </c>
      <c r="E42" s="31">
        <v>46629</v>
      </c>
      <c r="F42" s="31">
        <v>46629</v>
      </c>
    </row>
    <row r="43" spans="1:6" x14ac:dyDescent="0.25">
      <c r="A43" s="11" t="s">
        <v>313</v>
      </c>
      <c r="B43" s="31">
        <v>60000</v>
      </c>
      <c r="C43" s="31">
        <v>20000</v>
      </c>
      <c r="D43" s="31">
        <v>25000</v>
      </c>
      <c r="E43" s="31">
        <v>10000</v>
      </c>
      <c r="F43" s="31">
        <v>10000</v>
      </c>
    </row>
    <row r="44" spans="1:6" x14ac:dyDescent="0.25">
      <c r="A44" s="10" t="s">
        <v>314</v>
      </c>
      <c r="B44" s="32">
        <f>SUM(B42:B43)</f>
        <v>106629</v>
      </c>
      <c r="C44" s="32">
        <f>SUM(C42:C43)</f>
        <v>66629</v>
      </c>
      <c r="D44" s="32">
        <f>SUM(D42:D43)</f>
        <v>71629</v>
      </c>
      <c r="E44" s="32">
        <f>SUM(E42:E43)</f>
        <v>56629</v>
      </c>
      <c r="F44" s="32">
        <f>SUM(F42:F43)</f>
        <v>56629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290</v>
      </c>
      <c r="B4" s="34">
        <f>'Budget Detail'!B11</f>
        <v>1178333</v>
      </c>
      <c r="C4" s="34">
        <f>'Budget Detail'!C11</f>
        <v>2261600</v>
      </c>
      <c r="D4" s="34">
        <f>'Budget Detail'!D11</f>
        <v>3367965</v>
      </c>
      <c r="E4" s="34">
        <f>'Budget Detail'!E11</f>
        <v>4502532</v>
      </c>
      <c r="F4" s="34">
        <f>'Budget Detail'!F11</f>
        <v>5696361</v>
      </c>
    </row>
    <row r="5" spans="1:6" x14ac:dyDescent="0.25">
      <c r="A5" s="10" t="s">
        <v>242</v>
      </c>
      <c r="B5" s="34">
        <f>'Budget Detail'!B21</f>
        <v>780535</v>
      </c>
      <c r="C5" s="34">
        <f>'Budget Detail'!C21</f>
        <v>964741</v>
      </c>
      <c r="D5" s="34">
        <f>'Budget Detail'!D21</f>
        <v>993683</v>
      </c>
      <c r="E5" s="34">
        <f>'Budget Detail'!E21</f>
        <v>1023494</v>
      </c>
      <c r="F5" s="34">
        <f>'Budget Detail'!F21</f>
        <v>1054199</v>
      </c>
    </row>
    <row r="6" spans="1:6" x14ac:dyDescent="0.25">
      <c r="A6" s="10" t="s">
        <v>310</v>
      </c>
      <c r="B6" s="34">
        <f>'Budget Detail'!B39</f>
        <v>503333</v>
      </c>
      <c r="C6" s="34">
        <f>'Budget Detail'!C39</f>
        <v>774560</v>
      </c>
      <c r="D6" s="34">
        <f>'Budget Detail'!D39</f>
        <v>994063</v>
      </c>
      <c r="E6" s="34">
        <f>'Budget Detail'!E39</f>
        <v>1226040</v>
      </c>
      <c r="F6" s="34">
        <f>'Budget Detail'!F39</f>
        <v>1471040</v>
      </c>
    </row>
    <row r="7" spans="1:6" x14ac:dyDescent="0.25">
      <c r="A7" s="10" t="s">
        <v>316</v>
      </c>
      <c r="B7" s="34">
        <f>'Budget Detail'!B44</f>
        <v>106629</v>
      </c>
      <c r="C7" s="34">
        <f>'Budget Detail'!C44</f>
        <v>66629</v>
      </c>
      <c r="D7" s="34">
        <f>'Budget Detail'!D44</f>
        <v>71629</v>
      </c>
      <c r="E7" s="34">
        <f>'Budget Detail'!E44</f>
        <v>56629</v>
      </c>
      <c r="F7" s="34">
        <f>'Budget Detail'!F44</f>
        <v>56629</v>
      </c>
    </row>
    <row r="8" spans="1:6" x14ac:dyDescent="0.25">
      <c r="A8" s="10" t="s">
        <v>317</v>
      </c>
      <c r="B8" s="32">
        <f>SUM(B5:B7)</f>
        <v>1390497</v>
      </c>
      <c r="C8" s="32">
        <f>SUM(C5:C7)</f>
        <v>1805930</v>
      </c>
      <c r="D8" s="32">
        <f>SUM(D5:D7)</f>
        <v>2059375</v>
      </c>
      <c r="E8" s="32">
        <f>SUM(E5:E7)</f>
        <v>2306162</v>
      </c>
      <c r="F8" s="32">
        <f>SUM(F5:F7)</f>
        <v>2581867</v>
      </c>
    </row>
    <row r="10" ht="24" customHeight="1" spans="1:6" x14ac:dyDescent="0.25">
      <c r="A10" s="19" t="s">
        <v>318</v>
      </c>
      <c r="B10" s="19"/>
      <c r="C10" s="19"/>
      <c r="D10" s="19"/>
      <c r="E10" s="19"/>
      <c r="F10" s="19"/>
    </row>
    <row r="11" spans="1:6" x14ac:dyDescent="0.25">
      <c r="A11" s="10" t="s">
        <v>319</v>
      </c>
      <c r="B11" s="33">
        <f>B4-B8</f>
        <v>-212164</v>
      </c>
      <c r="C11" s="33">
        <f>C4-C8</f>
        <v>455670</v>
      </c>
      <c r="D11" s="33">
        <f>D4-D8</f>
        <v>1308590</v>
      </c>
      <c r="E11" s="33">
        <f>E4-E8</f>
        <v>2196369</v>
      </c>
      <c r="F11" s="33">
        <f>F4-F8</f>
        <v>3114494</v>
      </c>
    </row>
    <row r="12" spans="1:6" x14ac:dyDescent="0.25">
      <c r="A12" s="11" t="s">
        <v>320</v>
      </c>
      <c r="B12" s="30">
        <f>IF(B4=0,0,B11/B4)</f>
        <v>-0.18005398</v>
      </c>
      <c r="C12" s="30">
        <f>IF(C4=0,0,C11/C4)</f>
        <v>0.20148131</v>
      </c>
      <c r="D12" s="30">
        <f>IF(D4=0,0,D11/D4)</f>
        <v>0.38854014</v>
      </c>
      <c r="E12" s="30">
        <f>IF(E4=0,0,E11/E4)</f>
        <v>0.48780763</v>
      </c>
      <c r="F12" s="30">
        <f>IF(F4=0,0,F11/F4)</f>
        <v>0.54675147</v>
      </c>
    </row>
    <row r="13" spans="1:6" x14ac:dyDescent="0.25">
      <c r="A13" s="11" t="s">
        <v>321</v>
      </c>
      <c r="B13" s="31">
        <v>-212164</v>
      </c>
      <c r="C13" s="31">
        <v>243507</v>
      </c>
      <c r="D13" s="31">
        <v>1552096</v>
      </c>
      <c r="E13" s="31">
        <v>3748465</v>
      </c>
      <c r="F13" s="31">
        <v>6862959</v>
      </c>
    </row>
    <row r="14" spans="1:6" x14ac:dyDescent="0.25">
      <c r="A14" s="11" t="s">
        <v>268</v>
      </c>
      <c r="B14" s="31">
        <v>9819</v>
      </c>
      <c r="C14" s="31">
        <v>11308</v>
      </c>
      <c r="D14" s="31">
        <v>11227</v>
      </c>
      <c r="E14" s="31">
        <v>11256</v>
      </c>
      <c r="F14" s="31">
        <v>11393</v>
      </c>
    </row>
    <row r="15" spans="1:6" x14ac:dyDescent="0.25">
      <c r="A15" s="11" t="s">
        <v>322</v>
      </c>
      <c r="B15" s="31">
        <v>11587</v>
      </c>
      <c r="C15" s="31">
        <v>9030</v>
      </c>
      <c r="D15" s="31">
        <v>6865</v>
      </c>
      <c r="E15" s="31">
        <v>5765</v>
      </c>
      <c r="F15" s="31">
        <v>5164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323</v>
      </c>
      <c r="B1" s="15"/>
      <c r="C1" s="15"/>
      <c r="D1" s="15"/>
      <c r="E1" s="15"/>
      <c r="F1" s="15"/>
      <c r="G1" s="15"/>
      <c r="H1" s="15"/>
      <c r="I1" s="15"/>
      <c r="J1" s="15"/>
      <c r="K1" s="15"/>
      <c r="L1" s="15"/>
      <c r="M1" s="15"/>
      <c r="N1" s="15"/>
    </row>
    <row r="2" ht="28" customHeight="1" spans="1:14" x14ac:dyDescent="0.25">
      <c r="A2" s="21" t="s">
        <v>7</v>
      </c>
      <c r="B2" s="21" t="s">
        <v>324</v>
      </c>
      <c r="C2" s="21" t="s">
        <v>325</v>
      </c>
      <c r="D2" s="21" t="s">
        <v>326</v>
      </c>
      <c r="E2" s="21" t="s">
        <v>327</v>
      </c>
      <c r="F2" s="21" t="s">
        <v>328</v>
      </c>
      <c r="G2" s="21" t="s">
        <v>329</v>
      </c>
      <c r="H2" s="21" t="s">
        <v>330</v>
      </c>
      <c r="I2" s="21" t="s">
        <v>331</v>
      </c>
      <c r="J2" s="21" t="s">
        <v>332</v>
      </c>
      <c r="K2" s="21" t="s">
        <v>333</v>
      </c>
      <c r="L2" s="21" t="s">
        <v>334</v>
      </c>
      <c r="M2" s="21" t="s">
        <v>335</v>
      </c>
      <c r="N2" s="21" t="s">
        <v>336</v>
      </c>
    </row>
    <row r="3" ht="24" customHeight="1" spans="1:14" x14ac:dyDescent="0.25">
      <c r="A3" s="19" t="s">
        <v>283</v>
      </c>
      <c r="B3" s="19"/>
      <c r="C3" s="19"/>
      <c r="D3" s="19"/>
      <c r="E3" s="19"/>
      <c r="F3" s="19"/>
      <c r="G3" s="19"/>
      <c r="H3" s="19"/>
      <c r="I3" s="19"/>
      <c r="J3" s="19"/>
      <c r="K3" s="19"/>
      <c r="L3" s="19"/>
      <c r="M3" s="19"/>
      <c r="N3" s="19"/>
    </row>
    <row r="4" spans="1:14" x14ac:dyDescent="0.25">
      <c r="A4" s="10" t="s">
        <v>290</v>
      </c>
      <c r="B4" s="32">
        <v>146500</v>
      </c>
      <c r="C4" s="32">
        <v>146500</v>
      </c>
      <c r="D4" s="32">
        <v>146500</v>
      </c>
      <c r="E4" s="32">
        <v>146500</v>
      </c>
      <c r="F4" s="32">
        <v>146500</v>
      </c>
      <c r="G4" s="32">
        <v>146500</v>
      </c>
      <c r="H4" s="32">
        <v>146500</v>
      </c>
      <c r="I4" s="32">
        <v>146500</v>
      </c>
      <c r="J4" s="32">
        <v>146500</v>
      </c>
      <c r="K4" s="32">
        <v>146500</v>
      </c>
      <c r="L4" s="32">
        <v>0</v>
      </c>
      <c r="M4" s="32">
        <v>0</v>
      </c>
      <c r="N4" s="32">
        <f>SUM(B4:M4)</f>
        <v>1465000</v>
      </c>
    </row>
    <row r="6" ht="24" customHeight="1" spans="1:14" x14ac:dyDescent="0.25">
      <c r="A6" s="19" t="s">
        <v>337</v>
      </c>
      <c r="B6" s="19"/>
      <c r="C6" s="19"/>
      <c r="D6" s="19"/>
      <c r="E6" s="19"/>
      <c r="F6" s="19"/>
      <c r="G6" s="19"/>
      <c r="H6" s="19"/>
      <c r="I6" s="19"/>
      <c r="J6" s="19"/>
      <c r="K6" s="19"/>
      <c r="L6" s="19"/>
      <c r="M6" s="19"/>
      <c r="N6" s="19"/>
    </row>
    <row r="7" spans="1:14" x14ac:dyDescent="0.25">
      <c r="A7" s="11" t="s">
        <v>338</v>
      </c>
      <c r="B7" s="31">
        <v>78054</v>
      </c>
      <c r="C7" s="31">
        <v>78054</v>
      </c>
      <c r="D7" s="31">
        <v>78054</v>
      </c>
      <c r="E7" s="31">
        <v>78054</v>
      </c>
      <c r="F7" s="31">
        <v>78054</v>
      </c>
      <c r="G7" s="31">
        <v>78054</v>
      </c>
      <c r="H7" s="31">
        <v>78054</v>
      </c>
      <c r="I7" s="31">
        <v>78054</v>
      </c>
      <c r="J7" s="31">
        <v>78054</v>
      </c>
      <c r="K7" s="31">
        <v>78054</v>
      </c>
      <c r="L7" s="31">
        <v>0</v>
      </c>
      <c r="M7" s="31">
        <v>0</v>
      </c>
      <c r="N7" s="31">
        <f>SUM(B7:M7)</f>
        <v>780535</v>
      </c>
    </row>
    <row r="8" spans="1:14" x14ac:dyDescent="0.25">
      <c r="A8" s="11" t="s">
        <v>339</v>
      </c>
      <c r="B8" s="31">
        <v>50333</v>
      </c>
      <c r="C8" s="31">
        <v>50333</v>
      </c>
      <c r="D8" s="31">
        <v>50333</v>
      </c>
      <c r="E8" s="31">
        <v>50333</v>
      </c>
      <c r="F8" s="31">
        <v>50333</v>
      </c>
      <c r="G8" s="31">
        <v>50333</v>
      </c>
      <c r="H8" s="31">
        <v>50333</v>
      </c>
      <c r="I8" s="31">
        <v>50333</v>
      </c>
      <c r="J8" s="31">
        <v>50333</v>
      </c>
      <c r="K8" s="31">
        <v>50333</v>
      </c>
      <c r="L8" s="31">
        <v>0</v>
      </c>
      <c r="M8" s="31">
        <v>0</v>
      </c>
      <c r="N8" s="31">
        <f>SUM(B8:M8)</f>
        <v>503333</v>
      </c>
    </row>
    <row r="9" spans="1:14" x14ac:dyDescent="0.25">
      <c r="A9" s="11" t="s">
        <v>340</v>
      </c>
      <c r="B9" s="31">
        <v>8886</v>
      </c>
      <c r="C9" s="31">
        <v>8886</v>
      </c>
      <c r="D9" s="31">
        <v>8886</v>
      </c>
      <c r="E9" s="31">
        <v>8886</v>
      </c>
      <c r="F9" s="31">
        <v>8886</v>
      </c>
      <c r="G9" s="31">
        <v>8886</v>
      </c>
      <c r="H9" s="31">
        <v>8886</v>
      </c>
      <c r="I9" s="31">
        <v>8886</v>
      </c>
      <c r="J9" s="31">
        <v>8886</v>
      </c>
      <c r="K9" s="31">
        <v>8886</v>
      </c>
      <c r="L9" s="31">
        <v>8886</v>
      </c>
      <c r="M9" s="31">
        <v>8886</v>
      </c>
      <c r="N9" s="31">
        <f>SUM(B9:M9)</f>
        <v>106629</v>
      </c>
    </row>
    <row r="11" ht="24" customHeight="1" spans="1:14" x14ac:dyDescent="0.25">
      <c r="A11" s="19" t="s">
        <v>341</v>
      </c>
      <c r="B11" s="19"/>
      <c r="C11" s="19"/>
      <c r="D11" s="19"/>
      <c r="E11" s="19"/>
      <c r="F11" s="19"/>
      <c r="G11" s="19"/>
      <c r="H11" s="19"/>
      <c r="I11" s="19"/>
      <c r="J11" s="19"/>
      <c r="K11" s="19"/>
      <c r="L11" s="19"/>
      <c r="M11" s="19"/>
      <c r="N11" s="19"/>
    </row>
    <row r="12" spans="1:14" x14ac:dyDescent="0.25">
      <c r="A12" s="10" t="s">
        <v>317</v>
      </c>
      <c r="B12" s="34">
        <f>B7+B8+B9</f>
        <v>137273</v>
      </c>
      <c r="C12" s="34">
        <f>C7+C8+C9</f>
        <v>137273</v>
      </c>
      <c r="D12" s="34">
        <f>D7+D8+D9</f>
        <v>137273</v>
      </c>
      <c r="E12" s="34">
        <f>E7+E8+E9</f>
        <v>137273</v>
      </c>
      <c r="F12" s="34">
        <f>F7+F8+F9</f>
        <v>137273</v>
      </c>
      <c r="G12" s="34">
        <f>G7+G8+G9</f>
        <v>137273</v>
      </c>
      <c r="H12" s="34">
        <f>H7+H8+H9</f>
        <v>137273</v>
      </c>
      <c r="I12" s="34">
        <f>I7+I8+I9</f>
        <v>137273</v>
      </c>
      <c r="J12" s="34">
        <f>J7+J8+J9</f>
        <v>137273</v>
      </c>
      <c r="K12" s="34">
        <f>K7+K8+K9</f>
        <v>137273</v>
      </c>
      <c r="L12" s="34">
        <f>L7+L8+L9</f>
        <v>8886</v>
      </c>
      <c r="M12" s="34">
        <f>M7+M8+M9</f>
        <v>8886</v>
      </c>
      <c r="N12" s="34">
        <f>SUM(B12:M12)</f>
        <v>1390502</v>
      </c>
    </row>
    <row r="13" spans="1:14" x14ac:dyDescent="0.25">
      <c r="A13" s="10" t="s">
        <v>342</v>
      </c>
      <c r="B13" s="34">
        <f>B4-B12</f>
        <v>9227</v>
      </c>
      <c r="C13" s="34">
        <f>C4-C12</f>
        <v>9227</v>
      </c>
      <c r="D13" s="34">
        <f>D4-D12</f>
        <v>9227</v>
      </c>
      <c r="E13" s="34">
        <f>E4-E12</f>
        <v>9227</v>
      </c>
      <c r="F13" s="34">
        <f>F4-F12</f>
        <v>9227</v>
      </c>
      <c r="G13" s="34">
        <f>G4-G12</f>
        <v>9227</v>
      </c>
      <c r="H13" s="34">
        <f>H4-H12</f>
        <v>9227</v>
      </c>
      <c r="I13" s="34">
        <f>I4-I12</f>
        <v>9227</v>
      </c>
      <c r="J13" s="34">
        <f>J4-J12</f>
        <v>9227</v>
      </c>
      <c r="K13" s="34">
        <f>K4-K12</f>
        <v>9227</v>
      </c>
      <c r="L13" s="34">
        <f>L4-L12</f>
        <v>-8886</v>
      </c>
      <c r="M13" s="34">
        <f>M4-M12</f>
        <v>-8886</v>
      </c>
      <c r="N13" s="34">
        <f>SUM(B13:M13)</f>
        <v>74498</v>
      </c>
    </row>
    <row r="14" spans="1:14" x14ac:dyDescent="0.25">
      <c r="A14" s="10" t="s">
        <v>343</v>
      </c>
      <c r="B14" s="39">
        <f>B17+B13</f>
        <v>9227</v>
      </c>
      <c r="C14" s="39">
        <f>B14+C13</f>
        <v>18454</v>
      </c>
      <c r="D14" s="39">
        <f>C14+D13</f>
        <v>27681</v>
      </c>
      <c r="E14" s="39">
        <f>D14+E13</f>
        <v>36908</v>
      </c>
      <c r="F14" s="39">
        <f>E14+F13</f>
        <v>46135</v>
      </c>
      <c r="G14" s="39">
        <f>F14+G13</f>
        <v>55362</v>
      </c>
      <c r="H14" s="39">
        <f>G14+H13</f>
        <v>64589</v>
      </c>
      <c r="I14" s="39">
        <f>H14+I13</f>
        <v>73816</v>
      </c>
      <c r="J14" s="39">
        <f>I14+J13</f>
        <v>83043</v>
      </c>
      <c r="K14" s="39">
        <f>J14+K13</f>
        <v>92270</v>
      </c>
      <c r="L14" s="39">
        <f>K14+L13</f>
        <v>83384</v>
      </c>
      <c r="M14" s="39">
        <f>L14+M13</f>
        <v>74498</v>
      </c>
      <c r="N14" s="33">
        <f>M14</f>
        <v>74498</v>
      </c>
    </row>
    <row r="16" ht="24" customHeight="1" spans="1:3" x14ac:dyDescent="0.25">
      <c r="A16" s="19" t="s">
        <v>344</v>
      </c>
      <c r="B16" s="19"/>
      <c r="C16" s="19"/>
    </row>
    <row r="17" spans="1:2" x14ac:dyDescent="0.25">
      <c r="A17" s="11" t="s">
        <v>177</v>
      </c>
      <c r="B17" s="23">
        <v>0</v>
      </c>
    </row>
    <row r="18" spans="1:2" x14ac:dyDescent="0.25">
      <c r="A18" s="11" t="s">
        <v>345</v>
      </c>
      <c r="B18" s="39">
        <f>M14</f>
        <v>74498</v>
      </c>
    </row>
    <row r="19" spans="1:2" x14ac:dyDescent="0.25">
      <c r="A19" s="11" t="s">
        <v>346</v>
      </c>
      <c r="B19" s="31">
        <f>MIN(B14:M14)</f>
        <v>9227</v>
      </c>
    </row>
    <row r="20" spans="1:6" x14ac:dyDescent="0.25">
      <c r="A20" s="3" t="s">
        <v>347</v>
      </c>
      <c r="B20" s="3"/>
      <c r="C20" s="3"/>
      <c r="D20" s="3"/>
      <c r="E20" s="3"/>
      <c r="F20" s="3"/>
    </row>
    <row r="21" spans="1:8" x14ac:dyDescent="0.25">
      <c r="A21" s="40" t="s">
        <v>348</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349</v>
      </c>
      <c r="B1" s="15"/>
      <c r="C1" s="15"/>
      <c r="D1" s="15"/>
      <c r="E1" s="15"/>
      <c r="F1" s="15"/>
    </row>
    <row r="2" spans="1:6" x14ac:dyDescent="0.25">
      <c r="A2" s="41" t="s">
        <v>350</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42" t="s">
        <v>290</v>
      </c>
      <c r="B5" s="32">
        <v>1178333</v>
      </c>
      <c r="C5" s="32">
        <v>2261600</v>
      </c>
      <c r="D5" s="32">
        <v>3367965</v>
      </c>
      <c r="E5" s="32">
        <v>4502532</v>
      </c>
      <c r="F5" s="32">
        <v>5696361</v>
      </c>
    </row>
    <row r="7" ht="24" customHeight="1" spans="1:6" x14ac:dyDescent="0.25">
      <c r="A7" s="19" t="s">
        <v>337</v>
      </c>
      <c r="B7" s="19"/>
      <c r="C7" s="19"/>
      <c r="D7" s="19"/>
      <c r="E7" s="19"/>
      <c r="F7" s="19"/>
    </row>
    <row r="8" spans="1:6" x14ac:dyDescent="0.25">
      <c r="A8" s="10" t="s">
        <v>338</v>
      </c>
      <c r="B8" s="34">
        <v>780535</v>
      </c>
      <c r="C8" s="34">
        <v>964741</v>
      </c>
      <c r="D8" s="34">
        <v>993683</v>
      </c>
      <c r="E8" s="34">
        <v>1023494</v>
      </c>
      <c r="F8" s="34">
        <v>1054199</v>
      </c>
    </row>
    <row r="9" spans="1:6" x14ac:dyDescent="0.25">
      <c r="A9" s="10" t="s">
        <v>339</v>
      </c>
      <c r="B9" s="34">
        <v>503333</v>
      </c>
      <c r="C9" s="34">
        <v>774560</v>
      </c>
      <c r="D9" s="34">
        <v>994063</v>
      </c>
      <c r="E9" s="34">
        <v>1226040</v>
      </c>
      <c r="F9" s="34">
        <v>1471040</v>
      </c>
    </row>
    <row r="10" spans="1:6" x14ac:dyDescent="0.25">
      <c r="A10" s="10" t="s">
        <v>351</v>
      </c>
      <c r="B10" s="34">
        <v>106629</v>
      </c>
      <c r="C10" s="34">
        <v>66629</v>
      </c>
      <c r="D10" s="34">
        <v>71629</v>
      </c>
      <c r="E10" s="34">
        <v>56629</v>
      </c>
      <c r="F10" s="34">
        <v>56629</v>
      </c>
    </row>
    <row r="11" spans="1:6" x14ac:dyDescent="0.25">
      <c r="A11" s="10" t="s">
        <v>352</v>
      </c>
      <c r="B11" s="34">
        <v>0</v>
      </c>
      <c r="C11" s="34">
        <v>0</v>
      </c>
      <c r="D11" s="34">
        <v>0</v>
      </c>
      <c r="E11" s="34">
        <v>0</v>
      </c>
      <c r="F11" s="34">
        <v>0</v>
      </c>
    </row>
    <row r="12" spans="1:6" x14ac:dyDescent="0.25">
      <c r="A12" s="42" t="s">
        <v>317</v>
      </c>
      <c r="B12" s="32">
        <f>SUM(B8:B11)</f>
        <v>1390497</v>
      </c>
      <c r="C12" s="32">
        <f>SUM(C8:C11)</f>
        <v>1805930</v>
      </c>
      <c r="D12" s="32">
        <f>SUM(D8:D11)</f>
        <v>2059375</v>
      </c>
      <c r="E12" s="32">
        <f>SUM(E8:E11)</f>
        <v>2306162</v>
      </c>
      <c r="F12" s="32">
        <f>SUM(F8:F11)</f>
        <v>2581867</v>
      </c>
    </row>
    <row r="14" ht="24" customHeight="1" spans="1:6" x14ac:dyDescent="0.25">
      <c r="A14" s="19" t="s">
        <v>353</v>
      </c>
      <c r="B14" s="19"/>
      <c r="C14" s="19"/>
      <c r="D14" s="19"/>
      <c r="E14" s="19"/>
      <c r="F14" s="19"/>
    </row>
    <row r="15" spans="1:6" x14ac:dyDescent="0.25">
      <c r="A15" s="42" t="s">
        <v>319</v>
      </c>
      <c r="B15" s="33">
        <f>B5-B12</f>
        <v>-212164</v>
      </c>
      <c r="C15" s="33">
        <f>C5-C12</f>
        <v>455670</v>
      </c>
      <c r="D15" s="33">
        <f>D5-D12</f>
        <v>1308590</v>
      </c>
      <c r="E15" s="33">
        <f>E5-E12</f>
        <v>2196369</v>
      </c>
      <c r="F15" s="33">
        <f>F5-F12</f>
        <v>3114494</v>
      </c>
    </row>
    <row r="16" spans="1:6" x14ac:dyDescent="0.25">
      <c r="A16" s="11" t="s">
        <v>320</v>
      </c>
      <c r="B16" s="30">
        <f>IF(B5=0,0,B15/B5)</f>
        <v>-0.18005398</v>
      </c>
      <c r="C16" s="30">
        <f>IF(C5=0,0,C15/C5)</f>
        <v>0.20148131</v>
      </c>
      <c r="D16" s="30">
        <f>IF(D5=0,0,D15/D5)</f>
        <v>0.38854014</v>
      </c>
      <c r="E16" s="30">
        <f>IF(E5=0,0,E15/E5)</f>
        <v>0.48780763</v>
      </c>
      <c r="F16" s="30">
        <f>IF(F5=0,0,F15/F5)</f>
        <v>0.54675147</v>
      </c>
    </row>
    <row r="17" spans="1:6" x14ac:dyDescent="0.25">
      <c r="A17" s="10" t="s">
        <v>354</v>
      </c>
      <c r="B17" s="34">
        <f>B15</f>
        <v>-212164</v>
      </c>
      <c r="C17" s="34">
        <f>B17+C15</f>
        <v>243507</v>
      </c>
      <c r="D17" s="34">
        <f>C17+D15</f>
        <v>1552096</v>
      </c>
      <c r="E17" s="34">
        <f>D17+E15</f>
        <v>3748465</v>
      </c>
      <c r="F17" s="34">
        <f>E17+F15</f>
        <v>6862959</v>
      </c>
    </row>
    <row r="18" spans="1:6" x14ac:dyDescent="0.25">
      <c r="A18" s="10" t="s">
        <v>355</v>
      </c>
      <c r="B18" s="43" t="s">
        <v>7</v>
      </c>
      <c r="C18" s="44" t="s">
        <v>356</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357</v>
      </c>
      <c r="B4" s="19"/>
      <c r="C4" s="19"/>
      <c r="D4" s="19"/>
      <c r="E4" s="19"/>
      <c r="F4" s="19"/>
    </row>
    <row r="5" spans="1:5" x14ac:dyDescent="0.25">
      <c r="A5" s="45" t="s">
        <v>358</v>
      </c>
      <c r="B5" s="46" t="s">
        <v>165</v>
      </c>
      <c r="C5" s="47" t="s">
        <v>359</v>
      </c>
      <c r="D5" s="45" t="s">
        <v>360</v>
      </c>
      <c r="E5" s="46" t="s">
        <v>261</v>
      </c>
    </row>
    <row r="6" spans="1:5" x14ac:dyDescent="0.25">
      <c r="A6" s="20" t="s">
        <v>167</v>
      </c>
      <c r="B6" s="23">
        <v>350000</v>
      </c>
      <c r="C6" s="24">
        <v>0.06</v>
      </c>
      <c r="D6" s="20">
        <v>10</v>
      </c>
      <c r="E6" s="31">
        <f>IF(OR(B6=0,D6=0),0,IF(C6=0,B6/D6,-PMT(C6/12,D6*12,B6)*12))</f>
        <v>46629</v>
      </c>
    </row>
    <row r="8" ht="24" customHeight="1" spans="1:6" x14ac:dyDescent="0.25">
      <c r="A8" s="19" t="s">
        <v>361</v>
      </c>
      <c r="B8" s="19"/>
      <c r="C8" s="19"/>
      <c r="D8" s="19"/>
      <c r="E8" s="19"/>
      <c r="F8" s="19"/>
    </row>
    <row r="9" spans="1:6" x14ac:dyDescent="0.25">
      <c r="A9" s="11" t="s">
        <v>362</v>
      </c>
      <c r="B9" s="31">
        <f>B6</f>
        <v>350000</v>
      </c>
      <c r="C9" s="31">
        <f>B13</f>
        <v>323655</v>
      </c>
      <c r="D9" s="31">
        <f>C13</f>
        <v>295685</v>
      </c>
      <c r="E9" s="31">
        <f>D13</f>
        <v>265989</v>
      </c>
      <c r="F9" s="31">
        <f>E13</f>
        <v>234462</v>
      </c>
    </row>
    <row r="10" spans="1:6" x14ac:dyDescent="0.25">
      <c r="A10" s="11" t="s">
        <v>363</v>
      </c>
      <c r="B10" s="31">
        <f>IF(OR(D6=0,1&gt;D6*12),0,IF(C6=0,0,-CUMIPMT(C6/12,D6*12,B6,1,12,0)))</f>
        <v>20283</v>
      </c>
      <c r="C10" s="31">
        <f>IF(OR(D6=0,13&gt;D6*12),0,IF(C6=0,0,-CUMIPMT(C6/12,D6*12,B6,13,24,0)))</f>
        <v>18658</v>
      </c>
      <c r="D10" s="31">
        <f>IF(OR(D6=0,25&gt;D6*12),0,IF(C6=0,0,-CUMIPMT(C6/12,D6*12,B6,25,36,0)))</f>
        <v>16933</v>
      </c>
      <c r="E10" s="31">
        <f>IF(OR(D6=0,37&gt;D6*12),0,IF(C6=0,0,-CUMIPMT(C6/12,D6*12,B6,37,48,0)))</f>
        <v>15102</v>
      </c>
      <c r="F10" s="31">
        <f>IF(OR(D6=0,49&gt;D6*12),0,IF(C6=0,0,-CUMIPMT(C6/12,D6*12,B6,49,60,0)))</f>
        <v>13157</v>
      </c>
    </row>
    <row r="11" spans="1:6" x14ac:dyDescent="0.25">
      <c r="A11" s="11" t="s">
        <v>364</v>
      </c>
      <c r="B11" s="31">
        <f>IF(OR(D6=0,1&gt;D6*12),0,IF(C6=0,B6/D6,-CUMPRINC(C6/12,D6*12,B6,1,12,0)))</f>
        <v>26345</v>
      </c>
      <c r="C11" s="31">
        <f>IF(OR(D6=0,13&gt;D6*12),0,IF(C6=0,B6/D6,-CUMPRINC(C6/12,D6*12,B6,13,24,0)))</f>
        <v>27970</v>
      </c>
      <c r="D11" s="31">
        <f>IF(OR(D6=0,25&gt;D6*12),0,IF(C6=0,B6/D6,-CUMPRINC(C6/12,D6*12,B6,25,36,0)))</f>
        <v>29695</v>
      </c>
      <c r="E11" s="31">
        <f>IF(OR(D6=0,37&gt;D6*12),0,IF(C6=0,B6/D6,-CUMPRINC(C6/12,D6*12,B6,37,48,0)))</f>
        <v>31527</v>
      </c>
      <c r="F11" s="31">
        <f>IF(OR(D6=0,49&gt;D6*12),0,IF(C6=0,B6/D6,-CUMPRINC(C6/12,D6*12,B6,49,60,0)))</f>
        <v>33471</v>
      </c>
    </row>
    <row r="12" spans="1:6" x14ac:dyDescent="0.25">
      <c r="A12" s="10" t="s">
        <v>365</v>
      </c>
      <c r="B12" s="34">
        <f>B10+B11</f>
        <v>46629</v>
      </c>
      <c r="C12" s="34">
        <f>C10+C11</f>
        <v>46629</v>
      </c>
      <c r="D12" s="34">
        <f>D10+D11</f>
        <v>46629</v>
      </c>
      <c r="E12" s="34">
        <f>E10+E11</f>
        <v>46629</v>
      </c>
      <c r="F12" s="34">
        <f>F10+F11</f>
        <v>46629</v>
      </c>
    </row>
    <row r="13" spans="1:6" x14ac:dyDescent="0.25">
      <c r="A13" s="10" t="s">
        <v>366</v>
      </c>
      <c r="B13" s="39">
        <f>MAX(0,B9-B11)</f>
        <v>323655</v>
      </c>
      <c r="C13" s="39">
        <f>MAX(0,C9-C11)</f>
        <v>295685</v>
      </c>
      <c r="D13" s="39">
        <f>MAX(0,D9-D11)</f>
        <v>265989</v>
      </c>
      <c r="E13" s="39">
        <f>MAX(0,E9-E11)</f>
        <v>234462</v>
      </c>
      <c r="F13" s="39">
        <f>MAX(0,F9-F11)</f>
        <v>200991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368</v>
      </c>
      <c r="B4" s="19"/>
      <c r="C4" s="19"/>
      <c r="D4" s="19"/>
      <c r="E4" s="19"/>
      <c r="F4" s="19"/>
    </row>
    <row r="5" spans="1:6" x14ac:dyDescent="0.25">
      <c r="A5" s="11" t="s">
        <v>369</v>
      </c>
      <c r="B5" s="48">
        <f>'Monthly Cash Flow Y1'!M14</f>
        <v>74498</v>
      </c>
      <c r="C5" s="48">
        <f>B5+'5-Year Operating Stmt'!C15</f>
        <v>530168</v>
      </c>
      <c r="D5" s="48">
        <f>B5+'5-Year Operating Stmt'!C15+'5-Year Operating Stmt'!D15</f>
        <v>1838758</v>
      </c>
      <c r="E5" s="48">
        <f>B5+'5-Year Operating Stmt'!C15+'5-Year Operating Stmt'!D15+'5-Year Operating Stmt'!E15</f>
        <v>4035127</v>
      </c>
      <c r="F5" s="48">
        <f>B5+'5-Year Operating Stmt'!C15+'5-Year Operating Stmt'!D15+'5-Year Operating Stmt'!E15+'5-Year Operating Stmt'!F15</f>
        <v>7149621</v>
      </c>
    </row>
    <row r="6" spans="1:6" x14ac:dyDescent="0.25">
      <c r="A6" s="11" t="s">
        <v>370</v>
      </c>
      <c r="B6" s="31">
        <v>67795</v>
      </c>
      <c r="C6" s="31">
        <v>130119</v>
      </c>
      <c r="D6" s="31">
        <v>193773</v>
      </c>
      <c r="E6" s="31">
        <v>259050</v>
      </c>
      <c r="F6" s="31">
        <v>327736</v>
      </c>
    </row>
    <row r="7" spans="1:6" x14ac:dyDescent="0.25">
      <c r="A7" s="11" t="s">
        <v>371</v>
      </c>
      <c r="B7" s="31">
        <v>0</v>
      </c>
      <c r="C7" s="31">
        <v>0</v>
      </c>
      <c r="D7" s="31">
        <v>0</v>
      </c>
      <c r="E7" s="31">
        <v>0</v>
      </c>
      <c r="F7" s="31">
        <v>0</v>
      </c>
    </row>
    <row r="8" spans="1:6" x14ac:dyDescent="0.25">
      <c r="A8" s="11" t="s">
        <v>372</v>
      </c>
      <c r="B8" s="31">
        <v>0</v>
      </c>
      <c r="C8" s="31">
        <v>0</v>
      </c>
      <c r="D8" s="31">
        <v>0</v>
      </c>
      <c r="E8" s="31">
        <v>0</v>
      </c>
      <c r="F8" s="31">
        <v>0</v>
      </c>
    </row>
    <row r="9" spans="1:6" x14ac:dyDescent="0.25">
      <c r="A9" s="10" t="s">
        <v>373</v>
      </c>
      <c r="B9" s="32">
        <f>SUM(B5:B8)</f>
        <v>142293</v>
      </c>
      <c r="C9" s="32">
        <f>SUM(C5:C8)</f>
        <v>660288</v>
      </c>
      <c r="D9" s="32">
        <f>SUM(D5:D8)</f>
        <v>2032531</v>
      </c>
      <c r="E9" s="32">
        <f>SUM(E5:E8)</f>
        <v>4294177</v>
      </c>
      <c r="F9" s="32">
        <f>SUM(F5:F8)</f>
        <v>7477357</v>
      </c>
    </row>
    <row r="11" ht="24" customHeight="1" spans="1:6" x14ac:dyDescent="0.25">
      <c r="A11" s="19" t="s">
        <v>374</v>
      </c>
      <c r="B11" s="19"/>
      <c r="C11" s="19"/>
      <c r="D11" s="19"/>
      <c r="E11" s="19"/>
      <c r="F11" s="19"/>
    </row>
    <row r="12" spans="1:6" x14ac:dyDescent="0.25">
      <c r="A12" s="11" t="s">
        <v>375</v>
      </c>
      <c r="B12" s="31">
        <v>0</v>
      </c>
      <c r="C12" s="31">
        <v>0</v>
      </c>
      <c r="D12" s="31">
        <v>0</v>
      </c>
      <c r="E12" s="31">
        <v>0</v>
      </c>
      <c r="F12" s="31">
        <v>0</v>
      </c>
    </row>
    <row r="13" spans="1:6" x14ac:dyDescent="0.25">
      <c r="A13" s="11" t="s">
        <v>376</v>
      </c>
      <c r="B13" s="31">
        <f>'Debt Schedule'!B13</f>
        <v>323655</v>
      </c>
      <c r="C13" s="31">
        <f>'Debt Schedule'!C13</f>
        <v>295685</v>
      </c>
      <c r="D13" s="31">
        <f>'Debt Schedule'!D13</f>
        <v>265989</v>
      </c>
      <c r="E13" s="31">
        <f>'Debt Schedule'!E13</f>
        <v>234462</v>
      </c>
      <c r="F13" s="31">
        <f>'Debt Schedule'!F13</f>
        <v>200991</v>
      </c>
    </row>
    <row r="14" spans="1:6" x14ac:dyDescent="0.25">
      <c r="A14" s="10" t="s">
        <v>377</v>
      </c>
      <c r="B14" s="32">
        <f>SUM(B12:B13)</f>
        <v>323655</v>
      </c>
      <c r="C14" s="32">
        <f>SUM(C12:C13)</f>
        <v>295685</v>
      </c>
      <c r="D14" s="32">
        <f>SUM(D12:D13)</f>
        <v>265989</v>
      </c>
      <c r="E14" s="32">
        <f>SUM(E12:E13)</f>
        <v>234462</v>
      </c>
      <c r="F14" s="32">
        <f>SUM(F12:F13)</f>
        <v>200991</v>
      </c>
    </row>
    <row r="16" ht="24" customHeight="1" spans="1:6" x14ac:dyDescent="0.25">
      <c r="A16" s="19" t="s">
        <v>378</v>
      </c>
      <c r="B16" s="19"/>
      <c r="C16" s="19"/>
      <c r="D16" s="19"/>
      <c r="E16" s="19"/>
      <c r="F16" s="19"/>
    </row>
    <row r="17" spans="1:6" x14ac:dyDescent="0.25">
      <c r="A17" s="10" t="s">
        <v>379</v>
      </c>
      <c r="B17" s="33">
        <f>B9-B14</f>
        <v>-181362</v>
      </c>
      <c r="C17" s="33">
        <f>C9-C14</f>
        <v>364603</v>
      </c>
      <c r="D17" s="33">
        <f>D9-D14</f>
        <v>1766542</v>
      </c>
      <c r="E17" s="33">
        <f>E9-E14</f>
        <v>4059714</v>
      </c>
      <c r="F17" s="33">
        <f>F9-F14</f>
        <v>7276366</v>
      </c>
    </row>
    <row r="19" spans="1:6" x14ac:dyDescent="0.25">
      <c r="A19" s="10" t="s">
        <v>380</v>
      </c>
      <c r="B19" s="49" t="str">
        <f>B9-B14-B17</f>
        <v>0</v>
      </c>
      <c r="C19" s="49" t="str">
        <f>C9-C14-C17</f>
        <v>0</v>
      </c>
      <c r="D19" s="49" t="str">
        <f>D9-D14-D17</f>
        <v>0</v>
      </c>
      <c r="E19" s="50">
        <f>E9-E14-E17</f>
        <v>1</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382</v>
      </c>
      <c r="B4" s="19"/>
      <c r="C4" s="19"/>
      <c r="D4" s="19"/>
      <c r="E4" s="19"/>
      <c r="F4" s="19"/>
    </row>
    <row r="5" spans="1:6" x14ac:dyDescent="0.25">
      <c r="A5" s="11" t="s">
        <v>383</v>
      </c>
      <c r="B5" s="31">
        <v>1178333</v>
      </c>
      <c r="C5" s="31">
        <v>2261600</v>
      </c>
      <c r="D5" s="31">
        <v>3367965</v>
      </c>
      <c r="E5" s="31">
        <v>4502532</v>
      </c>
      <c r="F5" s="31">
        <v>5696361</v>
      </c>
    </row>
    <row r="6" spans="1:6" x14ac:dyDescent="0.25">
      <c r="A6" s="11" t="s">
        <v>338</v>
      </c>
      <c r="B6" s="31">
        <v>780535</v>
      </c>
      <c r="C6" s="31">
        <v>964741</v>
      </c>
      <c r="D6" s="31">
        <v>993683</v>
      </c>
      <c r="E6" s="31">
        <v>1023494</v>
      </c>
      <c r="F6" s="31">
        <v>1054199</v>
      </c>
    </row>
    <row r="7" spans="1:6" x14ac:dyDescent="0.25">
      <c r="A7" s="11" t="s">
        <v>339</v>
      </c>
      <c r="B7" s="31">
        <v>503333</v>
      </c>
      <c r="C7" s="31">
        <v>774560</v>
      </c>
      <c r="D7" s="31">
        <v>994063</v>
      </c>
      <c r="E7" s="31">
        <v>1226040</v>
      </c>
      <c r="F7" s="31">
        <v>1471040</v>
      </c>
    </row>
    <row r="8" spans="1:6" x14ac:dyDescent="0.25">
      <c r="A8" s="10" t="s">
        <v>384</v>
      </c>
      <c r="B8" s="34">
        <v>-212164</v>
      </c>
      <c r="C8" s="34">
        <v>455670</v>
      </c>
      <c r="D8" s="34">
        <v>1308590</v>
      </c>
      <c r="E8" s="34">
        <v>2196369</v>
      </c>
      <c r="F8" s="34">
        <v>3114494</v>
      </c>
    </row>
    <row r="9" spans="1:6" x14ac:dyDescent="0.25">
      <c r="A9" s="11" t="s">
        <v>385</v>
      </c>
      <c r="B9" s="31">
        <v>0</v>
      </c>
      <c r="C9" s="31">
        <v>0</v>
      </c>
      <c r="D9" s="31">
        <v>0</v>
      </c>
      <c r="E9" s="31">
        <v>0</v>
      </c>
      <c r="F9" s="31">
        <v>0</v>
      </c>
    </row>
    <row r="10" spans="1:6" x14ac:dyDescent="0.25">
      <c r="A10" s="11" t="s">
        <v>386</v>
      </c>
      <c r="B10" s="31">
        <v>46629</v>
      </c>
      <c r="C10" s="31">
        <v>46629</v>
      </c>
      <c r="D10" s="31">
        <v>46629</v>
      </c>
      <c r="E10" s="31">
        <v>46629</v>
      </c>
      <c r="F10" s="31">
        <v>46629</v>
      </c>
    </row>
    <row r="11" spans="1:6" x14ac:dyDescent="0.25">
      <c r="A11" s="10" t="s">
        <v>387</v>
      </c>
      <c r="B11" s="34">
        <f>B8+B9+B10</f>
        <v>-165535</v>
      </c>
      <c r="C11" s="34">
        <f>C8+C9+C10</f>
        <v>502299</v>
      </c>
      <c r="D11" s="34">
        <f>D8+D9+D10</f>
        <v>1355218</v>
      </c>
      <c r="E11" s="34">
        <f>E8+E9+E10</f>
        <v>2242998</v>
      </c>
      <c r="F11" s="34">
        <f>F8+F9+F10</f>
        <v>3161123</v>
      </c>
    </row>
    <row r="12" spans="1:6" x14ac:dyDescent="0.25">
      <c r="A12" s="10" t="s">
        <v>388</v>
      </c>
      <c r="B12" s="51">
        <f>IF(B10=0,"N/A",B11/B10)</f>
        <v>-3.55</v>
      </c>
      <c r="C12" s="51">
        <f>IF(C10=0,"N/A",C11/C10)</f>
        <v>10.77</v>
      </c>
      <c r="D12" s="51">
        <f>IF(D10=0,"N/A",D11/D10)</f>
        <v>29.06</v>
      </c>
      <c r="E12" s="51">
        <f>IF(E10=0,"N/A",E11/E10)</f>
        <v>48.1</v>
      </c>
      <c r="F12" s="51">
        <f>IF(F10=0,"N/A",F11/F10)</f>
        <v>67.79</v>
      </c>
    </row>
    <row r="14" ht="24" customHeight="1" spans="1:6" x14ac:dyDescent="0.25">
      <c r="A14" s="19" t="s">
        <v>389</v>
      </c>
      <c r="B14" s="19"/>
      <c r="C14" s="19"/>
      <c r="D14" s="19"/>
      <c r="E14" s="19"/>
      <c r="F14" s="19"/>
    </row>
    <row r="15" spans="1:6" x14ac:dyDescent="0.25">
      <c r="A15" s="11" t="s">
        <v>390</v>
      </c>
      <c r="B15" s="31">
        <v>74498</v>
      </c>
      <c r="C15" s="31">
        <v>530168</v>
      </c>
      <c r="D15" s="31">
        <v>1838758</v>
      </c>
      <c r="E15" s="31">
        <v>4035127</v>
      </c>
      <c r="F15" s="31">
        <v>7149621</v>
      </c>
    </row>
    <row r="16" spans="1:6" x14ac:dyDescent="0.25">
      <c r="A16" s="11" t="s">
        <v>391</v>
      </c>
      <c r="B16" s="36">
        <f>IF((B5-B8)=0,0,(B15/(B5-B8))*365)</f>
        <v>20</v>
      </c>
      <c r="C16" s="36">
        <f>IF((C5-C8)=0,0,(C15/(C5-C8))*365)</f>
        <v>107</v>
      </c>
      <c r="D16" s="36">
        <f>IF((D5-D8)=0,0,(D15/(D5-D8))*365)</f>
        <v>326</v>
      </c>
      <c r="E16" s="36">
        <f>IF((E5-E8)=0,0,(E15/(E5-E8))*365)</f>
        <v>639</v>
      </c>
      <c r="F16" s="36">
        <f>IF((F5-F8)=0,0,(F15/(F5-F8))*365)</f>
        <v>1011</v>
      </c>
    </row>
    <row r="17" spans="1:6" x14ac:dyDescent="0.25">
      <c r="A17" s="11" t="s">
        <v>392</v>
      </c>
      <c r="B17" s="35">
        <f>IF((B5-B8)=0,0,B15/((B5-B8)/12))</f>
        <v>0.6</v>
      </c>
      <c r="C17" s="35">
        <f>IF((C5-C8)=0,0,C15/((C5-C8)/12))</f>
        <v>3.5</v>
      </c>
      <c r="D17" s="35">
        <f>IF((D5-D8)=0,0,D15/((D5-D8)/12))</f>
        <v>10.7</v>
      </c>
      <c r="E17" s="35">
        <f>IF((E5-E8)=0,0,E15/((E5-E8)/12))</f>
        <v>21</v>
      </c>
      <c r="F17" s="35">
        <f>IF((F5-F8)=0,0,F15/((F5-F8)/12))</f>
        <v>33.2</v>
      </c>
    </row>
    <row r="18" spans="1:6" x14ac:dyDescent="0.25">
      <c r="A18" s="11" t="s">
        <v>228</v>
      </c>
      <c r="B18" s="30">
        <v>0.2</v>
      </c>
      <c r="C18" s="30">
        <v>0.3333333333333333</v>
      </c>
      <c r="D18" s="30">
        <v>0.5</v>
      </c>
      <c r="E18" s="30">
        <v>0.6666666666666666</v>
      </c>
      <c r="F18" s="30">
        <v>0.8333333333333334</v>
      </c>
    </row>
    <row r="20" ht="24" customHeight="1" spans="1:6" x14ac:dyDescent="0.25">
      <c r="A20" s="19" t="s">
        <v>393</v>
      </c>
      <c r="B20" s="19"/>
      <c r="C20" s="19"/>
      <c r="D20" s="19"/>
      <c r="E20" s="19"/>
      <c r="F20" s="19"/>
    </row>
    <row r="21" spans="1:6" x14ac:dyDescent="0.25">
      <c r="A21" s="11" t="s">
        <v>268</v>
      </c>
      <c r="B21" s="31">
        <v>9819</v>
      </c>
      <c r="C21" s="31">
        <v>11308</v>
      </c>
      <c r="D21" s="31">
        <v>11227</v>
      </c>
      <c r="E21" s="31">
        <v>11256</v>
      </c>
      <c r="F21" s="31">
        <v>11393</v>
      </c>
    </row>
    <row r="22" spans="1:6" x14ac:dyDescent="0.25">
      <c r="A22" s="11" t="s">
        <v>394</v>
      </c>
      <c r="B22" s="31">
        <v>827164</v>
      </c>
      <c r="C22" s="31">
        <v>1011370</v>
      </c>
      <c r="D22" s="31">
        <v>1040312</v>
      </c>
      <c r="E22" s="31">
        <v>1070123</v>
      </c>
      <c r="F22" s="31">
        <v>1100827</v>
      </c>
    </row>
    <row r="23" spans="1:6" x14ac:dyDescent="0.25">
      <c r="A23" s="11" t="s">
        <v>395</v>
      </c>
      <c r="B23" s="31">
        <v>4194</v>
      </c>
      <c r="C23" s="31">
        <v>3873</v>
      </c>
      <c r="D23" s="31">
        <v>3314</v>
      </c>
      <c r="E23" s="31">
        <v>3065</v>
      </c>
      <c r="F23" s="31">
        <v>2942</v>
      </c>
    </row>
    <row r="24" spans="1:6" x14ac:dyDescent="0.25">
      <c r="A24" s="10" t="s">
        <v>396</v>
      </c>
      <c r="B24" s="52">
        <v>148</v>
      </c>
      <c r="C24" s="52">
        <v>137</v>
      </c>
      <c r="D24" s="52">
        <v>132</v>
      </c>
      <c r="E24" s="52">
        <v>131</v>
      </c>
      <c r="F24" s="52">
        <v>131</v>
      </c>
    </row>
    <row r="26" ht="24" customHeight="1" spans="1:6" x14ac:dyDescent="0.25">
      <c r="A26" s="19" t="s">
        <v>397</v>
      </c>
      <c r="B26" s="19"/>
      <c r="C26" s="19"/>
      <c r="D26" s="19"/>
      <c r="E26" s="19"/>
      <c r="F26" s="19"/>
    </row>
    <row r="27" spans="1:6" x14ac:dyDescent="0.25">
      <c r="A27" s="11" t="s">
        <v>398</v>
      </c>
      <c r="B27" s="53" t="s">
        <v>399</v>
      </c>
      <c r="C27" s="54" t="s">
        <v>400</v>
      </c>
      <c r="D27" s="54" t="s">
        <v>400</v>
      </c>
      <c r="E27" s="54" t="s">
        <v>400</v>
      </c>
      <c r="F27" s="54" t="s">
        <v>400</v>
      </c>
    </row>
    <row r="28" spans="1:6" x14ac:dyDescent="0.25">
      <c r="A28" s="11" t="s">
        <v>401</v>
      </c>
      <c r="B28" s="53" t="s">
        <v>399</v>
      </c>
      <c r="C28" s="54" t="s">
        <v>400</v>
      </c>
      <c r="D28" s="54" t="s">
        <v>400</v>
      </c>
      <c r="E28" s="54" t="s">
        <v>400</v>
      </c>
      <c r="F28" s="54" t="s">
        <v>400</v>
      </c>
    </row>
    <row r="29" spans="1:6" x14ac:dyDescent="0.25">
      <c r="A29" s="11" t="s">
        <v>402</v>
      </c>
      <c r="B29" s="54" t="s">
        <v>400</v>
      </c>
      <c r="C29" s="54" t="s">
        <v>400</v>
      </c>
      <c r="D29" s="54" t="s">
        <v>400</v>
      </c>
      <c r="E29" s="54" t="s">
        <v>400</v>
      </c>
      <c r="F29" s="54" t="s">
        <v>400</v>
      </c>
    </row>
    <row r="30" spans="1:6" x14ac:dyDescent="0.25">
      <c r="A30" s="11" t="s">
        <v>403</v>
      </c>
      <c r="B30" s="53" t="s">
        <v>399</v>
      </c>
      <c r="C30" s="53" t="s">
        <v>399</v>
      </c>
      <c r="D30" s="53" t="s">
        <v>399</v>
      </c>
      <c r="E30" s="53" t="s">
        <v>399</v>
      </c>
      <c r="F30" s="53" t="s">
        <v>399</v>
      </c>
    </row>
    <row r="31" spans="1:6" x14ac:dyDescent="0.25">
      <c r="A31" s="11" t="s">
        <v>404</v>
      </c>
      <c r="B31" s="53" t="s">
        <v>399</v>
      </c>
      <c r="C31" s="54" t="s">
        <v>400</v>
      </c>
      <c r="D31" s="54" t="s">
        <v>400</v>
      </c>
      <c r="E31" s="54" t="s">
        <v>400</v>
      </c>
      <c r="F31" s="54" t="s">
        <v>400</v>
      </c>
    </row>
    <row r="32" spans="1:6" x14ac:dyDescent="0.25">
      <c r="A32" s="11" t="s">
        <v>405</v>
      </c>
      <c r="B32" s="53" t="s">
        <v>399</v>
      </c>
      <c r="C32" s="54" t="s">
        <v>400</v>
      </c>
      <c r="D32" s="54" t="s">
        <v>400</v>
      </c>
      <c r="E32" s="54" t="s">
        <v>400</v>
      </c>
      <c r="F32" s="54" t="s">
        <v>400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406</v>
      </c>
      <c r="B3" s="55" t="s">
        <v>114</v>
      </c>
      <c r="D3" s="55" t="s">
        <v>407</v>
      </c>
      <c r="E3" s="55" t="s">
        <v>114</v>
      </c>
    </row>
    <row r="4" spans="1:5" x14ac:dyDescent="0.25">
      <c r="A4" s="11" t="s">
        <v>167</v>
      </c>
      <c r="B4" s="31">
        <v>350000</v>
      </c>
      <c r="D4" s="11" t="s">
        <v>408</v>
      </c>
      <c r="E4" s="31">
        <v>250000</v>
      </c>
    </row>
    <row r="5" spans="1:5" x14ac:dyDescent="0.25">
      <c r="A5" s="11" t="s">
        <v>409</v>
      </c>
      <c r="B5" s="31">
        <v>150000</v>
      </c>
      <c r="D5" s="11" t="s">
        <v>169</v>
      </c>
      <c r="E5" s="31">
        <v>60000</v>
      </c>
    </row>
    <row r="6" spans="4:5" x14ac:dyDescent="0.25">
      <c r="D6" s="11" t="s">
        <v>410</v>
      </c>
      <c r="E6" s="31">
        <v>50000</v>
      </c>
    </row>
    <row r="7" spans="4:5" x14ac:dyDescent="0.25">
      <c r="D7" s="11" t="s">
        <v>411</v>
      </c>
      <c r="E7" s="31">
        <v>140000</v>
      </c>
    </row>
    <row r="9" spans="1:5" x14ac:dyDescent="0.25">
      <c r="A9" s="10" t="s">
        <v>412</v>
      </c>
      <c r="B9" s="33">
        <v>500000</v>
      </c>
      <c r="D9" s="10" t="s">
        <v>413</v>
      </c>
      <c r="E9" s="33">
        <v>500000</v>
      </c>
    </row>
    <row r="10" spans="1:2" x14ac:dyDescent="0.25">
      <c r="A10" s="10" t="s">
        <v>414</v>
      </c>
      <c r="B10"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415</v>
      </c>
      <c r="B1" s="15"/>
      <c r="C1" s="15"/>
      <c r="D1" s="15"/>
      <c r="E1" s="15"/>
      <c r="F1" s="15"/>
    </row>
    <row r="3" ht="24" customHeight="1" spans="1:6" x14ac:dyDescent="0.25">
      <c r="A3" s="19" t="s">
        <v>416</v>
      </c>
      <c r="B3" s="19"/>
      <c r="C3" s="19"/>
      <c r="D3" s="19"/>
      <c r="E3" s="19"/>
      <c r="F3" s="19"/>
    </row>
    <row r="4" spans="1:1" x14ac:dyDescent="0.25">
      <c r="A4" s="17" t="s">
        <v>417</v>
      </c>
    </row>
    <row r="5" ht="28" customHeight="1" spans="1:6" x14ac:dyDescent="0.25">
      <c r="A5" s="21" t="s">
        <v>7</v>
      </c>
      <c r="B5" s="21" t="s">
        <v>104</v>
      </c>
      <c r="C5" s="21" t="s">
        <v>105</v>
      </c>
      <c r="D5" s="21" t="s">
        <v>106</v>
      </c>
      <c r="E5" s="21" t="s">
        <v>107</v>
      </c>
      <c r="F5" s="21" t="s">
        <v>108</v>
      </c>
    </row>
    <row r="6" spans="1:6" x14ac:dyDescent="0.25">
      <c r="A6" s="11" t="s">
        <v>383</v>
      </c>
      <c r="B6" s="31">
        <v>1178333</v>
      </c>
      <c r="C6" s="31">
        <v>2261600</v>
      </c>
      <c r="D6" s="31">
        <v>3367965</v>
      </c>
      <c r="E6" s="31">
        <v>4502532</v>
      </c>
      <c r="F6" s="31">
        <v>5696361</v>
      </c>
    </row>
    <row r="7" spans="1:6" x14ac:dyDescent="0.25">
      <c r="A7" s="11" t="s">
        <v>317</v>
      </c>
      <c r="B7" s="31">
        <v>1330497</v>
      </c>
      <c r="C7" s="31">
        <v>1785930</v>
      </c>
      <c r="D7" s="31">
        <v>2034375</v>
      </c>
      <c r="E7" s="31">
        <v>2296162</v>
      </c>
      <c r="F7" s="31">
        <v>2571867</v>
      </c>
    </row>
    <row r="8" spans="1:6" x14ac:dyDescent="0.25">
      <c r="A8" s="10" t="s">
        <v>319</v>
      </c>
      <c r="B8" s="33">
        <v>-152164</v>
      </c>
      <c r="C8" s="33">
        <v>475670</v>
      </c>
      <c r="D8" s="33">
        <v>1333590</v>
      </c>
      <c r="E8" s="33">
        <v>2206369</v>
      </c>
      <c r="F8" s="33">
        <v>3124494</v>
      </c>
    </row>
    <row r="9" spans="1:6" x14ac:dyDescent="0.25">
      <c r="A9" s="11" t="s">
        <v>320</v>
      </c>
      <c r="B9" s="30">
        <v>-0.12913460606689658</v>
      </c>
      <c r="C9" s="30">
        <v>0.21032460611271073</v>
      </c>
      <c r="D9" s="30">
        <v>0.39596301962297903</v>
      </c>
      <c r="E9" s="30">
        <v>0.49002859951113986</v>
      </c>
      <c r="F9" s="30">
        <v>0.5485069777397931</v>
      </c>
    </row>
    <row r="10" spans="1:6" x14ac:dyDescent="0.25">
      <c r="A10" s="11" t="s">
        <v>388</v>
      </c>
      <c r="B10" s="56">
        <v>-2.26</v>
      </c>
      <c r="C10" s="56">
        <v>11.2</v>
      </c>
      <c r="D10" s="56">
        <v>29.6</v>
      </c>
      <c r="E10" s="56">
        <v>48.32</v>
      </c>
      <c r="F10" s="56">
        <v>68.01</v>
      </c>
    </row>
    <row r="11" spans="1:6" x14ac:dyDescent="0.25">
      <c r="A11" s="11" t="s">
        <v>396</v>
      </c>
      <c r="B11" s="36">
        <v>148</v>
      </c>
      <c r="C11" s="36">
        <v>137</v>
      </c>
      <c r="D11" s="36">
        <v>132</v>
      </c>
      <c r="E11" s="36">
        <v>131</v>
      </c>
      <c r="F11" s="36">
        <v>131</v>
      </c>
    </row>
    <row r="13" ht="24" customHeight="1" spans="1:6" x14ac:dyDescent="0.25">
      <c r="A13" s="19" t="s">
        <v>418</v>
      </c>
      <c r="B13" s="19"/>
      <c r="C13" s="19"/>
      <c r="D13" s="19"/>
      <c r="E13" s="19"/>
      <c r="F13" s="19"/>
    </row>
    <row r="14" spans="1:1" x14ac:dyDescent="0.25">
      <c r="A14" s="17" t="s">
        <v>419</v>
      </c>
    </row>
    <row r="15" ht="28" customHeight="1" spans="1:6" x14ac:dyDescent="0.25">
      <c r="A15" s="21" t="s">
        <v>7</v>
      </c>
      <c r="B15" s="21" t="s">
        <v>104</v>
      </c>
      <c r="C15" s="21" t="s">
        <v>105</v>
      </c>
      <c r="D15" s="21" t="s">
        <v>106</v>
      </c>
      <c r="E15" s="21" t="s">
        <v>107</v>
      </c>
      <c r="F15" s="21" t="s">
        <v>108</v>
      </c>
    </row>
    <row r="16" spans="1:6" x14ac:dyDescent="0.25">
      <c r="A16" s="11" t="s">
        <v>383</v>
      </c>
      <c r="B16" s="31">
        <v>1001583</v>
      </c>
      <c r="C16" s="31">
        <v>1922360</v>
      </c>
      <c r="D16" s="31">
        <v>2862770</v>
      </c>
      <c r="E16" s="31">
        <v>3827152</v>
      </c>
      <c r="F16" s="31">
        <v>4841907</v>
      </c>
    </row>
    <row r="17" spans="1:6" x14ac:dyDescent="0.25">
      <c r="A17" s="11" t="s">
        <v>317</v>
      </c>
      <c r="B17" s="31">
        <v>1330497</v>
      </c>
      <c r="C17" s="31">
        <v>1785930</v>
      </c>
      <c r="D17" s="31">
        <v>2034375</v>
      </c>
      <c r="E17" s="31">
        <v>2296162</v>
      </c>
      <c r="F17" s="31">
        <v>2571867</v>
      </c>
    </row>
    <row r="18" spans="1:6" x14ac:dyDescent="0.25">
      <c r="A18" s="10" t="s">
        <v>319</v>
      </c>
      <c r="B18" s="33">
        <v>-328914</v>
      </c>
      <c r="C18" s="33">
        <v>136430</v>
      </c>
      <c r="D18" s="33">
        <v>828395</v>
      </c>
      <c r="E18" s="33">
        <v>1530989</v>
      </c>
      <c r="F18" s="33">
        <v>2270040</v>
      </c>
    </row>
    <row r="19" spans="1:6" x14ac:dyDescent="0.25">
      <c r="A19" s="11" t="s">
        <v>320</v>
      </c>
      <c r="B19" s="30">
        <v>-0.32839365419634886</v>
      </c>
      <c r="C19" s="30">
        <v>0.07097012483848322</v>
      </c>
      <c r="D19" s="30">
        <v>0.2893682583799753</v>
      </c>
      <c r="E19" s="30">
        <v>0.40003364648369394</v>
      </c>
      <c r="F19" s="30">
        <v>0.46883173851740356</v>
      </c>
    </row>
    <row r="20" spans="1:6" x14ac:dyDescent="0.25">
      <c r="A20" s="11" t="s">
        <v>388</v>
      </c>
      <c r="B20" s="56">
        <v>-6.05</v>
      </c>
      <c r="C20" s="56">
        <v>3.93</v>
      </c>
      <c r="D20" s="56">
        <v>18.77</v>
      </c>
      <c r="E20" s="56">
        <v>33.83</v>
      </c>
      <c r="F20" s="56">
        <v>49.68</v>
      </c>
    </row>
    <row r="21" spans="1:6" x14ac:dyDescent="0.25">
      <c r="A21" s="11" t="s">
        <v>396</v>
      </c>
      <c r="B21" s="36">
        <v>170</v>
      </c>
      <c r="C21" s="36">
        <v>150</v>
      </c>
      <c r="D21" s="36">
        <v>142</v>
      </c>
      <c r="E21" s="36">
        <v>140</v>
      </c>
      <c r="F21" s="36">
        <v>139</v>
      </c>
    </row>
    <row r="23" ht="24" customHeight="1" spans="1:6" x14ac:dyDescent="0.25">
      <c r="A23" s="19" t="s">
        <v>420</v>
      </c>
      <c r="B23" s="19"/>
      <c r="C23" s="19"/>
      <c r="D23" s="19"/>
      <c r="E23" s="19"/>
      <c r="F23" s="19"/>
    </row>
    <row r="24" spans="1:1" x14ac:dyDescent="0.25">
      <c r="A24" s="17" t="s">
        <v>421</v>
      </c>
    </row>
    <row r="25" ht="28" customHeight="1" spans="1:6" x14ac:dyDescent="0.25">
      <c r="A25" s="21" t="s">
        <v>7</v>
      </c>
      <c r="B25" s="21" t="s">
        <v>104</v>
      </c>
      <c r="C25" s="21" t="s">
        <v>105</v>
      </c>
      <c r="D25" s="21" t="s">
        <v>106</v>
      </c>
      <c r="E25" s="21" t="s">
        <v>107</v>
      </c>
      <c r="F25" s="21" t="s">
        <v>108</v>
      </c>
    </row>
    <row r="26" spans="1:6" x14ac:dyDescent="0.25">
      <c r="A26" s="11" t="s">
        <v>383</v>
      </c>
      <c r="B26" s="31">
        <v>1084067</v>
      </c>
      <c r="C26" s="31">
        <v>2080672</v>
      </c>
      <c r="D26" s="31">
        <v>3098528</v>
      </c>
      <c r="E26" s="31">
        <v>4142329</v>
      </c>
      <c r="F26" s="31">
        <v>5240653</v>
      </c>
    </row>
    <row r="27" spans="1:6" x14ac:dyDescent="0.25">
      <c r="A27" s="11" t="s">
        <v>317</v>
      </c>
      <c r="B27" s="31">
        <v>1330497</v>
      </c>
      <c r="C27" s="31">
        <v>1785930</v>
      </c>
      <c r="D27" s="31">
        <v>2034375</v>
      </c>
      <c r="E27" s="31">
        <v>2296162</v>
      </c>
      <c r="F27" s="31">
        <v>2571867</v>
      </c>
    </row>
    <row r="28" spans="1:6" x14ac:dyDescent="0.25">
      <c r="A28" s="10" t="s">
        <v>319</v>
      </c>
      <c r="B28" s="33">
        <v>-246430</v>
      </c>
      <c r="C28" s="33">
        <v>294742</v>
      </c>
      <c r="D28" s="33">
        <v>1064152</v>
      </c>
      <c r="E28" s="33">
        <v>1846167</v>
      </c>
      <c r="F28" s="33">
        <v>2668785</v>
      </c>
    </row>
    <row r="29" spans="1:6" x14ac:dyDescent="0.25">
      <c r="A29" s="11" t="s">
        <v>320</v>
      </c>
      <c r="B29" s="30">
        <v>-0.2273202239857572</v>
      </c>
      <c r="C29" s="30">
        <v>0.1416571805572943</v>
      </c>
      <c r="D29" s="30">
        <v>0.34343806480758593</v>
      </c>
      <c r="E29" s="30">
        <v>0.4456832603381955</v>
      </c>
      <c r="F29" s="30">
        <v>0.5092467149345576</v>
      </c>
    </row>
    <row r="30" spans="1:6" x14ac:dyDescent="0.25">
      <c r="A30" s="11" t="s">
        <v>388</v>
      </c>
      <c r="B30" s="56">
        <v>-4.28</v>
      </c>
      <c r="C30" s="56">
        <v>7.32</v>
      </c>
      <c r="D30" s="56">
        <v>23.82</v>
      </c>
      <c r="E30" s="56">
        <v>40.59</v>
      </c>
      <c r="F30" s="56">
        <v>58.23</v>
      </c>
    </row>
    <row r="31" spans="1:6" x14ac:dyDescent="0.25">
      <c r="A31" s="11" t="s">
        <v>396</v>
      </c>
      <c r="B31" s="36">
        <v>171</v>
      </c>
      <c r="C31" s="36">
        <v>155</v>
      </c>
      <c r="D31" s="36">
        <v>149</v>
      </c>
      <c r="E31" s="36">
        <v>147</v>
      </c>
      <c r="F31" s="36">
        <v>147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423</v>
      </c>
      <c r="B6" s="11" t="s">
        <v>36</v>
      </c>
    </row>
    <row r="7" spans="1:2" x14ac:dyDescent="0.25">
      <c r="A7" s="11" t="s">
        <v>43</v>
      </c>
      <c r="B7" s="11" t="s">
        <v>44</v>
      </c>
    </row>
    <row r="8" spans="1:2" x14ac:dyDescent="0.25">
      <c r="A8" s="11" t="s">
        <v>37</v>
      </c>
      <c r="B8" s="11" t="s">
        <v>38</v>
      </c>
    </row>
    <row r="9" spans="1:2" x14ac:dyDescent="0.25">
      <c r="A9" s="11" t="s">
        <v>424</v>
      </c>
      <c r="B9" s="11" t="s">
        <v>46</v>
      </c>
    </row>
    <row r="11" ht="24" customHeight="1" spans="1:8" x14ac:dyDescent="0.25">
      <c r="A11" s="19" t="s">
        <v>425</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383</v>
      </c>
      <c r="D13" s="31">
        <v>1178333</v>
      </c>
      <c r="E13" s="31">
        <v>2261600</v>
      </c>
      <c r="F13" s="31">
        <v>3367965</v>
      </c>
      <c r="G13" s="31">
        <v>4502532</v>
      </c>
      <c r="H13" s="31">
        <v>5696361</v>
      </c>
    </row>
    <row r="14" spans="1:8" x14ac:dyDescent="0.25">
      <c r="A14" s="11" t="s">
        <v>317</v>
      </c>
      <c r="D14" s="31">
        <v>1330497</v>
      </c>
      <c r="E14" s="31">
        <v>1785930</v>
      </c>
      <c r="F14" s="31">
        <v>2034375</v>
      </c>
      <c r="G14" s="31">
        <v>2296162</v>
      </c>
      <c r="H14" s="31">
        <v>2571867</v>
      </c>
    </row>
    <row r="15" spans="1:8" x14ac:dyDescent="0.25">
      <c r="A15" s="11" t="s">
        <v>319</v>
      </c>
      <c r="D15" s="31">
        <v>-212164</v>
      </c>
      <c r="E15" s="31">
        <v>455670</v>
      </c>
      <c r="F15" s="31">
        <v>1308590</v>
      </c>
      <c r="G15" s="31">
        <v>2196369</v>
      </c>
      <c r="H15" s="31">
        <v>3114494</v>
      </c>
    </row>
    <row r="16" spans="1:8" x14ac:dyDescent="0.25">
      <c r="A16" s="11" t="s">
        <v>426</v>
      </c>
      <c r="D16" s="31">
        <v>74498</v>
      </c>
      <c r="E16" s="31">
        <v>530168</v>
      </c>
      <c r="F16" s="31">
        <v>1838758</v>
      </c>
      <c r="G16" s="31">
        <v>4035127</v>
      </c>
      <c r="H16" s="31">
        <v>7149621</v>
      </c>
    </row>
    <row r="17" spans="1:8" x14ac:dyDescent="0.25">
      <c r="A17" s="11" t="s">
        <v>427</v>
      </c>
      <c r="D17" s="31">
        <v>323655</v>
      </c>
      <c r="E17" s="31">
        <v>295685</v>
      </c>
      <c r="F17" s="31">
        <v>265989</v>
      </c>
      <c r="G17" s="31">
        <v>234462</v>
      </c>
      <c r="H17" s="31">
        <v>200991</v>
      </c>
    </row>
    <row r="19" ht="24" customHeight="1" spans="1:8" x14ac:dyDescent="0.25">
      <c r="A19" s="19" t="s">
        <v>428</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429</v>
      </c>
      <c r="D21" s="30">
        <v>-0.18005398371894768</v>
      </c>
      <c r="E21" s="30">
        <v>0.20148130933167066</v>
      </c>
      <c r="F21" s="30">
        <v>0.38854013963461814</v>
      </c>
      <c r="G21" s="30">
        <v>0.48780762672183775</v>
      </c>
      <c r="H21" s="30">
        <v>0.54675147116204</v>
      </c>
    </row>
    <row r="22" spans="1:8" x14ac:dyDescent="0.25">
      <c r="A22" s="11" t="s">
        <v>388</v>
      </c>
      <c r="D22" s="56">
        <v>-3.55</v>
      </c>
      <c r="E22" s="56">
        <v>10.77</v>
      </c>
      <c r="F22" s="56">
        <v>29.06</v>
      </c>
      <c r="G22" s="56">
        <v>48.1</v>
      </c>
      <c r="H22" s="56">
        <v>67.79</v>
      </c>
    </row>
    <row r="23" spans="1:8" x14ac:dyDescent="0.25">
      <c r="A23" s="11" t="s">
        <v>228</v>
      </c>
      <c r="D23" s="30">
        <v>0.2</v>
      </c>
      <c r="E23" s="30">
        <v>0.3333333333333333</v>
      </c>
      <c r="F23" s="30">
        <v>0.5</v>
      </c>
      <c r="G23" s="30">
        <v>0.6666666666666666</v>
      </c>
      <c r="H23" s="30">
        <v>0.8333333333333334</v>
      </c>
    </row>
    <row r="24" spans="1:8" x14ac:dyDescent="0.25">
      <c r="A24" s="11" t="s">
        <v>430</v>
      </c>
      <c r="D24" s="36">
        <v>120</v>
      </c>
      <c r="E24" s="36">
        <v>200</v>
      </c>
      <c r="F24" s="36">
        <v>300</v>
      </c>
      <c r="G24" s="36">
        <v>400</v>
      </c>
      <c r="H24" s="36">
        <v>500</v>
      </c>
    </row>
    <row r="26" spans="1:8" x14ac:dyDescent="0.25">
      <c r="A26" s="14" t="s">
        <v>431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432</v>
      </c>
      <c r="C2" s="1"/>
      <c r="D2" s="1"/>
      <c r="E2" s="1"/>
      <c r="F2" s="1"/>
      <c r="G2" s="1"/>
      <c r="H2" s="1"/>
    </row>
    <row r="3" spans="2:8" x14ac:dyDescent="0.25">
      <c r="B3" s="58" t="s">
        <v>433</v>
      </c>
      <c r="C3" s="58"/>
      <c r="D3" s="58"/>
      <c r="E3" s="58"/>
      <c r="F3" s="58"/>
      <c r="G3" s="58"/>
      <c r="H3" s="58"/>
    </row>
    <row r="4" spans="2:6" x14ac:dyDescent="0.25">
      <c r="B4" s="59" t="s">
        <v>434</v>
      </c>
      <c r="D4" s="60" t="s">
        <v>435</v>
      </c>
      <c r="F4" s="61" t="s">
        <v>436</v>
      </c>
    </row>
    <row r="6" ht="24" customHeight="1" spans="2:8" x14ac:dyDescent="0.25">
      <c r="B6" s="19" t="s">
        <v>437</v>
      </c>
      <c r="C6" s="62" t="s">
        <v>438</v>
      </c>
      <c r="D6" s="62" t="s">
        <v>439</v>
      </c>
      <c r="E6" s="62" t="s">
        <v>440</v>
      </c>
      <c r="F6" s="62" t="s">
        <v>441</v>
      </c>
      <c r="G6" s="62" t="s">
        <v>442</v>
      </c>
      <c r="H6" s="62" t="s">
        <v>443</v>
      </c>
    </row>
    <row r="7" spans="2:7" x14ac:dyDescent="0.25">
      <c r="B7" s="11" t="s">
        <v>430</v>
      </c>
      <c r="C7" s="63">
        <v>120</v>
      </c>
      <c r="D7" s="63">
        <v>200</v>
      </c>
      <c r="E7" s="63">
        <v>300</v>
      </c>
      <c r="F7" s="63">
        <v>400</v>
      </c>
      <c r="G7" s="63">
        <v>500</v>
      </c>
    </row>
    <row r="8" spans="2:7" x14ac:dyDescent="0.25">
      <c r="B8" s="11" t="s">
        <v>383</v>
      </c>
      <c r="C8" s="64">
        <v>1178333.3333333335</v>
      </c>
      <c r="D8" s="64">
        <v>2261600</v>
      </c>
      <c r="E8" s="64">
        <v>3367965</v>
      </c>
      <c r="F8" s="64">
        <v>4502531.525</v>
      </c>
      <c r="G8" s="64">
        <v>5696361.453</v>
      </c>
    </row>
    <row r="9" spans="2:7" x14ac:dyDescent="0.25">
      <c r="B9" s="11" t="s">
        <v>338</v>
      </c>
      <c r="C9" s="64">
        <v>780535</v>
      </c>
      <c r="D9" s="64">
        <v>964741.26</v>
      </c>
      <c r="E9" s="64">
        <v>993683.4978</v>
      </c>
      <c r="F9" s="64">
        <v>1023494.002734</v>
      </c>
      <c r="G9" s="64">
        <v>1054198.82281602</v>
      </c>
    </row>
    <row r="10" spans="2:7" x14ac:dyDescent="0.25">
      <c r="B10" s="11" t="s">
        <v>339</v>
      </c>
      <c r="C10" s="64">
        <v>503333.3333333334</v>
      </c>
      <c r="D10" s="64">
        <v>774560</v>
      </c>
      <c r="E10" s="64">
        <v>994063.2999999999</v>
      </c>
      <c r="F10" s="64">
        <v>1226039.6940000001</v>
      </c>
      <c r="G10" s="64">
        <v>1471040.01467</v>
      </c>
    </row>
    <row r="11" spans="2:7" x14ac:dyDescent="0.25">
      <c r="B11" s="11" t="s">
        <v>340</v>
      </c>
      <c r="C11" s="64">
        <v>46628.6108154935</v>
      </c>
      <c r="D11" s="64">
        <v>46628.6108154935</v>
      </c>
      <c r="E11" s="64">
        <v>46628.6108154935</v>
      </c>
      <c r="F11" s="64">
        <v>46628.6108154935</v>
      </c>
      <c r="G11" s="64">
        <v>46628.6108154935</v>
      </c>
    </row>
    <row r="12" spans="2:7" x14ac:dyDescent="0.25">
      <c r="B12" s="10" t="s">
        <v>384</v>
      </c>
      <c r="C12" s="65">
        <v>-212163.6108154934</v>
      </c>
      <c r="D12" s="66">
        <v>455670.12918450637</v>
      </c>
      <c r="E12" s="66">
        <v>1308589.5913845068</v>
      </c>
      <c r="F12" s="66">
        <v>2196369.217450507</v>
      </c>
      <c r="G12" s="66">
        <v>3114494.004698486</v>
      </c>
    </row>
    <row r="13" spans="2:7" x14ac:dyDescent="0.25">
      <c r="B13" s="10" t="s">
        <v>390</v>
      </c>
      <c r="C13" s="66">
        <v>74498</v>
      </c>
      <c r="D13" s="66">
        <v>530168.1291845064</v>
      </c>
      <c r="E13" s="66">
        <v>1838757.7205690132</v>
      </c>
      <c r="F13" s="66">
        <v>4035126.93801952</v>
      </c>
      <c r="G13" s="66">
        <v>7149620.942718007</v>
      </c>
    </row>
    <row r="14" spans="2:7" x14ac:dyDescent="0.25">
      <c r="B14" s="10" t="s">
        <v>429</v>
      </c>
      <c r="C14" s="67">
        <v>-0.18005398371894768</v>
      </c>
      <c r="D14" s="68">
        <v>0.20148130933167066</v>
      </c>
      <c r="E14" s="68">
        <v>0.38854013963461814</v>
      </c>
      <c r="F14" s="68">
        <v>0.48780762672183775</v>
      </c>
      <c r="G14" s="68">
        <v>0.54675147116204</v>
      </c>
    </row>
    <row r="15" spans="2:8" x14ac:dyDescent="0.25">
      <c r="B15" s="10" t="s">
        <v>268</v>
      </c>
      <c r="C15" s="69">
        <v>9819.444444444445</v>
      </c>
      <c r="D15" s="70">
        <v>11308</v>
      </c>
      <c r="E15" s="70">
        <v>11226.55</v>
      </c>
      <c r="F15" s="70">
        <v>11256.328812500002</v>
      </c>
      <c r="G15" s="70">
        <v>11392.722905999999</v>
      </c>
      <c r="H15" s="71" t="s">
        <v>444</v>
      </c>
    </row>
    <row r="16" spans="2:7" x14ac:dyDescent="0.25">
      <c r="B16" s="10" t="s">
        <v>322</v>
      </c>
      <c r="C16" s="72">
        <v>11087.474534573557</v>
      </c>
      <c r="D16" s="72">
        <v>8929.649354077466</v>
      </c>
      <c r="E16" s="72">
        <v>6781.251362051644</v>
      </c>
      <c r="F16" s="72">
        <v>5740.405768873734</v>
      </c>
      <c r="G16" s="72">
        <v>5143.734896603028</v>
      </c>
    </row>
    <row r="17" spans="2:7" x14ac:dyDescent="0.25">
      <c r="B17" s="11" t="s">
        <v>445</v>
      </c>
      <c r="C17" s="64">
        <v>650</v>
      </c>
      <c r="D17" s="64">
        <v>669.5</v>
      </c>
      <c r="E17" s="64">
        <v>689.5849999999999</v>
      </c>
      <c r="F17" s="64">
        <v>710.27255</v>
      </c>
      <c r="G17" s="64">
        <v>731.5807265000001</v>
      </c>
    </row>
    <row r="18" spans="2:8" x14ac:dyDescent="0.25">
      <c r="B18" s="11" t="s">
        <v>446</v>
      </c>
      <c r="C18" s="69">
        <v>2683.3333333333335</v>
      </c>
      <c r="D18" s="70">
        <v>1658.3</v>
      </c>
      <c r="E18" s="70">
        <v>1138.6993333333332</v>
      </c>
      <c r="F18" s="70">
        <v>879.645235</v>
      </c>
      <c r="G18" s="70">
        <v>724.8276736400001</v>
      </c>
      <c r="H18" s="71" t="s">
        <v>447</v>
      </c>
    </row>
    <row r="19" spans="2:7" x14ac:dyDescent="0.25">
      <c r="B19" s="10" t="s">
        <v>448</v>
      </c>
      <c r="C19" s="73">
        <v>-1768.0300901291116</v>
      </c>
      <c r="D19" s="74">
        <v>2278.350645922532</v>
      </c>
      <c r="E19" s="74">
        <v>4361.965304615022</v>
      </c>
      <c r="F19" s="74">
        <v>5490.923043626268</v>
      </c>
      <c r="G19" s="74">
        <v>6228.988009396972</v>
      </c>
    </row>
    <row r="20" spans="2:8" x14ac:dyDescent="0.25">
      <c r="B20" s="10" t="s">
        <v>449</v>
      </c>
      <c r="C20" s="67">
        <v>0.6624059405940593</v>
      </c>
      <c r="D20" s="68">
        <v>0.4265746639547223</v>
      </c>
      <c r="E20" s="68">
        <v>0.29503973402336425</v>
      </c>
      <c r="F20" s="68">
        <v>0.22731523300861284</v>
      </c>
      <c r="G20" s="68">
        <v>0.18506529677129674</v>
      </c>
      <c r="H20" s="71" t="s">
        <v>450</v>
      </c>
    </row>
    <row r="21" spans="2:8" x14ac:dyDescent="0.25">
      <c r="B21" s="10" t="s">
        <v>451</v>
      </c>
      <c r="C21" s="67">
        <v>0.27326732673267323</v>
      </c>
      <c r="D21" s="68">
        <v>0.14664839051998585</v>
      </c>
      <c r="E21" s="68">
        <v>0.1014291419299191</v>
      </c>
      <c r="F21" s="68">
        <v>0.07814672524697092</v>
      </c>
      <c r="G21" s="68">
        <v>0.06362198744062038</v>
      </c>
      <c r="H21" s="71" t="s">
        <v>452</v>
      </c>
    </row>
    <row r="22" spans="2:8" x14ac:dyDescent="0.25">
      <c r="B22" s="10" t="s">
        <v>453</v>
      </c>
      <c r="C22" s="67">
        <v>-0.08956294200848645</v>
      </c>
      <c r="D22" s="68">
        <v>0.23094213830916166</v>
      </c>
      <c r="E22" s="68">
        <v>0.40980776290727494</v>
      </c>
      <c r="F22" s="68">
        <v>0.5003846870935568</v>
      </c>
      <c r="G22" s="68">
        <v>0.5566926610396014</v>
      </c>
      <c r="H22" s="71" t="s">
        <v>454</v>
      </c>
    </row>
    <row r="23" spans="2:8" x14ac:dyDescent="0.25">
      <c r="B23" s="10" t="s">
        <v>455</v>
      </c>
      <c r="C23" s="75">
        <v>3</v>
      </c>
      <c r="D23" s="75">
        <v>3</v>
      </c>
      <c r="E23" s="75">
        <v>3</v>
      </c>
      <c r="F23" s="75">
        <v>3</v>
      </c>
      <c r="G23" s="75">
        <v>3</v>
      </c>
      <c r="H23" s="71" t="s">
        <v>456</v>
      </c>
    </row>
    <row r="24" spans="2:8" x14ac:dyDescent="0.25">
      <c r="B24" s="10" t="s">
        <v>388</v>
      </c>
      <c r="C24" s="76">
        <v>-2.2633099754482346</v>
      </c>
      <c r="D24" s="77">
        <v>11.201250281006729</v>
      </c>
      <c r="E24" s="77">
        <v>29.600242813611526</v>
      </c>
      <c r="F24" s="77">
        <v>48.31792731679209</v>
      </c>
      <c r="G24" s="77">
        <v>68.00808688171976</v>
      </c>
      <c r="H24" s="71" t="s">
        <v>457</v>
      </c>
    </row>
    <row r="25" spans="2:8" x14ac:dyDescent="0.25">
      <c r="B25" s="10" t="s">
        <v>458</v>
      </c>
      <c r="C25" s="78" t="str">
        <f>IF('5-Year Operating Stmt'!B17&gt;=0,"✓ Break-even","")</f>
        <v>0</v>
      </c>
      <c r="D25" s="44" t="str">
        <f>IF(AND('5-Year Operating Stmt'!C17&gt;=0,'5-Year Operating Stmt'!B17&lt;0),"✓ Break-even","")</f>
        <v>✓ Break-even</v>
      </c>
      <c r="E25" s="78" t="str">
        <f>IF(AND('5-Year Operating Stmt'!D17&gt;=0,'5-Year Operating Stmt'!C17&lt;0),"✓ Break-even","")</f>
        <v>0</v>
      </c>
      <c r="F25" s="78" t="str">
        <f>IF(AND('5-Year Operating Stmt'!E17&gt;=0,'5-Year Operating Stmt'!D17&lt;0),"✓ Break-even","")</f>
        <v>0</v>
      </c>
      <c r="G25" s="78" t="str">
        <f>IF(AND('5-Year Operating Stmt'!F17&gt;=0,'5-Year Operating Stmt'!E17&lt;0),"✓ Break-even","")</f>
        <v>0</v>
      </c>
      <c r="H25" s="71" t="s">
        <v>438</v>
      </c>
    </row>
    <row r="26" spans="2:8" x14ac:dyDescent="0.25">
      <c r="B26" s="10" t="s">
        <v>459</v>
      </c>
      <c r="C26" s="79">
        <v>1</v>
      </c>
      <c r="D26" s="79">
        <v>4</v>
      </c>
      <c r="E26" s="79">
        <v>11</v>
      </c>
      <c r="F26" s="80">
        <v>21</v>
      </c>
      <c r="G26" s="75">
        <v>33</v>
      </c>
      <c r="H26" s="71" t="s">
        <v>460</v>
      </c>
    </row>
    <row r="27" spans="2:8" x14ac:dyDescent="0.25">
      <c r="B27" s="10" t="s">
        <v>391</v>
      </c>
      <c r="C27" s="79">
        <v>20</v>
      </c>
      <c r="D27" s="75">
        <v>108</v>
      </c>
      <c r="E27" s="75">
        <v>330</v>
      </c>
      <c r="F27" s="75">
        <v>641</v>
      </c>
      <c r="G27" s="75">
        <v>1015</v>
      </c>
      <c r="H27" s="71" t="s">
        <v>461</v>
      </c>
    </row>
    <row r="29" ht="24" customHeight="1" spans="2:8" x14ac:dyDescent="0.25">
      <c r="B29" s="19" t="s">
        <v>462</v>
      </c>
      <c r="C29" s="19" t="s">
        <v>463</v>
      </c>
      <c r="D29" s="19" t="s">
        <v>464</v>
      </c>
      <c r="E29" s="19"/>
      <c r="F29" s="19" t="s">
        <v>465</v>
      </c>
      <c r="G29" s="19"/>
      <c r="H29" s="19"/>
    </row>
    <row r="30" ht="45" customHeight="1" spans="2:8" x14ac:dyDescent="0.25">
      <c r="B30" s="45" t="s">
        <v>466</v>
      </c>
      <c r="C30" s="44" t="s">
        <v>467</v>
      </c>
      <c r="D30" s="81" t="s">
        <v>468</v>
      </c>
      <c r="E30" s="81"/>
      <c r="F30" s="82" t="s">
        <v>469</v>
      </c>
      <c r="G30" s="82"/>
      <c r="H30" s="82"/>
    </row>
    <row r="31" ht="45" customHeight="1" spans="2:8" x14ac:dyDescent="0.25">
      <c r="B31" s="45" t="s">
        <v>470</v>
      </c>
      <c r="C31" s="83" t="s">
        <v>471</v>
      </c>
      <c r="D31" s="81" t="s">
        <v>472</v>
      </c>
      <c r="E31" s="81"/>
      <c r="F31" s="82" t="s">
        <v>473</v>
      </c>
      <c r="G31" s="82"/>
      <c r="H31" s="82"/>
    </row>
    <row r="32" ht="45" customHeight="1" spans="2:8" x14ac:dyDescent="0.25">
      <c r="B32" s="45" t="s">
        <v>474</v>
      </c>
      <c r="C32" s="44" t="s">
        <v>467</v>
      </c>
      <c r="D32" s="81" t="s">
        <v>475</v>
      </c>
      <c r="E32" s="81"/>
      <c r="F32" s="82" t="s">
        <v>476</v>
      </c>
      <c r="G32" s="82"/>
      <c r="H32" s="82"/>
    </row>
    <row r="33" ht="45" customHeight="1" spans="2:8" x14ac:dyDescent="0.25">
      <c r="B33" s="45" t="s">
        <v>477</v>
      </c>
      <c r="C33" s="44" t="s">
        <v>467</v>
      </c>
      <c r="D33" s="81" t="s">
        <v>478</v>
      </c>
      <c r="E33" s="81"/>
      <c r="F33" s="82" t="s">
        <v>479</v>
      </c>
      <c r="G33" s="82"/>
      <c r="H33" s="82"/>
    </row>
    <row r="34" ht="45" customHeight="1" spans="2:8" x14ac:dyDescent="0.25">
      <c r="B34" s="45" t="s">
        <v>480</v>
      </c>
      <c r="C34" s="44" t="s">
        <v>467</v>
      </c>
      <c r="D34" s="81" t="s">
        <v>481</v>
      </c>
      <c r="E34" s="81"/>
      <c r="F34" s="82" t="s">
        <v>482</v>
      </c>
      <c r="G34" s="82"/>
      <c r="H34" s="82"/>
    </row>
    <row r="35" ht="45" customHeight="1" spans="2:8" x14ac:dyDescent="0.25">
      <c r="B35" s="45" t="s">
        <v>483</v>
      </c>
      <c r="C35" s="44" t="s">
        <v>467</v>
      </c>
      <c r="D35" s="81" t="s">
        <v>484</v>
      </c>
      <c r="E35" s="81"/>
      <c r="F35" s="82" t="s">
        <v>485</v>
      </c>
      <c r="G35" s="82"/>
      <c r="H35" s="82"/>
    </row>
    <row r="36" ht="45" customHeight="1" spans="2:8" x14ac:dyDescent="0.25">
      <c r="B36" s="45" t="s">
        <v>486</v>
      </c>
      <c r="C36" s="44" t="s">
        <v>467</v>
      </c>
      <c r="D36" s="81" t="s">
        <v>487</v>
      </c>
      <c r="E36" s="81"/>
      <c r="F36" s="82" t="s">
        <v>488</v>
      </c>
      <c r="G36" s="82"/>
      <c r="H36" s="82"/>
    </row>
    <row r="38" spans="2:6" x14ac:dyDescent="0.25">
      <c r="B38" s="45" t="s">
        <v>489</v>
      </c>
      <c r="C38" s="10" t="s">
        <v>490</v>
      </c>
      <c r="D38" s="10"/>
      <c r="E38" s="10"/>
      <c r="F38" s="10"/>
    </row>
    <row r="40" spans="2:8" x14ac:dyDescent="0.25">
      <c r="B40" s="84" t="s">
        <v>491</v>
      </c>
      <c r="C40" s="84"/>
      <c r="D40" s="84"/>
      <c r="E40" s="84"/>
      <c r="F40" s="84"/>
      <c r="G40" s="84"/>
      <c r="H40" s="84"/>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492</v>
      </c>
      <c r="B3" s="19"/>
    </row>
    <row r="4" spans="1:2" x14ac:dyDescent="0.25">
      <c r="A4" s="85" t="s">
        <v>493</v>
      </c>
      <c r="B4" s="85"/>
    </row>
    <row r="6" ht="24" customHeight="1" spans="1:2" x14ac:dyDescent="0.25">
      <c r="A6" s="19" t="s">
        <v>494</v>
      </c>
      <c r="B6" s="19"/>
    </row>
    <row r="7" spans="1:2" x14ac:dyDescent="0.25">
      <c r="A7" s="85" t="s">
        <v>493</v>
      </c>
      <c r="B7" s="85"/>
    </row>
    <row r="9" ht="24" customHeight="1" spans="1:2" x14ac:dyDescent="0.25">
      <c r="A9" s="19" t="s">
        <v>495</v>
      </c>
      <c r="B9" s="19"/>
    </row>
    <row r="10" spans="1:2" x14ac:dyDescent="0.25">
      <c r="A10" s="85" t="s">
        <v>493</v>
      </c>
      <c r="B10" s="85"/>
    </row>
    <row r="12" ht="24" customHeight="1" spans="1:2" x14ac:dyDescent="0.25">
      <c r="A12" s="19" t="s">
        <v>496</v>
      </c>
      <c r="B12" s="19"/>
    </row>
    <row r="13" spans="1:2" x14ac:dyDescent="0.25">
      <c r="A13" s="85" t="s">
        <v>493</v>
      </c>
      <c r="B13" s="85"/>
    </row>
    <row r="15" ht="24" customHeight="1" spans="1:2" x14ac:dyDescent="0.25">
      <c r="A15" s="19" t="s">
        <v>497</v>
      </c>
      <c r="B15" s="19"/>
    </row>
    <row r="16" spans="1:2" x14ac:dyDescent="0.25">
      <c r="A16" s="85" t="s">
        <v>493</v>
      </c>
      <c r="B16" s="85"/>
    </row>
    <row r="18" ht="24" customHeight="1" spans="1:2" x14ac:dyDescent="0.25">
      <c r="A18" s="19" t="s">
        <v>498</v>
      </c>
      <c r="B18" s="19"/>
    </row>
    <row r="19" spans="1:2" x14ac:dyDescent="0.25">
      <c r="A19" s="85" t="s">
        <v>493</v>
      </c>
      <c r="B19" s="85"/>
    </row>
    <row r="21" ht="24" customHeight="1" spans="1:2" x14ac:dyDescent="0.25">
      <c r="A21" s="19" t="s">
        <v>499</v>
      </c>
      <c r="B21" s="19"/>
    </row>
    <row r="22" spans="1:2" x14ac:dyDescent="0.25">
      <c r="A22" s="85" t="s">
        <v>493</v>
      </c>
      <c r="B22" s="85"/>
    </row>
    <row r="24" ht="24" customHeight="1" spans="1:2" x14ac:dyDescent="0.25">
      <c r="A24" s="19" t="s">
        <v>500</v>
      </c>
      <c r="B24" s="19"/>
    </row>
    <row r="25" spans="1:2" x14ac:dyDescent="0.25">
      <c r="A25" s="85" t="s">
        <v>493</v>
      </c>
      <c r="B25" s="85"/>
    </row>
    <row r="27" ht="24" customHeight="1" spans="1:2" x14ac:dyDescent="0.25">
      <c r="A27" s="19" t="s">
        <v>501</v>
      </c>
      <c r="B27" s="19"/>
    </row>
    <row r="28" spans="1:2" x14ac:dyDescent="0.25">
      <c r="A28" s="85" t="s">
        <v>493</v>
      </c>
      <c r="B28" s="85"/>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502</v>
      </c>
      <c r="C1" s="15"/>
      <c r="D1" s="15"/>
      <c r="E1" s="15"/>
      <c r="F1" s="15"/>
      <c r="G1" s="15"/>
      <c r="H1" s="15"/>
    </row>
    <row r="2" ht="60" customHeight="1" spans="2:8" x14ac:dyDescent="0.25">
      <c r="B2" s="86" t="s">
        <v>503</v>
      </c>
      <c r="C2" s="86"/>
      <c r="D2" s="86"/>
      <c r="E2" s="86"/>
      <c r="F2" s="86"/>
      <c r="G2" s="86"/>
      <c r="H2" s="86"/>
    </row>
    <row r="4" ht="30" customHeight="1" spans="2:8" x14ac:dyDescent="0.25">
      <c r="B4" s="87" t="s">
        <v>504</v>
      </c>
      <c r="C4" s="87"/>
      <c r="D4" s="87"/>
      <c r="E4" s="87"/>
      <c r="F4" s="87"/>
      <c r="G4" s="87"/>
      <c r="H4" s="87"/>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2026-04-29T12:25:07Z</dcterms:created>
  <dcterms:modified xsi:type="dcterms:W3CDTF">2026-04-29T12:25:07Z</dcterms:modified>
</cp:coreProperties>
</file>