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Revenue" state="visible" r:id="rId5"/>
    <sheet sheetId="3" name="Personnel" state="visible" r:id="rId6"/>
    <sheet sheetId="4" name="Operating Expenses" state="visible" r:id="rId7"/>
    <sheet sheetId="5" name="P&amp;L Summary" state="visible" r:id="rId8"/>
  </sheets>
  <definedNames>
    <definedName name="_xlnm.Print_Area" localSheetId="0">'Assumptions'!$A1:$E11</definedName>
    <definedName name="_xlnm.Print_Titles" localSheetId="0">'Assumptions'!$1:$1</definedName>
    <definedName name="_xlnm.Print_Area" localSheetId="1">'Revenue'!$A1:$N7</definedName>
    <definedName name="_xlnm.Print_Titles" localSheetId="1">'Revenue'!$1:$1</definedName>
    <definedName name="_xlnm.Print_Area" localSheetId="2">'Personnel'!$A1:$N4</definedName>
    <definedName name="_xlnm.Print_Titles" localSheetId="2">'Personnel'!$1:$1</definedName>
    <definedName name="_xlnm.Print_Area" localSheetId="3">'Operating Expenses'!$A1:$N7</definedName>
    <definedName name="_xlnm.Print_Titles" localSheetId="3">'Operating Expenses'!$1:$1</definedName>
    <definedName name="_xlnm.Print_Area" localSheetId="4">'P&amp;L Summary'!$A1:$N7</definedName>
    <definedName name="_xlnm.Print_Titles" localSheetId="4">'P&amp;L Summary'!$1:$1</definedName>
  </definedNames>
  <calcPr calcId="171027"/>
</workbook>
</file>

<file path=xl/sharedStrings.xml><?xml version="1.0" encoding="utf-8"?>
<sst xmlns="http://schemas.openxmlformats.org/spreadsheetml/2006/main" count="91" uniqueCount="47">
  <si>
    <t>Year 1 Budget Assumptions</t>
  </si>
  <si>
    <t/>
  </si>
  <si>
    <t>Editable assumption — change this value</t>
  </si>
  <si>
    <t>Calculated — driven by formula</t>
  </si>
  <si>
    <t>School Name</t>
  </si>
  <si>
    <t>Liberty Learning Co-Op</t>
  </si>
  <si>
    <t>School Type</t>
  </si>
  <si>
    <t>homeschool_coop</t>
  </si>
  <si>
    <t>KEY ASSUMPTIONS</t>
  </si>
  <si>
    <t>Enrollment</t>
  </si>
  <si>
    <t>Salary Escalation</t>
  </si>
  <si>
    <t>Cost Inflation</t>
  </si>
  <si>
    <t>Year 1 Proration Factor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</si>
  <si>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</si>
  <si>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</si>
  <si>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</si>
  <si>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</si>
  <si>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</si>
  <si>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</si>
  <si>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</si>
  <si>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</si>
  <si>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</si>
  <si>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</si>
  <si>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</si>
  <si>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</si>
  <si>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</si>
  <si>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Co-Op Tuition</t>
  </si>
  <si>
    <t>Materials Fee</t>
  </si>
  <si>
    <t>ESA Revenue</t>
  </si>
  <si>
    <t>Refundable Tax Credit</t>
  </si>
  <si>
    <t>Annual Fundraising</t>
  </si>
  <si>
    <t>TOTAL REVENUE</t>
  </si>
  <si>
    <t>Director / Lead Educator</t>
  </si>
  <si>
    <t>Assistant Educator</t>
  </si>
  <si>
    <t>TOTAL PERSONNEL</t>
  </si>
  <si>
    <t>Rent</t>
  </si>
  <si>
    <t>Utilities</t>
  </si>
  <si>
    <t>Insurance</t>
  </si>
  <si>
    <t>Curriculum &amp; Materials</t>
  </si>
  <si>
    <t>Technology</t>
  </si>
  <si>
    <t>TOTAL OPERATING EXPENSES</t>
  </si>
  <si>
    <t>Total Revenue</t>
  </si>
  <si>
    <t>Personnel</t>
  </si>
  <si>
    <t>Operating Expenses</t>
  </si>
  <si>
    <t>Capital &amp; Debt</t>
  </si>
  <si>
    <t>Total Expenses</t>
  </si>
  <si>
    <t>Profit /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</si>
</sst>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#,##0;&quot;-&quot;"/>
    <numFmt numFmtId="165" formatCode="0.0%"/>
    <numFmt numFmtId="166" formatCode="_(&quot;$&quot;* #,##0_);_(&quot;$&quot;* (#,##0);_(&quot;$&quot;* &quot;-&quot;??_);_(@_)"/>
  </numFmts>
  <fonts count="7" x14ac:knownFonts="1">
    <font>
      <color theme="1"/>
      <family val="2"/>
      <scheme val="minor"/>
      <sz val="11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sz val="11"/>
      <name val="Calibri"/>
    </font>
    <font>
      <color rgb="FF1E3A5F"/>
      <sz val="11"/>
      <name val="Calibri"/>
    </font>
    <font>
      <b/>
      <color rgb="FFFFFFFF"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2" fillId="0" borderId="0" xfId="0" applyFont="1"/>
    <xf numFmtId="0" fontId="0" fillId="4" borderId="3" xfId="0" applyFill="1" applyBorder="1"/>
    <xf numFmtId="0" fontId="3" fillId="0" borderId="0" xfId="0" applyFont="1"/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2" fontId="4" fillId="3" borderId="2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6" fontId="3" fillId="0" borderId="1" xfId="0" applyNumberFormat="1" applyFont="1" applyBorder="1"/>
    <xf numFmtId="166" fontId="6" fillId="2" borderId="1" xfId="0" applyNumberFormat="1" applyFont="1" applyFill="1" applyBorder="1"/>
    <xf numFmtId="0" fontId="6" fillId="0" borderId="0" xfId="0" applyFont="1"/>
    <xf numFmtId="166" fontId="6" fillId="0" borderId="1" xfId="0" applyNumberFormat="1" applyFont="1" applyBorder="1"/>
    <xf numFmtId="166" fontId="6" fillId="2" borderId="4" xfId="0" applyNumberFormat="1" applyFont="1" applyFill="1" applyBorder="1"/>
    <xf numFmtId="166" fontId="6" fillId="6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24" customHeight="1" spans="1:2" x14ac:dyDescent="0.25">
      <c r="A1" s="1" t="s">
        <v>0</v>
      </c>
      <c r="B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4" spans="1:2" x14ac:dyDescent="0.25">
      <c r="A4" s="5" t="s">
        <v>4</v>
      </c>
      <c r="B4" t="s">
        <v>5</v>
      </c>
    </row>
    <row r="5" spans="1:2" x14ac:dyDescent="0.25">
      <c r="A5" s="5" t="s">
        <v>6</v>
      </c>
      <c r="B5" t="s">
        <v>7</v>
      </c>
    </row>
    <row r="7" ht="24" customHeight="1" spans="1:2" x14ac:dyDescent="0.25">
      <c r="A7" s="1" t="s">
        <v>8</v>
      </c>
      <c r="B7" s="1"/>
    </row>
    <row r="8" spans="1:2" x14ac:dyDescent="0.25">
      <c r="A8" s="5" t="s">
        <v>9</v>
      </c>
      <c r="B8" s="6">
        <v>15</v>
      </c>
    </row>
    <row r="9" spans="1:2" x14ac:dyDescent="0.25">
      <c r="A9" s="5" t="s">
        <v>10</v>
      </c>
      <c r="B9" s="7">
        <v>0.03</v>
      </c>
    </row>
    <row r="10" spans="1:2" x14ac:dyDescent="0.25">
      <c r="A10" s="5" t="s">
        <v>11</v>
      </c>
      <c r="B10" s="7">
        <v>0.025</v>
      </c>
    </row>
    <row r="11" spans="1:2" x14ac:dyDescent="0.25">
      <c r="A11" s="5" t="s">
        <v>12</v>
      </c>
      <c r="B11" s="8">
        <v>0.8333333333333334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26</v>
      </c>
      <c r="B2" s="10">
        <v>9000</v>
      </c>
      <c r="C2" s="10">
        <v>9000</v>
      </c>
      <c r="D2" s="10">
        <v>9000</v>
      </c>
      <c r="E2" s="10">
        <v>9000</v>
      </c>
      <c r="F2" s="10">
        <v>9000</v>
      </c>
      <c r="G2" s="10">
        <v>9000</v>
      </c>
      <c r="H2" s="10">
        <v>9000</v>
      </c>
      <c r="I2" s="10">
        <v>9000</v>
      </c>
      <c r="J2" s="10">
        <v>9000</v>
      </c>
      <c r="K2" s="10">
        <v>9000</v>
      </c>
      <c r="L2" s="10">
        <v>0</v>
      </c>
      <c r="M2" s="10">
        <v>0</v>
      </c>
      <c r="N2" s="10">
        <f>SUM(B2:M2)</f>
        <v>75000</v>
      </c>
    </row>
    <row r="3" spans="1:14" x14ac:dyDescent="0.25">
      <c r="A3" s="5" t="s">
        <v>27</v>
      </c>
      <c r="B3" s="10">
        <v>300</v>
      </c>
      <c r="C3" s="10">
        <v>300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0</v>
      </c>
      <c r="M3" s="10">
        <v>0</v>
      </c>
      <c r="N3" s="10">
        <f>SUM(B3:M3)</f>
        <v>2500</v>
      </c>
    </row>
    <row r="4" spans="1:14" x14ac:dyDescent="0.25">
      <c r="A4" s="5" t="s">
        <v>28</v>
      </c>
      <c r="B4" s="10">
        <v>10500</v>
      </c>
      <c r="C4" s="10">
        <v>10500</v>
      </c>
      <c r="D4" s="10">
        <v>10500</v>
      </c>
      <c r="E4" s="10">
        <v>10500</v>
      </c>
      <c r="F4" s="10">
        <v>10500</v>
      </c>
      <c r="G4" s="10">
        <v>10500</v>
      </c>
      <c r="H4" s="10">
        <v>10500</v>
      </c>
      <c r="I4" s="10">
        <v>10500</v>
      </c>
      <c r="J4" s="10">
        <v>10500</v>
      </c>
      <c r="K4" s="10">
        <v>10500</v>
      </c>
      <c r="L4" s="10">
        <v>0</v>
      </c>
      <c r="M4" s="10">
        <v>0</v>
      </c>
      <c r="N4" s="10">
        <f>SUM(B4:M4)</f>
        <v>87500</v>
      </c>
    </row>
    <row r="5" spans="1:14" x14ac:dyDescent="0.25">
      <c r="A5" s="5" t="s">
        <v>29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 t="str">
        <f>SUM(B5:M5)</f>
        <v>0</v>
      </c>
    </row>
    <row r="6" spans="1:14" x14ac:dyDescent="0.25">
      <c r="A6" s="5" t="s">
        <v>30</v>
      </c>
      <c r="B6" s="10">
        <v>300</v>
      </c>
      <c r="C6" s="10">
        <v>300</v>
      </c>
      <c r="D6" s="10">
        <v>300</v>
      </c>
      <c r="E6" s="10">
        <v>300</v>
      </c>
      <c r="F6" s="10">
        <v>300</v>
      </c>
      <c r="G6" s="10">
        <v>300</v>
      </c>
      <c r="H6" s="10">
        <v>300</v>
      </c>
      <c r="I6" s="10">
        <v>300</v>
      </c>
      <c r="J6" s="10">
        <v>300</v>
      </c>
      <c r="K6" s="10">
        <v>300</v>
      </c>
      <c r="L6" s="10">
        <v>0</v>
      </c>
      <c r="M6" s="10">
        <v>0</v>
      </c>
      <c r="N6" s="10">
        <f>SUM(B6:M6)</f>
        <v>2500</v>
      </c>
    </row>
    <row r="7" ht="24" customHeight="1" spans="1:14" x14ac:dyDescent="0.25">
      <c r="A7" s="1" t="s">
        <v>31</v>
      </c>
      <c r="B7" s="11">
        <f>SUM(B2:B6)</f>
        <v>103800</v>
      </c>
      <c r="C7" s="11">
        <f>SUM(C2:C6)</f>
        <v>10800</v>
      </c>
      <c r="D7" s="11">
        <f>SUM(D2:D6)</f>
        <v>10800</v>
      </c>
      <c r="E7" s="11">
        <f>SUM(E2:E6)</f>
        <v>10800</v>
      </c>
      <c r="F7" s="11">
        <f>SUM(F2:F6)</f>
        <v>10800</v>
      </c>
      <c r="G7" s="11">
        <f>SUM(G2:G6)</f>
        <v>10800</v>
      </c>
      <c r="H7" s="11">
        <f>SUM(H2:H6)</f>
        <v>10800</v>
      </c>
      <c r="I7" s="11">
        <f>SUM(I2:I6)</f>
        <v>10800</v>
      </c>
      <c r="J7" s="11">
        <f>SUM(J2:J6)</f>
        <v>10800</v>
      </c>
      <c r="K7" s="11">
        <f>SUM(K2:K6)</f>
        <v>10800</v>
      </c>
      <c r="L7" s="11" t="str">
        <f>SUM(L2:L6)</f>
        <v>0</v>
      </c>
      <c r="M7" s="11" t="str">
        <f>SUM(M2:M6)</f>
        <v>0</v>
      </c>
      <c r="N7" s="11">
        <f>SUM(B7:M7)</f>
        <v>201000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Co-Op&amp;R&amp;8&amp;IRevenue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32</v>
      </c>
      <c r="B2" s="10">
        <v>114600</v>
      </c>
      <c r="C2" s="10">
        <v>114600</v>
      </c>
      <c r="D2" s="10">
        <v>114600</v>
      </c>
      <c r="E2" s="10">
        <v>114600</v>
      </c>
      <c r="F2" s="10">
        <v>114600</v>
      </c>
      <c r="G2" s="10">
        <v>114600</v>
      </c>
      <c r="H2" s="10">
        <v>114600</v>
      </c>
      <c r="I2" s="10">
        <v>114600</v>
      </c>
      <c r="J2" s="10">
        <v>114600</v>
      </c>
      <c r="K2" s="10">
        <v>114600</v>
      </c>
      <c r="L2" s="10">
        <v>0</v>
      </c>
      <c r="M2" s="10">
        <v>0</v>
      </c>
      <c r="N2" s="10">
        <f>SUM(B2:M2)</f>
        <v>1146000</v>
      </c>
    </row>
    <row r="3" spans="1:14" x14ac:dyDescent="0.25">
      <c r="A3" s="5" t="s">
        <v>33</v>
      </c>
      <c r="B3" s="10">
        <v>10813</v>
      </c>
      <c r="C3" s="10">
        <v>10813</v>
      </c>
      <c r="D3" s="10">
        <v>10813</v>
      </c>
      <c r="E3" s="10">
        <v>10813</v>
      </c>
      <c r="F3" s="10">
        <v>10813</v>
      </c>
      <c r="G3" s="10">
        <v>10813</v>
      </c>
      <c r="H3" s="10">
        <v>10813</v>
      </c>
      <c r="I3" s="10">
        <v>10813</v>
      </c>
      <c r="J3" s="10">
        <v>10813</v>
      </c>
      <c r="K3" s="10">
        <v>10813</v>
      </c>
      <c r="L3" s="10">
        <v>0</v>
      </c>
      <c r="M3" s="10">
        <v>0</v>
      </c>
      <c r="N3" s="10">
        <f>SUM(B3:M3)</f>
        <v>108125</v>
      </c>
    </row>
    <row r="4" ht="24" customHeight="1" spans="1:14" x14ac:dyDescent="0.25">
      <c r="A4" s="1" t="s">
        <v>34</v>
      </c>
      <c r="B4" s="11" t="str">
        <f>SUM(B2:B3)</f>
        <v>0</v>
      </c>
      <c r="C4" s="11" t="str">
        <f>SUM(C2:C3)</f>
        <v>0</v>
      </c>
      <c r="D4" s="11" t="str">
        <f>SUM(D2:D3)</f>
        <v>0</v>
      </c>
      <c r="E4" s="11" t="str">
        <f>SUM(E2:E3)</f>
        <v>0</v>
      </c>
      <c r="F4" s="11" t="str">
        <f>SUM(F2:F3)</f>
        <v>0</v>
      </c>
      <c r="G4" s="11" t="str">
        <f>SUM(G2:G3)</f>
        <v>0</v>
      </c>
      <c r="H4" s="11" t="str">
        <f>SUM(H2:H3)</f>
        <v>0</v>
      </c>
      <c r="I4" s="11" t="str">
        <f>SUM(I2:I3)</f>
        <v>0</v>
      </c>
      <c r="J4" s="11" t="str">
        <f>SUM(J2:J3)</f>
        <v>0</v>
      </c>
      <c r="K4" s="11" t="str">
        <f>SUM(K2:K3)</f>
        <v>0</v>
      </c>
      <c r="L4" s="11" t="str">
        <f>SUM(L2:L3)</f>
        <v>0</v>
      </c>
      <c r="M4" s="11" t="str">
        <f>SUM(M2:M3)</f>
        <v>0</v>
      </c>
      <c r="N4" s="11" t="str">
        <f>SUM(B4:M4)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35</v>
      </c>
      <c r="B2" s="10">
        <v>1800</v>
      </c>
      <c r="C2" s="10">
        <v>1800</v>
      </c>
      <c r="D2" s="10">
        <v>1800</v>
      </c>
      <c r="E2" s="10">
        <v>1800</v>
      </c>
      <c r="F2" s="10">
        <v>1800</v>
      </c>
      <c r="G2" s="10">
        <v>1800</v>
      </c>
      <c r="H2" s="10">
        <v>1800</v>
      </c>
      <c r="I2" s="10">
        <v>1800</v>
      </c>
      <c r="J2" s="10">
        <v>1800</v>
      </c>
      <c r="K2" s="10">
        <v>1800</v>
      </c>
      <c r="L2" s="10">
        <v>0</v>
      </c>
      <c r="M2" s="10">
        <v>0</v>
      </c>
      <c r="N2" s="10">
        <f>SUM(B2:M2)</f>
        <v>18000</v>
      </c>
    </row>
    <row r="3" spans="1:14" x14ac:dyDescent="0.25">
      <c r="A3" s="5" t="s">
        <v>36</v>
      </c>
      <c r="B3" s="10">
        <v>200</v>
      </c>
      <c r="C3" s="10">
        <v>200</v>
      </c>
      <c r="D3" s="10">
        <v>200</v>
      </c>
      <c r="E3" s="10">
        <v>200</v>
      </c>
      <c r="F3" s="10">
        <v>200</v>
      </c>
      <c r="G3" s="10">
        <v>200</v>
      </c>
      <c r="H3" s="10">
        <v>200</v>
      </c>
      <c r="I3" s="10">
        <v>200</v>
      </c>
      <c r="J3" s="10">
        <v>200</v>
      </c>
      <c r="K3" s="10">
        <v>200</v>
      </c>
      <c r="L3" s="10">
        <v>0</v>
      </c>
      <c r="M3" s="10">
        <v>0</v>
      </c>
      <c r="N3" s="10">
        <f>SUM(B3:M3)</f>
        <v>2000</v>
      </c>
    </row>
    <row r="4" spans="1:14" x14ac:dyDescent="0.25">
      <c r="A4" s="5" t="s">
        <v>37</v>
      </c>
      <c r="B4" s="10">
        <v>150</v>
      </c>
      <c r="C4" s="10">
        <v>150</v>
      </c>
      <c r="D4" s="10">
        <v>150</v>
      </c>
      <c r="E4" s="10">
        <v>150</v>
      </c>
      <c r="F4" s="10">
        <v>150</v>
      </c>
      <c r="G4" s="10">
        <v>150</v>
      </c>
      <c r="H4" s="10">
        <v>150</v>
      </c>
      <c r="I4" s="10">
        <v>150</v>
      </c>
      <c r="J4" s="10">
        <v>150</v>
      </c>
      <c r="K4" s="10">
        <v>150</v>
      </c>
      <c r="L4" s="10">
        <v>0</v>
      </c>
      <c r="M4" s="10">
        <v>0</v>
      </c>
      <c r="N4" s="10">
        <f>SUM(B4:M4)</f>
        <v>1500</v>
      </c>
    </row>
    <row r="5" spans="1:14" x14ac:dyDescent="0.25">
      <c r="A5" s="5" t="s">
        <v>38</v>
      </c>
      <c r="B5" s="10">
        <v>500</v>
      </c>
      <c r="C5" s="10">
        <v>500</v>
      </c>
      <c r="D5" s="10">
        <v>500</v>
      </c>
      <c r="E5" s="10">
        <v>500</v>
      </c>
      <c r="F5" s="10">
        <v>500</v>
      </c>
      <c r="G5" s="10">
        <v>500</v>
      </c>
      <c r="H5" s="10">
        <v>500</v>
      </c>
      <c r="I5" s="10">
        <v>500</v>
      </c>
      <c r="J5" s="10">
        <v>500</v>
      </c>
      <c r="K5" s="10">
        <v>500</v>
      </c>
      <c r="L5" s="10">
        <v>0</v>
      </c>
      <c r="M5" s="10">
        <v>0</v>
      </c>
      <c r="N5" s="10">
        <f>SUM(B5:M5)</f>
        <v>5000</v>
      </c>
    </row>
    <row r="6" spans="1:14" x14ac:dyDescent="0.25">
      <c r="A6" s="5" t="s">
        <v>39</v>
      </c>
      <c r="B6" s="10">
        <v>313</v>
      </c>
      <c r="C6" s="10">
        <v>313</v>
      </c>
      <c r="D6" s="10">
        <v>313</v>
      </c>
      <c r="E6" s="10">
        <v>313</v>
      </c>
      <c r="F6" s="10">
        <v>313</v>
      </c>
      <c r="G6" s="10">
        <v>313</v>
      </c>
      <c r="H6" s="10">
        <v>313</v>
      </c>
      <c r="I6" s="10">
        <v>313</v>
      </c>
      <c r="J6" s="10">
        <v>313</v>
      </c>
      <c r="K6" s="10">
        <v>313</v>
      </c>
      <c r="L6" s="10">
        <v>0</v>
      </c>
      <c r="M6" s="10">
        <v>0</v>
      </c>
      <c r="N6" s="10">
        <f>SUM(B6:M6)</f>
        <v>3125</v>
      </c>
    </row>
    <row r="7" ht="24" customHeight="1" spans="1:14" x14ac:dyDescent="0.25">
      <c r="A7" s="1" t="s">
        <v>40</v>
      </c>
      <c r="B7" s="11" t="str">
        <f>SUM(B2:B6)</f>
        <v>0</v>
      </c>
      <c r="C7" s="11" t="str">
        <f>SUM(C2:C6)</f>
        <v>0</v>
      </c>
      <c r="D7" s="11" t="str">
        <f>SUM(D2:D6)</f>
        <v>0</v>
      </c>
      <c r="E7" s="11" t="str">
        <f>SUM(E2:E6)</f>
        <v>0</v>
      </c>
      <c r="F7" s="11" t="str">
        <f>SUM(F2:F6)</f>
        <v>0</v>
      </c>
      <c r="G7" s="11" t="str">
        <f>SUM(G2:G6)</f>
        <v>0</v>
      </c>
      <c r="H7" s="11" t="str">
        <f>SUM(H2:H6)</f>
        <v>0</v>
      </c>
      <c r="I7" s="11" t="str">
        <f>SUM(I2:I6)</f>
        <v>0</v>
      </c>
      <c r="J7" s="11" t="str">
        <f>SUM(J2:J6)</f>
        <v>0</v>
      </c>
      <c r="K7" s="11" t="str">
        <f>SUM(K2:K6)</f>
        <v>0</v>
      </c>
      <c r="L7" s="11" t="str">
        <f>SUM(L2:L6)</f>
        <v>0</v>
      </c>
      <c r="M7" s="11" t="str">
        <f>SUM(M2:M6)</f>
        <v>0</v>
      </c>
      <c r="N7" s="11" t="str">
        <f>SUM(B7:M7)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12" t="s">
        <v>41</v>
      </c>
      <c r="B2" s="13">
        <f>Revenue!B7</f>
        <v>103800</v>
      </c>
      <c r="C2" s="13">
        <f>Revenue!C7</f>
        <v>10800</v>
      </c>
      <c r="D2" s="13">
        <f>Revenue!D7</f>
        <v>10800</v>
      </c>
      <c r="E2" s="13">
        <f>Revenue!E7</f>
        <v>10800</v>
      </c>
      <c r="F2" s="13">
        <f>Revenue!F7</f>
        <v>10800</v>
      </c>
      <c r="G2" s="13">
        <f>Revenue!G7</f>
        <v>10800</v>
      </c>
      <c r="H2" s="13">
        <f>Revenue!H7</f>
        <v>10800</v>
      </c>
      <c r="I2" s="13">
        <f>Revenue!I7</f>
        <v>10800</v>
      </c>
      <c r="J2" s="13">
        <f>Revenue!J7</f>
        <v>10800</v>
      </c>
      <c r="K2" s="13">
        <f>Revenue!K7</f>
        <v>10800</v>
      </c>
      <c r="L2" s="13" t="str">
        <f>Revenue!L7</f>
        <v>0</v>
      </c>
      <c r="M2" s="13" t="str">
        <f>Revenue!M7</f>
        <v>0</v>
      </c>
      <c r="N2" s="13">
        <f>SUM(B2:M2)</f>
        <v>201000</v>
      </c>
    </row>
    <row r="3" spans="1:14" x14ac:dyDescent="0.25">
      <c r="A3" s="5" t="s">
        <v>42</v>
      </c>
      <c r="B3" s="10">
        <f>Personnel!B4</f>
        <v>6452</v>
      </c>
      <c r="C3" s="10">
        <f>Personnel!C4</f>
        <v>6452</v>
      </c>
      <c r="D3" s="10">
        <f>Personnel!D4</f>
        <v>6452</v>
      </c>
      <c r="E3" s="10">
        <f>Personnel!E4</f>
        <v>6452</v>
      </c>
      <c r="F3" s="10">
        <f>Personnel!F4</f>
        <v>6452</v>
      </c>
      <c r="G3" s="10">
        <f>Personnel!G4</f>
        <v>6452</v>
      </c>
      <c r="H3" s="10">
        <f>Personnel!H4</f>
        <v>6452</v>
      </c>
      <c r="I3" s="10">
        <f>Personnel!I4</f>
        <v>6452</v>
      </c>
      <c r="J3" s="10">
        <f>Personnel!J4</f>
        <v>6452</v>
      </c>
      <c r="K3" s="10">
        <f>Personnel!K4</f>
        <v>6452</v>
      </c>
      <c r="L3" s="10" t="str">
        <f>Personnel!L4</f>
        <v>0</v>
      </c>
      <c r="M3" s="10" t="str">
        <f>Personnel!M4</f>
        <v>0</v>
      </c>
      <c r="N3" s="10">
        <f>SUM(B3:M3)</f>
        <v>64516</v>
      </c>
    </row>
    <row r="4" spans="1:14" x14ac:dyDescent="0.25">
      <c r="A4" s="5" t="s">
        <v>43</v>
      </c>
      <c r="B4" s="10">
        <f>'Operating Expenses'!B7</f>
        <v>2963</v>
      </c>
      <c r="C4" s="10">
        <f>'Operating Expenses'!C7</f>
        <v>2963</v>
      </c>
      <c r="D4" s="10">
        <f>'Operating Expenses'!D7</f>
        <v>2963</v>
      </c>
      <c r="E4" s="10">
        <f>'Operating Expenses'!E7</f>
        <v>2963</v>
      </c>
      <c r="F4" s="10">
        <f>'Operating Expenses'!F7</f>
        <v>2963</v>
      </c>
      <c r="G4" s="10">
        <f>'Operating Expenses'!G7</f>
        <v>2963</v>
      </c>
      <c r="H4" s="10">
        <f>'Operating Expenses'!H7</f>
        <v>2963</v>
      </c>
      <c r="I4" s="10">
        <f>'Operating Expenses'!I7</f>
        <v>2963</v>
      </c>
      <c r="J4" s="10">
        <f>'Operating Expenses'!J7</f>
        <v>2963</v>
      </c>
      <c r="K4" s="10">
        <f>'Operating Expenses'!K7</f>
        <v>2963</v>
      </c>
      <c r="L4" s="10" t="str">
        <f>'Operating Expenses'!L7</f>
        <v>0</v>
      </c>
      <c r="M4" s="10" t="str">
        <f>'Operating Expenses'!M7</f>
        <v>0</v>
      </c>
      <c r="N4" s="10">
        <f>SUM(B4:M4)</f>
        <v>29625</v>
      </c>
    </row>
    <row r="5" spans="1:14" x14ac:dyDescent="0.25">
      <c r="A5" s="5" t="s">
        <v>44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 t="str">
        <f>SUM(B5:M5)</f>
        <v>0</v>
      </c>
    </row>
    <row r="6" ht="24" customHeight="1" spans="1:14" x14ac:dyDescent="0.25">
      <c r="A6" s="1" t="s">
        <v>45</v>
      </c>
      <c r="B6" s="14" t="str">
        <f>SUM(B3:B5)</f>
        <v>0</v>
      </c>
      <c r="C6" s="14" t="str">
        <f>SUM(C3:C5)</f>
        <v>0</v>
      </c>
      <c r="D6" s="14" t="str">
        <f>SUM(D3:D5)</f>
        <v>0</v>
      </c>
      <c r="E6" s="14" t="str">
        <f>SUM(E3:E5)</f>
        <v>0</v>
      </c>
      <c r="F6" s="14" t="str">
        <f>SUM(F3:F5)</f>
        <v>0</v>
      </c>
      <c r="G6" s="14" t="str">
        <f>SUM(G3:G5)</f>
        <v>0</v>
      </c>
      <c r="H6" s="14" t="str">
        <f>SUM(H3:H5)</f>
        <v>0</v>
      </c>
      <c r="I6" s="14" t="str">
        <f>SUM(I3:I5)</f>
        <v>0</v>
      </c>
      <c r="J6" s="14" t="str">
        <f>SUM(J3:J5)</f>
        <v>0</v>
      </c>
      <c r="K6" s="14" t="str">
        <f>SUM(K3:K5)</f>
        <v>0</v>
      </c>
      <c r="L6" s="14" t="str">
        <f>SUM(L3:L5)</f>
        <v>0</v>
      </c>
      <c r="M6" s="14" t="str">
        <f>SUM(M3:M5)</f>
        <v>0</v>
      </c>
      <c r="N6" s="14">
        <f>SUM(B6:M6)</f>
        <v>94141</v>
      </c>
    </row>
    <row r="7" spans="1:14" x14ac:dyDescent="0.25">
      <c r="A7" s="12" t="s">
        <v>46</v>
      </c>
      <c r="B7" s="15" t="str">
        <f>B2-B6</f>
        <v>0</v>
      </c>
      <c r="C7" s="15" t="str">
        <f>C2-C6</f>
        <v>0</v>
      </c>
      <c r="D7" s="15" t="str">
        <f>D2-D6</f>
        <v>0</v>
      </c>
      <c r="E7" s="15" t="str">
        <f>E2-E6</f>
        <v>0</v>
      </c>
      <c r="F7" s="15" t="str">
        <f>F2-F6</f>
        <v>0</v>
      </c>
      <c r="G7" s="15" t="str">
        <f>G2-G6</f>
        <v>0</v>
      </c>
      <c r="H7" s="15" t="str">
        <f>H2-H6</f>
        <v>0</v>
      </c>
      <c r="I7" s="15" t="str">
        <f>I2-I6</f>
        <v>0</v>
      </c>
      <c r="J7" s="15" t="str">
        <f>J2-J6</f>
        <v>0</v>
      </c>
      <c r="K7" s="15" t="str">
        <f>K2-K6</f>
        <v>0</v>
      </c>
      <c r="L7" s="15" t="str">
        <f>L2-L6</f>
        <v>0</v>
      </c>
      <c r="M7" s="15" t="str">
        <f>M2-M6</f>
        <v>0</v>
      </c>
      <c r="N7" s="15">
        <f>N2-N6</f>
        <v>73359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&amp;L&amp;10&amp;BLiberty Learning Co-Op&amp;R&amp;8&amp;IP&amp;L Summary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</vt:lpstr>
      <vt:lpstr>Personnel</vt:lpstr>
      <vt:lpstr>Operating Expenses</vt:lpstr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2026-03-27T03:49:35Z</dcterms:created>
  <dcterms:modified xsi:type="dcterms:W3CDTF">2026-03-27T03:49:35Z</dcterms:modified>
</cp:coreProperties>
</file>