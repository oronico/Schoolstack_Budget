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<sst xmlns="http://schemas.openxmlformats.org/spreadsheetml/2006/main" count="295" uniqueCount="231">
  <si>
    <t>How to Use This Workbook</t>
  </si>
  <si>
    <t>Liberty Learning Co-Op</t>
  </si>
  <si>
    <t>Generated May 1,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</si>
  <si>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</si>
  <si>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</si>
  <si>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</si>
  <si>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</si>
  <si>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</si>
  <si>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</si>
  <si>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</si>
  <si>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</si>
  <si>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</si>
  <si>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</si>
  <si>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</si>
  <si>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</si>
  <si>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</si>
  <si>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</si>
  <si>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</si>
  <si>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</si>
  <si>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</si>
  <si>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</si>
  <si>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</si>
  <si>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</si>
  <si>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</si>
  <si>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</si>
  <si>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</si>
  <si>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</si>
  <si>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</si>
  <si>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</si>
  <si>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</si>
  <si>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</si>
  <si>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</si>
  <si>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</si>
  <si>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</si>
  <si>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</si>
  <si>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</si>
  <si>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</si>
  <si>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</si>
  <si>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</si>
  <si>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</si>
  <si>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1,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</si>
  <si>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</si>
  <si>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</si>
  <si>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</si>
  <si>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</si>
  <si>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</si>
  <si>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</si>
  <si>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</si>
  <si>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</si>
  <si>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</si>
  <si>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Homeschool Co-Op</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</si>
  <si>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</si>
  <si>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</si>
  <si>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</si>
  <si>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</si>
  <si>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</si>
  <si>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</si>
  <si>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</si>
  <si>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</si>
  <si>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</si>
  <si>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</si>
  <si>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</si>
  <si>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</si>
  <si>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</si>
  <si>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</si>
  <si>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</si>
  <si>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</si>
  <si>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</si>
  <si>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</si>
  <si>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</si>
  <si>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</si>
  <si>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</si>
  <si>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</si>
  <si>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</si>
  <si>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</si>
  <si>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</si>
  <si>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</si>
  <si>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</si>
  <si>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</si>
  <si>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</si>
  <si>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</si>
  <si>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</si>
  <si>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</si>
  <si>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</si>
  <si>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</si>
  <si>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</si>
  <si>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</si>
  <si>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</si>
  <si>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</si>
  <si>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</si>
  <si>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</si>
  <si>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</si>
  <si>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</si>
  <si>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</si>
  <si>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</si>
  <si>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WEIGHTED ENROLLMENT POPULATIONS</t>
  </si>
  <si>
    <t>Population</t>
  </si>
  <si>
    <t>Year 1</t>
  </si>
  <si>
    <t>Year 2</t>
  </si>
  <si>
    <t>Year 3</t>
  </si>
  <si>
    <t>Year 4</t>
  </si>
  <si>
    <t>Year 5</t>
  </si>
  <si>
    <t>Special Education (SPED)</t>
  </si>
  <si>
    <t>English Language Learners (ELL)</t>
  </si>
  <si>
    <t>Economically Disadvantaged</t>
  </si>
  <si>
    <t>Total Weighted Students</t>
  </si>
  <si>
    <t>Weighted % of Enrollment</t>
  </si>
  <si>
    <t>Revenue &amp; Expense Drivers</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</si>
  <si>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</si>
  <si>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</si>
  <si>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</si>
  <si>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</si>
  <si>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</si>
  <si>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</si>
  <si>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</si>
  <si>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</si>
  <si>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</si>
  <si>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</si>
  <si>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</si>
  <si>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</si>
  <si>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</si>
  <si>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</si>
  <si>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</si>
  <si>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</si>
  <si>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</si>
  <si>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</si>
  <si>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</si>
  <si>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</si>
  <si>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</si>
  <si>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</si>
  <si>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</si>
  <si>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</si>
  <si>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</si>
  <si>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</si>
  <si>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</si>
  <si>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</si>
  <si>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</si>
  <si>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 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</si>
  <si>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</si>
  <si>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</si>
  <si>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</si>
  <si>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</si>
  <si>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</si>
  <si>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</si>
  <si>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</si>
  <si>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</si>
  <si>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</si>
  <si>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</si>
  <si>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</si>
  <si>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</si>
  <si>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</si>
  <si>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</si>
  <si>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</si>
  <si>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</si>
  <si>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</si>
  <si>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</si>
  <si>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</si>
  <si>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</si>
  <si>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</si>
  <si>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</si>
  <si>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</si>
  <si>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</si>
  <si>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</si>
  <si>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</si>
  <si>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</si>
  <si>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</si>
  <si>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</si>
  <si>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</si>
  <si>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</si>
  <si>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</si>
  <si>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</si>
  <si>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</si>
  <si>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</si>
  <si>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</si>
  <si>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</si>
  <si>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</si>
  <si>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</si>
  <si>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</si>
  <si>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</si>
  <si>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</si>
  <si>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</si>
  <si>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</si>
  <si>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</si>
  <si>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</si>
  <si>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</si>
  <si>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</si>
  <si>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</si>
  <si>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</si>
  <si>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</si>
  <si>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</si>
  <si>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</si>
  <si>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</si>
  <si>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</si>
  <si>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</si>
  <si>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</si>
  <si>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</si>
  <si>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</si>
  <si>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</si>
  <si>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N/A</t>
  </si>
  <si>
    <t>Break-even Year</t>
  </si>
  <si>
    <t>Cash Runway (Months)</t>
  </si>
  <si>
    <t>≥ 24 months</t>
  </si>
  <si>
    <t>Days Cash on Hand</t>
  </si>
  <si>
    <t>≥ 90 days</t>
  </si>
  <si>
    <t>FINANCIAL HEALTH SIGNALS</t>
  </si>
  <si>
    <t>Status</t>
  </si>
  <si>
    <t>Assessment</t>
  </si>
  <si>
    <t>Watch Item</t>
  </si>
  <si>
    <t>Viability</t>
  </si>
  <si>
    <t>◐ Watch closely</t>
  </si>
  <si>
    <t>The model reaches break-even by Year 3, but margins remain thin. A revenue shortfall could push it negative.</t>
  </si>
  <si>
    <t>Track monthly revenue vs. budget and have a contingency plan if you miss targets.</t>
  </si>
  <si>
    <t>Liquidity</t>
  </si>
  <si>
    <t>○ Needs attention</t>
  </si>
  <si>
    <t>Cash goes negative in month 1. The school will need outside funding to continue operating.</t>
  </si>
  <si>
    <t>Secure a line of credit or bridge funding before operations begin.</t>
  </si>
  <si>
    <t>Staffing Burden</t>
  </si>
  <si>
    <t>● Healthy</t>
  </si>
  <si>
    <t>Staffing at 46% of revenue leaves room for facilities, programs, and reserves.</t>
  </si>
  <si>
    <t>As you add staff, ensure staffing stays below 60% of revenue.</t>
  </si>
  <si>
    <t>Facility Burden</t>
  </si>
  <si>
    <t>Facility costs at 9%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</si>
  <si>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</si>
  <si>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</si>
  <si>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</si>
  <si>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</si>
  <si>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</si>
  <si>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5.8 months of reserves by Year 5 — a strong buffer for unexpected costs.</t>
  </si>
  <si>
    <t>Continue growing reserves toward 6 months for best-in-class financial health.</t>
  </si>
  <si>
    <t>4 Healthy  |  1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</si>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</sst>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4"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color rgb="FF374151"/>
      <sz val="11"/>
      <name val="Calibri"/>
    </font>
    <font>
      <i/>
      <color rgb="FF374151"/>
      <sz val="11"/>
      <name val="Calibri"/>
    </font>
    <font>
      <i/>
      <color rgb="FF1E293B"/>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16" fillId="0" borderId="0" xfId="0" applyFont="1"/>
    <xf numFmtId="0" fontId="16" fillId="0" borderId="0" xfId="0" applyFont="1" applyAlignment="1">
      <alignment horizontal="right"/>
    </xf>
    <xf numFmtId="0" fontId="16" fillId="0" borderId="3" xfId="0" applyFont="1" applyBorder="1"/>
    <xf numFmtId="164" fontId="4" fillId="0" borderId="3" xfId="0" applyNumberFormat="1" applyFont="1" applyBorder="1" applyAlignment="1">
      <alignment horizontal="right"/>
    </xf>
    <xf numFmtId="0" fontId="17" fillId="0" borderId="3" xfId="0" applyFont="1" applyBorder="1"/>
    <xf numFmtId="166" fontId="18" fillId="0" borderId="3" xfId="0" applyNumberFormat="1" applyFont="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9" fillId="0" borderId="4" xfId="0" applyFont="1" applyBorder="1"/>
    <xf numFmtId="165" fontId="19" fillId="0" borderId="5" xfId="0" applyNumberFormat="1" applyFont="1" applyBorder="1" applyAlignment="1">
      <alignment horizontal="right"/>
    </xf>
    <xf numFmtId="165" fontId="19" fillId="6" borderId="5" xfId="0" applyNumberFormat="1" applyFont="1" applyFill="1" applyBorder="1" applyAlignment="1">
      <alignment horizontal="right"/>
    </xf>
    <xf numFmtId="165" fontId="19"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9" fillId="0" borderId="4" xfId="0" applyNumberFormat="1" applyFont="1" applyBorder="1" applyAlignment="1">
      <alignment horizontal="right"/>
    </xf>
    <xf numFmtId="0" fontId="0" fillId="0" borderId="4" xfId="0" applyBorder="1" applyAlignment="1">
      <alignment horizontal="center"/>
    </xf>
    <xf numFmtId="0" fontId="20" fillId="0" borderId="4" xfId="0" applyFont="1" applyBorder="1" applyAlignment="1">
      <alignment horizontal="center"/>
    </xf>
    <xf numFmtId="167" fontId="19" fillId="6" borderId="4" xfId="0" applyNumberFormat="1" applyFont="1" applyFill="1" applyBorder="1" applyAlignment="1">
      <alignment horizontal="right"/>
    </xf>
    <xf numFmtId="167" fontId="19" fillId="3" borderId="4" xfId="0" applyNumberFormat="1" applyFont="1" applyFill="1" applyBorder="1" applyAlignment="1">
      <alignment horizontal="right"/>
    </xf>
    <xf numFmtId="164" fontId="19" fillId="0" borderId="5" xfId="0" applyNumberFormat="1" applyFont="1" applyBorder="1" applyAlignment="1">
      <alignment horizontal="right"/>
    </xf>
    <xf numFmtId="165" fontId="19" fillId="3" borderId="4" xfId="0" applyNumberFormat="1" applyFont="1" applyFill="1" applyBorder="1" applyAlignment="1">
      <alignment horizontal="right"/>
    </xf>
    <xf numFmtId="0" fontId="14" fillId="5" borderId="4" xfId="0" applyFont="1" applyFill="1" applyBorder="1"/>
    <xf numFmtId="166" fontId="6" fillId="3" borderId="4" xfId="0" applyNumberFormat="1" applyFont="1" applyFill="1" applyBorder="1" applyAlignment="1">
      <alignment horizontal="right"/>
    </xf>
    <xf numFmtId="3" fontId="19"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20" fillId="0" borderId="0" xfId="0" applyFont="1"/>
    <xf numFmtId="0" fontId="21" fillId="0" borderId="0" xfId="0" applyFont="1"/>
    <xf numFmtId="0" fontId="22" fillId="0" borderId="0" xfId="0" applyFont="1"/>
    <xf numFmtId="0" fontId="4" fillId="7" borderId="4" xfId="0" applyFont="1" applyFill="1" applyBorder="1"/>
    <xf numFmtId="0" fontId="4" fillId="7" borderId="4" xfId="0" applyFont="1" applyFill="1" applyBorder="1" applyAlignment="1">
      <alignment horizontal="center"/>
    </xf>
    <xf numFmtId="166" fontId="19" fillId="6" borderId="5" xfId="0" applyNumberFormat="1" applyFont="1" applyFill="1" applyBorder="1" applyAlignment="1">
      <alignment horizontal="right"/>
    </xf>
    <xf numFmtId="166" fontId="19" fillId="3" borderId="5" xfId="0" applyNumberFormat="1" applyFont="1" applyFill="1" applyBorder="1" applyAlignment="1">
      <alignment horizontal="right"/>
    </xf>
    <xf numFmtId="165" fontId="6" fillId="8" borderId="4" xfId="0" applyNumberFormat="1" applyFont="1" applyFill="1" applyBorder="1" applyAlignment="1">
      <alignment horizontal="right"/>
    </xf>
    <xf numFmtId="0" fontId="10" fillId="0" borderId="4" xfId="0" applyFont="1" applyBorder="1"/>
    <xf numFmtId="165" fontId="6" fillId="3" borderId="4" xfId="0" applyNumberFormat="1" applyFont="1" applyFill="1" applyBorder="1" applyAlignment="1">
      <alignment horizontal="right"/>
    </xf>
    <xf numFmtId="165" fontId="19" fillId="6" borderId="4" xfId="0" applyNumberFormat="1" applyFont="1" applyFill="1" applyBorder="1" applyAlignment="1">
      <alignment horizontal="right"/>
    </xf>
    <xf numFmtId="166" fontId="19" fillId="8" borderId="5" xfId="0" applyNumberFormat="1" applyFont="1" applyFill="1" applyBorder="1" applyAlignment="1">
      <alignment horizontal="right"/>
    </xf>
    <xf numFmtId="164" fontId="19" fillId="8" borderId="5" xfId="0" applyNumberFormat="1" applyFont="1" applyFill="1" applyBorder="1" applyAlignment="1">
      <alignment horizontal="right"/>
    </xf>
    <xf numFmtId="49" fontId="19" fillId="0" borderId="5" xfId="0" applyNumberFormat="1" applyFont="1" applyBorder="1" applyAlignment="1">
      <alignment horizontal="right"/>
    </xf>
    <xf numFmtId="0" fontId="6" fillId="0" borderId="4" xfId="0" applyFont="1" applyBorder="1" applyAlignment="1">
      <alignment horizontal="center"/>
    </xf>
    <xf numFmtId="164" fontId="19" fillId="6" borderId="5" xfId="0" applyNumberFormat="1" applyFont="1" applyFill="1" applyBorder="1" applyAlignment="1">
      <alignment horizontal="right"/>
    </xf>
    <xf numFmtId="164" fontId="19" fillId="3" borderId="5" xfId="0" applyNumberFormat="1" applyFont="1" applyFill="1" applyBorder="1" applyAlignment="1">
      <alignment horizontal="right"/>
    </xf>
    <xf numFmtId="0" fontId="4" fillId="0" borderId="4" xfId="0" applyFont="1" applyBorder="1"/>
    <xf numFmtId="0" fontId="21"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22" fillId="0" borderId="4" xfId="0" applyFont="1" applyBorder="1" applyAlignment="1">
      <alignment horizontal="center"/>
    </xf>
    <xf numFmtId="0" fontId="23"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H69"/>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 min="5" max="8" width="14"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15</v>
      </c>
    </row>
    <row r="13" spans="3:4" x14ac:dyDescent="0.25">
      <c r="C13" s="18" t="s">
        <v>54</v>
      </c>
      <c r="D13" s="20">
        <v>22</v>
      </c>
    </row>
    <row r="14" spans="3:4" x14ac:dyDescent="0.25">
      <c r="C14" s="18" t="s">
        <v>55</v>
      </c>
      <c r="D14" s="20">
        <v>30</v>
      </c>
    </row>
    <row r="15" spans="3:4" x14ac:dyDescent="0.25">
      <c r="C15" s="18" t="s">
        <v>56</v>
      </c>
      <c r="D15" s="20">
        <v>36</v>
      </c>
    </row>
    <row r="16" spans="3:4" x14ac:dyDescent="0.25">
      <c r="C16" s="18" t="s">
        <v>57</v>
      </c>
      <c r="D16" s="20">
        <v>40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7000</v>
      </c>
    </row>
    <row r="23" spans="3:4" x14ac:dyDescent="0.25">
      <c r="C23" s="18" t="s">
        <v>62</v>
      </c>
      <c r="D23" s="22">
        <v>0.03</v>
      </c>
    </row>
    <row r="24" spans="3:4" x14ac:dyDescent="0.25">
      <c r="C24" s="18" t="s">
        <v>63</v>
      </c>
      <c r="D24" s="21">
        <v>0</v>
      </c>
    </row>
    <row r="25" spans="3:4" x14ac:dyDescent="0.25">
      <c r="C25" s="18" t="s">
        <v>64</v>
      </c>
      <c r="D25" s="22">
        <v>0.02</v>
      </c>
    </row>
    <row r="26" spans="3:4" x14ac:dyDescent="0.25">
      <c r="C26" s="18" t="s">
        <v>65</v>
      </c>
      <c r="D26" s="22">
        <v>0.95</v>
      </c>
    </row>
    <row r="27" spans="3:4" x14ac:dyDescent="0.25">
      <c r="C27" s="18" t="s">
        <v>66</v>
      </c>
      <c r="D27" s="21">
        <v>3000</v>
      </c>
    </row>
    <row r="28" spans="3:4" x14ac:dyDescent="0.25">
      <c r="C28" s="18" t="s">
        <v>67</v>
      </c>
      <c r="D28" s="22">
        <v>0</v>
      </c>
    </row>
    <row r="30" ht="24" customHeight="1" spans="2:4" x14ac:dyDescent="0.25">
      <c r="B30" s="17" t="s">
        <v>68</v>
      </c>
      <c r="C30" s="17"/>
      <c r="D30" s="17"/>
    </row>
    <row r="32" spans="3:4" x14ac:dyDescent="0.25">
      <c r="C32" s="18" t="s">
        <v>69</v>
      </c>
      <c r="D32" s="20">
        <v>30</v>
      </c>
    </row>
    <row r="33" spans="3:4" x14ac:dyDescent="0.25">
      <c r="C33" s="18" t="s">
        <v>70</v>
      </c>
      <c r="D33" s="21">
        <v>30000</v>
      </c>
    </row>
    <row r="34" spans="3:4" x14ac:dyDescent="0.25">
      <c r="C34" s="18" t="s">
        <v>71</v>
      </c>
      <c r="D34" s="22">
        <v>0.03</v>
      </c>
    </row>
    <row r="35" spans="3:4" x14ac:dyDescent="0.25">
      <c r="C35" s="18" t="s">
        <v>72</v>
      </c>
      <c r="D35" s="20">
        <v>1</v>
      </c>
    </row>
    <row r="36" spans="3:4" x14ac:dyDescent="0.25">
      <c r="C36" s="18" t="s">
        <v>73</v>
      </c>
      <c r="D36" s="20">
        <v>1</v>
      </c>
    </row>
    <row r="37" spans="3:4" x14ac:dyDescent="0.25">
      <c r="C37" s="18" t="s">
        <v>74</v>
      </c>
      <c r="D37" s="20">
        <v>1</v>
      </c>
    </row>
    <row r="38" spans="3:4" x14ac:dyDescent="0.25">
      <c r="C38" s="18" t="s">
        <v>75</v>
      </c>
      <c r="D38" s="20">
        <v>1</v>
      </c>
    </row>
    <row r="39" spans="3:4" x14ac:dyDescent="0.25">
      <c r="C39" s="18" t="s">
        <v>76</v>
      </c>
      <c r="D39" s="20">
        <v>1</v>
      </c>
    </row>
    <row r="40" spans="3:4" x14ac:dyDescent="0.25">
      <c r="C40" s="18" t="s">
        <v>77</v>
      </c>
      <c r="D40" s="21">
        <v>48000</v>
      </c>
    </row>
    <row r="41" spans="3:4" x14ac:dyDescent="0.25">
      <c r="C41" s="18" t="s">
        <v>78</v>
      </c>
      <c r="D41" s="22">
        <v>0.03</v>
      </c>
    </row>
    <row r="42" spans="3:4" x14ac:dyDescent="0.25">
      <c r="C42" s="18" t="s">
        <v>79</v>
      </c>
      <c r="D42" s="22">
        <v>0.2</v>
      </c>
    </row>
    <row r="44" ht="24" customHeight="1" spans="2:4" x14ac:dyDescent="0.25">
      <c r="B44" s="17" t="s">
        <v>80</v>
      </c>
      <c r="C44" s="17"/>
      <c r="D44" s="17"/>
    </row>
    <row r="46" spans="3:4" x14ac:dyDescent="0.25">
      <c r="C46" s="18" t="s">
        <v>81</v>
      </c>
      <c r="D46" s="21">
        <v>21600</v>
      </c>
    </row>
    <row r="47" spans="3:4" x14ac:dyDescent="0.25">
      <c r="C47" s="18" t="s">
        <v>82</v>
      </c>
      <c r="D47" s="22">
        <v>0.029186046511627907</v>
      </c>
    </row>
    <row r="48" spans="3:4" x14ac:dyDescent="0.25">
      <c r="C48" s="18" t="s">
        <v>83</v>
      </c>
      <c r="D48" s="21">
        <v>4200</v>
      </c>
    </row>
    <row r="49" spans="3:4" x14ac:dyDescent="0.25">
      <c r="C49" s="18" t="s">
        <v>84</v>
      </c>
      <c r="D49" s="22">
        <v>0.029186046511627907</v>
      </c>
    </row>
    <row r="50" spans="3:4" x14ac:dyDescent="0.25">
      <c r="C50" s="18" t="s">
        <v>85</v>
      </c>
      <c r="D50" s="21">
        <v>400</v>
      </c>
    </row>
    <row r="51" spans="3:4" x14ac:dyDescent="0.25">
      <c r="C51" s="18" t="s">
        <v>86</v>
      </c>
      <c r="D51" s="22">
        <v>0.5106666666666667</v>
      </c>
    </row>
    <row r="52" spans="3:4" x14ac:dyDescent="0.25">
      <c r="C52" s="18" t="s">
        <v>87</v>
      </c>
      <c r="D52" s="21">
        <v>8250</v>
      </c>
    </row>
    <row r="53" spans="3:4" x14ac:dyDescent="0.25">
      <c r="C53" s="18" t="s">
        <v>88</v>
      </c>
      <c r="D53" s="22">
        <v>0.23345454545454544</v>
      </c>
    </row>
    <row r="55" ht="24" customHeight="1" spans="2:4" x14ac:dyDescent="0.25">
      <c r="B55" s="17" t="s">
        <v>89</v>
      </c>
      <c r="C55" s="17"/>
      <c r="D55" s="17"/>
    </row>
    <row r="57" spans="3:4" x14ac:dyDescent="0.25">
      <c r="C57" s="18" t="s">
        <v>90</v>
      </c>
      <c r="D57" s="21">
        <v>0</v>
      </c>
    </row>
    <row r="58" spans="3:4" x14ac:dyDescent="0.25">
      <c r="C58" s="18" t="s">
        <v>91</v>
      </c>
      <c r="D58" s="21">
        <v>0</v>
      </c>
    </row>
    <row r="59" spans="3:4" x14ac:dyDescent="0.25">
      <c r="C59" s="18" t="s">
        <v>92</v>
      </c>
      <c r="D59" s="21">
        <v>0</v>
      </c>
    </row>
    <row r="60" spans="3:4" x14ac:dyDescent="0.25">
      <c r="C60" s="18" t="s">
        <v>93</v>
      </c>
      <c r="D60" s="22">
        <v>0.08</v>
      </c>
    </row>
    <row r="61" spans="3:4" x14ac:dyDescent="0.25">
      <c r="C61" s="18" t="s">
        <v>94</v>
      </c>
      <c r="D61" s="20">
        <v>5</v>
      </c>
    </row>
    <row r="63" ht="24" customHeight="1" spans="2:8" x14ac:dyDescent="0.25">
      <c r="B63" s="17" t="s">
        <v>95</v>
      </c>
      <c r="C63" s="17"/>
      <c r="D63" s="17"/>
      <c r="E63" s="17"/>
      <c r="F63" s="17"/>
      <c r="G63" s="17"/>
      <c r="H63" s="17"/>
    </row>
    <row r="64" spans="3:8" x14ac:dyDescent="0.25">
      <c r="C64" s="23" t="s">
        <v>96</v>
      </c>
      <c r="D64" s="24" t="s">
        <v>97</v>
      </c>
      <c r="E64" s="24" t="s">
        <v>98</v>
      </c>
      <c r="F64" s="24" t="s">
        <v>99</v>
      </c>
      <c r="G64" s="24" t="s">
        <v>100</v>
      </c>
      <c r="H64" s="24" t="s">
        <v>101</v>
      </c>
    </row>
    <row r="65" spans="3:8" x14ac:dyDescent="0.25">
      <c r="C65" s="18" t="s">
        <v>102</v>
      </c>
      <c r="D65" s="20">
        <v>3</v>
      </c>
      <c r="E65" s="20">
        <v>4</v>
      </c>
      <c r="F65" s="20">
        <v>5</v>
      </c>
      <c r="G65" s="20">
        <v>6</v>
      </c>
      <c r="H65" s="20">
        <v>6</v>
      </c>
    </row>
    <row r="66" spans="3:8" x14ac:dyDescent="0.25">
      <c r="C66" s="18" t="s">
        <v>103</v>
      </c>
      <c r="D66" s="20">
        <v>2</v>
      </c>
      <c r="E66" s="20">
        <v>3</v>
      </c>
      <c r="F66" s="20">
        <v>4</v>
      </c>
      <c r="G66" s="20">
        <v>5</v>
      </c>
      <c r="H66" s="20">
        <v>5</v>
      </c>
    </row>
    <row r="67" spans="3:8" x14ac:dyDescent="0.25">
      <c r="C67" s="18" t="s">
        <v>104</v>
      </c>
      <c r="D67" s="20">
        <v>5</v>
      </c>
      <c r="E67" s="20">
        <v>7</v>
      </c>
      <c r="F67" s="20">
        <v>9</v>
      </c>
      <c r="G67" s="20">
        <v>10</v>
      </c>
      <c r="H67" s="20">
        <v>12</v>
      </c>
    </row>
    <row r="68" spans="3:8" x14ac:dyDescent="0.25">
      <c r="C68" s="25" t="s">
        <v>105</v>
      </c>
      <c r="D68" s="26">
        <f>D65+D66+D67</f>
        <v>10</v>
      </c>
      <c r="E68" s="26">
        <f>E65+E66+E67</f>
        <v>14</v>
      </c>
      <c r="F68" s="26">
        <f>F65+F66+F67</f>
        <v>18</v>
      </c>
      <c r="G68" s="26">
        <f>G65+G66+G67</f>
        <v>21</v>
      </c>
      <c r="H68" s="26">
        <f>H65+H66+H67</f>
        <v>23</v>
      </c>
    </row>
    <row r="69" spans="3:8" x14ac:dyDescent="0.25">
      <c r="C69" s="27" t="s">
        <v>106</v>
      </c>
      <c r="D69" s="28">
        <f>IF(D12=0,0,D68/D12)</f>
        <v>0.66666667</v>
      </c>
      <c r="E69" s="28">
        <f>IF(D13=0,0,E68/D13)</f>
        <v>0.63636364</v>
      </c>
      <c r="F69" s="28">
        <f>IF(D14=0,0,F68/D14)</f>
        <v>0.6</v>
      </c>
      <c r="G69" s="28">
        <f>IF(D15=0,0,G68/D15)</f>
        <v>0.58333333</v>
      </c>
      <c r="H69" s="28">
        <f>IF(D16=0,0,H68/D16)</f>
        <v>0.575</v>
      </c>
    </row>
  </sheetData>
  <mergeCells count="8">
    <mergeCell ref="B1:D1"/>
    <mergeCell ref="B3:D3"/>
    <mergeCell ref="B10:D10"/>
    <mergeCell ref="B18:D18"/>
    <mergeCell ref="B30:D30"/>
    <mergeCell ref="B44:D44"/>
    <mergeCell ref="B55:D55"/>
    <mergeCell ref="B63:H63"/>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107</v>
      </c>
      <c r="C1" s="13"/>
      <c r="D1" s="13"/>
      <c r="E1" s="13"/>
      <c r="F1" s="13"/>
      <c r="G1" s="13"/>
    </row>
    <row r="3" ht="24" customHeight="1" spans="2:7" x14ac:dyDescent="0.25">
      <c r="B3" s="29"/>
      <c r="C3" s="30" t="s">
        <v>97</v>
      </c>
      <c r="D3" s="30" t="s">
        <v>98</v>
      </c>
      <c r="E3" s="30" t="s">
        <v>99</v>
      </c>
      <c r="F3" s="30" t="s">
        <v>100</v>
      </c>
      <c r="G3" s="30" t="s">
        <v>101</v>
      </c>
    </row>
    <row r="4" spans="2:7" x14ac:dyDescent="0.25">
      <c r="B4" s="31" t="s">
        <v>108</v>
      </c>
      <c r="C4" s="32">
        <f>Assumptions!D12</f>
        <v>15</v>
      </c>
      <c r="D4" s="32">
        <f>Assumptions!D13</f>
        <v>22</v>
      </c>
      <c r="E4" s="32">
        <f>Assumptions!D14</f>
        <v>30</v>
      </c>
      <c r="F4" s="32">
        <f>Assumptions!D15</f>
        <v>36</v>
      </c>
      <c r="G4" s="32">
        <f>Assumptions!D16</f>
        <v>40</v>
      </c>
    </row>
    <row r="5" spans="2:7" x14ac:dyDescent="0.25">
      <c r="B5" s="31" t="s">
        <v>109</v>
      </c>
      <c r="C5" s="33" t="str">
        <f>Assumptions!D12*Assumptions!D20</f>
        <v>0</v>
      </c>
      <c r="D5" s="33" t="str">
        <f>Assumptions!D13*Assumptions!D20*(1+Assumptions!D21)^1</f>
        <v>0</v>
      </c>
      <c r="E5" s="33" t="str">
        <f>Assumptions!D14*Assumptions!D20*(1+Assumptions!D21)^2</f>
        <v>0</v>
      </c>
      <c r="F5" s="33" t="str">
        <f>Assumptions!D15*Assumptions!D20*(1+Assumptions!D21)^3</f>
        <v>0</v>
      </c>
      <c r="G5" s="33" t="str">
        <f>Assumptions!D16*Assumptions!D20*(1+Assumptions!D21)^4</f>
        <v>0</v>
      </c>
    </row>
    <row r="6" spans="2:7" x14ac:dyDescent="0.25">
      <c r="B6" s="31" t="s">
        <v>110</v>
      </c>
      <c r="C6" s="33" t="str">
        <f>C5*Assumptions!D26</f>
        <v>0</v>
      </c>
      <c r="D6" s="33" t="str">
        <f>D5*Assumptions!D26</f>
        <v>0</v>
      </c>
      <c r="E6" s="33" t="str">
        <f>E5*Assumptions!D26</f>
        <v>0</v>
      </c>
      <c r="F6" s="33" t="str">
        <f>F5*Assumptions!D26</f>
        <v>0</v>
      </c>
      <c r="G6" s="33" t="str">
        <f>G5*Assumptions!D26</f>
        <v>0</v>
      </c>
    </row>
    <row r="7" spans="2:7" x14ac:dyDescent="0.25">
      <c r="B7" s="31" t="s">
        <v>111</v>
      </c>
      <c r="C7" s="33">
        <f>Assumptions!D12*Assumptions!D22</f>
        <v>105000</v>
      </c>
      <c r="D7" s="33">
        <f>Assumptions!D13*Assumptions!D22*(1+Assumptions!D23)^1</f>
        <v>158620</v>
      </c>
      <c r="E7" s="33">
        <f>Assumptions!D14*Assumptions!D22*(1+Assumptions!D23)^2</f>
        <v>222789</v>
      </c>
      <c r="F7" s="33">
        <f>Assumptions!D15*Assumptions!D22*(1+Assumptions!D23)^3</f>
        <v>275367.204</v>
      </c>
      <c r="G7" s="33">
        <f>Assumptions!D16*Assumptions!D22*(1+Assumptions!D23)^4</f>
        <v>315142.4668</v>
      </c>
    </row>
    <row r="8" spans="2:7" x14ac:dyDescent="0.25">
      <c r="B8" s="31" t="s">
        <v>112</v>
      </c>
      <c r="C8" s="33" t="str">
        <f>Assumptions!D12*Assumptions!D24</f>
        <v>0</v>
      </c>
      <c r="D8" s="33" t="str">
        <f>Assumptions!D13*Assumptions!D24*(1+Assumptions!D25)^1</f>
        <v>0</v>
      </c>
      <c r="E8" s="33" t="str">
        <f>Assumptions!D14*Assumptions!D24*(1+Assumptions!D25)^2</f>
        <v>0</v>
      </c>
      <c r="F8" s="33" t="str">
        <f>Assumptions!D15*Assumptions!D24*(1+Assumptions!D25)^3</f>
        <v>0</v>
      </c>
      <c r="G8" s="33" t="str">
        <f>Assumptions!D16*Assumptions!D24*(1+Assumptions!D25)^4</f>
        <v>0</v>
      </c>
    </row>
    <row r="9" spans="2:7" x14ac:dyDescent="0.25">
      <c r="B9" s="31" t="s">
        <v>113</v>
      </c>
      <c r="C9" s="33">
        <f>Assumptions!D27</f>
        <v>3000</v>
      </c>
      <c r="D9" s="33">
        <f>Assumptions!D27*(1+Assumptions!D28)^1</f>
        <v>3000</v>
      </c>
      <c r="E9" s="33">
        <f>Assumptions!D27*(1+Assumptions!D28)^2</f>
        <v>3000</v>
      </c>
      <c r="F9" s="33">
        <f>Assumptions!D27*(1+Assumptions!D28)^3</f>
        <v>3000</v>
      </c>
      <c r="G9" s="33">
        <f>Assumptions!D27*(1+Assumptions!D28)^4</f>
        <v>3000</v>
      </c>
    </row>
    <row r="10" spans="2:7" x14ac:dyDescent="0.25">
      <c r="B10" s="34" t="s">
        <v>114</v>
      </c>
      <c r="C10" s="35">
        <f>C6+C7+C8+C9</f>
        <v>108000</v>
      </c>
      <c r="D10" s="35">
        <f>D6+D7+D8+D9</f>
        <v>161620</v>
      </c>
      <c r="E10" s="35">
        <f>E6+E7+E8+E9</f>
        <v>225789</v>
      </c>
      <c r="F10" s="35">
        <f>F6+F7+F8+F9</f>
        <v>278367.204</v>
      </c>
      <c r="G10" s="35">
        <f>G6+G7+G8+G9</f>
        <v>318142.4668</v>
      </c>
    </row>
    <row r="12" spans="2:7" x14ac:dyDescent="0.25">
      <c r="B12" s="31" t="s">
        <v>115</v>
      </c>
      <c r="C12" s="32">
        <f>CEILING(Assumptions!D12/Assumptions!D32,1)</f>
        <v>1</v>
      </c>
      <c r="D12" s="32">
        <f>CEILING(Assumptions!D13/Assumptions!D32,1)</f>
        <v>1</v>
      </c>
      <c r="E12" s="32">
        <f>CEILING(Assumptions!D14/Assumptions!D32,1)</f>
        <v>1</v>
      </c>
      <c r="F12" s="32">
        <f>CEILING(Assumptions!D15/Assumptions!D32,1)</f>
        <v>2</v>
      </c>
      <c r="G12" s="32">
        <f>CEILING(Assumptions!D16/Assumptions!D32,1)</f>
        <v>2</v>
      </c>
    </row>
    <row r="13" spans="2:7" x14ac:dyDescent="0.25">
      <c r="B13" s="31" t="s">
        <v>116</v>
      </c>
      <c r="C13" s="33">
        <f>C12*Assumptions!D33</f>
        <v>30000</v>
      </c>
      <c r="D13" s="33">
        <f>D12*Assumptions!D33*(1+Assumptions!D34)^1</f>
        <v>30900</v>
      </c>
      <c r="E13" s="33">
        <f>E12*Assumptions!D33*(1+Assumptions!D34)^2</f>
        <v>31827</v>
      </c>
      <c r="F13" s="33">
        <f>F12*Assumptions!D33*(1+Assumptions!D34)^3</f>
        <v>65563.62</v>
      </c>
      <c r="G13" s="33">
        <f>G12*Assumptions!D33*(1+Assumptions!D34)^4</f>
        <v>67530.5286</v>
      </c>
    </row>
    <row r="14" spans="2:7" x14ac:dyDescent="0.25">
      <c r="B14" s="31" t="s">
        <v>117</v>
      </c>
      <c r="C14" s="33">
        <f>Assumptions!D35*Assumptions!D40</f>
        <v>48000</v>
      </c>
      <c r="D14" s="33">
        <f>Assumptions!D36*Assumptions!D40*(1+Assumptions!D41)^1</f>
        <v>49440</v>
      </c>
      <c r="E14" s="33">
        <f>Assumptions!D37*Assumptions!D40*(1+Assumptions!D41)^2</f>
        <v>50923.2</v>
      </c>
      <c r="F14" s="33">
        <f>Assumptions!D38*Assumptions!D40*(1+Assumptions!D41)^3</f>
        <v>52450.896</v>
      </c>
      <c r="G14" s="33">
        <f>Assumptions!D39*Assumptions!D40*(1+Assumptions!D41)^4</f>
        <v>54024.42288</v>
      </c>
    </row>
    <row r="15" spans="2:7" x14ac:dyDescent="0.25">
      <c r="B15" s="31" t="s">
        <v>118</v>
      </c>
      <c r="C15" s="33">
        <f>(C13+C14)*Assumptions!D42</f>
        <v>15600</v>
      </c>
      <c r="D15" s="33">
        <f>(D13+D14)*Assumptions!D42</f>
        <v>16068</v>
      </c>
      <c r="E15" s="33">
        <f>(E13+E14)*Assumptions!D42</f>
        <v>16550.04</v>
      </c>
      <c r="F15" s="33">
        <f>(F13+F14)*Assumptions!D42</f>
        <v>23602.9032</v>
      </c>
      <c r="G15" s="33">
        <f>(G13+G14)*Assumptions!D42</f>
        <v>24310.990296</v>
      </c>
    </row>
    <row r="16" spans="2:7" x14ac:dyDescent="0.25">
      <c r="B16" s="34" t="s">
        <v>119</v>
      </c>
      <c r="C16" s="35">
        <f>C13+C14+C15</f>
        <v>93600</v>
      </c>
      <c r="D16" s="35">
        <f>D13+D14+D15</f>
        <v>96408</v>
      </c>
      <c r="E16" s="35">
        <f>E13+E14+E15</f>
        <v>99300.24</v>
      </c>
      <c r="F16" s="35">
        <f>F13+F14+F15</f>
        <v>141617.4192</v>
      </c>
      <c r="G16" s="35">
        <f>G13+G14+G15</f>
        <v>145865.941776</v>
      </c>
    </row>
    <row r="18" spans="2:7" x14ac:dyDescent="0.25">
      <c r="B18" s="31" t="s">
        <v>120</v>
      </c>
      <c r="C18" s="33">
        <f>Assumptions!D46</f>
        <v>21600</v>
      </c>
      <c r="D18" s="33">
        <f>Assumptions!D46*(1+Assumptions!D47)^1</f>
        <v>22230.41860465</v>
      </c>
      <c r="E18" s="33">
        <f>Assumptions!D46*(1+Assumptions!D47)^2</f>
        <v>22879.23663602</v>
      </c>
      <c r="F18" s="33">
        <f>Assumptions!D46*(1+Assumptions!D47)^3</f>
        <v>23546.99110063</v>
      </c>
      <c r="G18" s="33">
        <f>Assumptions!D46*(1+Assumptions!D47)^4</f>
        <v>24234.2346781</v>
      </c>
    </row>
    <row r="19" spans="2:7" x14ac:dyDescent="0.25">
      <c r="B19" s="31" t="s">
        <v>121</v>
      </c>
      <c r="C19" s="33">
        <f>Assumptions!D48</f>
        <v>4200</v>
      </c>
      <c r="D19" s="33">
        <f>Assumptions!D48*(1+Assumptions!D49)^1</f>
        <v>4322.58139535</v>
      </c>
      <c r="E19" s="33">
        <f>Assumptions!D48*(1+Assumptions!D49)^2</f>
        <v>4448.740457</v>
      </c>
      <c r="F19" s="33">
        <f>Assumptions!D48*(1+Assumptions!D49)^3</f>
        <v>4578.5816029</v>
      </c>
      <c r="G19" s="33">
        <f>Assumptions!D48*(1+Assumptions!D49)^4</f>
        <v>4712.21229852</v>
      </c>
    </row>
    <row r="20" spans="2:7" x14ac:dyDescent="0.25">
      <c r="B20" s="31" t="s">
        <v>122</v>
      </c>
      <c r="C20" s="33">
        <f>Assumptions!D12*Assumptions!D50</f>
        <v>6000</v>
      </c>
      <c r="D20" s="33">
        <f>Assumptions!D13*Assumptions!D50*(1+Assumptions!D51)^1</f>
        <v>13293.86666667</v>
      </c>
      <c r="E20" s="33">
        <f>Assumptions!D14*Assumptions!D50*(1+Assumptions!D51)^2</f>
        <v>27385.36533333</v>
      </c>
      <c r="F20" s="33">
        <f>Assumptions!D15*Assumptions!D50*(1+Assumptions!D51)^3</f>
        <v>49644.19027627</v>
      </c>
      <c r="G20" s="33">
        <f>Assumptions!D16*Assumptions!D50*(1+Assumptions!D51)^4</f>
        <v>83328.69271557</v>
      </c>
    </row>
    <row r="21" spans="2:7" x14ac:dyDescent="0.25">
      <c r="B21" s="31" t="s">
        <v>123</v>
      </c>
      <c r="C21" s="33">
        <f>Assumptions!D52</f>
        <v>8250</v>
      </c>
      <c r="D21" s="33">
        <f>Assumptions!D52*(1+Assumptions!D53)^1</f>
        <v>10176</v>
      </c>
      <c r="E21" s="33">
        <f>Assumptions!D52*(1+Assumptions!D53)^2</f>
        <v>12551.63345455</v>
      </c>
      <c r="F21" s="33">
        <f>Assumptions!D52*(1+Assumptions!D53)^3</f>
        <v>15481.86933739</v>
      </c>
      <c r="G21" s="33">
        <f>Assumptions!D52*(1+Assumptions!D53)^4</f>
        <v>19096.18210634</v>
      </c>
    </row>
    <row r="22" spans="2:7" x14ac:dyDescent="0.25">
      <c r="B22" s="34" t="s">
        <v>124</v>
      </c>
      <c r="C22" s="35">
        <f>C18+C19+C20+C21</f>
        <v>40050</v>
      </c>
      <c r="D22" s="35">
        <f>D18+D19+D20+D21</f>
        <v>50022.86666667</v>
      </c>
      <c r="E22" s="35">
        <f>E18+E19+E20+E21</f>
        <v>67264.9758809</v>
      </c>
      <c r="F22" s="35">
        <f>F18+F19+F20+F21</f>
        <v>93251.63231718</v>
      </c>
      <c r="G22" s="35">
        <f>G18+G19+G20+G21</f>
        <v>131371.32179853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125</v>
      </c>
      <c r="C1" s="13"/>
      <c r="D1" s="13"/>
      <c r="E1" s="13"/>
      <c r="F1" s="13"/>
      <c r="G1" s="13"/>
    </row>
    <row r="3" ht="24" customHeight="1" spans="2:7" x14ac:dyDescent="0.25">
      <c r="B3" s="29"/>
      <c r="C3" s="30" t="s">
        <v>97</v>
      </c>
      <c r="D3" s="30" t="s">
        <v>98</v>
      </c>
      <c r="E3" s="30" t="s">
        <v>99</v>
      </c>
      <c r="F3" s="30" t="s">
        <v>100</v>
      </c>
      <c r="G3" s="30" t="s">
        <v>101</v>
      </c>
    </row>
    <row r="5" spans="2:7" x14ac:dyDescent="0.25">
      <c r="B5" s="31" t="s">
        <v>108</v>
      </c>
      <c r="C5" s="32">
        <f>Drivers!C4</f>
        <v>15</v>
      </c>
      <c r="D5" s="32">
        <f>Drivers!D4</f>
        <v>22</v>
      </c>
      <c r="E5" s="32">
        <f>Drivers!E4</f>
        <v>30</v>
      </c>
      <c r="F5" s="32">
        <f>Drivers!F4</f>
        <v>36</v>
      </c>
      <c r="G5" s="32">
        <f>Drivers!G4</f>
        <v>40</v>
      </c>
    </row>
    <row r="6" spans="2:7" x14ac:dyDescent="0.25">
      <c r="B6" s="31" t="s">
        <v>109</v>
      </c>
      <c r="C6" s="33" t="str">
        <f>Drivers!C6</f>
        <v>0</v>
      </c>
      <c r="D6" s="33" t="str">
        <f>Drivers!D6</f>
        <v>0</v>
      </c>
      <c r="E6" s="33" t="str">
        <f>Drivers!E6</f>
        <v>0</v>
      </c>
      <c r="F6" s="33" t="str">
        <f>Drivers!F6</f>
        <v>0</v>
      </c>
      <c r="G6" s="33" t="str">
        <f>Drivers!G6</f>
        <v>0</v>
      </c>
    </row>
    <row r="7" spans="2:7" x14ac:dyDescent="0.25">
      <c r="B7" s="31" t="s">
        <v>126</v>
      </c>
      <c r="C7" s="33">
        <f>Drivers!C7</f>
        <v>105000</v>
      </c>
      <c r="D7" s="33">
        <f>Drivers!D7</f>
        <v>158620</v>
      </c>
      <c r="E7" s="33">
        <f>Drivers!E7</f>
        <v>222789</v>
      </c>
      <c r="F7" s="33">
        <f>Drivers!F7</f>
        <v>275367.204</v>
      </c>
      <c r="G7" s="33">
        <f>Drivers!G7</f>
        <v>315142.4668</v>
      </c>
    </row>
    <row r="8" spans="2:7" x14ac:dyDescent="0.25">
      <c r="B8" s="31" t="s">
        <v>127</v>
      </c>
      <c r="C8" s="33" t="str">
        <f>Drivers!C8</f>
        <v>0</v>
      </c>
      <c r="D8" s="33" t="str">
        <f>Drivers!D8</f>
        <v>0</v>
      </c>
      <c r="E8" s="33" t="str">
        <f>Drivers!E8</f>
        <v>0</v>
      </c>
      <c r="F8" s="33" t="str">
        <f>Drivers!F8</f>
        <v>0</v>
      </c>
      <c r="G8" s="33" t="str">
        <f>Drivers!G8</f>
        <v>0</v>
      </c>
    </row>
    <row r="9" spans="2:7" x14ac:dyDescent="0.25">
      <c r="B9" s="31" t="s">
        <v>113</v>
      </c>
      <c r="C9" s="33">
        <f>Drivers!C9</f>
        <v>3000</v>
      </c>
      <c r="D9" s="33">
        <f>Drivers!D9</f>
        <v>3000</v>
      </c>
      <c r="E9" s="33">
        <f>Drivers!E9</f>
        <v>3000</v>
      </c>
      <c r="F9" s="33">
        <f>Drivers!F9</f>
        <v>3000</v>
      </c>
      <c r="G9" s="33">
        <f>Drivers!G9</f>
        <v>3000</v>
      </c>
    </row>
    <row r="10" spans="2:7" x14ac:dyDescent="0.25">
      <c r="B10" s="34" t="s">
        <v>114</v>
      </c>
      <c r="C10" s="35">
        <f>Drivers!C10</f>
        <v>108000</v>
      </c>
      <c r="D10" s="35">
        <f>Drivers!D10</f>
        <v>161620</v>
      </c>
      <c r="E10" s="35">
        <f>Drivers!E10</f>
        <v>225789</v>
      </c>
      <c r="F10" s="35">
        <f>Drivers!F10</f>
        <v>278367.204</v>
      </c>
      <c r="G10" s="35">
        <f>Drivers!G10</f>
        <v>318142.4668</v>
      </c>
    </row>
    <row r="12" spans="2:7" x14ac:dyDescent="0.25">
      <c r="B12" s="31" t="s">
        <v>128</v>
      </c>
      <c r="C12" s="33">
        <f>Drivers!C16</f>
        <v>93600</v>
      </c>
      <c r="D12" s="33">
        <f>Drivers!D16</f>
        <v>96408</v>
      </c>
      <c r="E12" s="33">
        <f>Drivers!E16</f>
        <v>99300.24</v>
      </c>
      <c r="F12" s="33">
        <f>Drivers!F16</f>
        <v>141617.4192</v>
      </c>
      <c r="G12" s="33">
        <f>Drivers!G16</f>
        <v>145865.941776</v>
      </c>
    </row>
    <row r="13" spans="2:7" x14ac:dyDescent="0.25">
      <c r="B13" s="31" t="s">
        <v>124</v>
      </c>
      <c r="C13" s="33">
        <f>Drivers!C22</f>
        <v>40050</v>
      </c>
      <c r="D13" s="33">
        <f>Drivers!D22</f>
        <v>50022.86666667</v>
      </c>
      <c r="E13" s="33">
        <f>Drivers!E22</f>
        <v>67264.9758809</v>
      </c>
      <c r="F13" s="33">
        <f>Drivers!F22</f>
        <v>93251.63231718</v>
      </c>
      <c r="G13" s="33">
        <f>Drivers!G22</f>
        <v>131371.32179853</v>
      </c>
    </row>
    <row r="15" spans="2:7" x14ac:dyDescent="0.25">
      <c r="B15" s="34" t="s">
        <v>129</v>
      </c>
      <c r="C15" s="35">
        <f>C12+C13</f>
        <v>133650</v>
      </c>
      <c r="D15" s="35">
        <f>D12+D13</f>
        <v>146430.86666667</v>
      </c>
      <c r="E15" s="35">
        <f>E12+E13</f>
        <v>166565.2158809</v>
      </c>
      <c r="F15" s="35">
        <f>F12+F13</f>
        <v>234869.05151718</v>
      </c>
      <c r="G15" s="35">
        <f>G12+G13</f>
        <v>277237.26357453</v>
      </c>
    </row>
    <row r="16" spans="2:7" x14ac:dyDescent="0.25">
      <c r="B16" s="34" t="s">
        <v>130</v>
      </c>
      <c r="C16" s="36">
        <f>C10-C15</f>
        <v>-25650</v>
      </c>
      <c r="D16" s="37">
        <f>D10-D15</f>
        <v>15189.13333333</v>
      </c>
      <c r="E16" s="37">
        <f>E10-E15</f>
        <v>59223.7841191</v>
      </c>
      <c r="F16" s="37">
        <f>F10-F15</f>
        <v>43498.15248282</v>
      </c>
      <c r="G16" s="37">
        <f>G10-G15</f>
        <v>40905.20322547</v>
      </c>
    </row>
    <row r="17" spans="2:7" x14ac:dyDescent="0.25">
      <c r="B17" s="31" t="s">
        <v>131</v>
      </c>
      <c r="C17" s="38">
        <f>IF(C10&gt;0,C16/C10,0)</f>
        <v>-0.2375</v>
      </c>
      <c r="D17" s="38">
        <f>IF(D10&gt;0,D16/D10,0)</f>
        <v>0.09398053</v>
      </c>
      <c r="E17" s="38">
        <f>IF(E10&gt;0,E16/E10,0)</f>
        <v>0.26229703</v>
      </c>
      <c r="F17" s="38">
        <f>IF(F10&gt;0,F16/F10,0)</f>
        <v>0.15626177</v>
      </c>
      <c r="G17" s="38">
        <f>IF(G10&gt;0,G16/G10,0)</f>
        <v>0.12857511</v>
      </c>
    </row>
    <row r="19" spans="2:7" x14ac:dyDescent="0.25">
      <c r="B19" s="31" t="s">
        <v>132</v>
      </c>
      <c r="C19" s="33" t="str">
        <f>'Cash Flow &amp; DSCR'!C9</f>
        <v>0</v>
      </c>
      <c r="D19" s="33" t="str">
        <f>'Cash Flow &amp; DSCR'!D9</f>
        <v>0</v>
      </c>
      <c r="E19" s="33" t="str">
        <f>'Cash Flow &amp; DSCR'!E9</f>
        <v>0</v>
      </c>
      <c r="F19" s="33" t="str">
        <f>'Cash Flow &amp; DSCR'!F9</f>
        <v>0</v>
      </c>
      <c r="G19" s="33" t="str">
        <f>'Cash Flow &amp; DSCR'!G9</f>
        <v>0</v>
      </c>
    </row>
    <row r="21" spans="2:7" x14ac:dyDescent="0.25">
      <c r="B21" s="34" t="s">
        <v>133</v>
      </c>
      <c r="C21" s="36">
        <f>C16-C19</f>
        <v>-25650</v>
      </c>
      <c r="D21" s="37">
        <f>D16-D19</f>
        <v>15189.13333333</v>
      </c>
      <c r="E21" s="37">
        <f>E16-E19</f>
        <v>59223.7841191</v>
      </c>
      <c r="F21" s="37">
        <f>F16-F19</f>
        <v>43498.15248282</v>
      </c>
      <c r="G21" s="37">
        <f>G16-G19</f>
        <v>40905.20322547</v>
      </c>
    </row>
    <row r="22" spans="2:7" x14ac:dyDescent="0.25">
      <c r="B22" s="31" t="s">
        <v>134</v>
      </c>
      <c r="C22" s="38">
        <f>IF(C10&gt;0,C21/C10,0)</f>
        <v>-0.2375</v>
      </c>
      <c r="D22" s="38">
        <f>IF(D10&gt;0,D21/D10,0)</f>
        <v>0.09398053</v>
      </c>
      <c r="E22" s="38">
        <f>IF(E10&gt;0,E21/E10,0)</f>
        <v>0.26229703</v>
      </c>
      <c r="F22" s="38">
        <f>IF(F10&gt;0,F21/F10,0)</f>
        <v>0.15626177</v>
      </c>
      <c r="G22" s="38">
        <f>IF(G10&gt;0,G21/G10,0)</f>
        <v>0.12857511</v>
      </c>
    </row>
    <row r="24" spans="2:7" x14ac:dyDescent="0.25">
      <c r="B24" s="34" t="s">
        <v>135</v>
      </c>
      <c r="C24" s="39">
        <f>C21</f>
        <v>-25650</v>
      </c>
      <c r="D24" s="39">
        <f>C24+D21</f>
        <v>-10460.86666667</v>
      </c>
      <c r="E24" s="39">
        <f>D24+E21</f>
        <v>48762.91745243</v>
      </c>
      <c r="F24" s="39">
        <f>E24+F21</f>
        <v>92261.06993525</v>
      </c>
      <c r="G24" s="39">
        <f>F24+G21</f>
        <v>133166.27316072</v>
      </c>
    </row>
    <row r="25" spans="2:7" x14ac:dyDescent="0.25">
      <c r="B25" s="34" t="s">
        <v>136</v>
      </c>
      <c r="C25" s="40" t="s">
        <v>7</v>
      </c>
      <c r="D25" s="40" t="s">
        <v>7</v>
      </c>
      <c r="E25" s="41" t="s">
        <v>137</v>
      </c>
      <c r="F25" s="40" t="s">
        <v>7</v>
      </c>
      <c r="G25" s="40"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138</v>
      </c>
      <c r="C1" s="13"/>
      <c r="D1" s="13"/>
      <c r="E1" s="13"/>
      <c r="F1" s="13"/>
      <c r="G1" s="13"/>
    </row>
    <row r="3" ht="24" customHeight="1" spans="2:7" x14ac:dyDescent="0.25">
      <c r="B3" s="29"/>
      <c r="C3" s="30" t="s">
        <v>97</v>
      </c>
      <c r="D3" s="30" t="s">
        <v>98</v>
      </c>
      <c r="E3" s="30" t="s">
        <v>99</v>
      </c>
      <c r="F3" s="30" t="s">
        <v>100</v>
      </c>
      <c r="G3" s="30" t="s">
        <v>101</v>
      </c>
    </row>
    <row r="4" spans="2:7" x14ac:dyDescent="0.25">
      <c r="B4" s="34" t="s">
        <v>139</v>
      </c>
      <c r="C4" s="39" t="str">
        <f>Assumptions!D57</f>
        <v>0</v>
      </c>
      <c r="D4" s="39">
        <f>C16</f>
        <v>-25650</v>
      </c>
      <c r="E4" s="39">
        <f>D16</f>
        <v>-10460.86666667</v>
      </c>
      <c r="F4" s="39">
        <f>E16</f>
        <v>48762.91745243</v>
      </c>
      <c r="G4" s="39">
        <f>F16</f>
        <v>92261.06993525</v>
      </c>
    </row>
    <row r="5" spans="2:7" x14ac:dyDescent="0.25">
      <c r="B5" s="31" t="s">
        <v>140</v>
      </c>
      <c r="C5" s="33">
        <f>'5-Year P&amp;L'!C16</f>
        <v>-25650</v>
      </c>
      <c r="D5" s="33">
        <f>'5-Year P&amp;L'!D16</f>
        <v>15189.13333333</v>
      </c>
      <c r="E5" s="33">
        <f>'5-Year P&amp;L'!E16</f>
        <v>59223.7841191</v>
      </c>
      <c r="F5" s="33">
        <f>'5-Year P&amp;L'!F16</f>
        <v>43498.15248282</v>
      </c>
      <c r="G5" s="33">
        <f>'5-Year P&amp;L'!G16</f>
        <v>40905.20322547</v>
      </c>
    </row>
    <row r="7" spans="2:7" x14ac:dyDescent="0.25">
      <c r="B7" s="31" t="s">
        <v>141</v>
      </c>
      <c r="C7" s="33" t="str">
        <f>Assumptions!D58</f>
        <v>0</v>
      </c>
      <c r="D7" s="33" t="str">
        <f>Assumptions!D58</f>
        <v>0</v>
      </c>
      <c r="E7" s="33" t="str">
        <f>Assumptions!D58</f>
        <v>0</v>
      </c>
      <c r="F7" s="33" t="str">
        <f>Assumptions!D58</f>
        <v>0</v>
      </c>
      <c r="G7" s="33" t="str">
        <f>Assumptions!D58</f>
        <v>0</v>
      </c>
    </row>
    <row r="8" spans="2:7" x14ac:dyDescent="0.25">
      <c r="B8" s="31" t="s">
        <v>142</v>
      </c>
      <c r="C8" s="33" t="str">
        <f>IF(Assumptions!D59&gt;0,PMT(Assumptions!D60/12,Assumptions!D61*12,-Assumptions!D59)*12,0)</f>
        <v>0</v>
      </c>
      <c r="D8" s="33" t="str">
        <f>IF(Assumptions!D59&gt;0,PMT(Assumptions!D60/12,Assumptions!D61*12,-Assumptions!D59)*12,0)</f>
        <v>0</v>
      </c>
      <c r="E8" s="33" t="str">
        <f>IF(Assumptions!D59&gt;0,PMT(Assumptions!D60/12,Assumptions!D61*12,-Assumptions!D59)*12,0)</f>
        <v>0</v>
      </c>
      <c r="F8" s="33" t="str">
        <f>IF(Assumptions!D59&gt;0,PMT(Assumptions!D60/12,Assumptions!D61*12,-Assumptions!D59)*12,0)</f>
        <v>0</v>
      </c>
      <c r="G8" s="33" t="str">
        <f>IF(Assumptions!D59&gt;0,PMT(Assumptions!D60/12,Assumptions!D61*12,-Assumptions!D59)*12,0)</f>
        <v>0</v>
      </c>
    </row>
    <row r="9" spans="2:7" x14ac:dyDescent="0.25">
      <c r="B9" s="34" t="s">
        <v>143</v>
      </c>
      <c r="C9" s="35" t="str">
        <f>C7+C8</f>
        <v>0</v>
      </c>
      <c r="D9" s="35" t="str">
        <f>D7+D8</f>
        <v>0</v>
      </c>
      <c r="E9" s="35" t="str">
        <f>E7+E8</f>
        <v>0</v>
      </c>
      <c r="F9" s="35" t="str">
        <f>F7+F8</f>
        <v>0</v>
      </c>
      <c r="G9" s="35" t="str">
        <f>G7+G8</f>
        <v>0</v>
      </c>
    </row>
    <row r="11" spans="2:7" x14ac:dyDescent="0.25">
      <c r="B11" s="34" t="s">
        <v>144</v>
      </c>
      <c r="C11" s="42" t="str">
        <f>IF(C9&gt;0,C5/C9,IF(C5&gt;0,99.9,0))</f>
        <v>0</v>
      </c>
      <c r="D11" s="43">
        <f>IF(D9&gt;0,D5/D9,IF(D5&gt;0,99.9,0))</f>
        <v>99.9</v>
      </c>
      <c r="E11" s="43">
        <f>IF(E9&gt;0,E5/E9,IF(E5&gt;0,99.9,0))</f>
        <v>99.9</v>
      </c>
      <c r="F11" s="43">
        <f>IF(F9&gt;0,F5/F9,IF(F5&gt;0,99.9,0))</f>
        <v>99.9</v>
      </c>
      <c r="G11" s="43">
        <f>IF(G9&gt;0,G5/G9,IF(G5&gt;0,99.9,0))</f>
        <v>99.9</v>
      </c>
    </row>
    <row r="13" spans="2:7" x14ac:dyDescent="0.25">
      <c r="B13" s="31" t="s">
        <v>145</v>
      </c>
      <c r="C13" s="33">
        <f>C5-C9</f>
        <v>-25650</v>
      </c>
      <c r="D13" s="33">
        <f>D5-D9</f>
        <v>15189.13333333</v>
      </c>
      <c r="E13" s="33">
        <f>E5-E9</f>
        <v>59223.7841191</v>
      </c>
      <c r="F13" s="33">
        <f>F5-F9</f>
        <v>43498.15248282</v>
      </c>
      <c r="G13" s="33">
        <f>G5-G9</f>
        <v>40905.20322547</v>
      </c>
    </row>
    <row r="14" spans="2:7" x14ac:dyDescent="0.25">
      <c r="B14" s="34" t="s">
        <v>146</v>
      </c>
      <c r="C14" s="39">
        <f>C5-C9</f>
        <v>-25650</v>
      </c>
      <c r="D14" s="39">
        <f>D5-D9</f>
        <v>15189.13333333</v>
      </c>
      <c r="E14" s="39">
        <f>E5-E9</f>
        <v>59223.7841191</v>
      </c>
      <c r="F14" s="39">
        <f>F5-F9</f>
        <v>43498.15248282</v>
      </c>
      <c r="G14" s="39">
        <f>G5-G9</f>
        <v>40905.20322547</v>
      </c>
    </row>
    <row r="16" spans="2:7" x14ac:dyDescent="0.25">
      <c r="B16" s="34" t="s">
        <v>147</v>
      </c>
      <c r="C16" s="36">
        <f>C4+C14</f>
        <v>-25650</v>
      </c>
      <c r="D16" s="36">
        <f>D4+D14</f>
        <v>-10460.86666667</v>
      </c>
      <c r="E16" s="37">
        <f>E4+E14</f>
        <v>48762.91745243</v>
      </c>
      <c r="F16" s="37">
        <f>F4+F14</f>
        <v>92261.06993525</v>
      </c>
      <c r="G16" s="37">
        <f>G4+G14</f>
        <v>133166.27316072</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148</v>
      </c>
      <c r="C1" s="13"/>
      <c r="D1" s="13"/>
      <c r="E1" s="13"/>
      <c r="F1" s="13"/>
      <c r="G1" s="13"/>
    </row>
    <row r="3" ht="24" customHeight="1" spans="2:7" x14ac:dyDescent="0.25">
      <c r="B3" s="29"/>
      <c r="C3" s="30" t="s">
        <v>97</v>
      </c>
      <c r="D3" s="30" t="s">
        <v>98</v>
      </c>
      <c r="E3" s="30" t="s">
        <v>99</v>
      </c>
      <c r="F3" s="30" t="s">
        <v>100</v>
      </c>
      <c r="G3" s="30" t="s">
        <v>101</v>
      </c>
    </row>
    <row r="4" spans="2:7" x14ac:dyDescent="0.25">
      <c r="B4" s="31" t="s">
        <v>149</v>
      </c>
      <c r="C4" s="32">
        <f>Drivers!C12</f>
        <v>1</v>
      </c>
      <c r="D4" s="32">
        <f>Drivers!D12</f>
        <v>1</v>
      </c>
      <c r="E4" s="32">
        <f>Drivers!E12</f>
        <v>1</v>
      </c>
      <c r="F4" s="32">
        <f>Drivers!F12</f>
        <v>2</v>
      </c>
      <c r="G4" s="32">
        <f>Drivers!G12</f>
        <v>2</v>
      </c>
    </row>
    <row r="5" spans="2:7" x14ac:dyDescent="0.25">
      <c r="B5" s="31" t="s">
        <v>150</v>
      </c>
      <c r="C5" s="32">
        <f>Assumptions!D35</f>
        <v>1</v>
      </c>
      <c r="D5" s="32">
        <f>Assumptions!D36</f>
        <v>1</v>
      </c>
      <c r="E5" s="32">
        <f>Assumptions!D37</f>
        <v>1</v>
      </c>
      <c r="F5" s="32">
        <f>Assumptions!D38</f>
        <v>1</v>
      </c>
      <c r="G5" s="32">
        <f>Assumptions!D39</f>
        <v>1</v>
      </c>
    </row>
    <row r="6" spans="2:7" x14ac:dyDescent="0.25">
      <c r="B6" s="34" t="s">
        <v>151</v>
      </c>
      <c r="C6" s="44">
        <f>C4+C5</f>
        <v>2</v>
      </c>
      <c r="D6" s="44">
        <f>D4+D5</f>
        <v>2</v>
      </c>
      <c r="E6" s="44">
        <f>E4+E5</f>
        <v>2</v>
      </c>
      <c r="F6" s="44">
        <f>F4+F5</f>
        <v>3</v>
      </c>
      <c r="G6" s="44">
        <f>G4+G5</f>
        <v>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152</v>
      </c>
      <c r="C1" s="13"/>
    </row>
    <row r="3" spans="2:3" x14ac:dyDescent="0.25">
      <c r="B3" s="31" t="s">
        <v>153</v>
      </c>
      <c r="C3" s="33" t="str">
        <f>Assumptions!D59</f>
        <v>0</v>
      </c>
    </row>
    <row r="4" spans="2:3" x14ac:dyDescent="0.25">
      <c r="B4" s="31" t="s">
        <v>154</v>
      </c>
      <c r="C4" s="38">
        <f>Assumptions!D60</f>
        <v>0.08</v>
      </c>
    </row>
    <row r="5" spans="2:3" x14ac:dyDescent="0.25">
      <c r="B5" s="31" t="s">
        <v>94</v>
      </c>
      <c r="C5" s="32">
        <f>Assumptions!D61</f>
        <v>5</v>
      </c>
    </row>
    <row r="6" spans="2:3" x14ac:dyDescent="0.25">
      <c r="B6" s="31" t="s">
        <v>155</v>
      </c>
      <c r="C6" s="39" t="str">
        <f>IF(Assumptions!D59&gt;0,PMT(Assumptions!D60/12,Assumptions!D61*12,-Assumptions!D59)*12,0)</f>
        <v>0</v>
      </c>
    </row>
    <row r="8" spans="2:3" x14ac:dyDescent="0.25">
      <c r="B8" s="31" t="s">
        <v>156</v>
      </c>
      <c r="C8" s="42" t="str">
        <f>'Cash Flow &amp; DSCR'!C11</f>
        <v>0</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157</v>
      </c>
      <c r="C1" s="13"/>
    </row>
    <row r="3" spans="2:3" x14ac:dyDescent="0.25">
      <c r="B3" s="31" t="s">
        <v>46</v>
      </c>
      <c r="C3" s="31" t="str">
        <f>Assumptions!D5</f>
        <v>Liberty Learning Co-Op</v>
      </c>
    </row>
    <row r="4" spans="2:3" x14ac:dyDescent="0.25">
      <c r="B4" s="31" t="s">
        <v>49</v>
      </c>
      <c r="C4" s="31" t="str">
        <f>Assumptions!D7</f>
        <v>Homeschool Co-Op</v>
      </c>
    </row>
    <row r="5" spans="2:3" x14ac:dyDescent="0.25">
      <c r="B5" s="31" t="s">
        <v>47</v>
      </c>
      <c r="C5" s="31" t="str">
        <f>Assumptions!D6</f>
        <v>AZ</v>
      </c>
    </row>
    <row r="6" spans="2:3" x14ac:dyDescent="0.25">
      <c r="B6" s="31" t="s">
        <v>158</v>
      </c>
      <c r="C6" s="31">
        <f>Assumptions!D8</f>
        <v>2026</v>
      </c>
    </row>
    <row r="8" spans="2:3" x14ac:dyDescent="0.25">
      <c r="B8" s="31" t="s">
        <v>57</v>
      </c>
      <c r="C8" s="32">
        <f>Assumptions!D16</f>
        <v>40</v>
      </c>
    </row>
    <row r="9" spans="2:3" x14ac:dyDescent="0.25">
      <c r="B9" s="31" t="s">
        <v>159</v>
      </c>
      <c r="C9" s="33">
        <f>Drivers!G10</f>
        <v>318142.4668</v>
      </c>
    </row>
    <row r="10" spans="2:3" x14ac:dyDescent="0.25">
      <c r="B10" s="31" t="s">
        <v>160</v>
      </c>
      <c r="C10" s="45">
        <f>'5-Year P&amp;L'!G16</f>
        <v>40905.20322547</v>
      </c>
    </row>
    <row r="12" ht="24" customHeight="1" spans="2:3" x14ac:dyDescent="0.25">
      <c r="B12" s="46" t="s">
        <v>161</v>
      </c>
      <c r="C12" s="29"/>
    </row>
    <row r="13" spans="2:3" x14ac:dyDescent="0.25">
      <c r="B13" s="31" t="s">
        <v>162</v>
      </c>
      <c r="C13" s="47">
        <f>IF(Drivers!G10&gt;0,'5-Year P&amp;L'!G21/Drivers!G10,0)</f>
        <v>0.12857511</v>
      </c>
    </row>
    <row r="14" spans="2:3" x14ac:dyDescent="0.25">
      <c r="B14" s="31" t="s">
        <v>163</v>
      </c>
      <c r="C14" s="38">
        <f>IF(Drivers!G10&gt;0,Drivers!G16/Drivers!G10,0)</f>
        <v>0.45849252</v>
      </c>
    </row>
    <row r="15" spans="2:3" x14ac:dyDescent="0.25">
      <c r="B15" s="31" t="s">
        <v>164</v>
      </c>
      <c r="C15" s="33">
        <f>IF(Assumptions!D16&gt;0,Drivers!G10/Assumptions!D16,0)</f>
        <v>7954</v>
      </c>
    </row>
    <row r="16" spans="2:3" x14ac:dyDescent="0.25">
      <c r="B16" s="31" t="s">
        <v>165</v>
      </c>
      <c r="C16" s="33">
        <f>IF(Assumptions!D16&gt;0,('5-Year P&amp;L'!G12+'5-Year P&amp;L'!G13)/Assumptions!D16,0)</f>
        <v>6931</v>
      </c>
    </row>
    <row r="17" spans="2:3" x14ac:dyDescent="0.25">
      <c r="B17" s="31" t="s">
        <v>166</v>
      </c>
      <c r="C17" s="42" t="str">
        <f>'Cash Flow &amp; DSCR'!C11</f>
        <v>0</v>
      </c>
    </row>
    <row r="18" spans="2:3" x14ac:dyDescent="0.25">
      <c r="B18" s="31" t="s">
        <v>167</v>
      </c>
      <c r="C18" s="43">
        <f>'Cash Flow &amp; DSCR'!G11</f>
        <v>99.9</v>
      </c>
    </row>
    <row r="19" spans="2:3" x14ac:dyDescent="0.25">
      <c r="B19" s="31" t="s">
        <v>168</v>
      </c>
      <c r="C19" s="48">
        <v>0</v>
      </c>
    </row>
    <row r="21" spans="2:3" x14ac:dyDescent="0.25">
      <c r="B21" s="12" t="s">
        <v>169</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170</v>
      </c>
      <c r="C1" s="13"/>
      <c r="D1" s="13"/>
      <c r="E1" s="13"/>
      <c r="F1" s="13"/>
      <c r="G1" s="13"/>
      <c r="H1" s="13"/>
    </row>
    <row r="2" ht="60" customHeight="1" spans="2:8" x14ac:dyDescent="0.25">
      <c r="B2" s="49" t="s">
        <v>171</v>
      </c>
      <c r="C2" s="49"/>
      <c r="D2" s="49"/>
      <c r="E2" s="49"/>
      <c r="F2" s="49"/>
      <c r="G2" s="49"/>
      <c r="H2" s="49"/>
    </row>
    <row r="4" ht="30" customHeight="1" spans="2:8" x14ac:dyDescent="0.25">
      <c r="B4" s="50" t="s">
        <v>172</v>
      </c>
      <c r="C4" s="50"/>
      <c r="D4" s="50"/>
      <c r="E4" s="50"/>
      <c r="F4" s="50"/>
      <c r="G4" s="50"/>
      <c r="H4" s="50"/>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173</v>
      </c>
      <c r="C2" s="1"/>
      <c r="D2" s="1"/>
      <c r="E2" s="1"/>
      <c r="F2" s="1"/>
      <c r="G2" s="1"/>
      <c r="H2" s="1"/>
    </row>
    <row r="3" spans="2:8" x14ac:dyDescent="0.25">
      <c r="B3" s="12" t="s">
        <v>40</v>
      </c>
      <c r="C3" s="12"/>
      <c r="D3" s="12"/>
      <c r="E3" s="12"/>
      <c r="F3" s="12"/>
      <c r="G3" s="12"/>
      <c r="H3" s="12"/>
    </row>
    <row r="4" spans="2:6" x14ac:dyDescent="0.25">
      <c r="B4" s="51" t="s">
        <v>174</v>
      </c>
      <c r="D4" s="52" t="s">
        <v>175</v>
      </c>
      <c r="F4" s="53" t="s">
        <v>176</v>
      </c>
    </row>
    <row r="6" ht="24" customHeight="1" spans="2:8" x14ac:dyDescent="0.25">
      <c r="B6" s="54" t="s">
        <v>177</v>
      </c>
      <c r="C6" s="55" t="s">
        <v>97</v>
      </c>
      <c r="D6" s="55" t="s">
        <v>98</v>
      </c>
      <c r="E6" s="55" t="s">
        <v>99</v>
      </c>
      <c r="F6" s="55" t="s">
        <v>100</v>
      </c>
      <c r="G6" s="55" t="s">
        <v>101</v>
      </c>
      <c r="H6" s="55" t="s">
        <v>178</v>
      </c>
    </row>
    <row r="7" spans="2:7" x14ac:dyDescent="0.25">
      <c r="B7" s="31" t="s">
        <v>108</v>
      </c>
      <c r="C7" s="32">
        <v>15</v>
      </c>
      <c r="D7" s="32">
        <v>22</v>
      </c>
      <c r="E7" s="32">
        <v>30</v>
      </c>
      <c r="F7" s="32">
        <v>36</v>
      </c>
      <c r="G7" s="32">
        <v>40</v>
      </c>
    </row>
    <row r="8" spans="2:7" x14ac:dyDescent="0.25">
      <c r="B8" s="31" t="s">
        <v>179</v>
      </c>
      <c r="C8" s="33">
        <v>108000</v>
      </c>
      <c r="D8" s="33">
        <v>161620</v>
      </c>
      <c r="E8" s="33">
        <v>225789</v>
      </c>
      <c r="F8" s="33">
        <v>278367.204</v>
      </c>
      <c r="G8" s="33">
        <v>318142.46680000005</v>
      </c>
    </row>
    <row r="9" spans="2:7" x14ac:dyDescent="0.25">
      <c r="B9" s="31" t="s">
        <v>180</v>
      </c>
      <c r="C9" s="33">
        <v>93600</v>
      </c>
      <c r="D9" s="33">
        <v>96408</v>
      </c>
      <c r="E9" s="33">
        <v>99300.23999999999</v>
      </c>
      <c r="F9" s="33">
        <v>141617.4192</v>
      </c>
      <c r="G9" s="33">
        <v>145865.94177600002</v>
      </c>
    </row>
    <row r="10" spans="2:7" x14ac:dyDescent="0.25">
      <c r="B10" s="31" t="s">
        <v>181</v>
      </c>
      <c r="C10" s="33">
        <v>40050</v>
      </c>
      <c r="D10" s="33">
        <v>50022.86666666667</v>
      </c>
      <c r="E10" s="33">
        <v>67264.97588090204</v>
      </c>
      <c r="F10" s="33">
        <v>93251.63231718403</v>
      </c>
      <c r="G10" s="33">
        <v>131371.32179852598</v>
      </c>
    </row>
    <row r="11" spans="2:7" x14ac:dyDescent="0.25">
      <c r="B11" s="31" t="s">
        <v>182</v>
      </c>
      <c r="C11" s="33">
        <v>0</v>
      </c>
      <c r="D11" s="33">
        <v>0</v>
      </c>
      <c r="E11" s="33">
        <v>0</v>
      </c>
      <c r="F11" s="33">
        <v>0</v>
      </c>
      <c r="G11" s="33">
        <v>0</v>
      </c>
    </row>
    <row r="12" spans="2:7" x14ac:dyDescent="0.25">
      <c r="B12" s="34" t="s">
        <v>133</v>
      </c>
      <c r="C12" s="36">
        <v>-25650</v>
      </c>
      <c r="D12" s="37">
        <v>15189.133333333331</v>
      </c>
      <c r="E12" s="37">
        <v>59223.78411909798</v>
      </c>
      <c r="F12" s="37">
        <v>43498.15248281599</v>
      </c>
      <c r="G12" s="37">
        <v>40905.20322547405</v>
      </c>
    </row>
    <row r="13" spans="2:7" x14ac:dyDescent="0.25">
      <c r="B13" s="34" t="s">
        <v>147</v>
      </c>
      <c r="C13" s="36">
        <v>-25650</v>
      </c>
      <c r="D13" s="36">
        <v>-10460.866666666669</v>
      </c>
      <c r="E13" s="37">
        <v>48762.91745243131</v>
      </c>
      <c r="F13" s="37">
        <v>92261.0699352473</v>
      </c>
      <c r="G13" s="37">
        <v>133166.27316072135</v>
      </c>
    </row>
    <row r="14" spans="2:7" x14ac:dyDescent="0.25">
      <c r="B14" s="34" t="s">
        <v>134</v>
      </c>
      <c r="C14" s="56">
        <v>-0.2375</v>
      </c>
      <c r="D14" s="57">
        <v>0.09398053046240151</v>
      </c>
      <c r="E14" s="57">
        <v>0.26229703005504246</v>
      </c>
      <c r="F14" s="57">
        <v>0.15626177170934255</v>
      </c>
      <c r="G14" s="57">
        <v>0.12857511176333797</v>
      </c>
    </row>
    <row r="15" spans="2:8" x14ac:dyDescent="0.25">
      <c r="B15" s="34" t="s">
        <v>183</v>
      </c>
      <c r="C15" s="58">
        <v>7200</v>
      </c>
      <c r="D15" s="58">
        <v>7346.363636363636</v>
      </c>
      <c r="E15" s="58">
        <v>7526.3</v>
      </c>
      <c r="F15" s="58">
        <v>7732.422333333334</v>
      </c>
      <c r="G15" s="58">
        <v>7953.561670000001</v>
      </c>
      <c r="H15" s="59" t="s">
        <v>184</v>
      </c>
    </row>
    <row r="16" spans="2:7" x14ac:dyDescent="0.25">
      <c r="B16" s="34" t="s">
        <v>185</v>
      </c>
      <c r="C16" s="39">
        <v>8910</v>
      </c>
      <c r="D16" s="39">
        <v>6655.948484848485</v>
      </c>
      <c r="E16" s="39">
        <v>5552.1738626967335</v>
      </c>
      <c r="F16" s="39">
        <v>6524.140319921778</v>
      </c>
      <c r="G16" s="39">
        <v>6930.93158936315</v>
      </c>
    </row>
    <row r="17" spans="2:7" x14ac:dyDescent="0.25">
      <c r="B17" s="31" t="s">
        <v>186</v>
      </c>
      <c r="C17" s="33">
        <v>400</v>
      </c>
      <c r="D17" s="33">
        <v>604.2666666666668</v>
      </c>
      <c r="E17" s="33">
        <v>912.8455111111114</v>
      </c>
      <c r="F17" s="33">
        <v>1379.0052854518522</v>
      </c>
      <c r="G17" s="33">
        <v>2083.217317889265</v>
      </c>
    </row>
    <row r="18" spans="2:8" x14ac:dyDescent="0.25">
      <c r="B18" s="31" t="s">
        <v>187</v>
      </c>
      <c r="C18" s="60">
        <v>1720</v>
      </c>
      <c r="D18" s="60">
        <v>1206.9545454545453</v>
      </c>
      <c r="E18" s="60">
        <v>910.9325697674416</v>
      </c>
      <c r="F18" s="60">
        <v>781.265908431359</v>
      </c>
      <c r="G18" s="60">
        <v>723.6611744155073</v>
      </c>
      <c r="H18" s="59" t="s">
        <v>188</v>
      </c>
    </row>
    <row r="19" spans="2:7" x14ac:dyDescent="0.25">
      <c r="B19" s="34" t="s">
        <v>189</v>
      </c>
      <c r="C19" s="61">
        <v>-1710</v>
      </c>
      <c r="D19" s="45">
        <v>690.4151515151515</v>
      </c>
      <c r="E19" s="45">
        <v>1974.126137303266</v>
      </c>
      <c r="F19" s="45">
        <v>1208.2820134115552</v>
      </c>
      <c r="G19" s="45">
        <v>1022.6300806368512</v>
      </c>
    </row>
    <row r="20" spans="2:8" x14ac:dyDescent="0.25">
      <c r="B20" s="34" t="s">
        <v>190</v>
      </c>
      <c r="C20" s="56">
        <v>0.8666666666666667</v>
      </c>
      <c r="D20" s="62">
        <v>0.5965103328795941</v>
      </c>
      <c r="E20" s="57">
        <v>0.439792195368242</v>
      </c>
      <c r="F20" s="57">
        <v>0.5087431894455497</v>
      </c>
      <c r="G20" s="57">
        <v>0.4584925214265674</v>
      </c>
      <c r="H20" s="59" t="s">
        <v>191</v>
      </c>
    </row>
    <row r="21" spans="2:8" x14ac:dyDescent="0.25">
      <c r="B21" s="34" t="s">
        <v>192</v>
      </c>
      <c r="C21" s="56">
        <v>0.2388888888888889</v>
      </c>
      <c r="D21" s="62">
        <v>0.16429278554634325</v>
      </c>
      <c r="E21" s="57">
        <v>0.12103325269620419</v>
      </c>
      <c r="F21" s="57">
        <v>0.10103766643260505</v>
      </c>
      <c r="G21" s="57">
        <v>0.09098580037985765</v>
      </c>
      <c r="H21" s="59" t="s">
        <v>193</v>
      </c>
    </row>
    <row r="22" spans="2:8" x14ac:dyDescent="0.25">
      <c r="B22" s="34" t="s">
        <v>131</v>
      </c>
      <c r="C22" s="56">
        <v>-0.2375</v>
      </c>
      <c r="D22" s="62">
        <v>0.09398053046240151</v>
      </c>
      <c r="E22" s="57">
        <v>0.2622970300550424</v>
      </c>
      <c r="F22" s="57">
        <v>0.15626177170934255</v>
      </c>
      <c r="G22" s="57">
        <v>0.12857511176333797</v>
      </c>
      <c r="H22" s="59" t="s">
        <v>194</v>
      </c>
    </row>
    <row r="23" spans="2:8" x14ac:dyDescent="0.25">
      <c r="B23" s="34" t="s">
        <v>195</v>
      </c>
      <c r="C23" s="63">
        <v>2</v>
      </c>
      <c r="D23" s="63">
        <v>2</v>
      </c>
      <c r="E23" s="63">
        <v>2</v>
      </c>
      <c r="F23" s="63">
        <v>2</v>
      </c>
      <c r="G23" s="63">
        <v>2</v>
      </c>
      <c r="H23" s="59" t="s">
        <v>196</v>
      </c>
    </row>
    <row r="24" spans="2:8" x14ac:dyDescent="0.25">
      <c r="B24" s="34" t="s">
        <v>197</v>
      </c>
      <c r="C24" s="64" t="s">
        <v>198</v>
      </c>
      <c r="D24" s="64" t="s">
        <v>198</v>
      </c>
      <c r="E24" s="64" t="s">
        <v>198</v>
      </c>
      <c r="F24" s="64" t="s">
        <v>198</v>
      </c>
      <c r="G24" s="64" t="s">
        <v>198</v>
      </c>
      <c r="H24" s="59" t="s">
        <v>198</v>
      </c>
    </row>
    <row r="25" spans="2:8" x14ac:dyDescent="0.25">
      <c r="B25" s="34" t="s">
        <v>199</v>
      </c>
      <c r="C25" s="65" t="str">
        <f>IF('5-Year P&amp;L'!C24&gt;=0,"✓ Break-even","")</f>
        <v>0</v>
      </c>
      <c r="D25" s="65" t="str">
        <f>IF(AND('5-Year P&amp;L'!D24&gt;=0,'5-Year P&amp;L'!C24&lt;0),"✓ Break-even","")</f>
        <v>0</v>
      </c>
      <c r="E25" s="41" t="str">
        <f>IF(AND('5-Year P&amp;L'!E24&gt;=0,'5-Year P&amp;L'!D24&lt;0),"✓ Break-even","")</f>
        <v>✓ Break-even</v>
      </c>
      <c r="F25" s="65" t="str">
        <f>IF(AND('5-Year P&amp;L'!F24&gt;=0,'5-Year P&amp;L'!E24&lt;0),"✓ Break-even","")</f>
        <v>0</v>
      </c>
      <c r="G25" s="65" t="str">
        <f>IF(AND('5-Year P&amp;L'!G24&gt;=0,'5-Year P&amp;L'!F24&lt;0),"✓ Break-even","")</f>
        <v>0</v>
      </c>
      <c r="H25" s="59" t="s">
        <v>97</v>
      </c>
    </row>
    <row r="26" spans="2:8" x14ac:dyDescent="0.25">
      <c r="B26" s="34" t="s">
        <v>200</v>
      </c>
      <c r="C26" s="66">
        <v>-2</v>
      </c>
      <c r="D26" s="66">
        <v>-1</v>
      </c>
      <c r="E26" s="66">
        <v>4</v>
      </c>
      <c r="F26" s="66">
        <v>5</v>
      </c>
      <c r="G26" s="66">
        <v>6</v>
      </c>
      <c r="H26" s="59" t="s">
        <v>201</v>
      </c>
    </row>
    <row r="27" spans="2:8" x14ac:dyDescent="0.25">
      <c r="B27" s="34" t="s">
        <v>202</v>
      </c>
      <c r="C27" s="66">
        <v>0</v>
      </c>
      <c r="D27" s="66">
        <v>0</v>
      </c>
      <c r="E27" s="67">
        <v>107</v>
      </c>
      <c r="F27" s="67">
        <v>143</v>
      </c>
      <c r="G27" s="67">
        <v>175</v>
      </c>
      <c r="H27" s="59" t="s">
        <v>203</v>
      </c>
    </row>
    <row r="29" ht="24" customHeight="1" spans="2:8" x14ac:dyDescent="0.25">
      <c r="B29" s="54" t="s">
        <v>204</v>
      </c>
      <c r="C29" s="54" t="s">
        <v>205</v>
      </c>
      <c r="D29" s="54" t="s">
        <v>206</v>
      </c>
      <c r="E29" s="54"/>
      <c r="F29" s="54" t="s">
        <v>207</v>
      </c>
      <c r="G29" s="54"/>
      <c r="H29" s="54"/>
    </row>
    <row r="30" ht="45" customHeight="1" spans="2:8" x14ac:dyDescent="0.25">
      <c r="B30" s="68" t="s">
        <v>208</v>
      </c>
      <c r="C30" s="69" t="s">
        <v>209</v>
      </c>
      <c r="D30" s="70" t="s">
        <v>210</v>
      </c>
      <c r="E30" s="70"/>
      <c r="F30" s="71" t="s">
        <v>211</v>
      </c>
      <c r="G30" s="71"/>
      <c r="H30" s="71"/>
    </row>
    <row r="31" ht="45" customHeight="1" spans="2:8" x14ac:dyDescent="0.25">
      <c r="B31" s="68" t="s">
        <v>212</v>
      </c>
      <c r="C31" s="72" t="s">
        <v>213</v>
      </c>
      <c r="D31" s="70" t="s">
        <v>214</v>
      </c>
      <c r="E31" s="70"/>
      <c r="F31" s="71" t="s">
        <v>215</v>
      </c>
      <c r="G31" s="71"/>
      <c r="H31" s="71"/>
    </row>
    <row r="32" ht="45" customHeight="1" spans="2:8" x14ac:dyDescent="0.25">
      <c r="B32" s="68" t="s">
        <v>216</v>
      </c>
      <c r="C32" s="41" t="s">
        <v>217</v>
      </c>
      <c r="D32" s="70" t="s">
        <v>218</v>
      </c>
      <c r="E32" s="70"/>
      <c r="F32" s="71" t="s">
        <v>219</v>
      </c>
      <c r="G32" s="71"/>
      <c r="H32" s="71"/>
    </row>
    <row r="33" ht="45" customHeight="1" spans="2:8" x14ac:dyDescent="0.25">
      <c r="B33" s="68" t="s">
        <v>220</v>
      </c>
      <c r="C33" s="41" t="s">
        <v>217</v>
      </c>
      <c r="D33" s="70" t="s">
        <v>221</v>
      </c>
      <c r="E33" s="70"/>
      <c r="F33" s="71" t="s">
        <v>222</v>
      </c>
      <c r="G33" s="71"/>
      <c r="H33" s="71"/>
    </row>
    <row r="34" ht="45" customHeight="1" spans="2:8" x14ac:dyDescent="0.25">
      <c r="B34" s="68" t="s">
        <v>223</v>
      </c>
      <c r="C34" s="41" t="s">
        <v>217</v>
      </c>
      <c r="D34" s="70" t="s">
        <v>224</v>
      </c>
      <c r="E34" s="70"/>
      <c r="F34" s="71" t="s">
        <v>225</v>
      </c>
      <c r="G34" s="71"/>
      <c r="H34" s="71"/>
    </row>
    <row r="35" ht="45" customHeight="1" spans="2:8" x14ac:dyDescent="0.25">
      <c r="B35" s="68" t="s">
        <v>226</v>
      </c>
      <c r="C35" s="41" t="s">
        <v>217</v>
      </c>
      <c r="D35" s="70" t="s">
        <v>227</v>
      </c>
      <c r="E35" s="70"/>
      <c r="F35" s="71" t="s">
        <v>228</v>
      </c>
      <c r="G35" s="71"/>
      <c r="H35" s="71"/>
    </row>
    <row r="37" spans="2:6" x14ac:dyDescent="0.25">
      <c r="B37" s="68" t="s">
        <v>39</v>
      </c>
      <c r="C37" s="34" t="s">
        <v>229</v>
      </c>
      <c r="D37" s="34"/>
      <c r="E37" s="34"/>
      <c r="F37" s="34"/>
    </row>
    <row r="39" spans="2:8" x14ac:dyDescent="0.25">
      <c r="B39" s="73" t="s">
        <v>230</v>
      </c>
      <c r="C39" s="73"/>
      <c r="D39" s="73"/>
      <c r="E39" s="73"/>
      <c r="F39" s="73"/>
      <c r="G39" s="73"/>
      <c r="H39" s="73"/>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2026-05-01T17:42:46Z</dcterms:created>
  <dcterms:modified xsi:type="dcterms:W3CDTF">2026-05-01T17:42:46Z</dcterms:modified>
</cp:coreProperties>
</file>