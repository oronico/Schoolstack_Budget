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<sst xmlns="http://schemas.openxmlformats.org/spreadsheetml/2006/main" count="284" uniqueCount="220">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</sst>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20" spans="2:3" x14ac:dyDescent="0.25">
      <c r="B20" s="12" t="s">
        <v>168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8" t="s">
        <v>170</v>
      </c>
      <c r="D4" s="49" t="s">
        <v>171</v>
      </c>
      <c r="F4" s="50" t="s">
        <v>172</v>
      </c>
    </row>
    <row r="6" ht="24" customHeight="1" spans="2:8" x14ac:dyDescent="0.25">
      <c r="B6" s="51" t="s">
        <v>173</v>
      </c>
      <c r="C6" s="52" t="s">
        <v>97</v>
      </c>
      <c r="D6" s="52" t="s">
        <v>98</v>
      </c>
      <c r="E6" s="52" t="s">
        <v>99</v>
      </c>
      <c r="F6" s="52" t="s">
        <v>100</v>
      </c>
      <c r="G6" s="52" t="s">
        <v>101</v>
      </c>
      <c r="H6" s="52" t="s">
        <v>174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175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176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177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178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3">
        <v>-0.19583333333333333</v>
      </c>
      <c r="D14" s="54">
        <v>0.12182361918904425</v>
      </c>
      <c r="E14" s="54">
        <v>0.27983747646538765</v>
      </c>
      <c r="F14" s="54">
        <v>0.16516453995508912</v>
      </c>
      <c r="G14" s="54">
        <v>0.12673281379661727</v>
      </c>
    </row>
    <row r="15" spans="2:8" x14ac:dyDescent="0.25">
      <c r="B15" s="34" t="s">
        <v>179</v>
      </c>
      <c r="C15" s="55">
        <v>7200</v>
      </c>
      <c r="D15" s="55">
        <v>7346.363636363636</v>
      </c>
      <c r="E15" s="55">
        <v>7526.3</v>
      </c>
      <c r="F15" s="55">
        <v>7732.422333333334</v>
      </c>
      <c r="G15" s="55">
        <v>7953.561670000001</v>
      </c>
      <c r="H15" s="56" t="s">
        <v>180</v>
      </c>
    </row>
    <row r="16" spans="2:8" x14ac:dyDescent="0.25">
      <c r="B16" s="34" t="s">
        <v>181</v>
      </c>
      <c r="C16" s="53">
        <v>0.8666666666666667</v>
      </c>
      <c r="D16" s="57">
        <v>0.5965103328795941</v>
      </c>
      <c r="E16" s="54">
        <v>0.439792195368242</v>
      </c>
      <c r="F16" s="54">
        <v>0.5087431894455497</v>
      </c>
      <c r="G16" s="54">
        <v>0.4584925214265674</v>
      </c>
      <c r="H16" s="56" t="s">
        <v>182</v>
      </c>
    </row>
    <row r="17" spans="2:8" x14ac:dyDescent="0.25">
      <c r="B17" s="34" t="s">
        <v>183</v>
      </c>
      <c r="C17" s="53">
        <v>0.2388888888888889</v>
      </c>
      <c r="D17" s="57">
        <v>0.16429278554634325</v>
      </c>
      <c r="E17" s="54">
        <v>0.12103325269620419</v>
      </c>
      <c r="F17" s="54">
        <v>0.10103766643260505</v>
      </c>
      <c r="G17" s="54">
        <v>0.09098580037985765</v>
      </c>
      <c r="H17" s="56" t="s">
        <v>184</v>
      </c>
    </row>
    <row r="18" spans="2:8" x14ac:dyDescent="0.25">
      <c r="B18" s="34" t="s">
        <v>131</v>
      </c>
      <c r="C18" s="53">
        <v>-0.19583333333333333</v>
      </c>
      <c r="D18" s="54">
        <v>0.12182361918904425</v>
      </c>
      <c r="E18" s="54">
        <v>0.2798374764653877</v>
      </c>
      <c r="F18" s="54">
        <v>0.16516453995508906</v>
      </c>
      <c r="G18" s="54">
        <v>0.12673281379661727</v>
      </c>
      <c r="H18" s="56" t="s">
        <v>185</v>
      </c>
    </row>
    <row r="19" spans="2:8" x14ac:dyDescent="0.25">
      <c r="B19" s="34" t="s">
        <v>186</v>
      </c>
      <c r="C19" s="58">
        <v>2</v>
      </c>
      <c r="D19" s="58">
        <v>2</v>
      </c>
      <c r="E19" s="58">
        <v>2</v>
      </c>
      <c r="F19" s="58">
        <v>2</v>
      </c>
      <c r="G19" s="58">
        <v>2</v>
      </c>
      <c r="H19" s="56" t="s">
        <v>187</v>
      </c>
    </row>
    <row r="20" spans="2:8" x14ac:dyDescent="0.25">
      <c r="B20" s="34" t="s">
        <v>188</v>
      </c>
      <c r="C20" s="59" t="s">
        <v>189</v>
      </c>
      <c r="D20" s="59" t="s">
        <v>189</v>
      </c>
      <c r="E20" s="59" t="s">
        <v>189</v>
      </c>
      <c r="F20" s="59" t="s">
        <v>189</v>
      </c>
      <c r="G20" s="59" t="s">
        <v>189</v>
      </c>
      <c r="H20" s="56" t="s">
        <v>189</v>
      </c>
    </row>
    <row r="21" spans="2:8" x14ac:dyDescent="0.25">
      <c r="B21" s="34" t="s">
        <v>190</v>
      </c>
      <c r="C21" s="60" t="str">
        <f>IF('5-Year P&amp;L'!C24&gt;=0,"✓ Break-even","")</f>
        <v>0</v>
      </c>
      <c r="D21" s="60" t="str">
        <f>IF(AND('5-Year P&amp;L'!D24&gt;=0,'5-Year P&amp;L'!C24&lt;0),"✓ Break-even","")</f>
        <v>0</v>
      </c>
      <c r="E21" s="41" t="str">
        <f>IF(AND('5-Year P&amp;L'!E24&gt;=0,'5-Year P&amp;L'!D24&lt;0),"✓ Break-even","")</f>
        <v>✓ Break-even</v>
      </c>
      <c r="F21" s="60" t="str">
        <f>IF(AND('5-Year P&amp;L'!F24&gt;=0,'5-Year P&amp;L'!E24&lt;0),"✓ Break-even","")</f>
        <v>0</v>
      </c>
      <c r="G21" s="60" t="str">
        <f>IF(AND('5-Year P&amp;L'!G24&gt;=0,'5-Year P&amp;L'!F24&lt;0),"✓ Break-even","")</f>
        <v>0</v>
      </c>
      <c r="H21" s="56" t="s">
        <v>97</v>
      </c>
    </row>
    <row r="22" spans="2:8" x14ac:dyDescent="0.25">
      <c r="B22" s="34" t="s">
        <v>191</v>
      </c>
      <c r="C22" s="61">
        <v>-2</v>
      </c>
      <c r="D22" s="61">
        <v>0</v>
      </c>
      <c r="E22" s="61">
        <v>5</v>
      </c>
      <c r="F22" s="61">
        <v>6</v>
      </c>
      <c r="G22" s="61">
        <v>6</v>
      </c>
      <c r="H22" s="56" t="s">
        <v>192</v>
      </c>
    </row>
    <row r="24" ht="24" customHeight="1" spans="2:8" x14ac:dyDescent="0.25">
      <c r="B24" s="51" t="s">
        <v>193</v>
      </c>
      <c r="C24" s="51" t="s">
        <v>194</v>
      </c>
      <c r="D24" s="51" t="s">
        <v>195</v>
      </c>
      <c r="E24" s="51"/>
      <c r="F24" s="51" t="s">
        <v>196</v>
      </c>
      <c r="G24" s="51"/>
      <c r="H24" s="51"/>
    </row>
    <row r="25" ht="45" customHeight="1" spans="2:8" x14ac:dyDescent="0.25">
      <c r="B25" s="62" t="s">
        <v>197</v>
      </c>
      <c r="C25" s="63" t="s">
        <v>198</v>
      </c>
      <c r="D25" s="64" t="s">
        <v>199</v>
      </c>
      <c r="E25" s="64"/>
      <c r="F25" s="65" t="s">
        <v>200</v>
      </c>
      <c r="G25" s="65"/>
      <c r="H25" s="65"/>
    </row>
    <row r="26" ht="45" customHeight="1" spans="2:8" x14ac:dyDescent="0.25">
      <c r="B26" s="62" t="s">
        <v>201</v>
      </c>
      <c r="C26" s="66" t="s">
        <v>202</v>
      </c>
      <c r="D26" s="64" t="s">
        <v>203</v>
      </c>
      <c r="E26" s="64"/>
      <c r="F26" s="65" t="s">
        <v>204</v>
      </c>
      <c r="G26" s="65"/>
      <c r="H26" s="65"/>
    </row>
    <row r="27" ht="45" customHeight="1" spans="2:8" x14ac:dyDescent="0.25">
      <c r="B27" s="62" t="s">
        <v>205</v>
      </c>
      <c r="C27" s="41" t="s">
        <v>206</v>
      </c>
      <c r="D27" s="64" t="s">
        <v>207</v>
      </c>
      <c r="E27" s="64"/>
      <c r="F27" s="65" t="s">
        <v>208</v>
      </c>
      <c r="G27" s="65"/>
      <c r="H27" s="65"/>
    </row>
    <row r="28" ht="45" customHeight="1" spans="2:8" x14ac:dyDescent="0.25">
      <c r="B28" s="62" t="s">
        <v>209</v>
      </c>
      <c r="C28" s="41" t="s">
        <v>206</v>
      </c>
      <c r="D28" s="64" t="s">
        <v>210</v>
      </c>
      <c r="E28" s="64"/>
      <c r="F28" s="65" t="s">
        <v>211</v>
      </c>
      <c r="G28" s="65"/>
      <c r="H28" s="65"/>
    </row>
    <row r="29" ht="45" customHeight="1" spans="2:8" x14ac:dyDescent="0.25">
      <c r="B29" s="62" t="s">
        <v>212</v>
      </c>
      <c r="C29" s="41" t="s">
        <v>206</v>
      </c>
      <c r="D29" s="64" t="s">
        <v>213</v>
      </c>
      <c r="E29" s="64"/>
      <c r="F29" s="65" t="s">
        <v>214</v>
      </c>
      <c r="G29" s="65"/>
      <c r="H29" s="65"/>
    </row>
    <row r="30" ht="45" customHeight="1" spans="2:8" x14ac:dyDescent="0.25">
      <c r="B30" s="62" t="s">
        <v>215</v>
      </c>
      <c r="C30" s="41" t="s">
        <v>206</v>
      </c>
      <c r="D30" s="64" t="s">
        <v>216</v>
      </c>
      <c r="E30" s="64"/>
      <c r="F30" s="65" t="s">
        <v>217</v>
      </c>
      <c r="G30" s="65"/>
      <c r="H30" s="65"/>
    </row>
    <row r="32" spans="2:6" x14ac:dyDescent="0.25">
      <c r="B32" s="62" t="s">
        <v>39</v>
      </c>
      <c r="C32" s="34" t="s">
        <v>218</v>
      </c>
      <c r="D32" s="34"/>
      <c r="E32" s="34"/>
      <c r="F32" s="34"/>
    </row>
    <row r="34" spans="2:8" x14ac:dyDescent="0.25">
      <c r="B34" s="67" t="s">
        <v>219</v>
      </c>
      <c r="C34" s="67"/>
      <c r="D34" s="67"/>
      <c r="E34" s="67"/>
      <c r="F34" s="67"/>
      <c r="G34" s="67"/>
      <c r="H34" s="67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2026-03-27T03:11:37Z</dcterms:created>
  <dcterms:modified xsi:type="dcterms:W3CDTF">2026-03-27T03:11:37Z</dcterms:modified>
</cp:coreProperties>
</file>