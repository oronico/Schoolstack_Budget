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<sst xmlns="http://schemas.openxmlformats.org/spreadsheetml/2006/main" count="292" uniqueCount="228">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</sst>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3" fontId="19" fillId="6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5" fontId="19" fillId="6" borderId="4" xfId="0" applyNumberFormat="1" applyFont="1" applyFill="1" applyBorder="1" applyAlignment="1">
      <alignment horizontal="right"/>
    </xf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164" fontId="19" fillId="3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3" ht="24" customHeight="1" spans="2:8" x14ac:dyDescent="0.25">
      <c r="B63" s="17" t="s">
        <v>95</v>
      </c>
      <c r="C63" s="17"/>
      <c r="D63" s="17"/>
      <c r="E63" s="17"/>
      <c r="F63" s="17"/>
      <c r="G63" s="17"/>
      <c r="H63" s="17"/>
    </row>
    <row r="64" spans="3:8" x14ac:dyDescent="0.25">
      <c r="C64" s="23" t="s">
        <v>96</v>
      </c>
      <c r="D64" s="24" t="s">
        <v>97</v>
      </c>
      <c r="E64" s="24" t="s">
        <v>98</v>
      </c>
      <c r="F64" s="24" t="s">
        <v>99</v>
      </c>
      <c r="G64" s="24" t="s">
        <v>100</v>
      </c>
      <c r="H64" s="24" t="s">
        <v>101</v>
      </c>
    </row>
    <row r="65" spans="3:8" x14ac:dyDescent="0.25">
      <c r="C65" s="18" t="s">
        <v>102</v>
      </c>
      <c r="D65" s="20">
        <v>3</v>
      </c>
      <c r="E65" s="20">
        <v>4</v>
      </c>
      <c r="F65" s="20">
        <v>5</v>
      </c>
      <c r="G65" s="20">
        <v>6</v>
      </c>
      <c r="H65" s="20">
        <v>6</v>
      </c>
    </row>
    <row r="66" spans="3:8" x14ac:dyDescent="0.25">
      <c r="C66" s="18" t="s">
        <v>103</v>
      </c>
      <c r="D66" s="20">
        <v>2</v>
      </c>
      <c r="E66" s="20">
        <v>3</v>
      </c>
      <c r="F66" s="20">
        <v>4</v>
      </c>
      <c r="G66" s="20">
        <v>5</v>
      </c>
      <c r="H66" s="20">
        <v>5</v>
      </c>
    </row>
    <row r="67" spans="3:8" x14ac:dyDescent="0.25">
      <c r="C67" s="18" t="s">
        <v>104</v>
      </c>
      <c r="D67" s="20">
        <v>5</v>
      </c>
      <c r="E67" s="20">
        <v>7</v>
      </c>
      <c r="F67" s="20">
        <v>9</v>
      </c>
      <c r="G67" s="20">
        <v>10</v>
      </c>
      <c r="H67" s="20">
        <v>12</v>
      </c>
    </row>
    <row r="68" spans="3:8" x14ac:dyDescent="0.25">
      <c r="C68" s="25" t="s">
        <v>105</v>
      </c>
      <c r="D68" s="26">
        <f>D65+D66+D67</f>
        <v>10</v>
      </c>
      <c r="E68" s="26">
        <f>E65+E66+E67</f>
        <v>14</v>
      </c>
      <c r="F68" s="26">
        <f>F65+F66+F67</f>
        <v>18</v>
      </c>
      <c r="G68" s="26">
        <f>G65+G66+G67</f>
        <v>21</v>
      </c>
      <c r="H68" s="26">
        <f>H65+H66+H67</f>
        <v>23</v>
      </c>
    </row>
    <row r="69" spans="3:8" x14ac:dyDescent="0.25">
      <c r="C69" s="27" t="s">
        <v>106</v>
      </c>
      <c r="D69" s="28">
        <f>IF(D12=0,0,D68/D12)</f>
        <v>0.66666667</v>
      </c>
      <c r="E69" s="28">
        <f>IF(D13=0,0,E68/D13)</f>
        <v>0.63636364</v>
      </c>
      <c r="F69" s="28">
        <f>IF(D14=0,0,F68/D14)</f>
        <v>0.6</v>
      </c>
      <c r="G69" s="28">
        <f>IF(D15=0,0,G68/D15)</f>
        <v>0.58333333</v>
      </c>
      <c r="H69" s="28">
        <f>IF(D16=0,0,H68/D16)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3:H6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19" spans="2:3" x14ac:dyDescent="0.25">
      <c r="B19" s="31" t="s">
        <v>168</v>
      </c>
      <c r="C19" s="48">
        <v>0</v>
      </c>
    </row>
    <row r="21" spans="2:3" x14ac:dyDescent="0.25">
      <c r="B21" s="12" t="s">
        <v>169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9" t="s">
        <v>171</v>
      </c>
      <c r="D4" s="50" t="s">
        <v>172</v>
      </c>
      <c r="F4" s="51" t="s">
        <v>173</v>
      </c>
    </row>
    <row r="6" ht="24" customHeight="1" spans="2:8" x14ac:dyDescent="0.25">
      <c r="B6" s="52" t="s">
        <v>174</v>
      </c>
      <c r="C6" s="53" t="s">
        <v>97</v>
      </c>
      <c r="D6" s="53" t="s">
        <v>98</v>
      </c>
      <c r="E6" s="53" t="s">
        <v>99</v>
      </c>
      <c r="F6" s="53" t="s">
        <v>100</v>
      </c>
      <c r="G6" s="53" t="s">
        <v>101</v>
      </c>
      <c r="H6" s="53" t="s">
        <v>175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176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177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178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179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4">
        <v>-0.19583333333333333</v>
      </c>
      <c r="D14" s="55">
        <v>0.12182361918904425</v>
      </c>
      <c r="E14" s="55">
        <v>0.27983747646538765</v>
      </c>
      <c r="F14" s="55">
        <v>0.16516453995508912</v>
      </c>
      <c r="G14" s="55">
        <v>0.12673281379661727</v>
      </c>
    </row>
    <row r="15" spans="2:8" x14ac:dyDescent="0.25">
      <c r="B15" s="34" t="s">
        <v>180</v>
      </c>
      <c r="C15" s="56">
        <v>7200</v>
      </c>
      <c r="D15" s="56">
        <v>7346.363636363636</v>
      </c>
      <c r="E15" s="56">
        <v>7526.3</v>
      </c>
      <c r="F15" s="56">
        <v>7732.422333333334</v>
      </c>
      <c r="G15" s="56">
        <v>7953.561670000001</v>
      </c>
      <c r="H15" s="57" t="s">
        <v>181</v>
      </c>
    </row>
    <row r="16" spans="2:7" x14ac:dyDescent="0.25">
      <c r="B16" s="34" t="s">
        <v>182</v>
      </c>
      <c r="C16" s="39">
        <v>8610</v>
      </c>
      <c r="D16" s="39">
        <v>6451.40303030303</v>
      </c>
      <c r="E16" s="39">
        <v>5420.159200878553</v>
      </c>
      <c r="F16" s="39">
        <v>6455.300355909877</v>
      </c>
      <c r="G16" s="39">
        <v>6945.584419855979</v>
      </c>
    </row>
    <row r="17" spans="2:7" x14ac:dyDescent="0.25">
      <c r="B17" s="31" t="s">
        <v>183</v>
      </c>
      <c r="C17" s="33">
        <v>400</v>
      </c>
      <c r="D17" s="33">
        <v>604.2666666666668</v>
      </c>
      <c r="E17" s="33">
        <v>912.8455111111114</v>
      </c>
      <c r="F17" s="33">
        <v>1379.0052854518522</v>
      </c>
      <c r="G17" s="33">
        <v>2083.217317889265</v>
      </c>
    </row>
    <row r="18" spans="2:8" x14ac:dyDescent="0.25">
      <c r="B18" s="31" t="s">
        <v>184</v>
      </c>
      <c r="C18" s="58">
        <v>1720</v>
      </c>
      <c r="D18" s="58">
        <v>1206.9545454545453</v>
      </c>
      <c r="E18" s="58">
        <v>910.9325697674416</v>
      </c>
      <c r="F18" s="58">
        <v>781.265908431359</v>
      </c>
      <c r="G18" s="58">
        <v>723.6611744155073</v>
      </c>
      <c r="H18" s="57" t="s">
        <v>185</v>
      </c>
    </row>
    <row r="19" spans="2:7" x14ac:dyDescent="0.25">
      <c r="B19" s="34" t="s">
        <v>186</v>
      </c>
      <c r="C19" s="59">
        <v>-1410</v>
      </c>
      <c r="D19" s="45">
        <v>894.960606060606</v>
      </c>
      <c r="E19" s="45">
        <v>2106.140799121447</v>
      </c>
      <c r="F19" s="45">
        <v>1277.1219774234569</v>
      </c>
      <c r="G19" s="45">
        <v>1007.9772501440224</v>
      </c>
    </row>
    <row r="20" spans="2:8" x14ac:dyDescent="0.25">
      <c r="B20" s="34" t="s">
        <v>187</v>
      </c>
      <c r="C20" s="54">
        <v>0.8666666666666667</v>
      </c>
      <c r="D20" s="60">
        <v>0.5965103328795941</v>
      </c>
      <c r="E20" s="55">
        <v>0.439792195368242</v>
      </c>
      <c r="F20" s="55">
        <v>0.5087431894455497</v>
      </c>
      <c r="G20" s="55">
        <v>0.4584925214265674</v>
      </c>
      <c r="H20" s="57" t="s">
        <v>188</v>
      </c>
    </row>
    <row r="21" spans="2:8" x14ac:dyDescent="0.25">
      <c r="B21" s="34" t="s">
        <v>189</v>
      </c>
      <c r="C21" s="54">
        <v>0.2388888888888889</v>
      </c>
      <c r="D21" s="60">
        <v>0.16429278554634325</v>
      </c>
      <c r="E21" s="55">
        <v>0.12103325269620419</v>
      </c>
      <c r="F21" s="55">
        <v>0.10103766643260505</v>
      </c>
      <c r="G21" s="55">
        <v>0.09098580037985765</v>
      </c>
      <c r="H21" s="57" t="s">
        <v>190</v>
      </c>
    </row>
    <row r="22" spans="2:8" x14ac:dyDescent="0.25">
      <c r="B22" s="34" t="s">
        <v>131</v>
      </c>
      <c r="C22" s="54">
        <v>-0.19583333333333333</v>
      </c>
      <c r="D22" s="55">
        <v>0.12182361918904425</v>
      </c>
      <c r="E22" s="55">
        <v>0.2798374764653877</v>
      </c>
      <c r="F22" s="55">
        <v>0.16516453995508906</v>
      </c>
      <c r="G22" s="55">
        <v>0.12673281379661727</v>
      </c>
      <c r="H22" s="57" t="s">
        <v>191</v>
      </c>
    </row>
    <row r="23" spans="2:8" x14ac:dyDescent="0.25">
      <c r="B23" s="34" t="s">
        <v>192</v>
      </c>
      <c r="C23" s="61">
        <v>2</v>
      </c>
      <c r="D23" s="61">
        <v>2</v>
      </c>
      <c r="E23" s="61">
        <v>2</v>
      </c>
      <c r="F23" s="61">
        <v>2</v>
      </c>
      <c r="G23" s="61">
        <v>2</v>
      </c>
      <c r="H23" s="57" t="s">
        <v>193</v>
      </c>
    </row>
    <row r="24" spans="2:8" x14ac:dyDescent="0.25">
      <c r="B24" s="34" t="s">
        <v>194</v>
      </c>
      <c r="C24" s="62" t="s">
        <v>195</v>
      </c>
      <c r="D24" s="62" t="s">
        <v>195</v>
      </c>
      <c r="E24" s="62" t="s">
        <v>195</v>
      </c>
      <c r="F24" s="62" t="s">
        <v>195</v>
      </c>
      <c r="G24" s="62" t="s">
        <v>195</v>
      </c>
      <c r="H24" s="57" t="s">
        <v>195</v>
      </c>
    </row>
    <row r="25" spans="2:8" x14ac:dyDescent="0.25">
      <c r="B25" s="34" t="s">
        <v>196</v>
      </c>
      <c r="C25" s="63" t="str">
        <f>IF('5-Year P&amp;L'!C24&gt;=0,"✓ Break-even","")</f>
        <v>0</v>
      </c>
      <c r="D25" s="63" t="str">
        <f>IF(AND('5-Year P&amp;L'!D24&gt;=0,'5-Year P&amp;L'!C24&lt;0),"✓ Break-even","")</f>
        <v>0</v>
      </c>
      <c r="E25" s="41" t="str">
        <f>IF(AND('5-Year P&amp;L'!E24&gt;=0,'5-Year P&amp;L'!D24&lt;0),"✓ Break-even","")</f>
        <v>✓ Break-even</v>
      </c>
      <c r="F25" s="63" t="str">
        <f>IF(AND('5-Year P&amp;L'!F24&gt;=0,'5-Year P&amp;L'!E24&lt;0),"✓ Break-even","")</f>
        <v>0</v>
      </c>
      <c r="G25" s="63" t="str">
        <f>IF(AND('5-Year P&amp;L'!G24&gt;=0,'5-Year P&amp;L'!F24&lt;0),"✓ Break-even","")</f>
        <v>0</v>
      </c>
      <c r="H25" s="57" t="s">
        <v>97</v>
      </c>
    </row>
    <row r="26" spans="2:8" x14ac:dyDescent="0.25">
      <c r="B26" s="34" t="s">
        <v>197</v>
      </c>
      <c r="C26" s="64">
        <v>-2</v>
      </c>
      <c r="D26" s="64">
        <v>0</v>
      </c>
      <c r="E26" s="64">
        <v>5</v>
      </c>
      <c r="F26" s="64">
        <v>6</v>
      </c>
      <c r="G26" s="64">
        <v>6</v>
      </c>
      <c r="H26" s="57" t="s">
        <v>198</v>
      </c>
    </row>
    <row r="27" spans="2:8" x14ac:dyDescent="0.25">
      <c r="B27" s="34" t="s">
        <v>199</v>
      </c>
      <c r="C27" s="64">
        <v>0</v>
      </c>
      <c r="D27" s="64">
        <v>0</v>
      </c>
      <c r="E27" s="65">
        <v>139</v>
      </c>
      <c r="F27" s="65">
        <v>169</v>
      </c>
      <c r="G27" s="65">
        <v>194</v>
      </c>
      <c r="H27" s="57" t="s">
        <v>200</v>
      </c>
    </row>
    <row r="29" ht="24" customHeight="1" spans="2:8" x14ac:dyDescent="0.25">
      <c r="B29" s="52" t="s">
        <v>201</v>
      </c>
      <c r="C29" s="52" t="s">
        <v>202</v>
      </c>
      <c r="D29" s="52" t="s">
        <v>203</v>
      </c>
      <c r="E29" s="52"/>
      <c r="F29" s="52" t="s">
        <v>204</v>
      </c>
      <c r="G29" s="52"/>
      <c r="H29" s="52"/>
    </row>
    <row r="30" ht="45" customHeight="1" spans="2:8" x14ac:dyDescent="0.25">
      <c r="B30" s="66" t="s">
        <v>205</v>
      </c>
      <c r="C30" s="67" t="s">
        <v>206</v>
      </c>
      <c r="D30" s="68" t="s">
        <v>207</v>
      </c>
      <c r="E30" s="68"/>
      <c r="F30" s="69" t="s">
        <v>208</v>
      </c>
      <c r="G30" s="69"/>
      <c r="H30" s="69"/>
    </row>
    <row r="31" ht="45" customHeight="1" spans="2:8" x14ac:dyDescent="0.25">
      <c r="B31" s="66" t="s">
        <v>209</v>
      </c>
      <c r="C31" s="70" t="s">
        <v>210</v>
      </c>
      <c r="D31" s="68" t="s">
        <v>211</v>
      </c>
      <c r="E31" s="68"/>
      <c r="F31" s="69" t="s">
        <v>212</v>
      </c>
      <c r="G31" s="69"/>
      <c r="H31" s="69"/>
    </row>
    <row r="32" ht="45" customHeight="1" spans="2:8" x14ac:dyDescent="0.25">
      <c r="B32" s="66" t="s">
        <v>213</v>
      </c>
      <c r="C32" s="41" t="s">
        <v>214</v>
      </c>
      <c r="D32" s="68" t="s">
        <v>215</v>
      </c>
      <c r="E32" s="68"/>
      <c r="F32" s="69" t="s">
        <v>216</v>
      </c>
      <c r="G32" s="69"/>
      <c r="H32" s="69"/>
    </row>
    <row r="33" ht="45" customHeight="1" spans="2:8" x14ac:dyDescent="0.25">
      <c r="B33" s="66" t="s">
        <v>217</v>
      </c>
      <c r="C33" s="41" t="s">
        <v>214</v>
      </c>
      <c r="D33" s="68" t="s">
        <v>218</v>
      </c>
      <c r="E33" s="68"/>
      <c r="F33" s="69" t="s">
        <v>219</v>
      </c>
      <c r="G33" s="69"/>
      <c r="H33" s="69"/>
    </row>
    <row r="34" ht="45" customHeight="1" spans="2:8" x14ac:dyDescent="0.25">
      <c r="B34" s="66" t="s">
        <v>220</v>
      </c>
      <c r="C34" s="41" t="s">
        <v>214</v>
      </c>
      <c r="D34" s="68" t="s">
        <v>221</v>
      </c>
      <c r="E34" s="68"/>
      <c r="F34" s="69" t="s">
        <v>222</v>
      </c>
      <c r="G34" s="69"/>
      <c r="H34" s="69"/>
    </row>
    <row r="35" ht="45" customHeight="1" spans="2:8" x14ac:dyDescent="0.25">
      <c r="B35" s="66" t="s">
        <v>223</v>
      </c>
      <c r="C35" s="41" t="s">
        <v>214</v>
      </c>
      <c r="D35" s="68" t="s">
        <v>224</v>
      </c>
      <c r="E35" s="68"/>
      <c r="F35" s="69" t="s">
        <v>225</v>
      </c>
      <c r="G35" s="69"/>
      <c r="H35" s="69"/>
    </row>
    <row r="37" spans="2:6" x14ac:dyDescent="0.25">
      <c r="B37" s="66" t="s">
        <v>39</v>
      </c>
      <c r="C37" s="34" t="s">
        <v>226</v>
      </c>
      <c r="D37" s="34"/>
      <c r="E37" s="34"/>
      <c r="F37" s="34"/>
    </row>
    <row r="39" spans="2:8" x14ac:dyDescent="0.25">
      <c r="B39" s="71" t="s">
        <v>227</v>
      </c>
      <c r="C39" s="71"/>
      <c r="D39" s="71"/>
      <c r="E39" s="71"/>
      <c r="F39" s="71"/>
      <c r="G39" s="71"/>
      <c r="H39" s="71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2026-03-27T03:17:32Z</dcterms:created>
  <dcterms:modified xsi:type="dcterms:W3CDTF">2026-03-27T03:17:32Z</dcterms:modified>
</cp:coreProperties>
</file>