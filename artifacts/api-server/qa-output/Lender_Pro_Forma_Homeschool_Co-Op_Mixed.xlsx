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<sst xmlns="http://schemas.openxmlformats.org/spreadsheetml/2006/main" count="295" uniqueCount="231">
  <si>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</si>
  <si>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</si>
  <si>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</si>
  <si>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</si>
  <si>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</si>
  <si>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</si>
  <si>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</si>
  <si>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</si>
  <si>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</si>
  <si>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</si>
  <si>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</si>
  <si>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</si>
  <si>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</si>
  <si>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</si>
  <si>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</si>
  <si>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</si>
  <si>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</si>
  <si>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</si>
  <si>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</si>
  <si>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</si>
  <si>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</si>
  <si>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</si>
  <si>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</si>
  <si>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</si>
  <si>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</si>
  <si>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</si>
  <si>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</si>
  <si>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</si>
  <si>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</si>
  <si>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</si>
  <si>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</si>
  <si>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</si>
  <si>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</si>
  <si>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</si>
  <si>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</si>
  <si>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</si>
  <si>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</si>
  <si>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</si>
  <si>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</si>
  <si>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</si>
  <si>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</si>
  <si>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</si>
  <si>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</si>
  <si>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</si>
  <si>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</si>
  <si>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</si>
  <si>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</si>
  <si>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</si>
  <si>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</si>
  <si>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</si>
  <si>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</si>
  <si>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</si>
  <si>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</si>
  <si>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</si>
  <si>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</si>
  <si>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</si>
  <si>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</si>
  <si>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</si>
  <si>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</si>
  <si>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</si>
  <si>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</si>
  <si>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</si>
  <si>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</si>
  <si>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</si>
  <si>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</si>
  <si>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</si>
  <si>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</si>
  <si>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</si>
  <si>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</si>
  <si>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</si>
  <si>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</si>
  <si>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</si>
  <si>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</si>
  <si>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</si>
  <si>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</si>
  <si>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</si>
  <si>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</si>
  <si>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</si>
  <si>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</si>
  <si>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</si>
  <si>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</si>
  <si>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</si>
  <si>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</si>
  <si>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</si>
  <si>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</si>
  <si>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</si>
  <si>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</si>
  <si>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</si>
  <si>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</si>
  <si>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</si>
  <si>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</si>
  <si>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</si>
  <si>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</si>
  <si>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</si>
  <si>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</si>
  <si>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</si>
  <si>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</si>
  <si>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</si>
  <si>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</si>
  <si>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</si>
  <si>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</si>
  <si>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</si>
  <si>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</si>
  <si>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</si>
  <si>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</si>
  <si>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</si>
  <si>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</si>
  <si>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</si>
  <si>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</si>
  <si>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</si>
  <si>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</si>
  <si>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</si>
  <si>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</si>
  <si>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</si>
  <si>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</si>
  <si>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</si>
  <si>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</si>
  <si>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</si>
  <si>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</si>
  <si>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</si>
  <si>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</si>
  <si>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</si>
  <si>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</si>
  <si>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</si>
  <si>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</si>
  <si>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</si>
  <si>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</si>
  <si>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</si>
  <si>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</si>
  <si>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</si>
  <si>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</si>
  <si>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</si>
  <si>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</si>
  <si>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</si>
  <si>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</si>
  <si>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</si>
  <si>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</si>
  <si>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</si>
  <si>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</si>
  <si>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</si>
  <si>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</si>
  <si>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</si>
  <si>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</si>
  <si>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</si>
  <si>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</si>
  <si>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</si>
  <si>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</si>
  <si>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</si>
  <si>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</si>
  <si>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</si>
  <si>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</si>
  <si>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</si>
  <si>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</si>
  <si>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</si>
  <si>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</si>
  <si>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</si>
  <si>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</si>
  <si>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</si>
  <si>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</si>
  <si>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</si>
  <si>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</si>
  <si>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</si>
  <si>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</si>
  <si>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</si>
  <si>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</si>
  <si>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</si>
  <si>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</si>
  <si>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</si>
  <si>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</si>
  <si>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</si>
  <si>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</si>
  <si>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</si>
  <si>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</si>
  <si>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</si>
  <si>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</si>
  <si>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</si>
  <si>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</si>
  <si>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</si>
  <si>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</si>
  <si>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</si>
  <si>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</si>
  <si>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</si>
  <si>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</si>
  <si>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</si>
  <si>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</si>
  <si>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</si>
  <si>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</si>
  <si>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</si>
  <si>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</si>
  <si>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</si>
  <si>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</si>
  <si>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</si>
  <si>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</si>
  <si>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</si>
  <si>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</si>
  <si>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</si>
  <si>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</si>
  <si>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</si>
  <si>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N/A</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</si>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</sst>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2"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t="str">
        <f>'Cash Flow &amp; DSCR'!C9</f>
        <v>0</v>
      </c>
      <c r="D19" s="33" t="str">
        <f>'Cash Flow &amp; DSCR'!D9</f>
        <v>0</v>
      </c>
      <c r="E19" s="33" t="str">
        <f>'Cash Flow &amp; DSCR'!E9</f>
        <v>0</v>
      </c>
      <c r="F19" s="33" t="str">
        <f>'Cash Flow &amp; DSCR'!F9</f>
        <v>0</v>
      </c>
      <c r="G19" s="33" t="str">
        <f>'Cash Flow &amp; DSCR'!G9</f>
        <v>0</v>
      </c>
    </row>
    <row r="21" spans="2:7" x14ac:dyDescent="0.25">
      <c r="B21" s="34" t="s">
        <v>133</v>
      </c>
      <c r="C21" s="36">
        <f>C16-C19</f>
        <v>-25650</v>
      </c>
      <c r="D21" s="37">
        <f>D16-D19</f>
        <v>15189.13333333</v>
      </c>
      <c r="E21" s="37">
        <f>E16-E19</f>
        <v>59223.7841191</v>
      </c>
      <c r="F21" s="37">
        <f>F16-F19</f>
        <v>43498.15248282</v>
      </c>
      <c r="G21" s="37">
        <f>G16-G19</f>
        <v>40905.20322547</v>
      </c>
    </row>
    <row r="22" spans="2:7" x14ac:dyDescent="0.25">
      <c r="B22" s="31" t="s">
        <v>134</v>
      </c>
      <c r="C22" s="38">
        <f>IF(C10&gt;0,C21/C10,0)</f>
        <v>-0.2375</v>
      </c>
      <c r="D22" s="38">
        <f>IF(D10&gt;0,D21/D10,0)</f>
        <v>0.09398053</v>
      </c>
      <c r="E22" s="38">
        <f>IF(E10&gt;0,E21/E10,0)</f>
        <v>0.26229703</v>
      </c>
      <c r="F22" s="38">
        <f>IF(F10&gt;0,F21/F10,0)</f>
        <v>0.15626177</v>
      </c>
      <c r="G22" s="38">
        <f>IF(G10&gt;0,G21/G10,0)</f>
        <v>0.12857511</v>
      </c>
    </row>
    <row r="24" spans="2:7" x14ac:dyDescent="0.25">
      <c r="B24" s="34" t="s">
        <v>135</v>
      </c>
      <c r="C24" s="39">
        <f>C21</f>
        <v>-25650</v>
      </c>
      <c r="D24" s="39">
        <f>C24+D21</f>
        <v>-10460.86666667</v>
      </c>
      <c r="E24" s="39">
        <f>D24+E21</f>
        <v>48762.91745243</v>
      </c>
      <c r="F24" s="39">
        <f>E24+F21</f>
        <v>92261.06993525</v>
      </c>
      <c r="G24" s="39">
        <f>F24+G21</f>
        <v>133166.27316072</v>
      </c>
    </row>
    <row r="25" spans="2:7" x14ac:dyDescent="0.25">
      <c r="B25" s="34" t="s">
        <v>136</v>
      </c>
      <c r="C25" s="40" t="s">
        <v>7</v>
      </c>
      <c r="D25" s="40" t="s">
        <v>7</v>
      </c>
      <c r="E25" s="41" t="s">
        <v>137</v>
      </c>
      <c r="F25" s="40" t="s">
        <v>7</v>
      </c>
      <c r="G25"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138</v>
      </c>
      <c r="C1" s="13"/>
      <c r="D1" s="13"/>
      <c r="E1" s="13"/>
      <c r="F1" s="13"/>
      <c r="G1" s="13"/>
    </row>
    <row r="3" ht="24" customHeight="1" spans="2:7" x14ac:dyDescent="0.25">
      <c r="B3" s="29"/>
      <c r="C3" s="30" t="s">
        <v>97</v>
      </c>
      <c r="D3" s="30" t="s">
        <v>98</v>
      </c>
      <c r="E3" s="30" t="s">
        <v>99</v>
      </c>
      <c r="F3" s="30" t="s">
        <v>100</v>
      </c>
      <c r="G3" s="30" t="s">
        <v>101</v>
      </c>
    </row>
    <row r="4" spans="2:7" x14ac:dyDescent="0.25">
      <c r="B4" s="34" t="s">
        <v>139</v>
      </c>
      <c r="C4" s="39" t="str">
        <f>Assumptions!D57</f>
        <v>0</v>
      </c>
      <c r="D4" s="39">
        <f>C16</f>
        <v>-25650</v>
      </c>
      <c r="E4" s="39">
        <f>D16</f>
        <v>-10460.86666667</v>
      </c>
      <c r="F4" s="39">
        <f>E16</f>
        <v>48762.91745243</v>
      </c>
      <c r="G4" s="39">
        <f>F16</f>
        <v>92261.06993525</v>
      </c>
    </row>
    <row r="5" spans="2:7" x14ac:dyDescent="0.25">
      <c r="B5" s="31" t="s">
        <v>140</v>
      </c>
      <c r="C5" s="33">
        <f>'5-Year P&amp;L'!C16</f>
        <v>-25650</v>
      </c>
      <c r="D5" s="33">
        <f>'5-Year P&amp;L'!D16</f>
        <v>15189.13333333</v>
      </c>
      <c r="E5" s="33">
        <f>'5-Year P&amp;L'!E16</f>
        <v>59223.7841191</v>
      </c>
      <c r="F5" s="33">
        <f>'5-Year P&amp;L'!F16</f>
        <v>43498.15248282</v>
      </c>
      <c r="G5" s="33">
        <f>'5-Year P&amp;L'!G16</f>
        <v>40905.20322547</v>
      </c>
    </row>
    <row r="7" spans="2:7" x14ac:dyDescent="0.25">
      <c r="B7" s="31" t="s">
        <v>141</v>
      </c>
      <c r="C7" s="33" t="str">
        <f>Assumptions!D58</f>
        <v>0</v>
      </c>
      <c r="D7" s="33" t="str">
        <f>Assumptions!D58</f>
        <v>0</v>
      </c>
      <c r="E7" s="33" t="str">
        <f>Assumptions!D58</f>
        <v>0</v>
      </c>
      <c r="F7" s="33" t="str">
        <f>Assumptions!D58</f>
        <v>0</v>
      </c>
      <c r="G7" s="33" t="str">
        <f>Assumptions!D58</f>
        <v>0</v>
      </c>
    </row>
    <row r="8" spans="2:7" x14ac:dyDescent="0.25">
      <c r="B8" s="31" t="s">
        <v>142</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143</v>
      </c>
      <c r="C9" s="35" t="str">
        <f>C7+C8</f>
        <v>0</v>
      </c>
      <c r="D9" s="35" t="str">
        <f>D7+D8</f>
        <v>0</v>
      </c>
      <c r="E9" s="35" t="str">
        <f>E7+E8</f>
        <v>0</v>
      </c>
      <c r="F9" s="35" t="str">
        <f>F7+F8</f>
        <v>0</v>
      </c>
      <c r="G9" s="35" t="str">
        <f>G7+G8</f>
        <v>0</v>
      </c>
    </row>
    <row r="11" spans="2:7" x14ac:dyDescent="0.25">
      <c r="B11" s="34" t="s">
        <v>144</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145</v>
      </c>
      <c r="C13" s="33">
        <f>C5-C9</f>
        <v>-25650</v>
      </c>
      <c r="D13" s="33">
        <f>D5-D9</f>
        <v>15189.13333333</v>
      </c>
      <c r="E13" s="33">
        <f>E5-E9</f>
        <v>59223.7841191</v>
      </c>
      <c r="F13" s="33">
        <f>F5-F9</f>
        <v>43498.15248282</v>
      </c>
      <c r="G13" s="33">
        <f>G5-G9</f>
        <v>40905.20322547</v>
      </c>
    </row>
    <row r="14" spans="2:7" x14ac:dyDescent="0.25">
      <c r="B14" s="34" t="s">
        <v>146</v>
      </c>
      <c r="C14" s="39">
        <f>C5-C9</f>
        <v>-25650</v>
      </c>
      <c r="D14" s="39">
        <f>D5-D9</f>
        <v>15189.13333333</v>
      </c>
      <c r="E14" s="39">
        <f>E5-E9</f>
        <v>59223.7841191</v>
      </c>
      <c r="F14" s="39">
        <f>F5-F9</f>
        <v>43498.15248282</v>
      </c>
      <c r="G14" s="39">
        <f>G5-G9</f>
        <v>40905.20322547</v>
      </c>
    </row>
    <row r="16" spans="2:7" x14ac:dyDescent="0.25">
      <c r="B16" s="34" t="s">
        <v>147</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9"/>
      <c r="C3" s="30" t="s">
        <v>97</v>
      </c>
      <c r="D3" s="30" t="s">
        <v>98</v>
      </c>
      <c r="E3" s="30" t="s">
        <v>99</v>
      </c>
      <c r="F3" s="30" t="s">
        <v>100</v>
      </c>
      <c r="G3" s="30" t="s">
        <v>101</v>
      </c>
    </row>
    <row r="4" spans="2:7" x14ac:dyDescent="0.25">
      <c r="B4" s="31" t="s">
        <v>149</v>
      </c>
      <c r="C4" s="32">
        <f>Drivers!C12</f>
        <v>1</v>
      </c>
      <c r="D4" s="32">
        <f>Drivers!D12</f>
        <v>1</v>
      </c>
      <c r="E4" s="32">
        <f>Drivers!E12</f>
        <v>1</v>
      </c>
      <c r="F4" s="32">
        <f>Drivers!F12</f>
        <v>2</v>
      </c>
      <c r="G4" s="32">
        <f>Drivers!G12</f>
        <v>2</v>
      </c>
    </row>
    <row r="5" spans="2:7" x14ac:dyDescent="0.25">
      <c r="B5" s="31" t="s">
        <v>150</v>
      </c>
      <c r="C5" s="32">
        <f>Assumptions!D35</f>
        <v>1</v>
      </c>
      <c r="D5" s="32">
        <f>Assumptions!D36</f>
        <v>1</v>
      </c>
      <c r="E5" s="32">
        <f>Assumptions!D37</f>
        <v>1</v>
      </c>
      <c r="F5" s="32">
        <f>Assumptions!D38</f>
        <v>1</v>
      </c>
      <c r="G5" s="32">
        <f>Assumptions!D39</f>
        <v>1</v>
      </c>
    </row>
    <row r="6" spans="2:7" x14ac:dyDescent="0.25">
      <c r="B6" s="34" t="s">
        <v>151</v>
      </c>
      <c r="C6" s="44">
        <f>C4+C5</f>
        <v>2</v>
      </c>
      <c r="D6" s="44">
        <f>D4+D5</f>
        <v>2</v>
      </c>
      <c r="E6" s="44">
        <f>E4+E5</f>
        <v>2</v>
      </c>
      <c r="F6" s="44">
        <f>F4+F5</f>
        <v>3</v>
      </c>
      <c r="G6" s="44">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152</v>
      </c>
      <c r="C1" s="13"/>
    </row>
    <row r="3" spans="2:3" x14ac:dyDescent="0.25">
      <c r="B3" s="31" t="s">
        <v>153</v>
      </c>
      <c r="C3" s="33" t="str">
        <f>Assumptions!D59</f>
        <v>0</v>
      </c>
    </row>
    <row r="4" spans="2:3" x14ac:dyDescent="0.25">
      <c r="B4" s="31" t="s">
        <v>154</v>
      </c>
      <c r="C4" s="38">
        <f>Assumptions!D60</f>
        <v>0.08</v>
      </c>
    </row>
    <row r="5" spans="2:3" x14ac:dyDescent="0.25">
      <c r="B5" s="31" t="s">
        <v>94</v>
      </c>
      <c r="C5" s="32">
        <f>Assumptions!D61</f>
        <v>5</v>
      </c>
    </row>
    <row r="6" spans="2:3" x14ac:dyDescent="0.25">
      <c r="B6" s="31" t="s">
        <v>155</v>
      </c>
      <c r="C6" s="39" t="str">
        <f>IF(Assumptions!D59&gt;0,PMT(Assumptions!D60/12,Assumptions!D61*12,-Assumptions!D59)*12,0)</f>
        <v>0</v>
      </c>
    </row>
    <row r="8" spans="2:3" x14ac:dyDescent="0.25">
      <c r="B8" s="31" t="s">
        <v>156</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157</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158</v>
      </c>
      <c r="C6" s="31">
        <f>Assumptions!D8</f>
        <v>2026</v>
      </c>
    </row>
    <row r="8" spans="2:3" x14ac:dyDescent="0.25">
      <c r="B8" s="31" t="s">
        <v>57</v>
      </c>
      <c r="C8" s="32">
        <f>Assumptions!D16</f>
        <v>40</v>
      </c>
    </row>
    <row r="9" spans="2:3" x14ac:dyDescent="0.25">
      <c r="B9" s="31" t="s">
        <v>159</v>
      </c>
      <c r="C9" s="33">
        <f>Drivers!G10</f>
        <v>318142.4668</v>
      </c>
    </row>
    <row r="10" spans="2:3" x14ac:dyDescent="0.25">
      <c r="B10" s="31" t="s">
        <v>160</v>
      </c>
      <c r="C10" s="45">
        <f>'5-Year P&amp;L'!G16</f>
        <v>40905.20322547</v>
      </c>
    </row>
    <row r="12" ht="24" customHeight="1" spans="2:3" x14ac:dyDescent="0.25">
      <c r="B12" s="46" t="s">
        <v>161</v>
      </c>
      <c r="C12" s="29"/>
    </row>
    <row r="13" spans="2:3" x14ac:dyDescent="0.25">
      <c r="B13" s="31" t="s">
        <v>162</v>
      </c>
      <c r="C13" s="47">
        <f>IF(Drivers!G10&gt;0,'5-Year P&amp;L'!G21/Drivers!G10,0)</f>
        <v>0.12857511</v>
      </c>
    </row>
    <row r="14" spans="2:3" x14ac:dyDescent="0.25">
      <c r="B14" s="31" t="s">
        <v>163</v>
      </c>
      <c r="C14" s="38">
        <f>IF(Drivers!G10&gt;0,Drivers!G16/Drivers!G10,0)</f>
        <v>0.45849252</v>
      </c>
    </row>
    <row r="15" spans="2:3" x14ac:dyDescent="0.25">
      <c r="B15" s="31" t="s">
        <v>164</v>
      </c>
      <c r="C15" s="33">
        <f>IF(Assumptions!D16&gt;0,Drivers!G10/Assumptions!D16,0)</f>
        <v>7954</v>
      </c>
    </row>
    <row r="16" spans="2:3" x14ac:dyDescent="0.25">
      <c r="B16" s="31" t="s">
        <v>165</v>
      </c>
      <c r="C16" s="33">
        <f>IF(Assumptions!D16&gt;0,('5-Year P&amp;L'!G12+'5-Year P&amp;L'!G13)/Assumptions!D16,0)</f>
        <v>6931</v>
      </c>
    </row>
    <row r="17" spans="2:3" x14ac:dyDescent="0.25">
      <c r="B17" s="31" t="s">
        <v>166</v>
      </c>
      <c r="C17" s="42" t="str">
        <f>'Cash Flow &amp; DSCR'!C11</f>
        <v>0</v>
      </c>
    </row>
    <row r="18" spans="2:3" x14ac:dyDescent="0.25">
      <c r="B18" s="31" t="s">
        <v>167</v>
      </c>
      <c r="C18" s="43">
        <f>'Cash Flow &amp; DSCR'!G11</f>
        <v>99.9</v>
      </c>
    </row>
    <row r="19" spans="2:3" x14ac:dyDescent="0.25">
      <c r="B19" s="31" t="s">
        <v>168</v>
      </c>
      <c r="C19" s="48">
        <v>0</v>
      </c>
    </row>
    <row r="21" spans="2:3" x14ac:dyDescent="0.25">
      <c r="B21" s="12" t="s">
        <v>169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170</v>
      </c>
      <c r="C1" s="13"/>
      <c r="D1" s="13"/>
      <c r="E1" s="13"/>
      <c r="F1" s="13"/>
      <c r="G1" s="13"/>
      <c r="H1" s="13"/>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173</v>
      </c>
      <c r="C2" s="1"/>
      <c r="D2" s="1"/>
      <c r="E2" s="1"/>
      <c r="F2" s="1"/>
      <c r="G2" s="1"/>
      <c r="H2" s="1"/>
    </row>
    <row r="3" spans="2:8" x14ac:dyDescent="0.25">
      <c r="B3" s="12" t="s">
        <v>40</v>
      </c>
      <c r="C3" s="12"/>
      <c r="D3" s="12"/>
      <c r="E3" s="12"/>
      <c r="F3" s="12"/>
      <c r="G3" s="12"/>
      <c r="H3" s="12"/>
    </row>
    <row r="4" spans="2:6" x14ac:dyDescent="0.25">
      <c r="B4" s="51" t="s">
        <v>174</v>
      </c>
      <c r="D4" s="52" t="s">
        <v>175</v>
      </c>
      <c r="F4" s="53" t="s">
        <v>176</v>
      </c>
    </row>
    <row r="6" ht="24" customHeight="1" spans="2:8" x14ac:dyDescent="0.25">
      <c r="B6" s="54" t="s">
        <v>177</v>
      </c>
      <c r="C6" s="55" t="s">
        <v>97</v>
      </c>
      <c r="D6" s="55" t="s">
        <v>98</v>
      </c>
      <c r="E6" s="55" t="s">
        <v>99</v>
      </c>
      <c r="F6" s="55" t="s">
        <v>100</v>
      </c>
      <c r="G6" s="55" t="s">
        <v>101</v>
      </c>
      <c r="H6" s="55" t="s">
        <v>178</v>
      </c>
    </row>
    <row r="7" spans="2:7" x14ac:dyDescent="0.25">
      <c r="B7" s="31" t="s">
        <v>108</v>
      </c>
      <c r="C7" s="32">
        <v>15</v>
      </c>
      <c r="D7" s="32">
        <v>22</v>
      </c>
      <c r="E7" s="32">
        <v>30</v>
      </c>
      <c r="F7" s="32">
        <v>36</v>
      </c>
      <c r="G7" s="32">
        <v>40</v>
      </c>
    </row>
    <row r="8" spans="2:7" x14ac:dyDescent="0.25">
      <c r="B8" s="31" t="s">
        <v>179</v>
      </c>
      <c r="C8" s="33">
        <v>108000</v>
      </c>
      <c r="D8" s="33">
        <v>161620</v>
      </c>
      <c r="E8" s="33">
        <v>225789</v>
      </c>
      <c r="F8" s="33">
        <v>278367.204</v>
      </c>
      <c r="G8" s="33">
        <v>318142.46680000005</v>
      </c>
    </row>
    <row r="9" spans="2:7" x14ac:dyDescent="0.25">
      <c r="B9" s="31" t="s">
        <v>180</v>
      </c>
      <c r="C9" s="33">
        <v>93600</v>
      </c>
      <c r="D9" s="33">
        <v>96408</v>
      </c>
      <c r="E9" s="33">
        <v>99300.23999999999</v>
      </c>
      <c r="F9" s="33">
        <v>141617.4192</v>
      </c>
      <c r="G9" s="33">
        <v>145865.94177600002</v>
      </c>
    </row>
    <row r="10" spans="2:7" x14ac:dyDescent="0.25">
      <c r="B10" s="31" t="s">
        <v>181</v>
      </c>
      <c r="C10" s="33">
        <v>40050</v>
      </c>
      <c r="D10" s="33">
        <v>50022.86666666667</v>
      </c>
      <c r="E10" s="33">
        <v>67264.97588090204</v>
      </c>
      <c r="F10" s="33">
        <v>93251.63231718403</v>
      </c>
      <c r="G10" s="33">
        <v>131371.32179852598</v>
      </c>
    </row>
    <row r="11" spans="2:7" x14ac:dyDescent="0.25">
      <c r="B11" s="31" t="s">
        <v>182</v>
      </c>
      <c r="C11" s="33">
        <v>0</v>
      </c>
      <c r="D11" s="33">
        <v>0</v>
      </c>
      <c r="E11" s="33">
        <v>0</v>
      </c>
      <c r="F11" s="33">
        <v>0</v>
      </c>
      <c r="G11" s="33">
        <v>0</v>
      </c>
    </row>
    <row r="12" spans="2:7" x14ac:dyDescent="0.25">
      <c r="B12" s="34" t="s">
        <v>133</v>
      </c>
      <c r="C12" s="36">
        <v>-25650</v>
      </c>
      <c r="D12" s="37">
        <v>15189.133333333331</v>
      </c>
      <c r="E12" s="37">
        <v>59223.78411909798</v>
      </c>
      <c r="F12" s="37">
        <v>43498.15248281599</v>
      </c>
      <c r="G12" s="37">
        <v>40905.20322547405</v>
      </c>
    </row>
    <row r="13" spans="2:7" x14ac:dyDescent="0.25">
      <c r="B13" s="34" t="s">
        <v>147</v>
      </c>
      <c r="C13" s="36">
        <v>-25650</v>
      </c>
      <c r="D13" s="36">
        <v>-10460.866666666669</v>
      </c>
      <c r="E13" s="37">
        <v>48762.91745243131</v>
      </c>
      <c r="F13" s="37">
        <v>92261.0699352473</v>
      </c>
      <c r="G13" s="37">
        <v>133166.27316072135</v>
      </c>
    </row>
    <row r="14" spans="2:7" x14ac:dyDescent="0.25">
      <c r="B14" s="34" t="s">
        <v>134</v>
      </c>
      <c r="C14" s="56">
        <v>-0.2375</v>
      </c>
      <c r="D14" s="57">
        <v>0.09398053046240151</v>
      </c>
      <c r="E14" s="57">
        <v>0.26229703005504246</v>
      </c>
      <c r="F14" s="57">
        <v>0.15626177170934255</v>
      </c>
      <c r="G14" s="57">
        <v>0.12857511176333797</v>
      </c>
    </row>
    <row r="15" spans="2:8" x14ac:dyDescent="0.25">
      <c r="B15" s="34" t="s">
        <v>183</v>
      </c>
      <c r="C15" s="58">
        <v>7200</v>
      </c>
      <c r="D15" s="58">
        <v>7346.363636363636</v>
      </c>
      <c r="E15" s="58">
        <v>7526.3</v>
      </c>
      <c r="F15" s="58">
        <v>7732.422333333334</v>
      </c>
      <c r="G15" s="58">
        <v>7953.561670000001</v>
      </c>
      <c r="H15" s="59" t="s">
        <v>184</v>
      </c>
    </row>
    <row r="16" spans="2:7" x14ac:dyDescent="0.25">
      <c r="B16" s="34" t="s">
        <v>185</v>
      </c>
      <c r="C16" s="39">
        <v>8910</v>
      </c>
      <c r="D16" s="39">
        <v>6655.948484848485</v>
      </c>
      <c r="E16" s="39">
        <v>5552.1738626967335</v>
      </c>
      <c r="F16" s="39">
        <v>6524.140319921778</v>
      </c>
      <c r="G16" s="39">
        <v>6930.93158936315</v>
      </c>
    </row>
    <row r="17" spans="2:7" x14ac:dyDescent="0.25">
      <c r="B17" s="31" t="s">
        <v>186</v>
      </c>
      <c r="C17" s="33">
        <v>400</v>
      </c>
      <c r="D17" s="33">
        <v>604.2666666666668</v>
      </c>
      <c r="E17" s="33">
        <v>912.8455111111114</v>
      </c>
      <c r="F17" s="33">
        <v>1379.0052854518522</v>
      </c>
      <c r="G17" s="33">
        <v>2083.217317889265</v>
      </c>
    </row>
    <row r="18" spans="2:8" x14ac:dyDescent="0.25">
      <c r="B18" s="31" t="s">
        <v>187</v>
      </c>
      <c r="C18" s="60">
        <v>1720</v>
      </c>
      <c r="D18" s="60">
        <v>1206.9545454545453</v>
      </c>
      <c r="E18" s="60">
        <v>910.9325697674416</v>
      </c>
      <c r="F18" s="60">
        <v>781.265908431359</v>
      </c>
      <c r="G18" s="60">
        <v>723.6611744155073</v>
      </c>
      <c r="H18" s="59" t="s">
        <v>188</v>
      </c>
    </row>
    <row r="19" spans="2:7" x14ac:dyDescent="0.25">
      <c r="B19" s="34" t="s">
        <v>189</v>
      </c>
      <c r="C19" s="61">
        <v>-1710</v>
      </c>
      <c r="D19" s="45">
        <v>690.4151515151515</v>
      </c>
      <c r="E19" s="45">
        <v>1974.126137303266</v>
      </c>
      <c r="F19" s="45">
        <v>1208.2820134115552</v>
      </c>
      <c r="G19" s="45">
        <v>1022.6300806368512</v>
      </c>
    </row>
    <row r="20" spans="2:8" x14ac:dyDescent="0.25">
      <c r="B20" s="34" t="s">
        <v>190</v>
      </c>
      <c r="C20" s="56">
        <v>0.8666666666666667</v>
      </c>
      <c r="D20" s="62">
        <v>0.5965103328795941</v>
      </c>
      <c r="E20" s="57">
        <v>0.439792195368242</v>
      </c>
      <c r="F20" s="57">
        <v>0.5087431894455497</v>
      </c>
      <c r="G20" s="57">
        <v>0.4584925214265674</v>
      </c>
      <c r="H20" s="59" t="s">
        <v>191</v>
      </c>
    </row>
    <row r="21" spans="2:8" x14ac:dyDescent="0.25">
      <c r="B21" s="34" t="s">
        <v>192</v>
      </c>
      <c r="C21" s="56">
        <v>0.2388888888888889</v>
      </c>
      <c r="D21" s="62">
        <v>0.16429278554634325</v>
      </c>
      <c r="E21" s="57">
        <v>0.12103325269620419</v>
      </c>
      <c r="F21" s="57">
        <v>0.10103766643260505</v>
      </c>
      <c r="G21" s="57">
        <v>0.09098580037985765</v>
      </c>
      <c r="H21" s="59" t="s">
        <v>193</v>
      </c>
    </row>
    <row r="22" spans="2:8" x14ac:dyDescent="0.25">
      <c r="B22" s="34" t="s">
        <v>131</v>
      </c>
      <c r="C22" s="56">
        <v>-0.2375</v>
      </c>
      <c r="D22" s="62">
        <v>0.09398053046240151</v>
      </c>
      <c r="E22" s="57">
        <v>0.2622970300550424</v>
      </c>
      <c r="F22" s="57">
        <v>0.15626177170934255</v>
      </c>
      <c r="G22" s="57">
        <v>0.12857511176333797</v>
      </c>
      <c r="H22" s="59" t="s">
        <v>194</v>
      </c>
    </row>
    <row r="23" spans="2:8" x14ac:dyDescent="0.25">
      <c r="B23" s="34" t="s">
        <v>195</v>
      </c>
      <c r="C23" s="63">
        <v>2</v>
      </c>
      <c r="D23" s="63">
        <v>2</v>
      </c>
      <c r="E23" s="63">
        <v>2</v>
      </c>
      <c r="F23" s="63">
        <v>2</v>
      </c>
      <c r="G23" s="63">
        <v>2</v>
      </c>
      <c r="H23" s="59" t="s">
        <v>196</v>
      </c>
    </row>
    <row r="24" spans="2:8" x14ac:dyDescent="0.25">
      <c r="B24" s="34" t="s">
        <v>197</v>
      </c>
      <c r="C24" s="64" t="s">
        <v>198</v>
      </c>
      <c r="D24" s="64" t="s">
        <v>198</v>
      </c>
      <c r="E24" s="64" t="s">
        <v>198</v>
      </c>
      <c r="F24" s="64" t="s">
        <v>198</v>
      </c>
      <c r="G24" s="64" t="s">
        <v>198</v>
      </c>
      <c r="H24" s="59" t="s">
        <v>198</v>
      </c>
    </row>
    <row r="25" spans="2:8" x14ac:dyDescent="0.25">
      <c r="B25" s="34" t="s">
        <v>199</v>
      </c>
      <c r="C25" s="65" t="str">
        <f>IF('5-Year P&amp;L'!C24&gt;=0,"✓ Break-even","")</f>
        <v>0</v>
      </c>
      <c r="D25" s="65" t="str">
        <f>IF(AND('5-Year P&amp;L'!D24&gt;=0,'5-Year P&amp;L'!C24&lt;0),"✓ Break-even","")</f>
        <v>0</v>
      </c>
      <c r="E25" s="41" t="str">
        <f>IF(AND('5-Year P&amp;L'!E24&gt;=0,'5-Year P&amp;L'!D24&lt;0),"✓ Break-even","")</f>
        <v>✓ Break-even</v>
      </c>
      <c r="F25" s="65" t="str">
        <f>IF(AND('5-Year P&amp;L'!F24&gt;=0,'5-Year P&amp;L'!E24&lt;0),"✓ Break-even","")</f>
        <v>0</v>
      </c>
      <c r="G25" s="65" t="str">
        <f>IF(AND('5-Year P&amp;L'!G24&gt;=0,'5-Year P&amp;L'!F24&lt;0),"✓ Break-even","")</f>
        <v>0</v>
      </c>
      <c r="H25" s="59" t="s">
        <v>97</v>
      </c>
    </row>
    <row r="26" spans="2:8" x14ac:dyDescent="0.25">
      <c r="B26" s="34" t="s">
        <v>200</v>
      </c>
      <c r="C26" s="66">
        <v>-2</v>
      </c>
      <c r="D26" s="66">
        <v>-1</v>
      </c>
      <c r="E26" s="66">
        <v>4</v>
      </c>
      <c r="F26" s="66">
        <v>5</v>
      </c>
      <c r="G26" s="66">
        <v>6</v>
      </c>
      <c r="H26" s="59" t="s">
        <v>201</v>
      </c>
    </row>
    <row r="27" spans="2:8" x14ac:dyDescent="0.25">
      <c r="B27" s="34" t="s">
        <v>202</v>
      </c>
      <c r="C27" s="66">
        <v>0</v>
      </c>
      <c r="D27" s="66">
        <v>0</v>
      </c>
      <c r="E27" s="67">
        <v>107</v>
      </c>
      <c r="F27" s="67">
        <v>143</v>
      </c>
      <c r="G27" s="67">
        <v>175</v>
      </c>
      <c r="H27" s="59" t="s">
        <v>203</v>
      </c>
    </row>
    <row r="29" ht="24" customHeight="1" spans="2:8" x14ac:dyDescent="0.25">
      <c r="B29" s="54" t="s">
        <v>204</v>
      </c>
      <c r="C29" s="54" t="s">
        <v>205</v>
      </c>
      <c r="D29" s="54" t="s">
        <v>206</v>
      </c>
      <c r="E29" s="54"/>
      <c r="F29" s="54" t="s">
        <v>207</v>
      </c>
      <c r="G29" s="54"/>
      <c r="H29" s="54"/>
    </row>
    <row r="30" ht="45" customHeight="1" spans="2:8" x14ac:dyDescent="0.25">
      <c r="B30" s="68" t="s">
        <v>208</v>
      </c>
      <c r="C30" s="69" t="s">
        <v>209</v>
      </c>
      <c r="D30" s="70" t="s">
        <v>210</v>
      </c>
      <c r="E30" s="70"/>
      <c r="F30" s="71" t="s">
        <v>211</v>
      </c>
      <c r="G30" s="71"/>
      <c r="H30" s="71"/>
    </row>
    <row r="31" ht="45" customHeight="1" spans="2:8" x14ac:dyDescent="0.25">
      <c r="B31" s="68" t="s">
        <v>212</v>
      </c>
      <c r="C31" s="72" t="s">
        <v>213</v>
      </c>
      <c r="D31" s="70" t="s">
        <v>214</v>
      </c>
      <c r="E31" s="70"/>
      <c r="F31" s="71" t="s">
        <v>215</v>
      </c>
      <c r="G31" s="71"/>
      <c r="H31" s="71"/>
    </row>
    <row r="32" ht="45" customHeight="1" spans="2:8" x14ac:dyDescent="0.25">
      <c r="B32" s="68" t="s">
        <v>216</v>
      </c>
      <c r="C32" s="41" t="s">
        <v>217</v>
      </c>
      <c r="D32" s="70" t="s">
        <v>218</v>
      </c>
      <c r="E32" s="70"/>
      <c r="F32" s="71" t="s">
        <v>219</v>
      </c>
      <c r="G32" s="71"/>
      <c r="H32" s="71"/>
    </row>
    <row r="33" ht="45" customHeight="1" spans="2:8" x14ac:dyDescent="0.25">
      <c r="B33" s="68" t="s">
        <v>220</v>
      </c>
      <c r="C33" s="41" t="s">
        <v>217</v>
      </c>
      <c r="D33" s="70" t="s">
        <v>221</v>
      </c>
      <c r="E33" s="70"/>
      <c r="F33" s="71" t="s">
        <v>222</v>
      </c>
      <c r="G33" s="71"/>
      <c r="H33" s="71"/>
    </row>
    <row r="34" ht="45" customHeight="1" spans="2:8" x14ac:dyDescent="0.25">
      <c r="B34" s="68" t="s">
        <v>223</v>
      </c>
      <c r="C34" s="41" t="s">
        <v>217</v>
      </c>
      <c r="D34" s="70" t="s">
        <v>224</v>
      </c>
      <c r="E34" s="70"/>
      <c r="F34" s="71" t="s">
        <v>225</v>
      </c>
      <c r="G34" s="71"/>
      <c r="H34" s="71"/>
    </row>
    <row r="35" ht="45" customHeight="1" spans="2:8" x14ac:dyDescent="0.25">
      <c r="B35" s="68" t="s">
        <v>226</v>
      </c>
      <c r="C35" s="41" t="s">
        <v>217</v>
      </c>
      <c r="D35" s="70" t="s">
        <v>227</v>
      </c>
      <c r="E35" s="70"/>
      <c r="F35" s="71" t="s">
        <v>228</v>
      </c>
      <c r="G35" s="71"/>
      <c r="H35" s="71"/>
    </row>
    <row r="37" spans="2:6" x14ac:dyDescent="0.25">
      <c r="B37" s="68" t="s">
        <v>39</v>
      </c>
      <c r="C37" s="34" t="s">
        <v>229</v>
      </c>
      <c r="D37" s="34"/>
      <c r="E37" s="34"/>
      <c r="F37" s="34"/>
    </row>
    <row r="39" spans="2:8" x14ac:dyDescent="0.25">
      <c r="B39" s="73" t="s">
        <v>230</v>
      </c>
      <c r="C39" s="73"/>
      <c r="D39" s="73"/>
      <c r="E39" s="73"/>
      <c r="F39" s="73"/>
      <c r="G39" s="73"/>
      <c r="H39" s="73"/>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