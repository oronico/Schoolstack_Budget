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'Assumptions'!$A1:$J53</definedName>
    <definedName name="_xlnm.Print_Titles" localSheetId="1">'Assumptions'!$1:$3</definedName>
    <definedName name="_xlnm.Print_Area" localSheetId="2">'5-Year Model'!$A1:$F74</definedName>
    <definedName name="_xlnm.Print_Titles" localSheetId="2">'5-Year Model'!$1:$2</definedName>
    <definedName name="_xlnm.Print_Area" localSheetId="3">'Year 1 Pro Forma'!$A1:$N44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Health'!$A1:$I39</definedName>
    <definedName name="_xlnm.Print_Titles" localSheetId="5">'Financial Health'!$1:$2</definedName>
  </definedNames>
  <calcPr calcId="171027" fullCalcOnLoad="1"/>
</workbook>
</file>

<file path=xl/sharedStrings.xml><?xml version="1.0" encoding="utf-8"?>
<sst xmlns="http://schemas.openxmlformats.org/spreadsheetml/2006/main" count="379" uniqueCount="270">
  <si>
    <t>How to Use This Workbook</t>
  </si>
  <si>
    <t>Liberty Learning Co-Op</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</si>
  <si>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</si>
  <si>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</si>
  <si>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</si>
  <si>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</si>
  <si>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</si>
  <si>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</si>
  <si>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</si>
  <si>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</si>
  <si>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</si>
  <si>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</si>
  <si>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</si>
  <si>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</si>
  <si>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</si>
  <si>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</si>
  <si>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</si>
  <si>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</si>
  <si>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</si>
  <si>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</si>
  <si>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</si>
  <si>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</si>
  <si>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</si>
  <si>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</si>
  <si>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</si>
  <si>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</si>
  <si>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</si>
  <si>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</si>
  <si>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</si>
  <si>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</si>
  <si>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Liberty Learning Co-Op - Financial Model Assumptions</t>
  </si>
  <si>
    <t>Editable assumption — change this value</t>
  </si>
  <si>
    <t>Calculated — driven by formula</t>
  </si>
  <si>
    <t>SCHOOL PROFILE</t>
  </si>
  <si>
    <t>School Name</t>
  </si>
  <si>
    <t>State</t>
  </si>
  <si>
    <t>AZ</t>
  </si>
  <si>
    <t>School Type</t>
  </si>
  <si>
    <t>Homeschool Co-Op</t>
  </si>
  <si>
    <t>Legal Entity</t>
  </si>
  <si>
    <t>LLC (Single Member)</t>
  </si>
  <si>
    <t>EIN</t>
  </si>
  <si>
    <t>86-5551234</t>
  </si>
  <si>
    <t>Website</t>
  </si>
  <si>
    <t>N/A</t>
  </si>
  <si>
    <t>Fiscal Year Start</t>
  </si>
  <si>
    <t>July</t>
  </si>
  <si>
    <t>Maximum Capacity</t>
  </si>
  <si>
    <t>School Stage</t>
  </si>
  <si>
    <t>New School</t>
  </si>
  <si>
    <t>Location</t>
  </si>
  <si>
    <t>789 Desert Way, Mesa, AZ, 85201</t>
  </si>
  <si>
    <t>ENROLLMENT</t>
  </si>
  <si>
    <t>2026-27</t>
  </si>
  <si>
    <t>2027-28</t>
  </si>
  <si>
    <t>2028-29</t>
  </si>
  <si>
    <t>2029-30</t>
  </si>
  <si>
    <t>2030-31</t>
  </si>
  <si>
    <t>Students Enrolled</t>
  </si>
  <si>
    <t>REVENUE SOURCES</t>
  </si>
  <si>
    <t>Category</t>
  </si>
  <si>
    <t>Driver</t>
  </si>
  <si>
    <t>Yr 1 Amount</t>
  </si>
  <si>
    <t>Escalation %</t>
  </si>
  <si>
    <t>Billing Mo.</t>
  </si>
  <si>
    <t>Collection %</t>
  </si>
  <si>
    <t>Note</t>
  </si>
  <si>
    <t>Co-Op Tuition</t>
  </si>
  <si>
    <t>Tuition &amp; Fees</t>
  </si>
  <si>
    <t>Per Student</t>
  </si>
  <si>
    <t>Materials Fee</t>
  </si>
  <si>
    <t>ESA Revenue</t>
  </si>
  <si>
    <t>School Choice</t>
  </si>
  <si>
    <t>Annual Fundraising</t>
  </si>
  <si>
    <t>Philanthropy</t>
  </si>
  <si>
    <t>Annual Fixed</t>
  </si>
  <si>
    <t>STAFFING ROSTER</t>
  </si>
  <si>
    <t>Function</t>
  </si>
  <si>
    <t>Type</t>
  </si>
  <si>
    <t>FTE</t>
  </si>
  <si>
    <t>Annual Rate</t>
  </si>
  <si>
    <t>Benefits %</t>
  </si>
  <si>
    <t>Payroll Tax %</t>
  </si>
  <si>
    <t>Benefits Elig.</t>
  </si>
  <si>
    <t>Notes</t>
  </si>
  <si>
    <t>Director / Lead Educator</t>
  </si>
  <si>
    <t>School Leadership</t>
  </si>
  <si>
    <t>FT</t>
  </si>
  <si>
    <t>Yes</t>
  </si>
  <si>
    <t>Assistant Educator</t>
  </si>
  <si>
    <t>Instructional</t>
  </si>
  <si>
    <t>PT</t>
  </si>
  <si>
    <t>No</t>
  </si>
  <si>
    <t>FACILITIES &amp; OCCUPANCY</t>
  </si>
  <si>
    <t>Amount</t>
  </si>
  <si>
    <t>Frequency</t>
  </si>
  <si>
    <t>Ownership Type</t>
  </si>
  <si>
    <t>Rent</t>
  </si>
  <si>
    <t>Monthly Rent</t>
  </si>
  <si>
    <t>Monthly</t>
  </si>
  <si>
    <t>Annual Rent Escalation</t>
  </si>
  <si>
    <t>OPERATING EXPENSES</t>
  </si>
  <si>
    <t>Occupancy / Facility</t>
  </si>
  <si>
    <t>Utilities</t>
  </si>
  <si>
    <t>Insurance</t>
  </si>
  <si>
    <t>Compliance Contract</t>
  </si>
  <si>
    <t>Administrative / General</t>
  </si>
  <si>
    <t>Curriculum &amp; Materials</t>
  </si>
  <si>
    <t>Instructional / Program</t>
  </si>
  <si>
    <t>Technology</t>
  </si>
  <si>
    <t>CAPITAL &amp; DEBT</t>
  </si>
  <si>
    <t>Is Loan?</t>
  </si>
  <si>
    <t>Principal</t>
  </si>
  <si>
    <t>Interest Rate</t>
  </si>
  <si>
    <t>Term (Yrs)</t>
  </si>
  <si>
    <t>Annual Payment</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</si>
  <si>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</si>
  <si>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</si>
  <si>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</si>
  <si>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</si>
  <si>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</si>
  <si>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</si>
  <si>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</si>
  <si>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</si>
  <si>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</si>
  <si>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Liberty Learning Co-Op - 5-Year Financial Model</t>
  </si>
  <si>
    <t>Projections prepared on an accrual basis. School currently keeps books on a undetermined basis.</t>
  </si>
  <si>
    <t>REVENUE</t>
  </si>
  <si>
    <t>TOTAL REVENUE</t>
  </si>
  <si>
    <t>PERSONNEL</t>
  </si>
  <si>
    <t>Director / Lead Educator (School Leadership)</t>
  </si>
  <si>
    <t>Assistant Educator (Instructional)</t>
  </si>
  <si>
    <t>TOTAL PERSONNEL</t>
  </si>
  <si>
    <t xml:space="preserve">  Curriculum &amp; Materials (Per Student)</t>
  </si>
  <si>
    <t>Total Instructional / Program</t>
  </si>
  <si>
    <t xml:space="preserve">  Technology (Per Student)</t>
  </si>
  <si>
    <t>Total Technology</t>
  </si>
  <si>
    <t xml:space="preserve">  Rent (Monthly)</t>
  </si>
  <si>
    <t xml:space="preserve">  Utilities (Monthly)</t>
  </si>
  <si>
    <t xml:space="preserve">  Insurance (Annual Fixed)</t>
  </si>
  <si>
    <t>Total Occupancy / Facility</t>
  </si>
  <si>
    <t xml:space="preserve">  Compliance Contract (Annual Fixed)</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</si>
  <si>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</si>
  <si>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</si>
  <si>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</si>
  <si>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</si>
  <si>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</si>
  <si>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</si>
  <si>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</si>
  <si>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</si>
  <si>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</si>
  <si>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</si>
  <si>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Profit / (Loss)</t>
  </si>
  <si>
    <t>Profit Margin %</t>
  </si>
  <si>
    <t>Cumulative Profit</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</si>
  <si>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</si>
  <si>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</si>
  <si>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</si>
  <si>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</si>
  <si>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</si>
  <si>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</si>
  <si>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</si>
  <si>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</si>
  <si>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</si>
  <si>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</si>
  <si>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</si>
  <si>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</si>
  <si>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</si>
  <si>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</si>
  <si>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</si>
  <si>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</si>
  <si>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</si>
  <si>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</si>
  <si>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</si>
  <si>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</si>
  <si>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</si>
  <si>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</si>
  <si>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Liberty Learning Co-Op - 2026-27 Pro Forma</t>
  </si>
  <si>
    <t>August</t>
  </si>
  <si>
    <t>September</t>
  </si>
  <si>
    <t>October</t>
  </si>
  <si>
    <t>November</t>
  </si>
  <si>
    <t>December</t>
  </si>
  <si>
    <t>January</t>
  </si>
  <si>
    <t>February</t>
  </si>
  <si>
    <t>March</t>
  </si>
  <si>
    <t>April</t>
  </si>
  <si>
    <t>May</t>
  </si>
  <si>
    <t>June</t>
  </si>
  <si>
    <t>2026-27 Total</t>
  </si>
  <si>
    <t xml:space="preserve">  Curriculum &amp; Materials</t>
  </si>
  <si>
    <t xml:space="preserve">  Technology</t>
  </si>
  <si>
    <t xml:space="preserve">  Rent</t>
  </si>
  <si>
    <t xml:space="preserve">  Utilities</t>
  </si>
  <si>
    <t xml:space="preserve">  Insurance</t>
  </si>
  <si>
    <t xml:space="preserve">  Compliance Contract</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</si>
  <si>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</si>
  <si>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</si>
  <si>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</si>
  <si>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</si>
  <si>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</si>
  <si>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</si>
  <si>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</si>
  <si>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</si>
  <si>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</si>
  <si>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</si>
  <si>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</si>
  <si>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May 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</si>
  <si>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</si>
  <si>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</si>
  <si>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</si>
  <si>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</si>
  <si>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</si>
  <si>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</si>
  <si>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</si>
  <si>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</si>
  <si>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</si>
  <si>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</si>
  <si>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</si>
  <si>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</si>
  <si>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</si>
  <si>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</si>
  <si>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Income</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</si>
  <si>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</si>
  <si>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</si>
  <si>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</si>
  <si>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</si>
  <si>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</si>
  <si>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</si>
  <si>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</si>
  <si>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</si>
  <si>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</si>
  <si>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</si>
  <si>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</si>
  <si>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</si>
  <si>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</si>
  <si>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</si>
  <si>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</si>
  <si>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</si>
  <si>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</si>
  <si>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</si>
  <si>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</si>
  <si>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</si>
  <si>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</si>
  <si>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</si>
  <si>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</si>
  <si>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</si>
  <si>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</si>
  <si>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</si>
  <si>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</si>
  <si>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</si>
  <si>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</si>
  <si>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</si>
  <si>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</si>
  <si>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</si>
  <si>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</si>
  <si>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</si>
  <si>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</si>
  <si>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</si>
  <si>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</si>
  <si>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</si>
  <si>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</si>
  <si>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</si>
  <si>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</si>
  <si>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</si>
  <si>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</si>
  <si>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115.3 months of reserves by Year 5 — a strong buffer for unexpected costs.</t>
  </si>
  <si>
    <t>Continue growing reserves toward 6 months for best-in-class financial health.</t>
  </si>
  <si>
    <t>Summary</t>
  </si>
  <si>
    <t>6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</si>
</sst>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16A34A"/>
      <sz val="11"/>
      <name val="Calibri"/>
    </font>
    <font>
      <i/>
      <color rgb="FF6B7280"/>
      <sz val="11"/>
      <name val="Calibri"/>
    </font>
    <font>
      <b/>
      <color rgb="FFD97706"/>
      <sz val="11"/>
      <name val="Calibri"/>
    </font>
    <font>
      <b/>
      <color rgb="FFDC2626"/>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6"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3" fillId="0" borderId="3" xfId="0" applyNumberFormat="1" applyFont="1" applyBorder="1"/>
    <xf numFmtId="166" fontId="6" fillId="0" borderId="2" xfId="0" applyNumberFormat="1" applyFont="1" applyBorder="1"/>
    <xf numFmtId="0" fontId="15" fillId="0" borderId="2" xfId="0" applyFont="1" applyBorder="1" applyAlignment="1">
      <alignment horizontal="center"/>
    </xf>
    <xf numFmtId="0" fontId="0" fillId="0" borderId="2" xfId="0"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6" fillId="0" borderId="0" xfId="0" applyFont="1" applyAlignment="1">
      <alignment vertical="top" wrapText="1"/>
    </xf>
    <xf numFmtId="0" fontId="3" fillId="0" borderId="0" xfId="0" applyFont="1" applyAlignment="1">
      <alignment vertical="top" wrapText="1"/>
    </xf>
    <xf numFmtId="0" fontId="16" fillId="0" borderId="0" xfId="0" applyFont="1"/>
    <xf numFmtId="0" fontId="15" fillId="0" borderId="0" xfId="0" applyFont="1"/>
    <xf numFmtId="0" fontId="17" fillId="0" borderId="0" xfId="0" applyFont="1"/>
    <xf numFmtId="0" fontId="18"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6"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49" fontId="13" fillId="0" borderId="3" xfId="0" applyNumberFormat="1" applyFont="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49" fontId="13" fillId="3"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6" fillId="0" borderId="2" xfId="0" applyFont="1" applyBorder="1" applyAlignment="1">
      <alignment wrapText="1"/>
    </xf>
    <xf numFmtId="0" fontId="10"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&amp;L&amp;10&amp;BLiberty Learning Co-Op&amp;R&amp;8&amp;IInstructions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53"/>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15</v>
      </c>
      <c r="C17" s="17">
        <v>22</v>
      </c>
      <c r="D17" s="17">
        <v>30</v>
      </c>
      <c r="E17" s="17">
        <v>36</v>
      </c>
      <c r="F17" s="17">
        <v>40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6000</v>
      </c>
      <c r="E20" s="19">
        <v>0</v>
      </c>
      <c r="F20" s="15">
        <v>10</v>
      </c>
      <c r="G20" s="19">
        <v>1</v>
      </c>
      <c r="H20" s="13" t="s">
        <v>7</v>
      </c>
    </row>
    <row r="21" spans="1:8" x14ac:dyDescent="0.25">
      <c r="A21" s="13" t="s">
        <v>70</v>
      </c>
      <c r="B21" s="13" t="s">
        <v>68</v>
      </c>
      <c r="C21" s="13" t="s">
        <v>69</v>
      </c>
      <c r="D21" s="18">
        <v>200</v>
      </c>
      <c r="E21" s="19">
        <v>0</v>
      </c>
      <c r="F21" s="15">
        <v>12</v>
      </c>
      <c r="G21" s="19">
        <v>1</v>
      </c>
      <c r="H21" s="13" t="s">
        <v>7</v>
      </c>
    </row>
    <row r="22" spans="1:8" x14ac:dyDescent="0.25">
      <c r="A22" s="13" t="s">
        <v>71</v>
      </c>
      <c r="B22" s="13" t="s">
        <v>72</v>
      </c>
      <c r="C22" s="13" t="s">
        <v>69</v>
      </c>
      <c r="D22" s="18">
        <v>7000</v>
      </c>
      <c r="E22" s="19">
        <v>0</v>
      </c>
      <c r="F22" s="15">
        <v>12</v>
      </c>
      <c r="G22" s="19">
        <v>1</v>
      </c>
      <c r="H22" s="13" t="s">
        <v>7</v>
      </c>
    </row>
    <row r="23" spans="1:8" x14ac:dyDescent="0.25">
      <c r="A23" s="13" t="s">
        <v>73</v>
      </c>
      <c r="B23" s="13" t="s">
        <v>74</v>
      </c>
      <c r="C23" s="13" t="s">
        <v>75</v>
      </c>
      <c r="D23" s="18">
        <v>3000</v>
      </c>
      <c r="E23" s="19">
        <v>0</v>
      </c>
      <c r="F23" s="15">
        <v>12</v>
      </c>
      <c r="G23" s="19">
        <v>1</v>
      </c>
      <c r="H23" s="13" t="s">
        <v>7</v>
      </c>
    </row>
    <row r="26" ht="24" customHeight="1" spans="1:9" x14ac:dyDescent="0.25">
      <c r="A26" s="12" t="s">
        <v>76</v>
      </c>
      <c r="B26" s="12" t="s">
        <v>77</v>
      </c>
      <c r="C26" s="12" t="s">
        <v>78</v>
      </c>
      <c r="D26" s="12" t="s">
        <v>79</v>
      </c>
      <c r="E26" s="12" t="s">
        <v>80</v>
      </c>
      <c r="F26" s="12" t="s">
        <v>81</v>
      </c>
      <c r="G26" s="12" t="s">
        <v>82</v>
      </c>
      <c r="H26" s="12" t="s">
        <v>83</v>
      </c>
      <c r="I26" s="12" t="s">
        <v>84</v>
      </c>
    </row>
    <row r="27" spans="1:9" x14ac:dyDescent="0.25">
      <c r="A27" s="13" t="s">
        <v>85</v>
      </c>
      <c r="B27" s="13" t="s">
        <v>86</v>
      </c>
      <c r="C27" s="13" t="s">
        <v>87</v>
      </c>
      <c r="D27" s="20">
        <v>1</v>
      </c>
      <c r="E27" s="18">
        <v>48000</v>
      </c>
      <c r="F27" s="19">
        <v>0.2</v>
      </c>
      <c r="G27" s="19">
        <v>0.0765</v>
      </c>
      <c r="H27" s="13" t="s">
        <v>88</v>
      </c>
      <c r="I27" s="13" t="s">
        <v>7</v>
      </c>
    </row>
    <row r="28" spans="1:9" x14ac:dyDescent="0.25">
      <c r="A28" s="13" t="s">
        <v>89</v>
      </c>
      <c r="B28" s="13" t="s">
        <v>90</v>
      </c>
      <c r="C28" s="13" t="s">
        <v>91</v>
      </c>
      <c r="D28" s="20">
        <v>0.5</v>
      </c>
      <c r="E28" s="18">
        <v>30000</v>
      </c>
      <c r="F28" s="19">
        <v>0</v>
      </c>
      <c r="G28" s="19">
        <v>0.0765</v>
      </c>
      <c r="H28" s="13" t="s">
        <v>92</v>
      </c>
      <c r="I28" s="13" t="s">
        <v>7</v>
      </c>
    </row>
    <row r="30" ht="24" customHeight="1" spans="1:4" x14ac:dyDescent="0.25">
      <c r="A30" s="12" t="s">
        <v>93</v>
      </c>
      <c r="B30" s="12" t="s">
        <v>94</v>
      </c>
      <c r="C30" s="12" t="s">
        <v>95</v>
      </c>
      <c r="D30" s="12"/>
    </row>
    <row r="31" spans="1:2" x14ac:dyDescent="0.25">
      <c r="A31" s="13" t="s">
        <v>96</v>
      </c>
      <c r="B31" s="14" t="s">
        <v>97</v>
      </c>
    </row>
    <row r="32" spans="1:3" x14ac:dyDescent="0.25">
      <c r="A32" s="13" t="s">
        <v>98</v>
      </c>
      <c r="B32" s="18">
        <v>1800</v>
      </c>
      <c r="C32" s="13" t="s">
        <v>99</v>
      </c>
    </row>
    <row r="33" spans="1:2" x14ac:dyDescent="0.25">
      <c r="A33" s="13" t="s">
        <v>100</v>
      </c>
      <c r="B33" s="19">
        <v>0.03</v>
      </c>
    </row>
    <row r="35" ht="24" customHeight="1" spans="1:7" x14ac:dyDescent="0.25">
      <c r="A35" s="12" t="s">
        <v>101</v>
      </c>
      <c r="B35" s="12" t="s">
        <v>60</v>
      </c>
      <c r="C35" s="12" t="s">
        <v>61</v>
      </c>
      <c r="D35" s="12" t="s">
        <v>62</v>
      </c>
      <c r="E35" s="12" t="s">
        <v>63</v>
      </c>
      <c r="F35" s="12" t="s">
        <v>66</v>
      </c>
      <c r="G35" s="12"/>
    </row>
    <row r="36" spans="1:6" x14ac:dyDescent="0.25">
      <c r="A36" s="13" t="s">
        <v>97</v>
      </c>
      <c r="B36" s="13" t="s">
        <v>102</v>
      </c>
      <c r="C36" s="13" t="s">
        <v>99</v>
      </c>
      <c r="D36" s="18">
        <v>1800</v>
      </c>
      <c r="E36" s="19">
        <v>0.03</v>
      </c>
      <c r="F36" s="13" t="s">
        <v>7</v>
      </c>
    </row>
    <row r="37" spans="1:6" x14ac:dyDescent="0.25">
      <c r="A37" s="13" t="s">
        <v>103</v>
      </c>
      <c r="B37" s="13" t="s">
        <v>102</v>
      </c>
      <c r="C37" s="13" t="s">
        <v>99</v>
      </c>
      <c r="D37" s="18">
        <v>200</v>
      </c>
      <c r="E37" s="19">
        <v>0</v>
      </c>
      <c r="F37" s="13" t="s">
        <v>7</v>
      </c>
    </row>
    <row r="38" spans="1:6" x14ac:dyDescent="0.25">
      <c r="A38" s="13" t="s">
        <v>104</v>
      </c>
      <c r="B38" s="13" t="s">
        <v>102</v>
      </c>
      <c r="C38" s="13" t="s">
        <v>75</v>
      </c>
      <c r="D38" s="18">
        <v>1800</v>
      </c>
      <c r="E38" s="19">
        <v>0</v>
      </c>
      <c r="F38" s="13" t="s">
        <v>7</v>
      </c>
    </row>
    <row r="39" spans="1:6" x14ac:dyDescent="0.25">
      <c r="A39" s="13" t="s">
        <v>105</v>
      </c>
      <c r="B39" s="13" t="s">
        <v>106</v>
      </c>
      <c r="C39" s="13" t="s">
        <v>75</v>
      </c>
      <c r="D39" s="18">
        <v>4500</v>
      </c>
      <c r="E39" s="19">
        <v>0</v>
      </c>
      <c r="F39" s="13" t="s">
        <v>7</v>
      </c>
    </row>
    <row r="40" spans="1:6" x14ac:dyDescent="0.25">
      <c r="A40" s="13" t="s">
        <v>107</v>
      </c>
      <c r="B40" s="13" t="s">
        <v>108</v>
      </c>
      <c r="C40" s="13" t="s">
        <v>69</v>
      </c>
      <c r="D40" s="18">
        <v>400</v>
      </c>
      <c r="E40" s="19">
        <v>0</v>
      </c>
      <c r="F40" s="13" t="s">
        <v>7</v>
      </c>
    </row>
    <row r="41" spans="1:6" x14ac:dyDescent="0.25">
      <c r="A41" s="13" t="s">
        <v>109</v>
      </c>
      <c r="B41" s="13" t="s">
        <v>109</v>
      </c>
      <c r="C41" s="13" t="s">
        <v>69</v>
      </c>
      <c r="D41" s="18">
        <v>250</v>
      </c>
      <c r="E41" s="19">
        <v>0</v>
      </c>
      <c r="F41" s="13" t="s">
        <v>7</v>
      </c>
    </row>
    <row r="43" ht="24" customHeight="1" spans="1:8" x14ac:dyDescent="0.25">
      <c r="A43" s="12" t="s">
        <v>110</v>
      </c>
      <c r="B43" s="12" t="s">
        <v>111</v>
      </c>
      <c r="C43" s="12" t="s">
        <v>62</v>
      </c>
      <c r="D43" s="12" t="s">
        <v>112</v>
      </c>
      <c r="E43" s="12" t="s">
        <v>113</v>
      </c>
      <c r="F43" s="12" t="s">
        <v>114</v>
      </c>
      <c r="G43" s="12" t="s">
        <v>115</v>
      </c>
      <c r="H43" s="12" t="s">
        <v>66</v>
      </c>
    </row>
    <row r="45" ht="24" customHeight="1" spans="1:3" x14ac:dyDescent="0.25">
      <c r="A45" s="12" t="s">
        <v>116</v>
      </c>
      <c r="B45" s="12"/>
      <c r="C45" s="12"/>
    </row>
    <row r="46" spans="1:2" x14ac:dyDescent="0.25">
      <c r="A46" s="13" t="s">
        <v>117</v>
      </c>
      <c r="B46" s="19">
        <v>0.03</v>
      </c>
    </row>
    <row r="47" spans="1:2" x14ac:dyDescent="0.25">
      <c r="A47" s="13" t="s">
        <v>118</v>
      </c>
      <c r="B47" s="19">
        <v>0.025</v>
      </c>
    </row>
    <row r="48" spans="1:3" x14ac:dyDescent="0.25">
      <c r="A48" s="13" t="s">
        <v>119</v>
      </c>
      <c r="B48" s="20">
        <v>0.8333333333333334</v>
      </c>
      <c r="C48" s="21" t="s">
        <v>120</v>
      </c>
    </row>
    <row r="49" spans="1:2" x14ac:dyDescent="0.25">
      <c r="A49" s="13" t="s">
        <v>121</v>
      </c>
      <c r="B49" s="19">
        <v>0.03</v>
      </c>
    </row>
    <row r="50" spans="1:2" x14ac:dyDescent="0.25">
      <c r="A50" s="13" t="s">
        <v>122</v>
      </c>
      <c r="B50" s="19">
        <v>0</v>
      </c>
    </row>
    <row r="51" spans="1:2" x14ac:dyDescent="0.25">
      <c r="A51" s="13" t="s">
        <v>123</v>
      </c>
      <c r="B51" s="18">
        <v>0</v>
      </c>
    </row>
    <row r="53" spans="1:7" x14ac:dyDescent="0.25">
      <c r="A53" s="22" t="s">
        <v>124</v>
      </c>
      <c r="B53" s="22"/>
      <c r="C53" s="22"/>
      <c r="D53" s="22"/>
      <c r="E53" s="22"/>
      <c r="F53" s="22"/>
      <c r="G53" s="22"/>
    </row>
  </sheetData>
  <mergeCells count="4">
    <mergeCell ref="A1:G1"/>
    <mergeCell ref="B5:D5"/>
    <mergeCell ref="B10:D10"/>
    <mergeCell ref="A53:G53"/>
  </mergeCells>
  <pageMargins left="0.25" right="0.25" top="0.5" bottom="0.5" header="0.3" footer="0.3"/>
  <pageSetup paperSize="1" orientation="landscape"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125</v>
      </c>
      <c r="B1" s="8"/>
      <c r="C1" s="8"/>
      <c r="D1" s="8"/>
      <c r="E1" s="8"/>
      <c r="F1" s="8"/>
    </row>
    <row r="2" spans="1:6" x14ac:dyDescent="0.25">
      <c r="A2" s="23" t="s">
        <v>126</v>
      </c>
      <c r="B2" s="23"/>
      <c r="C2" s="23"/>
      <c r="D2" s="23"/>
      <c r="E2" s="23"/>
      <c r="F2" s="23"/>
    </row>
    <row r="3" ht="28" customHeight="1" spans="1:6" x14ac:dyDescent="0.25">
      <c r="A3" s="24" t="s">
        <v>7</v>
      </c>
      <c r="B3" s="24" t="s">
        <v>53</v>
      </c>
      <c r="C3" s="24" t="s">
        <v>54</v>
      </c>
      <c r="D3" s="24" t="s">
        <v>55</v>
      </c>
      <c r="E3" s="24" t="s">
        <v>56</v>
      </c>
      <c r="F3" s="24" t="s">
        <v>57</v>
      </c>
    </row>
    <row r="4" spans="1:6" x14ac:dyDescent="0.25">
      <c r="A4" s="25" t="s">
        <v>58</v>
      </c>
      <c r="B4" s="26">
        <f>Assumptions!B17</f>
        <v>15</v>
      </c>
      <c r="C4" s="26">
        <f>Assumptions!C17</f>
        <v>22</v>
      </c>
      <c r="D4" s="26">
        <f>Assumptions!D17</f>
        <v>30</v>
      </c>
      <c r="E4" s="26">
        <f>Assumptions!E17</f>
        <v>36</v>
      </c>
      <c r="F4" s="26">
        <f>Assumptions!F17</f>
        <v>40</v>
      </c>
    </row>
    <row r="6" ht="24" customHeight="1" spans="1:6" x14ac:dyDescent="0.25">
      <c r="A6" s="12" t="s">
        <v>127</v>
      </c>
      <c r="B6" s="12"/>
      <c r="C6" s="12"/>
      <c r="D6" s="12"/>
      <c r="E6" s="12"/>
      <c r="F6" s="12"/>
    </row>
    <row r="7" spans="1:6" x14ac:dyDescent="0.25">
      <c r="A7" s="13" t="s">
        <v>67</v>
      </c>
      <c r="B7" s="27">
        <v>75000</v>
      </c>
      <c r="C7" s="27">
        <v>135300</v>
      </c>
      <c r="D7" s="27">
        <v>189112</v>
      </c>
      <c r="E7" s="27">
        <v>232608</v>
      </c>
      <c r="F7" s="27">
        <v>264915</v>
      </c>
    </row>
    <row r="8" spans="1:6" x14ac:dyDescent="0.25">
      <c r="A8" s="13" t="s">
        <v>70</v>
      </c>
      <c r="B8" s="27">
        <v>2500</v>
      </c>
      <c r="C8" s="27">
        <v>4510</v>
      </c>
      <c r="D8" s="27">
        <v>6304</v>
      </c>
      <c r="E8" s="27">
        <v>7754</v>
      </c>
      <c r="F8" s="27">
        <v>8831</v>
      </c>
    </row>
    <row r="9" spans="1:6" x14ac:dyDescent="0.25">
      <c r="A9" s="13" t="s">
        <v>71</v>
      </c>
      <c r="B9" s="27">
        <v>87500</v>
      </c>
      <c r="C9" s="27">
        <v>157850</v>
      </c>
      <c r="D9" s="27">
        <v>220631</v>
      </c>
      <c r="E9" s="27">
        <v>271376</v>
      </c>
      <c r="F9" s="27">
        <v>309068</v>
      </c>
    </row>
    <row r="10" spans="1:6" x14ac:dyDescent="0.25">
      <c r="A10" s="13" t="s">
        <v>73</v>
      </c>
      <c r="B10" s="27">
        <v>2500</v>
      </c>
      <c r="C10" s="27">
        <v>3075</v>
      </c>
      <c r="D10" s="27">
        <v>3152</v>
      </c>
      <c r="E10" s="27">
        <v>3231</v>
      </c>
      <c r="F10" s="27">
        <v>3311</v>
      </c>
    </row>
    <row r="11" ht="24" customHeight="1" spans="1:6" x14ac:dyDescent="0.25">
      <c r="A11" s="12" t="s">
        <v>128</v>
      </c>
      <c r="B11" s="28">
        <f>SUM(B7:B10)</f>
        <v>167500</v>
      </c>
      <c r="C11" s="28">
        <f>SUM(C7:C10)</f>
        <v>300625</v>
      </c>
      <c r="D11" s="28">
        <f>SUM(D7:D10)</f>
        <v>418896</v>
      </c>
      <c r="E11" s="28">
        <f>SUM(E7:E10)</f>
        <v>514415</v>
      </c>
      <c r="F11" s="28">
        <f>SUM(F7:F10)</f>
        <v>585294</v>
      </c>
    </row>
    <row r="13" ht="24" customHeight="1" spans="1:6" x14ac:dyDescent="0.25">
      <c r="A13" s="12" t="s">
        <v>129</v>
      </c>
      <c r="B13" s="12"/>
      <c r="C13" s="12"/>
      <c r="D13" s="12"/>
      <c r="E13" s="12"/>
      <c r="F13" s="12"/>
    </row>
    <row r="14" spans="1:6" x14ac:dyDescent="0.25">
      <c r="A14" s="13" t="s">
        <v>130</v>
      </c>
      <c r="B14" s="27">
        <v>51060</v>
      </c>
      <c r="C14" s="27">
        <v>63110</v>
      </c>
      <c r="D14" s="27">
        <v>65003</v>
      </c>
      <c r="E14" s="27">
        <v>66954</v>
      </c>
      <c r="F14" s="27">
        <v>68962</v>
      </c>
    </row>
    <row r="15" spans="1:6" x14ac:dyDescent="0.25">
      <c r="A15" s="13" t="s">
        <v>131</v>
      </c>
      <c r="B15" s="27">
        <v>13456</v>
      </c>
      <c r="C15" s="27">
        <v>16632</v>
      </c>
      <c r="D15" s="27">
        <v>17131</v>
      </c>
      <c r="E15" s="27">
        <v>17645</v>
      </c>
      <c r="F15" s="27">
        <v>18174</v>
      </c>
    </row>
    <row r="16" ht="24" customHeight="1" spans="1:6" x14ac:dyDescent="0.25">
      <c r="A16" s="12" t="s">
        <v>132</v>
      </c>
      <c r="B16" s="28">
        <f>SUM(B14:B15)</f>
        <v>64516</v>
      </c>
      <c r="C16" s="28">
        <f>SUM(C14:C15)</f>
        <v>79742</v>
      </c>
      <c r="D16" s="28">
        <f>SUM(D14:D15)</f>
        <v>82134</v>
      </c>
      <c r="E16" s="28">
        <f>SUM(E14:E15)</f>
        <v>84598</v>
      </c>
      <c r="F16" s="28">
        <f>SUM(F14:F15)</f>
        <v>87136</v>
      </c>
    </row>
    <row r="18" ht="24" customHeight="1" spans="1:6" x14ac:dyDescent="0.25">
      <c r="A18" s="12" t="s">
        <v>101</v>
      </c>
      <c r="B18" s="12"/>
      <c r="C18" s="12"/>
      <c r="D18" s="12"/>
      <c r="E18" s="12"/>
      <c r="F18" s="12"/>
    </row>
    <row r="19" spans="1:6" x14ac:dyDescent="0.25">
      <c r="A19" s="13" t="s">
        <v>108</v>
      </c>
      <c r="B19" s="13"/>
      <c r="C19" s="13"/>
      <c r="D19" s="13"/>
      <c r="E19" s="13"/>
      <c r="F19" s="13"/>
    </row>
    <row r="20" spans="1:6" x14ac:dyDescent="0.25">
      <c r="A20" s="13" t="s">
        <v>133</v>
      </c>
      <c r="B20" s="27">
        <v>5000</v>
      </c>
      <c r="C20" s="27">
        <v>9020</v>
      </c>
      <c r="D20" s="27">
        <v>12607</v>
      </c>
      <c r="E20" s="27">
        <v>15507</v>
      </c>
      <c r="F20" s="27">
        <v>17661</v>
      </c>
    </row>
    <row r="21" spans="1:6" x14ac:dyDescent="0.25">
      <c r="A21" s="29" t="s">
        <v>134</v>
      </c>
      <c r="B21" s="30">
        <v>5000</v>
      </c>
      <c r="C21" s="30">
        <v>9020</v>
      </c>
      <c r="D21" s="30">
        <v>12607</v>
      </c>
      <c r="E21" s="30">
        <v>15507</v>
      </c>
      <c r="F21" s="30">
        <v>17661</v>
      </c>
    </row>
    <row r="22" spans="1:6" x14ac:dyDescent="0.25">
      <c r="A22" s="13" t="s">
        <v>109</v>
      </c>
      <c r="B22" s="13"/>
      <c r="C22" s="13"/>
      <c r="D22" s="13"/>
      <c r="E22" s="13"/>
      <c r="F22" s="13"/>
    </row>
    <row r="23" spans="1:6" x14ac:dyDescent="0.25">
      <c r="A23" s="13" t="s">
        <v>135</v>
      </c>
      <c r="B23" s="27">
        <v>3125</v>
      </c>
      <c r="C23" s="27">
        <v>5638</v>
      </c>
      <c r="D23" s="27">
        <v>7880</v>
      </c>
      <c r="E23" s="27">
        <v>9692</v>
      </c>
      <c r="F23" s="27">
        <v>11038</v>
      </c>
    </row>
    <row r="24" spans="1:6" x14ac:dyDescent="0.25">
      <c r="A24" s="29" t="s">
        <v>136</v>
      </c>
      <c r="B24" s="30">
        <v>3125</v>
      </c>
      <c r="C24" s="30">
        <v>5638</v>
      </c>
      <c r="D24" s="30">
        <v>7880</v>
      </c>
      <c r="E24" s="30">
        <v>9692</v>
      </c>
      <c r="F24" s="30">
        <v>11038</v>
      </c>
    </row>
    <row r="25" spans="1:6" x14ac:dyDescent="0.25">
      <c r="A25" s="13" t="s">
        <v>102</v>
      </c>
      <c r="B25" s="13"/>
      <c r="C25" s="13"/>
      <c r="D25" s="13"/>
      <c r="E25" s="13"/>
      <c r="F25" s="13"/>
    </row>
    <row r="26" spans="1:6" x14ac:dyDescent="0.25">
      <c r="A26" s="13" t="s">
        <v>137</v>
      </c>
      <c r="B26" s="27">
        <v>18000</v>
      </c>
      <c r="C26" s="27">
        <v>22248</v>
      </c>
      <c r="D26" s="27">
        <v>22915</v>
      </c>
      <c r="E26" s="27">
        <v>23603</v>
      </c>
      <c r="F26" s="27">
        <v>24311</v>
      </c>
    </row>
    <row r="27" spans="1:6" x14ac:dyDescent="0.25">
      <c r="A27" s="13" t="s">
        <v>138</v>
      </c>
      <c r="B27" s="27">
        <v>2000</v>
      </c>
      <c r="C27" s="27">
        <v>2460</v>
      </c>
      <c r="D27" s="27">
        <v>2521</v>
      </c>
      <c r="E27" s="27">
        <v>2585</v>
      </c>
      <c r="F27" s="27">
        <v>2649</v>
      </c>
    </row>
    <row r="28" spans="1:6" x14ac:dyDescent="0.25">
      <c r="A28" s="13" t="s">
        <v>139</v>
      </c>
      <c r="B28" s="27">
        <v>1500</v>
      </c>
      <c r="C28" s="27">
        <v>1845</v>
      </c>
      <c r="D28" s="27">
        <v>1891</v>
      </c>
      <c r="E28" s="27">
        <v>1938</v>
      </c>
      <c r="F28" s="27">
        <v>1987</v>
      </c>
    </row>
    <row r="29" spans="1:6" x14ac:dyDescent="0.25">
      <c r="A29" s="29" t="s">
        <v>140</v>
      </c>
      <c r="B29" s="30">
        <v>21500</v>
      </c>
      <c r="C29" s="30">
        <v>26553</v>
      </c>
      <c r="D29" s="30">
        <v>27327</v>
      </c>
      <c r="E29" s="30">
        <v>28126</v>
      </c>
      <c r="F29" s="30">
        <v>28947</v>
      </c>
    </row>
    <row r="30" spans="1:6" x14ac:dyDescent="0.25">
      <c r="A30" s="13" t="s">
        <v>106</v>
      </c>
      <c r="B30" s="13"/>
      <c r="C30" s="13"/>
      <c r="D30" s="13"/>
      <c r="E30" s="13"/>
      <c r="F30" s="13"/>
    </row>
    <row r="31" spans="1:6" x14ac:dyDescent="0.25">
      <c r="A31" s="13" t="s">
        <v>141</v>
      </c>
      <c r="B31" s="27">
        <v>3750</v>
      </c>
      <c r="C31" s="27">
        <v>4613</v>
      </c>
      <c r="D31" s="27">
        <v>4728</v>
      </c>
      <c r="E31" s="27">
        <v>4846</v>
      </c>
      <c r="F31" s="27">
        <v>4967</v>
      </c>
    </row>
    <row r="32" spans="1:6" x14ac:dyDescent="0.25">
      <c r="A32" s="29" t="s">
        <v>142</v>
      </c>
      <c r="B32" s="30">
        <v>3750</v>
      </c>
      <c r="C32" s="30">
        <v>4613</v>
      </c>
      <c r="D32" s="30">
        <v>4728</v>
      </c>
      <c r="E32" s="30">
        <v>4846</v>
      </c>
      <c r="F32" s="30">
        <v>4967</v>
      </c>
    </row>
    <row r="33" ht="24" customHeight="1" spans="1:6" x14ac:dyDescent="0.25">
      <c r="A33" s="12" t="s">
        <v>143</v>
      </c>
      <c r="B33" s="28">
        <f>B21+B24+B29+B32</f>
        <v>33375</v>
      </c>
      <c r="C33" s="28">
        <f>C21+C24+C29+C32</f>
        <v>45711</v>
      </c>
      <c r="D33" s="28">
        <f>D21+D24+D29+D32</f>
        <v>52315</v>
      </c>
      <c r="E33" s="28">
        <f>E21+E24+E29+E32</f>
        <v>57825</v>
      </c>
      <c r="F33" s="28">
        <f>F21+F24+F29+F32</f>
        <v>62146</v>
      </c>
    </row>
    <row r="35" ht="24" customHeight="1" spans="1:6" x14ac:dyDescent="0.25">
      <c r="A35" s="12" t="s">
        <v>144</v>
      </c>
      <c r="B35" s="12"/>
      <c r="C35" s="12"/>
      <c r="D35" s="12"/>
      <c r="E35" s="12"/>
      <c r="F35" s="12"/>
    </row>
    <row r="36" ht="24" customHeight="1" spans="1:6" x14ac:dyDescent="0.25">
      <c r="A36" s="12" t="s">
        <v>145</v>
      </c>
      <c r="B36" s="28">
        <v>0</v>
      </c>
      <c r="C36" s="28">
        <v>0</v>
      </c>
      <c r="D36" s="28">
        <v>0</v>
      </c>
      <c r="E36" s="28">
        <v>0</v>
      </c>
      <c r="F36" s="28">
        <v>0</v>
      </c>
    </row>
    <row r="38" ht="24" customHeight="1" spans="1:6" x14ac:dyDescent="0.25">
      <c r="A38" s="12" t="s">
        <v>146</v>
      </c>
      <c r="B38" s="12"/>
      <c r="C38" s="12"/>
      <c r="D38" s="12"/>
      <c r="E38" s="12"/>
      <c r="F38" s="12"/>
    </row>
    <row r="39" spans="1:6" x14ac:dyDescent="0.25">
      <c r="A39" s="25" t="s">
        <v>147</v>
      </c>
      <c r="B39" s="30">
        <f>B11</f>
        <v>167500</v>
      </c>
      <c r="C39" s="30">
        <f>C11</f>
        <v>300625</v>
      </c>
      <c r="D39" s="30">
        <f>D11</f>
        <v>418896</v>
      </c>
      <c r="E39" s="30">
        <f>E11</f>
        <v>514415</v>
      </c>
      <c r="F39" s="30">
        <f>F11</f>
        <v>585294</v>
      </c>
    </row>
    <row r="40" spans="1:6" x14ac:dyDescent="0.25">
      <c r="A40" s="13" t="s">
        <v>148</v>
      </c>
      <c r="B40" s="27">
        <f>B16</f>
        <v>64516</v>
      </c>
      <c r="C40" s="27">
        <f>C16</f>
        <v>79742</v>
      </c>
      <c r="D40" s="27">
        <f>D16</f>
        <v>82134</v>
      </c>
      <c r="E40" s="27">
        <f>E16</f>
        <v>84598</v>
      </c>
      <c r="F40" s="27">
        <f>F16</f>
        <v>87136</v>
      </c>
    </row>
    <row r="41" spans="1:6" x14ac:dyDescent="0.25">
      <c r="A41" s="13" t="s">
        <v>149</v>
      </c>
      <c r="B41" s="27">
        <f>B33</f>
        <v>33375</v>
      </c>
      <c r="C41" s="27">
        <f>C33</f>
        <v>45711</v>
      </c>
      <c r="D41" s="27">
        <f>D33</f>
        <v>52315</v>
      </c>
      <c r="E41" s="27">
        <f>E33</f>
        <v>57825</v>
      </c>
      <c r="F41" s="27">
        <f>F33</f>
        <v>62146</v>
      </c>
    </row>
    <row r="42" spans="1:6" x14ac:dyDescent="0.25">
      <c r="A42" s="13" t="s">
        <v>150</v>
      </c>
      <c r="B42" s="27" t="str">
        <f>B36</f>
        <v>0</v>
      </c>
      <c r="C42" s="27" t="str">
        <f>C36</f>
        <v>0</v>
      </c>
      <c r="D42" s="27" t="str">
        <f>D36</f>
        <v>0</v>
      </c>
      <c r="E42" s="27" t="str">
        <f>E36</f>
        <v>0</v>
      </c>
      <c r="F42" s="27" t="str">
        <f>F36</f>
        <v>0</v>
      </c>
    </row>
    <row r="43" spans="1:6" x14ac:dyDescent="0.25">
      <c r="A43" s="25" t="s">
        <v>151</v>
      </c>
      <c r="B43" s="30">
        <f>B40+B41+B42</f>
        <v>97891</v>
      </c>
      <c r="C43" s="30">
        <f>C40+C41+C42</f>
        <v>125453</v>
      </c>
      <c r="D43" s="30">
        <f>D40+D41+D42</f>
        <v>134449</v>
      </c>
      <c r="E43" s="30">
        <f>E40+E41+E42</f>
        <v>142423</v>
      </c>
      <c r="F43" s="30">
        <f>F40+F41+F42</f>
        <v>149282</v>
      </c>
    </row>
    <row r="44" spans="1:1" x14ac:dyDescent="0.25">
      <c r="A44" t="s">
        <v>7</v>
      </c>
    </row>
    <row r="45" spans="1:6" x14ac:dyDescent="0.25">
      <c r="A45" s="31" t="s">
        <v>152</v>
      </c>
      <c r="B45" s="32">
        <f>B39-B43</f>
        <v>69609</v>
      </c>
      <c r="C45" s="32">
        <f>C39-C43</f>
        <v>175172</v>
      </c>
      <c r="D45" s="32">
        <f>D39-D43</f>
        <v>284447</v>
      </c>
      <c r="E45" s="32">
        <f>E39-E43</f>
        <v>371992</v>
      </c>
      <c r="F45" s="32">
        <f>F39-F43</f>
        <v>436012</v>
      </c>
    </row>
    <row r="46" spans="1:6" x14ac:dyDescent="0.25">
      <c r="A46" s="13" t="s">
        <v>153</v>
      </c>
      <c r="B46" s="33">
        <f>IF(B39=0,"",B45/B39)</f>
        <v>0.41557612</v>
      </c>
      <c r="C46" s="33">
        <f>IF(C39=0,"",C45/C39)</f>
        <v>0.58269272</v>
      </c>
      <c r="D46" s="33">
        <f>IF(D39=0,"",D45/D39)</f>
        <v>0.67903967</v>
      </c>
      <c r="E46" s="33">
        <f>IF(E39=0,"",E45/E39)</f>
        <v>0.72313599</v>
      </c>
      <c r="F46" s="33">
        <f>IF(F39=0,"",F45/F39)</f>
        <v>0.74494528</v>
      </c>
    </row>
    <row r="47" spans="1:6" x14ac:dyDescent="0.25">
      <c r="A47" s="13" t="s">
        <v>154</v>
      </c>
      <c r="B47" s="27">
        <f>B45</f>
        <v>69609</v>
      </c>
      <c r="C47" s="27">
        <f>B47+C45</f>
        <v>244781</v>
      </c>
      <c r="D47" s="27">
        <f>C47+D45</f>
        <v>529228</v>
      </c>
      <c r="E47" s="27">
        <f>D47+E45</f>
        <v>901220</v>
      </c>
      <c r="F47" s="27">
        <f>E47+F45</f>
        <v>1337232</v>
      </c>
    </row>
    <row r="48" spans="1:6" x14ac:dyDescent="0.25">
      <c r="A48" s="29" t="s">
        <v>155</v>
      </c>
      <c r="B48" s="34" t="s">
        <v>156</v>
      </c>
      <c r="C48" s="35" t="s">
        <v>7</v>
      </c>
      <c r="D48" s="35" t="s">
        <v>7</v>
      </c>
      <c r="E48" s="35" t="s">
        <v>7</v>
      </c>
      <c r="F48" s="35" t="s">
        <v>7</v>
      </c>
    </row>
    <row r="50" ht="24" customHeight="1" spans="1:6" x14ac:dyDescent="0.25">
      <c r="A50" s="12" t="s">
        <v>157</v>
      </c>
      <c r="B50" s="12"/>
      <c r="C50" s="12"/>
      <c r="D50" s="12"/>
      <c r="E50" s="12"/>
      <c r="F50" s="12"/>
    </row>
    <row r="51" spans="1:6" x14ac:dyDescent="0.25">
      <c r="A51" s="25" t="s">
        <v>158</v>
      </c>
      <c r="B51" s="30">
        <f>B39-B40-B41</f>
        <v>69609</v>
      </c>
      <c r="C51" s="30">
        <f>C39-C40-C41</f>
        <v>175172</v>
      </c>
      <c r="D51" s="30">
        <f>D39-D40-D41</f>
        <v>284447</v>
      </c>
      <c r="E51" s="30">
        <f>E39-E40-E41</f>
        <v>371992</v>
      </c>
      <c r="F51" s="30">
        <f>F39-F40-F41</f>
        <v>436012</v>
      </c>
    </row>
    <row r="52" spans="1:6" x14ac:dyDescent="0.25">
      <c r="A52" s="13" t="s">
        <v>159</v>
      </c>
      <c r="B52" s="27" t="str">
        <f>B42</f>
        <v>0</v>
      </c>
      <c r="C52" s="27" t="str">
        <f>C42</f>
        <v>0</v>
      </c>
      <c r="D52" s="27" t="str">
        <f>D42</f>
        <v>0</v>
      </c>
      <c r="E52" s="27" t="str">
        <f>E42</f>
        <v>0</v>
      </c>
      <c r="F52" s="27" t="str">
        <f>F42</f>
        <v>0</v>
      </c>
    </row>
    <row r="53" spans="1:6" x14ac:dyDescent="0.25">
      <c r="A53" s="25" t="s">
        <v>160</v>
      </c>
      <c r="B53" s="36" t="str">
        <f>IF(B52=0,"N/A",B51/B52)</f>
        <v>N/A</v>
      </c>
      <c r="C53" s="36" t="str">
        <f>IF(C52=0,"N/A",C51/C52)</f>
        <v>N/A</v>
      </c>
      <c r="D53" s="36" t="str">
        <f>IF(D52=0,"N/A",D51/D52)</f>
        <v>N/A</v>
      </c>
      <c r="E53" s="36" t="str">
        <f>IF(E52=0,"N/A",E51/E52)</f>
        <v>N/A</v>
      </c>
      <c r="F53" s="36" t="str">
        <f>IF(F52=0,"N/A",F51/F52)</f>
        <v>N/A</v>
      </c>
    </row>
    <row r="54" spans="1:6" x14ac:dyDescent="0.25">
      <c r="A54" s="13" t="s">
        <v>123</v>
      </c>
      <c r="B54" s="27" t="str">
        <f>Assumptions!B51</f>
        <v>0</v>
      </c>
      <c r="C54" s="27">
        <f>B55</f>
        <v>69609</v>
      </c>
      <c r="D54" s="27">
        <f>C55</f>
        <v>244781</v>
      </c>
      <c r="E54" s="27">
        <f>D55</f>
        <v>529228</v>
      </c>
      <c r="F54" s="27">
        <f>E55</f>
        <v>901220</v>
      </c>
    </row>
    <row r="55" spans="1:6" x14ac:dyDescent="0.25">
      <c r="A55" s="25" t="s">
        <v>161</v>
      </c>
      <c r="B55" s="30">
        <f>B54+B45</f>
        <v>69609</v>
      </c>
      <c r="C55" s="30">
        <f>C54+C45</f>
        <v>244781</v>
      </c>
      <c r="D55" s="30">
        <f>D54+D45</f>
        <v>529228</v>
      </c>
      <c r="E55" s="30">
        <f>E54+E45</f>
        <v>901220</v>
      </c>
      <c r="F55" s="30">
        <f>F54+F45</f>
        <v>1337232</v>
      </c>
    </row>
    <row r="56" spans="1:6" x14ac:dyDescent="0.25">
      <c r="A56" s="13" t="s">
        <v>162</v>
      </c>
      <c r="B56" s="37">
        <f>IF(B43=0,"",B55/B43*365)</f>
        <v>260</v>
      </c>
      <c r="C56" s="37">
        <f>IF(C43=0,"",C55/C43*365)</f>
        <v>712</v>
      </c>
      <c r="D56" s="37">
        <f>IF(D43=0,"",D55/D43*365)</f>
        <v>1437</v>
      </c>
      <c r="E56" s="37">
        <f>IF(E43=0,"",E55/E43*365)</f>
        <v>2310</v>
      </c>
      <c r="F56" s="37">
        <f>IF(F43=0,"",F55/F43*365)</f>
        <v>3270</v>
      </c>
    </row>
    <row r="57" spans="1:6" x14ac:dyDescent="0.25">
      <c r="A57" s="13" t="s">
        <v>163</v>
      </c>
      <c r="B57" s="38">
        <f>IF(B43=0,"",B55/(B43/12))</f>
        <v>8.5</v>
      </c>
      <c r="C57" s="38">
        <f>IF(C43=0,"",C55/(C43/12))</f>
        <v>23.4</v>
      </c>
      <c r="D57" s="38">
        <f>IF(D43=0,"",D55/(D43/12))</f>
        <v>47.2</v>
      </c>
      <c r="E57" s="38">
        <f>IF(E43=0,"",E55/(E43/12))</f>
        <v>75.9</v>
      </c>
      <c r="F57" s="38">
        <f>IF(F43=0,"",F55/(F43/12))</f>
        <v>107.5</v>
      </c>
    </row>
    <row r="58" spans="1:6" x14ac:dyDescent="0.25">
      <c r="A58" s="13" t="s">
        <v>164</v>
      </c>
      <c r="B58" s="33">
        <f>IF(Assumptions!B12=0,"",B4/Assumptions!B12)</f>
        <v>0.375</v>
      </c>
      <c r="C58" s="33">
        <f>IF(Assumptions!B12=0,"",C4/Assumptions!B12)</f>
        <v>0.55</v>
      </c>
      <c r="D58" s="33">
        <f>IF(Assumptions!B12=0,"",D4/Assumptions!B12)</f>
        <v>0.75</v>
      </c>
      <c r="E58" s="33">
        <f>IF(Assumptions!B12=0,"",E4/Assumptions!B12)</f>
        <v>0.9</v>
      </c>
      <c r="F58" s="33">
        <f>IF(Assumptions!B12=0,"",F4/Assumptions!B12)</f>
        <v>1</v>
      </c>
    </row>
    <row r="60" ht="24" customHeight="1" spans="1:6" x14ac:dyDescent="0.25">
      <c r="A60" s="12" t="s">
        <v>165</v>
      </c>
      <c r="B60" s="12"/>
      <c r="C60" s="12"/>
      <c r="D60" s="12"/>
      <c r="E60" s="12"/>
      <c r="F60" s="12"/>
    </row>
    <row r="61" spans="1:6" x14ac:dyDescent="0.25">
      <c r="A61" s="13" t="s">
        <v>166</v>
      </c>
      <c r="B61" s="13" t="str">
        <f>IF(B52=0,"N/A",IF(B53&gt;=1.25,"PASS","FAIL"))</f>
        <v>N/A</v>
      </c>
      <c r="C61" s="13" t="str">
        <f>IF(C52=0,"N/A",IF(C53&gt;=1.25,"PASS","FAIL"))</f>
        <v>N/A</v>
      </c>
      <c r="D61" s="13" t="str">
        <f>IF(D52=0,"N/A",IF(D53&gt;=1.25,"PASS","FAIL"))</f>
        <v>N/A</v>
      </c>
      <c r="E61" s="13" t="str">
        <f>IF(E52=0,"N/A",IF(E53&gt;=1.25,"PASS","FAIL"))</f>
        <v>N/A</v>
      </c>
      <c r="F61" s="13" t="str">
        <f>IF(F52=0,"N/A",IF(F53&gt;=1.25,"PASS","FAIL"))</f>
        <v>N/A</v>
      </c>
    </row>
    <row r="62" spans="1:6" x14ac:dyDescent="0.25">
      <c r="A62" s="13" t="s">
        <v>167</v>
      </c>
      <c r="B62" s="13" t="str">
        <f>IF(B45&gt;0,"PASS","FAIL")</f>
        <v>PASS</v>
      </c>
      <c r="C62" s="13" t="str">
        <f>IF(C45&gt;0,"PASS","FAIL")</f>
        <v>PASS</v>
      </c>
      <c r="D62" s="13" t="str">
        <f>IF(D45&gt;0,"PASS","FAIL")</f>
        <v>PASS</v>
      </c>
      <c r="E62" s="13" t="str">
        <f>IF(E45&gt;0,"PASS","FAIL")</f>
        <v>PASS</v>
      </c>
      <c r="F62" s="13" t="str">
        <f>IF(F45&gt;0,"PASS","FAIL")</f>
        <v>PASS</v>
      </c>
    </row>
    <row r="63" spans="1:6" x14ac:dyDescent="0.25">
      <c r="A63" s="13" t="s">
        <v>168</v>
      </c>
      <c r="B63" s="13" t="str">
        <f>IF(Assumptions!B12=0,"N/A",IF(B4/Assumptions!B12&gt;=0.7,"PASS","FAIL"))</f>
        <v>FAIL</v>
      </c>
      <c r="C63" s="13" t="str">
        <f>IF(Assumptions!B12=0,"N/A",IF(C4/Assumptions!B12&gt;=0.7,"PASS","FAIL"))</f>
        <v>FAIL</v>
      </c>
      <c r="D63" s="13" t="str">
        <f>IF(Assumptions!B12=0,"N/A",IF(D4/Assumptions!B12&gt;=0.7,"PASS","FAIL"))</f>
        <v>PASS</v>
      </c>
      <c r="E63" s="13" t="str">
        <f>IF(Assumptions!B12=0,"N/A",IF(E4/Assumptions!B12&gt;=0.7,"PASS","FAIL"))</f>
        <v>PASS</v>
      </c>
      <c r="F63" s="13" t="str">
        <f>IF(Assumptions!B12=0,"N/A",IF(F4/Assumptions!B12&gt;=0.7,"PASS","FAIL"))</f>
        <v>PASS</v>
      </c>
    </row>
    <row r="64" spans="1:6" x14ac:dyDescent="0.25">
      <c r="A64" s="13" t="s">
        <v>169</v>
      </c>
      <c r="B64" s="13" t="str">
        <f>IF(B43=0,"N/A",IF(B55/(B43/12)&gt;=2,"PASS","FAIL"))</f>
        <v>PASS</v>
      </c>
      <c r="C64" s="13" t="str">
        <f>IF(C43=0,"N/A",IF(C55/(C43/12)&gt;=2,"PASS","FAIL"))</f>
        <v>PASS</v>
      </c>
      <c r="D64" s="13" t="str">
        <f>IF(D43=0,"N/A",IF(D55/(D43/12)&gt;=2,"PASS","FAIL"))</f>
        <v>PASS</v>
      </c>
      <c r="E64" s="13" t="str">
        <f>IF(E43=0,"N/A",IF(E55/(E43/12)&gt;=2,"PASS","FAIL"))</f>
        <v>PASS</v>
      </c>
      <c r="F64" s="13" t="str">
        <f>IF(F43=0,"N/A",IF(F55/(F43/12)&gt;=2,"PASS","FAIL"))</f>
        <v>PASS</v>
      </c>
    </row>
    <row r="66" ht="24" customHeight="1" spans="1:6" x14ac:dyDescent="0.25">
      <c r="A66" s="12" t="s">
        <v>170</v>
      </c>
      <c r="B66" s="12"/>
      <c r="C66" s="12"/>
      <c r="D66" s="12"/>
      <c r="E66" s="12"/>
      <c r="F66" s="12"/>
    </row>
    <row r="67" spans="1:6" x14ac:dyDescent="0.25">
      <c r="A67" s="13" t="s">
        <v>171</v>
      </c>
      <c r="B67" s="27">
        <f>IF(B4=0,"",B11/B4)</f>
        <v>11167</v>
      </c>
      <c r="C67" s="27">
        <f>IF(C4=0,"",C11/C4)</f>
        <v>13665</v>
      </c>
      <c r="D67" s="27">
        <f>IF(D4=0,"",D11/D4)</f>
        <v>13963</v>
      </c>
      <c r="E67" s="27">
        <f>IF(E4=0,"",E11/E4)</f>
        <v>14289</v>
      </c>
      <c r="F67" s="27">
        <f>IF(F4=0,"",F11/F4)</f>
        <v>14632</v>
      </c>
    </row>
    <row r="68" spans="1:6" x14ac:dyDescent="0.25">
      <c r="A68" s="13" t="s">
        <v>172</v>
      </c>
      <c r="B68" s="27">
        <f>IF(B4=0,"",B43/B4)</f>
        <v>6526</v>
      </c>
      <c r="C68" s="27">
        <f>IF(C4=0,"",C43/C4)</f>
        <v>5702</v>
      </c>
      <c r="D68" s="27">
        <f>IF(D4=0,"",D43/D4)</f>
        <v>4482</v>
      </c>
      <c r="E68" s="27">
        <f>IF(E4=0,"",E43/E4)</f>
        <v>3956</v>
      </c>
      <c r="F68" s="27">
        <f>IF(F4=0,"",F43/F4)</f>
        <v>3732</v>
      </c>
    </row>
    <row r="69" spans="1:6" x14ac:dyDescent="0.25">
      <c r="A69" s="13" t="s">
        <v>173</v>
      </c>
      <c r="B69" s="27">
        <f>B40+B42</f>
        <v>64516</v>
      </c>
      <c r="C69" s="27">
        <f>C40+C42</f>
        <v>79742</v>
      </c>
      <c r="D69" s="27">
        <f>D40+D42</f>
        <v>82134</v>
      </c>
      <c r="E69" s="27">
        <f>E40+E42</f>
        <v>84598</v>
      </c>
      <c r="F69" s="27">
        <f>F40+F42</f>
        <v>87136</v>
      </c>
    </row>
    <row r="70" spans="1:6" x14ac:dyDescent="0.25">
      <c r="A70" s="13" t="s">
        <v>174</v>
      </c>
      <c r="B70" s="27">
        <f>IF(B4=0,"",B41/B4)</f>
        <v>2225</v>
      </c>
      <c r="C70" s="27">
        <f>IF(C4=0,"",C41/C4)</f>
        <v>2078</v>
      </c>
      <c r="D70" s="27">
        <f>IF(D4=0,"",D41/D4)</f>
        <v>1744</v>
      </c>
      <c r="E70" s="27">
        <f>IF(E4=0,"",E41/E4)</f>
        <v>1606</v>
      </c>
      <c r="F70" s="27">
        <f>IF(F4=0,"",F41/F4)</f>
        <v>1554</v>
      </c>
    </row>
    <row r="71" spans="1:6" x14ac:dyDescent="0.25">
      <c r="A71" s="13" t="s">
        <v>175</v>
      </c>
      <c r="B71" s="27">
        <f>IF(B4=0,"",B67-B70)</f>
        <v>8942</v>
      </c>
      <c r="C71" s="27">
        <f>IF(C4=0,"",C67-C70)</f>
        <v>11587</v>
      </c>
      <c r="D71" s="27">
        <f>IF(D4=0,"",D67-D70)</f>
        <v>12219</v>
      </c>
      <c r="E71" s="27">
        <f>IF(E4=0,"",E67-E70)</f>
        <v>12683</v>
      </c>
      <c r="F71" s="27">
        <f>IF(F4=0,"",F67-F70)</f>
        <v>13079</v>
      </c>
    </row>
    <row r="72" spans="1:6" x14ac:dyDescent="0.25">
      <c r="A72" s="39" t="s">
        <v>176</v>
      </c>
      <c r="B72" s="40">
        <f>IF(B71&lt;=0,"N/A",ROUNDUP(B69/B71,0))</f>
        <v>8</v>
      </c>
      <c r="C72" s="40">
        <f>IF(C71&lt;=0,"N/A",ROUNDUP(C69/C71,0))</f>
        <v>7</v>
      </c>
      <c r="D72" s="40">
        <f>IF(D71&lt;=0,"N/A",ROUNDUP(D69/D71,0))</f>
        <v>7</v>
      </c>
      <c r="E72" s="40">
        <f>IF(E71&lt;=0,"N/A",ROUNDUP(E69/E71,0))</f>
        <v>7</v>
      </c>
      <c r="F72" s="40">
        <f>IF(F71&lt;=0,"N/A",ROUNDUP(F69/F71,0))</f>
        <v>7</v>
      </c>
    </row>
    <row r="74" spans="1:6" x14ac:dyDescent="0.25">
      <c r="A74" s="22" t="s">
        <v>124</v>
      </c>
      <c r="B74" s="22"/>
      <c r="C74" s="22"/>
      <c r="D74" s="22"/>
      <c r="E74" s="22"/>
      <c r="F74" s="22"/>
    </row>
  </sheetData>
  <mergeCells count="3">
    <mergeCell ref="A1:F1"/>
    <mergeCell ref="A2:F2"/>
    <mergeCell ref="A74:F74"/>
  </mergeCells>
  <pageMargins left="0.25" right="0.25" top="0.5" bottom="0.5" header="0.3" footer="0.3"/>
  <pageSetup paperSize="1" orientation="portrait" horizontalDpi="4294967295" verticalDpi="4294967295" scale="100" fitToWidth="1" fitToHeight="0"/>
  <headerFooter>
    <oddHeader>&amp;L&amp;10&amp;BLiberty Learning Co-Op&amp;R&amp;8&amp;I5-Year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177</v>
      </c>
      <c r="B1" s="8"/>
      <c r="C1" s="8"/>
      <c r="D1" s="8"/>
      <c r="E1" s="8"/>
      <c r="F1" s="8"/>
      <c r="G1" s="8"/>
      <c r="H1" s="8"/>
      <c r="I1" s="8"/>
      <c r="J1" s="8"/>
      <c r="K1" s="8"/>
      <c r="L1" s="8"/>
      <c r="M1" s="8"/>
      <c r="N1" s="8"/>
    </row>
    <row r="2" ht="28" customHeight="1" spans="1:14" x14ac:dyDescent="0.25">
      <c r="A2" s="24" t="s">
        <v>7</v>
      </c>
      <c r="B2" s="24" t="s">
        <v>46</v>
      </c>
      <c r="C2" s="24" t="s">
        <v>178</v>
      </c>
      <c r="D2" s="24" t="s">
        <v>179</v>
      </c>
      <c r="E2" s="24" t="s">
        <v>180</v>
      </c>
      <c r="F2" s="24" t="s">
        <v>181</v>
      </c>
      <c r="G2" s="24" t="s">
        <v>182</v>
      </c>
      <c r="H2" s="24" t="s">
        <v>183</v>
      </c>
      <c r="I2" s="24" t="s">
        <v>184</v>
      </c>
      <c r="J2" s="24" t="s">
        <v>185</v>
      </c>
      <c r="K2" s="24" t="s">
        <v>186</v>
      </c>
      <c r="L2" s="24" t="s">
        <v>187</v>
      </c>
      <c r="M2" s="24" t="s">
        <v>188</v>
      </c>
      <c r="N2" s="24" t="s">
        <v>189</v>
      </c>
    </row>
    <row r="3" ht="24" customHeight="1" spans="1:14" x14ac:dyDescent="0.25">
      <c r="A3" s="12" t="s">
        <v>127</v>
      </c>
      <c r="B3" s="12"/>
      <c r="C3" s="12"/>
      <c r="D3" s="12"/>
      <c r="E3" s="12"/>
      <c r="F3" s="12"/>
      <c r="G3" s="12"/>
      <c r="H3" s="12"/>
      <c r="I3" s="12"/>
      <c r="J3" s="12"/>
      <c r="K3" s="12"/>
      <c r="L3" s="12"/>
      <c r="M3" s="12"/>
      <c r="N3" s="12"/>
    </row>
    <row r="4" spans="1:14" x14ac:dyDescent="0.25">
      <c r="A4" s="13" t="s">
        <v>67</v>
      </c>
      <c r="B4" s="27">
        <v>9000</v>
      </c>
      <c r="C4" s="27">
        <v>9000</v>
      </c>
      <c r="D4" s="27">
        <v>9000</v>
      </c>
      <c r="E4" s="27">
        <v>9000</v>
      </c>
      <c r="F4" s="27">
        <v>9000</v>
      </c>
      <c r="G4" s="27">
        <v>9000</v>
      </c>
      <c r="H4" s="27">
        <v>9000</v>
      </c>
      <c r="I4" s="27">
        <v>9000</v>
      </c>
      <c r="J4" s="27">
        <v>9000</v>
      </c>
      <c r="K4" s="27">
        <v>9000</v>
      </c>
      <c r="L4" s="27">
        <v>0</v>
      </c>
      <c r="M4" s="27">
        <v>0</v>
      </c>
      <c r="N4" s="27">
        <f>SUM(B4:M4)</f>
        <v>75000</v>
      </c>
    </row>
    <row r="5" spans="1:14" x14ac:dyDescent="0.25">
      <c r="A5" s="13" t="s">
        <v>70</v>
      </c>
      <c r="B5" s="27">
        <v>300</v>
      </c>
      <c r="C5" s="27">
        <v>300</v>
      </c>
      <c r="D5" s="27">
        <v>300</v>
      </c>
      <c r="E5" s="27">
        <v>300</v>
      </c>
      <c r="F5" s="27">
        <v>300</v>
      </c>
      <c r="G5" s="27">
        <v>300</v>
      </c>
      <c r="H5" s="27">
        <v>300</v>
      </c>
      <c r="I5" s="27">
        <v>300</v>
      </c>
      <c r="J5" s="27">
        <v>300</v>
      </c>
      <c r="K5" s="27">
        <v>300</v>
      </c>
      <c r="L5" s="27">
        <v>0</v>
      </c>
      <c r="M5" s="27">
        <v>0</v>
      </c>
      <c r="N5" s="27">
        <f>SUM(B5:M5)</f>
        <v>2500</v>
      </c>
    </row>
    <row r="6" spans="1:14" x14ac:dyDescent="0.25">
      <c r="A6" s="13" t="s">
        <v>71</v>
      </c>
      <c r="B6" s="27">
        <v>10500</v>
      </c>
      <c r="C6" s="27">
        <v>10500</v>
      </c>
      <c r="D6" s="27">
        <v>10500</v>
      </c>
      <c r="E6" s="27">
        <v>10500</v>
      </c>
      <c r="F6" s="27">
        <v>10500</v>
      </c>
      <c r="G6" s="27">
        <v>10500</v>
      </c>
      <c r="H6" s="27">
        <v>10500</v>
      </c>
      <c r="I6" s="27">
        <v>10500</v>
      </c>
      <c r="J6" s="27">
        <v>10500</v>
      </c>
      <c r="K6" s="27">
        <v>10500</v>
      </c>
      <c r="L6" s="27">
        <v>0</v>
      </c>
      <c r="M6" s="27">
        <v>0</v>
      </c>
      <c r="N6" s="27">
        <f>SUM(B6:M6)</f>
        <v>87500</v>
      </c>
    </row>
    <row r="7" spans="1:14" x14ac:dyDescent="0.25">
      <c r="A7" s="13" t="s">
        <v>73</v>
      </c>
      <c r="B7" s="27">
        <v>300</v>
      </c>
      <c r="C7" s="27">
        <v>300</v>
      </c>
      <c r="D7" s="27">
        <v>300</v>
      </c>
      <c r="E7" s="27">
        <v>300</v>
      </c>
      <c r="F7" s="27">
        <v>300</v>
      </c>
      <c r="G7" s="27">
        <v>300</v>
      </c>
      <c r="H7" s="27">
        <v>300</v>
      </c>
      <c r="I7" s="27">
        <v>300</v>
      </c>
      <c r="J7" s="27">
        <v>300</v>
      </c>
      <c r="K7" s="27">
        <v>300</v>
      </c>
      <c r="L7" s="27">
        <v>0</v>
      </c>
      <c r="M7" s="27">
        <v>0</v>
      </c>
      <c r="N7" s="27">
        <f>SUM(B7:M7)</f>
        <v>2500</v>
      </c>
    </row>
    <row r="8" ht="24" customHeight="1" spans="1:14" x14ac:dyDescent="0.25">
      <c r="A8" s="12" t="s">
        <v>128</v>
      </c>
      <c r="B8" s="28">
        <f>SUM(B4:B7)</f>
        <v>103800</v>
      </c>
      <c r="C8" s="28">
        <f>SUM(C4:C7)</f>
        <v>10800</v>
      </c>
      <c r="D8" s="28">
        <f>SUM(D4:D7)</f>
        <v>10800</v>
      </c>
      <c r="E8" s="28">
        <f>SUM(E4:E7)</f>
        <v>10800</v>
      </c>
      <c r="F8" s="28">
        <f>SUM(F4:F7)</f>
        <v>10800</v>
      </c>
      <c r="G8" s="28">
        <f>SUM(G4:G7)</f>
        <v>10800</v>
      </c>
      <c r="H8" s="28">
        <f>SUM(H4:H7)</f>
        <v>10800</v>
      </c>
      <c r="I8" s="28">
        <f>SUM(I4:I7)</f>
        <v>10800</v>
      </c>
      <c r="J8" s="28">
        <f>SUM(J4:J7)</f>
        <v>10800</v>
      </c>
      <c r="K8" s="28">
        <f>SUM(K4:K7)</f>
        <v>10800</v>
      </c>
      <c r="L8" s="28" t="str">
        <f>SUM(L4:L7)</f>
        <v>0</v>
      </c>
      <c r="M8" s="28" t="str">
        <f>SUM(M4:M7)</f>
        <v>0</v>
      </c>
      <c r="N8" s="28">
        <f>SUM(B8:M8)</f>
        <v>201000</v>
      </c>
    </row>
    <row r="9" spans="1:1" x14ac:dyDescent="0.25">
      <c r="A9" t="s">
        <v>7</v>
      </c>
    </row>
    <row r="10" ht="24" customHeight="1" spans="1:14" x14ac:dyDescent="0.25">
      <c r="A10" s="12" t="s">
        <v>129</v>
      </c>
      <c r="B10" s="12"/>
      <c r="C10" s="12"/>
      <c r="D10" s="12"/>
      <c r="E10" s="12"/>
      <c r="F10" s="12"/>
      <c r="G10" s="12"/>
      <c r="H10" s="12"/>
      <c r="I10" s="12"/>
      <c r="J10" s="12"/>
      <c r="K10" s="12"/>
      <c r="L10" s="12"/>
      <c r="M10" s="12"/>
      <c r="N10" s="12"/>
    </row>
    <row r="11" spans="1:14" x14ac:dyDescent="0.25">
      <c r="A11" s="13" t="s">
        <v>85</v>
      </c>
      <c r="B11" s="27">
        <v>5106</v>
      </c>
      <c r="C11" s="27">
        <v>5106</v>
      </c>
      <c r="D11" s="27">
        <v>5106</v>
      </c>
      <c r="E11" s="27">
        <v>5106</v>
      </c>
      <c r="F11" s="27">
        <v>5106</v>
      </c>
      <c r="G11" s="27">
        <v>5106</v>
      </c>
      <c r="H11" s="27">
        <v>5106</v>
      </c>
      <c r="I11" s="27">
        <v>5106</v>
      </c>
      <c r="J11" s="27">
        <v>5106</v>
      </c>
      <c r="K11" s="27">
        <v>5106</v>
      </c>
      <c r="L11" s="27">
        <v>0</v>
      </c>
      <c r="M11" s="27">
        <v>0</v>
      </c>
      <c r="N11" s="27">
        <f>SUM(B11:M11)</f>
        <v>51060</v>
      </c>
    </row>
    <row r="12" spans="1:14" x14ac:dyDescent="0.25">
      <c r="A12" s="13" t="s">
        <v>89</v>
      </c>
      <c r="B12" s="27">
        <v>1346</v>
      </c>
      <c r="C12" s="27">
        <v>1346</v>
      </c>
      <c r="D12" s="27">
        <v>1346</v>
      </c>
      <c r="E12" s="27">
        <v>1346</v>
      </c>
      <c r="F12" s="27">
        <v>1346</v>
      </c>
      <c r="G12" s="27">
        <v>1346</v>
      </c>
      <c r="H12" s="27">
        <v>1346</v>
      </c>
      <c r="I12" s="27">
        <v>1346</v>
      </c>
      <c r="J12" s="27">
        <v>1346</v>
      </c>
      <c r="K12" s="27">
        <v>1346</v>
      </c>
      <c r="L12" s="27">
        <v>0</v>
      </c>
      <c r="M12" s="27">
        <v>0</v>
      </c>
      <c r="N12" s="27">
        <f>SUM(B12:M12)</f>
        <v>13456</v>
      </c>
    </row>
    <row r="13" ht="24" customHeight="1" spans="1:14" x14ac:dyDescent="0.25">
      <c r="A13" s="12" t="s">
        <v>132</v>
      </c>
      <c r="B13" s="28">
        <f>SUM(B11:B12)</f>
        <v>6452</v>
      </c>
      <c r="C13" s="28">
        <f>SUM(C11:C12)</f>
        <v>6452</v>
      </c>
      <c r="D13" s="28">
        <f>SUM(D11:D12)</f>
        <v>6452</v>
      </c>
      <c r="E13" s="28">
        <f>SUM(E11:E12)</f>
        <v>6452</v>
      </c>
      <c r="F13" s="28">
        <f>SUM(F11:F12)</f>
        <v>6452</v>
      </c>
      <c r="G13" s="28">
        <f>SUM(G11:G12)</f>
        <v>6452</v>
      </c>
      <c r="H13" s="28">
        <f>SUM(H11:H12)</f>
        <v>6452</v>
      </c>
      <c r="I13" s="28">
        <f>SUM(I11:I12)</f>
        <v>6452</v>
      </c>
      <c r="J13" s="28">
        <f>SUM(J11:J12)</f>
        <v>6452</v>
      </c>
      <c r="K13" s="28">
        <f>SUM(K11:K12)</f>
        <v>6452</v>
      </c>
      <c r="L13" s="28" t="str">
        <f>SUM(L11:L12)</f>
        <v>0</v>
      </c>
      <c r="M13" s="28" t="str">
        <f>SUM(M11:M12)</f>
        <v>0</v>
      </c>
      <c r="N13" s="28">
        <f>SUM(B13:M13)</f>
        <v>64516</v>
      </c>
    </row>
    <row r="14" spans="1:1" x14ac:dyDescent="0.25">
      <c r="A14" t="s">
        <v>7</v>
      </c>
    </row>
    <row r="15" ht="24" customHeight="1" spans="1:14" x14ac:dyDescent="0.25">
      <c r="A15" s="12" t="s">
        <v>101</v>
      </c>
      <c r="B15" s="12"/>
      <c r="C15" s="12"/>
      <c r="D15" s="12"/>
      <c r="E15" s="12"/>
      <c r="F15" s="12"/>
      <c r="G15" s="12"/>
      <c r="H15" s="12"/>
      <c r="I15" s="12"/>
      <c r="J15" s="12"/>
      <c r="K15" s="12"/>
      <c r="L15" s="12"/>
      <c r="M15" s="12"/>
      <c r="N15" s="12"/>
    </row>
    <row r="16" spans="1:14" x14ac:dyDescent="0.25">
      <c r="A16" s="13" t="s">
        <v>108</v>
      </c>
      <c r="B16" s="13"/>
      <c r="C16" s="13"/>
      <c r="D16" s="13"/>
      <c r="E16" s="13"/>
      <c r="F16" s="13"/>
      <c r="G16" s="13"/>
      <c r="H16" s="13"/>
      <c r="I16" s="13"/>
      <c r="J16" s="13"/>
      <c r="K16" s="13"/>
      <c r="L16" s="13"/>
      <c r="M16" s="13"/>
      <c r="N16" s="13"/>
    </row>
    <row r="17" spans="1:14" x14ac:dyDescent="0.25">
      <c r="A17" s="13" t="s">
        <v>190</v>
      </c>
      <c r="B17" s="27">
        <v>500</v>
      </c>
      <c r="C17" s="27">
        <v>500</v>
      </c>
      <c r="D17" s="27">
        <v>500</v>
      </c>
      <c r="E17" s="27">
        <v>500</v>
      </c>
      <c r="F17" s="27">
        <v>500</v>
      </c>
      <c r="G17" s="27">
        <v>500</v>
      </c>
      <c r="H17" s="27">
        <v>500</v>
      </c>
      <c r="I17" s="27">
        <v>500</v>
      </c>
      <c r="J17" s="27">
        <v>500</v>
      </c>
      <c r="K17" s="27">
        <v>500</v>
      </c>
      <c r="L17" s="27">
        <v>0</v>
      </c>
      <c r="M17" s="27">
        <v>0</v>
      </c>
      <c r="N17" s="27">
        <f>SUM(B17:M17)</f>
        <v>5000</v>
      </c>
    </row>
    <row r="18" spans="1:14" x14ac:dyDescent="0.25">
      <c r="A18" s="29" t="s">
        <v>134</v>
      </c>
      <c r="B18" s="30">
        <v>500</v>
      </c>
      <c r="C18" s="30">
        <v>500</v>
      </c>
      <c r="D18" s="30">
        <v>500</v>
      </c>
      <c r="E18" s="30">
        <v>500</v>
      </c>
      <c r="F18" s="30">
        <v>500</v>
      </c>
      <c r="G18" s="30">
        <v>500</v>
      </c>
      <c r="H18" s="30">
        <v>500</v>
      </c>
      <c r="I18" s="30">
        <v>500</v>
      </c>
      <c r="J18" s="30">
        <v>500</v>
      </c>
      <c r="K18" s="30">
        <v>500</v>
      </c>
      <c r="L18" s="30">
        <v>0</v>
      </c>
      <c r="M18" s="30">
        <v>0</v>
      </c>
      <c r="N18" s="30">
        <f>SUM(B18:M18)</f>
        <v>5000</v>
      </c>
    </row>
    <row r="19" spans="1:14" x14ac:dyDescent="0.25">
      <c r="A19" s="13" t="s">
        <v>109</v>
      </c>
      <c r="B19" s="13"/>
      <c r="C19" s="13"/>
      <c r="D19" s="13"/>
      <c r="E19" s="13"/>
      <c r="F19" s="13"/>
      <c r="G19" s="13"/>
      <c r="H19" s="13"/>
      <c r="I19" s="13"/>
      <c r="J19" s="13"/>
      <c r="K19" s="13"/>
      <c r="L19" s="13"/>
      <c r="M19" s="13"/>
      <c r="N19" s="13"/>
    </row>
    <row r="20" spans="1:14" x14ac:dyDescent="0.25">
      <c r="A20" s="13" t="s">
        <v>191</v>
      </c>
      <c r="B20" s="27">
        <v>313</v>
      </c>
      <c r="C20" s="27">
        <v>313</v>
      </c>
      <c r="D20" s="27">
        <v>313</v>
      </c>
      <c r="E20" s="27">
        <v>313</v>
      </c>
      <c r="F20" s="27">
        <v>313</v>
      </c>
      <c r="G20" s="27">
        <v>313</v>
      </c>
      <c r="H20" s="27">
        <v>313</v>
      </c>
      <c r="I20" s="27">
        <v>313</v>
      </c>
      <c r="J20" s="27">
        <v>313</v>
      </c>
      <c r="K20" s="27">
        <v>313</v>
      </c>
      <c r="L20" s="27">
        <v>0</v>
      </c>
      <c r="M20" s="27">
        <v>0</v>
      </c>
      <c r="N20" s="27">
        <f>SUM(B20:M20)</f>
        <v>3125</v>
      </c>
    </row>
    <row r="21" spans="1:14" x14ac:dyDescent="0.25">
      <c r="A21" s="29" t="s">
        <v>136</v>
      </c>
      <c r="B21" s="30">
        <v>313</v>
      </c>
      <c r="C21" s="30">
        <v>313</v>
      </c>
      <c r="D21" s="30">
        <v>313</v>
      </c>
      <c r="E21" s="30">
        <v>313</v>
      </c>
      <c r="F21" s="30">
        <v>313</v>
      </c>
      <c r="G21" s="30">
        <v>313</v>
      </c>
      <c r="H21" s="30">
        <v>313</v>
      </c>
      <c r="I21" s="30">
        <v>313</v>
      </c>
      <c r="J21" s="30">
        <v>313</v>
      </c>
      <c r="K21" s="30">
        <v>313</v>
      </c>
      <c r="L21" s="30">
        <v>0</v>
      </c>
      <c r="M21" s="30">
        <v>0</v>
      </c>
      <c r="N21" s="30">
        <f>SUM(B21:M21)</f>
        <v>3125</v>
      </c>
    </row>
    <row r="22" spans="1:14" x14ac:dyDescent="0.25">
      <c r="A22" s="13" t="s">
        <v>102</v>
      </c>
      <c r="B22" s="13"/>
      <c r="C22" s="13"/>
      <c r="D22" s="13"/>
      <c r="E22" s="13"/>
      <c r="F22" s="13"/>
      <c r="G22" s="13"/>
      <c r="H22" s="13"/>
      <c r="I22" s="13"/>
      <c r="J22" s="13"/>
      <c r="K22" s="13"/>
      <c r="L22" s="13"/>
      <c r="M22" s="13"/>
      <c r="N22" s="13"/>
    </row>
    <row r="23" spans="1:14" x14ac:dyDescent="0.25">
      <c r="A23" s="13" t="s">
        <v>192</v>
      </c>
      <c r="B23" s="27">
        <v>1800</v>
      </c>
      <c r="C23" s="27">
        <v>1800</v>
      </c>
      <c r="D23" s="27">
        <v>1800</v>
      </c>
      <c r="E23" s="27">
        <v>1800</v>
      </c>
      <c r="F23" s="27">
        <v>1800</v>
      </c>
      <c r="G23" s="27">
        <v>1800</v>
      </c>
      <c r="H23" s="27">
        <v>1800</v>
      </c>
      <c r="I23" s="27">
        <v>1800</v>
      </c>
      <c r="J23" s="27">
        <v>1800</v>
      </c>
      <c r="K23" s="27">
        <v>1800</v>
      </c>
      <c r="L23" s="27">
        <v>0</v>
      </c>
      <c r="M23" s="27">
        <v>0</v>
      </c>
      <c r="N23" s="27">
        <f>SUM(B23:M23)</f>
        <v>18000</v>
      </c>
    </row>
    <row r="24" spans="1:14" x14ac:dyDescent="0.25">
      <c r="A24" s="13" t="s">
        <v>193</v>
      </c>
      <c r="B24" s="27">
        <v>200</v>
      </c>
      <c r="C24" s="27">
        <v>200</v>
      </c>
      <c r="D24" s="27">
        <v>200</v>
      </c>
      <c r="E24" s="27">
        <v>200</v>
      </c>
      <c r="F24" s="27">
        <v>200</v>
      </c>
      <c r="G24" s="27">
        <v>200</v>
      </c>
      <c r="H24" s="27">
        <v>200</v>
      </c>
      <c r="I24" s="27">
        <v>200</v>
      </c>
      <c r="J24" s="27">
        <v>200</v>
      </c>
      <c r="K24" s="27">
        <v>200</v>
      </c>
      <c r="L24" s="27">
        <v>0</v>
      </c>
      <c r="M24" s="27">
        <v>0</v>
      </c>
      <c r="N24" s="27">
        <f>SUM(B24:M24)</f>
        <v>2000</v>
      </c>
    </row>
    <row r="25" spans="1:14" x14ac:dyDescent="0.25">
      <c r="A25" s="13" t="s">
        <v>194</v>
      </c>
      <c r="B25" s="27">
        <v>150</v>
      </c>
      <c r="C25" s="27">
        <v>150</v>
      </c>
      <c r="D25" s="27">
        <v>150</v>
      </c>
      <c r="E25" s="27">
        <v>150</v>
      </c>
      <c r="F25" s="27">
        <v>150</v>
      </c>
      <c r="G25" s="27">
        <v>150</v>
      </c>
      <c r="H25" s="27">
        <v>150</v>
      </c>
      <c r="I25" s="27">
        <v>150</v>
      </c>
      <c r="J25" s="27">
        <v>150</v>
      </c>
      <c r="K25" s="27">
        <v>150</v>
      </c>
      <c r="L25" s="27">
        <v>0</v>
      </c>
      <c r="M25" s="27">
        <v>0</v>
      </c>
      <c r="N25" s="27">
        <f>SUM(B25:M25)</f>
        <v>1500</v>
      </c>
    </row>
    <row r="26" spans="1:14" x14ac:dyDescent="0.25">
      <c r="A26" s="29" t="s">
        <v>140</v>
      </c>
      <c r="B26" s="30">
        <v>2150</v>
      </c>
      <c r="C26" s="30">
        <v>2150</v>
      </c>
      <c r="D26" s="30">
        <v>2150</v>
      </c>
      <c r="E26" s="30">
        <v>2150</v>
      </c>
      <c r="F26" s="30">
        <v>2150</v>
      </c>
      <c r="G26" s="30">
        <v>2150</v>
      </c>
      <c r="H26" s="30">
        <v>2150</v>
      </c>
      <c r="I26" s="30">
        <v>2150</v>
      </c>
      <c r="J26" s="30">
        <v>2150</v>
      </c>
      <c r="K26" s="30">
        <v>2150</v>
      </c>
      <c r="L26" s="30">
        <v>0</v>
      </c>
      <c r="M26" s="30">
        <v>0</v>
      </c>
      <c r="N26" s="30">
        <f>SUM(B26:M26)</f>
        <v>21500</v>
      </c>
    </row>
    <row r="27" spans="1:14" x14ac:dyDescent="0.25">
      <c r="A27" s="13" t="s">
        <v>106</v>
      </c>
      <c r="B27" s="13"/>
      <c r="C27" s="13"/>
      <c r="D27" s="13"/>
      <c r="E27" s="13"/>
      <c r="F27" s="13"/>
      <c r="G27" s="13"/>
      <c r="H27" s="13"/>
      <c r="I27" s="13"/>
      <c r="J27" s="13"/>
      <c r="K27" s="13"/>
      <c r="L27" s="13"/>
      <c r="M27" s="13"/>
      <c r="N27" s="13"/>
    </row>
    <row r="28" spans="1:14" x14ac:dyDescent="0.25">
      <c r="A28" s="13" t="s">
        <v>195</v>
      </c>
      <c r="B28" s="27">
        <v>375</v>
      </c>
      <c r="C28" s="27">
        <v>375</v>
      </c>
      <c r="D28" s="27">
        <v>375</v>
      </c>
      <c r="E28" s="27">
        <v>375</v>
      </c>
      <c r="F28" s="27">
        <v>375</v>
      </c>
      <c r="G28" s="27">
        <v>375</v>
      </c>
      <c r="H28" s="27">
        <v>375</v>
      </c>
      <c r="I28" s="27">
        <v>375</v>
      </c>
      <c r="J28" s="27">
        <v>375</v>
      </c>
      <c r="K28" s="27">
        <v>375</v>
      </c>
      <c r="L28" s="27">
        <v>0</v>
      </c>
      <c r="M28" s="27">
        <v>0</v>
      </c>
      <c r="N28" s="27">
        <f>SUM(B28:M28)</f>
        <v>3750</v>
      </c>
    </row>
    <row r="29" spans="1:14" x14ac:dyDescent="0.25">
      <c r="A29" s="29" t="s">
        <v>142</v>
      </c>
      <c r="B29" s="30">
        <v>375</v>
      </c>
      <c r="C29" s="30">
        <v>375</v>
      </c>
      <c r="D29" s="30">
        <v>375</v>
      </c>
      <c r="E29" s="30">
        <v>375</v>
      </c>
      <c r="F29" s="30">
        <v>375</v>
      </c>
      <c r="G29" s="30">
        <v>375</v>
      </c>
      <c r="H29" s="30">
        <v>375</v>
      </c>
      <c r="I29" s="30">
        <v>375</v>
      </c>
      <c r="J29" s="30">
        <v>375</v>
      </c>
      <c r="K29" s="30">
        <v>375</v>
      </c>
      <c r="L29" s="30">
        <v>0</v>
      </c>
      <c r="M29" s="30">
        <v>0</v>
      </c>
      <c r="N29" s="30">
        <f>SUM(B29:M29)</f>
        <v>3750</v>
      </c>
    </row>
    <row r="30" ht="24" customHeight="1" spans="1:14" x14ac:dyDescent="0.25">
      <c r="A30" s="12" t="s">
        <v>143</v>
      </c>
      <c r="B30" s="28">
        <f>B18+B21+B26+B29</f>
        <v>3338</v>
      </c>
      <c r="C30" s="28">
        <f>C18+C21+C26+C29</f>
        <v>3338</v>
      </c>
      <c r="D30" s="28">
        <f>D18+D21+D26+D29</f>
        <v>3338</v>
      </c>
      <c r="E30" s="28">
        <f>E18+E21+E26+E29</f>
        <v>3338</v>
      </c>
      <c r="F30" s="28">
        <f>F18+F21+F26+F29</f>
        <v>3338</v>
      </c>
      <c r="G30" s="28">
        <f>G18+G21+G26+G29</f>
        <v>3338</v>
      </c>
      <c r="H30" s="28">
        <f>H18+H21+H26+H29</f>
        <v>3338</v>
      </c>
      <c r="I30" s="28">
        <f>I18+I21+I26+I29</f>
        <v>3338</v>
      </c>
      <c r="J30" s="28">
        <f>J18+J21+J26+J29</f>
        <v>3338</v>
      </c>
      <c r="K30" s="28">
        <f>K18+K21+K26+K29</f>
        <v>3338</v>
      </c>
      <c r="L30" s="28" t="str">
        <f>L18+L21+L26+L29</f>
        <v>0</v>
      </c>
      <c r="M30" s="28" t="str">
        <f>M18+M21+M26+M29</f>
        <v>0</v>
      </c>
      <c r="N30" s="28">
        <f>SUM(B30:M30)</f>
        <v>33375</v>
      </c>
    </row>
    <row r="31" spans="1:1" x14ac:dyDescent="0.25">
      <c r="A31" t="s">
        <v>7</v>
      </c>
    </row>
    <row r="32" spans="1:14" x14ac:dyDescent="0.25">
      <c r="A32" s="25" t="s">
        <v>196</v>
      </c>
      <c r="B32" s="27">
        <v>0</v>
      </c>
      <c r="C32" s="27">
        <v>0</v>
      </c>
      <c r="D32" s="27">
        <v>0</v>
      </c>
      <c r="E32" s="27">
        <v>0</v>
      </c>
      <c r="F32" s="27">
        <v>0</v>
      </c>
      <c r="G32" s="27">
        <v>0</v>
      </c>
      <c r="H32" s="27">
        <v>0</v>
      </c>
      <c r="I32" s="27">
        <v>0</v>
      </c>
      <c r="J32" s="27">
        <v>0</v>
      </c>
      <c r="K32" s="27">
        <v>0</v>
      </c>
      <c r="L32" s="27">
        <v>0</v>
      </c>
      <c r="M32" s="27">
        <v>0</v>
      </c>
      <c r="N32" s="27" t="str">
        <f>SUM(B32:M32)</f>
        <v>0</v>
      </c>
    </row>
    <row r="33" spans="1:1" x14ac:dyDescent="0.25">
      <c r="A33" t="s">
        <v>7</v>
      </c>
    </row>
    <row r="34" ht="24" customHeight="1" spans="1:14" x14ac:dyDescent="0.25">
      <c r="A34" s="12" t="s">
        <v>197</v>
      </c>
      <c r="B34" s="12"/>
      <c r="C34" s="12"/>
      <c r="D34" s="12"/>
      <c r="E34" s="12"/>
      <c r="F34" s="12"/>
      <c r="G34" s="12"/>
      <c r="H34" s="12"/>
      <c r="I34" s="12"/>
      <c r="J34" s="12"/>
      <c r="K34" s="12"/>
      <c r="L34" s="12"/>
      <c r="M34" s="12"/>
      <c r="N34" s="12"/>
    </row>
    <row r="35" spans="1:14" x14ac:dyDescent="0.25">
      <c r="A35" s="25" t="s">
        <v>151</v>
      </c>
      <c r="B35" s="30">
        <f>B13+B30+B32</f>
        <v>9790</v>
      </c>
      <c r="C35" s="30">
        <f>C13+C30+C32</f>
        <v>9790</v>
      </c>
      <c r="D35" s="30">
        <f>D13+D30+D32</f>
        <v>9790</v>
      </c>
      <c r="E35" s="30">
        <f>E13+E30+E32</f>
        <v>9790</v>
      </c>
      <c r="F35" s="30">
        <f>F13+F30+F32</f>
        <v>9790</v>
      </c>
      <c r="G35" s="30">
        <f>G13+G30+G32</f>
        <v>9790</v>
      </c>
      <c r="H35" s="30">
        <f>H13+H30+H32</f>
        <v>9790</v>
      </c>
      <c r="I35" s="30">
        <f>I13+I30+I32</f>
        <v>9790</v>
      </c>
      <c r="J35" s="30">
        <f>J13+J30+J32</f>
        <v>9790</v>
      </c>
      <c r="K35" s="30">
        <f>K13+K30+K32</f>
        <v>9790</v>
      </c>
      <c r="L35" s="30" t="str">
        <f>L13+L30+L32</f>
        <v>0</v>
      </c>
      <c r="M35" s="30" t="str">
        <f>M13+M30+M32</f>
        <v>0</v>
      </c>
      <c r="N35" s="30">
        <f>SUM(B35:M35)</f>
        <v>97900</v>
      </c>
    </row>
    <row r="36" spans="1:14" x14ac:dyDescent="0.25">
      <c r="A36" s="25" t="s">
        <v>198</v>
      </c>
      <c r="B36" s="30">
        <f>B8-B35</f>
        <v>94010</v>
      </c>
      <c r="C36" s="30">
        <f>C8-C35</f>
        <v>1010</v>
      </c>
      <c r="D36" s="30">
        <f>D8-D35</f>
        <v>1010</v>
      </c>
      <c r="E36" s="30">
        <f>E8-E35</f>
        <v>1010</v>
      </c>
      <c r="F36" s="30">
        <f>F8-F35</f>
        <v>1010</v>
      </c>
      <c r="G36" s="30">
        <f>G8-G35</f>
        <v>1010</v>
      </c>
      <c r="H36" s="30">
        <f>H8-H35</f>
        <v>1010</v>
      </c>
      <c r="I36" s="30">
        <f>I8-I35</f>
        <v>1010</v>
      </c>
      <c r="J36" s="30">
        <f>J8-J35</f>
        <v>1010</v>
      </c>
      <c r="K36" s="30">
        <f>K8-K35</f>
        <v>1010</v>
      </c>
      <c r="L36" s="30" t="str">
        <f>L8-L35</f>
        <v>0</v>
      </c>
      <c r="M36" s="30" t="str">
        <f>M8-M35</f>
        <v>0</v>
      </c>
      <c r="N36" s="30">
        <f>SUM(B36:M36)</f>
        <v>103100</v>
      </c>
    </row>
    <row r="37" spans="1:14" x14ac:dyDescent="0.25">
      <c r="A37" s="25" t="s">
        <v>199</v>
      </c>
      <c r="B37" s="30">
        <f>0+B36</f>
        <v>94010</v>
      </c>
      <c r="C37" s="30">
        <f>B37+C36</f>
        <v>95020</v>
      </c>
      <c r="D37" s="30">
        <f>C37+D36</f>
        <v>96030</v>
      </c>
      <c r="E37" s="30">
        <f>D37+E36</f>
        <v>97040</v>
      </c>
      <c r="F37" s="30">
        <f>E37+F36</f>
        <v>98050</v>
      </c>
      <c r="G37" s="30">
        <f>F37+G36</f>
        <v>99060</v>
      </c>
      <c r="H37" s="30">
        <f>G37+H36</f>
        <v>100070</v>
      </c>
      <c r="I37" s="30">
        <f>H37+I36</f>
        <v>101080</v>
      </c>
      <c r="J37" s="30">
        <f>I37+J36</f>
        <v>102090</v>
      </c>
      <c r="K37" s="30">
        <f>J37+K36</f>
        <v>103100</v>
      </c>
      <c r="L37" s="30">
        <f>K37+L36</f>
        <v>103100</v>
      </c>
      <c r="M37" s="30">
        <f>L37+M36</f>
        <v>103100</v>
      </c>
      <c r="N37" s="30">
        <f>M37</f>
        <v>103100</v>
      </c>
    </row>
    <row r="39" ht="24" customHeight="1" spans="1:3" x14ac:dyDescent="0.25">
      <c r="A39" s="12" t="s">
        <v>200</v>
      </c>
      <c r="B39" s="12"/>
      <c r="C39" s="12"/>
    </row>
    <row r="40" spans="1:2" x14ac:dyDescent="0.25">
      <c r="A40" s="13" t="s">
        <v>123</v>
      </c>
      <c r="B40" s="27">
        <v>0</v>
      </c>
    </row>
    <row r="41" spans="1:2" x14ac:dyDescent="0.25">
      <c r="A41" s="13" t="s">
        <v>201</v>
      </c>
      <c r="B41" s="30">
        <f>M37</f>
        <v>103100</v>
      </c>
    </row>
    <row r="42" spans="1:2" x14ac:dyDescent="0.25">
      <c r="A42" s="13" t="s">
        <v>202</v>
      </c>
      <c r="B42" s="27">
        <f>MIN(B37:M37)</f>
        <v>94010</v>
      </c>
    </row>
    <row r="44" spans="1:14" x14ac:dyDescent="0.25">
      <c r="A44" s="22" t="s">
        <v>124</v>
      </c>
      <c r="B44" s="22"/>
      <c r="C44" s="22"/>
      <c r="D44" s="22"/>
      <c r="E44" s="22"/>
      <c r="F44" s="22"/>
      <c r="G44" s="22"/>
      <c r="H44" s="22"/>
      <c r="I44" s="22"/>
      <c r="J44" s="22"/>
      <c r="K44" s="22"/>
      <c r="L44" s="22"/>
      <c r="M44" s="22"/>
      <c r="N44" s="22"/>
    </row>
  </sheetData>
  <mergeCells count="2">
    <mergeCell ref="A1:N1"/>
    <mergeCell ref="A44:N44"/>
  </mergeCells>
  <pageMargins left="0.25" right="0.25" top="0.5" bottom="0.5" header="0.3" footer="0.3"/>
  <pageSetup paperSize="1" orientation="landscape" horizontalDpi="4294967295" verticalDpi="4294967295" scale="100" fitToWidth="1" fitToHeight="0"/>
  <headerFooter>
    <oddHeader>&amp;L&amp;10&amp;BLiberty Learning Co-Op&amp;R&amp;8&amp;IYear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1" t="s">
        <v>203</v>
      </c>
      <c r="C1" s="41"/>
      <c r="D1" s="41"/>
      <c r="E1" s="41"/>
      <c r="F1" s="41"/>
      <c r="G1" s="41"/>
      <c r="H1" s="41"/>
    </row>
    <row r="2" ht="60" customHeight="1" spans="2:8" x14ac:dyDescent="0.25">
      <c r="B2" s="42" t="s">
        <v>204</v>
      </c>
      <c r="C2" s="42"/>
      <c r="D2" s="42"/>
      <c r="E2" s="42"/>
      <c r="F2" s="42"/>
      <c r="G2" s="42"/>
      <c r="H2" s="42"/>
    </row>
    <row r="4" ht="30" customHeight="1" spans="2:8" x14ac:dyDescent="0.25">
      <c r="B4" s="43" t="s">
        <v>205</v>
      </c>
      <c r="C4" s="43"/>
      <c r="D4" s="43"/>
      <c r="E4" s="43"/>
      <c r="F4" s="43"/>
      <c r="G4" s="43"/>
      <c r="H4" s="43"/>
    </row>
  </sheetData>
  <mergeCells count="3">
    <mergeCell ref="B1:H1"/>
    <mergeCell ref="B2:H2"/>
    <mergeCell ref="B4:H4"/>
  </mergeCells>
  <pageMargins left="0.25" right="0.25" top="0.5" bottom="0.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206</v>
      </c>
      <c r="C2" s="1"/>
      <c r="D2" s="1"/>
      <c r="E2" s="1"/>
      <c r="F2" s="1"/>
      <c r="G2" s="1"/>
      <c r="H2" s="1"/>
      <c r="I2" s="1"/>
    </row>
    <row r="3" spans="2:9" x14ac:dyDescent="0.25">
      <c r="B3" s="44" t="s">
        <v>207</v>
      </c>
      <c r="C3" s="44"/>
      <c r="D3" s="44"/>
      <c r="E3" s="44"/>
      <c r="F3" s="44"/>
      <c r="G3" s="44"/>
      <c r="H3" s="44"/>
      <c r="I3" s="44"/>
    </row>
    <row r="4" spans="2:6" x14ac:dyDescent="0.25">
      <c r="B4" s="45" t="s">
        <v>208</v>
      </c>
      <c r="D4" s="46" t="s">
        <v>209</v>
      </c>
      <c r="F4" s="47" t="s">
        <v>210</v>
      </c>
    </row>
    <row r="6" ht="24" customHeight="1" spans="2:8" x14ac:dyDescent="0.25">
      <c r="B6" s="12" t="s">
        <v>211</v>
      </c>
      <c r="C6" s="16" t="s">
        <v>212</v>
      </c>
      <c r="D6" s="16" t="s">
        <v>213</v>
      </c>
      <c r="E6" s="16" t="s">
        <v>214</v>
      </c>
      <c r="F6" s="16" t="s">
        <v>215</v>
      </c>
      <c r="G6" s="16" t="s">
        <v>216</v>
      </c>
      <c r="H6" s="16" t="s">
        <v>217</v>
      </c>
    </row>
    <row r="7" spans="2:7" x14ac:dyDescent="0.25">
      <c r="B7" s="13" t="s">
        <v>218</v>
      </c>
      <c r="C7" s="48">
        <v>15</v>
      </c>
      <c r="D7" s="48">
        <v>22</v>
      </c>
      <c r="E7" s="48">
        <v>30</v>
      </c>
      <c r="F7" s="48">
        <v>36</v>
      </c>
      <c r="G7" s="48">
        <v>40</v>
      </c>
    </row>
    <row r="8" spans="2:7" x14ac:dyDescent="0.25">
      <c r="B8" s="13" t="s">
        <v>219</v>
      </c>
      <c r="C8" s="49">
        <v>201000</v>
      </c>
      <c r="D8" s="49">
        <v>300624.99999999994</v>
      </c>
      <c r="E8" s="49">
        <v>418895.62499999994</v>
      </c>
      <c r="F8" s="49">
        <v>514415.4843749998</v>
      </c>
      <c r="G8" s="49">
        <v>585294.1417968748</v>
      </c>
    </row>
    <row r="9" spans="2:7" x14ac:dyDescent="0.25">
      <c r="B9" s="13" t="s">
        <v>220</v>
      </c>
      <c r="C9" s="49">
        <v>64516.25</v>
      </c>
      <c r="D9" s="49">
        <v>79742.085</v>
      </c>
      <c r="E9" s="49">
        <v>82134.34754999999</v>
      </c>
      <c r="F9" s="49">
        <v>84598.3779765</v>
      </c>
      <c r="G9" s="49">
        <v>87136.32931579501</v>
      </c>
    </row>
    <row r="10" spans="2:7" x14ac:dyDescent="0.25">
      <c r="B10" s="13" t="s">
        <v>221</v>
      </c>
      <c r="C10" s="49">
        <v>32250</v>
      </c>
      <c r="D10" s="49">
        <v>41405.5</v>
      </c>
      <c r="E10" s="49">
        <v>47902.6275</v>
      </c>
      <c r="F10" s="49">
        <v>53302.14382499999</v>
      </c>
      <c r="G10" s="49">
        <v>57510.125452249995</v>
      </c>
    </row>
    <row r="11" spans="2:7" x14ac:dyDescent="0.25">
      <c r="B11" s="13" t="s">
        <v>159</v>
      </c>
      <c r="C11" s="49">
        <v>0</v>
      </c>
      <c r="D11" s="49">
        <v>0</v>
      </c>
      <c r="E11" s="49">
        <v>0</v>
      </c>
      <c r="F11" s="49">
        <v>0</v>
      </c>
      <c r="G11" s="49">
        <v>0</v>
      </c>
    </row>
    <row r="12" spans="2:7" x14ac:dyDescent="0.25">
      <c r="B12" s="25" t="s">
        <v>222</v>
      </c>
      <c r="C12" s="50">
        <v>104233.75</v>
      </c>
      <c r="D12" s="50">
        <v>179477.41499999992</v>
      </c>
      <c r="E12" s="50">
        <v>288858.64994999993</v>
      </c>
      <c r="F12" s="50">
        <v>376514.9625734998</v>
      </c>
      <c r="G12" s="50">
        <v>440647.6870288298</v>
      </c>
    </row>
    <row r="13" spans="2:7" x14ac:dyDescent="0.25">
      <c r="B13" s="25" t="s">
        <v>161</v>
      </c>
      <c r="C13" s="50">
        <v>104233.75</v>
      </c>
      <c r="D13" s="50">
        <v>283711.1649999999</v>
      </c>
      <c r="E13" s="50">
        <v>572569.8149499998</v>
      </c>
      <c r="F13" s="50">
        <v>949084.7775234997</v>
      </c>
      <c r="G13" s="50">
        <v>1389732.4645523294</v>
      </c>
    </row>
    <row r="14" spans="2:7" x14ac:dyDescent="0.25">
      <c r="B14" s="25" t="s">
        <v>223</v>
      </c>
      <c r="C14" s="51">
        <v>0.5185758706467661</v>
      </c>
      <c r="D14" s="51">
        <v>0.5970142702702701</v>
      </c>
      <c r="E14" s="51">
        <v>0.68957189502755</v>
      </c>
      <c r="F14" s="51">
        <v>0.7319277393660784</v>
      </c>
      <c r="G14" s="51">
        <v>0.752865363859657</v>
      </c>
    </row>
    <row r="15" spans="2:8" x14ac:dyDescent="0.25">
      <c r="B15" s="25" t="s">
        <v>224</v>
      </c>
      <c r="C15" s="52">
        <v>13400</v>
      </c>
      <c r="D15" s="52">
        <v>13664.772727272724</v>
      </c>
      <c r="E15" s="52">
        <v>13963.187499999998</v>
      </c>
      <c r="F15" s="52">
        <v>14289.319010416662</v>
      </c>
      <c r="G15" s="52">
        <v>14632.35354492187</v>
      </c>
      <c r="H15" s="53" t="s">
        <v>225</v>
      </c>
    </row>
    <row r="16" spans="2:7" x14ac:dyDescent="0.25">
      <c r="B16" s="25" t="s">
        <v>226</v>
      </c>
      <c r="C16" s="54">
        <v>6451.083333333333</v>
      </c>
      <c r="D16" s="54">
        <v>5506.708409090909</v>
      </c>
      <c r="E16" s="54">
        <v>4334.565834999999</v>
      </c>
      <c r="F16" s="54">
        <v>3830.5700500416665</v>
      </c>
      <c r="G16" s="54">
        <v>3616.1613692011247</v>
      </c>
    </row>
    <row r="17" spans="2:7" x14ac:dyDescent="0.25">
      <c r="B17" s="13" t="s">
        <v>227</v>
      </c>
      <c r="C17" s="49">
        <v>400</v>
      </c>
      <c r="D17" s="49">
        <v>409.99999999999994</v>
      </c>
      <c r="E17" s="49">
        <v>420.24999999999994</v>
      </c>
      <c r="F17" s="49">
        <v>430.75624999999985</v>
      </c>
      <c r="G17" s="49">
        <v>441.5251562499999</v>
      </c>
    </row>
    <row r="18" spans="2:8" x14ac:dyDescent="0.25">
      <c r="B18" s="13" t="s">
        <v>228</v>
      </c>
      <c r="C18" s="52">
        <v>1200</v>
      </c>
      <c r="D18" s="52">
        <v>1011.2727272727273</v>
      </c>
      <c r="E18" s="52">
        <v>763.848</v>
      </c>
      <c r="F18" s="52">
        <v>655.6362</v>
      </c>
      <c r="G18" s="52">
        <v>607.7747574000001</v>
      </c>
      <c r="H18" s="53" t="s">
        <v>229</v>
      </c>
    </row>
    <row r="19" spans="2:7" x14ac:dyDescent="0.25">
      <c r="B19" s="25" t="s">
        <v>230</v>
      </c>
      <c r="C19" s="55">
        <v>6948.916666666667</v>
      </c>
      <c r="D19" s="55">
        <v>8158.064318181815</v>
      </c>
      <c r="E19" s="55">
        <v>9628.621664999997</v>
      </c>
      <c r="F19" s="55">
        <v>10458.748960374995</v>
      </c>
      <c r="G19" s="55">
        <v>11016.192175720746</v>
      </c>
    </row>
    <row r="20" spans="2:8" x14ac:dyDescent="0.25">
      <c r="B20" s="25" t="s">
        <v>231</v>
      </c>
      <c r="C20" s="51">
        <v>0.320976368159204</v>
      </c>
      <c r="D20" s="51">
        <v>0.2652543367983369</v>
      </c>
      <c r="E20" s="51">
        <v>0.1960735387245928</v>
      </c>
      <c r="F20" s="51">
        <v>0.16445534892730654</v>
      </c>
      <c r="G20" s="51">
        <v>0.14887613439677225</v>
      </c>
      <c r="H20" s="53" t="s">
        <v>232</v>
      </c>
    </row>
    <row r="21" spans="2:8" x14ac:dyDescent="0.25">
      <c r="B21" s="25" t="s">
        <v>233</v>
      </c>
      <c r="C21" s="51">
        <v>0.08955223880597014</v>
      </c>
      <c r="D21" s="51">
        <v>0.07400582120582122</v>
      </c>
      <c r="E21" s="51">
        <v>0.05470441473338377</v>
      </c>
      <c r="F21" s="51">
        <v>0.04588295632017542</v>
      </c>
      <c r="G21" s="51">
        <v>0.04153636361601768</v>
      </c>
      <c r="H21" s="53" t="s">
        <v>234</v>
      </c>
    </row>
    <row r="22" spans="2:8" x14ac:dyDescent="0.25">
      <c r="B22" s="25" t="s">
        <v>235</v>
      </c>
      <c r="C22" s="51">
        <v>0.5185758706467661</v>
      </c>
      <c r="D22" s="51">
        <v>0.5970142702702701</v>
      </c>
      <c r="E22" s="51">
        <v>0.68957189502755</v>
      </c>
      <c r="F22" s="51">
        <v>0.7319277393660784</v>
      </c>
      <c r="G22" s="51">
        <v>0.752865363859657</v>
      </c>
      <c r="H22" s="53" t="s">
        <v>236</v>
      </c>
    </row>
    <row r="23" spans="2:8" x14ac:dyDescent="0.25">
      <c r="B23" s="25" t="s">
        <v>237</v>
      </c>
      <c r="C23" s="56">
        <v>3</v>
      </c>
      <c r="D23" s="56">
        <v>3</v>
      </c>
      <c r="E23" s="56">
        <v>3</v>
      </c>
      <c r="F23" s="56">
        <v>3</v>
      </c>
      <c r="G23" s="56">
        <v>3</v>
      </c>
      <c r="H23" s="53" t="s">
        <v>238</v>
      </c>
    </row>
    <row r="24" spans="2:8" x14ac:dyDescent="0.25">
      <c r="B24" s="25" t="s">
        <v>239</v>
      </c>
      <c r="C24" s="57" t="s">
        <v>44</v>
      </c>
      <c r="D24" s="57" t="s">
        <v>44</v>
      </c>
      <c r="E24" s="57" t="s">
        <v>44</v>
      </c>
      <c r="F24" s="57" t="s">
        <v>44</v>
      </c>
      <c r="G24" s="57" t="s">
        <v>44</v>
      </c>
      <c r="H24" s="53" t="s">
        <v>44</v>
      </c>
    </row>
    <row r="25" spans="2:8" x14ac:dyDescent="0.25">
      <c r="B25" s="25" t="s">
        <v>240</v>
      </c>
      <c r="C25" s="34" t="str">
        <f>IF('5-Year Model'!B47&gt;=0,"✓ Break-even","")</f>
        <v>✓ Break-even</v>
      </c>
      <c r="D25" s="58" t="str">
        <f>IF(AND('5-Year Model'!C47&gt;=0,'5-Year Model'!B47&lt;0),"✓ Break-even","")</f>
        <v>0</v>
      </c>
      <c r="E25" s="58" t="str">
        <f>IF(AND('5-Year Model'!D47&gt;=0,'5-Year Model'!C47&lt;0),"✓ Break-even","")</f>
        <v>0</v>
      </c>
      <c r="F25" s="58" t="str">
        <f>IF(AND('5-Year Model'!E47&gt;=0,'5-Year Model'!D47&lt;0),"✓ Break-even","")</f>
        <v>0</v>
      </c>
      <c r="G25" s="58" t="str">
        <f>IF(AND('5-Year Model'!F47&gt;=0,'5-Year Model'!E47&lt;0),"✓ Break-even","")</f>
        <v>0</v>
      </c>
      <c r="H25" s="53" t="s">
        <v>212</v>
      </c>
    </row>
    <row r="26" spans="2:8" x14ac:dyDescent="0.25">
      <c r="B26" s="25" t="s">
        <v>241</v>
      </c>
      <c r="C26" s="59">
        <v>13</v>
      </c>
      <c r="D26" s="56">
        <v>28</v>
      </c>
      <c r="E26" s="56">
        <v>53</v>
      </c>
      <c r="F26" s="60" t="s">
        <v>242</v>
      </c>
      <c r="G26" s="60" t="s">
        <v>242</v>
      </c>
      <c r="H26" s="53" t="s">
        <v>243</v>
      </c>
    </row>
    <row r="27" spans="2:8" x14ac:dyDescent="0.25">
      <c r="B27" s="25" t="s">
        <v>162</v>
      </c>
      <c r="C27" s="56">
        <v>393</v>
      </c>
      <c r="D27" s="56">
        <v>855</v>
      </c>
      <c r="E27" s="56">
        <v>1607</v>
      </c>
      <c r="F27" s="56">
        <v>2512</v>
      </c>
      <c r="G27" s="56">
        <v>3507</v>
      </c>
      <c r="H27" s="53" t="s">
        <v>244</v>
      </c>
    </row>
    <row r="29" ht="24" customHeight="1" spans="2:9" x14ac:dyDescent="0.25">
      <c r="B29" s="12" t="s">
        <v>245</v>
      </c>
      <c r="C29" s="12" t="s">
        <v>246</v>
      </c>
      <c r="D29" s="12" t="s">
        <v>247</v>
      </c>
      <c r="E29" s="12"/>
      <c r="F29" s="12" t="s">
        <v>248</v>
      </c>
      <c r="G29" s="12"/>
      <c r="H29" s="12"/>
      <c r="I29" s="12"/>
    </row>
    <row r="30" ht="45" customHeight="1" spans="2:9" x14ac:dyDescent="0.25">
      <c r="B30" s="61" t="s">
        <v>249</v>
      </c>
      <c r="C30" s="34" t="s">
        <v>250</v>
      </c>
      <c r="D30" s="62" t="s">
        <v>251</v>
      </c>
      <c r="E30" s="62"/>
      <c r="F30" s="63" t="s">
        <v>252</v>
      </c>
      <c r="G30" s="63"/>
      <c r="H30" s="63"/>
      <c r="I30" s="63"/>
    </row>
    <row r="31" ht="45" customHeight="1" spans="2:9" x14ac:dyDescent="0.25">
      <c r="B31" s="61" t="s">
        <v>253</v>
      </c>
      <c r="C31" s="34" t="s">
        <v>250</v>
      </c>
      <c r="D31" s="62" t="s">
        <v>254</v>
      </c>
      <c r="E31" s="62"/>
      <c r="F31" s="63" t="s">
        <v>255</v>
      </c>
      <c r="G31" s="63"/>
      <c r="H31" s="63"/>
      <c r="I31" s="63"/>
    </row>
    <row r="32" ht="45" customHeight="1" spans="2:9" x14ac:dyDescent="0.25">
      <c r="B32" s="61" t="s">
        <v>256</v>
      </c>
      <c r="C32" s="34" t="s">
        <v>250</v>
      </c>
      <c r="D32" s="62" t="s">
        <v>257</v>
      </c>
      <c r="E32" s="62"/>
      <c r="F32" s="63" t="s">
        <v>258</v>
      </c>
      <c r="G32" s="63"/>
      <c r="H32" s="63"/>
      <c r="I32" s="63"/>
    </row>
    <row r="33" ht="45" customHeight="1" spans="2:9" x14ac:dyDescent="0.25">
      <c r="B33" s="61" t="s">
        <v>259</v>
      </c>
      <c r="C33" s="34" t="s">
        <v>250</v>
      </c>
      <c r="D33" s="62" t="s">
        <v>260</v>
      </c>
      <c r="E33" s="62"/>
      <c r="F33" s="63" t="s">
        <v>261</v>
      </c>
      <c r="G33" s="63"/>
      <c r="H33" s="63"/>
      <c r="I33" s="63"/>
    </row>
    <row r="34" ht="45" customHeight="1" spans="2:9" x14ac:dyDescent="0.25">
      <c r="B34" s="61" t="s">
        <v>262</v>
      </c>
      <c r="C34" s="34" t="s">
        <v>250</v>
      </c>
      <c r="D34" s="62" t="s">
        <v>263</v>
      </c>
      <c r="E34" s="62"/>
      <c r="F34" s="63" t="s">
        <v>264</v>
      </c>
      <c r="G34" s="63"/>
      <c r="H34" s="63"/>
      <c r="I34" s="63"/>
    </row>
    <row r="35" ht="45" customHeight="1" spans="2:9" x14ac:dyDescent="0.25">
      <c r="B35" s="61" t="s">
        <v>265</v>
      </c>
      <c r="C35" s="34" t="s">
        <v>250</v>
      </c>
      <c r="D35" s="62" t="s">
        <v>266</v>
      </c>
      <c r="E35" s="62"/>
      <c r="F35" s="63" t="s">
        <v>267</v>
      </c>
      <c r="G35" s="63"/>
      <c r="H35" s="63"/>
      <c r="I35" s="63"/>
    </row>
    <row r="37" spans="2:6" x14ac:dyDescent="0.25">
      <c r="B37" s="61" t="s">
        <v>268</v>
      </c>
      <c r="C37" s="25" t="s">
        <v>269</v>
      </c>
      <c r="D37" s="25"/>
      <c r="E37" s="25"/>
      <c r="F37" s="25"/>
    </row>
    <row r="39" spans="2:9" x14ac:dyDescent="0.25">
      <c r="B39" s="64" t="s">
        <v>124</v>
      </c>
      <c r="C39" s="64"/>
      <c r="D39" s="64"/>
      <c r="E39" s="64"/>
      <c r="F39" s="64"/>
      <c r="G39" s="64"/>
      <c r="H39" s="64"/>
      <c r="I39" s="64"/>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25" right="0.25" top="0.5" bottom="0.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2026-05-09T13:15:57Z</dcterms:created>
  <dcterms:modified xsi:type="dcterms:W3CDTF">2026-05-09T13:15:57Z</dcterms:modified>
</cp:coreProperties>
</file>