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umptions" state="visible" r:id="rId5"/>
    <sheet sheetId="3" name="5-Year Model" state="visible" r:id="rId6"/>
    <sheet sheetId="4" name="Year 1 Pro Forma" state="visible" r:id="rId7"/>
    <sheet sheetId="5" name="Financial Health" state="visible" r:id="rId8"/>
  </sheets>
  <definedNames>
    <definedName name="_xlnm.Print_Area" localSheetId="0">'Instructions'!$A1:$B37</definedName>
    <definedName name="_xlnm.Print_Titles" localSheetId="0">'Instructions'!$1:$2</definedName>
    <definedName name="_xlnm.Print_Area" localSheetId="1">'Assumptions'!$A1:$J52</definedName>
    <definedName name="_xlnm.Print_Titles" localSheetId="1">'Assumptions'!$1:$3</definedName>
    <definedName name="_xlnm.Print_Area" localSheetId="2">'5-Year Model'!$A1:$F70</definedName>
    <definedName name="_xlnm.Print_Titles" localSheetId="2">'5-Year Model'!$1:$2</definedName>
    <definedName name="_xlnm.Print_Area" localSheetId="3">'Year 1 Pro Forma'!$A1:$N41</definedName>
    <definedName name="_xlnm.Print_Titles" localSheetId="3">'Year 1 Pro Forma'!$1:$2</definedName>
    <definedName name="_xlnm.Print_Area" localSheetId="4">'Financial Health'!$A1:$H39</definedName>
    <definedName name="_xlnm.Print_Titles" localSheetId="4">'Financial Health'!$1:$2</definedName>
  </definedNames>
  <calcPr calcId="171027" fullCalcOnLoad="1"/>
</workbook>
</file>

<file path=xl/sharedStrings.xml><?xml version="1.0" encoding="utf-8"?>
<sst xmlns="http://schemas.openxmlformats.org/spreadsheetml/2006/main" count="365" uniqueCount="261">
  <si>
    <t>How to Use This Workbook</t>
  </si>
  <si>
    <t>Liberty Learning Co-Op</t>
  </si>
  <si>
    <t>Generated March 27,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</si>
  <si>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</si>
  <si>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</si>
  <si>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</si>
  <si>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</si>
  <si>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</si>
  <si>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</si>
  <si>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</si>
  <si>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</si>
  <si>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5-Year Model: Detailed revenue, expense, and cash projections</t>
  </si>
  <si>
    <t>Pro Forma: Consolidated income statement</t>
  </si>
  <si>
    <t>Actuals vs Projections: Variance tracking</t>
  </si>
  <si>
    <t>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</si>
  <si>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</si>
  <si>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</si>
  <si>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</si>
  <si>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</si>
  <si>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</si>
  <si>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</si>
  <si>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</si>
  <si>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</si>
  <si>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</si>
  <si>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</si>
  <si>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</si>
  <si>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</si>
  <si>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</si>
  <si>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</si>
  <si>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</si>
  <si>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Liberty Learning Co-Op - Financial Model Assumptions</t>
  </si>
  <si>
    <t>Editable assumption — change this value</t>
  </si>
  <si>
    <t>Calculated — driven by formula</t>
  </si>
  <si>
    <t>SCHOOL PROFILE</t>
  </si>
  <si>
    <t>School Name</t>
  </si>
  <si>
    <t>State</t>
  </si>
  <si>
    <t>AZ</t>
  </si>
  <si>
    <t>School Type</t>
  </si>
  <si>
    <t>Homeschool Co-Op</t>
  </si>
  <si>
    <t>Legal Entity</t>
  </si>
  <si>
    <t>LLC (Single Member)</t>
  </si>
  <si>
    <t>EIN</t>
  </si>
  <si>
    <t>86-5551234</t>
  </si>
  <si>
    <t>Website</t>
  </si>
  <si>
    <t>N/A</t>
  </si>
  <si>
    <t>Fiscal Year Start</t>
  </si>
  <si>
    <t>July</t>
  </si>
  <si>
    <t>Maximum Capacity</t>
  </si>
  <si>
    <t>School Stage</t>
  </si>
  <si>
    <t>New School</t>
  </si>
  <si>
    <t>Location</t>
  </si>
  <si>
    <t>789 Desert Way, Mesa, AZ, 85201</t>
  </si>
  <si>
    <t>ENROLLMENT</t>
  </si>
  <si>
    <t>2026-27</t>
  </si>
  <si>
    <t>2027-28</t>
  </si>
  <si>
    <t>2028-29</t>
  </si>
  <si>
    <t>2029-30</t>
  </si>
  <si>
    <t>2030-31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</si>
  <si>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</si>
  <si>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</si>
  <si>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</si>
  <si>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</si>
  <si>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</si>
  <si>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</si>
  <si>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</si>
  <si>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</si>
  <si>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</si>
  <si>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Co-Op Tuition</t>
  </si>
  <si>
    <t>Tuition &amp; Fees</t>
  </si>
  <si>
    <t>Per Student</t>
  </si>
  <si>
    <t>Materials Fee</t>
  </si>
  <si>
    <t>ESA Revenue</t>
  </si>
  <si>
    <t>School Choice</t>
  </si>
  <si>
    <t>Annual Fundraising</t>
  </si>
  <si>
    <t>Philanthropy</t>
  </si>
  <si>
    <t>Annual Fixed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</si>
  <si>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</si>
  <si>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</si>
  <si>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</si>
  <si>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</si>
  <si>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</si>
  <si>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</si>
  <si>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</si>
  <si>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</si>
  <si>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</si>
  <si>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Director / Lead Educator</t>
  </si>
  <si>
    <t>School Leadership</t>
  </si>
  <si>
    <t>FT</t>
  </si>
  <si>
    <t>Yes</t>
  </si>
  <si>
    <t>Assistant Educator</t>
  </si>
  <si>
    <t>Instructional</t>
  </si>
  <si>
    <t>PT</t>
  </si>
  <si>
    <t>No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</si>
  <si>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</si>
  <si>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</si>
  <si>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</si>
  <si>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</si>
  <si>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</si>
  <si>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</si>
  <si>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</si>
  <si>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</si>
  <si>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</si>
  <si>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Occupancy / Facility</t>
  </si>
  <si>
    <t>Utilities</t>
  </si>
  <si>
    <t>Insurance</t>
  </si>
  <si>
    <t>Curriculum &amp; Materials</t>
  </si>
  <si>
    <t>Instructional / Program</t>
  </si>
  <si>
    <t>Technology</t>
  </si>
  <si>
    <t>CAPITAL &amp; DEBT</t>
  </si>
  <si>
    <t>Is Loan?</t>
  </si>
  <si>
    <t>Principal</t>
  </si>
  <si>
    <t>Interest Rate</t>
  </si>
  <si>
    <t>Term (Yrs)</t>
  </si>
  <si>
    <t>Annual Payment</t>
  </si>
  <si>
    <t>GROWTH &amp; TIMING ASSUMPTIONS</t>
  </si>
  <si>
    <t>Annual Salary Escalation</t>
  </si>
  <si>
    <t>General Cost Inflation</t>
  </si>
  <si>
    <t>Year 1 Proration Factor</t>
  </si>
  <si>
    <t>(10 of 12 months)</t>
  </si>
  <si>
    <t>Tuition Escalation Rate</t>
  </si>
  <si>
    <t>Management Fee %</t>
  </si>
  <si>
    <t>Starting Cash</t>
  </si>
  <si>
    <t>Built by SchoolStack Budget  •  budget.schoolstack.ai</t>
  </si>
  <si>
    <t>Liberty Learning Co-Op - 5-Year Financial Model</t>
  </si>
  <si>
    <t>REVENUE</t>
  </si>
  <si>
    <t>TOTAL REVENUE</t>
  </si>
  <si>
    <t>PERSONNEL</t>
  </si>
  <si>
    <t>Director / Lead Educator (School Leadership)</t>
  </si>
  <si>
    <t>Assistant Educator (Instructional)</t>
  </si>
  <si>
    <t>TOTAL PERSONNEL</t>
  </si>
  <si>
    <t xml:space="preserve">  Curriculum &amp; Materials (Per Student)</t>
  </si>
  <si>
    <t>Total Instructional / Program</t>
  </si>
  <si>
    <t xml:space="preserve">  Technology (Per Student)</t>
  </si>
  <si>
    <t>Total Technology</t>
  </si>
  <si>
    <t xml:space="preserve">  Rent (Monthly)</t>
  </si>
  <si>
    <t xml:space="preserve">  Utilities (Monthly)</t>
  </si>
  <si>
    <t xml:space="preserve">  Insurance (Annual Fixed)</t>
  </si>
  <si>
    <t>Total Occupancy / Facility</t>
  </si>
  <si>
    <t>TOTAL OPERATING EXPENSES</t>
  </si>
  <si>
    <t>CAPITAL &amp; DEBT SERVICE</t>
  </si>
  <si>
    <t>TOTAL CAPITAL &amp; DEBT SERVICE</t>
  </si>
  <si>
    <t>INCOME STATEMENT SUMMARY</t>
  </si>
  <si>
    <t>Total Revenue</t>
  </si>
  <si>
    <t>Total Personnel</t>
  </si>
  <si>
    <t>Total Operating Expenses</t>
  </si>
  <si>
    <t>Total Capital &amp; Debt Service</t>
  </si>
  <si>
    <t>Total Expenses</t>
  </si>
  <si>
    <t>Profit / (Loss)</t>
  </si>
  <si>
    <t>Profit Margin %</t>
  </si>
  <si>
    <t>Cumulative Profit</t>
  </si>
  <si>
    <t>Break-even</t>
  </si>
  <si>
    <t>✓ Break-even</t>
  </si>
  <si>
    <t>CASH FLOW &amp; DEBT COVERAGE</t>
  </si>
  <si>
    <t>CFADS (Cash Flow Available for Debt Service)</t>
  </si>
  <si>
    <t>Debt Service</t>
  </si>
  <si>
    <t>DSCR (Debt Service Coverage Ratio)</t>
  </si>
  <si>
    <t>Ending Cash</t>
  </si>
  <si>
    <t>Days Cash on Hand</t>
  </si>
  <si>
    <t>Months of Runway</t>
  </si>
  <si>
    <t>Capacity Utilization %</t>
  </si>
  <si>
    <t>COVENANT &amp; HEALTH CHECKS</t>
  </si>
  <si>
    <t>DSCR ≥ 1.20x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</si>
  <si>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</si>
  <si>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</si>
  <si>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</si>
  <si>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</si>
  <si>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</si>
  <si>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</si>
  <si>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</si>
  <si>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</si>
  <si>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</si>
  <si>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</si>
  <si>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Liberty Learning Co-Op - 2026-27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</si>
  <si>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</si>
  <si>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</si>
  <si>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</si>
  <si>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</si>
  <si>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</si>
  <si>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</si>
  <si>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</si>
  <si>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</si>
  <si>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</si>
  <si>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</si>
  <si>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</si>
  <si>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</si>
  <si>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 xml:space="preserve">  Curriculum &amp; Materials</t>
  </si>
  <si>
    <t xml:space="preserve">  Technology</t>
  </si>
  <si>
    <t xml:space="preserve">  Rent</t>
  </si>
  <si>
    <t xml:space="preserve">  Utilities</t>
  </si>
  <si>
    <t xml:space="preserve">  Insurance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</si>
  <si>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</si>
  <si>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</si>
  <si>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</si>
  <si>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</si>
  <si>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</si>
  <si>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</si>
  <si>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</si>
  <si>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Liberty Learning Co-Op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</si>
  <si>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</si>
  <si>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</si>
  <si>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</si>
  <si>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</si>
  <si>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</si>
  <si>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</si>
  <si>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</si>
  <si>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</si>
  <si>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</si>
  <si>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</si>
  <si>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</si>
  <si>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Enrollment</t>
  </si>
  <si>
    <t>Revenue</t>
  </si>
  <si>
    <t>Personnel</t>
  </si>
  <si>
    <t>Operating Expenses</t>
  </si>
  <si>
    <t>Net Income</t>
  </si>
  <si>
    <t>Net Margin</t>
  </si>
  <si>
    <t>Revenue per Student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</si>
  <si>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</si>
  <si>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</si>
  <si>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</si>
  <si>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</si>
  <si>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</si>
  <si>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</si>
  <si>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</si>
  <si>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</si>
  <si>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</si>
  <si>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</si>
  <si>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</si>
  <si>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</si>
  <si>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</si>
  <si>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</si>
  <si>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</si>
  <si>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Break-even Year</t>
  </si>
  <si>
    <t>Cash Runway (Months)</t>
  </si>
  <si>
    <t>60+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</si>
  <si>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</si>
  <si>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</si>
  <si>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</si>
  <si>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</si>
  <si>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</si>
  <si>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</si>
  <si>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</si>
  <si>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</si>
  <si>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</si>
  <si>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</si>
  <si>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</si>
  <si>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</si>
  <si>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</si>
  <si>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</si>
  <si>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15% of revenue leaves room for facilities, programs, and reserves.</t>
  </si>
  <si>
    <t>As you add staff, ensure staffing stays below 60% of revenue.</t>
  </si>
  <si>
    <t>Facility Burden</t>
  </si>
  <si>
    <t>Facility costs at 5%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</si>
  <si>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</si>
  <si>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</si>
  <si>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</si>
  <si>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</si>
  <si>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</si>
  <si>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115.1 months of reserves by Year 5 — a strong buffer for unexpected costs.</t>
  </si>
  <si>
    <t>Continue growing reserves toward 6 months for best-in-class financial health.</t>
  </si>
  <si>
    <t>Summary</t>
  </si>
  <si>
    <t>6 Healthy  |  0 Watch  |  0 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</si>
</sst>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8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i/>
      <color rgb="FF888888"/>
      <sz val="11"/>
      <name val="Calibri"/>
    </font>
    <font>
      <i/>
      <color rgb="FF9CA3AF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b/>
      <color rgb="FF16A34A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0" fillId="4" borderId="1" xfId="0" applyFill="1" applyBorder="1"/>
    <xf numFmtId="0" fontId="4" fillId="5" borderId="2" xfId="0" applyFont="1" applyFill="1" applyBorder="1"/>
    <xf numFmtId="0" fontId="6" fillId="0" borderId="2" xfId="0" applyFont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0" fontId="4" fillId="5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/>
    <xf numFmtId="166" fontId="5" fillId="2" borderId="2" xfId="0" applyNumberFormat="1" applyFont="1" applyFill="1" applyBorder="1"/>
    <xf numFmtId="2" fontId="5" fillId="2" borderId="2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6" borderId="2" xfId="0" applyFont="1" applyFill="1" applyBorder="1" applyAlignment="1">
      <alignment horizontal="center" vertical="center"/>
    </xf>
    <xf numFmtId="0" fontId="12" fillId="0" borderId="2" xfId="0" applyFont="1" applyBorder="1"/>
    <xf numFmtId="164" fontId="12" fillId="0" borderId="2" xfId="0" applyNumberFormat="1" applyFont="1" applyBorder="1"/>
    <xf numFmtId="165" fontId="6" fillId="0" borderId="2" xfId="0" applyNumberFormat="1" applyFont="1" applyBorder="1"/>
    <xf numFmtId="165" fontId="12" fillId="5" borderId="3" xfId="0" applyNumberFormat="1" applyFont="1" applyFill="1" applyBorder="1"/>
    <xf numFmtId="0" fontId="12" fillId="0" borderId="0" xfId="0" applyFont="1"/>
    <xf numFmtId="165" fontId="12" fillId="0" borderId="2" xfId="0" applyNumberFormat="1" applyFont="1" applyBorder="1"/>
    <xf numFmtId="0" fontId="13" fillId="0" borderId="0" xfId="0" applyFont="1"/>
    <xf numFmtId="165" fontId="12" fillId="0" borderId="3" xfId="0" applyNumberFormat="1" applyFont="1" applyBorder="1"/>
    <xf numFmtId="166" fontId="6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7" fontId="12" fillId="0" borderId="2" xfId="0" applyNumberFormat="1" applyFont="1" applyBorder="1"/>
    <xf numFmtId="164" fontId="6" fillId="0" borderId="2" xfId="0" applyNumberFormat="1" applyFont="1" applyBorder="1"/>
    <xf numFmtId="168" fontId="6" fillId="0" borderId="2" xfId="0" applyNumberFormat="1" applyFont="1" applyBorder="1"/>
    <xf numFmtId="0" fontId="13" fillId="0" borderId="2" xfId="0" applyFont="1" applyBorder="1"/>
    <xf numFmtId="164" fontId="12" fillId="0" borderId="3" xfId="0" applyNumberFormat="1" applyFont="1" applyBorder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12" fillId="3" borderId="3" xfId="0" applyNumberFormat="1" applyFont="1" applyFill="1" applyBorder="1" applyAlignment="1">
      <alignment horizontal="right"/>
    </xf>
    <xf numFmtId="166" fontId="12" fillId="3" borderId="3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0" fontId="15" fillId="0" borderId="2" xfId="0" applyFont="1" applyBorder="1"/>
    <xf numFmtId="165" fontId="12" fillId="0" borderId="2" xfId="0" applyNumberFormat="1" applyFont="1" applyBorder="1" applyAlignment="1">
      <alignment horizontal="right"/>
    </xf>
    <xf numFmtId="165" fontId="12" fillId="3" borderId="2" xfId="0" applyNumberFormat="1" applyFont="1" applyFill="1" applyBorder="1" applyAlignment="1">
      <alignment horizontal="right"/>
    </xf>
    <xf numFmtId="164" fontId="12" fillId="3" borderId="3" xfId="0" applyNumberFormat="1" applyFont="1" applyFill="1" applyBorder="1" applyAlignment="1">
      <alignment horizontal="right"/>
    </xf>
    <xf numFmtId="49" fontId="12" fillId="0" borderId="3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164" fontId="12" fillId="7" borderId="3" xfId="0" applyNumberFormat="1" applyFont="1" applyFill="1" applyBorder="1" applyAlignment="1">
      <alignment horizontal="right"/>
    </xf>
    <xf numFmtId="49" fontId="12" fillId="3" borderId="3" xfId="0" applyNumberFormat="1" applyFont="1" applyFill="1" applyBorder="1" applyAlignment="1">
      <alignment horizontal="right"/>
    </xf>
    <xf numFmtId="0" fontId="4" fillId="0" borderId="2" xfId="0" applyFont="1" applyBorder="1"/>
    <xf numFmtId="0" fontId="6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25" right="0.25" top="0.5" bottom="0.5" header="0.3" footer="0.3"/>
  <pageSetup paperSize="1" orientation="portrait" fitToWidth="1" fitToHeight="0"/>
  <headerFooter>
    <oddHeader>&amp;L&amp;10&amp;BLiberty Learning Co-Op&amp;R&amp;8&amp;IInstructions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8" t="s">
        <v>30</v>
      </c>
      <c r="B1" s="8"/>
      <c r="C1" s="8"/>
      <c r="D1" s="8"/>
      <c r="E1" s="8"/>
      <c r="F1" s="8"/>
      <c r="G1" s="8"/>
    </row>
    <row r="2" spans="1:5" x14ac:dyDescent="0.25">
      <c r="A2" s="9" t="s">
        <v>7</v>
      </c>
      <c r="B2" s="10" t="s">
        <v>31</v>
      </c>
      <c r="D2" s="11" t="s">
        <v>7</v>
      </c>
      <c r="E2" s="10" t="s">
        <v>32</v>
      </c>
    </row>
    <row r="4" ht="24" customHeight="1" spans="1:7" x14ac:dyDescent="0.25">
      <c r="A4" s="12" t="s">
        <v>33</v>
      </c>
      <c r="B4" s="12"/>
      <c r="C4" s="12"/>
      <c r="D4" s="12"/>
      <c r="E4" s="12"/>
      <c r="F4" s="12"/>
      <c r="G4" s="12"/>
    </row>
    <row r="5" spans="1:4" x14ac:dyDescent="0.25">
      <c r="A5" s="13" t="s">
        <v>34</v>
      </c>
      <c r="B5" s="14" t="s">
        <v>1</v>
      </c>
      <c r="C5" s="14"/>
      <c r="D5" s="14"/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38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4" x14ac:dyDescent="0.25">
      <c r="A10" s="13" t="s">
        <v>43</v>
      </c>
      <c r="B10" s="14" t="s">
        <v>44</v>
      </c>
      <c r="C10" s="14"/>
      <c r="D10" s="14"/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47</v>
      </c>
      <c r="B12" s="15">
        <v>40</v>
      </c>
    </row>
    <row r="13" spans="1:2" x14ac:dyDescent="0.25">
      <c r="A13" s="13" t="s">
        <v>48</v>
      </c>
      <c r="B13" s="13" t="s">
        <v>49</v>
      </c>
    </row>
    <row r="14" spans="1:2" x14ac:dyDescent="0.25">
      <c r="A14" s="13" t="s">
        <v>50</v>
      </c>
      <c r="B14" s="13" t="s">
        <v>51</v>
      </c>
    </row>
    <row r="16" ht="24" customHeight="1" spans="1:7" x14ac:dyDescent="0.25">
      <c r="A16" s="12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16" t="s">
        <v>57</v>
      </c>
      <c r="G16" s="12"/>
    </row>
    <row r="17" spans="1:6" x14ac:dyDescent="0.25">
      <c r="A17" s="13" t="s">
        <v>58</v>
      </c>
      <c r="B17" s="17">
        <v>15</v>
      </c>
      <c r="C17" s="17">
        <v>22</v>
      </c>
      <c r="D17" s="17">
        <v>30</v>
      </c>
      <c r="E17" s="17">
        <v>36</v>
      </c>
      <c r="F17" s="17">
        <v>40</v>
      </c>
    </row>
    <row r="19" ht="24" customHeight="1" spans="1:10" x14ac:dyDescent="0.25">
      <c r="A19" s="12" t="s">
        <v>59</v>
      </c>
      <c r="B19" s="12" t="s">
        <v>60</v>
      </c>
      <c r="C19" s="12" t="s">
        <v>61</v>
      </c>
      <c r="D19" s="12" t="s">
        <v>62</v>
      </c>
      <c r="E19" s="12" t="s">
        <v>63</v>
      </c>
      <c r="F19" s="12" t="s">
        <v>64</v>
      </c>
      <c r="G19" s="12" t="s">
        <v>65</v>
      </c>
      <c r="H19" s="12" t="s">
        <v>66</v>
      </c>
      <c r="I19" s="12"/>
      <c r="J19" s="12"/>
    </row>
    <row r="20" spans="1:8" x14ac:dyDescent="0.25">
      <c r="A20" s="13" t="s">
        <v>67</v>
      </c>
      <c r="B20" s="13" t="s">
        <v>68</v>
      </c>
      <c r="C20" s="13" t="s">
        <v>69</v>
      </c>
      <c r="D20" s="18">
        <v>6000</v>
      </c>
      <c r="E20" s="19">
        <v>0</v>
      </c>
      <c r="F20" s="15">
        <v>10</v>
      </c>
      <c r="G20" s="19">
        <v>1</v>
      </c>
      <c r="H20" s="13" t="s">
        <v>7</v>
      </c>
    </row>
    <row r="21" spans="1:8" x14ac:dyDescent="0.25">
      <c r="A21" s="13" t="s">
        <v>70</v>
      </c>
      <c r="B21" s="13" t="s">
        <v>68</v>
      </c>
      <c r="C21" s="13" t="s">
        <v>69</v>
      </c>
      <c r="D21" s="18">
        <v>200</v>
      </c>
      <c r="E21" s="19">
        <v>0</v>
      </c>
      <c r="F21" s="15">
        <v>12</v>
      </c>
      <c r="G21" s="19">
        <v>1</v>
      </c>
      <c r="H21" s="13" t="s">
        <v>7</v>
      </c>
    </row>
    <row r="22" spans="1:8" x14ac:dyDescent="0.25">
      <c r="A22" s="13" t="s">
        <v>71</v>
      </c>
      <c r="B22" s="13" t="s">
        <v>72</v>
      </c>
      <c r="C22" s="13" t="s">
        <v>69</v>
      </c>
      <c r="D22" s="18">
        <v>7000</v>
      </c>
      <c r="E22" s="19">
        <v>0</v>
      </c>
      <c r="F22" s="15">
        <v>12</v>
      </c>
      <c r="G22" s="19">
        <v>1</v>
      </c>
      <c r="H22" s="13" t="s">
        <v>7</v>
      </c>
    </row>
    <row r="23" spans="1:8" x14ac:dyDescent="0.25">
      <c r="A23" s="13" t="s">
        <v>73</v>
      </c>
      <c r="B23" s="13" t="s">
        <v>74</v>
      </c>
      <c r="C23" s="13" t="s">
        <v>75</v>
      </c>
      <c r="D23" s="18">
        <v>3000</v>
      </c>
      <c r="E23" s="19">
        <v>0</v>
      </c>
      <c r="F23" s="15">
        <v>12</v>
      </c>
      <c r="G23" s="19">
        <v>1</v>
      </c>
      <c r="H23" s="13" t="s">
        <v>7</v>
      </c>
    </row>
    <row r="26" ht="24" customHeight="1" spans="1:9" x14ac:dyDescent="0.25">
      <c r="A26" s="12" t="s">
        <v>76</v>
      </c>
      <c r="B26" s="12" t="s">
        <v>77</v>
      </c>
      <c r="C26" s="12" t="s">
        <v>78</v>
      </c>
      <c r="D26" s="12" t="s">
        <v>79</v>
      </c>
      <c r="E26" s="12" t="s">
        <v>80</v>
      </c>
      <c r="F26" s="12" t="s">
        <v>81</v>
      </c>
      <c r="G26" s="12" t="s">
        <v>82</v>
      </c>
      <c r="H26" s="12" t="s">
        <v>83</v>
      </c>
      <c r="I26" s="12" t="s">
        <v>84</v>
      </c>
    </row>
    <row r="27" spans="1:9" x14ac:dyDescent="0.25">
      <c r="A27" s="13" t="s">
        <v>85</v>
      </c>
      <c r="B27" s="13" t="s">
        <v>86</v>
      </c>
      <c r="C27" s="13" t="s">
        <v>87</v>
      </c>
      <c r="D27" s="20">
        <v>1</v>
      </c>
      <c r="E27" s="18">
        <v>48000</v>
      </c>
      <c r="F27" s="19">
        <v>0.2</v>
      </c>
      <c r="G27" s="19">
        <v>0.0765</v>
      </c>
      <c r="H27" s="13" t="s">
        <v>88</v>
      </c>
      <c r="I27" s="13" t="s">
        <v>7</v>
      </c>
    </row>
    <row r="28" spans="1:9" x14ac:dyDescent="0.25">
      <c r="A28" s="13" t="s">
        <v>89</v>
      </c>
      <c r="B28" s="13" t="s">
        <v>90</v>
      </c>
      <c r="C28" s="13" t="s">
        <v>91</v>
      </c>
      <c r="D28" s="20">
        <v>0.5</v>
      </c>
      <c r="E28" s="18">
        <v>30000</v>
      </c>
      <c r="F28" s="19">
        <v>0</v>
      </c>
      <c r="G28" s="19">
        <v>0.0765</v>
      </c>
      <c r="H28" s="13" t="s">
        <v>92</v>
      </c>
      <c r="I28" s="13" t="s">
        <v>7</v>
      </c>
    </row>
    <row r="30" ht="24" customHeight="1" spans="1:4" x14ac:dyDescent="0.25">
      <c r="A30" s="12" t="s">
        <v>93</v>
      </c>
      <c r="B30" s="12" t="s">
        <v>94</v>
      </c>
      <c r="C30" s="12" t="s">
        <v>95</v>
      </c>
      <c r="D30" s="12"/>
    </row>
    <row r="31" spans="1:2" x14ac:dyDescent="0.25">
      <c r="A31" s="13" t="s">
        <v>96</v>
      </c>
      <c r="B31" s="14" t="s">
        <v>97</v>
      </c>
    </row>
    <row r="32" spans="1:3" x14ac:dyDescent="0.25">
      <c r="A32" s="13" t="s">
        <v>98</v>
      </c>
      <c r="B32" s="18">
        <v>1800</v>
      </c>
      <c r="C32" s="13" t="s">
        <v>99</v>
      </c>
    </row>
    <row r="33" spans="1:2" x14ac:dyDescent="0.25">
      <c r="A33" s="13" t="s">
        <v>100</v>
      </c>
      <c r="B33" s="19">
        <v>0.03</v>
      </c>
    </row>
    <row r="35" ht="24" customHeight="1" spans="1:7" x14ac:dyDescent="0.25">
      <c r="A35" s="12" t="s">
        <v>101</v>
      </c>
      <c r="B35" s="12" t="s">
        <v>60</v>
      </c>
      <c r="C35" s="12" t="s">
        <v>61</v>
      </c>
      <c r="D35" s="12" t="s">
        <v>62</v>
      </c>
      <c r="E35" s="12" t="s">
        <v>63</v>
      </c>
      <c r="F35" s="12" t="s">
        <v>66</v>
      </c>
      <c r="G35" s="12"/>
    </row>
    <row r="36" spans="1:6" x14ac:dyDescent="0.25">
      <c r="A36" s="13" t="s">
        <v>97</v>
      </c>
      <c r="B36" s="13" t="s">
        <v>102</v>
      </c>
      <c r="C36" s="13" t="s">
        <v>99</v>
      </c>
      <c r="D36" s="18">
        <v>1800</v>
      </c>
      <c r="E36" s="19">
        <v>0.03</v>
      </c>
      <c r="F36" s="13" t="s">
        <v>7</v>
      </c>
    </row>
    <row r="37" spans="1:6" x14ac:dyDescent="0.25">
      <c r="A37" s="13" t="s">
        <v>103</v>
      </c>
      <c r="B37" s="13" t="s">
        <v>102</v>
      </c>
      <c r="C37" s="13" t="s">
        <v>99</v>
      </c>
      <c r="D37" s="18">
        <v>200</v>
      </c>
      <c r="E37" s="19">
        <v>0</v>
      </c>
      <c r="F37" s="13" t="s">
        <v>7</v>
      </c>
    </row>
    <row r="38" spans="1:6" x14ac:dyDescent="0.25">
      <c r="A38" s="13" t="s">
        <v>104</v>
      </c>
      <c r="B38" s="13" t="s">
        <v>102</v>
      </c>
      <c r="C38" s="13" t="s">
        <v>75</v>
      </c>
      <c r="D38" s="18">
        <v>1800</v>
      </c>
      <c r="E38" s="19">
        <v>0</v>
      </c>
      <c r="F38" s="13" t="s">
        <v>7</v>
      </c>
    </row>
    <row r="39" spans="1:6" x14ac:dyDescent="0.25">
      <c r="A39" s="13" t="s">
        <v>105</v>
      </c>
      <c r="B39" s="13" t="s">
        <v>106</v>
      </c>
      <c r="C39" s="13" t="s">
        <v>69</v>
      </c>
      <c r="D39" s="18">
        <v>400</v>
      </c>
      <c r="E39" s="19">
        <v>0</v>
      </c>
      <c r="F39" s="13" t="s">
        <v>7</v>
      </c>
    </row>
    <row r="40" spans="1:6" x14ac:dyDescent="0.25">
      <c r="A40" s="13" t="s">
        <v>107</v>
      </c>
      <c r="B40" s="13" t="s">
        <v>107</v>
      </c>
      <c r="C40" s="13" t="s">
        <v>69</v>
      </c>
      <c r="D40" s="18">
        <v>250</v>
      </c>
      <c r="E40" s="19">
        <v>0</v>
      </c>
      <c r="F40" s="13" t="s">
        <v>7</v>
      </c>
    </row>
    <row r="42" ht="24" customHeight="1" spans="1:8" x14ac:dyDescent="0.25">
      <c r="A42" s="12" t="s">
        <v>108</v>
      </c>
      <c r="B42" s="12" t="s">
        <v>109</v>
      </c>
      <c r="C42" s="12" t="s">
        <v>62</v>
      </c>
      <c r="D42" s="12" t="s">
        <v>110</v>
      </c>
      <c r="E42" s="12" t="s">
        <v>111</v>
      </c>
      <c r="F42" s="12" t="s">
        <v>112</v>
      </c>
      <c r="G42" s="12" t="s">
        <v>113</v>
      </c>
      <c r="H42" s="12" t="s">
        <v>66</v>
      </c>
    </row>
    <row r="44" ht="24" customHeight="1" spans="1:3" x14ac:dyDescent="0.25">
      <c r="A44" s="12" t="s">
        <v>114</v>
      </c>
      <c r="B44" s="12"/>
      <c r="C44" s="12"/>
    </row>
    <row r="45" spans="1:2" x14ac:dyDescent="0.25">
      <c r="A45" s="13" t="s">
        <v>115</v>
      </c>
      <c r="B45" s="19">
        <v>0.03</v>
      </c>
    </row>
    <row r="46" spans="1:2" x14ac:dyDescent="0.25">
      <c r="A46" s="13" t="s">
        <v>116</v>
      </c>
      <c r="B46" s="19">
        <v>0.025</v>
      </c>
    </row>
    <row r="47" spans="1:3" x14ac:dyDescent="0.25">
      <c r="A47" s="13" t="s">
        <v>117</v>
      </c>
      <c r="B47" s="20">
        <v>0.8333333333333334</v>
      </c>
      <c r="C47" s="21" t="s">
        <v>118</v>
      </c>
    </row>
    <row r="48" spans="1:2" x14ac:dyDescent="0.25">
      <c r="A48" s="13" t="s">
        <v>119</v>
      </c>
      <c r="B48" s="19">
        <v>0.03</v>
      </c>
    </row>
    <row r="49" spans="1:2" x14ac:dyDescent="0.25">
      <c r="A49" s="13" t="s">
        <v>120</v>
      </c>
      <c r="B49" s="19">
        <v>0</v>
      </c>
    </row>
    <row r="50" spans="1:2" x14ac:dyDescent="0.25">
      <c r="A50" s="13" t="s">
        <v>121</v>
      </c>
      <c r="B50" s="18">
        <v>0</v>
      </c>
    </row>
    <row r="52" spans="1:7" x14ac:dyDescent="0.25">
      <c r="A52" s="22" t="s">
        <v>122</v>
      </c>
      <c r="B52" s="22"/>
      <c r="C52" s="22"/>
      <c r="D52" s="22"/>
      <c r="E52" s="22"/>
      <c r="F52" s="22"/>
      <c r="G52" s="22"/>
    </row>
  </sheetData>
  <mergeCells count="4">
    <mergeCell ref="A1:G1"/>
    <mergeCell ref="B5:D5"/>
    <mergeCell ref="B10:D10"/>
    <mergeCell ref="A52:G52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Learning Co-Op&amp;R&amp;8&amp;IAssumptions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8" t="s">
        <v>123</v>
      </c>
      <c r="B1" s="8"/>
      <c r="C1" s="8"/>
      <c r="D1" s="8"/>
      <c r="E1" s="8"/>
      <c r="F1" s="8"/>
    </row>
    <row r="2" ht="28" customHeight="1" spans="1:6" x14ac:dyDescent="0.25">
      <c r="A2" s="23" t="s">
        <v>7</v>
      </c>
      <c r="B2" s="23" t="s">
        <v>53</v>
      </c>
      <c r="C2" s="23" t="s">
        <v>54</v>
      </c>
      <c r="D2" s="23" t="s">
        <v>55</v>
      </c>
      <c r="E2" s="23" t="s">
        <v>56</v>
      </c>
      <c r="F2" s="23" t="s">
        <v>57</v>
      </c>
    </row>
    <row r="3" spans="1:6" x14ac:dyDescent="0.25">
      <c r="A3" s="24" t="s">
        <v>58</v>
      </c>
      <c r="B3" s="25">
        <f>Assumptions!B17</f>
        <v>15</v>
      </c>
      <c r="C3" s="25">
        <f>Assumptions!C17</f>
        <v>22</v>
      </c>
      <c r="D3" s="25">
        <f>Assumptions!D17</f>
        <v>30</v>
      </c>
      <c r="E3" s="25">
        <f>Assumptions!E17</f>
        <v>36</v>
      </c>
      <c r="F3" s="25">
        <f>Assumptions!F17</f>
        <v>40</v>
      </c>
    </row>
    <row r="5" ht="24" customHeight="1" spans="1:6" x14ac:dyDescent="0.25">
      <c r="A5" s="12" t="s">
        <v>124</v>
      </c>
      <c r="B5" s="12"/>
      <c r="C5" s="12"/>
      <c r="D5" s="12"/>
      <c r="E5" s="12"/>
      <c r="F5" s="12"/>
    </row>
    <row r="6" spans="1:6" x14ac:dyDescent="0.25">
      <c r="A6" s="13" t="s">
        <v>67</v>
      </c>
      <c r="B6" s="26">
        <v>75000</v>
      </c>
      <c r="C6" s="26">
        <v>135300</v>
      </c>
      <c r="D6" s="26">
        <v>189112</v>
      </c>
      <c r="E6" s="26">
        <v>232608</v>
      </c>
      <c r="F6" s="26">
        <v>264915</v>
      </c>
    </row>
    <row r="7" spans="1:6" x14ac:dyDescent="0.25">
      <c r="A7" s="13" t="s">
        <v>70</v>
      </c>
      <c r="B7" s="26">
        <v>2500</v>
      </c>
      <c r="C7" s="26">
        <v>4510</v>
      </c>
      <c r="D7" s="26">
        <v>6304</v>
      </c>
      <c r="E7" s="26">
        <v>7754</v>
      </c>
      <c r="F7" s="26">
        <v>8831</v>
      </c>
    </row>
    <row r="8" spans="1:6" x14ac:dyDescent="0.25">
      <c r="A8" s="13" t="s">
        <v>71</v>
      </c>
      <c r="B8" s="26">
        <v>87500</v>
      </c>
      <c r="C8" s="26">
        <v>157850</v>
      </c>
      <c r="D8" s="26">
        <v>220631</v>
      </c>
      <c r="E8" s="26">
        <v>271376</v>
      </c>
      <c r="F8" s="26">
        <v>309068</v>
      </c>
    </row>
    <row r="9" spans="1:6" x14ac:dyDescent="0.25">
      <c r="A9" s="13" t="s">
        <v>73</v>
      </c>
      <c r="B9" s="26">
        <v>2500</v>
      </c>
      <c r="C9" s="26">
        <v>3075</v>
      </c>
      <c r="D9" s="26">
        <v>3152</v>
      </c>
      <c r="E9" s="26">
        <v>3231</v>
      </c>
      <c r="F9" s="26">
        <v>3311</v>
      </c>
    </row>
    <row r="10" ht="24" customHeight="1" spans="1:6" x14ac:dyDescent="0.25">
      <c r="A10" s="12" t="s">
        <v>125</v>
      </c>
      <c r="B10" s="27">
        <f>SUM(B6:B9)</f>
        <v>167500</v>
      </c>
      <c r="C10" s="27">
        <f>SUM(C6:C9)</f>
        <v>300735</v>
      </c>
      <c r="D10" s="27">
        <f>SUM(D6:D9)</f>
        <v>419199</v>
      </c>
      <c r="E10" s="27">
        <f>SUM(E6:E9)</f>
        <v>514969</v>
      </c>
      <c r="F10" s="27">
        <f>SUM(F6:F9)</f>
        <v>586125</v>
      </c>
    </row>
    <row r="12" ht="24" customHeight="1" spans="1:6" x14ac:dyDescent="0.25">
      <c r="A12" s="12" t="s">
        <v>126</v>
      </c>
      <c r="B12" s="12"/>
      <c r="C12" s="12"/>
      <c r="D12" s="12"/>
      <c r="E12" s="12"/>
      <c r="F12" s="12"/>
    </row>
    <row r="13" spans="1:6" x14ac:dyDescent="0.25">
      <c r="A13" s="13" t="s">
        <v>127</v>
      </c>
      <c r="B13" s="26">
        <v>51060</v>
      </c>
      <c r="C13" s="26">
        <v>63110</v>
      </c>
      <c r="D13" s="26">
        <v>65003</v>
      </c>
      <c r="E13" s="26">
        <v>66954</v>
      </c>
      <c r="F13" s="26">
        <v>68962</v>
      </c>
    </row>
    <row r="14" spans="1:6" x14ac:dyDescent="0.25">
      <c r="A14" s="13" t="s">
        <v>128</v>
      </c>
      <c r="B14" s="26">
        <v>13456</v>
      </c>
      <c r="C14" s="26">
        <v>16632</v>
      </c>
      <c r="D14" s="26">
        <v>17131</v>
      </c>
      <c r="E14" s="26">
        <v>17645</v>
      </c>
      <c r="F14" s="26">
        <v>18174</v>
      </c>
    </row>
    <row r="15" ht="24" customHeight="1" spans="1:6" x14ac:dyDescent="0.25">
      <c r="A15" s="12" t="s">
        <v>129</v>
      </c>
      <c r="B15" s="27">
        <f>SUM(B13:B14)</f>
        <v>64516</v>
      </c>
      <c r="C15" s="27">
        <f>SUM(C13:C14)</f>
        <v>79742</v>
      </c>
      <c r="D15" s="27">
        <f>SUM(D13:D14)</f>
        <v>82134</v>
      </c>
      <c r="E15" s="27">
        <f>SUM(E13:E14)</f>
        <v>84598</v>
      </c>
      <c r="F15" s="27">
        <f>SUM(F13:F14)</f>
        <v>87136</v>
      </c>
    </row>
    <row r="17" ht="24" customHeight="1" spans="1:6" x14ac:dyDescent="0.25">
      <c r="A17" s="12" t="s">
        <v>101</v>
      </c>
      <c r="B17" s="12"/>
      <c r="C17" s="12"/>
      <c r="D17" s="12"/>
      <c r="E17" s="12"/>
      <c r="F17" s="12"/>
    </row>
    <row r="18" spans="1:6" x14ac:dyDescent="0.25">
      <c r="A18" s="13" t="s">
        <v>106</v>
      </c>
      <c r="B18" s="13"/>
      <c r="C18" s="13"/>
      <c r="D18" s="13"/>
      <c r="E18" s="13"/>
      <c r="F18" s="13"/>
    </row>
    <row r="19" spans="1:6" x14ac:dyDescent="0.25">
      <c r="A19" s="13" t="s">
        <v>130</v>
      </c>
      <c r="B19" s="26">
        <v>5000</v>
      </c>
      <c r="C19" s="26">
        <v>9020</v>
      </c>
      <c r="D19" s="26">
        <v>12607</v>
      </c>
      <c r="E19" s="26">
        <v>15507</v>
      </c>
      <c r="F19" s="26">
        <v>17661</v>
      </c>
    </row>
    <row r="20" spans="1:6" x14ac:dyDescent="0.25">
      <c r="A20" s="28" t="s">
        <v>131</v>
      </c>
      <c r="B20" s="29">
        <v>5000</v>
      </c>
      <c r="C20" s="29">
        <v>9020</v>
      </c>
      <c r="D20" s="29">
        <v>12607</v>
      </c>
      <c r="E20" s="29">
        <v>15507</v>
      </c>
      <c r="F20" s="29">
        <v>17661</v>
      </c>
    </row>
    <row r="21" spans="1:6" x14ac:dyDescent="0.25">
      <c r="A21" s="13" t="s">
        <v>107</v>
      </c>
      <c r="B21" s="13"/>
      <c r="C21" s="13"/>
      <c r="D21" s="13"/>
      <c r="E21" s="13"/>
      <c r="F21" s="13"/>
    </row>
    <row r="22" spans="1:6" x14ac:dyDescent="0.25">
      <c r="A22" s="13" t="s">
        <v>132</v>
      </c>
      <c r="B22" s="26">
        <v>3125</v>
      </c>
      <c r="C22" s="26">
        <v>5638</v>
      </c>
      <c r="D22" s="26">
        <v>7880</v>
      </c>
      <c r="E22" s="26">
        <v>9692</v>
      </c>
      <c r="F22" s="26">
        <v>11038</v>
      </c>
    </row>
    <row r="23" spans="1:6" x14ac:dyDescent="0.25">
      <c r="A23" s="28" t="s">
        <v>133</v>
      </c>
      <c r="B23" s="29">
        <v>3125</v>
      </c>
      <c r="C23" s="29">
        <v>5638</v>
      </c>
      <c r="D23" s="29">
        <v>7880</v>
      </c>
      <c r="E23" s="29">
        <v>9692</v>
      </c>
      <c r="F23" s="29">
        <v>11038</v>
      </c>
    </row>
    <row r="24" spans="1:6" x14ac:dyDescent="0.25">
      <c r="A24" s="13" t="s">
        <v>102</v>
      </c>
      <c r="B24" s="13"/>
      <c r="C24" s="13"/>
      <c r="D24" s="13"/>
      <c r="E24" s="13"/>
      <c r="F24" s="13"/>
    </row>
    <row r="25" spans="1:6" x14ac:dyDescent="0.25">
      <c r="A25" s="13" t="s">
        <v>134</v>
      </c>
      <c r="B25" s="26">
        <v>18000</v>
      </c>
      <c r="C25" s="26">
        <v>22248</v>
      </c>
      <c r="D25" s="26">
        <v>22915</v>
      </c>
      <c r="E25" s="26">
        <v>23603</v>
      </c>
      <c r="F25" s="26">
        <v>24311</v>
      </c>
    </row>
    <row r="26" spans="1:6" x14ac:dyDescent="0.25">
      <c r="A26" s="13" t="s">
        <v>135</v>
      </c>
      <c r="B26" s="26">
        <v>2000</v>
      </c>
      <c r="C26" s="26">
        <v>2460</v>
      </c>
      <c r="D26" s="26">
        <v>2521</v>
      </c>
      <c r="E26" s="26">
        <v>2585</v>
      </c>
      <c r="F26" s="26">
        <v>2649</v>
      </c>
    </row>
    <row r="27" spans="1:6" x14ac:dyDescent="0.25">
      <c r="A27" s="13" t="s">
        <v>136</v>
      </c>
      <c r="B27" s="26">
        <v>1500</v>
      </c>
      <c r="C27" s="26">
        <v>1845</v>
      </c>
      <c r="D27" s="26">
        <v>1891</v>
      </c>
      <c r="E27" s="26">
        <v>1938</v>
      </c>
      <c r="F27" s="26">
        <v>1987</v>
      </c>
    </row>
    <row r="28" spans="1:6" x14ac:dyDescent="0.25">
      <c r="A28" s="28" t="s">
        <v>137</v>
      </c>
      <c r="B28" s="29">
        <v>21500</v>
      </c>
      <c r="C28" s="29">
        <v>26553</v>
      </c>
      <c r="D28" s="29">
        <v>27327</v>
      </c>
      <c r="E28" s="29">
        <v>28126</v>
      </c>
      <c r="F28" s="29">
        <v>28947</v>
      </c>
    </row>
    <row r="29" ht="24" customHeight="1" spans="1:6" x14ac:dyDescent="0.25">
      <c r="A29" s="12" t="s">
        <v>138</v>
      </c>
      <c r="B29" s="27">
        <f>B20+B23+B28</f>
        <v>29625</v>
      </c>
      <c r="C29" s="27">
        <f>C20+C23+C28</f>
        <v>41211</v>
      </c>
      <c r="D29" s="27">
        <f>D20+D23+D28</f>
        <v>47815</v>
      </c>
      <c r="E29" s="27">
        <f>E20+E23+E28</f>
        <v>53325</v>
      </c>
      <c r="F29" s="27">
        <f>F20+F23+F28</f>
        <v>57646</v>
      </c>
    </row>
    <row r="31" ht="24" customHeight="1" spans="1:6" x14ac:dyDescent="0.25">
      <c r="A31" s="12" t="s">
        <v>139</v>
      </c>
      <c r="B31" s="12"/>
      <c r="C31" s="12"/>
      <c r="D31" s="12"/>
      <c r="E31" s="12"/>
      <c r="F31" s="12"/>
    </row>
    <row r="32" ht="24" customHeight="1" spans="1:6" x14ac:dyDescent="0.25">
      <c r="A32" s="12" t="s">
        <v>140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</row>
    <row r="34" ht="24" customHeight="1" spans="1:6" x14ac:dyDescent="0.25">
      <c r="A34" s="12" t="s">
        <v>141</v>
      </c>
      <c r="B34" s="12"/>
      <c r="C34" s="12"/>
      <c r="D34" s="12"/>
      <c r="E34" s="12"/>
      <c r="F34" s="12"/>
    </row>
    <row r="35" spans="1:6" x14ac:dyDescent="0.25">
      <c r="A35" s="24" t="s">
        <v>142</v>
      </c>
      <c r="B35" s="29">
        <f>B10</f>
        <v>167500</v>
      </c>
      <c r="C35" s="29">
        <f>C10</f>
        <v>300735</v>
      </c>
      <c r="D35" s="29">
        <f>D10</f>
        <v>419199</v>
      </c>
      <c r="E35" s="29">
        <f>E10</f>
        <v>514969</v>
      </c>
      <c r="F35" s="29">
        <f>F10</f>
        <v>586125</v>
      </c>
    </row>
    <row r="36" spans="1:6" x14ac:dyDescent="0.25">
      <c r="A36" s="13" t="s">
        <v>143</v>
      </c>
      <c r="B36" s="26">
        <f>B15</f>
        <v>64516</v>
      </c>
      <c r="C36" s="26">
        <f>C15</f>
        <v>79742</v>
      </c>
      <c r="D36" s="26">
        <f>D15</f>
        <v>82134</v>
      </c>
      <c r="E36" s="26">
        <f>E15</f>
        <v>84598</v>
      </c>
      <c r="F36" s="26">
        <f>F15</f>
        <v>87136</v>
      </c>
    </row>
    <row r="37" spans="1:6" x14ac:dyDescent="0.25">
      <c r="A37" s="13" t="s">
        <v>144</v>
      </c>
      <c r="B37" s="26">
        <f>B29</f>
        <v>29625</v>
      </c>
      <c r="C37" s="26">
        <f>C29</f>
        <v>41211</v>
      </c>
      <c r="D37" s="26">
        <f>D29</f>
        <v>47815</v>
      </c>
      <c r="E37" s="26">
        <f>E29</f>
        <v>53325</v>
      </c>
      <c r="F37" s="26">
        <f>F29</f>
        <v>57646</v>
      </c>
    </row>
    <row r="38" spans="1:6" x14ac:dyDescent="0.25">
      <c r="A38" s="13" t="s">
        <v>145</v>
      </c>
      <c r="B38" s="26" t="str">
        <f>B32</f>
        <v>0</v>
      </c>
      <c r="C38" s="26" t="str">
        <f>C32</f>
        <v>0</v>
      </c>
      <c r="D38" s="26" t="str">
        <f>D32</f>
        <v>0</v>
      </c>
      <c r="E38" s="26" t="str">
        <f>E32</f>
        <v>0</v>
      </c>
      <c r="F38" s="26" t="str">
        <f>F32</f>
        <v>0</v>
      </c>
    </row>
    <row r="39" spans="1:6" x14ac:dyDescent="0.25">
      <c r="A39" s="24" t="s">
        <v>146</v>
      </c>
      <c r="B39" s="29">
        <f>B36+B37+B38</f>
        <v>94141</v>
      </c>
      <c r="C39" s="29">
        <f>C36+C37+C38</f>
        <v>120953</v>
      </c>
      <c r="D39" s="29">
        <f>D36+D37+D38</f>
        <v>129949</v>
      </c>
      <c r="E39" s="29">
        <f>E36+E37+E38</f>
        <v>137923</v>
      </c>
      <c r="F39" s="29">
        <f>F36+F37+F38</f>
        <v>144782</v>
      </c>
    </row>
    <row r="40" spans="1:1" x14ac:dyDescent="0.25">
      <c r="A40" t="s">
        <v>7</v>
      </c>
    </row>
    <row r="41" spans="1:6" x14ac:dyDescent="0.25">
      <c r="A41" s="30" t="s">
        <v>147</v>
      </c>
      <c r="B41" s="31">
        <f>B35-B39</f>
        <v>73359</v>
      </c>
      <c r="C41" s="31">
        <f>C35-C39</f>
        <v>179782</v>
      </c>
      <c r="D41" s="31">
        <f>D35-D39</f>
        <v>289250</v>
      </c>
      <c r="E41" s="31">
        <f>E35-E39</f>
        <v>377046</v>
      </c>
      <c r="F41" s="31">
        <f>F35-F39</f>
        <v>441343</v>
      </c>
    </row>
    <row r="42" spans="1:6" x14ac:dyDescent="0.25">
      <c r="A42" s="13" t="s">
        <v>148</v>
      </c>
      <c r="B42" s="32">
        <f>IF(B35=0,"",B41/B35)</f>
        <v>0.44</v>
      </c>
      <c r="C42" s="32">
        <f>IF(C35=0,"",C41/C35)</f>
        <v>0.6</v>
      </c>
      <c r="D42" s="32">
        <f>IF(D35=0,"",D41/D35)</f>
        <v>0.69</v>
      </c>
      <c r="E42" s="32">
        <f>IF(E35=0,"",E41/E35)</f>
        <v>0.73</v>
      </c>
      <c r="F42" s="32">
        <f>IF(F35=0,"",F41/F35)</f>
        <v>0.75</v>
      </c>
    </row>
    <row r="43" spans="1:6" x14ac:dyDescent="0.25">
      <c r="A43" s="13" t="s">
        <v>149</v>
      </c>
      <c r="B43" s="26">
        <f>B41</f>
        <v>73359</v>
      </c>
      <c r="C43" s="26">
        <f>B43+C41</f>
        <v>253141</v>
      </c>
      <c r="D43" s="26">
        <f>C43+D41</f>
        <v>542391</v>
      </c>
      <c r="E43" s="26">
        <f>D43+E41</f>
        <v>919437</v>
      </c>
      <c r="F43" s="26">
        <f>E43+F41</f>
        <v>1360780</v>
      </c>
    </row>
    <row r="44" spans="1:6" x14ac:dyDescent="0.25">
      <c r="A44" s="28" t="s">
        <v>150</v>
      </c>
      <c r="B44" s="33" t="s">
        <v>151</v>
      </c>
      <c r="C44" s="34" t="s">
        <v>7</v>
      </c>
      <c r="D44" s="34" t="s">
        <v>7</v>
      </c>
      <c r="E44" s="34" t="s">
        <v>7</v>
      </c>
      <c r="F44" s="34" t="s">
        <v>7</v>
      </c>
    </row>
    <row r="46" ht="24" customHeight="1" spans="1:6" x14ac:dyDescent="0.25">
      <c r="A46" s="12" t="s">
        <v>152</v>
      </c>
      <c r="B46" s="12"/>
      <c r="C46" s="12"/>
      <c r="D46" s="12"/>
      <c r="E46" s="12"/>
      <c r="F46" s="12"/>
    </row>
    <row r="47" spans="1:6" x14ac:dyDescent="0.25">
      <c r="A47" s="24" t="s">
        <v>153</v>
      </c>
      <c r="B47" s="29">
        <f>B35-B36-B37</f>
        <v>73359</v>
      </c>
      <c r="C47" s="29">
        <f>C35-C36-C37</f>
        <v>179782</v>
      </c>
      <c r="D47" s="29">
        <f>D35-D36-D37</f>
        <v>289250</v>
      </c>
      <c r="E47" s="29">
        <f>E35-E36-E37</f>
        <v>377046</v>
      </c>
      <c r="F47" s="29">
        <f>F35-F36-F37</f>
        <v>441343</v>
      </c>
    </row>
    <row r="48" spans="1:6" x14ac:dyDescent="0.25">
      <c r="A48" s="13" t="s">
        <v>154</v>
      </c>
      <c r="B48" s="26" t="str">
        <f>B38</f>
        <v>0</v>
      </c>
      <c r="C48" s="26" t="str">
        <f>C38</f>
        <v>0</v>
      </c>
      <c r="D48" s="26" t="str">
        <f>D38</f>
        <v>0</v>
      </c>
      <c r="E48" s="26" t="str">
        <f>E38</f>
        <v>0</v>
      </c>
      <c r="F48" s="26" t="str">
        <f>F38</f>
        <v>0</v>
      </c>
    </row>
    <row r="49" spans="1:6" x14ac:dyDescent="0.25">
      <c r="A49" s="24" t="s">
        <v>155</v>
      </c>
      <c r="B49" s="35" t="str">
        <f>IF(B48=0,"N/A",B47/B48)</f>
        <v>N/A</v>
      </c>
      <c r="C49" s="35" t="str">
        <f>IF(C48=0,"N/A",C47/C48)</f>
        <v>N/A</v>
      </c>
      <c r="D49" s="35" t="str">
        <f>IF(D48=0,"N/A",D47/D48)</f>
        <v>N/A</v>
      </c>
      <c r="E49" s="35" t="str">
        <f>IF(E48=0,"N/A",E47/E48)</f>
        <v>N/A</v>
      </c>
      <c r="F49" s="35" t="str">
        <f>IF(F48=0,"N/A",F47/F48)</f>
        <v>N/A</v>
      </c>
    </row>
    <row r="50" spans="1:6" x14ac:dyDescent="0.25">
      <c r="A50" s="13" t="s">
        <v>121</v>
      </c>
      <c r="B50" s="26" t="str">
        <f>Assumptions!B50</f>
        <v>0</v>
      </c>
      <c r="C50" s="26">
        <f>B51</f>
        <v>73359</v>
      </c>
      <c r="D50" s="26">
        <f>C51</f>
        <v>253141</v>
      </c>
      <c r="E50" s="26">
        <f>D51</f>
        <v>542391</v>
      </c>
      <c r="F50" s="26">
        <f>E51</f>
        <v>919437</v>
      </c>
    </row>
    <row r="51" spans="1:6" x14ac:dyDescent="0.25">
      <c r="A51" s="24" t="s">
        <v>156</v>
      </c>
      <c r="B51" s="29">
        <f>B50+B41</f>
        <v>73359</v>
      </c>
      <c r="C51" s="29">
        <f>C50+C41</f>
        <v>253141</v>
      </c>
      <c r="D51" s="29">
        <f>D50+D41</f>
        <v>542391</v>
      </c>
      <c r="E51" s="29">
        <f>E50+E41</f>
        <v>919437</v>
      </c>
      <c r="F51" s="29">
        <f>F50+F41</f>
        <v>1360780</v>
      </c>
    </row>
    <row r="52" spans="1:6" x14ac:dyDescent="0.25">
      <c r="A52" s="13" t="s">
        <v>157</v>
      </c>
      <c r="B52" s="36">
        <f>IF(B39=0,"",B51/B39*365)</f>
        <v>284</v>
      </c>
      <c r="C52" s="36">
        <f>IF(C39=0,"",C51/C39*365)</f>
        <v>764</v>
      </c>
      <c r="D52" s="36">
        <f>IF(D39=0,"",D51/D39*365)</f>
        <v>1523</v>
      </c>
      <c r="E52" s="36">
        <f>IF(E39=0,"",E51/E39*365)</f>
        <v>2433</v>
      </c>
      <c r="F52" s="36">
        <f>IF(F39=0,"",F51/F39*365)</f>
        <v>3431</v>
      </c>
    </row>
    <row r="53" spans="1:6" x14ac:dyDescent="0.25">
      <c r="A53" s="13" t="s">
        <v>158</v>
      </c>
      <c r="B53" s="37">
        <f>IF(B39=0,"",B51/(B39/12))</f>
        <v>9.4</v>
      </c>
      <c r="C53" s="37">
        <f>IF(C39=0,"",C51/(C39/12))</f>
        <v>25.1</v>
      </c>
      <c r="D53" s="37">
        <f>IF(D39=0,"",D51/(D39/12))</f>
        <v>50.1</v>
      </c>
      <c r="E53" s="37">
        <f>IF(E39=0,"",E51/(E39/12))</f>
        <v>80</v>
      </c>
      <c r="F53" s="37">
        <f>IF(F39=0,"",F51/(F39/12))</f>
        <v>112.8</v>
      </c>
    </row>
    <row r="54" spans="1:6" x14ac:dyDescent="0.25">
      <c r="A54" s="13" t="s">
        <v>159</v>
      </c>
      <c r="B54" s="32">
        <f>IF(Assumptions!B12=0,"",B3/Assumptions!B12)</f>
        <v>0.38</v>
      </c>
      <c r="C54" s="32">
        <f>IF(Assumptions!B12=0,"",C3/Assumptions!B12)</f>
        <v>0.55</v>
      </c>
      <c r="D54" s="32">
        <f>IF(Assumptions!B12=0,"",D3/Assumptions!B12)</f>
        <v>0.75</v>
      </c>
      <c r="E54" s="32">
        <f>IF(Assumptions!B12=0,"",E3/Assumptions!B12)</f>
        <v>0.9</v>
      </c>
      <c r="F54" s="32">
        <f>IF(Assumptions!B12=0,"",F3/Assumptions!B12)</f>
        <v>1</v>
      </c>
    </row>
    <row r="56" ht="24" customHeight="1" spans="1:6" x14ac:dyDescent="0.25">
      <c r="A56" s="12" t="s">
        <v>160</v>
      </c>
      <c r="B56" s="12"/>
      <c r="C56" s="12"/>
      <c r="D56" s="12"/>
      <c r="E56" s="12"/>
      <c r="F56" s="12"/>
    </row>
    <row r="57" spans="1:6" x14ac:dyDescent="0.25">
      <c r="A57" s="13" t="s">
        <v>161</v>
      </c>
      <c r="B57" s="13" t="str">
        <f>IF(B48=0,"N/A",IF(B49&gt;=1.2,"PASS","FAIL"))</f>
        <v>N/A</v>
      </c>
      <c r="C57" s="13" t="str">
        <f>IF(C48=0,"N/A",IF(C49&gt;=1.2,"PASS","FAIL"))</f>
        <v>N/A</v>
      </c>
      <c r="D57" s="13" t="str">
        <f>IF(D48=0,"N/A",IF(D49&gt;=1.2,"PASS","FAIL"))</f>
        <v>N/A</v>
      </c>
      <c r="E57" s="13" t="str">
        <f>IF(E48=0,"N/A",IF(E49&gt;=1.2,"PASS","FAIL"))</f>
        <v>N/A</v>
      </c>
      <c r="F57" s="13" t="str">
        <f>IF(F48=0,"N/A",IF(F49&gt;=1.2,"PASS","FAIL"))</f>
        <v>N/A</v>
      </c>
    </row>
    <row r="58" spans="1:6" x14ac:dyDescent="0.25">
      <c r="A58" s="13" t="s">
        <v>162</v>
      </c>
      <c r="B58" s="13" t="str">
        <f>IF(B41&gt;0,"PASS","FAIL")</f>
        <v>PASS</v>
      </c>
      <c r="C58" s="13" t="str">
        <f>IF(C41&gt;0,"PASS","FAIL")</f>
        <v>PASS</v>
      </c>
      <c r="D58" s="13" t="str">
        <f>IF(D41&gt;0,"PASS","FAIL")</f>
        <v>PASS</v>
      </c>
      <c r="E58" s="13" t="str">
        <f>IF(E41&gt;0,"PASS","FAIL")</f>
        <v>PASS</v>
      </c>
      <c r="F58" s="13" t="str">
        <f>IF(F41&gt;0,"PASS","FAIL")</f>
        <v>PASS</v>
      </c>
    </row>
    <row r="59" spans="1:6" x14ac:dyDescent="0.25">
      <c r="A59" s="13" t="s">
        <v>163</v>
      </c>
      <c r="B59" s="13" t="str">
        <f>IF(Assumptions!B12=0,"N/A",IF(B3/Assumptions!B12&gt;=0.7,"PASS","FAIL"))</f>
        <v>FAIL</v>
      </c>
      <c r="C59" s="13" t="str">
        <f>IF(Assumptions!B12=0,"N/A",IF(C3/Assumptions!B12&gt;=0.7,"PASS","FAIL"))</f>
        <v>FAIL</v>
      </c>
      <c r="D59" s="13" t="str">
        <f>IF(Assumptions!B12=0,"N/A",IF(D3/Assumptions!B12&gt;=0.7,"PASS","FAIL"))</f>
        <v>PASS</v>
      </c>
      <c r="E59" s="13" t="str">
        <f>IF(Assumptions!B12=0,"N/A",IF(E3/Assumptions!B12&gt;=0.7,"PASS","FAIL"))</f>
        <v>PASS</v>
      </c>
      <c r="F59" s="13" t="str">
        <f>IF(Assumptions!B12=0,"N/A",IF(F3/Assumptions!B12&gt;=0.7,"PASS","FAIL"))</f>
        <v>PASS</v>
      </c>
    </row>
    <row r="60" spans="1:6" x14ac:dyDescent="0.25">
      <c r="A60" s="13" t="s">
        <v>164</v>
      </c>
      <c r="B60" s="13" t="str">
        <f>IF(B39=0,"N/A",IF(B51/(B39/12)&gt;=2,"PASS","FAIL"))</f>
        <v>PASS</v>
      </c>
      <c r="C60" s="13" t="str">
        <f>IF(C39=0,"N/A",IF(C51/(C39/12)&gt;=2,"PASS","FAIL"))</f>
        <v>PASS</v>
      </c>
      <c r="D60" s="13" t="str">
        <f>IF(D39=0,"N/A",IF(D51/(D39/12)&gt;=2,"PASS","FAIL"))</f>
        <v>PASS</v>
      </c>
      <c r="E60" s="13" t="str">
        <f>IF(E39=0,"N/A",IF(E51/(E39/12)&gt;=2,"PASS","FAIL"))</f>
        <v>PASS</v>
      </c>
      <c r="F60" s="13" t="str">
        <f>IF(F39=0,"N/A",IF(F51/(F39/12)&gt;=2,"PASS","FAIL"))</f>
        <v>PASS</v>
      </c>
    </row>
    <row r="62" ht="24" customHeight="1" spans="1:6" x14ac:dyDescent="0.25">
      <c r="A62" s="12" t="s">
        <v>165</v>
      </c>
      <c r="B62" s="12"/>
      <c r="C62" s="12"/>
      <c r="D62" s="12"/>
      <c r="E62" s="12"/>
      <c r="F62" s="12"/>
    </row>
    <row r="63" spans="1:6" x14ac:dyDescent="0.25">
      <c r="A63" s="13" t="s">
        <v>166</v>
      </c>
      <c r="B63" s="26">
        <f>IF(B3=0,"",B10/B3)</f>
        <v>11167</v>
      </c>
      <c r="C63" s="26">
        <f>IF(C3=0,"",C10/C3)</f>
        <v>13670</v>
      </c>
      <c r="D63" s="26">
        <f>IF(D3=0,"",D10/D3)</f>
        <v>13973</v>
      </c>
      <c r="E63" s="26">
        <f>IF(E3=0,"",E10/E3)</f>
        <v>14305</v>
      </c>
      <c r="F63" s="26">
        <f>IF(F3=0,"",F10/F3)</f>
        <v>14653</v>
      </c>
    </row>
    <row r="64" spans="1:6" x14ac:dyDescent="0.25">
      <c r="A64" s="13" t="s">
        <v>167</v>
      </c>
      <c r="B64" s="26">
        <f>IF(B3=0,"",B39/B3)</f>
        <v>6276</v>
      </c>
      <c r="C64" s="26">
        <f>IF(C3=0,"",C39/C3)</f>
        <v>5498</v>
      </c>
      <c r="D64" s="26">
        <f>IF(D3=0,"",D39/D3)</f>
        <v>4332</v>
      </c>
      <c r="E64" s="26">
        <f>IF(E3=0,"",E39/E3)</f>
        <v>3831</v>
      </c>
      <c r="F64" s="26">
        <f>IF(F3=0,"",F39/F3)</f>
        <v>3620</v>
      </c>
    </row>
    <row r="65" spans="1:6" x14ac:dyDescent="0.25">
      <c r="A65" s="13" t="s">
        <v>168</v>
      </c>
      <c r="B65" s="26">
        <f>B36+B38</f>
        <v>64516</v>
      </c>
      <c r="C65" s="26">
        <f>C36+C38</f>
        <v>79742</v>
      </c>
      <c r="D65" s="26">
        <f>D36+D38</f>
        <v>82134</v>
      </c>
      <c r="E65" s="26">
        <f>E36+E38</f>
        <v>84598</v>
      </c>
      <c r="F65" s="26">
        <f>F36+F38</f>
        <v>87136</v>
      </c>
    </row>
    <row r="66" spans="1:6" x14ac:dyDescent="0.25">
      <c r="A66" s="13" t="s">
        <v>169</v>
      </c>
      <c r="B66" s="26">
        <f>IF(B3=0,"",B37/B3)</f>
        <v>1975</v>
      </c>
      <c r="C66" s="26">
        <f>IF(C3=0,"",C37/C3)</f>
        <v>1873</v>
      </c>
      <c r="D66" s="26">
        <f>IF(D3=0,"",D37/D3)</f>
        <v>1594</v>
      </c>
      <c r="E66" s="26">
        <f>IF(E3=0,"",E37/E3)</f>
        <v>1481</v>
      </c>
      <c r="F66" s="26">
        <f>IF(F3=0,"",F37/F3)</f>
        <v>1441</v>
      </c>
    </row>
    <row r="67" spans="1:6" x14ac:dyDescent="0.25">
      <c r="A67" s="13" t="s">
        <v>170</v>
      </c>
      <c r="B67" s="26">
        <f>IF(B3=0,"",B63-B66)</f>
        <v>9192</v>
      </c>
      <c r="C67" s="26">
        <f>IF(C3=0,"",C63-C66)</f>
        <v>11797</v>
      </c>
      <c r="D67" s="26">
        <f>IF(D3=0,"",D63-D66)</f>
        <v>12379</v>
      </c>
      <c r="E67" s="26">
        <f>IF(E3=0,"",E63-E66)</f>
        <v>12823</v>
      </c>
      <c r="F67" s="26">
        <f>IF(F3=0,"",F63-F66)</f>
        <v>13212</v>
      </c>
    </row>
    <row r="68" spans="1:6" x14ac:dyDescent="0.25">
      <c r="A68" s="38" t="s">
        <v>171</v>
      </c>
      <c r="B68" s="39">
        <f>IF(B67&lt;=0,"N/A",ROUNDUP(B65/B67,0))</f>
        <v>8</v>
      </c>
      <c r="C68" s="39">
        <f>IF(C67&lt;=0,"N/A",ROUNDUP(C65/C67,0))</f>
        <v>7</v>
      </c>
      <c r="D68" s="39">
        <f>IF(D67&lt;=0,"N/A",ROUNDUP(D65/D67,0))</f>
        <v>7</v>
      </c>
      <c r="E68" s="39">
        <f>IF(E67&lt;=0,"N/A",ROUNDUP(E65/E67,0))</f>
        <v>7</v>
      </c>
      <c r="F68" s="39">
        <f>IF(F67&lt;=0,"N/A",ROUNDUP(F65/F67,0))</f>
        <v>7</v>
      </c>
    </row>
    <row r="70" spans="1:6" x14ac:dyDescent="0.25">
      <c r="A70" s="22" t="s">
        <v>122</v>
      </c>
      <c r="B70" s="22"/>
      <c r="C70" s="22"/>
      <c r="D70" s="22"/>
      <c r="E70" s="22"/>
      <c r="F70" s="22"/>
    </row>
  </sheetData>
  <mergeCells count="2">
    <mergeCell ref="A1:F1"/>
    <mergeCell ref="A70:F70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&amp;L&amp;10&amp;BLiberty Learning Co-Op&amp;R&amp;8&amp;I5-Year Model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28" customHeight="1" spans="1:14" x14ac:dyDescent="0.25">
      <c r="A2" s="23" t="s">
        <v>7</v>
      </c>
      <c r="B2" s="23" t="s">
        <v>46</v>
      </c>
      <c r="C2" s="23" t="s">
        <v>173</v>
      </c>
      <c r="D2" s="23" t="s">
        <v>174</v>
      </c>
      <c r="E2" s="23" t="s">
        <v>175</v>
      </c>
      <c r="F2" s="23" t="s">
        <v>176</v>
      </c>
      <c r="G2" s="23" t="s">
        <v>177</v>
      </c>
      <c r="H2" s="23" t="s">
        <v>178</v>
      </c>
      <c r="I2" s="23" t="s">
        <v>179</v>
      </c>
      <c r="J2" s="23" t="s">
        <v>180</v>
      </c>
      <c r="K2" s="23" t="s">
        <v>181</v>
      </c>
      <c r="L2" s="23" t="s">
        <v>182</v>
      </c>
      <c r="M2" s="23" t="s">
        <v>183</v>
      </c>
      <c r="N2" s="23" t="s">
        <v>184</v>
      </c>
    </row>
    <row r="3" ht="24" customHeight="1" spans="1:14" x14ac:dyDescent="0.25">
      <c r="A3" s="12" t="s">
        <v>124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3" t="s">
        <v>67</v>
      </c>
      <c r="B4" s="26">
        <v>9000</v>
      </c>
      <c r="C4" s="26">
        <v>9000</v>
      </c>
      <c r="D4" s="26">
        <v>9000</v>
      </c>
      <c r="E4" s="26">
        <v>9000</v>
      </c>
      <c r="F4" s="26">
        <v>9000</v>
      </c>
      <c r="G4" s="26">
        <v>9000</v>
      </c>
      <c r="H4" s="26">
        <v>9000</v>
      </c>
      <c r="I4" s="26">
        <v>9000</v>
      </c>
      <c r="J4" s="26">
        <v>9000</v>
      </c>
      <c r="K4" s="26">
        <v>9000</v>
      </c>
      <c r="L4" s="26">
        <v>0</v>
      </c>
      <c r="M4" s="26">
        <v>0</v>
      </c>
      <c r="N4" s="26">
        <f>SUM(B4:M4)</f>
        <v>75000</v>
      </c>
    </row>
    <row r="5" spans="1:14" x14ac:dyDescent="0.25">
      <c r="A5" s="13" t="s">
        <v>70</v>
      </c>
      <c r="B5" s="26">
        <v>300</v>
      </c>
      <c r="C5" s="26">
        <v>300</v>
      </c>
      <c r="D5" s="26">
        <v>300</v>
      </c>
      <c r="E5" s="26">
        <v>300</v>
      </c>
      <c r="F5" s="26">
        <v>300</v>
      </c>
      <c r="G5" s="26">
        <v>300</v>
      </c>
      <c r="H5" s="26">
        <v>300</v>
      </c>
      <c r="I5" s="26">
        <v>300</v>
      </c>
      <c r="J5" s="26">
        <v>300</v>
      </c>
      <c r="K5" s="26">
        <v>300</v>
      </c>
      <c r="L5" s="26">
        <v>0</v>
      </c>
      <c r="M5" s="26">
        <v>0</v>
      </c>
      <c r="N5" s="26">
        <f>SUM(B5:M5)</f>
        <v>2500</v>
      </c>
    </row>
    <row r="6" spans="1:14" x14ac:dyDescent="0.25">
      <c r="A6" s="13" t="s">
        <v>71</v>
      </c>
      <c r="B6" s="26">
        <v>10500</v>
      </c>
      <c r="C6" s="26">
        <v>10500</v>
      </c>
      <c r="D6" s="26">
        <v>10500</v>
      </c>
      <c r="E6" s="26">
        <v>10500</v>
      </c>
      <c r="F6" s="26">
        <v>10500</v>
      </c>
      <c r="G6" s="26">
        <v>10500</v>
      </c>
      <c r="H6" s="26">
        <v>10500</v>
      </c>
      <c r="I6" s="26">
        <v>10500</v>
      </c>
      <c r="J6" s="26">
        <v>10500</v>
      </c>
      <c r="K6" s="26">
        <v>10500</v>
      </c>
      <c r="L6" s="26">
        <v>0</v>
      </c>
      <c r="M6" s="26">
        <v>0</v>
      </c>
      <c r="N6" s="26">
        <f>SUM(B6:M6)</f>
        <v>87500</v>
      </c>
    </row>
    <row r="7" spans="1:14" x14ac:dyDescent="0.25">
      <c r="A7" s="13" t="s">
        <v>73</v>
      </c>
      <c r="B7" s="26">
        <v>300</v>
      </c>
      <c r="C7" s="26">
        <v>300</v>
      </c>
      <c r="D7" s="26">
        <v>300</v>
      </c>
      <c r="E7" s="26">
        <v>300</v>
      </c>
      <c r="F7" s="26">
        <v>300</v>
      </c>
      <c r="G7" s="26">
        <v>300</v>
      </c>
      <c r="H7" s="26">
        <v>300</v>
      </c>
      <c r="I7" s="26">
        <v>300</v>
      </c>
      <c r="J7" s="26">
        <v>300</v>
      </c>
      <c r="K7" s="26">
        <v>300</v>
      </c>
      <c r="L7" s="26">
        <v>0</v>
      </c>
      <c r="M7" s="26">
        <v>0</v>
      </c>
      <c r="N7" s="26">
        <f>SUM(B7:M7)</f>
        <v>2500</v>
      </c>
    </row>
    <row r="8" ht="24" customHeight="1" spans="1:14" x14ac:dyDescent="0.25">
      <c r="A8" s="12" t="s">
        <v>125</v>
      </c>
      <c r="B8" s="27">
        <f>SUM(B4:B7)</f>
        <v>103800</v>
      </c>
      <c r="C8" s="27">
        <f>SUM(C4:C7)</f>
        <v>10800</v>
      </c>
      <c r="D8" s="27">
        <f>SUM(D4:D7)</f>
        <v>10800</v>
      </c>
      <c r="E8" s="27">
        <f>SUM(E4:E7)</f>
        <v>10800</v>
      </c>
      <c r="F8" s="27">
        <f>SUM(F4:F7)</f>
        <v>10800</v>
      </c>
      <c r="G8" s="27">
        <f>SUM(G4:G7)</f>
        <v>10800</v>
      </c>
      <c r="H8" s="27">
        <f>SUM(H4:H7)</f>
        <v>10800</v>
      </c>
      <c r="I8" s="27">
        <f>SUM(I4:I7)</f>
        <v>10800</v>
      </c>
      <c r="J8" s="27">
        <f>SUM(J4:J7)</f>
        <v>10800</v>
      </c>
      <c r="K8" s="27">
        <f>SUM(K4:K7)</f>
        <v>10800</v>
      </c>
      <c r="L8" s="27" t="str">
        <f>SUM(L4:L7)</f>
        <v>0</v>
      </c>
      <c r="M8" s="27" t="str">
        <f>SUM(M4:M7)</f>
        <v>0</v>
      </c>
      <c r="N8" s="27">
        <f>SUM(B8:M8)</f>
        <v>201000</v>
      </c>
    </row>
    <row r="9" spans="1:1" x14ac:dyDescent="0.25">
      <c r="A9" t="s">
        <v>7</v>
      </c>
    </row>
    <row r="10" ht="24" customHeight="1" spans="1:14" x14ac:dyDescent="0.25">
      <c r="A10" s="12" t="s">
        <v>126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13" t="s">
        <v>85</v>
      </c>
      <c r="B11" s="26">
        <v>5106</v>
      </c>
      <c r="C11" s="26">
        <v>5106</v>
      </c>
      <c r="D11" s="26">
        <v>5106</v>
      </c>
      <c r="E11" s="26">
        <v>5106</v>
      </c>
      <c r="F11" s="26">
        <v>5106</v>
      </c>
      <c r="G11" s="26">
        <v>5106</v>
      </c>
      <c r="H11" s="26">
        <v>5106</v>
      </c>
      <c r="I11" s="26">
        <v>5106</v>
      </c>
      <c r="J11" s="26">
        <v>5106</v>
      </c>
      <c r="K11" s="26">
        <v>5106</v>
      </c>
      <c r="L11" s="26">
        <v>0</v>
      </c>
      <c r="M11" s="26">
        <v>0</v>
      </c>
      <c r="N11" s="26">
        <f>SUM(B11:M11)</f>
        <v>51060</v>
      </c>
    </row>
    <row r="12" spans="1:14" x14ac:dyDescent="0.25">
      <c r="A12" s="13" t="s">
        <v>89</v>
      </c>
      <c r="B12" s="26">
        <v>1346</v>
      </c>
      <c r="C12" s="26">
        <v>1346</v>
      </c>
      <c r="D12" s="26">
        <v>1346</v>
      </c>
      <c r="E12" s="26">
        <v>1346</v>
      </c>
      <c r="F12" s="26">
        <v>1346</v>
      </c>
      <c r="G12" s="26">
        <v>1346</v>
      </c>
      <c r="H12" s="26">
        <v>1346</v>
      </c>
      <c r="I12" s="26">
        <v>1346</v>
      </c>
      <c r="J12" s="26">
        <v>1346</v>
      </c>
      <c r="K12" s="26">
        <v>1346</v>
      </c>
      <c r="L12" s="26">
        <v>0</v>
      </c>
      <c r="M12" s="26">
        <v>0</v>
      </c>
      <c r="N12" s="26">
        <f>SUM(B12:M12)</f>
        <v>13456</v>
      </c>
    </row>
    <row r="13" ht="24" customHeight="1" spans="1:14" x14ac:dyDescent="0.25">
      <c r="A13" s="12" t="s">
        <v>129</v>
      </c>
      <c r="B13" s="27">
        <f>SUM(B11:B12)</f>
        <v>6452</v>
      </c>
      <c r="C13" s="27">
        <f>SUM(C11:C12)</f>
        <v>6452</v>
      </c>
      <c r="D13" s="27">
        <f>SUM(D11:D12)</f>
        <v>6452</v>
      </c>
      <c r="E13" s="27">
        <f>SUM(E11:E12)</f>
        <v>6452</v>
      </c>
      <c r="F13" s="27">
        <f>SUM(F11:F12)</f>
        <v>6452</v>
      </c>
      <c r="G13" s="27">
        <f>SUM(G11:G12)</f>
        <v>6452</v>
      </c>
      <c r="H13" s="27">
        <f>SUM(H11:H12)</f>
        <v>6452</v>
      </c>
      <c r="I13" s="27">
        <f>SUM(I11:I12)</f>
        <v>6452</v>
      </c>
      <c r="J13" s="27">
        <f>SUM(J11:J12)</f>
        <v>6452</v>
      </c>
      <c r="K13" s="27">
        <f>SUM(K11:K12)</f>
        <v>6452</v>
      </c>
      <c r="L13" s="27" t="str">
        <f>SUM(L11:L12)</f>
        <v>0</v>
      </c>
      <c r="M13" s="27" t="str">
        <f>SUM(M11:M12)</f>
        <v>0</v>
      </c>
      <c r="N13" s="27">
        <f>SUM(B13:M13)</f>
        <v>64516</v>
      </c>
    </row>
    <row r="14" spans="1:1" x14ac:dyDescent="0.25">
      <c r="A14" t="s">
        <v>7</v>
      </c>
    </row>
    <row r="15" ht="24" customHeight="1" spans="1:14" x14ac:dyDescent="0.25">
      <c r="A15" s="12" t="s">
        <v>101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3" t="s">
        <v>106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5">
      <c r="A17" s="13" t="s">
        <v>185</v>
      </c>
      <c r="B17" s="26">
        <v>500</v>
      </c>
      <c r="C17" s="26">
        <v>500</v>
      </c>
      <c r="D17" s="26">
        <v>500</v>
      </c>
      <c r="E17" s="26">
        <v>500</v>
      </c>
      <c r="F17" s="26">
        <v>500</v>
      </c>
      <c r="G17" s="26">
        <v>500</v>
      </c>
      <c r="H17" s="26">
        <v>500</v>
      </c>
      <c r="I17" s="26">
        <v>500</v>
      </c>
      <c r="J17" s="26">
        <v>500</v>
      </c>
      <c r="K17" s="26">
        <v>500</v>
      </c>
      <c r="L17" s="26">
        <v>0</v>
      </c>
      <c r="M17" s="26">
        <v>0</v>
      </c>
      <c r="N17" s="26">
        <f>SUM(B17:M17)</f>
        <v>5000</v>
      </c>
    </row>
    <row r="18" spans="1:14" x14ac:dyDescent="0.25">
      <c r="A18" s="28" t="s">
        <v>131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500</v>
      </c>
      <c r="H18" s="29">
        <v>500</v>
      </c>
      <c r="I18" s="29">
        <v>500</v>
      </c>
      <c r="J18" s="29">
        <v>500</v>
      </c>
      <c r="K18" s="29">
        <v>500</v>
      </c>
      <c r="L18" s="29">
        <v>0</v>
      </c>
      <c r="M18" s="29">
        <v>0</v>
      </c>
      <c r="N18" s="29">
        <f>SUM(B18:M18)</f>
        <v>5000</v>
      </c>
    </row>
    <row r="19" spans="1:14" x14ac:dyDescent="0.25">
      <c r="A19" s="13" t="s">
        <v>107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5">
      <c r="A20" s="13" t="s">
        <v>186</v>
      </c>
      <c r="B20" s="26">
        <v>313</v>
      </c>
      <c r="C20" s="26">
        <v>313</v>
      </c>
      <c r="D20" s="26">
        <v>313</v>
      </c>
      <c r="E20" s="26">
        <v>313</v>
      </c>
      <c r="F20" s="26">
        <v>313</v>
      </c>
      <c r="G20" s="26">
        <v>313</v>
      </c>
      <c r="H20" s="26">
        <v>313</v>
      </c>
      <c r="I20" s="26">
        <v>313</v>
      </c>
      <c r="J20" s="26">
        <v>313</v>
      </c>
      <c r="K20" s="26">
        <v>313</v>
      </c>
      <c r="L20" s="26">
        <v>0</v>
      </c>
      <c r="M20" s="26">
        <v>0</v>
      </c>
      <c r="N20" s="26">
        <f>SUM(B20:M20)</f>
        <v>3125</v>
      </c>
    </row>
    <row r="21" spans="1:14" x14ac:dyDescent="0.25">
      <c r="A21" s="28" t="s">
        <v>133</v>
      </c>
      <c r="B21" s="29">
        <v>313</v>
      </c>
      <c r="C21" s="29">
        <v>313</v>
      </c>
      <c r="D21" s="29">
        <v>313</v>
      </c>
      <c r="E21" s="29">
        <v>313</v>
      </c>
      <c r="F21" s="29">
        <v>313</v>
      </c>
      <c r="G21" s="29">
        <v>313</v>
      </c>
      <c r="H21" s="29">
        <v>313</v>
      </c>
      <c r="I21" s="29">
        <v>313</v>
      </c>
      <c r="J21" s="29">
        <v>313</v>
      </c>
      <c r="K21" s="29">
        <v>313</v>
      </c>
      <c r="L21" s="29">
        <v>0</v>
      </c>
      <c r="M21" s="29">
        <v>0</v>
      </c>
      <c r="N21" s="29">
        <f>SUM(B21:M21)</f>
        <v>3125</v>
      </c>
    </row>
    <row r="22" spans="1:14" x14ac:dyDescent="0.25">
      <c r="A22" s="13" t="s">
        <v>102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25">
      <c r="A23" s="13" t="s">
        <v>187</v>
      </c>
      <c r="B23" s="26">
        <v>1800</v>
      </c>
      <c r="C23" s="26">
        <v>1800</v>
      </c>
      <c r="D23" s="26">
        <v>1800</v>
      </c>
      <c r="E23" s="26">
        <v>1800</v>
      </c>
      <c r="F23" s="26">
        <v>1800</v>
      </c>
      <c r="G23" s="26">
        <v>1800</v>
      </c>
      <c r="H23" s="26">
        <v>1800</v>
      </c>
      <c r="I23" s="26">
        <v>1800</v>
      </c>
      <c r="J23" s="26">
        <v>1800</v>
      </c>
      <c r="K23" s="26">
        <v>1800</v>
      </c>
      <c r="L23" s="26">
        <v>0</v>
      </c>
      <c r="M23" s="26">
        <v>0</v>
      </c>
      <c r="N23" s="26">
        <f>SUM(B23:M23)</f>
        <v>18000</v>
      </c>
    </row>
    <row r="24" spans="1:14" x14ac:dyDescent="0.25">
      <c r="A24" s="13" t="s">
        <v>188</v>
      </c>
      <c r="B24" s="26">
        <v>200</v>
      </c>
      <c r="C24" s="26">
        <v>200</v>
      </c>
      <c r="D24" s="26">
        <v>200</v>
      </c>
      <c r="E24" s="26">
        <v>200</v>
      </c>
      <c r="F24" s="26">
        <v>200</v>
      </c>
      <c r="G24" s="26">
        <v>200</v>
      </c>
      <c r="H24" s="26">
        <v>200</v>
      </c>
      <c r="I24" s="26">
        <v>200</v>
      </c>
      <c r="J24" s="26">
        <v>200</v>
      </c>
      <c r="K24" s="26">
        <v>200</v>
      </c>
      <c r="L24" s="26">
        <v>0</v>
      </c>
      <c r="M24" s="26">
        <v>0</v>
      </c>
      <c r="N24" s="26">
        <f>SUM(B24:M24)</f>
        <v>2000</v>
      </c>
    </row>
    <row r="25" spans="1:14" x14ac:dyDescent="0.25">
      <c r="A25" s="13" t="s">
        <v>189</v>
      </c>
      <c r="B25" s="26">
        <v>150</v>
      </c>
      <c r="C25" s="26">
        <v>150</v>
      </c>
      <c r="D25" s="26">
        <v>150</v>
      </c>
      <c r="E25" s="26">
        <v>150</v>
      </c>
      <c r="F25" s="26">
        <v>150</v>
      </c>
      <c r="G25" s="26">
        <v>150</v>
      </c>
      <c r="H25" s="26">
        <v>150</v>
      </c>
      <c r="I25" s="26">
        <v>150</v>
      </c>
      <c r="J25" s="26">
        <v>150</v>
      </c>
      <c r="K25" s="26">
        <v>150</v>
      </c>
      <c r="L25" s="26">
        <v>0</v>
      </c>
      <c r="M25" s="26">
        <v>0</v>
      </c>
      <c r="N25" s="26">
        <f>SUM(B25:M25)</f>
        <v>1500</v>
      </c>
    </row>
    <row r="26" spans="1:14" x14ac:dyDescent="0.25">
      <c r="A26" s="28" t="s">
        <v>137</v>
      </c>
      <c r="B26" s="29">
        <v>2150</v>
      </c>
      <c r="C26" s="29">
        <v>2150</v>
      </c>
      <c r="D26" s="29">
        <v>2150</v>
      </c>
      <c r="E26" s="29">
        <v>2150</v>
      </c>
      <c r="F26" s="29">
        <v>2150</v>
      </c>
      <c r="G26" s="29">
        <v>2150</v>
      </c>
      <c r="H26" s="29">
        <v>2150</v>
      </c>
      <c r="I26" s="29">
        <v>2150</v>
      </c>
      <c r="J26" s="29">
        <v>2150</v>
      </c>
      <c r="K26" s="29">
        <v>2150</v>
      </c>
      <c r="L26" s="29">
        <v>0</v>
      </c>
      <c r="M26" s="29">
        <v>0</v>
      </c>
      <c r="N26" s="29">
        <f>SUM(B26:M26)</f>
        <v>21500</v>
      </c>
    </row>
    <row r="27" ht="24" customHeight="1" spans="1:14" x14ac:dyDescent="0.25">
      <c r="A27" s="12" t="s">
        <v>138</v>
      </c>
      <c r="B27" s="27">
        <f>B18+B21+B26</f>
        <v>2963</v>
      </c>
      <c r="C27" s="27">
        <f>C18+C21+C26</f>
        <v>2963</v>
      </c>
      <c r="D27" s="27">
        <f>D18+D21+D26</f>
        <v>2963</v>
      </c>
      <c r="E27" s="27">
        <f>E18+E21+E26</f>
        <v>2963</v>
      </c>
      <c r="F27" s="27">
        <f>F18+F21+F26</f>
        <v>2963</v>
      </c>
      <c r="G27" s="27">
        <f>G18+G21+G26</f>
        <v>2963</v>
      </c>
      <c r="H27" s="27">
        <f>H18+H21+H26</f>
        <v>2963</v>
      </c>
      <c r="I27" s="27">
        <f>I18+I21+I26</f>
        <v>2963</v>
      </c>
      <c r="J27" s="27">
        <f>J18+J21+J26</f>
        <v>2963</v>
      </c>
      <c r="K27" s="27">
        <f>K18+K21+K26</f>
        <v>2963</v>
      </c>
      <c r="L27" s="27" t="str">
        <f>L18+L21+L26</f>
        <v>0</v>
      </c>
      <c r="M27" s="27" t="str">
        <f>M18+M21+M26</f>
        <v>0</v>
      </c>
      <c r="N27" s="27">
        <f>SUM(B27:M27)</f>
        <v>29625</v>
      </c>
    </row>
    <row r="28" spans="1:1" x14ac:dyDescent="0.25">
      <c r="A28" t="s">
        <v>7</v>
      </c>
    </row>
    <row r="29" spans="1:14" x14ac:dyDescent="0.25">
      <c r="A29" s="24" t="s">
        <v>190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 t="str">
        <f>SUM(B29:M29)</f>
        <v>0</v>
      </c>
    </row>
    <row r="30" spans="1:1" x14ac:dyDescent="0.25">
      <c r="A30" t="s">
        <v>7</v>
      </c>
    </row>
    <row r="31" ht="24" customHeight="1" spans="1:14" x14ac:dyDescent="0.25">
      <c r="A31" s="12" t="s">
        <v>191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A32" s="24" t="s">
        <v>146</v>
      </c>
      <c r="B32" s="29">
        <f>B13+B27+B29</f>
        <v>9415</v>
      </c>
      <c r="C32" s="29">
        <f>C13+C27+C29</f>
        <v>9415</v>
      </c>
      <c r="D32" s="29">
        <f>D13+D27+D29</f>
        <v>9415</v>
      </c>
      <c r="E32" s="29">
        <f>E13+E27+E29</f>
        <v>9415</v>
      </c>
      <c r="F32" s="29">
        <f>F13+F27+F29</f>
        <v>9415</v>
      </c>
      <c r="G32" s="29">
        <f>G13+G27+G29</f>
        <v>9415</v>
      </c>
      <c r="H32" s="29">
        <f>H13+H27+H29</f>
        <v>9415</v>
      </c>
      <c r="I32" s="29">
        <f>I13+I27+I29</f>
        <v>9415</v>
      </c>
      <c r="J32" s="29">
        <f>J13+J27+J29</f>
        <v>9415</v>
      </c>
      <c r="K32" s="29">
        <f>K13+K27+K29</f>
        <v>9415</v>
      </c>
      <c r="L32" s="29" t="str">
        <f>L13+L27+L29</f>
        <v>0</v>
      </c>
      <c r="M32" s="29" t="str">
        <f>M13+M27+M29</f>
        <v>0</v>
      </c>
      <c r="N32" s="29">
        <f>SUM(B32:M32)</f>
        <v>94150</v>
      </c>
    </row>
    <row r="33" spans="1:14" x14ac:dyDescent="0.25">
      <c r="A33" s="24" t="s">
        <v>192</v>
      </c>
      <c r="B33" s="29">
        <f>B8-B32</f>
        <v>94385</v>
      </c>
      <c r="C33" s="29">
        <f>C8-C32</f>
        <v>1385</v>
      </c>
      <c r="D33" s="29">
        <f>D8-D32</f>
        <v>1385</v>
      </c>
      <c r="E33" s="29">
        <f>E8-E32</f>
        <v>1385</v>
      </c>
      <c r="F33" s="29">
        <f>F8-F32</f>
        <v>1385</v>
      </c>
      <c r="G33" s="29">
        <f>G8-G32</f>
        <v>1385</v>
      </c>
      <c r="H33" s="29">
        <f>H8-H32</f>
        <v>1385</v>
      </c>
      <c r="I33" s="29">
        <f>I8-I32</f>
        <v>1385</v>
      </c>
      <c r="J33" s="29">
        <f>J8-J32</f>
        <v>1385</v>
      </c>
      <c r="K33" s="29">
        <f>K8-K32</f>
        <v>1385</v>
      </c>
      <c r="L33" s="29" t="str">
        <f>L8-L32</f>
        <v>0</v>
      </c>
      <c r="M33" s="29" t="str">
        <f>M8-M32</f>
        <v>0</v>
      </c>
      <c r="N33" s="29">
        <f>SUM(B33:M33)</f>
        <v>106850</v>
      </c>
    </row>
    <row r="34" spans="1:14" x14ac:dyDescent="0.25">
      <c r="A34" s="24" t="s">
        <v>193</v>
      </c>
      <c r="B34" s="29">
        <f>0+B33</f>
        <v>94385</v>
      </c>
      <c r="C34" s="29">
        <f>B34+C33</f>
        <v>95770</v>
      </c>
      <c r="D34" s="29">
        <f>C34+D33</f>
        <v>97155</v>
      </c>
      <c r="E34" s="29">
        <f>D34+E33</f>
        <v>98540</v>
      </c>
      <c r="F34" s="29">
        <f>E34+F33</f>
        <v>99925</v>
      </c>
      <c r="G34" s="29">
        <f>F34+G33</f>
        <v>101310</v>
      </c>
      <c r="H34" s="29">
        <f>G34+H33</f>
        <v>102695</v>
      </c>
      <c r="I34" s="29">
        <f>H34+I33</f>
        <v>104080</v>
      </c>
      <c r="J34" s="29">
        <f>I34+J33</f>
        <v>105465</v>
      </c>
      <c r="K34" s="29">
        <f>J34+K33</f>
        <v>106850</v>
      </c>
      <c r="L34" s="29">
        <f>K34+L33</f>
        <v>106850</v>
      </c>
      <c r="M34" s="29">
        <f>L34+M33</f>
        <v>106850</v>
      </c>
      <c r="N34" s="29">
        <f>M34</f>
        <v>106850</v>
      </c>
    </row>
    <row r="36" ht="24" customHeight="1" spans="1:3" x14ac:dyDescent="0.25">
      <c r="A36" s="12" t="s">
        <v>194</v>
      </c>
      <c r="B36" s="12"/>
      <c r="C36" s="12"/>
    </row>
    <row r="37" spans="1:2" x14ac:dyDescent="0.25">
      <c r="A37" s="13" t="s">
        <v>121</v>
      </c>
      <c r="B37" s="26">
        <v>0</v>
      </c>
    </row>
    <row r="38" spans="1:2" x14ac:dyDescent="0.25">
      <c r="A38" s="13" t="s">
        <v>195</v>
      </c>
      <c r="B38" s="29">
        <f>M34</f>
        <v>106850</v>
      </c>
    </row>
    <row r="39" spans="1:2" x14ac:dyDescent="0.25">
      <c r="A39" s="13" t="s">
        <v>196</v>
      </c>
      <c r="B39" s="26">
        <f>MIN(B34:M34)</f>
        <v>94385</v>
      </c>
    </row>
    <row r="41" spans="1:14" x14ac:dyDescent="0.25">
      <c r="A41" s="22" t="s">
        <v>122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</sheetData>
  <mergeCells count="2">
    <mergeCell ref="A1:N1"/>
    <mergeCell ref="A41:N41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&amp;L&amp;10&amp;BLiberty Learning Co-Op&amp;R&amp;8&amp;IYear 1 Pro Forma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9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197</v>
      </c>
      <c r="C2" s="1"/>
      <c r="D2" s="1"/>
      <c r="E2" s="1"/>
      <c r="F2" s="1"/>
      <c r="G2" s="1"/>
      <c r="H2" s="1"/>
    </row>
    <row r="3" spans="2:8" x14ac:dyDescent="0.25">
      <c r="B3" s="40" t="s">
        <v>198</v>
      </c>
      <c r="C3" s="40"/>
      <c r="D3" s="40"/>
      <c r="E3" s="40"/>
      <c r="F3" s="40"/>
      <c r="G3" s="40"/>
      <c r="H3" s="40"/>
    </row>
    <row r="4" spans="2:6" x14ac:dyDescent="0.25">
      <c r="B4" s="41" t="s">
        <v>199</v>
      </c>
      <c r="D4" s="42" t="s">
        <v>200</v>
      </c>
      <c r="F4" s="43" t="s">
        <v>201</v>
      </c>
    </row>
    <row r="6" ht="24" customHeight="1" spans="2:8" x14ac:dyDescent="0.25">
      <c r="B6" s="12" t="s">
        <v>202</v>
      </c>
      <c r="C6" s="16" t="s">
        <v>203</v>
      </c>
      <c r="D6" s="16" t="s">
        <v>204</v>
      </c>
      <c r="E6" s="16" t="s">
        <v>205</v>
      </c>
      <c r="F6" s="16" t="s">
        <v>206</v>
      </c>
      <c r="G6" s="16" t="s">
        <v>207</v>
      </c>
      <c r="H6" s="16" t="s">
        <v>208</v>
      </c>
    </row>
    <row r="7" spans="2:7" x14ac:dyDescent="0.25">
      <c r="B7" s="13" t="s">
        <v>209</v>
      </c>
      <c r="C7" s="44">
        <v>15</v>
      </c>
      <c r="D7" s="44">
        <v>22</v>
      </c>
      <c r="E7" s="44">
        <v>30</v>
      </c>
      <c r="F7" s="44">
        <v>36</v>
      </c>
      <c r="G7" s="44">
        <v>40</v>
      </c>
    </row>
    <row r="8" spans="2:7" x14ac:dyDescent="0.25">
      <c r="B8" s="13" t="s">
        <v>210</v>
      </c>
      <c r="C8" s="45">
        <v>201000</v>
      </c>
      <c r="D8" s="45">
        <v>300734.99999999994</v>
      </c>
      <c r="E8" s="45">
        <v>419199.37499999994</v>
      </c>
      <c r="F8" s="45">
        <v>514969.0968749998</v>
      </c>
      <c r="G8" s="45">
        <v>586124.6449218749</v>
      </c>
    </row>
    <row r="9" spans="2:7" x14ac:dyDescent="0.25">
      <c r="B9" s="13" t="s">
        <v>211</v>
      </c>
      <c r="C9" s="45">
        <v>64516.25</v>
      </c>
      <c r="D9" s="45">
        <v>79742.085</v>
      </c>
      <c r="E9" s="45">
        <v>82134.34754999999</v>
      </c>
      <c r="F9" s="45">
        <v>84598.3779765</v>
      </c>
      <c r="G9" s="45">
        <v>87136.32931579501</v>
      </c>
    </row>
    <row r="10" spans="2:7" x14ac:dyDescent="0.25">
      <c r="B10" s="13" t="s">
        <v>212</v>
      </c>
      <c r="C10" s="45">
        <v>35550</v>
      </c>
      <c r="D10" s="45">
        <v>41210.5</v>
      </c>
      <c r="E10" s="45">
        <v>47815.252499999995</v>
      </c>
      <c r="F10" s="45">
        <v>53325.084449999995</v>
      </c>
      <c r="G10" s="45">
        <v>57646.13959287499</v>
      </c>
    </row>
    <row r="11" spans="2:7" x14ac:dyDescent="0.25">
      <c r="B11" s="13" t="s">
        <v>154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</row>
    <row r="12" spans="2:7" x14ac:dyDescent="0.25">
      <c r="B12" s="24" t="s">
        <v>213</v>
      </c>
      <c r="C12" s="46">
        <v>100933.75</v>
      </c>
      <c r="D12" s="46">
        <v>179782.41499999992</v>
      </c>
      <c r="E12" s="46">
        <v>289249.77494999993</v>
      </c>
      <c r="F12" s="46">
        <v>377045.63444849977</v>
      </c>
      <c r="G12" s="46">
        <v>441342.1760132049</v>
      </c>
    </row>
    <row r="13" spans="2:7" x14ac:dyDescent="0.25">
      <c r="B13" s="24" t="s">
        <v>156</v>
      </c>
      <c r="C13" s="46">
        <v>100933.75</v>
      </c>
      <c r="D13" s="46">
        <v>280716.1649999999</v>
      </c>
      <c r="E13" s="46">
        <v>569965.9399499998</v>
      </c>
      <c r="F13" s="46">
        <v>947011.5743984996</v>
      </c>
      <c r="G13" s="46">
        <v>1388353.7504117044</v>
      </c>
    </row>
    <row r="14" spans="2:7" x14ac:dyDescent="0.25">
      <c r="B14" s="24" t="s">
        <v>214</v>
      </c>
      <c r="C14" s="47">
        <v>0.5021579601990049</v>
      </c>
      <c r="D14" s="47">
        <v>0.5978100819658502</v>
      </c>
      <c r="E14" s="47">
        <v>0.6900052628895259</v>
      </c>
      <c r="F14" s="47">
        <v>0.7321713802566707</v>
      </c>
      <c r="G14" s="47">
        <v>0.7529834819896233</v>
      </c>
    </row>
    <row r="15" spans="2:8" x14ac:dyDescent="0.25">
      <c r="B15" s="24" t="s">
        <v>215</v>
      </c>
      <c r="C15" s="48">
        <v>13400</v>
      </c>
      <c r="D15" s="48">
        <v>13669.772727272724</v>
      </c>
      <c r="E15" s="48">
        <v>13973.312499999998</v>
      </c>
      <c r="F15" s="48">
        <v>14304.697135416662</v>
      </c>
      <c r="G15" s="48">
        <v>14653.116123046872</v>
      </c>
      <c r="H15" s="49" t="s">
        <v>216</v>
      </c>
    </row>
    <row r="16" spans="2:7" x14ac:dyDescent="0.25">
      <c r="B16" s="24" t="s">
        <v>217</v>
      </c>
      <c r="C16" s="50">
        <v>6671.083333333333</v>
      </c>
      <c r="D16" s="50">
        <v>5497.844772727273</v>
      </c>
      <c r="E16" s="50">
        <v>4331.653334999999</v>
      </c>
      <c r="F16" s="50">
        <v>3831.2072896249997</v>
      </c>
      <c r="G16" s="50">
        <v>3619.5617227167504</v>
      </c>
    </row>
    <row r="17" spans="2:7" x14ac:dyDescent="0.25">
      <c r="B17" s="13" t="s">
        <v>218</v>
      </c>
      <c r="C17" s="45">
        <v>400</v>
      </c>
      <c r="D17" s="45">
        <v>409.99999999999994</v>
      </c>
      <c r="E17" s="45">
        <v>420.24999999999994</v>
      </c>
      <c r="F17" s="45">
        <v>430.75624999999985</v>
      </c>
      <c r="G17" s="45">
        <v>441.5251562499999</v>
      </c>
    </row>
    <row r="18" spans="2:8" x14ac:dyDescent="0.25">
      <c r="B18" s="13" t="s">
        <v>219</v>
      </c>
      <c r="C18" s="48">
        <v>1720</v>
      </c>
      <c r="D18" s="48">
        <v>1206.9545454545455</v>
      </c>
      <c r="E18" s="48">
        <v>910.9354999999999</v>
      </c>
      <c r="F18" s="48">
        <v>781.2734395833334</v>
      </c>
      <c r="G18" s="48">
        <v>723.675110915625</v>
      </c>
      <c r="H18" s="49" t="s">
        <v>220</v>
      </c>
    </row>
    <row r="19" spans="2:7" x14ac:dyDescent="0.25">
      <c r="B19" s="24" t="s">
        <v>221</v>
      </c>
      <c r="C19" s="51">
        <v>6728.916666666667</v>
      </c>
      <c r="D19" s="51">
        <v>8171.927954545451</v>
      </c>
      <c r="E19" s="51">
        <v>9641.659164999997</v>
      </c>
      <c r="F19" s="51">
        <v>10473.48984579166</v>
      </c>
      <c r="G19" s="51">
        <v>11033.554400330122</v>
      </c>
    </row>
    <row r="20" spans="2:8" x14ac:dyDescent="0.25">
      <c r="B20" s="24" t="s">
        <v>222</v>
      </c>
      <c r="C20" s="47">
        <v>0.320976368159204</v>
      </c>
      <c r="D20" s="47">
        <v>0.2651573145792808</v>
      </c>
      <c r="E20" s="47">
        <v>0.19593146471174963</v>
      </c>
      <c r="F20" s="47">
        <v>0.16427855281000456</v>
      </c>
      <c r="G20" s="47">
        <v>0.14866518593056174</v>
      </c>
      <c r="H20" s="49" t="s">
        <v>223</v>
      </c>
    </row>
    <row r="21" spans="2:8" x14ac:dyDescent="0.25">
      <c r="B21" s="24" t="s">
        <v>224</v>
      </c>
      <c r="C21" s="47">
        <v>0.12835820895522387</v>
      </c>
      <c r="D21" s="47">
        <v>0.08829368048281712</v>
      </c>
      <c r="E21" s="47">
        <v>0.06519109194759654</v>
      </c>
      <c r="F21" s="47">
        <v>0.05461656630597211</v>
      </c>
      <c r="G21" s="47">
        <v>0.049387113624071166</v>
      </c>
      <c r="H21" s="49" t="s">
        <v>225</v>
      </c>
    </row>
    <row r="22" spans="2:8" x14ac:dyDescent="0.25">
      <c r="B22" s="24" t="s">
        <v>226</v>
      </c>
      <c r="C22" s="47">
        <v>0.5021579601990049</v>
      </c>
      <c r="D22" s="47">
        <v>0.5978100819658502</v>
      </c>
      <c r="E22" s="47">
        <v>0.6900052628895259</v>
      </c>
      <c r="F22" s="47">
        <v>0.7321713802566707</v>
      </c>
      <c r="G22" s="47">
        <v>0.7529834819896233</v>
      </c>
      <c r="H22" s="49" t="s">
        <v>227</v>
      </c>
    </row>
    <row r="23" spans="2:8" x14ac:dyDescent="0.25">
      <c r="B23" s="24" t="s">
        <v>228</v>
      </c>
      <c r="C23" s="52">
        <v>3</v>
      </c>
      <c r="D23" s="52">
        <v>3</v>
      </c>
      <c r="E23" s="52">
        <v>3</v>
      </c>
      <c r="F23" s="52">
        <v>3</v>
      </c>
      <c r="G23" s="52">
        <v>3</v>
      </c>
      <c r="H23" s="49" t="s">
        <v>229</v>
      </c>
    </row>
    <row r="24" spans="2:8" x14ac:dyDescent="0.25">
      <c r="B24" s="24" t="s">
        <v>230</v>
      </c>
      <c r="C24" s="53" t="s">
        <v>44</v>
      </c>
      <c r="D24" s="53" t="s">
        <v>44</v>
      </c>
      <c r="E24" s="53" t="s">
        <v>44</v>
      </c>
      <c r="F24" s="53" t="s">
        <v>44</v>
      </c>
      <c r="G24" s="53" t="s">
        <v>44</v>
      </c>
      <c r="H24" s="49" t="s">
        <v>44</v>
      </c>
    </row>
    <row r="25" spans="2:8" x14ac:dyDescent="0.25">
      <c r="B25" s="24" t="s">
        <v>231</v>
      </c>
      <c r="C25" s="33" t="str">
        <f>IF('5-Year Model'!B43&gt;=0,"✓ Break-even","")</f>
        <v>✓ Break-even</v>
      </c>
      <c r="D25" s="54" t="str">
        <f>IF(AND('5-Year Model'!C43&gt;=0,'5-Year Model'!B43&lt;0),"✓ Break-even","")</f>
        <v>0</v>
      </c>
      <c r="E25" s="54" t="str">
        <f>IF(AND('5-Year Model'!D43&gt;=0,'5-Year Model'!C43&lt;0),"✓ Break-even","")</f>
        <v>0</v>
      </c>
      <c r="F25" s="54" t="str">
        <f>IF(AND('5-Year Model'!E43&gt;=0,'5-Year Model'!D43&lt;0),"✓ Break-even","")</f>
        <v>0</v>
      </c>
      <c r="G25" s="54" t="str">
        <f>IF(AND('5-Year Model'!F43&gt;=0,'5-Year Model'!E43&lt;0),"✓ Break-even","")</f>
        <v>0</v>
      </c>
      <c r="H25" s="49" t="s">
        <v>203</v>
      </c>
    </row>
    <row r="26" spans="2:8" x14ac:dyDescent="0.25">
      <c r="B26" s="24" t="s">
        <v>232</v>
      </c>
      <c r="C26" s="55">
        <v>12</v>
      </c>
      <c r="D26" s="52">
        <v>28</v>
      </c>
      <c r="E26" s="52">
        <v>53</v>
      </c>
      <c r="F26" s="56" t="s">
        <v>233</v>
      </c>
      <c r="G26" s="56" t="s">
        <v>233</v>
      </c>
      <c r="H26" s="49" t="s">
        <v>234</v>
      </c>
    </row>
    <row r="27" spans="2:8" x14ac:dyDescent="0.25">
      <c r="B27" s="24" t="s">
        <v>157</v>
      </c>
      <c r="C27" s="52">
        <v>368</v>
      </c>
      <c r="D27" s="52">
        <v>847</v>
      </c>
      <c r="E27" s="52">
        <v>1601</v>
      </c>
      <c r="F27" s="52">
        <v>2506</v>
      </c>
      <c r="G27" s="52">
        <v>3500</v>
      </c>
      <c r="H27" s="49" t="s">
        <v>235</v>
      </c>
    </row>
    <row r="29" ht="24" customHeight="1" spans="2:8" x14ac:dyDescent="0.25">
      <c r="B29" s="12" t="s">
        <v>236</v>
      </c>
      <c r="C29" s="12" t="s">
        <v>237</v>
      </c>
      <c r="D29" s="12" t="s">
        <v>238</v>
      </c>
      <c r="E29" s="12"/>
      <c r="F29" s="12" t="s">
        <v>239</v>
      </c>
      <c r="G29" s="12"/>
      <c r="H29" s="12"/>
    </row>
    <row r="30" ht="45" customHeight="1" spans="2:8" x14ac:dyDescent="0.25">
      <c r="B30" s="57" t="s">
        <v>240</v>
      </c>
      <c r="C30" s="33" t="s">
        <v>241</v>
      </c>
      <c r="D30" s="58" t="s">
        <v>242</v>
      </c>
      <c r="E30" s="58"/>
      <c r="F30" s="59" t="s">
        <v>243</v>
      </c>
      <c r="G30" s="59"/>
      <c r="H30" s="59"/>
    </row>
    <row r="31" ht="45" customHeight="1" spans="2:8" x14ac:dyDescent="0.25">
      <c r="B31" s="57" t="s">
        <v>244</v>
      </c>
      <c r="C31" s="33" t="s">
        <v>241</v>
      </c>
      <c r="D31" s="58" t="s">
        <v>245</v>
      </c>
      <c r="E31" s="58"/>
      <c r="F31" s="59" t="s">
        <v>246</v>
      </c>
      <c r="G31" s="59"/>
      <c r="H31" s="59"/>
    </row>
    <row r="32" ht="45" customHeight="1" spans="2:8" x14ac:dyDescent="0.25">
      <c r="B32" s="57" t="s">
        <v>247</v>
      </c>
      <c r="C32" s="33" t="s">
        <v>241</v>
      </c>
      <c r="D32" s="58" t="s">
        <v>248</v>
      </c>
      <c r="E32" s="58"/>
      <c r="F32" s="59" t="s">
        <v>249</v>
      </c>
      <c r="G32" s="59"/>
      <c r="H32" s="59"/>
    </row>
    <row r="33" ht="45" customHeight="1" spans="2:8" x14ac:dyDescent="0.25">
      <c r="B33" s="57" t="s">
        <v>250</v>
      </c>
      <c r="C33" s="33" t="s">
        <v>241</v>
      </c>
      <c r="D33" s="58" t="s">
        <v>251</v>
      </c>
      <c r="E33" s="58"/>
      <c r="F33" s="59" t="s">
        <v>252</v>
      </c>
      <c r="G33" s="59"/>
      <c r="H33" s="59"/>
    </row>
    <row r="34" ht="45" customHeight="1" spans="2:8" x14ac:dyDescent="0.25">
      <c r="B34" s="57" t="s">
        <v>253</v>
      </c>
      <c r="C34" s="33" t="s">
        <v>241</v>
      </c>
      <c r="D34" s="58" t="s">
        <v>254</v>
      </c>
      <c r="E34" s="58"/>
      <c r="F34" s="59" t="s">
        <v>255</v>
      </c>
      <c r="G34" s="59"/>
      <c r="H34" s="59"/>
    </row>
    <row r="35" ht="45" customHeight="1" spans="2:8" x14ac:dyDescent="0.25">
      <c r="B35" s="57" t="s">
        <v>256</v>
      </c>
      <c r="C35" s="33" t="s">
        <v>241</v>
      </c>
      <c r="D35" s="58" t="s">
        <v>257</v>
      </c>
      <c r="E35" s="58"/>
      <c r="F35" s="59" t="s">
        <v>258</v>
      </c>
      <c r="G35" s="59"/>
      <c r="H35" s="59"/>
    </row>
    <row r="37" spans="2:6" x14ac:dyDescent="0.25">
      <c r="B37" s="57" t="s">
        <v>259</v>
      </c>
      <c r="C37" s="24" t="s">
        <v>260</v>
      </c>
      <c r="D37" s="24"/>
      <c r="E37" s="24"/>
      <c r="F37" s="24"/>
    </row>
    <row r="39" spans="2:8" x14ac:dyDescent="0.25">
      <c r="B39" s="60" t="s">
        <v>122</v>
      </c>
      <c r="C39" s="60"/>
      <c r="D39" s="60"/>
      <c r="E39" s="60"/>
      <c r="F39" s="60"/>
      <c r="G39" s="60"/>
      <c r="H39" s="60"/>
    </row>
  </sheetData>
  <mergeCells count="18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C37:F37"/>
    <mergeCell ref="B39:H39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pageMargins left="0.25" right="0.25" top="0.5" bottom="0.5" header="0.3" footer="0.3"/>
  <pageSetup paperSize="1" orientation="landscape" fitToWidth="1" fitToHeight="0"/>
  <headerFooter>
    <oddHeader>&amp;L&amp;10&amp;BLiberty Learning Co-Op&amp;R&amp;8&amp;IFinancial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Assumptions</vt:lpstr>
      <vt:lpstr>5-Year Model</vt:lpstr>
      <vt:lpstr>Year 1 Pro Forma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Formula Model</dc:creator>
  <dc:title/>
  <dc:subject/>
  <dc:description/>
  <cp:keywords/>
  <cp:category/>
  <cp:lastModifiedBy>Unknown</cp:lastModifiedBy>
  <dcterms:created xsi:type="dcterms:W3CDTF">2026-03-27T03:17:32Z</dcterms:created>
  <dcterms:modified xsi:type="dcterms:W3CDTF">2026-03-27T03:17:32Z</dcterms:modified>
</cp:coreProperties>
</file>