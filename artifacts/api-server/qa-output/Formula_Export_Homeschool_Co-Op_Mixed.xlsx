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Health'!$A1:$H34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<sst xmlns="http://schemas.openxmlformats.org/spreadsheetml/2006/main" count="358" uniqueCount="255">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</sst>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8" x14ac:dyDescent="0.25">
      <c r="B16" s="24" t="s">
        <v>217</v>
      </c>
      <c r="C16" s="47">
        <v>0.320976368159204</v>
      </c>
      <c r="D16" s="47">
        <v>0.2651573145792808</v>
      </c>
      <c r="E16" s="47">
        <v>0.19593146471174963</v>
      </c>
      <c r="F16" s="47">
        <v>0.16427855281000456</v>
      </c>
      <c r="G16" s="47">
        <v>0.14866518593056174</v>
      </c>
      <c r="H16" s="49" t="s">
        <v>218</v>
      </c>
    </row>
    <row r="17" spans="2:8" x14ac:dyDescent="0.25">
      <c r="B17" s="24" t="s">
        <v>219</v>
      </c>
      <c r="C17" s="47">
        <v>0.12835820895522387</v>
      </c>
      <c r="D17" s="47">
        <v>0.08829368048281712</v>
      </c>
      <c r="E17" s="47">
        <v>0.06519109194759654</v>
      </c>
      <c r="F17" s="47">
        <v>0.05461656630597211</v>
      </c>
      <c r="G17" s="47">
        <v>0.049387113624071166</v>
      </c>
      <c r="H17" s="49" t="s">
        <v>220</v>
      </c>
    </row>
    <row r="18" spans="2:8" x14ac:dyDescent="0.25">
      <c r="B18" s="24" t="s">
        <v>221</v>
      </c>
      <c r="C18" s="47">
        <v>0.5021579601990049</v>
      </c>
      <c r="D18" s="47">
        <v>0.5978100819658502</v>
      </c>
      <c r="E18" s="47">
        <v>0.6900052628895259</v>
      </c>
      <c r="F18" s="47">
        <v>0.7321713802566707</v>
      </c>
      <c r="G18" s="47">
        <v>0.7529834819896233</v>
      </c>
      <c r="H18" s="49" t="s">
        <v>222</v>
      </c>
    </row>
    <row r="19" spans="2:8" x14ac:dyDescent="0.25">
      <c r="B19" s="24" t="s">
        <v>223</v>
      </c>
      <c r="C19" s="50">
        <v>3</v>
      </c>
      <c r="D19" s="50">
        <v>3</v>
      </c>
      <c r="E19" s="50">
        <v>3</v>
      </c>
      <c r="F19" s="50">
        <v>3</v>
      </c>
      <c r="G19" s="50">
        <v>3</v>
      </c>
      <c r="H19" s="49" t="s">
        <v>224</v>
      </c>
    </row>
    <row r="20" spans="2:8" x14ac:dyDescent="0.25">
      <c r="B20" s="24" t="s">
        <v>225</v>
      </c>
      <c r="C20" s="51" t="s">
        <v>44</v>
      </c>
      <c r="D20" s="51" t="s">
        <v>44</v>
      </c>
      <c r="E20" s="51" t="s">
        <v>44</v>
      </c>
      <c r="F20" s="51" t="s">
        <v>44</v>
      </c>
      <c r="G20" s="51" t="s">
        <v>44</v>
      </c>
      <c r="H20" s="49" t="s">
        <v>44</v>
      </c>
    </row>
    <row r="21" spans="2:8" x14ac:dyDescent="0.25">
      <c r="B21" s="24" t="s">
        <v>226</v>
      </c>
      <c r="C21" s="33" t="str">
        <f>IF('5-Year Model'!B43&gt;=0,"✓ Break-even","")</f>
        <v>✓ Break-even</v>
      </c>
      <c r="D21" s="52" t="str">
        <f>IF(AND('5-Year Model'!C43&gt;=0,'5-Year Model'!B43&lt;0),"✓ Break-even","")</f>
        <v>0</v>
      </c>
      <c r="E21" s="52" t="str">
        <f>IF(AND('5-Year Model'!D43&gt;=0,'5-Year Model'!C43&lt;0),"✓ Break-even","")</f>
        <v>0</v>
      </c>
      <c r="F21" s="52" t="str">
        <f>IF(AND('5-Year Model'!E43&gt;=0,'5-Year Model'!D43&lt;0),"✓ Break-even","")</f>
        <v>0</v>
      </c>
      <c r="G21" s="52" t="str">
        <f>IF(AND('5-Year Model'!F43&gt;=0,'5-Year Model'!E43&lt;0),"✓ Break-even","")</f>
        <v>0</v>
      </c>
      <c r="H21" s="49" t="s">
        <v>203</v>
      </c>
    </row>
    <row r="22" spans="2:8" x14ac:dyDescent="0.25">
      <c r="B22" s="24" t="s">
        <v>227</v>
      </c>
      <c r="C22" s="53">
        <v>12</v>
      </c>
      <c r="D22" s="50">
        <v>28</v>
      </c>
      <c r="E22" s="50">
        <v>53</v>
      </c>
      <c r="F22" s="54" t="s">
        <v>228</v>
      </c>
      <c r="G22" s="54" t="s">
        <v>228</v>
      </c>
      <c r="H22" s="49" t="s">
        <v>229</v>
      </c>
    </row>
    <row r="24" ht="24" customHeight="1" spans="2:8" x14ac:dyDescent="0.25">
      <c r="B24" s="12" t="s">
        <v>230</v>
      </c>
      <c r="C24" s="12" t="s">
        <v>231</v>
      </c>
      <c r="D24" s="12" t="s">
        <v>232</v>
      </c>
      <c r="E24" s="12"/>
      <c r="F24" s="12" t="s">
        <v>233</v>
      </c>
      <c r="G24" s="12"/>
      <c r="H24" s="12"/>
    </row>
    <row r="25" ht="45" customHeight="1" spans="2:8" x14ac:dyDescent="0.25">
      <c r="B25" s="55" t="s">
        <v>234</v>
      </c>
      <c r="C25" s="33" t="s">
        <v>235</v>
      </c>
      <c r="D25" s="56" t="s">
        <v>236</v>
      </c>
      <c r="E25" s="56"/>
      <c r="F25" s="57" t="s">
        <v>237</v>
      </c>
      <c r="G25" s="57"/>
      <c r="H25" s="57"/>
    </row>
    <row r="26" ht="45" customHeight="1" spans="2:8" x14ac:dyDescent="0.25">
      <c r="B26" s="55" t="s">
        <v>238</v>
      </c>
      <c r="C26" s="33" t="s">
        <v>235</v>
      </c>
      <c r="D26" s="56" t="s">
        <v>239</v>
      </c>
      <c r="E26" s="56"/>
      <c r="F26" s="57" t="s">
        <v>240</v>
      </c>
      <c r="G26" s="57"/>
      <c r="H26" s="57"/>
    </row>
    <row r="27" ht="45" customHeight="1" spans="2:8" x14ac:dyDescent="0.25">
      <c r="B27" s="55" t="s">
        <v>241</v>
      </c>
      <c r="C27" s="33" t="s">
        <v>235</v>
      </c>
      <c r="D27" s="56" t="s">
        <v>242</v>
      </c>
      <c r="E27" s="56"/>
      <c r="F27" s="57" t="s">
        <v>243</v>
      </c>
      <c r="G27" s="57"/>
      <c r="H27" s="57"/>
    </row>
    <row r="28" ht="45" customHeight="1" spans="2:8" x14ac:dyDescent="0.25">
      <c r="B28" s="55" t="s">
        <v>244</v>
      </c>
      <c r="C28" s="33" t="s">
        <v>235</v>
      </c>
      <c r="D28" s="56" t="s">
        <v>245</v>
      </c>
      <c r="E28" s="56"/>
      <c r="F28" s="57" t="s">
        <v>246</v>
      </c>
      <c r="G28" s="57"/>
      <c r="H28" s="57"/>
    </row>
    <row r="29" ht="45" customHeight="1" spans="2:8" x14ac:dyDescent="0.25">
      <c r="B29" s="55" t="s">
        <v>247</v>
      </c>
      <c r="C29" s="33" t="s">
        <v>235</v>
      </c>
      <c r="D29" s="56" t="s">
        <v>248</v>
      </c>
      <c r="E29" s="56"/>
      <c r="F29" s="57" t="s">
        <v>249</v>
      </c>
      <c r="G29" s="57"/>
      <c r="H29" s="57"/>
    </row>
    <row r="30" ht="45" customHeight="1" spans="2:8" x14ac:dyDescent="0.25">
      <c r="B30" s="55" t="s">
        <v>250</v>
      </c>
      <c r="C30" s="33" t="s">
        <v>235</v>
      </c>
      <c r="D30" s="56" t="s">
        <v>251</v>
      </c>
      <c r="E30" s="56"/>
      <c r="F30" s="57" t="s">
        <v>252</v>
      </c>
      <c r="G30" s="57"/>
      <c r="H30" s="57"/>
    </row>
    <row r="32" spans="2:6" x14ac:dyDescent="0.25">
      <c r="B32" s="55" t="s">
        <v>253</v>
      </c>
      <c r="C32" s="24" t="s">
        <v>254</v>
      </c>
      <c r="D32" s="24"/>
      <c r="E32" s="24"/>
      <c r="F32" s="24"/>
    </row>
    <row r="34" spans="2:8" x14ac:dyDescent="0.25">
      <c r="B34" s="58" t="s">
        <v>122</v>
      </c>
      <c r="C34" s="58"/>
      <c r="D34" s="58"/>
      <c r="E34" s="58"/>
      <c r="F34" s="58"/>
      <c r="G34" s="58"/>
      <c r="H34" s="58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2026-03-27T03:06:56Z</dcterms:created>
  <dcterms:modified xsi:type="dcterms:W3CDTF">2026-03-27T03:06:56Z</dcterms:modified>
</cp:coreProperties>
</file>