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<sst xmlns="http://schemas.openxmlformats.org/spreadsheetml/2006/main" count="764" uniqueCount="427">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</sst>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100</v>
      </c>
      <c r="C17" s="21">
        <v>130</v>
      </c>
      <c r="D17" s="21">
        <v>160</v>
      </c>
      <c r="E17" s="21">
        <v>185</v>
      </c>
      <c r="F17" s="21">
        <v>200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10500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350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-1050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2">
        <v>8700</v>
      </c>
      <c r="E24" s="23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2">
        <v>50000</v>
      </c>
      <c r="E25" s="23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2">
        <v>25000</v>
      </c>
      <c r="E26" s="23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2">
        <v>500</v>
      </c>
      <c r="E27" s="23">
        <v>0</v>
      </c>
    </row>
    <row r="29" ht="24" customHeight="1" spans="1:7" x14ac:dyDescent="0.25">
      <c r="A29" s="18" t="s">
        <v>127</v>
      </c>
      <c r="B29" s="18"/>
      <c r="C29" s="18"/>
      <c r="D29" s="18"/>
      <c r="E29" s="18"/>
      <c r="F29" s="18"/>
      <c r="G29" s="18"/>
    </row>
    <row r="30" ht="28" customHeight="1" spans="1:7" x14ac:dyDescent="0.25">
      <c r="A30" s="20" t="s">
        <v>128</v>
      </c>
      <c r="B30" s="20" t="s">
        <v>109</v>
      </c>
      <c r="C30" s="20" t="s">
        <v>129</v>
      </c>
      <c r="D30" s="20" t="s">
        <v>130</v>
      </c>
      <c r="E30" s="20" t="s">
        <v>131</v>
      </c>
      <c r="F30" s="20" t="s">
        <v>132</v>
      </c>
      <c r="G30" s="20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4">
        <v>1</v>
      </c>
      <c r="E31" s="22">
        <v>95000</v>
      </c>
      <c r="F31" s="23">
        <v>0.25</v>
      </c>
      <c r="G31" s="23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4">
        <v>1</v>
      </c>
      <c r="E32" s="22">
        <v>75000</v>
      </c>
      <c r="F32" s="23">
        <v>0.25</v>
      </c>
      <c r="G32" s="23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4">
        <v>6</v>
      </c>
      <c r="E33" s="22">
        <v>48000</v>
      </c>
      <c r="F33" s="23">
        <v>0.25</v>
      </c>
      <c r="G33" s="23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4">
        <v>3</v>
      </c>
      <c r="E34" s="22">
        <v>32000</v>
      </c>
      <c r="F34" s="23">
        <v>0.2</v>
      </c>
      <c r="G34" s="23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4">
        <v>1</v>
      </c>
      <c r="E35" s="22">
        <v>42000</v>
      </c>
      <c r="F35" s="23">
        <v>0.25</v>
      </c>
      <c r="G35" s="23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4">
        <v>1</v>
      </c>
      <c r="E36" s="22">
        <v>52000</v>
      </c>
      <c r="F36" s="23">
        <v>0.25</v>
      </c>
      <c r="G36" s="23">
        <v>0.0765</v>
      </c>
    </row>
    <row r="38" ht="24" customHeight="1" spans="1:7" x14ac:dyDescent="0.25">
      <c r="A38" s="18" t="s">
        <v>145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2">
        <v>8500</v>
      </c>
      <c r="E40" s="23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2">
        <v>1200</v>
      </c>
      <c r="E41" s="23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2">
        <v>12000</v>
      </c>
      <c r="E42" s="23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2">
        <v>8000</v>
      </c>
      <c r="E43" s="23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2">
        <v>600</v>
      </c>
      <c r="E44" s="23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2">
        <v>400</v>
      </c>
      <c r="E45" s="23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2">
        <v>15000</v>
      </c>
      <c r="E46" s="23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2">
        <v>8000</v>
      </c>
      <c r="E47" s="23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2">
        <v>12000</v>
      </c>
      <c r="E48" s="23">
        <v>0</v>
      </c>
    </row>
    <row r="50" ht="24" customHeight="1" spans="1:7" x14ac:dyDescent="0.25">
      <c r="A50" s="18" t="s">
        <v>159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160</v>
      </c>
      <c r="B51" s="20" t="s">
        <v>129</v>
      </c>
      <c r="C51" s="20" t="s">
        <v>161</v>
      </c>
      <c r="D51" s="20" t="s">
        <v>131</v>
      </c>
      <c r="E51" s="20" t="s">
        <v>162</v>
      </c>
    </row>
    <row r="52" spans="1:5" x14ac:dyDescent="0.25">
      <c r="A52" s="11" t="s">
        <v>163</v>
      </c>
      <c r="B52" s="11" t="s">
        <v>164</v>
      </c>
      <c r="C52" s="22">
        <v>250000</v>
      </c>
      <c r="D52" s="23">
        <v>0.065</v>
      </c>
      <c r="E52" s="21">
        <v>10</v>
      </c>
    </row>
    <row r="53" spans="1:5" x14ac:dyDescent="0.25">
      <c r="A53" s="11" t="s">
        <v>165</v>
      </c>
      <c r="B53" s="11" t="s">
        <v>166</v>
      </c>
      <c r="C53" s="22">
        <v>25000</v>
      </c>
      <c r="D53" s="23">
        <v>0</v>
      </c>
      <c r="E53" s="21">
        <v>0</v>
      </c>
    </row>
    <row r="55" ht="24" customHeight="1" spans="1:7" x14ac:dyDescent="0.25">
      <c r="A55" s="18" t="s">
        <v>167</v>
      </c>
      <c r="B55" s="18"/>
      <c r="C55" s="18"/>
      <c r="D55" s="18"/>
      <c r="E55" s="18"/>
      <c r="F55" s="18"/>
      <c r="G55" s="18"/>
    </row>
    <row r="56" spans="1:3" x14ac:dyDescent="0.25">
      <c r="A56" s="11" t="s">
        <v>168</v>
      </c>
      <c r="B56" s="23">
        <v>0.03</v>
      </c>
      <c r="C56" s="25" t="s">
        <v>169</v>
      </c>
    </row>
    <row r="57" spans="1:3" x14ac:dyDescent="0.25">
      <c r="A57" s="11" t="s">
        <v>170</v>
      </c>
      <c r="B57" s="23">
        <v>0.03</v>
      </c>
      <c r="C57" s="25" t="s">
        <v>171</v>
      </c>
    </row>
    <row r="58" spans="1:2" x14ac:dyDescent="0.25">
      <c r="A58" s="11" t="s">
        <v>172</v>
      </c>
      <c r="B58" s="24">
        <v>1</v>
      </c>
    </row>
    <row r="59" spans="1:2" x14ac:dyDescent="0.25">
      <c r="A59" s="11" t="s">
        <v>173</v>
      </c>
      <c r="B59" s="22">
        <v>75000</v>
      </c>
    </row>
    <row r="60" spans="1:2" x14ac:dyDescent="0.25">
      <c r="A60" s="11" t="s">
        <v>174</v>
      </c>
      <c r="B60" s="19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0" t="s">
        <v>7</v>
      </c>
      <c r="B3" s="20" t="s">
        <v>193</v>
      </c>
      <c r="C3" s="20" t="s">
        <v>194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</row>
    <row r="5" ht="24" customHeight="1" spans="1:8" x14ac:dyDescent="0.25">
      <c r="A5" s="18" t="s">
        <v>195</v>
      </c>
      <c r="B5" s="18"/>
      <c r="C5" s="18"/>
      <c r="D5" s="18"/>
      <c r="E5" s="18"/>
      <c r="F5" s="18"/>
      <c r="G5" s="18"/>
      <c r="H5" s="18"/>
    </row>
    <row r="6" spans="1:8" x14ac:dyDescent="0.25">
      <c r="A6" s="10" t="s">
        <v>106</v>
      </c>
      <c r="B6" s="26">
        <v>85</v>
      </c>
      <c r="C6" s="26">
        <v>0</v>
      </c>
      <c r="D6" s="27">
        <v>100</v>
      </c>
      <c r="E6" s="27">
        <v>130</v>
      </c>
      <c r="F6" s="27">
        <v>160</v>
      </c>
      <c r="G6" s="27">
        <v>185</v>
      </c>
      <c r="H6" s="27">
        <v>200</v>
      </c>
    </row>
    <row r="7" spans="1:2" x14ac:dyDescent="0.25">
      <c r="A7" s="11" t="s">
        <v>99</v>
      </c>
      <c r="B7" s="28">
        <v>200</v>
      </c>
    </row>
    <row r="8" spans="1:8" x14ac:dyDescent="0.25">
      <c r="A8" s="11" t="s">
        <v>196</v>
      </c>
      <c r="D8" s="29">
        <v>0.5</v>
      </c>
      <c r="E8" s="29">
        <v>0.65</v>
      </c>
      <c r="F8" s="29">
        <v>0.8</v>
      </c>
      <c r="G8" s="29">
        <v>0.925</v>
      </c>
      <c r="H8" s="29">
        <v>1</v>
      </c>
    </row>
    <row r="10" spans="1:8" x14ac:dyDescent="0.25">
      <c r="A10" s="11" t="s">
        <v>197</v>
      </c>
      <c r="D10" s="11" t="s">
        <v>198</v>
      </c>
      <c r="E10" s="30">
        <v>0.3</v>
      </c>
      <c r="F10" s="30">
        <v>0.23076923076923078</v>
      </c>
      <c r="G10" s="30">
        <v>0.15625</v>
      </c>
      <c r="H10" s="30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200</v>
      </c>
      <c r="B4" s="18"/>
      <c r="C4" s="18"/>
      <c r="D4" s="18"/>
      <c r="E4" s="18"/>
      <c r="F4" s="18"/>
    </row>
    <row r="5" spans="1:6" x14ac:dyDescent="0.25">
      <c r="A5" s="11" t="s">
        <v>201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202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203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204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205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206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207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ht="24" customHeight="1" spans="1:6" x14ac:dyDescent="0.25">
      <c r="A12" s="18" t="s">
        <v>208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128</v>
      </c>
      <c r="B3" s="20" t="s">
        <v>109</v>
      </c>
      <c r="C3" s="20" t="s">
        <v>130</v>
      </c>
      <c r="D3" s="20" t="s">
        <v>209</v>
      </c>
      <c r="E3" s="20" t="s">
        <v>132</v>
      </c>
      <c r="F3" s="20" t="s">
        <v>133</v>
      </c>
      <c r="G3" s="20" t="s">
        <v>210</v>
      </c>
    </row>
    <row r="4" spans="1:7" x14ac:dyDescent="0.25">
      <c r="A4" s="11" t="s">
        <v>134</v>
      </c>
      <c r="B4" s="11" t="s">
        <v>135</v>
      </c>
      <c r="C4" s="33">
        <v>1</v>
      </c>
      <c r="D4" s="31">
        <v>95000</v>
      </c>
      <c r="E4" s="30">
        <v>0.25</v>
      </c>
      <c r="F4" s="30">
        <v>0.0765</v>
      </c>
      <c r="G4" s="34">
        <v>126018</v>
      </c>
    </row>
    <row r="5" spans="1:7" x14ac:dyDescent="0.25">
      <c r="A5" s="11" t="s">
        <v>137</v>
      </c>
      <c r="B5" s="11" t="s">
        <v>135</v>
      </c>
      <c r="C5" s="33">
        <v>1</v>
      </c>
      <c r="D5" s="31">
        <v>75000</v>
      </c>
      <c r="E5" s="30">
        <v>0.25</v>
      </c>
      <c r="F5" s="30">
        <v>0.0765</v>
      </c>
      <c r="G5" s="34">
        <v>99488</v>
      </c>
    </row>
    <row r="6" spans="1:7" x14ac:dyDescent="0.25">
      <c r="A6" s="11" t="s">
        <v>138</v>
      </c>
      <c r="B6" s="11" t="s">
        <v>139</v>
      </c>
      <c r="C6" s="33">
        <v>6</v>
      </c>
      <c r="D6" s="31">
        <v>48000</v>
      </c>
      <c r="E6" s="30">
        <v>0.25</v>
      </c>
      <c r="F6" s="30">
        <v>0.0765</v>
      </c>
      <c r="G6" s="34">
        <v>382032</v>
      </c>
    </row>
    <row r="7" spans="1:7" x14ac:dyDescent="0.25">
      <c r="A7" s="11" t="s">
        <v>140</v>
      </c>
      <c r="B7" s="11" t="s">
        <v>139</v>
      </c>
      <c r="C7" s="33">
        <v>3</v>
      </c>
      <c r="D7" s="31">
        <v>32000</v>
      </c>
      <c r="E7" s="30">
        <v>0.2</v>
      </c>
      <c r="F7" s="30">
        <v>0.0765</v>
      </c>
      <c r="G7" s="34">
        <v>122544</v>
      </c>
    </row>
    <row r="8" spans="1:7" x14ac:dyDescent="0.25">
      <c r="A8" s="11" t="s">
        <v>141</v>
      </c>
      <c r="B8" s="11" t="s">
        <v>142</v>
      </c>
      <c r="C8" s="33">
        <v>1</v>
      </c>
      <c r="D8" s="31">
        <v>42000</v>
      </c>
      <c r="E8" s="30">
        <v>0.25</v>
      </c>
      <c r="F8" s="30">
        <v>0.0765</v>
      </c>
      <c r="G8" s="34">
        <v>55713</v>
      </c>
    </row>
    <row r="9" spans="1:7" x14ac:dyDescent="0.25">
      <c r="A9" s="11" t="s">
        <v>143</v>
      </c>
      <c r="B9" s="11" t="s">
        <v>144</v>
      </c>
      <c r="C9" s="33">
        <v>1</v>
      </c>
      <c r="D9" s="31">
        <v>52000</v>
      </c>
      <c r="E9" s="30">
        <v>0.25</v>
      </c>
      <c r="F9" s="30">
        <v>0.0765</v>
      </c>
      <c r="G9" s="34">
        <v>68978</v>
      </c>
    </row>
    <row r="11" ht="24" customHeight="1" spans="1:7" x14ac:dyDescent="0.25">
      <c r="A11" s="18" t="s">
        <v>211</v>
      </c>
      <c r="B11" s="18"/>
      <c r="C11" s="18"/>
      <c r="D11" s="18"/>
      <c r="E11" s="18"/>
      <c r="F11" s="18"/>
      <c r="G11" s="18"/>
    </row>
    <row r="12" ht="28" customHeight="1" spans="1:6" x14ac:dyDescent="0.25">
      <c r="A12" s="20" t="s">
        <v>7</v>
      </c>
      <c r="B12" s="20" t="s">
        <v>101</v>
      </c>
      <c r="C12" s="20" t="s">
        <v>102</v>
      </c>
      <c r="D12" s="20" t="s">
        <v>103</v>
      </c>
      <c r="E12" s="20" t="s">
        <v>104</v>
      </c>
      <c r="F12" s="20" t="s">
        <v>105</v>
      </c>
    </row>
    <row r="13" spans="1:6" x14ac:dyDescent="0.25">
      <c r="A13" s="10" t="s">
        <v>212</v>
      </c>
      <c r="B13" s="32">
        <v>854772</v>
      </c>
      <c r="C13" s="32">
        <v>880415</v>
      </c>
      <c r="D13" s="32">
        <v>906828</v>
      </c>
      <c r="E13" s="32">
        <v>934032</v>
      </c>
      <c r="F13" s="32">
        <v>962053</v>
      </c>
    </row>
    <row r="14" spans="1:6" x14ac:dyDescent="0.25">
      <c r="A14" s="11" t="s">
        <v>213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214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153</v>
      </c>
      <c r="B4" s="18"/>
      <c r="C4" s="18"/>
      <c r="D4" s="18"/>
      <c r="E4" s="18"/>
      <c r="F4" s="18"/>
    </row>
    <row r="5" spans="1:6" x14ac:dyDescent="0.25">
      <c r="A5" s="11" t="s">
        <v>216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217</v>
      </c>
      <c r="B6" s="36">
        <f>SUM(B5:B5)</f>
        <v>60000</v>
      </c>
      <c r="C6" s="36">
        <f>SUM(C5:C5)</f>
        <v>80340</v>
      </c>
      <c r="D6" s="36">
        <f>SUM(D5:D5)</f>
        <v>101846</v>
      </c>
      <c r="E6" s="36">
        <f>SUM(E5:E5)</f>
        <v>121293</v>
      </c>
      <c r="F6" s="36">
        <f>SUM(F5:F5)</f>
        <v>135061</v>
      </c>
    </row>
    <row r="7" ht="24" customHeight="1" spans="1:6" x14ac:dyDescent="0.25">
      <c r="A7" s="18" t="s">
        <v>154</v>
      </c>
      <c r="B7" s="18"/>
      <c r="C7" s="18"/>
      <c r="D7" s="18"/>
      <c r="E7" s="18"/>
      <c r="F7" s="18"/>
    </row>
    <row r="8" spans="1:6" x14ac:dyDescent="0.25">
      <c r="A8" s="11" t="s">
        <v>218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219</v>
      </c>
      <c r="B9" s="36">
        <f>SUM(B8:B8)</f>
        <v>40000</v>
      </c>
      <c r="C9" s="36">
        <f>SUM(C8:C8)</f>
        <v>53560</v>
      </c>
      <c r="D9" s="36">
        <f>SUM(D8:D8)</f>
        <v>67898</v>
      </c>
      <c r="E9" s="36">
        <f>SUM(E8:E8)</f>
        <v>80862</v>
      </c>
      <c r="F9" s="36">
        <f>SUM(F8:F8)</f>
        <v>90041</v>
      </c>
    </row>
    <row r="10" ht="24" customHeight="1" spans="1:6" x14ac:dyDescent="0.25">
      <c r="A10" s="18" t="s">
        <v>147</v>
      </c>
      <c r="B10" s="18"/>
      <c r="C10" s="18"/>
      <c r="D10" s="18"/>
      <c r="E10" s="18"/>
      <c r="F10" s="18"/>
    </row>
    <row r="11" spans="1:6" x14ac:dyDescent="0.25">
      <c r="A11" s="11" t="s">
        <v>220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221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222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223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224</v>
      </c>
      <c r="B15" s="36">
        <f>SUM(B11:B14)</f>
        <v>136400</v>
      </c>
      <c r="C15" s="36">
        <f>SUM(C11:C14)</f>
        <v>140492</v>
      </c>
      <c r="D15" s="36">
        <f>SUM(D11:D14)</f>
        <v>144707</v>
      </c>
      <c r="E15" s="36">
        <f>SUM(E11:E14)</f>
        <v>149048</v>
      </c>
      <c r="F15" s="36">
        <f>SUM(F11:F14)</f>
        <v>153519</v>
      </c>
    </row>
    <row r="16" ht="24" customHeight="1" spans="1:6" x14ac:dyDescent="0.25">
      <c r="A16" s="18" t="s">
        <v>156</v>
      </c>
      <c r="B16" s="18"/>
      <c r="C16" s="18"/>
      <c r="D16" s="18"/>
      <c r="E16" s="18"/>
      <c r="F16" s="18"/>
    </row>
    <row r="17" spans="1:6" x14ac:dyDescent="0.25">
      <c r="A17" s="11" t="s">
        <v>225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226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227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228</v>
      </c>
      <c r="B20" s="36">
        <f>SUM(B17:B19)</f>
        <v>35000</v>
      </c>
      <c r="C20" s="36">
        <f>SUM(C17:C19)</f>
        <v>36050</v>
      </c>
      <c r="D20" s="36">
        <f>SUM(D17:D19)</f>
        <v>37132</v>
      </c>
      <c r="E20" s="36">
        <f>SUM(E17:E19)</f>
        <v>38245</v>
      </c>
      <c r="F20" s="36">
        <f>SUM(F17:F19)</f>
        <v>39393</v>
      </c>
    </row>
    <row r="22" ht="24" customHeight="1" spans="1:6" x14ac:dyDescent="0.25">
      <c r="A22" s="18" t="s">
        <v>229</v>
      </c>
      <c r="B22" s="32">
        <f>B6+B9+B15+B20</f>
        <v>271400</v>
      </c>
      <c r="C22" s="32">
        <f>C6+C9+C15+C20</f>
        <v>310442</v>
      </c>
      <c r="D22" s="32">
        <f>D6+D9+D15+D20</f>
        <v>351582</v>
      </c>
      <c r="E22" s="32">
        <f>E6+E9+E15+E20</f>
        <v>389448</v>
      </c>
      <c r="F22" s="32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230</v>
      </c>
      <c r="B1" s="15"/>
      <c r="C1" s="15"/>
      <c r="D1" s="15"/>
      <c r="E1" s="15"/>
      <c r="F1" s="15"/>
    </row>
    <row r="3" ht="28" customHeight="1" spans="1:6" x14ac:dyDescent="0.25">
      <c r="A3" s="20" t="s">
        <v>160</v>
      </c>
      <c r="B3" s="20" t="s">
        <v>129</v>
      </c>
      <c r="C3" s="20" t="s">
        <v>161</v>
      </c>
      <c r="D3" s="20" t="s">
        <v>131</v>
      </c>
      <c r="E3" s="20" t="s">
        <v>162</v>
      </c>
      <c r="F3" s="20" t="s">
        <v>231</v>
      </c>
    </row>
    <row r="4" spans="1:6" x14ac:dyDescent="0.25">
      <c r="A4" s="11" t="s">
        <v>163</v>
      </c>
      <c r="B4" s="11" t="s">
        <v>164</v>
      </c>
      <c r="C4" s="22">
        <v>250000</v>
      </c>
      <c r="D4" s="30">
        <v>0.065</v>
      </c>
      <c r="E4" s="28">
        <v>10</v>
      </c>
      <c r="F4" s="34">
        <v>34064</v>
      </c>
    </row>
    <row r="5" spans="1:6" x14ac:dyDescent="0.25">
      <c r="A5" s="11" t="s">
        <v>165</v>
      </c>
      <c r="B5" s="11" t="s">
        <v>232</v>
      </c>
      <c r="C5" s="22">
        <v>25000</v>
      </c>
      <c r="D5" s="30">
        <v>0</v>
      </c>
      <c r="E5" s="28">
        <v>0</v>
      </c>
      <c r="F5" s="34">
        <v>25000</v>
      </c>
    </row>
    <row r="7" spans="1:6" x14ac:dyDescent="0.25">
      <c r="A7" s="10" t="s">
        <v>233</v>
      </c>
      <c r="F7" s="32">
        <v>34064</v>
      </c>
    </row>
    <row r="8" spans="1:6" x14ac:dyDescent="0.25">
      <c r="A8" s="10" t="s">
        <v>234</v>
      </c>
      <c r="F8" s="36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26">
        <v>100</v>
      </c>
      <c r="C4" s="26">
        <v>130</v>
      </c>
      <c r="D4" s="26">
        <v>160</v>
      </c>
      <c r="E4" s="26">
        <v>185</v>
      </c>
      <c r="F4" s="26">
        <v>200</v>
      </c>
    </row>
    <row r="6" ht="24" customHeight="1" spans="1:6" x14ac:dyDescent="0.25">
      <c r="A6" s="18" t="s">
        <v>236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116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117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119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121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124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125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8" t="s">
        <v>208</v>
      </c>
      <c r="B14" s="32">
        <f>SUM(B7:B13)</f>
        <v>1975000</v>
      </c>
      <c r="C14" s="32">
        <f>SUM(C7:C13)</f>
        <v>2621350</v>
      </c>
      <c r="D14" s="32">
        <f>SUM(D7:D13)</f>
        <v>3304704</v>
      </c>
      <c r="E14" s="32">
        <f>SUM(E7:E13)</f>
        <v>3922890</v>
      </c>
      <c r="F14" s="32">
        <f>SUM(F7:F13)</f>
        <v>4361347</v>
      </c>
    </row>
    <row r="16" spans="1:6" x14ac:dyDescent="0.25">
      <c r="A16" s="11" t="s">
        <v>237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139</v>
      </c>
      <c r="B4" s="18"/>
      <c r="C4" s="18"/>
      <c r="D4" s="18"/>
      <c r="E4" s="18"/>
      <c r="F4" s="18"/>
    </row>
    <row r="5" spans="1:6" x14ac:dyDescent="0.25">
      <c r="A5" s="11" t="s">
        <v>239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240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241</v>
      </c>
      <c r="B7" s="36">
        <f>SUM(B5:B6)</f>
        <v>504576</v>
      </c>
      <c r="C7" s="36">
        <f>SUM(C5:C6)</f>
        <v>519713</v>
      </c>
      <c r="D7" s="36">
        <f>SUM(D5:D6)</f>
        <v>535305</v>
      </c>
      <c r="E7" s="36">
        <f>SUM(E5:E6)</f>
        <v>551364</v>
      </c>
      <c r="F7" s="36">
        <f>SUM(F5:F6)</f>
        <v>567905</v>
      </c>
    </row>
    <row r="8" ht="24" customHeight="1" spans="1:6" x14ac:dyDescent="0.25">
      <c r="A8" s="18" t="s">
        <v>135</v>
      </c>
      <c r="B8" s="18"/>
      <c r="C8" s="18"/>
      <c r="D8" s="18"/>
      <c r="E8" s="18"/>
      <c r="F8" s="18"/>
    </row>
    <row r="9" spans="1:6" x14ac:dyDescent="0.25">
      <c r="A9" s="11" t="s">
        <v>242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243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244</v>
      </c>
      <c r="B11" s="36">
        <f>SUM(B9:B10)</f>
        <v>225505</v>
      </c>
      <c r="C11" s="36">
        <f>SUM(C9:C10)</f>
        <v>232270</v>
      </c>
      <c r="D11" s="36">
        <f>SUM(D9:D10)</f>
        <v>239238</v>
      </c>
      <c r="E11" s="36">
        <f>SUM(E9:E10)</f>
        <v>246415</v>
      </c>
      <c r="F11" s="36">
        <f>SUM(F9:F10)</f>
        <v>253808</v>
      </c>
    </row>
    <row r="12" ht="24" customHeight="1" spans="1:6" x14ac:dyDescent="0.25">
      <c r="A12" s="18" t="s">
        <v>144</v>
      </c>
      <c r="B12" s="18"/>
      <c r="C12" s="18"/>
      <c r="D12" s="18"/>
      <c r="E12" s="18"/>
      <c r="F12" s="18"/>
    </row>
    <row r="13" spans="1:6" x14ac:dyDescent="0.25">
      <c r="A13" s="11" t="s">
        <v>245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246</v>
      </c>
      <c r="B14" s="36">
        <f>SUM(B13:B13)</f>
        <v>68978</v>
      </c>
      <c r="C14" s="36">
        <f>SUM(C13:C13)</f>
        <v>71047</v>
      </c>
      <c r="D14" s="36">
        <f>SUM(D13:D13)</f>
        <v>73179</v>
      </c>
      <c r="E14" s="36">
        <f>SUM(E13:E13)</f>
        <v>75374</v>
      </c>
      <c r="F14" s="36">
        <f>SUM(F13:F13)</f>
        <v>77635</v>
      </c>
    </row>
    <row r="15" ht="24" customHeight="1" spans="1:6" x14ac:dyDescent="0.25">
      <c r="A15" s="18" t="s">
        <v>142</v>
      </c>
      <c r="B15" s="18"/>
      <c r="C15" s="18"/>
      <c r="D15" s="18"/>
      <c r="E15" s="18"/>
      <c r="F15" s="18"/>
    </row>
    <row r="16" spans="1:6" x14ac:dyDescent="0.25">
      <c r="A16" s="11" t="s">
        <v>247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248</v>
      </c>
      <c r="B17" s="36">
        <f>SUM(B16:B16)</f>
        <v>55713</v>
      </c>
      <c r="C17" s="36">
        <f>SUM(C16:C16)</f>
        <v>57384</v>
      </c>
      <c r="D17" s="36">
        <f>SUM(D16:D16)</f>
        <v>59106</v>
      </c>
      <c r="E17" s="36">
        <f>SUM(E16:E16)</f>
        <v>60879</v>
      </c>
      <c r="F17" s="36">
        <f>SUM(F16:F16)</f>
        <v>62705</v>
      </c>
    </row>
    <row r="19" ht="24" customHeight="1" spans="1:6" x14ac:dyDescent="0.25">
      <c r="A19" s="18" t="s">
        <v>249</v>
      </c>
      <c r="B19" s="32">
        <f>B7+B11+B14+B17</f>
        <v>854772</v>
      </c>
      <c r="C19" s="32">
        <f>C7+C11+C14+C17</f>
        <v>880415</v>
      </c>
      <c r="D19" s="32">
        <f>D7+D11+D14+D17</f>
        <v>906828</v>
      </c>
      <c r="E19" s="32">
        <f>E7+E11+E14+E17</f>
        <v>934032</v>
      </c>
      <c r="F19" s="32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251</v>
      </c>
      <c r="B4" s="18"/>
      <c r="C4" s="18"/>
      <c r="D4" s="18"/>
      <c r="E4" s="18"/>
      <c r="F4" s="18"/>
    </row>
    <row r="5" spans="1:6" x14ac:dyDescent="0.25">
      <c r="A5" s="11" t="s">
        <v>252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253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254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255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256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257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258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259</v>
      </c>
      <c r="B12" s="36">
        <f>SUM(B5:B11)</f>
        <v>1975000</v>
      </c>
      <c r="C12" s="36">
        <f>SUM(C5:C11)</f>
        <v>2621350</v>
      </c>
      <c r="D12" s="36">
        <f>SUM(D5:D11)</f>
        <v>3304704</v>
      </c>
      <c r="E12" s="36">
        <f>SUM(E5:E11)</f>
        <v>3922890</v>
      </c>
      <c r="F12" s="36">
        <f>SUM(F5:F11)</f>
        <v>4361347</v>
      </c>
    </row>
    <row r="14" ht="24" customHeight="1" spans="1:6" x14ac:dyDescent="0.25">
      <c r="A14" s="18" t="s">
        <v>260</v>
      </c>
      <c r="B14" s="18"/>
      <c r="C14" s="18"/>
      <c r="D14" s="18"/>
      <c r="E14" s="18"/>
      <c r="F14" s="18"/>
    </row>
    <row r="15" spans="1:6" x14ac:dyDescent="0.25">
      <c r="A15" s="11" t="s">
        <v>242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243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239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240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247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245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212</v>
      </c>
      <c r="B21" s="36">
        <f>SUM(B15:B20)</f>
        <v>854772</v>
      </c>
      <c r="C21" s="36">
        <f>SUM(C15:C20)</f>
        <v>880415</v>
      </c>
      <c r="D21" s="36">
        <f>SUM(D15:D20)</f>
        <v>906828</v>
      </c>
      <c r="E21" s="36">
        <f>SUM(E15:E20)</f>
        <v>934032</v>
      </c>
      <c r="F21" s="36">
        <f>SUM(F15:F20)</f>
        <v>962053</v>
      </c>
    </row>
    <row r="23" ht="24" customHeight="1" spans="1:6" x14ac:dyDescent="0.25">
      <c r="A23" s="18" t="s">
        <v>145</v>
      </c>
      <c r="B23" s="18"/>
      <c r="C23" s="18"/>
      <c r="D23" s="18"/>
      <c r="E23" s="18"/>
      <c r="F23" s="18"/>
    </row>
    <row r="24" spans="1:1" x14ac:dyDescent="0.25">
      <c r="A24" s="37" t="s">
        <v>153</v>
      </c>
    </row>
    <row r="25" spans="1:6" x14ac:dyDescent="0.25">
      <c r="A25" s="11" t="s">
        <v>261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154</v>
      </c>
    </row>
    <row r="27" spans="1:6" x14ac:dyDescent="0.25">
      <c r="A27" s="11" t="s">
        <v>262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147</v>
      </c>
    </row>
    <row r="29" spans="1:6" x14ac:dyDescent="0.25">
      <c r="A29" s="11" t="s">
        <v>263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266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267</v>
      </c>
      <c r="B33" s="36">
        <f>SUM(B29:B32)</f>
        <v>136400</v>
      </c>
      <c r="C33" s="36">
        <f>SUM(C29:C32)</f>
        <v>140492</v>
      </c>
      <c r="D33" s="36">
        <f>SUM(D29:D32)</f>
        <v>144707</v>
      </c>
      <c r="E33" s="36">
        <f>SUM(E29:E32)</f>
        <v>149048</v>
      </c>
      <c r="F33" s="36">
        <f>SUM(F29:F32)</f>
        <v>153519</v>
      </c>
    </row>
    <row r="34" spans="1:1" x14ac:dyDescent="0.25">
      <c r="A34" s="37" t="s">
        <v>156</v>
      </c>
    </row>
    <row r="35" spans="1:6" x14ac:dyDescent="0.25">
      <c r="A35" s="11" t="s">
        <v>268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269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271</v>
      </c>
      <c r="B38" s="36">
        <f>SUM(B35:B37)</f>
        <v>35000</v>
      </c>
      <c r="C38" s="36">
        <f>SUM(C35:C37)</f>
        <v>36050</v>
      </c>
      <c r="D38" s="36">
        <f>SUM(D35:D37)</f>
        <v>37132</v>
      </c>
      <c r="E38" s="36">
        <f>SUM(E35:E37)</f>
        <v>38245</v>
      </c>
      <c r="F38" s="36">
        <f>SUM(F35:F37)</f>
        <v>39393</v>
      </c>
    </row>
    <row r="39" spans="1:6" x14ac:dyDescent="0.25">
      <c r="A39" s="10" t="s">
        <v>272</v>
      </c>
      <c r="B39" s="36">
        <f>B25+B27+B33+B38</f>
        <v>271400</v>
      </c>
      <c r="C39" s="36">
        <f>C25+C27+C33+C38</f>
        <v>310442</v>
      </c>
      <c r="D39" s="36">
        <f>D25+D27+D33+D38</f>
        <v>351582</v>
      </c>
      <c r="E39" s="36">
        <f>E25+E27+E33+E38</f>
        <v>389448</v>
      </c>
      <c r="F39" s="36">
        <f>F25+F27+F33+F38</f>
        <v>418014</v>
      </c>
    </row>
    <row r="41" ht="24" customHeight="1" spans="1:6" x14ac:dyDescent="0.25">
      <c r="A41" s="18" t="s">
        <v>273</v>
      </c>
      <c r="B41" s="18"/>
      <c r="C41" s="18"/>
      <c r="D41" s="18"/>
      <c r="E41" s="18"/>
      <c r="F41" s="18"/>
    </row>
    <row r="42" spans="1:6" x14ac:dyDescent="0.25">
      <c r="A42" s="11" t="s">
        <v>274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276</v>
      </c>
      <c r="B44" s="36">
        <f>SUM(B42:B43)</f>
        <v>59064</v>
      </c>
      <c r="C44" s="36">
        <f>SUM(C42:C43)</f>
        <v>44064</v>
      </c>
      <c r="D44" s="36">
        <f>SUM(D42:D43)</f>
        <v>44064</v>
      </c>
      <c r="E44" s="36">
        <f>SUM(E42:E43)</f>
        <v>39064</v>
      </c>
      <c r="F44" s="36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259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212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278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279</v>
      </c>
      <c r="B8" s="36">
        <f>SUM(B5:B7)</f>
        <v>1185236</v>
      </c>
      <c r="C8" s="36">
        <f>SUM(C5:C7)</f>
        <v>1234922</v>
      </c>
      <c r="D8" s="36">
        <f>SUM(D5:D7)</f>
        <v>1302474</v>
      </c>
      <c r="E8" s="36">
        <f>SUM(E5:E7)</f>
        <v>1362545</v>
      </c>
      <c r="F8" s="36">
        <f>SUM(F5:F7)</f>
        <v>1419132</v>
      </c>
    </row>
    <row r="10" ht="24" customHeight="1" spans="1:6" x14ac:dyDescent="0.25">
      <c r="A10" s="18" t="s">
        <v>280</v>
      </c>
      <c r="B10" s="18"/>
      <c r="C10" s="18"/>
      <c r="D10" s="18"/>
      <c r="E10" s="18"/>
      <c r="F10" s="18"/>
    </row>
    <row r="11" spans="1:6" x14ac:dyDescent="0.25">
      <c r="A11" s="10" t="s">
        <v>281</v>
      </c>
      <c r="B11" s="32">
        <f>B4-B8</f>
        <v>789764</v>
      </c>
      <c r="C11" s="32">
        <f>C4-C8</f>
        <v>1386428</v>
      </c>
      <c r="D11" s="32">
        <f>D4-D8</f>
        <v>2002229</v>
      </c>
      <c r="E11" s="32">
        <f>E4-E8</f>
        <v>2560345</v>
      </c>
      <c r="F11" s="32">
        <f>F4-F8</f>
        <v>2942215</v>
      </c>
    </row>
    <row r="12" spans="1:6" x14ac:dyDescent="0.25">
      <c r="A12" s="11" t="s">
        <v>282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237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286</v>
      </c>
      <c r="C2" s="20" t="s">
        <v>287</v>
      </c>
      <c r="D2" s="20" t="s">
        <v>288</v>
      </c>
      <c r="E2" s="20" t="s">
        <v>289</v>
      </c>
      <c r="F2" s="20" t="s">
        <v>290</v>
      </c>
      <c r="G2" s="20" t="s">
        <v>291</v>
      </c>
      <c r="H2" s="20" t="s">
        <v>292</v>
      </c>
      <c r="I2" s="20" t="s">
        <v>293</v>
      </c>
      <c r="J2" s="20" t="s">
        <v>294</v>
      </c>
      <c r="K2" s="20" t="s">
        <v>295</v>
      </c>
      <c r="L2" s="20" t="s">
        <v>296</v>
      </c>
      <c r="M2" s="20" t="s">
        <v>297</v>
      </c>
      <c r="N2" s="20" t="s">
        <v>298</v>
      </c>
    </row>
    <row r="3" ht="24" customHeight="1" spans="1:14" x14ac:dyDescent="0.25">
      <c r="A3" s="18" t="s">
        <v>251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259</v>
      </c>
      <c r="B4" s="36">
        <v>85833</v>
      </c>
      <c r="C4" s="36">
        <v>180333</v>
      </c>
      <c r="D4" s="36">
        <v>180333</v>
      </c>
      <c r="E4" s="36">
        <v>180333</v>
      </c>
      <c r="F4" s="36">
        <v>180333</v>
      </c>
      <c r="G4" s="36">
        <v>180333</v>
      </c>
      <c r="H4" s="36">
        <v>180333</v>
      </c>
      <c r="I4" s="36">
        <v>180333</v>
      </c>
      <c r="J4" s="36">
        <v>180333</v>
      </c>
      <c r="K4" s="36">
        <v>180333</v>
      </c>
      <c r="L4" s="36">
        <v>180333</v>
      </c>
      <c r="M4" s="36">
        <v>85833</v>
      </c>
      <c r="N4" s="36">
        <f>SUM(B4:M4)</f>
        <v>1974996</v>
      </c>
    </row>
    <row r="6" ht="24" customHeight="1" spans="1:14" x14ac:dyDescent="0.25">
      <c r="A6" s="18" t="s">
        <v>299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8" t="s">
        <v>303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279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2">
        <f>M14</f>
        <v>864756</v>
      </c>
    </row>
    <row r="16" ht="24" customHeight="1" spans="1:3" x14ac:dyDescent="0.25">
      <c r="A16" s="18" t="s">
        <v>306</v>
      </c>
      <c r="B16" s="18"/>
      <c r="C16" s="18"/>
    </row>
    <row r="17" spans="1:2" x14ac:dyDescent="0.25">
      <c r="A17" s="11" t="s">
        <v>173</v>
      </c>
      <c r="B17" s="22">
        <v>75000</v>
      </c>
    </row>
    <row r="18" spans="1:2" x14ac:dyDescent="0.25">
      <c r="A18" s="11" t="s">
        <v>307</v>
      </c>
      <c r="B18" s="38">
        <f>M14</f>
        <v>864756</v>
      </c>
    </row>
    <row r="19" spans="1:2" x14ac:dyDescent="0.25">
      <c r="A19" s="11" t="s">
        <v>308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251</v>
      </c>
      <c r="B4" s="18"/>
      <c r="C4" s="18"/>
      <c r="D4" s="18"/>
      <c r="E4" s="18"/>
      <c r="F4" s="18"/>
    </row>
    <row r="5" spans="1:6" x14ac:dyDescent="0.25">
      <c r="A5" s="39" t="s">
        <v>259</v>
      </c>
      <c r="B5" s="36">
        <v>1975000</v>
      </c>
      <c r="C5" s="36">
        <v>2621350</v>
      </c>
      <c r="D5" s="36">
        <v>3304704</v>
      </c>
      <c r="E5" s="36">
        <v>3922890</v>
      </c>
      <c r="F5" s="36">
        <v>4361347</v>
      </c>
    </row>
    <row r="7" ht="24" customHeight="1" spans="1:6" x14ac:dyDescent="0.25">
      <c r="A7" s="18" t="s">
        <v>299</v>
      </c>
      <c r="B7" s="18"/>
      <c r="C7" s="18"/>
      <c r="D7" s="18"/>
      <c r="E7" s="18"/>
      <c r="F7" s="18"/>
    </row>
    <row r="8" spans="1:6" x14ac:dyDescent="0.25">
      <c r="A8" s="10" t="s">
        <v>300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279</v>
      </c>
      <c r="B11" s="36">
        <f>SUM(B8:B10)</f>
        <v>1185236</v>
      </c>
      <c r="C11" s="36">
        <f>SUM(C8:C10)</f>
        <v>1234922</v>
      </c>
      <c r="D11" s="36">
        <f>SUM(D8:D10)</f>
        <v>1302474</v>
      </c>
      <c r="E11" s="36">
        <f>SUM(E8:E10)</f>
        <v>1362545</v>
      </c>
      <c r="F11" s="36">
        <f>SUM(F8:F10)</f>
        <v>1419132</v>
      </c>
    </row>
    <row r="13" ht="24" customHeight="1" spans="1:6" x14ac:dyDescent="0.25">
      <c r="A13" s="18" t="s">
        <v>311</v>
      </c>
      <c r="B13" s="18"/>
      <c r="C13" s="18"/>
      <c r="D13" s="18"/>
      <c r="E13" s="18"/>
      <c r="F13" s="18"/>
    </row>
    <row r="14" spans="1:6" x14ac:dyDescent="0.25">
      <c r="A14" s="39" t="s">
        <v>281</v>
      </c>
      <c r="B14" s="32">
        <f>B5-B11</f>
        <v>789764</v>
      </c>
      <c r="C14" s="32">
        <f>C5-C11</f>
        <v>1386428</v>
      </c>
      <c r="D14" s="32">
        <f>D5-D11</f>
        <v>2002229</v>
      </c>
      <c r="E14" s="32">
        <f>E5-E11</f>
        <v>2560345</v>
      </c>
      <c r="F14" s="32">
        <f>F5-F11</f>
        <v>2942215</v>
      </c>
    </row>
    <row r="15" spans="1:6" x14ac:dyDescent="0.25">
      <c r="A15" s="11" t="s">
        <v>282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312</v>
      </c>
      <c r="B4" s="18"/>
      <c r="C4" s="18"/>
      <c r="D4" s="18"/>
      <c r="E4" s="18"/>
      <c r="F4" s="18"/>
    </row>
    <row r="5" spans="1:5" x14ac:dyDescent="0.25">
      <c r="A5" s="40" t="s">
        <v>313</v>
      </c>
      <c r="B5" s="41" t="s">
        <v>161</v>
      </c>
      <c r="C5" s="42" t="s">
        <v>314</v>
      </c>
      <c r="D5" s="40" t="s">
        <v>315</v>
      </c>
      <c r="E5" s="41" t="s">
        <v>231</v>
      </c>
    </row>
    <row r="6" spans="1:5" x14ac:dyDescent="0.25">
      <c r="A6" s="19" t="s">
        <v>163</v>
      </c>
      <c r="B6" s="22">
        <v>250000</v>
      </c>
      <c r="C6" s="23">
        <v>0.065</v>
      </c>
      <c r="D6" s="19">
        <v>10</v>
      </c>
      <c r="E6" s="31">
        <f>IF(OR(B6=0,D6=0),0,IF(C6=0,B6/D6,-PMT(C6/12,D6*12,B6)*12))</f>
        <v>34064</v>
      </c>
    </row>
    <row r="8" ht="24" customHeight="1" spans="1:6" x14ac:dyDescent="0.25">
      <c r="A8" s="18" t="s">
        <v>316</v>
      </c>
      <c r="B8" s="18"/>
      <c r="C8" s="18"/>
      <c r="D8" s="18"/>
      <c r="E8" s="18"/>
      <c r="F8" s="18"/>
    </row>
    <row r="9" spans="1:6" x14ac:dyDescent="0.25">
      <c r="A9" s="11" t="s">
        <v>317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318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319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320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321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323</v>
      </c>
      <c r="B4" s="18"/>
      <c r="C4" s="18"/>
      <c r="D4" s="18"/>
      <c r="E4" s="18"/>
      <c r="F4" s="18"/>
    </row>
    <row r="5" spans="1:6" x14ac:dyDescent="0.25">
      <c r="A5" s="11" t="s">
        <v>324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325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326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327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328</v>
      </c>
      <c r="B9" s="36">
        <f>SUM(B5:B8)</f>
        <v>1061756</v>
      </c>
      <c r="C9" s="36">
        <f>SUM(C5:C8)</f>
        <v>2448184</v>
      </c>
      <c r="D9" s="36">
        <f>SUM(D5:D8)</f>
        <v>4450414</v>
      </c>
      <c r="E9" s="36">
        <f>SUM(E5:E8)</f>
        <v>7010759</v>
      </c>
      <c r="F9" s="36">
        <f>SUM(F5:F8)</f>
        <v>9952974</v>
      </c>
    </row>
    <row r="11" ht="24" customHeight="1" spans="1:6" x14ac:dyDescent="0.25">
      <c r="A11" s="18" t="s">
        <v>329</v>
      </c>
      <c r="B11" s="18"/>
      <c r="C11" s="18"/>
      <c r="D11" s="18"/>
      <c r="E11" s="18"/>
      <c r="F11" s="18"/>
    </row>
    <row r="12" spans="1:6" x14ac:dyDescent="0.25">
      <c r="A12" s="11" t="s">
        <v>330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331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332</v>
      </c>
      <c r="B14" s="36">
        <f>SUM(B12:B13)</f>
        <v>239645</v>
      </c>
      <c r="C14" s="36">
        <f>SUM(C12:C13)</f>
        <v>220061</v>
      </c>
      <c r="D14" s="36">
        <f>SUM(D12:D13)</f>
        <v>199165</v>
      </c>
      <c r="E14" s="36">
        <f>SUM(E12:E13)</f>
        <v>176870</v>
      </c>
      <c r="F14" s="36">
        <f>SUM(F12:F13)</f>
        <v>153082</v>
      </c>
    </row>
    <row r="16" ht="24" customHeight="1" spans="1:6" x14ac:dyDescent="0.25">
      <c r="A16" s="18" t="s">
        <v>333</v>
      </c>
      <c r="B16" s="18"/>
      <c r="C16" s="18"/>
      <c r="D16" s="18"/>
      <c r="E16" s="18"/>
      <c r="F16" s="18"/>
    </row>
    <row r="17" spans="1:6" x14ac:dyDescent="0.25">
      <c r="A17" s="10" t="s">
        <v>334</v>
      </c>
      <c r="B17" s="32">
        <f>B9-B14</f>
        <v>822111</v>
      </c>
      <c r="C17" s="32">
        <f>C9-C14</f>
        <v>2228123</v>
      </c>
      <c r="D17" s="32">
        <f>D9-D14</f>
        <v>4251248</v>
      </c>
      <c r="E17" s="32">
        <f>E9-E14</f>
        <v>6833888</v>
      </c>
      <c r="F17" s="32">
        <f>F9-F14</f>
        <v>9799892</v>
      </c>
    </row>
    <row r="19" spans="1:6" x14ac:dyDescent="0.25">
      <c r="A19" s="10" t="s">
        <v>335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337</v>
      </c>
      <c r="B4" s="18"/>
      <c r="C4" s="18"/>
      <c r="D4" s="18"/>
      <c r="E4" s="18"/>
      <c r="F4" s="18"/>
    </row>
    <row r="5" spans="1:6" x14ac:dyDescent="0.25">
      <c r="A5" s="11" t="s">
        <v>338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339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340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8" t="s">
        <v>341</v>
      </c>
      <c r="B12" s="18"/>
      <c r="C12" s="18"/>
      <c r="D12" s="18"/>
      <c r="E12" s="18"/>
      <c r="F12" s="18"/>
    </row>
    <row r="13" spans="1:6" x14ac:dyDescent="0.25">
      <c r="A13" s="11" t="s">
        <v>342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343</v>
      </c>
      <c r="B14" s="28">
        <f>IF((B6+B7+B9)=0,0,(B13/(B6+B7+B9))*365)</f>
        <v>272</v>
      </c>
      <c r="C14" s="28">
        <f>IF((C6+C7+C9)=0,0,(C13/(C6+C7+C9))*365)</f>
        <v>671</v>
      </c>
      <c r="D14" s="28">
        <f>IF((D6+D7+D9)=0,0,(D13/(D6+D7+D9))*365)</f>
        <v>1201</v>
      </c>
      <c r="E14" s="28">
        <f>IF((E6+E7+E9)=0,0,(E13/(E6+E7+E9))*365)</f>
        <v>1832</v>
      </c>
      <c r="F14" s="28">
        <f>IF((F6+F7+F9)=0,0,(F13/(F6+F7+F9))*365)</f>
        <v>2518</v>
      </c>
    </row>
    <row r="15" spans="1:6" x14ac:dyDescent="0.25">
      <c r="A15" s="11" t="s">
        <v>344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196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8" t="s">
        <v>345</v>
      </c>
      <c r="B18" s="18"/>
      <c r="C18" s="18"/>
      <c r="D18" s="18"/>
      <c r="E18" s="18"/>
      <c r="F18" s="18"/>
    </row>
    <row r="19" spans="1:6" x14ac:dyDescent="0.25">
      <c r="A19" s="11" t="s">
        <v>237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346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347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348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8" t="s">
        <v>349</v>
      </c>
      <c r="B24" s="18"/>
      <c r="C24" s="18"/>
      <c r="D24" s="18"/>
      <c r="E24" s="18"/>
      <c r="F24" s="18"/>
    </row>
    <row r="25" spans="1:6" x14ac:dyDescent="0.25">
      <c r="A25" s="11" t="s">
        <v>350</v>
      </c>
      <c r="B25" s="48" t="s">
        <v>351</v>
      </c>
      <c r="C25" s="48" t="s">
        <v>351</v>
      </c>
      <c r="D25" s="48" t="s">
        <v>351</v>
      </c>
      <c r="E25" s="48" t="s">
        <v>351</v>
      </c>
      <c r="F25" s="48" t="s">
        <v>351</v>
      </c>
    </row>
    <row r="26" spans="1:6" x14ac:dyDescent="0.25">
      <c r="A26" s="11" t="s">
        <v>352</v>
      </c>
      <c r="B26" s="48" t="s">
        <v>351</v>
      </c>
      <c r="C26" s="48" t="s">
        <v>351</v>
      </c>
      <c r="D26" s="48" t="s">
        <v>351</v>
      </c>
      <c r="E26" s="48" t="s">
        <v>351</v>
      </c>
      <c r="F26" s="48" t="s">
        <v>351</v>
      </c>
    </row>
    <row r="27" spans="1:6" x14ac:dyDescent="0.25">
      <c r="A27" s="11" t="s">
        <v>353</v>
      </c>
      <c r="B27" s="49" t="s">
        <v>354</v>
      </c>
      <c r="C27" s="49" t="s">
        <v>354</v>
      </c>
      <c r="D27" s="49" t="s">
        <v>354</v>
      </c>
      <c r="E27" s="49" t="s">
        <v>354</v>
      </c>
      <c r="F27" s="49" t="s">
        <v>354</v>
      </c>
    </row>
    <row r="28" spans="1:6" x14ac:dyDescent="0.25">
      <c r="A28" s="11" t="s">
        <v>355</v>
      </c>
      <c r="B28" s="48" t="s">
        <v>351</v>
      </c>
      <c r="C28" s="48" t="s">
        <v>351</v>
      </c>
      <c r="D28" s="48" t="s">
        <v>351</v>
      </c>
      <c r="E28" s="48" t="s">
        <v>351</v>
      </c>
      <c r="F28" s="48" t="s">
        <v>351</v>
      </c>
    </row>
    <row r="29" spans="1:6" x14ac:dyDescent="0.25">
      <c r="A29" s="11" t="s">
        <v>356</v>
      </c>
      <c r="B29" s="48" t="s">
        <v>351</v>
      </c>
      <c r="C29" s="48" t="s">
        <v>351</v>
      </c>
      <c r="D29" s="48" t="s">
        <v>351</v>
      </c>
      <c r="E29" s="48" t="s">
        <v>351</v>
      </c>
      <c r="F29" s="48" t="s">
        <v>351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357</v>
      </c>
      <c r="B3" s="50" t="s">
        <v>111</v>
      </c>
      <c r="D3" s="50" t="s">
        <v>358</v>
      </c>
      <c r="E3" s="50" t="s">
        <v>111</v>
      </c>
    </row>
    <row r="4" spans="1:5" x14ac:dyDescent="0.25">
      <c r="A4" s="11" t="s">
        <v>163</v>
      </c>
      <c r="B4" s="31">
        <v>250000</v>
      </c>
      <c r="D4" s="11" t="s">
        <v>359</v>
      </c>
      <c r="E4" s="31">
        <v>200000</v>
      </c>
    </row>
    <row r="5" spans="1:5" x14ac:dyDescent="0.25">
      <c r="A5" s="11" t="s">
        <v>121</v>
      </c>
      <c r="B5" s="31">
        <v>50000</v>
      </c>
      <c r="D5" s="11" t="s">
        <v>165</v>
      </c>
      <c r="E5" s="31">
        <v>50000</v>
      </c>
    </row>
    <row r="6" spans="1:5" x14ac:dyDescent="0.25">
      <c r="A6" s="11" t="s">
        <v>360</v>
      </c>
      <c r="B6" s="31">
        <v>75000</v>
      </c>
      <c r="D6" s="11" t="s">
        <v>361</v>
      </c>
      <c r="E6" s="31">
        <v>75000</v>
      </c>
    </row>
    <row r="7" spans="4:5" x14ac:dyDescent="0.25">
      <c r="D7" s="11" t="s">
        <v>362</v>
      </c>
      <c r="E7" s="31">
        <v>50000</v>
      </c>
    </row>
    <row r="9" spans="1:5" x14ac:dyDescent="0.25">
      <c r="A9" s="10" t="s">
        <v>363</v>
      </c>
      <c r="B9" s="32">
        <v>375000</v>
      </c>
      <c r="D9" s="10" t="s">
        <v>364</v>
      </c>
      <c r="E9" s="32">
        <v>375000</v>
      </c>
    </row>
    <row r="10" spans="1:2" x14ac:dyDescent="0.25">
      <c r="A10" s="10" t="s">
        <v>365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366</v>
      </c>
      <c r="B1" s="15"/>
      <c r="C1" s="15"/>
      <c r="D1" s="15"/>
      <c r="E1" s="15"/>
      <c r="F1" s="15"/>
    </row>
    <row r="3" ht="24" customHeight="1" spans="1:6" x14ac:dyDescent="0.25">
      <c r="A3" s="18" t="s">
        <v>367</v>
      </c>
      <c r="B3" s="18"/>
      <c r="C3" s="18"/>
      <c r="D3" s="18"/>
      <c r="E3" s="18"/>
      <c r="F3" s="18"/>
    </row>
    <row r="4" spans="1:1" x14ac:dyDescent="0.25">
      <c r="A4" s="17" t="s">
        <v>368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338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279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281</v>
      </c>
      <c r="B8" s="32">
        <v>814764</v>
      </c>
      <c r="C8" s="32">
        <v>1396428</v>
      </c>
      <c r="D8" s="32">
        <v>2012229</v>
      </c>
      <c r="E8" s="32">
        <v>2565345</v>
      </c>
      <c r="F8" s="32">
        <v>2947215</v>
      </c>
    </row>
    <row r="9" spans="1:6" x14ac:dyDescent="0.25">
      <c r="A9" s="11" t="s">
        <v>282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340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348</v>
      </c>
      <c r="B11" s="28">
        <v>53</v>
      </c>
      <c r="C11" s="28">
        <v>52</v>
      </c>
      <c r="D11" s="28">
        <v>51</v>
      </c>
      <c r="E11" s="28">
        <v>51</v>
      </c>
      <c r="F11" s="28">
        <v>51</v>
      </c>
    </row>
    <row r="13" ht="24" customHeight="1" spans="1:6" x14ac:dyDescent="0.25">
      <c r="A13" s="18" t="s">
        <v>369</v>
      </c>
      <c r="B13" s="18"/>
      <c r="C13" s="18"/>
      <c r="D13" s="18"/>
      <c r="E13" s="18"/>
      <c r="F13" s="18"/>
    </row>
    <row r="14" spans="1:1" x14ac:dyDescent="0.25">
      <c r="A14" s="17" t="s">
        <v>370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338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279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281</v>
      </c>
      <c r="B18" s="32">
        <v>518514</v>
      </c>
      <c r="C18" s="32">
        <v>1003226</v>
      </c>
      <c r="D18" s="32">
        <v>1516524</v>
      </c>
      <c r="E18" s="32">
        <v>1976912</v>
      </c>
      <c r="F18" s="32">
        <v>2293013</v>
      </c>
    </row>
    <row r="19" spans="1:6" x14ac:dyDescent="0.25">
      <c r="A19" s="11" t="s">
        <v>282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340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348</v>
      </c>
      <c r="B21" s="28">
        <v>54</v>
      </c>
      <c r="C21" s="28">
        <v>53</v>
      </c>
      <c r="D21" s="28">
        <v>53</v>
      </c>
      <c r="E21" s="28">
        <v>52</v>
      </c>
      <c r="F21" s="28">
        <v>52</v>
      </c>
    </row>
    <row r="23" ht="24" customHeight="1" spans="1:6" x14ac:dyDescent="0.25">
      <c r="A23" s="18" t="s">
        <v>371</v>
      </c>
      <c r="B23" s="18"/>
      <c r="C23" s="18"/>
      <c r="D23" s="18"/>
      <c r="E23" s="18"/>
      <c r="F23" s="18"/>
    </row>
    <row r="24" spans="1:1" x14ac:dyDescent="0.25">
      <c r="A24" s="17" t="s">
        <v>372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338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279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281</v>
      </c>
      <c r="B28" s="32">
        <v>801264</v>
      </c>
      <c r="C28" s="32">
        <v>1379433</v>
      </c>
      <c r="D28" s="32">
        <v>1991542</v>
      </c>
      <c r="E28" s="32">
        <v>2541305</v>
      </c>
      <c r="F28" s="32">
        <v>2920765</v>
      </c>
    </row>
    <row r="29" spans="1:6" x14ac:dyDescent="0.25">
      <c r="A29" s="11" t="s">
        <v>282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340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348</v>
      </c>
      <c r="B31" s="28">
        <v>53</v>
      </c>
      <c r="C31" s="28">
        <v>52</v>
      </c>
      <c r="D31" s="28">
        <v>52</v>
      </c>
      <c r="E31" s="28">
        <v>52</v>
      </c>
      <c r="F31" s="28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373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374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375</v>
      </c>
      <c r="B9" s="11" t="s">
        <v>46</v>
      </c>
    </row>
    <row r="11" ht="24" customHeight="1" spans="1:8" x14ac:dyDescent="0.25">
      <c r="A11" s="18" t="s">
        <v>376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338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279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377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378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8" t="s">
        <v>379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380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340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196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381</v>
      </c>
      <c r="D24" s="28">
        <v>100</v>
      </c>
      <c r="E24" s="28">
        <v>130</v>
      </c>
      <c r="F24" s="28">
        <v>160</v>
      </c>
      <c r="G24" s="28">
        <v>185</v>
      </c>
      <c r="H24" s="28">
        <v>200</v>
      </c>
    </row>
    <row r="26" spans="1:8" x14ac:dyDescent="0.25">
      <c r="A26" s="14" t="s">
        <v>382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383</v>
      </c>
      <c r="C2" s="1"/>
      <c r="D2" s="1"/>
      <c r="E2" s="1"/>
      <c r="F2" s="1"/>
      <c r="G2" s="1"/>
    </row>
    <row r="3" spans="2:7" x14ac:dyDescent="0.25">
      <c r="B3" s="53" t="s">
        <v>384</v>
      </c>
      <c r="C3" s="53"/>
      <c r="D3" s="53"/>
      <c r="E3" s="53"/>
      <c r="F3" s="53"/>
      <c r="G3" s="53"/>
    </row>
    <row r="5" ht="24" customHeight="1" spans="2:7" x14ac:dyDescent="0.25">
      <c r="B5" s="18" t="s">
        <v>385</v>
      </c>
      <c r="C5" s="54" t="s">
        <v>386</v>
      </c>
      <c r="D5" s="54" t="s">
        <v>387</v>
      </c>
      <c r="E5" s="54" t="s">
        <v>388</v>
      </c>
      <c r="F5" s="54" t="s">
        <v>389</v>
      </c>
      <c r="G5" s="54" t="s">
        <v>390</v>
      </c>
    </row>
    <row r="6" spans="2:7" x14ac:dyDescent="0.25">
      <c r="B6" s="11" t="s">
        <v>381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338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300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301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302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391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342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380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237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392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393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394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340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395</v>
      </c>
      <c r="C19" s="60" t="s">
        <v>386</v>
      </c>
      <c r="D19" s="60"/>
      <c r="E19" s="60"/>
      <c r="F19" s="60"/>
      <c r="G19" s="60"/>
    </row>
    <row r="20" spans="2:7" x14ac:dyDescent="0.25">
      <c r="B20" s="10" t="s">
        <v>396</v>
      </c>
      <c r="C20" s="60" t="s">
        <v>397</v>
      </c>
      <c r="D20" s="60"/>
      <c r="E20" s="60"/>
      <c r="F20" s="60"/>
      <c r="G20" s="60"/>
    </row>
    <row r="22" ht="24" customHeight="1" spans="2:7" x14ac:dyDescent="0.25">
      <c r="B22" s="18" t="s">
        <v>398</v>
      </c>
      <c r="C22" s="18" t="s">
        <v>399</v>
      </c>
      <c r="D22" s="18" t="s">
        <v>400</v>
      </c>
      <c r="E22" s="18"/>
      <c r="F22" s="18" t="s">
        <v>401</v>
      </c>
      <c r="G22" s="18"/>
    </row>
    <row r="23" ht="45" customHeight="1" spans="2:7" x14ac:dyDescent="0.25">
      <c r="B23" s="40" t="s">
        <v>402</v>
      </c>
      <c r="C23" s="61" t="s">
        <v>403</v>
      </c>
      <c r="D23" s="62" t="s">
        <v>404</v>
      </c>
      <c r="E23" s="62"/>
      <c r="F23" s="63" t="s">
        <v>405</v>
      </c>
      <c r="G23" s="63"/>
    </row>
    <row r="24" ht="45" customHeight="1" spans="2:7" x14ac:dyDescent="0.25">
      <c r="B24" s="40" t="s">
        <v>406</v>
      </c>
      <c r="C24" s="61" t="s">
        <v>403</v>
      </c>
      <c r="D24" s="62" t="s">
        <v>407</v>
      </c>
      <c r="E24" s="62"/>
      <c r="F24" s="63" t="s">
        <v>408</v>
      </c>
      <c r="G24" s="63"/>
    </row>
    <row r="25" ht="45" customHeight="1" spans="2:7" x14ac:dyDescent="0.25">
      <c r="B25" s="40" t="s">
        <v>409</v>
      </c>
      <c r="C25" s="61" t="s">
        <v>403</v>
      </c>
      <c r="D25" s="62" t="s">
        <v>410</v>
      </c>
      <c r="E25" s="62"/>
      <c r="F25" s="63" t="s">
        <v>411</v>
      </c>
      <c r="G25" s="63"/>
    </row>
    <row r="26" ht="45" customHeight="1" spans="2:7" x14ac:dyDescent="0.25">
      <c r="B26" s="40" t="s">
        <v>412</v>
      </c>
      <c r="C26" s="61" t="s">
        <v>403</v>
      </c>
      <c r="D26" s="62" t="s">
        <v>413</v>
      </c>
      <c r="E26" s="62"/>
      <c r="F26" s="63" t="s">
        <v>414</v>
      </c>
      <c r="G26" s="63"/>
    </row>
    <row r="27" ht="45" customHeight="1" spans="2:7" x14ac:dyDescent="0.25">
      <c r="B27" s="40" t="s">
        <v>415</v>
      </c>
      <c r="C27" s="61" t="s">
        <v>403</v>
      </c>
      <c r="D27" s="62" t="s">
        <v>416</v>
      </c>
      <c r="E27" s="62"/>
      <c r="F27" s="63" t="s">
        <v>417</v>
      </c>
      <c r="G27" s="63"/>
    </row>
    <row r="28" ht="45" customHeight="1" spans="2:7" x14ac:dyDescent="0.25">
      <c r="B28" s="40" t="s">
        <v>418</v>
      </c>
      <c r="C28" s="61" t="s">
        <v>403</v>
      </c>
      <c r="D28" s="62" t="s">
        <v>419</v>
      </c>
      <c r="E28" s="62"/>
      <c r="F28" s="63" t="s">
        <v>420</v>
      </c>
      <c r="G28" s="63"/>
    </row>
    <row r="29" ht="45" customHeight="1" spans="2:7" x14ac:dyDescent="0.25">
      <c r="B29" s="40" t="s">
        <v>421</v>
      </c>
      <c r="C29" s="61" t="s">
        <v>403</v>
      </c>
      <c r="D29" s="62" t="s">
        <v>422</v>
      </c>
      <c r="E29" s="62"/>
      <c r="F29" s="63" t="s">
        <v>423</v>
      </c>
      <c r="G29" s="63"/>
    </row>
    <row r="31" spans="2:5" x14ac:dyDescent="0.25">
      <c r="B31" s="40" t="s">
        <v>424</v>
      </c>
      <c r="C31" s="10" t="s">
        <v>425</v>
      </c>
      <c r="D31" s="10"/>
      <c r="E31" s="10"/>
    </row>
    <row r="33" spans="2:7" x14ac:dyDescent="0.25">
      <c r="B33" s="64" t="s">
        <v>426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