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<sst xmlns="http://schemas.openxmlformats.org/spreadsheetml/2006/main" count="795" uniqueCount="446">
  <si>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</si>
  <si>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</si>
  <si>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</si>
  <si>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</si>
  <si>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</si>
  <si>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</si>
  <si>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</si>
  <si>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</si>
  <si>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</si>
  <si>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</si>
  <si>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</si>
  <si>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</si>
  <si>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</si>
  <si>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</si>
  <si>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</si>
  <si>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</si>
  <si>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</si>
  <si>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</si>
  <si>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</si>
  <si>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</si>
  <si>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</si>
  <si>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</si>
  <si>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</si>
  <si>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</si>
  <si>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</si>
  <si>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</si>
  <si>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</si>
  <si>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</si>
  <si>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</si>
  <si>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</si>
  <si>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</si>
  <si>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</si>
  <si>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</si>
  <si>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</si>
  <si>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</si>
  <si>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</si>
  <si>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</si>
  <si>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</si>
  <si>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</si>
  <si>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</si>
  <si>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</si>
  <si>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</si>
  <si>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27,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</si>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</sst>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246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247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243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244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251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249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265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266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267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268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269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270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271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272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273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274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275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276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277</v>
      </c>
      <c r="B41" s="19"/>
      <c r="C41" s="19"/>
      <c r="D41" s="19"/>
      <c r="E41" s="19"/>
      <c r="F41" s="19"/>
    </row>
    <row r="42" spans="1:6" x14ac:dyDescent="0.25">
      <c r="A42" s="11" t="s">
        <v>278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279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280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276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282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283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284</v>
      </c>
      <c r="B10" s="19"/>
      <c r="C10" s="19"/>
      <c r="D10" s="19"/>
      <c r="E10" s="19"/>
      <c r="F10" s="19"/>
    </row>
    <row r="11" spans="1:6" x14ac:dyDescent="0.25">
      <c r="A11" s="10" t="s">
        <v>285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286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287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288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290</v>
      </c>
      <c r="C2" s="21" t="s">
        <v>291</v>
      </c>
      <c r="D2" s="21" t="s">
        <v>292</v>
      </c>
      <c r="E2" s="21" t="s">
        <v>293</v>
      </c>
      <c r="F2" s="21" t="s">
        <v>294</v>
      </c>
      <c r="G2" s="21" t="s">
        <v>295</v>
      </c>
      <c r="H2" s="21" t="s">
        <v>296</v>
      </c>
      <c r="I2" s="21" t="s">
        <v>297</v>
      </c>
      <c r="J2" s="21" t="s">
        <v>298</v>
      </c>
      <c r="K2" s="21" t="s">
        <v>299</v>
      </c>
      <c r="L2" s="21" t="s">
        <v>300</v>
      </c>
      <c r="M2" s="21" t="s">
        <v>301</v>
      </c>
      <c r="N2" s="21" t="s">
        <v>302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304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305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306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307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283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308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309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310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311</v>
      </c>
      <c r="B18" s="38">
        <f>M14</f>
        <v>864756</v>
      </c>
    </row>
    <row r="19" spans="1:2" x14ac:dyDescent="0.25">
      <c r="A19" s="11" t="s">
        <v>312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303</v>
      </c>
      <c r="B7" s="19"/>
      <c r="C7" s="19"/>
      <c r="D7" s="19"/>
      <c r="E7" s="19"/>
      <c r="F7" s="19"/>
    </row>
    <row r="8" spans="1:6" x14ac:dyDescent="0.25">
      <c r="A8" s="10" t="s">
        <v>304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305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314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283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315</v>
      </c>
      <c r="B13" s="19"/>
      <c r="C13" s="19"/>
      <c r="D13" s="19"/>
      <c r="E13" s="19"/>
      <c r="F13" s="19"/>
    </row>
    <row r="14" spans="1:6" x14ac:dyDescent="0.25">
      <c r="A14" s="39" t="s">
        <v>285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286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316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317</v>
      </c>
      <c r="B17" s="40" t="s">
        <v>318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319</v>
      </c>
      <c r="B4" s="19"/>
      <c r="C4" s="19"/>
      <c r="D4" s="19"/>
      <c r="E4" s="19"/>
      <c r="F4" s="19"/>
    </row>
    <row r="5" spans="1:5" x14ac:dyDescent="0.25">
      <c r="A5" s="42" t="s">
        <v>320</v>
      </c>
      <c r="B5" s="43" t="s">
        <v>162</v>
      </c>
      <c r="C5" s="44" t="s">
        <v>321</v>
      </c>
      <c r="D5" s="42" t="s">
        <v>322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323</v>
      </c>
      <c r="B8" s="19"/>
      <c r="C8" s="19"/>
      <c r="D8" s="19"/>
      <c r="E8" s="19"/>
      <c r="F8" s="19"/>
    </row>
    <row r="9" spans="1:6" x14ac:dyDescent="0.25">
      <c r="A9" s="11" t="s">
        <v>324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325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326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327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328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330</v>
      </c>
      <c r="B4" s="19"/>
      <c r="C4" s="19"/>
      <c r="D4" s="19"/>
      <c r="E4" s="19"/>
      <c r="F4" s="19"/>
    </row>
    <row r="5" spans="1:6" x14ac:dyDescent="0.25">
      <c r="A5" s="11" t="s">
        <v>331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332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333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334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335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336</v>
      </c>
      <c r="B11" s="19"/>
      <c r="C11" s="19"/>
      <c r="D11" s="19"/>
      <c r="E11" s="19"/>
      <c r="F11" s="19"/>
    </row>
    <row r="12" spans="1:6" x14ac:dyDescent="0.25">
      <c r="A12" s="11" t="s">
        <v>337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338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339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340</v>
      </c>
      <c r="B16" s="19"/>
      <c r="C16" s="19"/>
      <c r="D16" s="19"/>
      <c r="E16" s="19"/>
      <c r="F16" s="19"/>
    </row>
    <row r="17" spans="1:6" x14ac:dyDescent="0.25">
      <c r="A17" s="10" t="s">
        <v>341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342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344</v>
      </c>
      <c r="B4" s="19"/>
      <c r="C4" s="19"/>
      <c r="D4" s="19"/>
      <c r="E4" s="19"/>
      <c r="F4" s="19"/>
    </row>
    <row r="5" spans="1:6" x14ac:dyDescent="0.25">
      <c r="A5" s="11" t="s">
        <v>345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304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305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346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306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347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348</v>
      </c>
      <c r="B12" s="19"/>
      <c r="C12" s="19"/>
      <c r="D12" s="19"/>
      <c r="E12" s="19"/>
      <c r="F12" s="19"/>
    </row>
    <row r="13" spans="1:6" x14ac:dyDescent="0.25">
      <c r="A13" s="11" t="s">
        <v>349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350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351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352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353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354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355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356</v>
      </c>
      <c r="B24" s="19"/>
      <c r="C24" s="19"/>
      <c r="D24" s="19"/>
      <c r="E24" s="19"/>
      <c r="F24" s="19"/>
    </row>
    <row r="25" spans="1:6" x14ac:dyDescent="0.25">
      <c r="A25" s="11" t="s">
        <v>357</v>
      </c>
      <c r="B25" s="50" t="s">
        <v>358</v>
      </c>
      <c r="C25" s="50" t="s">
        <v>358</v>
      </c>
      <c r="D25" s="50" t="s">
        <v>358</v>
      </c>
      <c r="E25" s="50" t="s">
        <v>358</v>
      </c>
      <c r="F25" s="50" t="s">
        <v>358</v>
      </c>
    </row>
    <row r="26" spans="1:6" x14ac:dyDescent="0.25">
      <c r="A26" s="11" t="s">
        <v>359</v>
      </c>
      <c r="B26" s="50" t="s">
        <v>358</v>
      </c>
      <c r="C26" s="50" t="s">
        <v>358</v>
      </c>
      <c r="D26" s="50" t="s">
        <v>358</v>
      </c>
      <c r="E26" s="50" t="s">
        <v>358</v>
      </c>
      <c r="F26" s="50" t="s">
        <v>358</v>
      </c>
    </row>
    <row r="27" spans="1:6" x14ac:dyDescent="0.25">
      <c r="A27" s="11" t="s">
        <v>360</v>
      </c>
      <c r="B27" s="51" t="s">
        <v>361</v>
      </c>
      <c r="C27" s="51" t="s">
        <v>361</v>
      </c>
      <c r="D27" s="51" t="s">
        <v>361</v>
      </c>
      <c r="E27" s="51" t="s">
        <v>361</v>
      </c>
      <c r="F27" s="51" t="s">
        <v>361</v>
      </c>
    </row>
    <row r="28" spans="1:6" x14ac:dyDescent="0.25">
      <c r="A28" s="11" t="s">
        <v>362</v>
      </c>
      <c r="B28" s="50" t="s">
        <v>358</v>
      </c>
      <c r="C28" s="50" t="s">
        <v>358</v>
      </c>
      <c r="D28" s="50" t="s">
        <v>358</v>
      </c>
      <c r="E28" s="50" t="s">
        <v>358</v>
      </c>
      <c r="F28" s="50" t="s">
        <v>358</v>
      </c>
    </row>
    <row r="29" spans="1:6" x14ac:dyDescent="0.25">
      <c r="A29" s="11" t="s">
        <v>363</v>
      </c>
      <c r="B29" s="50" t="s">
        <v>358</v>
      </c>
      <c r="C29" s="50" t="s">
        <v>358</v>
      </c>
      <c r="D29" s="50" t="s">
        <v>358</v>
      </c>
      <c r="E29" s="50" t="s">
        <v>358</v>
      </c>
      <c r="F29" s="50" t="s">
        <v>358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364</v>
      </c>
      <c r="B3" s="52" t="s">
        <v>112</v>
      </c>
      <c r="D3" s="52" t="s">
        <v>365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366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367</v>
      </c>
      <c r="B6" s="31">
        <v>75000</v>
      </c>
      <c r="D6" s="11" t="s">
        <v>368</v>
      </c>
      <c r="E6" s="31">
        <v>75000</v>
      </c>
    </row>
    <row r="7" spans="4:5" x14ac:dyDescent="0.25">
      <c r="D7" s="11" t="s">
        <v>369</v>
      </c>
      <c r="E7" s="31">
        <v>50000</v>
      </c>
    </row>
    <row r="9" spans="1:5" x14ac:dyDescent="0.25">
      <c r="A9" s="10" t="s">
        <v>370</v>
      </c>
      <c r="B9" s="33">
        <v>375000</v>
      </c>
      <c r="D9" s="10" t="s">
        <v>371</v>
      </c>
      <c r="E9" s="33">
        <v>375000</v>
      </c>
    </row>
    <row r="10" spans="1:2" x14ac:dyDescent="0.25">
      <c r="A10" s="10" t="s">
        <v>372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373</v>
      </c>
      <c r="B1" s="15"/>
      <c r="C1" s="15"/>
      <c r="D1" s="15"/>
      <c r="E1" s="15"/>
      <c r="F1" s="15"/>
    </row>
    <row r="3" ht="24" customHeight="1" spans="1:6" x14ac:dyDescent="0.25">
      <c r="A3" s="19" t="s">
        <v>374</v>
      </c>
      <c r="B3" s="19"/>
      <c r="C3" s="19"/>
      <c r="D3" s="19"/>
      <c r="E3" s="19"/>
      <c r="F3" s="19"/>
    </row>
    <row r="4" spans="1:1" x14ac:dyDescent="0.25">
      <c r="A4" s="17" t="s">
        <v>375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345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283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285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286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347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355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376</v>
      </c>
      <c r="B13" s="19"/>
      <c r="C13" s="19"/>
      <c r="D13" s="19"/>
      <c r="E13" s="19"/>
      <c r="F13" s="19"/>
    </row>
    <row r="14" spans="1:1" x14ac:dyDescent="0.25">
      <c r="A14" s="17" t="s">
        <v>377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345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283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285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286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347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355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378</v>
      </c>
      <c r="B23" s="19"/>
      <c r="C23" s="19"/>
      <c r="D23" s="19"/>
      <c r="E23" s="19"/>
      <c r="F23" s="19"/>
    </row>
    <row r="24" spans="1:1" x14ac:dyDescent="0.25">
      <c r="A24" s="17" t="s">
        <v>379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345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283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285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286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347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355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382</v>
      </c>
      <c r="B9" s="11" t="s">
        <v>46</v>
      </c>
    </row>
    <row r="11" ht="24" customHeight="1" spans="1:8" x14ac:dyDescent="0.25">
      <c r="A11" s="19" t="s">
        <v>383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345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283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285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384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385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386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387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347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388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389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390</v>
      </c>
      <c r="C2" s="1"/>
      <c r="D2" s="1"/>
      <c r="E2" s="1"/>
      <c r="F2" s="1"/>
      <c r="G2" s="1"/>
      <c r="H2" s="1"/>
    </row>
    <row r="3" spans="2:8" x14ac:dyDescent="0.25">
      <c r="B3" s="55" t="s">
        <v>391</v>
      </c>
      <c r="C3" s="55"/>
      <c r="D3" s="55"/>
      <c r="E3" s="55"/>
      <c r="F3" s="55"/>
      <c r="G3" s="55"/>
      <c r="H3" s="55"/>
    </row>
    <row r="4" spans="2:6" x14ac:dyDescent="0.25">
      <c r="B4" s="56" t="s">
        <v>392</v>
      </c>
      <c r="D4" s="57" t="s">
        <v>393</v>
      </c>
      <c r="F4" s="58" t="s">
        <v>394</v>
      </c>
    </row>
    <row r="6" ht="24" customHeight="1" spans="2:8" x14ac:dyDescent="0.25">
      <c r="B6" s="19" t="s">
        <v>395</v>
      </c>
      <c r="C6" s="59" t="s">
        <v>396</v>
      </c>
      <c r="D6" s="59" t="s">
        <v>397</v>
      </c>
      <c r="E6" s="59" t="s">
        <v>398</v>
      </c>
      <c r="F6" s="59" t="s">
        <v>399</v>
      </c>
      <c r="G6" s="59" t="s">
        <v>400</v>
      </c>
      <c r="H6" s="59" t="s">
        <v>401</v>
      </c>
    </row>
    <row r="7" spans="2:7" x14ac:dyDescent="0.25">
      <c r="B7" s="11" t="s">
        <v>388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345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304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305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306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402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349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387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403</v>
      </c>
    </row>
    <row r="16" spans="2:8" x14ac:dyDescent="0.25">
      <c r="B16" s="10" t="s">
        <v>404</v>
      </c>
      <c r="C16" s="63">
        <v>0.4327959493670886</v>
      </c>
      <c r="D16" s="63">
        <v>0.3358632612966601</v>
      </c>
      <c r="E16" s="63">
        <v>0.2744051364365971</v>
      </c>
      <c r="F16" s="63">
        <v>0.23809805013927576</v>
      </c>
      <c r="G16" s="63">
        <v>0.22058632258064514</v>
      </c>
      <c r="H16" s="65" t="s">
        <v>405</v>
      </c>
    </row>
    <row r="17" spans="2:8" x14ac:dyDescent="0.25">
      <c r="B17" s="10" t="s">
        <v>406</v>
      </c>
      <c r="C17" s="63">
        <v>0.0690632911392405</v>
      </c>
      <c r="D17" s="63">
        <v>0.05359528487229862</v>
      </c>
      <c r="E17" s="63">
        <v>0.043788121990369175</v>
      </c>
      <c r="F17" s="63">
        <v>0.03799442896935934</v>
      </c>
      <c r="G17" s="63">
        <v>0.035199999999999995</v>
      </c>
      <c r="H17" s="65" t="s">
        <v>407</v>
      </c>
    </row>
    <row r="18" spans="2:8" x14ac:dyDescent="0.25">
      <c r="B18" s="10" t="s">
        <v>408</v>
      </c>
      <c r="C18" s="63">
        <v>0.42978632911392406</v>
      </c>
      <c r="D18" s="63">
        <v>0.5457084479371316</v>
      </c>
      <c r="E18" s="63">
        <v>0.6192064205457464</v>
      </c>
      <c r="F18" s="63">
        <v>0.6626261838440112</v>
      </c>
      <c r="G18" s="63">
        <v>0.6835685161290322</v>
      </c>
      <c r="H18" s="65" t="s">
        <v>409</v>
      </c>
    </row>
    <row r="19" spans="2:8" x14ac:dyDescent="0.25">
      <c r="B19" s="10" t="s">
        <v>410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411</v>
      </c>
    </row>
    <row r="20" spans="2:8" x14ac:dyDescent="0.25">
      <c r="B20" s="10" t="s">
        <v>347</v>
      </c>
      <c r="C20" s="67">
        <v>24.918336160088252</v>
      </c>
      <c r="D20" s="67">
        <v>41.993786092965045</v>
      </c>
      <c r="E20" s="67">
        <v>60.071336519270375</v>
      </c>
      <c r="F20" s="67">
        <v>76.3087007388667</v>
      </c>
      <c r="G20" s="67">
        <v>87.51893026967599</v>
      </c>
      <c r="H20" s="65" t="s">
        <v>412</v>
      </c>
    </row>
    <row r="21" spans="2:8" x14ac:dyDescent="0.25">
      <c r="B21" s="10" t="s">
        <v>413</v>
      </c>
      <c r="C21" s="40" t="str">
        <f>IF('5-Year Operating Stmt'!B16&gt;=0,"✓ Break-even","")</f>
        <v>✓ Break-even</v>
      </c>
      <c r="D21" s="68" t="str">
        <f>IF(AND('5-Year Operating Stmt'!C16&gt;=0,'5-Year Operating Stmt'!B16&lt;0),"✓ Break-even","")</f>
        <v>0</v>
      </c>
      <c r="E21" s="68" t="str">
        <f>IF(AND('5-Year Operating Stmt'!D16&gt;=0,'5-Year Operating Stmt'!C16&lt;0),"✓ Break-even","")</f>
        <v>0</v>
      </c>
      <c r="F21" s="68" t="str">
        <f>IF(AND('5-Year Operating Stmt'!E16&gt;=0,'5-Year Operating Stmt'!D16&lt;0),"✓ Break-even","")</f>
        <v>0</v>
      </c>
      <c r="G21" s="68" t="str">
        <f>IF(AND('5-Year Operating Stmt'!F16&gt;=0,'5-Year Operating Stmt'!E16&lt;0),"✓ Break-even","")</f>
        <v>0</v>
      </c>
      <c r="H21" s="65" t="s">
        <v>396</v>
      </c>
    </row>
    <row r="22" spans="2:8" x14ac:dyDescent="0.25">
      <c r="B22" s="10" t="s">
        <v>414</v>
      </c>
      <c r="C22" s="69">
        <v>9</v>
      </c>
      <c r="D22" s="70">
        <v>22</v>
      </c>
      <c r="E22" s="66">
        <v>39</v>
      </c>
      <c r="F22" s="71" t="s">
        <v>415</v>
      </c>
      <c r="G22" s="71" t="s">
        <v>415</v>
      </c>
      <c r="H22" s="65" t="s">
        <v>416</v>
      </c>
    </row>
    <row r="24" ht="24" customHeight="1" spans="2:8" x14ac:dyDescent="0.25">
      <c r="B24" s="19" t="s">
        <v>417</v>
      </c>
      <c r="C24" s="19" t="s">
        <v>418</v>
      </c>
      <c r="D24" s="19" t="s">
        <v>419</v>
      </c>
      <c r="E24" s="19"/>
      <c r="F24" s="19" t="s">
        <v>420</v>
      </c>
      <c r="G24" s="19"/>
      <c r="H24" s="19"/>
    </row>
    <row r="25" ht="45" customHeight="1" spans="2:8" x14ac:dyDescent="0.25">
      <c r="B25" s="42" t="s">
        <v>421</v>
      </c>
      <c r="C25" s="40" t="s">
        <v>422</v>
      </c>
      <c r="D25" s="72" t="s">
        <v>423</v>
      </c>
      <c r="E25" s="72"/>
      <c r="F25" s="73" t="s">
        <v>424</v>
      </c>
      <c r="G25" s="73"/>
      <c r="H25" s="73"/>
    </row>
    <row r="26" ht="45" customHeight="1" spans="2:8" x14ac:dyDescent="0.25">
      <c r="B26" s="42" t="s">
        <v>425</v>
      </c>
      <c r="C26" s="40" t="s">
        <v>422</v>
      </c>
      <c r="D26" s="72" t="s">
        <v>426</v>
      </c>
      <c r="E26" s="72"/>
      <c r="F26" s="73" t="s">
        <v>427</v>
      </c>
      <c r="G26" s="73"/>
      <c r="H26" s="73"/>
    </row>
    <row r="27" ht="45" customHeight="1" spans="2:8" x14ac:dyDescent="0.25">
      <c r="B27" s="42" t="s">
        <v>428</v>
      </c>
      <c r="C27" s="40" t="s">
        <v>422</v>
      </c>
      <c r="D27" s="72" t="s">
        <v>429</v>
      </c>
      <c r="E27" s="72"/>
      <c r="F27" s="73" t="s">
        <v>430</v>
      </c>
      <c r="G27" s="73"/>
      <c r="H27" s="73"/>
    </row>
    <row r="28" ht="45" customHeight="1" spans="2:8" x14ac:dyDescent="0.25">
      <c r="B28" s="42" t="s">
        <v>431</v>
      </c>
      <c r="C28" s="40" t="s">
        <v>422</v>
      </c>
      <c r="D28" s="72" t="s">
        <v>432</v>
      </c>
      <c r="E28" s="72"/>
      <c r="F28" s="73" t="s">
        <v>433</v>
      </c>
      <c r="G28" s="73"/>
      <c r="H28" s="73"/>
    </row>
    <row r="29" ht="45" customHeight="1" spans="2:8" x14ac:dyDescent="0.25">
      <c r="B29" s="42" t="s">
        <v>434</v>
      </c>
      <c r="C29" s="40" t="s">
        <v>422</v>
      </c>
      <c r="D29" s="72" t="s">
        <v>435</v>
      </c>
      <c r="E29" s="72"/>
      <c r="F29" s="73" t="s">
        <v>436</v>
      </c>
      <c r="G29" s="73"/>
      <c r="H29" s="73"/>
    </row>
    <row r="30" ht="45" customHeight="1" spans="2:8" x14ac:dyDescent="0.25">
      <c r="B30" s="42" t="s">
        <v>437</v>
      </c>
      <c r="C30" s="40" t="s">
        <v>422</v>
      </c>
      <c r="D30" s="72" t="s">
        <v>438</v>
      </c>
      <c r="E30" s="72"/>
      <c r="F30" s="73" t="s">
        <v>439</v>
      </c>
      <c r="G30" s="73"/>
      <c r="H30" s="73"/>
    </row>
    <row r="31" ht="45" customHeight="1" spans="2:8" x14ac:dyDescent="0.25">
      <c r="B31" s="42" t="s">
        <v>440</v>
      </c>
      <c r="C31" s="40" t="s">
        <v>422</v>
      </c>
      <c r="D31" s="72" t="s">
        <v>441</v>
      </c>
      <c r="E31" s="72"/>
      <c r="F31" s="73" t="s">
        <v>442</v>
      </c>
      <c r="G31" s="73"/>
      <c r="H31" s="73"/>
    </row>
    <row r="33" spans="2:6" x14ac:dyDescent="0.25">
      <c r="B33" s="42" t="s">
        <v>443</v>
      </c>
      <c r="C33" s="10" t="s">
        <v>444</v>
      </c>
      <c r="D33" s="10"/>
      <c r="E33" s="10"/>
      <c r="F33" s="10"/>
    </row>
    <row r="35" spans="2:8" x14ac:dyDescent="0.25">
      <c r="B35" s="74" t="s">
        <v>445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2026-03-27T00:27:35Z</dcterms:created>
  <dcterms:modified xsi:type="dcterms:W3CDTF">2026-03-27T00:27:35Z</dcterms:modified>
</cp:coreProperties>
</file>