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<sst xmlns="http://schemas.openxmlformats.org/spreadsheetml/2006/main" count="867" uniqueCount="495">
  <si>
    <t>How to Use This Workbook</t>
  </si>
  <si>
    <t>Heritage Academy</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</si>
  <si>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</si>
  <si>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</si>
  <si>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</si>
  <si>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</si>
  <si>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</si>
  <si>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</si>
  <si>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</si>
  <si>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</si>
  <si>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</si>
  <si>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</si>
  <si>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</si>
  <si>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</si>
  <si>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</si>
  <si>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</si>
  <si>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</si>
  <si>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</si>
  <si>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</si>
  <si>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</si>
  <si>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</si>
  <si>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</si>
  <si>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</si>
  <si>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</si>
  <si>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</si>
  <si>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</si>
  <si>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</si>
  <si>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</si>
  <si>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</si>
  <si>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</si>
  <si>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</si>
  <si>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</si>
  <si>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</si>
  <si>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</si>
  <si>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</si>
  <si>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</si>
  <si>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</si>
  <si>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</si>
  <si>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</si>
  <si>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</si>
  <si>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</si>
  <si>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</si>
  <si>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April 29,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</si>
  <si>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</si>
  <si>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</si>
  <si>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</si>
  <si>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</si>
  <si>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</si>
  <si>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</si>
  <si>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</si>
  <si>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</si>
  <si>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</si>
  <si>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</si>
  <si>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</si>
  <si>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</si>
  <si>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</si>
  <si>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</si>
  <si>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</si>
  <si>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</si>
  <si>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</si>
  <si>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</si>
  <si>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</si>
  <si>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</si>
  <si>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</si>
  <si>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</si>
  <si>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</si>
  <si>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</si>
  <si>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</si>
  <si>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</si>
  <si>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</si>
  <si>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</si>
  <si>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</si>
  <si>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</si>
  <si>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</si>
  <si>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</si>
  <si>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</si>
  <si>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</si>
  <si>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</si>
  <si>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</si>
  <si>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</si>
  <si>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</si>
  <si>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</si>
  <si>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</si>
  <si>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</si>
  <si>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</si>
  <si>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</si>
  <si>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</si>
  <si>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</si>
  <si>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</si>
  <si>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</si>
  <si>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</si>
  <si>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</si>
  <si>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</si>
  <si>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</si>
  <si>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</si>
  <si>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</si>
  <si>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</si>
  <si>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</si>
  <si>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</si>
  <si>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</si>
  <si>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</si>
  <si>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</si>
  <si>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</si>
  <si>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</si>
  <si>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</si>
  <si>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</si>
  <si>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</si>
  <si>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</si>
  <si>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</si>
  <si>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</si>
  <si>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</si>
  <si>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</si>
  <si>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</si>
  <si>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</si>
  <si>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</si>
  <si>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</si>
  <si>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</si>
  <si>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</si>
  <si>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</si>
  <si>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</si>
  <si>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</si>
  <si>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</si>
  <si>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</si>
  <si>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</si>
  <si>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</si>
  <si>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</si>
  <si>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</si>
  <si>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</si>
  <si>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</si>
  <si>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</si>
  <si>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</si>
  <si>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</si>
  <si>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</si>
  <si>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</si>
  <si>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</si>
  <si>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</si>
  <si>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</si>
  <si>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</si>
  <si>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</si>
  <si>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</si>
  <si>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</si>
  <si>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</si>
  <si>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</si>
  <si>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</si>
  <si>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</si>
  <si>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</si>
  <si>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</si>
  <si>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</si>
  <si>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</si>
  <si>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</si>
  <si>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</si>
  <si>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</si>
  <si>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</si>
  <si>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</si>
  <si>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</si>
  <si>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</si>
  <si>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</si>
  <si>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</si>
  <si>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</si>
  <si>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</si>
  <si>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</si>
  <si>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</si>
  <si>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</si>
  <si>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</si>
  <si>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</si>
  <si>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</si>
  <si>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</si>
  <si>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</si>
  <si>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</si>
  <si>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</si>
  <si>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</si>
  <si>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</si>
  <si>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</si>
  <si>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</si>
  <si>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</si>
  <si>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</si>
  <si>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</si>
  <si>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</si>
  <si>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</si>
  <si>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</si>
  <si>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</si>
  <si>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</si>
  <si>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</si>
  <si>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</si>
  <si>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</si>
  <si>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</si>
  <si>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</si>
  <si>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</si>
  <si>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</si>
  <si>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</si>
  <si>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</si>
  <si>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</si>
  <si>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</si>
  <si>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</si>
  <si>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</si>
  <si>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</si>
  <si>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</si>
  <si>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</si>
  <si>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</si>
  <si>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</si>
  <si>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</si>
  <si>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</si>
  <si>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</si>
  <si>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</si>
  <si>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</si>
  <si>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</si>
  <si>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</si>
  <si>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</si>
  <si>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</si>
  <si>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</si>
  <si>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</si>
  <si>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</si>
  <si>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</si>
  <si>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</si>
  <si>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</si>
  <si>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</si>
  <si>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</si>
  <si>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</si>
  <si>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</si>
  <si>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</si>
  <si>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</si>
  <si>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</si>
  <si>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</si>
  <si>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</si>
  <si>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</si>
  <si>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</si>
  <si>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</si>
  <si>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</si>
  <si>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</si>
  <si>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</si>
  <si>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</si>
  <si>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</si>
  <si>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</si>
  <si>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</si>
  <si>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</si>
  <si>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</si>
  <si>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</si>
  <si>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</si>
  <si>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</si>
  <si>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</si>
  <si>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</si>
  <si>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</si>
  <si>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</si>
  <si>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</si>
  <si>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</si>
  <si>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</si>
  <si>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</si>
  <si>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</si>
  <si>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</si>
  <si>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</si>
  <si>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</si>
  <si>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</si>
  <si>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</si>
  <si>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</si>
  <si>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</si>
  <si>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</si>
  <si>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</si>
  <si>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</si>
  <si>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</si>
  <si>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</si>
  <si>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</si>
  <si>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</si>
  <si>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</si>
  <si>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</si>
  <si>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</si>
  <si>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</si>
  <si>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</si>
  <si>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</si>
  <si>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</si>
  <si>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</si>
  <si>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</si>
  <si>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</si>
  <si>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</si>
  <si>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</si>
  <si>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</si>
  <si>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</si>
  <si>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</si>
  <si>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</si>
  <si>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</si>
  <si>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</si>
  <si>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</si>
  <si>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</si>
  <si>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</si>
  <si>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</si>
  <si>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</si>
  <si>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</si>
  <si>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</si>
  <si>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</si>
  <si>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</si>
  <si>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</si>
  <si>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</si>
  <si>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</si>
  <si>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</si>
  <si>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</si>
  <si>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</si>
  <si>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</si>
  <si>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</si>
  <si>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</si>
  <si>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</si>
  <si>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</si>
  <si>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</si>
  <si>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</si>
  <si>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</si>
  <si>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</si>
  <si>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</si>
  <si>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</si>
  <si>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</si>
  <si>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</si>
  <si>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</si>
  <si>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</si>
  <si>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</si>
  <si>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</si>
  <si>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</si>
  <si>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</si>
  <si>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</si>
  <si>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</si>
  <si>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</si>
  <si>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</si>
  <si>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</si>
  <si>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</si>
  <si>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</si>
  <si>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</si>
  <si>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</si>
  <si>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</si>
  <si>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</si>
  <si>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</si>
  <si>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</si>
  <si>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</si>
  <si>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</si>
  <si>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</si>
  <si>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</si>
  <si>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</si>
  <si>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</si>
  <si>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</si>
  <si>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</si>
  <si>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</si>
  <si>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</si>
  <si>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</si>
  <si>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</si>
  <si>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</si>
  <si>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</si>
  <si>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</si>
  <si>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</si>
  <si>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</si>
  <si>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</si>
  <si>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</si>
  <si>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</si>
  <si>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</si>
  <si>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</si>
  <si>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</si>
  <si>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</si>
  <si>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</si>
  <si>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</si>
  <si>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</si>
  <si>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</si>
  <si>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</si>
  <si>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</si>
  <si>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</si>
  <si>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</si>
  <si>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</si>
  <si>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</si>
  <si>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</si>
  <si>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</si>
  <si>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</si>
  <si>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</si>
  <si>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</si>
  <si>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</si>
  <si>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</si>
  <si>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</si>
  <si>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</si>
  <si>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</si>
  <si>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</si>
  <si>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</si>
  <si>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</si>
  <si>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</si>
  <si>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</si>
  <si>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</si>
  <si>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</si>
  <si>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</si>
  <si>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</si>
  <si>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</si>
  <si>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</si>
  <si>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</si>
  <si>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</si>
  <si>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</si>
  <si>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</si>
  <si>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</si>
  <si>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</si>
  <si>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</si>
  <si>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</si>
  <si>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</si>
  <si>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</si>
  <si>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</si>
  <si>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</si>
  <si>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</si>
  <si>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</si>
  <si>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</si>
  <si>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</si>
  <si>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</si>
  <si>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</si>
  <si>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</si>
  <si>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</si>
  <si>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</si>
  <si>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</si>
  <si>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</si>
  <si>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</si>
  <si>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</si>
  <si>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</si>
  <si>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</si>
  <si>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</si>
  <si>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</si>
  <si>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</si>
  <si>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</si>
  <si>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</si>
  <si>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</si>
  <si>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</si>
  <si>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</si>
  <si>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</si>
  <si>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</si>
  <si>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</si>
  <si>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</si>
  <si>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</si>
  <si>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</si>
  <si>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</si>
  <si>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</si>
  <si>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</si>
  <si>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</si>
  <si>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</si>
  <si>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</si>
  <si>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</si>
  <si>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</si>
  <si>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</si>
  <si>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</si>
  <si>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</si>
  <si>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</si>
  <si>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</si>
  <si>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</si>
  <si>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</si>
  <si>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</si>
  <si>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</si>
  <si>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</si>
  <si>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</si>
  <si>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</si>
  <si>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</si>
  <si>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</si>
  <si>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</si>
  <si>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</si>
  <si>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</si>
  <si>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</si>
  <si>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</si>
  <si>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</si>
  <si>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</si>
  <si>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</si>
  <si>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</si>
  <si>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</si>
  <si>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</si>
  <si>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</si>
  <si>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</si>
  <si>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</si>
  <si>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</si>
  <si>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</si>
  <si>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</si>
  <si>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</si>
  <si>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</si>
  <si>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</si>
  <si>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</si>
  <si>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</si>
  <si>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</si>
  <si>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</si>
  <si>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</si>
  <si>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</si>
  <si>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87.52x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</si>
  <si>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</si>
  <si>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</si>
  <si>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</si>
  <si>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</si>
  <si>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</si>
  <si>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82.3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</si>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</sst>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7"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7" x14ac:dyDescent="0.25">
      <c r="A11" s="19" t="s">
        <v>232</v>
      </c>
      <c r="B11" s="19"/>
      <c r="C11" s="19"/>
      <c r="D11" s="19"/>
      <c r="E11" s="19"/>
      <c r="F11" s="19"/>
      <c r="G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2621350</v>
      </c>
      <c r="D12" s="32">
        <f>SUM(D5:D11)</f>
        <v>3304704</v>
      </c>
      <c r="E12" s="32">
        <f>SUM(E5:E11)</f>
        <v>3922890</v>
      </c>
      <c r="F12" s="32">
        <f>SUM(F5:F11)</f>
        <v>4361347</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2621350</v>
      </c>
      <c r="D4" s="34">
        <f>'Budget Detail'!D12</f>
        <v>3304704</v>
      </c>
      <c r="E4" s="34">
        <f>'Budget Detail'!E12</f>
        <v>3922890</v>
      </c>
      <c r="F4" s="34">
        <f>'Budget Detail'!F12</f>
        <v>4361347</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1386428</v>
      </c>
      <c r="D11" s="33">
        <f>D4-D8</f>
        <v>2002229</v>
      </c>
      <c r="E11" s="33">
        <f>E4-E8</f>
        <v>2560345</v>
      </c>
      <c r="F11" s="33">
        <f>F4-F8</f>
        <v>2942215</v>
      </c>
    </row>
    <row r="12" spans="1:6" x14ac:dyDescent="0.25">
      <c r="A12" s="11" t="s">
        <v>310</v>
      </c>
      <c r="B12" s="30">
        <f>IF(B4=0,0,B11/B4)</f>
        <v>0.39988031</v>
      </c>
      <c r="C12" s="30">
        <f>IF(C4=0,0,C11/C4)</f>
        <v>0.52889864</v>
      </c>
      <c r="D12" s="30">
        <f>IF(D4=0,0,D11/D4)</f>
        <v>0.60587258</v>
      </c>
      <c r="E12" s="30">
        <f>IF(E4=0,0,E11/E4)</f>
        <v>0.65266812</v>
      </c>
      <c r="F12" s="30">
        <f>IF(F4=0,0,F11/F4)</f>
        <v>0.67461156</v>
      </c>
    </row>
    <row r="13" spans="1:6" x14ac:dyDescent="0.25">
      <c r="A13" s="11" t="s">
        <v>311</v>
      </c>
      <c r="B13" s="31">
        <v>789764</v>
      </c>
      <c r="C13" s="31">
        <v>2176192</v>
      </c>
      <c r="D13" s="31">
        <v>4178421</v>
      </c>
      <c r="E13" s="31">
        <v>6738766</v>
      </c>
      <c r="F13" s="31">
        <v>9680981</v>
      </c>
    </row>
    <row r="14" spans="1:6" x14ac:dyDescent="0.25">
      <c r="A14" s="11" t="s">
        <v>259</v>
      </c>
      <c r="B14" s="31">
        <v>19750</v>
      </c>
      <c r="C14" s="31">
        <v>20164</v>
      </c>
      <c r="D14" s="31">
        <v>20654</v>
      </c>
      <c r="E14" s="31">
        <v>21205</v>
      </c>
      <c r="F14" s="31">
        <v>21807</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2621350</v>
      </c>
      <c r="D5" s="32">
        <v>3304704</v>
      </c>
      <c r="E5" s="32">
        <v>3922890</v>
      </c>
      <c r="F5" s="32">
        <v>4361347</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1360714</v>
      </c>
      <c r="D15" s="33">
        <f>D5-D12</f>
        <v>1976515</v>
      </c>
      <c r="E15" s="33">
        <f>E5-E12</f>
        <v>2534631</v>
      </c>
      <c r="F15" s="33">
        <f>F5-F12</f>
        <v>2916501</v>
      </c>
    </row>
    <row r="16" spans="1:6" x14ac:dyDescent="0.25">
      <c r="A16" s="11" t="s">
        <v>310</v>
      </c>
      <c r="B16" s="30">
        <f>IF(B5=0,0,B15/B5)</f>
        <v>0.38686042</v>
      </c>
      <c r="C16" s="30">
        <f>IF(C5=0,0,C15/C5)</f>
        <v>0.51908908</v>
      </c>
      <c r="D16" s="30">
        <f>IF(D5=0,0,D15/D5)</f>
        <v>0.59809146</v>
      </c>
      <c r="E16" s="30">
        <f>IF(E5=0,0,E15/E5)</f>
        <v>0.64611318</v>
      </c>
      <c r="F16" s="30">
        <f>IF(F5=0,0,F15/F5)</f>
        <v>0.66871561</v>
      </c>
    </row>
    <row r="17" spans="1:6" x14ac:dyDescent="0.25">
      <c r="A17" s="10" t="s">
        <v>344</v>
      </c>
      <c r="B17" s="34">
        <f>B15</f>
        <v>764049</v>
      </c>
      <c r="C17" s="34">
        <f>B17+C15</f>
        <v>2124763</v>
      </c>
      <c r="D17" s="34">
        <f>C17+D15</f>
        <v>4101278</v>
      </c>
      <c r="E17" s="34">
        <f>D17+E15</f>
        <v>6635909</v>
      </c>
      <c r="F17" s="34">
        <f>E17+F15</f>
        <v>9552410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2198684</v>
      </c>
      <c r="D5" s="47">
        <f>B5+'5-Year Operating Stmt'!C15+'5-Year Operating Stmt'!D15</f>
        <v>4200914</v>
      </c>
      <c r="E5" s="47">
        <f>B5+'5-Year Operating Stmt'!C15+'5-Year Operating Stmt'!D15+'5-Year Operating Stmt'!E15</f>
        <v>6761259</v>
      </c>
      <c r="F5" s="47">
        <f>B5+'5-Year Operating Stmt'!C15+'5-Year Operating Stmt'!D15+'5-Year Operating Stmt'!E15+'5-Year Operating Stmt'!F15</f>
        <v>9703474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2333174</v>
      </c>
      <c r="D9" s="32">
        <f>SUM(D5:D8)</f>
        <v>4309715</v>
      </c>
      <c r="E9" s="32">
        <f>SUM(E5:E8)</f>
        <v>6844374</v>
      </c>
      <c r="F9" s="32">
        <f>SUM(F5:F8)</f>
        <v>9760902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2113112</v>
      </c>
      <c r="D17" s="33">
        <f>D9-D14</f>
        <v>4110550</v>
      </c>
      <c r="E17" s="33">
        <f>E9-E14</f>
        <v>6667503</v>
      </c>
      <c r="F17" s="33">
        <f>F9-F14</f>
        <v>9607820</v>
      </c>
    </row>
    <row r="19" spans="1:6" x14ac:dyDescent="0.25">
      <c r="A19" s="10" t="s">
        <v>370</v>
      </c>
      <c r="B19" s="48" t="str">
        <f>B9-B14-B17</f>
        <v>0</v>
      </c>
      <c r="C19" s="49">
        <f>C9-C14-C17</f>
        <v>1</v>
      </c>
      <c r="D19" s="48" t="str">
        <f>D9-D14-D17</f>
        <v>0</v>
      </c>
      <c r="E19" s="49">
        <f>E9-E14-E17</f>
        <v>1</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2621350</v>
      </c>
      <c r="D5" s="31">
        <v>3304704</v>
      </c>
      <c r="E5" s="31">
        <v>3922890</v>
      </c>
      <c r="F5" s="31">
        <v>4361347</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1386428</v>
      </c>
      <c r="D8" s="34">
        <v>2002229</v>
      </c>
      <c r="E8" s="34">
        <v>2560345</v>
      </c>
      <c r="F8" s="34">
        <v>2942215</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1446207</v>
      </c>
      <c r="D11" s="34">
        <f>D8+D9+D10</f>
        <v>2062008</v>
      </c>
      <c r="E11" s="34">
        <f>E8+E9+E10</f>
        <v>2620124</v>
      </c>
      <c r="F11" s="34">
        <f>F8+F9+F10</f>
        <v>3001994</v>
      </c>
    </row>
    <row r="12" spans="1:6" x14ac:dyDescent="0.25">
      <c r="A12" s="10" t="s">
        <v>378</v>
      </c>
      <c r="B12" s="50">
        <f>IF(B10=0,"N/A",B11/B10)</f>
        <v>24.94</v>
      </c>
      <c r="C12" s="50">
        <f>IF(C10=0,"N/A",C11/C10)</f>
        <v>42.46</v>
      </c>
      <c r="D12" s="50">
        <f>IF(D10=0,"N/A",D11/D10)</f>
        <v>60.53</v>
      </c>
      <c r="E12" s="50">
        <f>IF(E10=0,"N/A",E11/E10)</f>
        <v>76.92</v>
      </c>
      <c r="F12" s="50">
        <f>IF(F10=0,"N/A",F11/F10)</f>
        <v>88.13</v>
      </c>
    </row>
    <row r="14" ht="24" customHeight="1" spans="1:6" x14ac:dyDescent="0.25">
      <c r="A14" s="19" t="s">
        <v>379</v>
      </c>
      <c r="B14" s="19"/>
      <c r="C14" s="19"/>
      <c r="D14" s="19"/>
      <c r="E14" s="19"/>
      <c r="F14" s="19"/>
    </row>
    <row r="15" spans="1:6" x14ac:dyDescent="0.25">
      <c r="A15" s="11" t="s">
        <v>380</v>
      </c>
      <c r="B15" s="31">
        <v>812256</v>
      </c>
      <c r="C15" s="31">
        <v>2198684</v>
      </c>
      <c r="D15" s="31">
        <v>4200914</v>
      </c>
      <c r="E15" s="31">
        <v>6761259</v>
      </c>
      <c r="F15" s="31">
        <v>9703474</v>
      </c>
    </row>
    <row r="16" spans="1:6" x14ac:dyDescent="0.25">
      <c r="A16" s="11" t="s">
        <v>381</v>
      </c>
      <c r="B16" s="36">
        <f>IF((B5-B8)=0,0,(B15/(B5-B8))*365)</f>
        <v>250</v>
      </c>
      <c r="C16" s="36">
        <f>IF((C5-C8)=0,0,(C15/(C5-C8))*365)</f>
        <v>650</v>
      </c>
      <c r="D16" s="36">
        <f>IF((D5-D8)=0,0,(D15/(D5-D8))*365)</f>
        <v>1177</v>
      </c>
      <c r="E16" s="36">
        <f>IF((E5-E8)=0,0,(E15/(E5-E8))*365)</f>
        <v>1811</v>
      </c>
      <c r="F16" s="36">
        <f>IF((F5-F8)=0,0,(F15/(F5-F8))*365)</f>
        <v>2496</v>
      </c>
    </row>
    <row r="17" spans="1:6" x14ac:dyDescent="0.25">
      <c r="A17" s="11" t="s">
        <v>382</v>
      </c>
      <c r="B17" s="35">
        <f>IF((B5-B8)=0,0,B15/((B5-B8)/12))</f>
        <v>8.2</v>
      </c>
      <c r="C17" s="35">
        <f>IF((C5-C8)=0,0,C15/((C5-C8)/12))</f>
        <v>21.4</v>
      </c>
      <c r="D17" s="35">
        <f>IF((D5-D8)=0,0,D15/((D5-D8)/12))</f>
        <v>38.7</v>
      </c>
      <c r="E17" s="35">
        <f>IF((E5-E8)=0,0,E15/((E5-E8)/12))</f>
        <v>59.5</v>
      </c>
      <c r="F17" s="35">
        <f>IF((F5-F8)=0,0,F15/((F5-F8)/12))</f>
        <v>82.1</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20164</v>
      </c>
      <c r="D21" s="31">
        <v>20654</v>
      </c>
      <c r="E21" s="31">
        <v>21205</v>
      </c>
      <c r="F21" s="31">
        <v>21807</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51</v>
      </c>
      <c r="E24" s="51">
        <v>51</v>
      </c>
      <c r="F24" s="51">
        <v>51</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2621350</v>
      </c>
      <c r="D6" s="31">
        <v>3304704</v>
      </c>
      <c r="E6" s="31">
        <v>3922890</v>
      </c>
      <c r="F6" s="31">
        <v>4361347</v>
      </c>
    </row>
    <row r="7" spans="1:6" x14ac:dyDescent="0.25">
      <c r="A7" s="11" t="s">
        <v>307</v>
      </c>
      <c r="B7" s="31">
        <v>1160236</v>
      </c>
      <c r="C7" s="31">
        <v>1224922</v>
      </c>
      <c r="D7" s="31">
        <v>1292474</v>
      </c>
      <c r="E7" s="31">
        <v>1357545</v>
      </c>
      <c r="F7" s="31">
        <v>1414132</v>
      </c>
    </row>
    <row r="8" spans="1:6" x14ac:dyDescent="0.25">
      <c r="A8" s="10" t="s">
        <v>309</v>
      </c>
      <c r="B8" s="33">
        <v>814764</v>
      </c>
      <c r="C8" s="33">
        <v>1396428</v>
      </c>
      <c r="D8" s="33">
        <v>2012229</v>
      </c>
      <c r="E8" s="33">
        <v>2565345</v>
      </c>
      <c r="F8" s="33">
        <v>2947215</v>
      </c>
    </row>
    <row r="9" spans="1:6" x14ac:dyDescent="0.25">
      <c r="A9" s="11" t="s">
        <v>310</v>
      </c>
      <c r="B9" s="30">
        <v>0.4125385351058188</v>
      </c>
      <c r="C9" s="30">
        <v>0.5327134670433142</v>
      </c>
      <c r="D9" s="30">
        <v>0.6088985689741885</v>
      </c>
      <c r="E9" s="30">
        <v>0.6539426893351535</v>
      </c>
      <c r="F9" s="30">
        <v>0.6757579942908114</v>
      </c>
    </row>
    <row r="10" spans="1:6" x14ac:dyDescent="0.25">
      <c r="A10" s="11" t="s">
        <v>378</v>
      </c>
      <c r="B10" s="55">
        <v>24.92</v>
      </c>
      <c r="C10" s="55">
        <v>41.99</v>
      </c>
      <c r="D10" s="55">
        <v>60.07</v>
      </c>
      <c r="E10" s="55">
        <v>76.31</v>
      </c>
      <c r="F10" s="55">
        <v>87.52</v>
      </c>
    </row>
    <row r="11" spans="1:6" x14ac:dyDescent="0.25">
      <c r="A11" s="11" t="s">
        <v>386</v>
      </c>
      <c r="B11" s="36">
        <v>53</v>
      </c>
      <c r="C11" s="36">
        <v>52</v>
      </c>
      <c r="D11" s="36">
        <v>51</v>
      </c>
      <c r="E11" s="36">
        <v>51</v>
      </c>
      <c r="F11" s="36">
        <v>51</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2228148</v>
      </c>
      <c r="D16" s="31">
        <v>2808998</v>
      </c>
      <c r="E16" s="31">
        <v>3334456</v>
      </c>
      <c r="F16" s="31">
        <v>3707145</v>
      </c>
    </row>
    <row r="17" spans="1:6" x14ac:dyDescent="0.25">
      <c r="A17" s="11" t="s">
        <v>307</v>
      </c>
      <c r="B17" s="31">
        <v>1160236</v>
      </c>
      <c r="C17" s="31">
        <v>1224922</v>
      </c>
      <c r="D17" s="31">
        <v>1292474</v>
      </c>
      <c r="E17" s="31">
        <v>1357545</v>
      </c>
      <c r="F17" s="31">
        <v>1414132</v>
      </c>
    </row>
    <row r="18" spans="1:6" x14ac:dyDescent="0.25">
      <c r="A18" s="10" t="s">
        <v>309</v>
      </c>
      <c r="B18" s="33">
        <v>518514</v>
      </c>
      <c r="C18" s="33">
        <v>1003226</v>
      </c>
      <c r="D18" s="33">
        <v>1516524</v>
      </c>
      <c r="E18" s="33">
        <v>1976912</v>
      </c>
      <c r="F18" s="33">
        <v>2293013</v>
      </c>
    </row>
    <row r="19" spans="1:6" x14ac:dyDescent="0.25">
      <c r="A19" s="11" t="s">
        <v>310</v>
      </c>
      <c r="B19" s="30">
        <v>0.308868864830375</v>
      </c>
      <c r="C19" s="30">
        <v>0.45025113769801683</v>
      </c>
      <c r="D19" s="30">
        <v>0.5398806693813982</v>
      </c>
      <c r="E19" s="30">
        <v>0.5928737521590041</v>
      </c>
      <c r="F19" s="30">
        <v>0.6185388168127194</v>
      </c>
    </row>
    <row r="20" spans="1:6" x14ac:dyDescent="0.25">
      <c r="A20" s="11" t="s">
        <v>378</v>
      </c>
      <c r="B20" s="55">
        <v>16.22</v>
      </c>
      <c r="C20" s="55">
        <v>30.45</v>
      </c>
      <c r="D20" s="55">
        <v>45.52</v>
      </c>
      <c r="E20" s="55">
        <v>59.03</v>
      </c>
      <c r="F20" s="55">
        <v>68.31</v>
      </c>
    </row>
    <row r="21" spans="1:6" x14ac:dyDescent="0.25">
      <c r="A21" s="11" t="s">
        <v>386</v>
      </c>
      <c r="B21" s="36">
        <v>54</v>
      </c>
      <c r="C21" s="36">
        <v>53</v>
      </c>
      <c r="D21" s="36">
        <v>53</v>
      </c>
      <c r="E21" s="36">
        <v>52</v>
      </c>
      <c r="F21" s="36">
        <v>52</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2621350</v>
      </c>
      <c r="D26" s="31">
        <v>3304704</v>
      </c>
      <c r="E26" s="31">
        <v>3922890</v>
      </c>
      <c r="F26" s="31">
        <v>4361347</v>
      </c>
    </row>
    <row r="27" spans="1:6" x14ac:dyDescent="0.25">
      <c r="A27" s="11" t="s">
        <v>307</v>
      </c>
      <c r="B27" s="31">
        <v>1173736</v>
      </c>
      <c r="C27" s="31">
        <v>1241917</v>
      </c>
      <c r="D27" s="31">
        <v>1313162</v>
      </c>
      <c r="E27" s="31">
        <v>1381585</v>
      </c>
      <c r="F27" s="31">
        <v>1440581</v>
      </c>
    </row>
    <row r="28" spans="1:6" x14ac:dyDescent="0.25">
      <c r="A28" s="10" t="s">
        <v>309</v>
      </c>
      <c r="B28" s="33">
        <v>801264</v>
      </c>
      <c r="C28" s="33">
        <v>1379433</v>
      </c>
      <c r="D28" s="33">
        <v>1991542</v>
      </c>
      <c r="E28" s="33">
        <v>2541305</v>
      </c>
      <c r="F28" s="33">
        <v>2920765</v>
      </c>
    </row>
    <row r="29" spans="1:6" x14ac:dyDescent="0.25">
      <c r="A29" s="11" t="s">
        <v>310</v>
      </c>
      <c r="B29" s="30">
        <v>0.4057030920678441</v>
      </c>
      <c r="C29" s="30">
        <v>0.5262301664539233</v>
      </c>
      <c r="D29" s="30">
        <v>0.6026385368714597</v>
      </c>
      <c r="E29" s="30">
        <v>0.6478145556304181</v>
      </c>
      <c r="F29" s="30">
        <v>0.6696934781617792</v>
      </c>
    </row>
    <row r="30" spans="1:6" x14ac:dyDescent="0.25">
      <c r="A30" s="11" t="s">
        <v>378</v>
      </c>
      <c r="B30" s="55">
        <v>24.52</v>
      </c>
      <c r="C30" s="55">
        <v>41.49</v>
      </c>
      <c r="D30" s="55">
        <v>59.46</v>
      </c>
      <c r="E30" s="55">
        <v>75.6</v>
      </c>
      <c r="F30" s="55">
        <v>86.74</v>
      </c>
    </row>
    <row r="31" spans="1:6" x14ac:dyDescent="0.25">
      <c r="A31" s="11" t="s">
        <v>386</v>
      </c>
      <c r="B31" s="36">
        <v>53</v>
      </c>
      <c r="C31" s="36">
        <v>52</v>
      </c>
      <c r="D31" s="36">
        <v>52</v>
      </c>
      <c r="E31" s="36">
        <v>52</v>
      </c>
      <c r="F31" s="36">
        <v>51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2621350</v>
      </c>
      <c r="F13" s="31">
        <v>3304704</v>
      </c>
      <c r="G13" s="31">
        <v>3922890</v>
      </c>
      <c r="H13" s="31">
        <v>4361347</v>
      </c>
    </row>
    <row r="14" spans="1:8" x14ac:dyDescent="0.25">
      <c r="A14" s="11" t="s">
        <v>307</v>
      </c>
      <c r="D14" s="31">
        <v>1160236</v>
      </c>
      <c r="E14" s="31">
        <v>1224922</v>
      </c>
      <c r="F14" s="31">
        <v>1292474</v>
      </c>
      <c r="G14" s="31">
        <v>1357545</v>
      </c>
      <c r="H14" s="31">
        <v>1414132</v>
      </c>
    </row>
    <row r="15" spans="1:8" x14ac:dyDescent="0.25">
      <c r="A15" s="11" t="s">
        <v>309</v>
      </c>
      <c r="D15" s="31">
        <v>789764</v>
      </c>
      <c r="E15" s="31">
        <v>1386428</v>
      </c>
      <c r="F15" s="31">
        <v>2002229</v>
      </c>
      <c r="G15" s="31">
        <v>2560345</v>
      </c>
      <c r="H15" s="31">
        <v>2942215</v>
      </c>
    </row>
    <row r="16" spans="1:8" x14ac:dyDescent="0.25">
      <c r="A16" s="11" t="s">
        <v>416</v>
      </c>
      <c r="D16" s="31">
        <v>812256</v>
      </c>
      <c r="E16" s="31">
        <v>2198684</v>
      </c>
      <c r="F16" s="31">
        <v>4200914</v>
      </c>
      <c r="G16" s="31">
        <v>6761259</v>
      </c>
      <c r="H16" s="31">
        <v>9703474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0.5288986388059557</v>
      </c>
      <c r="F21" s="30">
        <v>0.6058725788967125</v>
      </c>
      <c r="G21" s="30">
        <v>0.6526681187789514</v>
      </c>
      <c r="H21" s="30">
        <v>0.6746115593902751</v>
      </c>
    </row>
    <row r="22" spans="1:8" x14ac:dyDescent="0.25">
      <c r="A22" s="11" t="s">
        <v>378</v>
      </c>
      <c r="D22" s="55">
        <v>24.18</v>
      </c>
      <c r="E22" s="55">
        <v>41.7</v>
      </c>
      <c r="F22" s="55">
        <v>59.78</v>
      </c>
      <c r="G22" s="55">
        <v>76.16</v>
      </c>
      <c r="H22" s="55">
        <v>87.37</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422</v>
      </c>
      <c r="C2" s="1"/>
      <c r="D2" s="1"/>
      <c r="E2" s="1"/>
      <c r="F2" s="1"/>
      <c r="G2" s="1"/>
      <c r="H2" s="1"/>
    </row>
    <row r="3" spans="2:8" x14ac:dyDescent="0.25">
      <c r="B3" s="57" t="s">
        <v>423</v>
      </c>
      <c r="C3" s="57"/>
      <c r="D3" s="57"/>
      <c r="E3" s="57"/>
      <c r="F3" s="57"/>
      <c r="G3" s="57"/>
      <c r="H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2621350</v>
      </c>
      <c r="E8" s="63">
        <v>3304703.5</v>
      </c>
      <c r="F8" s="63">
        <v>3922889.9299999997</v>
      </c>
      <c r="G8" s="63">
        <v>4361346.638750001</v>
      </c>
    </row>
    <row r="9" spans="2:7" x14ac:dyDescent="0.25">
      <c r="B9" s="11" t="s">
        <v>328</v>
      </c>
      <c r="C9" s="63">
        <v>854772</v>
      </c>
      <c r="D9" s="63">
        <v>880415.16</v>
      </c>
      <c r="E9" s="63">
        <v>906827.6148</v>
      </c>
      <c r="F9" s="63">
        <v>934032.443244</v>
      </c>
      <c r="G9" s="63">
        <v>962053.4165413202</v>
      </c>
    </row>
    <row r="10" spans="2:7" x14ac:dyDescent="0.25">
      <c r="B10" s="11" t="s">
        <v>329</v>
      </c>
      <c r="C10" s="63">
        <v>271400</v>
      </c>
      <c r="D10" s="63">
        <v>310442</v>
      </c>
      <c r="E10" s="63">
        <v>351582.25999999995</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1386428.446833992</v>
      </c>
      <c r="E12" s="64">
        <v>2002229.2320339922</v>
      </c>
      <c r="F12" s="64">
        <v>2560345.190789992</v>
      </c>
      <c r="G12" s="64">
        <v>2942214.857008673</v>
      </c>
    </row>
    <row r="13" spans="2:7" x14ac:dyDescent="0.25">
      <c r="B13" s="10" t="s">
        <v>380</v>
      </c>
      <c r="C13" s="64">
        <v>812256</v>
      </c>
      <c r="D13" s="64">
        <v>2198684.446833992</v>
      </c>
      <c r="E13" s="64">
        <v>4200913.678867985</v>
      </c>
      <c r="F13" s="64">
        <v>6761258.869657977</v>
      </c>
      <c r="G13" s="64">
        <v>9703473.72666665</v>
      </c>
    </row>
    <row r="14" spans="2:7" x14ac:dyDescent="0.25">
      <c r="B14" s="10" t="s">
        <v>419</v>
      </c>
      <c r="C14" s="65">
        <v>0.3998803072577175</v>
      </c>
      <c r="D14" s="65">
        <v>0.5288986388059557</v>
      </c>
      <c r="E14" s="65">
        <v>0.6058725788967125</v>
      </c>
      <c r="F14" s="65">
        <v>0.6526681187789514</v>
      </c>
      <c r="G14" s="65">
        <v>0.6746115593902751</v>
      </c>
    </row>
    <row r="15" spans="2:8" x14ac:dyDescent="0.25">
      <c r="B15" s="10" t="s">
        <v>259</v>
      </c>
      <c r="C15" s="66">
        <v>19750</v>
      </c>
      <c r="D15" s="66">
        <v>20164.23076923077</v>
      </c>
      <c r="E15" s="66">
        <v>20654.396875</v>
      </c>
      <c r="F15" s="66">
        <v>21204.81043243243</v>
      </c>
      <c r="G15" s="66">
        <v>21806.733193750006</v>
      </c>
      <c r="H15" s="67" t="s">
        <v>434</v>
      </c>
    </row>
    <row r="16" spans="2:7" x14ac:dyDescent="0.25">
      <c r="B16" s="10" t="s">
        <v>312</v>
      </c>
      <c r="C16" s="68">
        <v>11602.36393166008</v>
      </c>
      <c r="D16" s="68">
        <v>9422.47348589237</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10664.834206415322</v>
      </c>
      <c r="E19" s="69">
        <v>12513.932700212452</v>
      </c>
      <c r="F19" s="69">
        <v>13839.703733999957</v>
      </c>
      <c r="G19" s="69">
        <v>14711.074285043363</v>
      </c>
    </row>
    <row r="20" spans="2:8" x14ac:dyDescent="0.25">
      <c r="B20" s="10" t="s">
        <v>439</v>
      </c>
      <c r="C20" s="65">
        <v>0.4327959493670886</v>
      </c>
      <c r="D20" s="65">
        <v>0.3358632612966601</v>
      </c>
      <c r="E20" s="65">
        <v>0.2744051364365971</v>
      </c>
      <c r="F20" s="65">
        <v>0.23809805013927576</v>
      </c>
      <c r="G20" s="65">
        <v>0.22058632258064514</v>
      </c>
      <c r="H20" s="67" t="s">
        <v>440</v>
      </c>
    </row>
    <row r="21" spans="2:8" x14ac:dyDescent="0.25">
      <c r="B21" s="10" t="s">
        <v>441</v>
      </c>
      <c r="C21" s="65">
        <v>0.0690632911392405</v>
      </c>
      <c r="D21" s="65">
        <v>0.05359528487229862</v>
      </c>
      <c r="E21" s="65">
        <v>0.043788121990369175</v>
      </c>
      <c r="F21" s="65">
        <v>0.03799442896935934</v>
      </c>
      <c r="G21" s="65">
        <v>0.035199999999999995</v>
      </c>
      <c r="H21" s="67" t="s">
        <v>442</v>
      </c>
    </row>
    <row r="22" spans="2:8" x14ac:dyDescent="0.25">
      <c r="B22" s="10" t="s">
        <v>443</v>
      </c>
      <c r="C22" s="65">
        <v>0.42978632911392406</v>
      </c>
      <c r="D22" s="65">
        <v>0.5457084479371316</v>
      </c>
      <c r="E22" s="65">
        <v>0.6192064205457464</v>
      </c>
      <c r="F22" s="65">
        <v>0.6626261838440112</v>
      </c>
      <c r="G22" s="65">
        <v>0.6835685161290322</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41.993786092965045</v>
      </c>
      <c r="E24" s="71">
        <v>60.071336519270375</v>
      </c>
      <c r="F24" s="71">
        <v>76.3087007388667</v>
      </c>
      <c r="G24" s="71">
        <v>87.51893026967599</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22</v>
      </c>
      <c r="E26" s="70">
        <v>39</v>
      </c>
      <c r="F26" s="75" t="s">
        <v>450</v>
      </c>
      <c r="G26" s="75" t="s">
        <v>450</v>
      </c>
      <c r="H26" s="67" t="s">
        <v>451</v>
      </c>
    </row>
    <row r="27" spans="2:8" x14ac:dyDescent="0.25">
      <c r="B27" s="10" t="s">
        <v>381</v>
      </c>
      <c r="C27" s="70">
        <v>256</v>
      </c>
      <c r="D27" s="70">
        <v>655</v>
      </c>
      <c r="E27" s="70">
        <v>1186</v>
      </c>
      <c r="F27" s="70">
        <v>1818</v>
      </c>
      <c r="G27" s="70">
        <v>2505</v>
      </c>
      <c r="H27" s="67" t="s">
        <v>452</v>
      </c>
    </row>
    <row r="29" ht="24" customHeight="1" spans="2:8" x14ac:dyDescent="0.25">
      <c r="B29" s="19" t="s">
        <v>453</v>
      </c>
      <c r="C29" s="19" t="s">
        <v>454</v>
      </c>
      <c r="D29" s="19" t="s">
        <v>455</v>
      </c>
      <c r="E29" s="19"/>
      <c r="F29" s="19" t="s">
        <v>456</v>
      </c>
      <c r="G29" s="19"/>
      <c r="H29" s="19"/>
    </row>
    <row r="30" ht="45" customHeight="1" spans="2:8" x14ac:dyDescent="0.25">
      <c r="B30" s="44" t="s">
        <v>457</v>
      </c>
      <c r="C30" s="42" t="s">
        <v>458</v>
      </c>
      <c r="D30" s="76" t="s">
        <v>459</v>
      </c>
      <c r="E30" s="76"/>
      <c r="F30" s="77" t="s">
        <v>460</v>
      </c>
      <c r="G30" s="77"/>
      <c r="H30" s="77"/>
    </row>
    <row r="31" ht="45" customHeight="1" spans="2:8" x14ac:dyDescent="0.25">
      <c r="B31" s="44" t="s">
        <v>461</v>
      </c>
      <c r="C31" s="42" t="s">
        <v>458</v>
      </c>
      <c r="D31" s="76" t="s">
        <v>462</v>
      </c>
      <c r="E31" s="76"/>
      <c r="F31" s="77" t="s">
        <v>463</v>
      </c>
      <c r="G31" s="77"/>
      <c r="H31" s="77"/>
    </row>
    <row r="32" ht="45" customHeight="1" spans="2:8" x14ac:dyDescent="0.25">
      <c r="B32" s="44" t="s">
        <v>464</v>
      </c>
      <c r="C32" s="42" t="s">
        <v>458</v>
      </c>
      <c r="D32" s="76" t="s">
        <v>465</v>
      </c>
      <c r="E32" s="76"/>
      <c r="F32" s="77" t="s">
        <v>466</v>
      </c>
      <c r="G32" s="77"/>
      <c r="H32" s="77"/>
    </row>
    <row r="33" ht="45" customHeight="1" spans="2:8" x14ac:dyDescent="0.25">
      <c r="B33" s="44" t="s">
        <v>467</v>
      </c>
      <c r="C33" s="42" t="s">
        <v>458</v>
      </c>
      <c r="D33" s="76" t="s">
        <v>468</v>
      </c>
      <c r="E33" s="76"/>
      <c r="F33" s="77" t="s">
        <v>469</v>
      </c>
      <c r="G33" s="77"/>
      <c r="H33" s="77"/>
    </row>
    <row r="34" ht="45" customHeight="1" spans="2:8" x14ac:dyDescent="0.25">
      <c r="B34" s="44" t="s">
        <v>470</v>
      </c>
      <c r="C34" s="42" t="s">
        <v>458</v>
      </c>
      <c r="D34" s="76" t="s">
        <v>471</v>
      </c>
      <c r="E34" s="76"/>
      <c r="F34" s="77" t="s">
        <v>472</v>
      </c>
      <c r="G34" s="77"/>
      <c r="H34" s="77"/>
    </row>
    <row r="35" ht="45" customHeight="1" spans="2:8" x14ac:dyDescent="0.25">
      <c r="B35" s="44" t="s">
        <v>473</v>
      </c>
      <c r="C35" s="42" t="s">
        <v>458</v>
      </c>
      <c r="D35" s="76" t="s">
        <v>474</v>
      </c>
      <c r="E35" s="76"/>
      <c r="F35" s="77" t="s">
        <v>475</v>
      </c>
      <c r="G35" s="77"/>
      <c r="H35" s="77"/>
    </row>
    <row r="36" ht="45" customHeight="1" spans="2:8" x14ac:dyDescent="0.25">
      <c r="B36" s="44" t="s">
        <v>476</v>
      </c>
      <c r="C36" s="42" t="s">
        <v>458</v>
      </c>
      <c r="D36" s="76" t="s">
        <v>477</v>
      </c>
      <c r="E36" s="76"/>
      <c r="F36" s="77" t="s">
        <v>478</v>
      </c>
      <c r="G36" s="77"/>
      <c r="H36" s="77"/>
    </row>
    <row r="38" spans="2:6" x14ac:dyDescent="0.25">
      <c r="B38" s="44" t="s">
        <v>479</v>
      </c>
      <c r="C38" s="10" t="s">
        <v>480</v>
      </c>
      <c r="D38" s="10"/>
      <c r="E38" s="10"/>
      <c r="F38" s="10"/>
    </row>
    <row r="40" spans="2:8" x14ac:dyDescent="0.25">
      <c r="B40" s="78" t="s">
        <v>481</v>
      </c>
      <c r="C40" s="78"/>
      <c r="D40" s="78"/>
      <c r="E40" s="78"/>
      <c r="F40" s="78"/>
      <c r="G40" s="78"/>
      <c r="H40" s="7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492</v>
      </c>
      <c r="C1" s="15"/>
      <c r="D1" s="15"/>
      <c r="E1" s="15"/>
      <c r="F1" s="15"/>
      <c r="G1" s="15"/>
      <c r="H1" s="15"/>
    </row>
    <row r="2" ht="60" customHeight="1" spans="2:8" x14ac:dyDescent="0.25">
      <c r="B2" s="80" t="s">
        <v>493</v>
      </c>
      <c r="C2" s="80"/>
      <c r="D2" s="80"/>
      <c r="E2" s="80"/>
      <c r="F2" s="80"/>
      <c r="G2" s="80"/>
      <c r="H2" s="80"/>
    </row>
    <row r="4" ht="30" customHeight="1" spans="2:8" x14ac:dyDescent="0.25">
      <c r="B4" s="81" t="s">
        <v>494</v>
      </c>
      <c r="C4" s="81"/>
      <c r="D4" s="81"/>
      <c r="E4" s="81"/>
      <c r="F4" s="81"/>
      <c r="G4" s="81"/>
      <c r="H4" s="8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