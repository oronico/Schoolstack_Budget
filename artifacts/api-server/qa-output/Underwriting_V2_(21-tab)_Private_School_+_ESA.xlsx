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<sst xmlns="http://schemas.openxmlformats.org/spreadsheetml/2006/main" count="755" uniqueCount="421">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</sst>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9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168" fontId="3" fillId="5" borderId="2" xfId="0" applyNumberFormat="1" applyFont="1" applyFill="1" applyBorder="1" applyAlignment="1">
      <alignment horizontal="right"/>
    </xf>
    <xf numFmtId="0" fontId="17" fillId="0" borderId="1" xfId="0" applyFont="1" applyBorder="1"/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200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10500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350</v>
      </c>
      <c r="E22" s="18">
        <v>0</v>
      </c>
    </row>
    <row r="23" spans="1:5" x14ac:dyDescent="0.25">
      <c r="A23" s="4" t="s">
        <v>111</v>
      </c>
      <c r="B23" s="4" t="s">
        <v>112</v>
      </c>
      <c r="C23" s="4" t="s">
        <v>109</v>
      </c>
      <c r="D23" s="17">
        <v>-1050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109</v>
      </c>
      <c r="D24" s="17">
        <v>8700</v>
      </c>
      <c r="E24" s="18">
        <v>0</v>
      </c>
    </row>
    <row r="25" spans="1:5" x14ac:dyDescent="0.25">
      <c r="A25" s="4" t="s">
        <v>115</v>
      </c>
      <c r="B25" s="4" t="s">
        <v>116</v>
      </c>
      <c r="C25" s="4" t="s">
        <v>117</v>
      </c>
      <c r="D25" s="17">
        <v>50000</v>
      </c>
      <c r="E25" s="18">
        <v>0</v>
      </c>
    </row>
    <row r="26" spans="1:5" x14ac:dyDescent="0.25">
      <c r="A26" s="4" t="s">
        <v>118</v>
      </c>
      <c r="B26" s="4" t="s">
        <v>116</v>
      </c>
      <c r="C26" s="4" t="s">
        <v>117</v>
      </c>
      <c r="D26" s="17">
        <v>25000</v>
      </c>
      <c r="E26" s="18">
        <v>0</v>
      </c>
    </row>
    <row r="27" spans="1:5" x14ac:dyDescent="0.25">
      <c r="A27" s="4" t="s">
        <v>119</v>
      </c>
      <c r="B27" s="4" t="s">
        <v>120</v>
      </c>
      <c r="C27" s="4" t="s">
        <v>109</v>
      </c>
      <c r="D27" s="17">
        <v>500</v>
      </c>
      <c r="E27" s="18">
        <v>0</v>
      </c>
    </row>
    <row r="29" ht="24" customHeight="1" spans="1:7" x14ac:dyDescent="0.25">
      <c r="A29" s="13" t="s">
        <v>121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122</v>
      </c>
      <c r="B30" s="15" t="s">
        <v>103</v>
      </c>
      <c r="C30" s="15" t="s">
        <v>123</v>
      </c>
      <c r="D30" s="15" t="s">
        <v>124</v>
      </c>
      <c r="E30" s="15" t="s">
        <v>125</v>
      </c>
      <c r="F30" s="15" t="s">
        <v>126</v>
      </c>
      <c r="G30" s="15" t="s">
        <v>127</v>
      </c>
    </row>
    <row r="31" spans="1:7" x14ac:dyDescent="0.25">
      <c r="A31" s="4" t="s">
        <v>128</v>
      </c>
      <c r="B31" s="4" t="s">
        <v>129</v>
      </c>
      <c r="C31" s="4" t="s">
        <v>130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131</v>
      </c>
      <c r="B32" s="4" t="s">
        <v>129</v>
      </c>
      <c r="C32" s="4" t="s">
        <v>130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132</v>
      </c>
      <c r="B33" s="4" t="s">
        <v>133</v>
      </c>
      <c r="C33" s="4" t="s">
        <v>130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134</v>
      </c>
      <c r="B34" s="4" t="s">
        <v>133</v>
      </c>
      <c r="C34" s="4" t="s">
        <v>130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135</v>
      </c>
      <c r="B35" s="4" t="s">
        <v>136</v>
      </c>
      <c r="C35" s="4" t="s">
        <v>130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137</v>
      </c>
      <c r="B36" s="4" t="s">
        <v>138</v>
      </c>
      <c r="C36" s="4" t="s">
        <v>130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139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102</v>
      </c>
      <c r="B39" s="15" t="s">
        <v>103</v>
      </c>
      <c r="C39" s="15" t="s">
        <v>104</v>
      </c>
      <c r="D39" s="15" t="s">
        <v>105</v>
      </c>
      <c r="E39" s="15" t="s">
        <v>106</v>
      </c>
    </row>
    <row r="40" spans="1:5" x14ac:dyDescent="0.25">
      <c r="A40" s="4" t="s">
        <v>140</v>
      </c>
      <c r="B40" s="4" t="s">
        <v>141</v>
      </c>
      <c r="C40" s="4" t="s">
        <v>142</v>
      </c>
      <c r="D40" s="17">
        <v>8500</v>
      </c>
      <c r="E40" s="18">
        <v>0.03</v>
      </c>
    </row>
    <row r="41" spans="1:5" x14ac:dyDescent="0.25">
      <c r="A41" s="4" t="s">
        <v>143</v>
      </c>
      <c r="B41" s="4" t="s">
        <v>141</v>
      </c>
      <c r="C41" s="4" t="s">
        <v>142</v>
      </c>
      <c r="D41" s="17">
        <v>1200</v>
      </c>
      <c r="E41" s="18">
        <v>0</v>
      </c>
    </row>
    <row r="42" spans="1:5" x14ac:dyDescent="0.25">
      <c r="A42" s="4" t="s">
        <v>144</v>
      </c>
      <c r="B42" s="4" t="s">
        <v>141</v>
      </c>
      <c r="C42" s="4" t="s">
        <v>117</v>
      </c>
      <c r="D42" s="17">
        <v>12000</v>
      </c>
      <c r="E42" s="18">
        <v>0</v>
      </c>
    </row>
    <row r="43" spans="1:5" x14ac:dyDescent="0.25">
      <c r="A43" s="4" t="s">
        <v>145</v>
      </c>
      <c r="B43" s="4" t="s">
        <v>141</v>
      </c>
      <c r="C43" s="4" t="s">
        <v>117</v>
      </c>
      <c r="D43" s="17">
        <v>8000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109</v>
      </c>
      <c r="D44" s="17">
        <v>600</v>
      </c>
      <c r="E44" s="18">
        <v>0</v>
      </c>
    </row>
    <row r="45" spans="1:5" x14ac:dyDescent="0.25">
      <c r="A45" s="4" t="s">
        <v>148</v>
      </c>
      <c r="B45" s="4" t="s">
        <v>148</v>
      </c>
      <c r="C45" s="4" t="s">
        <v>109</v>
      </c>
      <c r="D45" s="17">
        <v>400</v>
      </c>
      <c r="E45" s="18">
        <v>0</v>
      </c>
    </row>
    <row r="46" spans="1:5" x14ac:dyDescent="0.25">
      <c r="A46" s="4" t="s">
        <v>149</v>
      </c>
      <c r="B46" s="4" t="s">
        <v>150</v>
      </c>
      <c r="C46" s="4" t="s">
        <v>117</v>
      </c>
      <c r="D46" s="17">
        <v>15000</v>
      </c>
      <c r="E46" s="18">
        <v>0</v>
      </c>
    </row>
    <row r="47" spans="1:5" x14ac:dyDescent="0.25">
      <c r="A47" s="4" t="s">
        <v>151</v>
      </c>
      <c r="B47" s="4" t="s">
        <v>150</v>
      </c>
      <c r="C47" s="4" t="s">
        <v>117</v>
      </c>
      <c r="D47" s="17">
        <v>8000</v>
      </c>
      <c r="E47" s="18">
        <v>0</v>
      </c>
    </row>
    <row r="48" spans="1:5" x14ac:dyDescent="0.25">
      <c r="A48" s="4" t="s">
        <v>152</v>
      </c>
      <c r="B48" s="4" t="s">
        <v>150</v>
      </c>
      <c r="C48" s="4" t="s">
        <v>117</v>
      </c>
      <c r="D48" s="17">
        <v>12000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123</v>
      </c>
      <c r="C51" s="15" t="s">
        <v>155</v>
      </c>
      <c r="D51" s="15" t="s">
        <v>125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1</v>
      </c>
    </row>
    <row r="59" spans="1:2" x14ac:dyDescent="0.25">
      <c r="A59" s="4" t="s">
        <v>167</v>
      </c>
      <c r="B59" s="17">
        <v>75000</v>
      </c>
    </row>
    <row r="60" spans="1:2" x14ac:dyDescent="0.25">
      <c r="A60" s="4" t="s">
        <v>168</v>
      </c>
      <c r="B60" s="14" t="s">
        <v>169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170</v>
      </c>
      <c r="B3" s="4" t="s">
        <v>171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172</v>
      </c>
      <c r="B6" s="4" t="s">
        <v>173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174</v>
      </c>
      <c r="B8" s="4" t="s">
        <v>17</v>
      </c>
    </row>
    <row r="9" spans="1:2" x14ac:dyDescent="0.25">
      <c r="A9" s="3" t="s">
        <v>92</v>
      </c>
      <c r="B9" s="4" t="s">
        <v>175</v>
      </c>
    </row>
    <row r="10" spans="1:2" x14ac:dyDescent="0.25">
      <c r="A10" s="3" t="s">
        <v>176</v>
      </c>
      <c r="B10" s="4" t="s">
        <v>177</v>
      </c>
    </row>
    <row r="11" spans="1:2" x14ac:dyDescent="0.25">
      <c r="A11" s="3" t="s">
        <v>178</v>
      </c>
      <c r="B11" s="4" t="s">
        <v>179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93</v>
      </c>
      <c r="B13" s="4" t="s">
        <v>180</v>
      </c>
    </row>
    <row r="14" spans="1:2" x14ac:dyDescent="0.25">
      <c r="A14" s="3" t="s">
        <v>181</v>
      </c>
      <c r="B14" s="4" t="s">
        <v>182</v>
      </c>
    </row>
    <row r="15" spans="1:2" x14ac:dyDescent="0.25">
      <c r="A15" s="3" t="s">
        <v>183</v>
      </c>
      <c r="B15" s="4" t="s">
        <v>184</v>
      </c>
    </row>
    <row r="16" spans="1:2" x14ac:dyDescent="0.25">
      <c r="A16" s="3" t="s">
        <v>185</v>
      </c>
      <c r="B16" s="4" t="s">
        <v>186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69</v>
      </c>
      <c r="B3" s="15" t="s">
        <v>187</v>
      </c>
      <c r="C3" s="15" t="s">
        <v>188</v>
      </c>
      <c r="D3" s="15" t="s">
        <v>95</v>
      </c>
      <c r="E3" s="15" t="s">
        <v>96</v>
      </c>
      <c r="F3" s="15" t="s">
        <v>97</v>
      </c>
      <c r="G3" s="15" t="s">
        <v>98</v>
      </c>
      <c r="H3" s="15" t="s">
        <v>99</v>
      </c>
    </row>
    <row r="5" ht="24" customHeight="1" spans="1:8" x14ac:dyDescent="0.25">
      <c r="A5" s="13" t="s">
        <v>189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100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93</v>
      </c>
      <c r="B7" s="23">
        <v>200</v>
      </c>
    </row>
    <row r="8" spans="1:8" x14ac:dyDescent="0.25">
      <c r="A8" s="4" t="s">
        <v>190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191</v>
      </c>
      <c r="D10" s="4" t="s">
        <v>192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194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196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197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198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199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200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201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202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122</v>
      </c>
      <c r="B3" s="15" t="s">
        <v>103</v>
      </c>
      <c r="C3" s="15" t="s">
        <v>124</v>
      </c>
      <c r="D3" s="15" t="s">
        <v>203</v>
      </c>
      <c r="E3" s="15" t="s">
        <v>126</v>
      </c>
      <c r="F3" s="15" t="s">
        <v>127</v>
      </c>
      <c r="G3" s="15" t="s">
        <v>204</v>
      </c>
    </row>
    <row r="4" spans="1:7" x14ac:dyDescent="0.25">
      <c r="A4" s="4" t="s">
        <v>128</v>
      </c>
      <c r="B4" s="4" t="s">
        <v>129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131</v>
      </c>
      <c r="B5" s="4" t="s">
        <v>129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132</v>
      </c>
      <c r="B6" s="4" t="s">
        <v>133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134</v>
      </c>
      <c r="B7" s="4" t="s">
        <v>133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135</v>
      </c>
      <c r="B8" s="4" t="s">
        <v>136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137</v>
      </c>
      <c r="B9" s="4" t="s">
        <v>138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205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69</v>
      </c>
      <c r="B12" s="15" t="s">
        <v>95</v>
      </c>
      <c r="C12" s="15" t="s">
        <v>96</v>
      </c>
      <c r="D12" s="15" t="s">
        <v>97</v>
      </c>
      <c r="E12" s="15" t="s">
        <v>98</v>
      </c>
      <c r="F12" s="15" t="s">
        <v>99</v>
      </c>
    </row>
    <row r="13" spans="1:6" x14ac:dyDescent="0.25">
      <c r="A13" s="3" t="s">
        <v>206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207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208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147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211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148</v>
      </c>
      <c r="B7" s="13"/>
      <c r="C7" s="13"/>
      <c r="D7" s="13"/>
      <c r="E7" s="13"/>
      <c r="F7" s="13"/>
    </row>
    <row r="8" spans="1:6" x14ac:dyDescent="0.25">
      <c r="A8" s="4" t="s">
        <v>212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213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141</v>
      </c>
      <c r="B10" s="13"/>
      <c r="C10" s="13"/>
      <c r="D10" s="13"/>
      <c r="E10" s="13"/>
      <c r="F10" s="13"/>
    </row>
    <row r="11" spans="1:6" x14ac:dyDescent="0.25">
      <c r="A11" s="4" t="s">
        <v>214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215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216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217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218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150</v>
      </c>
      <c r="B16" s="13"/>
      <c r="C16" s="13"/>
      <c r="D16" s="13"/>
      <c r="E16" s="13"/>
      <c r="F16" s="13"/>
    </row>
    <row r="17" spans="1:6" x14ac:dyDescent="0.25">
      <c r="A17" s="4" t="s">
        <v>219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220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221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222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223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123</v>
      </c>
      <c r="C3" s="15" t="s">
        <v>155</v>
      </c>
      <c r="D3" s="15" t="s">
        <v>125</v>
      </c>
      <c r="E3" s="15" t="s">
        <v>156</v>
      </c>
      <c r="F3" s="15" t="s">
        <v>225</v>
      </c>
    </row>
    <row r="4" spans="1:6" x14ac:dyDescent="0.25">
      <c r="A4" s="4" t="s">
        <v>157</v>
      </c>
      <c r="B4" s="4" t="s">
        <v>158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159</v>
      </c>
      <c r="B5" s="4" t="s">
        <v>226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227</v>
      </c>
      <c r="F7" s="27">
        <v>34064</v>
      </c>
    </row>
    <row r="8" spans="1:6" x14ac:dyDescent="0.25">
      <c r="A8" s="3" t="s">
        <v>228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230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110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111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113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115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118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119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202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231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133</v>
      </c>
      <c r="B4" s="13"/>
      <c r="C4" s="13"/>
      <c r="D4" s="13"/>
      <c r="E4" s="13"/>
      <c r="F4" s="13"/>
    </row>
    <row r="5" spans="1:6" x14ac:dyDescent="0.25">
      <c r="A5" s="4" t="s">
        <v>233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234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235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129</v>
      </c>
      <c r="B8" s="13"/>
      <c r="C8" s="13"/>
      <c r="D8" s="13"/>
      <c r="E8" s="13"/>
      <c r="F8" s="13"/>
    </row>
    <row r="9" spans="1:6" x14ac:dyDescent="0.25">
      <c r="A9" s="4" t="s">
        <v>236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237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238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138</v>
      </c>
      <c r="B12" s="13"/>
      <c r="C12" s="13"/>
      <c r="D12" s="13"/>
      <c r="E12" s="13"/>
      <c r="F12" s="13"/>
    </row>
    <row r="13" spans="1:6" x14ac:dyDescent="0.25">
      <c r="A13" s="4" t="s">
        <v>239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240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136</v>
      </c>
      <c r="B15" s="13"/>
      <c r="C15" s="13"/>
      <c r="D15" s="13"/>
      <c r="E15" s="13"/>
      <c r="F15" s="13"/>
    </row>
    <row r="16" spans="1:6" x14ac:dyDescent="0.25">
      <c r="A16" s="4" t="s">
        <v>241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242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243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253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254</v>
      </c>
      <c r="B14" s="13"/>
      <c r="C14" s="13"/>
      <c r="D14" s="13"/>
      <c r="E14" s="13"/>
      <c r="F14" s="13"/>
    </row>
    <row r="15" spans="1:6" x14ac:dyDescent="0.25">
      <c r="A15" s="4" t="s">
        <v>236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237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233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234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241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239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206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139</v>
      </c>
      <c r="B23" s="13"/>
      <c r="C23" s="13"/>
      <c r="D23" s="13"/>
      <c r="E23" s="13"/>
      <c r="F23" s="13"/>
    </row>
    <row r="24" spans="1:1" x14ac:dyDescent="0.25">
      <c r="A24" s="32" t="s">
        <v>147</v>
      </c>
    </row>
    <row r="25" spans="1:6" x14ac:dyDescent="0.25">
      <c r="A25" s="4" t="s">
        <v>255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148</v>
      </c>
    </row>
    <row r="27" spans="1:6" x14ac:dyDescent="0.25">
      <c r="A27" s="4" t="s">
        <v>256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141</v>
      </c>
    </row>
    <row r="29" spans="1:6" x14ac:dyDescent="0.25">
      <c r="A29" s="4" t="s">
        <v>257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258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259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260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261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150</v>
      </c>
    </row>
    <row r="35" spans="1:6" x14ac:dyDescent="0.25">
      <c r="A35" s="4" t="s">
        <v>262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263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264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265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266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267</v>
      </c>
      <c r="B41" s="13"/>
      <c r="C41" s="13"/>
      <c r="D41" s="13"/>
      <c r="E41" s="13"/>
      <c r="F41" s="13"/>
    </row>
    <row r="42" spans="1:6" x14ac:dyDescent="0.25">
      <c r="A42" s="4" t="s">
        <v>268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269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270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253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206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266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272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273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274</v>
      </c>
      <c r="B10" s="13"/>
      <c r="C10" s="13"/>
      <c r="D10" s="13"/>
      <c r="E10" s="13"/>
      <c r="F10" s="13"/>
    </row>
    <row r="11" spans="1:6" x14ac:dyDescent="0.25">
      <c r="A11" s="3" t="s">
        <v>275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276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277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231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278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280</v>
      </c>
      <c r="C2" s="15" t="s">
        <v>281</v>
      </c>
      <c r="D2" s="15" t="s">
        <v>282</v>
      </c>
      <c r="E2" s="15" t="s">
        <v>283</v>
      </c>
      <c r="F2" s="15" t="s">
        <v>284</v>
      </c>
      <c r="G2" s="15" t="s">
        <v>285</v>
      </c>
      <c r="H2" s="15" t="s">
        <v>286</v>
      </c>
      <c r="I2" s="15" t="s">
        <v>287</v>
      </c>
      <c r="J2" s="15" t="s">
        <v>288</v>
      </c>
      <c r="K2" s="15" t="s">
        <v>289</v>
      </c>
      <c r="L2" s="15" t="s">
        <v>290</v>
      </c>
      <c r="M2" s="15" t="s">
        <v>291</v>
      </c>
      <c r="N2" s="15" t="s">
        <v>292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294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295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296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273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298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299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300</v>
      </c>
      <c r="B16" s="13"/>
      <c r="C16" s="13"/>
    </row>
    <row r="17" spans="1:2" x14ac:dyDescent="0.25">
      <c r="A17" s="4" t="s">
        <v>167</v>
      </c>
      <c r="B17" s="17">
        <v>75000</v>
      </c>
    </row>
    <row r="18" spans="1:2" x14ac:dyDescent="0.25">
      <c r="A18" s="4" t="s">
        <v>301</v>
      </c>
      <c r="B18" s="33">
        <f>M14</f>
        <v>864756</v>
      </c>
    </row>
    <row r="19" spans="1:2" x14ac:dyDescent="0.25">
      <c r="A19" s="4" t="s">
        <v>302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293</v>
      </c>
      <c r="B7" s="13"/>
      <c r="C7" s="13"/>
      <c r="D7" s="13"/>
      <c r="E7" s="13"/>
      <c r="F7" s="13"/>
    </row>
    <row r="8" spans="1:6" x14ac:dyDescent="0.25">
      <c r="A8" s="3" t="s">
        <v>294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295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304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273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305</v>
      </c>
      <c r="B13" s="13"/>
      <c r="C13" s="13"/>
      <c r="D13" s="13"/>
      <c r="E13" s="13"/>
      <c r="F13" s="13"/>
    </row>
    <row r="14" spans="1:6" x14ac:dyDescent="0.25">
      <c r="A14" s="34" t="s">
        <v>275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276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5" x14ac:dyDescent="0.25">
      <c r="A5" s="35" t="s">
        <v>307</v>
      </c>
      <c r="B5" s="36" t="s">
        <v>155</v>
      </c>
      <c r="C5" s="37" t="s">
        <v>308</v>
      </c>
      <c r="D5" s="35" t="s">
        <v>309</v>
      </c>
      <c r="E5" s="36" t="s">
        <v>225</v>
      </c>
    </row>
    <row r="6" spans="1:5" x14ac:dyDescent="0.25">
      <c r="A6" s="14" t="s">
        <v>157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310</v>
      </c>
      <c r="B8" s="13"/>
      <c r="C8" s="13"/>
      <c r="D8" s="13"/>
      <c r="E8" s="13"/>
      <c r="F8" s="13"/>
    </row>
    <row r="9" spans="1:6" x14ac:dyDescent="0.25">
      <c r="A9" s="4" t="s">
        <v>311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312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313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314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315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8">
        <f>'Monthly Cash Flow Y1'!M14</f>
        <v>864756</v>
      </c>
      <c r="C5" s="38">
        <f>B5+'5-Year Operating Stmt'!C14</f>
        <v>2251184</v>
      </c>
      <c r="D5" s="38">
        <f>B5+'5-Year Operating Stmt'!C14+'5-Year Operating Stmt'!D14</f>
        <v>4253414</v>
      </c>
      <c r="E5" s="38">
        <f>B5+'5-Year Operating Stmt'!C14+'5-Year Operating Stmt'!D14+'5-Year Operating Stmt'!E14</f>
        <v>6813759</v>
      </c>
      <c r="F5" s="38">
        <f>B5+'5-Year Operating Stmt'!C14+'5-Year Operating Stmt'!D14+'5-Year Operating Stmt'!E14+'5-Year Operating Stmt'!F14</f>
        <v>9755974</v>
      </c>
    </row>
    <row r="6" spans="1:6" x14ac:dyDescent="0.25">
      <c r="A6" s="4" t="s">
        <v>319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320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321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322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325</v>
      </c>
      <c r="B13" s="26">
        <f>'Debt Schedule'!B13</f>
        <v>231645</v>
      </c>
      <c r="C13" s="26">
        <f>'Debt Schedule'!C13</f>
        <v>212061</v>
      </c>
      <c r="D13" s="26">
        <f>'Debt Schedule'!D13</f>
        <v>191165</v>
      </c>
      <c r="E13" s="26">
        <f>'Debt Schedule'!E13</f>
        <v>168870</v>
      </c>
      <c r="F13" s="26">
        <f>'Debt Schedule'!F13</f>
        <v>145082</v>
      </c>
    </row>
    <row r="14" spans="1:6" x14ac:dyDescent="0.25">
      <c r="A14" s="3" t="s">
        <v>326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7">
        <f>B9-B14</f>
        <v>822111</v>
      </c>
      <c r="C17" s="27">
        <f>C9-C14</f>
        <v>2228123</v>
      </c>
      <c r="D17" s="27">
        <f>D9-D14</f>
        <v>4251248</v>
      </c>
      <c r="E17" s="27">
        <f>E9-E14</f>
        <v>6833888</v>
      </c>
      <c r="F17" s="27">
        <f>F9-F14</f>
        <v>9799892</v>
      </c>
    </row>
    <row r="19" spans="1:6" x14ac:dyDescent="0.25">
      <c r="A19" s="3" t="s">
        <v>329</v>
      </c>
      <c r="B19" s="39" t="str">
        <f>B9-B14-B17</f>
        <v>0</v>
      </c>
      <c r="C19" s="39" t="str">
        <f>C9-C14-C17</f>
        <v>0</v>
      </c>
      <c r="D19" s="40">
        <f>D9-D14-D17</f>
        <v>1</v>
      </c>
      <c r="E19" s="40">
        <f>E9-E14-E17</f>
        <v>1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294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295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333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296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334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337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338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190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231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340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341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342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3" t="s">
        <v>345</v>
      </c>
      <c r="C25" s="43" t="s">
        <v>345</v>
      </c>
      <c r="D25" s="43" t="s">
        <v>345</v>
      </c>
      <c r="E25" s="43" t="s">
        <v>345</v>
      </c>
      <c r="F25" s="43" t="s">
        <v>345</v>
      </c>
    </row>
    <row r="26" spans="1:6" x14ac:dyDescent="0.25">
      <c r="A26" s="4" t="s">
        <v>346</v>
      </c>
      <c r="B26" s="43" t="s">
        <v>345</v>
      </c>
      <c r="C26" s="43" t="s">
        <v>345</v>
      </c>
      <c r="D26" s="43" t="s">
        <v>345</v>
      </c>
      <c r="E26" s="43" t="s">
        <v>345</v>
      </c>
      <c r="F26" s="43" t="s">
        <v>345</v>
      </c>
    </row>
    <row r="27" spans="1:6" x14ac:dyDescent="0.25">
      <c r="A27" s="4" t="s">
        <v>347</v>
      </c>
      <c r="B27" s="44" t="s">
        <v>348</v>
      </c>
      <c r="C27" s="44" t="s">
        <v>348</v>
      </c>
      <c r="D27" s="44" t="s">
        <v>348</v>
      </c>
      <c r="E27" s="44" t="s">
        <v>348</v>
      </c>
      <c r="F27" s="44" t="s">
        <v>348</v>
      </c>
    </row>
    <row r="28" spans="1:6" x14ac:dyDescent="0.25">
      <c r="A28" s="4" t="s">
        <v>349</v>
      </c>
      <c r="B28" s="43" t="s">
        <v>345</v>
      </c>
      <c r="C28" s="43" t="s">
        <v>345</v>
      </c>
      <c r="D28" s="43" t="s">
        <v>345</v>
      </c>
      <c r="E28" s="43" t="s">
        <v>345</v>
      </c>
      <c r="F28" s="43" t="s">
        <v>345</v>
      </c>
    </row>
    <row r="29" spans="1:6" x14ac:dyDescent="0.25">
      <c r="A29" s="4" t="s">
        <v>350</v>
      </c>
      <c r="B29" s="43" t="s">
        <v>345</v>
      </c>
      <c r="C29" s="43" t="s">
        <v>345</v>
      </c>
      <c r="D29" s="43" t="s">
        <v>345</v>
      </c>
      <c r="E29" s="43" t="s">
        <v>345</v>
      </c>
      <c r="F29" s="43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351</v>
      </c>
      <c r="B3" s="45" t="s">
        <v>105</v>
      </c>
      <c r="D3" s="45" t="s">
        <v>352</v>
      </c>
      <c r="E3" s="45" t="s">
        <v>105</v>
      </c>
    </row>
    <row r="4" spans="1:5" x14ac:dyDescent="0.25">
      <c r="A4" s="4" t="s">
        <v>157</v>
      </c>
      <c r="B4" s="26">
        <v>250000</v>
      </c>
      <c r="D4" s="4" t="s">
        <v>353</v>
      </c>
      <c r="E4" s="26">
        <v>200000</v>
      </c>
    </row>
    <row r="5" spans="1:5" x14ac:dyDescent="0.25">
      <c r="A5" s="4" t="s">
        <v>115</v>
      </c>
      <c r="B5" s="26">
        <v>50000</v>
      </c>
      <c r="D5" s="4" t="s">
        <v>159</v>
      </c>
      <c r="E5" s="26">
        <v>50000</v>
      </c>
    </row>
    <row r="6" spans="1:5" x14ac:dyDescent="0.25">
      <c r="A6" s="4" t="s">
        <v>354</v>
      </c>
      <c r="B6" s="26">
        <v>75000</v>
      </c>
      <c r="D6" s="4" t="s">
        <v>355</v>
      </c>
      <c r="E6" s="26">
        <v>75000</v>
      </c>
    </row>
    <row r="7" spans="4:5" x14ac:dyDescent="0.25">
      <c r="D7" s="4" t="s">
        <v>356</v>
      </c>
      <c r="E7" s="26">
        <v>50000</v>
      </c>
    </row>
    <row r="9" spans="1:5" x14ac:dyDescent="0.25">
      <c r="A9" s="3" t="s">
        <v>357</v>
      </c>
      <c r="B9" s="27">
        <v>375000</v>
      </c>
      <c r="D9" s="3" t="s">
        <v>358</v>
      </c>
      <c r="E9" s="27">
        <v>375000</v>
      </c>
    </row>
    <row r="10" spans="1:2" x14ac:dyDescent="0.25">
      <c r="A10" s="3" t="s">
        <v>359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332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273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275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276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334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342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332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273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275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276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334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342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332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273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275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276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334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342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123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332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273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275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371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372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374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334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190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375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377</v>
      </c>
      <c r="C2" s="9"/>
      <c r="D2" s="9"/>
      <c r="E2" s="9"/>
      <c r="F2" s="9"/>
      <c r="G2" s="9"/>
    </row>
    <row r="3" spans="2:7" x14ac:dyDescent="0.25">
      <c r="B3" s="48" t="s">
        <v>378</v>
      </c>
      <c r="C3" s="48"/>
      <c r="D3" s="48"/>
      <c r="E3" s="48"/>
      <c r="F3" s="48"/>
      <c r="G3" s="48"/>
    </row>
    <row r="5" ht="24" customHeight="1" spans="2:7" x14ac:dyDescent="0.25">
      <c r="B5" s="13" t="s">
        <v>379</v>
      </c>
      <c r="C5" s="49" t="s">
        <v>380</v>
      </c>
      <c r="D5" s="49" t="s">
        <v>381</v>
      </c>
      <c r="E5" s="49" t="s">
        <v>382</v>
      </c>
      <c r="F5" s="49" t="s">
        <v>383</v>
      </c>
      <c r="G5" s="49" t="s">
        <v>384</v>
      </c>
    </row>
    <row r="6" spans="2:7" x14ac:dyDescent="0.25">
      <c r="B6" s="4" t="s">
        <v>375</v>
      </c>
      <c r="C6" s="50">
        <v>100</v>
      </c>
      <c r="D6" s="50">
        <v>130</v>
      </c>
      <c r="E6" s="50">
        <v>160</v>
      </c>
      <c r="F6" s="50">
        <v>185</v>
      </c>
      <c r="G6" s="50">
        <v>200</v>
      </c>
    </row>
    <row r="7" spans="2:7" x14ac:dyDescent="0.25">
      <c r="B7" s="4" t="s">
        <v>332</v>
      </c>
      <c r="C7" s="51">
        <v>1975000</v>
      </c>
      <c r="D7" s="51">
        <v>2621350</v>
      </c>
      <c r="E7" s="51">
        <v>3304703.5</v>
      </c>
      <c r="F7" s="51">
        <v>3922889.9299999997</v>
      </c>
      <c r="G7" s="51">
        <v>4361346.638750001</v>
      </c>
    </row>
    <row r="8" spans="2:7" x14ac:dyDescent="0.25">
      <c r="B8" s="4" t="s">
        <v>294</v>
      </c>
      <c r="C8" s="51">
        <v>854772</v>
      </c>
      <c r="D8" s="51">
        <v>880415.16</v>
      </c>
      <c r="E8" s="51">
        <v>906827.6148</v>
      </c>
      <c r="F8" s="51">
        <v>934032.443244</v>
      </c>
      <c r="G8" s="51">
        <v>962053.4165413202</v>
      </c>
    </row>
    <row r="9" spans="2:7" x14ac:dyDescent="0.25">
      <c r="B9" s="4" t="s">
        <v>295</v>
      </c>
      <c r="C9" s="51">
        <v>271400</v>
      </c>
      <c r="D9" s="51">
        <v>310442</v>
      </c>
      <c r="E9" s="51">
        <v>351582.25999999995</v>
      </c>
      <c r="F9" s="51">
        <v>389447.9028</v>
      </c>
      <c r="G9" s="51">
        <v>418013.9720340001</v>
      </c>
    </row>
    <row r="10" spans="2:7" x14ac:dyDescent="0.25">
      <c r="B10" s="4" t="s">
        <v>296</v>
      </c>
      <c r="C10" s="51">
        <v>34064.39316600799</v>
      </c>
      <c r="D10" s="51">
        <v>34064.39316600799</v>
      </c>
      <c r="E10" s="51">
        <v>34064.39316600799</v>
      </c>
      <c r="F10" s="51">
        <v>34064.39316600799</v>
      </c>
      <c r="G10" s="51">
        <v>34064.39316600799</v>
      </c>
    </row>
    <row r="11" spans="2:7" x14ac:dyDescent="0.25">
      <c r="B11" s="3" t="s">
        <v>385</v>
      </c>
      <c r="C11" s="52">
        <v>789763.6068339921</v>
      </c>
      <c r="D11" s="52">
        <v>1386428.446833992</v>
      </c>
      <c r="E11" s="52">
        <v>2002229.2320339922</v>
      </c>
      <c r="F11" s="52">
        <v>2560345.190789992</v>
      </c>
      <c r="G11" s="52">
        <v>2942214.857008673</v>
      </c>
    </row>
    <row r="12" spans="2:7" x14ac:dyDescent="0.25">
      <c r="B12" s="3" t="s">
        <v>336</v>
      </c>
      <c r="C12" s="52">
        <v>864756</v>
      </c>
      <c r="D12" s="52">
        <v>2251184.446833992</v>
      </c>
      <c r="E12" s="52">
        <v>4253413.678867985</v>
      </c>
      <c r="F12" s="52">
        <v>6813758.869657977</v>
      </c>
      <c r="G12" s="52">
        <v>9755973.72666665</v>
      </c>
    </row>
    <row r="13" spans="2:7" x14ac:dyDescent="0.25">
      <c r="B13" s="3" t="s">
        <v>374</v>
      </c>
      <c r="C13" s="53">
        <v>0.3998803072577175</v>
      </c>
      <c r="D13" s="53">
        <v>0.5288986388059557</v>
      </c>
      <c r="E13" s="53">
        <v>0.6058725788967125</v>
      </c>
      <c r="F13" s="53">
        <v>0.6526681187789514</v>
      </c>
      <c r="G13" s="53">
        <v>0.6746115593902751</v>
      </c>
    </row>
    <row r="14" spans="2:7" x14ac:dyDescent="0.25">
      <c r="B14" s="3" t="s">
        <v>231</v>
      </c>
      <c r="C14" s="51">
        <v>19750</v>
      </c>
      <c r="D14" s="51">
        <v>20164.23076923077</v>
      </c>
      <c r="E14" s="51">
        <v>20654.396875</v>
      </c>
      <c r="F14" s="51">
        <v>21204.81043243243</v>
      </c>
      <c r="G14" s="51">
        <v>21806.733193750006</v>
      </c>
    </row>
    <row r="15" spans="2:7" x14ac:dyDescent="0.25">
      <c r="B15" s="3" t="s">
        <v>386</v>
      </c>
      <c r="C15" s="53">
        <v>0.4327959493670886</v>
      </c>
      <c r="D15" s="53">
        <v>0.3358632612966601</v>
      </c>
      <c r="E15" s="53">
        <v>0.2744051364365971</v>
      </c>
      <c r="F15" s="53">
        <v>0.23809805013927576</v>
      </c>
      <c r="G15" s="53">
        <v>0.22058632258064514</v>
      </c>
    </row>
    <row r="16" spans="2:7" x14ac:dyDescent="0.25">
      <c r="B16" s="3" t="s">
        <v>387</v>
      </c>
      <c r="C16" s="53">
        <v>0.0412253164556962</v>
      </c>
      <c r="D16" s="53">
        <v>0.035528487229862474</v>
      </c>
      <c r="E16" s="53">
        <v>0.031916532905296946</v>
      </c>
      <c r="F16" s="53">
        <v>0.029782729805013928</v>
      </c>
      <c r="G16" s="53">
        <v>0.028753548387096775</v>
      </c>
    </row>
    <row r="17" spans="2:7" x14ac:dyDescent="0.25">
      <c r="B17" s="3" t="s">
        <v>388</v>
      </c>
      <c r="C17" s="53">
        <v>0.42978632911392406</v>
      </c>
      <c r="D17" s="53">
        <v>0.5457084479371316</v>
      </c>
      <c r="E17" s="53">
        <v>0.6192064205457464</v>
      </c>
      <c r="F17" s="53">
        <v>0.6626261838440112</v>
      </c>
      <c r="G17" s="53">
        <v>0.6835685161290322</v>
      </c>
    </row>
    <row r="18" spans="2:7" x14ac:dyDescent="0.25">
      <c r="B18" s="3" t="s">
        <v>334</v>
      </c>
      <c r="C18" s="54">
        <v>24.918336160088252</v>
      </c>
      <c r="D18" s="54">
        <v>41.993786092965045</v>
      </c>
      <c r="E18" s="54">
        <v>60.071336519270375</v>
      </c>
      <c r="F18" s="54">
        <v>76.3087007388667</v>
      </c>
      <c r="G18" s="54">
        <v>87.51893026967599</v>
      </c>
    </row>
    <row r="19" spans="2:7" x14ac:dyDescent="0.25">
      <c r="B19" s="3" t="s">
        <v>389</v>
      </c>
      <c r="C19" s="55" t="s">
        <v>380</v>
      </c>
      <c r="D19" s="55"/>
      <c r="E19" s="55"/>
      <c r="F19" s="55"/>
      <c r="G19" s="55"/>
    </row>
    <row r="20" spans="2:7" x14ac:dyDescent="0.25">
      <c r="B20" s="3" t="s">
        <v>390</v>
      </c>
      <c r="C20" s="55" t="s">
        <v>391</v>
      </c>
      <c r="D20" s="55"/>
      <c r="E20" s="55"/>
      <c r="F20" s="55"/>
      <c r="G20" s="55"/>
    </row>
    <row r="22" ht="24" customHeight="1" spans="2:7" x14ac:dyDescent="0.25">
      <c r="B22" s="13" t="s">
        <v>392</v>
      </c>
      <c r="C22" s="13" t="s">
        <v>393</v>
      </c>
      <c r="D22" s="13" t="s">
        <v>394</v>
      </c>
      <c r="E22" s="13"/>
      <c r="F22" s="13" t="s">
        <v>395</v>
      </c>
      <c r="G22" s="13"/>
    </row>
    <row r="23" ht="45" customHeight="1" spans="2:7" x14ac:dyDescent="0.25">
      <c r="B23" s="35" t="s">
        <v>396</v>
      </c>
      <c r="C23" s="56" t="s">
        <v>397</v>
      </c>
      <c r="D23" s="57" t="s">
        <v>398</v>
      </c>
      <c r="E23" s="57"/>
      <c r="F23" s="58" t="s">
        <v>399</v>
      </c>
      <c r="G23" s="58"/>
    </row>
    <row r="24" ht="45" customHeight="1" spans="2:7" x14ac:dyDescent="0.25">
      <c r="B24" s="35" t="s">
        <v>400</v>
      </c>
      <c r="C24" s="56" t="s">
        <v>397</v>
      </c>
      <c r="D24" s="57" t="s">
        <v>401</v>
      </c>
      <c r="E24" s="57"/>
      <c r="F24" s="58" t="s">
        <v>402</v>
      </c>
      <c r="G24" s="58"/>
    </row>
    <row r="25" ht="45" customHeight="1" spans="2:7" x14ac:dyDescent="0.25">
      <c r="B25" s="35" t="s">
        <v>403</v>
      </c>
      <c r="C25" s="56" t="s">
        <v>397</v>
      </c>
      <c r="D25" s="57" t="s">
        <v>404</v>
      </c>
      <c r="E25" s="57"/>
      <c r="F25" s="58" t="s">
        <v>405</v>
      </c>
      <c r="G25" s="58"/>
    </row>
    <row r="26" ht="45" customHeight="1" spans="2:7" x14ac:dyDescent="0.25">
      <c r="B26" s="35" t="s">
        <v>406</v>
      </c>
      <c r="C26" s="56" t="s">
        <v>397</v>
      </c>
      <c r="D26" s="57" t="s">
        <v>407</v>
      </c>
      <c r="E26" s="57"/>
      <c r="F26" s="58" t="s">
        <v>408</v>
      </c>
      <c r="G26" s="58"/>
    </row>
    <row r="27" ht="45" customHeight="1" spans="2:7" x14ac:dyDescent="0.25">
      <c r="B27" s="35" t="s">
        <v>409</v>
      </c>
      <c r="C27" s="56" t="s">
        <v>397</v>
      </c>
      <c r="D27" s="57" t="s">
        <v>410</v>
      </c>
      <c r="E27" s="57"/>
      <c r="F27" s="58" t="s">
        <v>411</v>
      </c>
      <c r="G27" s="58"/>
    </row>
    <row r="28" ht="45" customHeight="1" spans="2:7" x14ac:dyDescent="0.25">
      <c r="B28" s="35" t="s">
        <v>412</v>
      </c>
      <c r="C28" s="56" t="s">
        <v>397</v>
      </c>
      <c r="D28" s="57" t="s">
        <v>413</v>
      </c>
      <c r="E28" s="57"/>
      <c r="F28" s="58" t="s">
        <v>414</v>
      </c>
      <c r="G28" s="58"/>
    </row>
    <row r="29" ht="45" customHeight="1" spans="2:7" x14ac:dyDescent="0.25">
      <c r="B29" s="35" t="s">
        <v>415</v>
      </c>
      <c r="C29" s="56" t="s">
        <v>397</v>
      </c>
      <c r="D29" s="57" t="s">
        <v>416</v>
      </c>
      <c r="E29" s="57"/>
      <c r="F29" s="58" t="s">
        <v>417</v>
      </c>
      <c r="G29" s="58"/>
    </row>
    <row r="31" spans="2:5" x14ac:dyDescent="0.25">
      <c r="B31" s="35" t="s">
        <v>418</v>
      </c>
      <c r="C31" s="3" t="s">
        <v>419</v>
      </c>
      <c r="D31" s="3"/>
      <c r="E31" s="3"/>
    </row>
    <row r="33" spans="2:7" x14ac:dyDescent="0.25">
      <c r="B33" s="59" t="s">
        <v>420</v>
      </c>
      <c r="C33" s="59"/>
      <c r="D33" s="59"/>
      <c r="E33" s="59"/>
      <c r="F33" s="59"/>
      <c r="G33" s="5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