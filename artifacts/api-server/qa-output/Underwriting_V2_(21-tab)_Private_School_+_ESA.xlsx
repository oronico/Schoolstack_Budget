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<sst xmlns="http://schemas.openxmlformats.org/spreadsheetml/2006/main" count="906" uniqueCount="521">
  <si>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</si>
  <si>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</si>
  <si>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</si>
  <si>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</si>
  <si>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</si>
  <si>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</si>
  <si>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</si>
  <si>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</si>
  <si>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</si>
  <si>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</si>
  <si>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</si>
  <si>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</si>
  <si>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</si>
  <si>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</si>
  <si>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</si>
  <si>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</si>
  <si>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</si>
  <si>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</si>
  <si>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</si>
  <si>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</si>
  <si>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</si>
  <si>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</si>
  <si>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</si>
  <si>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</si>
  <si>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</si>
  <si>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</si>
  <si>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</si>
  <si>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</si>
  <si>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</si>
  <si>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</si>
  <si>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</si>
  <si>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</si>
  <si>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</si>
  <si>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</si>
  <si>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Private School</t>
  </si>
  <si>
    <t>Entity Type</t>
  </si>
  <si>
    <t>501(c)(3) Nonprofit</t>
  </si>
  <si>
    <t>State</t>
  </si>
  <si>
    <t>FL</t>
  </si>
  <si>
    <t>Fiscal Year Start</t>
  </si>
  <si>
    <t>Month 7</t>
  </si>
  <si>
    <t>Model Date</t>
  </si>
  <si>
    <t>May 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</si>
  <si>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</si>
  <si>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</si>
  <si>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</si>
  <si>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</si>
  <si>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</si>
  <si>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</si>
  <si>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</si>
  <si>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</si>
  <si>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</si>
  <si>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</si>
  <si>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</si>
  <si>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</si>
  <si>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</si>
  <si>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</si>
  <si>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</si>
  <si>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</si>
  <si>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</si>
  <si>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</si>
  <si>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</si>
  <si>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</si>
  <si>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</si>
  <si>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</si>
  <si>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</si>
  <si>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</si>
  <si>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</si>
  <si>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</si>
  <si>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</si>
  <si>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</si>
  <si>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</si>
  <si>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</si>
  <si>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</si>
  <si>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</si>
  <si>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</si>
  <si>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</si>
  <si>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</si>
  <si>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</si>
  <si>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</si>
  <si>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</si>
  <si>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</si>
  <si>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</si>
  <si>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</si>
  <si>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</si>
  <si>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</si>
  <si>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</si>
  <si>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</si>
  <si>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</si>
  <si>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</si>
  <si>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</si>
  <si>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</si>
  <si>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</si>
  <si>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</si>
  <si>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</si>
  <si>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</si>
  <si>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</si>
  <si>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</si>
  <si>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</si>
  <si>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</si>
  <si>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</si>
  <si>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</si>
  <si>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</si>
  <si>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</si>
  <si>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</si>
  <si>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</si>
  <si>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</si>
  <si>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</si>
  <si>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</si>
  <si>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</si>
  <si>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</si>
  <si>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</si>
  <si>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</si>
  <si>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</si>
  <si>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</si>
  <si>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</si>
  <si>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</si>
  <si>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</si>
  <si>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</si>
  <si>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Gross 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</si>
  <si>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</si>
  <si>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</si>
  <si>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</si>
  <si>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</si>
  <si>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</si>
  <si>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</si>
  <si>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</si>
  <si>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</si>
  <si>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</si>
  <si>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</si>
  <si>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</si>
  <si>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</si>
  <si>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</si>
  <si>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</si>
  <si>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</si>
  <si>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</si>
  <si>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</si>
  <si>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</si>
  <si>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</si>
  <si>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</si>
  <si>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</si>
  <si>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</si>
  <si>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</si>
  <si>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</si>
  <si>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</si>
  <si>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</si>
  <si>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</si>
  <si>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</si>
  <si>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</si>
  <si>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</si>
  <si>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</si>
  <si>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</si>
  <si>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</si>
  <si>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</si>
  <si>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</si>
  <si>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</si>
  <si>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</si>
  <si>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</si>
  <si>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</si>
  <si>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</si>
  <si>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</si>
  <si>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</si>
  <si>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</si>
  <si>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</si>
  <si>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</si>
  <si>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</si>
  <si>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</si>
  <si>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</si>
  <si>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</si>
  <si>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</si>
  <si>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</si>
  <si>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</si>
  <si>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</si>
  <si>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</si>
  <si>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</si>
  <si>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</si>
  <si>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</si>
  <si>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</si>
  <si>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</si>
  <si>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</si>
  <si>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</si>
  <si>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</si>
  <si>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</si>
  <si>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</si>
  <si>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</si>
  <si>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</si>
  <si>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</si>
  <si>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</si>
  <si>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</si>
  <si>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</si>
  <si>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</si>
  <si>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</si>
  <si>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</si>
  <si>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</si>
  <si>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</si>
  <si>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</si>
  <si>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</si>
  <si>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</si>
  <si>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</si>
  <si>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</si>
  <si>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</si>
  <si>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</si>
  <si>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</si>
  <si>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</si>
  <si>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</si>
  <si>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</si>
  <si>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</si>
  <si>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</si>
  <si>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</si>
  <si>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</si>
  <si>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</si>
  <si>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</si>
  <si>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</si>
  <si>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</si>
  <si>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</si>
  <si>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</si>
  <si>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</si>
  <si>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</si>
  <si>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</si>
  <si>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</si>
  <si>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</si>
  <si>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</si>
  <si>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</si>
  <si>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</si>
  <si>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</si>
  <si>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</si>
  <si>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</si>
  <si>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</si>
  <si>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</si>
  <si>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</si>
  <si>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</si>
  <si>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</si>
  <si>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</si>
  <si>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</si>
  <si>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</si>
  <si>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</si>
  <si>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</si>
  <si>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</si>
  <si>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</si>
  <si>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</si>
  <si>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</si>
  <si>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</si>
  <si>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</si>
  <si>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</si>
  <si>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</si>
  <si>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</si>
  <si>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</si>
  <si>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</si>
  <si>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</si>
  <si>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</si>
  <si>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</si>
  <si>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</si>
  <si>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</si>
  <si>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</si>
  <si>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</si>
  <si>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</si>
  <si>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</si>
  <si>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</si>
  <si>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</si>
  <si>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</si>
  <si>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</si>
  <si>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</si>
  <si>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</si>
  <si>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</si>
  <si>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</si>
  <si>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</si>
  <si>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</si>
  <si>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</si>
  <si>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</si>
  <si>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</si>
  <si>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</si>
  <si>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</si>
  <si>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</si>
  <si>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</si>
  <si>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</si>
  <si>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</si>
  <si>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</si>
  <si>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</si>
  <si>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</si>
  <si>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</si>
  <si>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</si>
  <si>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</si>
  <si>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</si>
  <si>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</si>
  <si>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</si>
  <si>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</si>
  <si>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</si>
  <si>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Gross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</si>
  <si>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</si>
  <si>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</si>
  <si>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</si>
  <si>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</si>
  <si>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</si>
  <si>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</si>
  <si>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</si>
  <si>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</si>
  <si>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</si>
  <si>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</si>
  <si>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</si>
  <si>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</si>
  <si>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</si>
  <si>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</si>
  <si>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</si>
  <si>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</si>
  <si>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</si>
  <si>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</si>
  <si>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</si>
  <si>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</si>
  <si>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</si>
  <si>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</si>
  <si>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</si>
  <si>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</si>
  <si>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</si>
  <si>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</si>
  <si>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</si>
  <si>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</si>
  <si>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</si>
  <si>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</si>
  <si>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</si>
  <si>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</si>
  <si>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</si>
  <si>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</si>
  <si>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</si>
  <si>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</si>
  <si>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</si>
  <si>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</si>
  <si>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</si>
  <si>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</si>
  <si>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</si>
  <si>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</si>
  <si>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</si>
  <si>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</si>
  <si>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</si>
  <si>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</si>
  <si>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</si>
  <si>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</si>
  <si>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</si>
  <si>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</si>
  <si>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</si>
  <si>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</si>
  <si>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</si>
  <si>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</si>
  <si>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</si>
  <si>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</si>
  <si>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</si>
  <si>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</si>
  <si>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</si>
  <si>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</si>
  <si>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</si>
  <si>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</si>
  <si>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</si>
  <si>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</si>
  <si>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</si>
  <si>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</si>
  <si>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</si>
  <si>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</si>
  <si>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</si>
  <si>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</si>
  <si>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</si>
  <si>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</si>
  <si>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</si>
  <si>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</si>
  <si>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</si>
  <si>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</si>
  <si>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</si>
  <si>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</si>
  <si>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</si>
  <si>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</si>
  <si>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</si>
  <si>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</si>
  <si>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</si>
  <si>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</si>
  <si>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</si>
  <si>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</si>
  <si>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</si>
  <si>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</si>
  <si>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</si>
  <si>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</si>
  <si>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</si>
  <si>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</si>
  <si>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</si>
  <si>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</si>
  <si>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</si>
  <si>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</si>
  <si>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</si>
  <si>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</si>
  <si>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</si>
  <si>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</si>
  <si>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</si>
  <si>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</si>
  <si>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</si>
  <si>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</si>
  <si>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</si>
  <si>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</si>
  <si>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</si>
  <si>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</si>
  <si>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</si>
  <si>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</si>
  <si>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</si>
  <si>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</si>
  <si>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</si>
  <si>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</si>
  <si>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</si>
  <si>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</si>
  <si>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</si>
  <si>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</si>
  <si>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</si>
  <si>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</si>
  <si>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</si>
  <si>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</si>
  <si>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</si>
  <si>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</si>
  <si>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</si>
  <si>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</si>
  <si>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</si>
  <si>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</si>
  <si>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</si>
  <si>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</si>
  <si>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</si>
  <si>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</si>
  <si>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</si>
  <si>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</si>
  <si>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</si>
  <si>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</si>
  <si>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</si>
  <si>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</si>
  <si>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</si>
  <si>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</si>
  <si>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</si>
  <si>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</si>
  <si>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</si>
  <si>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</si>
  <si>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</si>
  <si>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</si>
  <si>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</si>
  <si>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</si>
  <si>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</si>
  <si>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</si>
  <si>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</si>
  <si>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</si>
  <si>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</si>
  <si>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</si>
  <si>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</si>
  <si>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</si>
  <si>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Heritage Academy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</si>
  <si>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</si>
  <si>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</si>
  <si>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</si>
  <si>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</si>
  <si>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</si>
  <si>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</si>
  <si>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</si>
  <si>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</si>
  <si>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</si>
  <si>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</si>
  <si>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</si>
  <si>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</si>
  <si>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</si>
  <si>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</si>
  <si>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</si>
  <si>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</si>
  <si>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</si>
  <si>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</si>
  <si>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</si>
  <si>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</si>
  <si>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</si>
  <si>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</si>
  <si>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</si>
  <si>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</si>
  <si>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</si>
  <si>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</si>
  <si>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</si>
  <si>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</si>
  <si>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</si>
  <si>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</si>
  <si>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</si>
  <si>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</si>
  <si>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</si>
  <si>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</si>
  <si>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</si>
  <si>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</si>
  <si>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</si>
  <si>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</si>
  <si>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</si>
  <si>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</si>
  <si>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</si>
  <si>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</si>
  <si>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23%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</si>
  <si>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</si>
  <si>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</si>
  <si>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</si>
  <si>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</si>
  <si>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</si>
  <si>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82.92x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</si>
  <si>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</si>
  <si>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</si>
  <si>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</si>
  <si>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</si>
  <si>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</si>
  <si>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78.3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</si>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</sst>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4"/>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100</v>
      </c>
      <c r="C17" s="22">
        <v>130</v>
      </c>
      <c r="D17" s="22">
        <v>160</v>
      </c>
      <c r="E17" s="22">
        <v>185</v>
      </c>
      <c r="F17" s="22">
        <v>200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10500</v>
      </c>
      <c r="E21" s="24">
        <v>0</v>
      </c>
      <c r="F21" s="11" t="s">
        <v>122</v>
      </c>
    </row>
    <row r="22" spans="1:6" x14ac:dyDescent="0.25">
      <c r="A22" s="11" t="s">
        <v>123</v>
      </c>
      <c r="B22" s="11" t="s">
        <v>120</v>
      </c>
      <c r="C22" s="11" t="s">
        <v>121</v>
      </c>
      <c r="D22" s="23">
        <v>350</v>
      </c>
      <c r="E22" s="24">
        <v>0</v>
      </c>
      <c r="F22" s="11" t="s">
        <v>122</v>
      </c>
    </row>
    <row r="23" spans="1:6" x14ac:dyDescent="0.25">
      <c r="A23" s="11" t="s">
        <v>124</v>
      </c>
      <c r="B23" s="11" t="s">
        <v>125</v>
      </c>
      <c r="C23" s="11" t="s">
        <v>121</v>
      </c>
      <c r="D23" s="23">
        <v>-1050</v>
      </c>
      <c r="E23" s="24">
        <v>0</v>
      </c>
      <c r="F23" s="11" t="s">
        <v>122</v>
      </c>
    </row>
    <row r="24" spans="1:6" x14ac:dyDescent="0.25">
      <c r="A24" s="11" t="s">
        <v>126</v>
      </c>
      <c r="B24" s="11" t="s">
        <v>127</v>
      </c>
      <c r="C24" s="11" t="s">
        <v>121</v>
      </c>
      <c r="D24" s="23">
        <v>8700</v>
      </c>
      <c r="E24" s="24">
        <v>0</v>
      </c>
      <c r="F24" s="11" t="s">
        <v>122</v>
      </c>
    </row>
    <row r="25" spans="1:6" x14ac:dyDescent="0.25">
      <c r="A25" s="11" t="s">
        <v>128</v>
      </c>
      <c r="B25" s="11" t="s">
        <v>129</v>
      </c>
      <c r="C25" s="11" t="s">
        <v>130</v>
      </c>
      <c r="D25" s="23">
        <v>50000</v>
      </c>
      <c r="E25" s="24">
        <v>0</v>
      </c>
      <c r="F25" s="11" t="s">
        <v>122</v>
      </c>
    </row>
    <row r="26" spans="1:6" x14ac:dyDescent="0.25">
      <c r="A26" s="11" t="s">
        <v>131</v>
      </c>
      <c r="B26" s="11" t="s">
        <v>129</v>
      </c>
      <c r="C26" s="11" t="s">
        <v>130</v>
      </c>
      <c r="D26" s="23">
        <v>25000</v>
      </c>
      <c r="E26" s="24">
        <v>0</v>
      </c>
      <c r="F26" s="11" t="s">
        <v>122</v>
      </c>
    </row>
    <row r="27" spans="1:6" x14ac:dyDescent="0.25">
      <c r="A27" s="11" t="s">
        <v>132</v>
      </c>
      <c r="B27" s="11" t="s">
        <v>133</v>
      </c>
      <c r="C27" s="11" t="s">
        <v>121</v>
      </c>
      <c r="D27" s="23">
        <v>500</v>
      </c>
      <c r="E27" s="24">
        <v>0</v>
      </c>
      <c r="F27" s="11" t="s">
        <v>122</v>
      </c>
    </row>
    <row r="29" ht="24" customHeight="1" spans="1:6" x14ac:dyDescent="0.25">
      <c r="A29" s="19" t="s">
        <v>134</v>
      </c>
      <c r="B29" s="19"/>
      <c r="C29" s="19"/>
      <c r="D29" s="19"/>
      <c r="E29" s="19"/>
      <c r="F29" s="19"/>
    </row>
    <row r="30" ht="28" customHeight="1" spans="1:6" x14ac:dyDescent="0.25">
      <c r="A30" s="21" t="s">
        <v>135</v>
      </c>
      <c r="B30" s="21" t="s">
        <v>106</v>
      </c>
      <c r="C30" s="21" t="s">
        <v>107</v>
      </c>
      <c r="D30" s="21" t="s">
        <v>108</v>
      </c>
      <c r="E30" s="21" t="s">
        <v>109</v>
      </c>
      <c r="F30" s="21" t="s">
        <v>110</v>
      </c>
    </row>
    <row r="31" spans="1:6" x14ac:dyDescent="0.25">
      <c r="A31" s="11" t="s">
        <v>136</v>
      </c>
      <c r="B31" s="25">
        <v>945000</v>
      </c>
      <c r="C31" s="25">
        <v>1265355</v>
      </c>
      <c r="D31" s="25">
        <v>1604080.7999999998</v>
      </c>
      <c r="E31" s="25">
        <v>1910359.9777499998</v>
      </c>
      <c r="F31" s="25">
        <v>2127211.6509000007</v>
      </c>
    </row>
    <row r="32" spans="1:6" x14ac:dyDescent="0.25">
      <c r="A32" s="11" t="s">
        <v>137</v>
      </c>
      <c r="B32" s="25">
        <v>85000</v>
      </c>
      <c r="C32" s="25">
        <v>113815</v>
      </c>
      <c r="D32" s="25">
        <v>144282.4</v>
      </c>
      <c r="E32" s="25">
        <v>171831.32075</v>
      </c>
      <c r="F32" s="25">
        <v>191336.4977</v>
      </c>
    </row>
    <row r="33" spans="1:6" x14ac:dyDescent="0.25">
      <c r="A33" s="11" t="s">
        <v>138</v>
      </c>
      <c r="B33" s="25">
        <v>75000</v>
      </c>
      <c r="C33" s="25">
        <v>77250</v>
      </c>
      <c r="D33" s="25">
        <v>79567.5</v>
      </c>
      <c r="E33" s="25">
        <v>81954.525</v>
      </c>
      <c r="F33" s="25">
        <v>84413.16075000001</v>
      </c>
    </row>
    <row r="34" spans="1:6" x14ac:dyDescent="0.25">
      <c r="A34" s="11" t="s">
        <v>139</v>
      </c>
      <c r="B34" s="25">
        <v>870000</v>
      </c>
      <c r="C34" s="25">
        <v>1164930</v>
      </c>
      <c r="D34" s="25">
        <v>1476772.8</v>
      </c>
      <c r="E34" s="25">
        <v>1758744.1064999998</v>
      </c>
      <c r="F34" s="25">
        <v>1958385.3294000004</v>
      </c>
    </row>
    <row r="35" spans="1:6" x14ac:dyDescent="0.25">
      <c r="A35" s="11" t="s">
        <v>140</v>
      </c>
      <c r="B35" s="26">
        <v>0.47848101265822784</v>
      </c>
      <c r="C35" s="26">
        <v>0.48271119842829074</v>
      </c>
      <c r="D35" s="26">
        <v>0.48539325842696623</v>
      </c>
      <c r="E35" s="26">
        <v>0.4869777158774373</v>
      </c>
      <c r="F35" s="26">
        <v>0.487741935483871</v>
      </c>
    </row>
    <row r="36" spans="1:6" x14ac:dyDescent="0.25">
      <c r="A36" s="11" t="s">
        <v>141</v>
      </c>
      <c r="B36" s="26">
        <v>0.043037974683544304</v>
      </c>
      <c r="C36" s="26">
        <v>0.04341846758349705</v>
      </c>
      <c r="D36" s="26">
        <v>0.043659711075441414</v>
      </c>
      <c r="E36" s="26">
        <v>0.043802228412256276</v>
      </c>
      <c r="F36" s="26">
        <v>0.043870967741935475</v>
      </c>
    </row>
    <row r="37" spans="1:6" x14ac:dyDescent="0.25">
      <c r="A37" s="11" t="s">
        <v>142</v>
      </c>
      <c r="B37" s="26">
        <v>0.0379746835443038</v>
      </c>
      <c r="C37" s="26">
        <v>0.029469548133595286</v>
      </c>
      <c r="D37" s="26">
        <v>0.024077046548956663</v>
      </c>
      <c r="E37" s="26">
        <v>0.020891364902506964</v>
      </c>
      <c r="F37" s="26">
        <v>0.019354838709677417</v>
      </c>
    </row>
    <row r="38" spans="1:6" x14ac:dyDescent="0.25">
      <c r="A38" s="11" t="s">
        <v>143</v>
      </c>
      <c r="B38" s="26">
        <v>0.44050632911392407</v>
      </c>
      <c r="C38" s="26">
        <v>0.4444007858546169</v>
      </c>
      <c r="D38" s="26">
        <v>0.44686998394863564</v>
      </c>
      <c r="E38" s="26">
        <v>0.4483286908077994</v>
      </c>
      <c r="F38" s="26">
        <v>0.44903225806451613</v>
      </c>
    </row>
    <row r="39" spans="1:6" x14ac:dyDescent="0.25">
      <c r="A39" s="11" t="s">
        <v>144</v>
      </c>
      <c r="B39" s="27">
        <v>0.9217386412530364</v>
      </c>
      <c r="C39" s="27">
        <v>1.2040913691657973</v>
      </c>
      <c r="D39" s="27">
        <v>1.4889935023546685</v>
      </c>
      <c r="E39" s="27">
        <v>1.7296201444626338</v>
      </c>
      <c r="F39" s="27">
        <v>1.8783030453620213</v>
      </c>
    </row>
    <row r="41" ht="24" customHeight="1" spans="1:7" x14ac:dyDescent="0.25">
      <c r="A41" s="19" t="s">
        <v>145</v>
      </c>
      <c r="B41" s="19"/>
      <c r="C41" s="19"/>
      <c r="D41" s="19"/>
      <c r="E41" s="19"/>
      <c r="F41" s="19"/>
      <c r="G41" s="19"/>
    </row>
    <row r="42" ht="28" customHeight="1" spans="1:7" x14ac:dyDescent="0.25">
      <c r="A42" s="21" t="s">
        <v>146</v>
      </c>
      <c r="B42" s="21" t="s">
        <v>114</v>
      </c>
      <c r="C42" s="21" t="s">
        <v>147</v>
      </c>
      <c r="D42" s="21" t="s">
        <v>148</v>
      </c>
      <c r="E42" s="21" t="s">
        <v>149</v>
      </c>
      <c r="F42" s="21" t="s">
        <v>150</v>
      </c>
      <c r="G42" s="21" t="s">
        <v>151</v>
      </c>
    </row>
    <row r="43" spans="1:7" x14ac:dyDescent="0.25">
      <c r="A43" s="11" t="s">
        <v>152</v>
      </c>
      <c r="B43" s="11" t="s">
        <v>153</v>
      </c>
      <c r="C43" s="11" t="s">
        <v>154</v>
      </c>
      <c r="D43" s="28">
        <v>1</v>
      </c>
      <c r="E43" s="23">
        <v>95000</v>
      </c>
      <c r="F43" s="24">
        <v>0.25</v>
      </c>
      <c r="G43" s="24">
        <v>0.0765</v>
      </c>
    </row>
    <row r="44" spans="1:7" x14ac:dyDescent="0.25">
      <c r="A44" s="11" t="s">
        <v>155</v>
      </c>
      <c r="B44" s="11" t="s">
        <v>153</v>
      </c>
      <c r="C44" s="11" t="s">
        <v>154</v>
      </c>
      <c r="D44" s="28">
        <v>1</v>
      </c>
      <c r="E44" s="23">
        <v>75000</v>
      </c>
      <c r="F44" s="24">
        <v>0.25</v>
      </c>
      <c r="G44" s="24">
        <v>0.0765</v>
      </c>
    </row>
    <row r="45" spans="1:7" x14ac:dyDescent="0.25">
      <c r="A45" s="11" t="s">
        <v>156</v>
      </c>
      <c r="B45" s="11" t="s">
        <v>157</v>
      </c>
      <c r="C45" s="11" t="s">
        <v>154</v>
      </c>
      <c r="D45" s="28">
        <v>6</v>
      </c>
      <c r="E45" s="23">
        <v>48000</v>
      </c>
      <c r="F45" s="24">
        <v>0.25</v>
      </c>
      <c r="G45" s="24">
        <v>0.0765</v>
      </c>
    </row>
    <row r="46" spans="1:7" x14ac:dyDescent="0.25">
      <c r="A46" s="11" t="s">
        <v>158</v>
      </c>
      <c r="B46" s="11" t="s">
        <v>157</v>
      </c>
      <c r="C46" s="11" t="s">
        <v>154</v>
      </c>
      <c r="D46" s="28">
        <v>3</v>
      </c>
      <c r="E46" s="23">
        <v>32000</v>
      </c>
      <c r="F46" s="24">
        <v>0.2</v>
      </c>
      <c r="G46" s="24">
        <v>0.0765</v>
      </c>
    </row>
    <row r="47" spans="1:7" x14ac:dyDescent="0.25">
      <c r="A47" s="11" t="s">
        <v>159</v>
      </c>
      <c r="B47" s="11" t="s">
        <v>160</v>
      </c>
      <c r="C47" s="11" t="s">
        <v>154</v>
      </c>
      <c r="D47" s="28">
        <v>1</v>
      </c>
      <c r="E47" s="23">
        <v>42000</v>
      </c>
      <c r="F47" s="24">
        <v>0.25</v>
      </c>
      <c r="G47" s="24">
        <v>0.0765</v>
      </c>
    </row>
    <row r="48" spans="1:7" x14ac:dyDescent="0.25">
      <c r="A48" s="11" t="s">
        <v>161</v>
      </c>
      <c r="B48" s="11" t="s">
        <v>162</v>
      </c>
      <c r="C48" s="11" t="s">
        <v>154</v>
      </c>
      <c r="D48" s="28">
        <v>1</v>
      </c>
      <c r="E48" s="23">
        <v>52000</v>
      </c>
      <c r="F48" s="24">
        <v>0.25</v>
      </c>
      <c r="G48" s="24">
        <v>0.0765</v>
      </c>
    </row>
    <row r="50" ht="24" customHeight="1" spans="1:7" x14ac:dyDescent="0.25">
      <c r="A50" s="19" t="s">
        <v>163</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164</v>
      </c>
      <c r="B52" s="11" t="s">
        <v>165</v>
      </c>
      <c r="C52" s="11" t="s">
        <v>166</v>
      </c>
      <c r="D52" s="23">
        <v>8500</v>
      </c>
      <c r="E52" s="24">
        <v>0.03</v>
      </c>
    </row>
    <row r="53" spans="1:5" x14ac:dyDescent="0.25">
      <c r="A53" s="11" t="s">
        <v>167</v>
      </c>
      <c r="B53" s="11" t="s">
        <v>165</v>
      </c>
      <c r="C53" s="11" t="s">
        <v>166</v>
      </c>
      <c r="D53" s="23">
        <v>1200</v>
      </c>
      <c r="E53" s="24">
        <v>0</v>
      </c>
    </row>
    <row r="54" spans="1:5" x14ac:dyDescent="0.25">
      <c r="A54" s="11" t="s">
        <v>168</v>
      </c>
      <c r="B54" s="11" t="s">
        <v>165</v>
      </c>
      <c r="C54" s="11" t="s">
        <v>130</v>
      </c>
      <c r="D54" s="23">
        <v>12000</v>
      </c>
      <c r="E54" s="24">
        <v>0</v>
      </c>
    </row>
    <row r="55" spans="1:5" x14ac:dyDescent="0.25">
      <c r="A55" s="11" t="s">
        <v>169</v>
      </c>
      <c r="B55" s="11" t="s">
        <v>165</v>
      </c>
      <c r="C55" s="11" t="s">
        <v>130</v>
      </c>
      <c r="D55" s="23">
        <v>8000</v>
      </c>
      <c r="E55" s="24">
        <v>0</v>
      </c>
    </row>
    <row r="56" spans="1:5" x14ac:dyDescent="0.25">
      <c r="A56" s="11" t="s">
        <v>170</v>
      </c>
      <c r="B56" s="11" t="s">
        <v>171</v>
      </c>
      <c r="C56" s="11" t="s">
        <v>121</v>
      </c>
      <c r="D56" s="23">
        <v>600</v>
      </c>
      <c r="E56" s="24">
        <v>0</v>
      </c>
    </row>
    <row r="57" spans="1:5" x14ac:dyDescent="0.25">
      <c r="A57" s="11" t="s">
        <v>172</v>
      </c>
      <c r="B57" s="11" t="s">
        <v>172</v>
      </c>
      <c r="C57" s="11" t="s">
        <v>121</v>
      </c>
      <c r="D57" s="23">
        <v>400</v>
      </c>
      <c r="E57" s="24">
        <v>0</v>
      </c>
    </row>
    <row r="58" spans="1:5" x14ac:dyDescent="0.25">
      <c r="A58" s="11" t="s">
        <v>173</v>
      </c>
      <c r="B58" s="11" t="s">
        <v>174</v>
      </c>
      <c r="C58" s="11" t="s">
        <v>130</v>
      </c>
      <c r="D58" s="23">
        <v>15000</v>
      </c>
      <c r="E58" s="24">
        <v>0</v>
      </c>
    </row>
    <row r="59" spans="1:5" x14ac:dyDescent="0.25">
      <c r="A59" s="11" t="s">
        <v>175</v>
      </c>
      <c r="B59" s="11" t="s">
        <v>174</v>
      </c>
      <c r="C59" s="11" t="s">
        <v>130</v>
      </c>
      <c r="D59" s="23">
        <v>8000</v>
      </c>
      <c r="E59" s="24">
        <v>0</v>
      </c>
    </row>
    <row r="60" spans="1:5" x14ac:dyDescent="0.25">
      <c r="A60" s="11" t="s">
        <v>176</v>
      </c>
      <c r="B60" s="11" t="s">
        <v>174</v>
      </c>
      <c r="C60" s="11" t="s">
        <v>130</v>
      </c>
      <c r="D60" s="23">
        <v>12000</v>
      </c>
      <c r="E60" s="24">
        <v>0</v>
      </c>
    </row>
    <row r="62" ht="24" customHeight="1" spans="1:7" x14ac:dyDescent="0.25">
      <c r="A62" s="19" t="s">
        <v>177</v>
      </c>
      <c r="B62" s="19"/>
      <c r="C62" s="19"/>
      <c r="D62" s="19"/>
      <c r="E62" s="19"/>
      <c r="F62" s="19"/>
      <c r="G62" s="19"/>
    </row>
    <row r="63" ht="28" customHeight="1" spans="1:5" x14ac:dyDescent="0.25">
      <c r="A63" s="21" t="s">
        <v>178</v>
      </c>
      <c r="B63" s="21" t="s">
        <v>147</v>
      </c>
      <c r="C63" s="21" t="s">
        <v>179</v>
      </c>
      <c r="D63" s="21" t="s">
        <v>149</v>
      </c>
      <c r="E63" s="21" t="s">
        <v>180</v>
      </c>
    </row>
    <row r="64" spans="1:5" x14ac:dyDescent="0.25">
      <c r="A64" s="11" t="s">
        <v>181</v>
      </c>
      <c r="B64" s="11" t="s">
        <v>182</v>
      </c>
      <c r="C64" s="23">
        <v>250000</v>
      </c>
      <c r="D64" s="24">
        <v>0.065</v>
      </c>
      <c r="E64" s="22">
        <v>10</v>
      </c>
    </row>
    <row r="65" spans="1:5" x14ac:dyDescent="0.25">
      <c r="A65" s="11" t="s">
        <v>183</v>
      </c>
      <c r="B65" s="11" t="s">
        <v>184</v>
      </c>
      <c r="C65" s="23">
        <v>25000</v>
      </c>
      <c r="D65" s="24">
        <v>0</v>
      </c>
      <c r="E65" s="22">
        <v>0</v>
      </c>
    </row>
    <row r="67" ht="24" customHeight="1" spans="1:7" x14ac:dyDescent="0.25">
      <c r="A67" s="19" t="s">
        <v>185</v>
      </c>
      <c r="B67" s="19"/>
      <c r="C67" s="19"/>
      <c r="D67" s="19"/>
      <c r="E67" s="19"/>
      <c r="F67" s="19"/>
      <c r="G67" s="19"/>
    </row>
    <row r="68" spans="1:3" x14ac:dyDescent="0.25">
      <c r="A68" s="11" t="s">
        <v>186</v>
      </c>
      <c r="B68" s="24">
        <v>0.03</v>
      </c>
      <c r="C68" s="29" t="s">
        <v>187</v>
      </c>
    </row>
    <row r="69" spans="1:3" x14ac:dyDescent="0.25">
      <c r="A69" s="11" t="s">
        <v>188</v>
      </c>
      <c r="B69" s="24">
        <v>0.03</v>
      </c>
      <c r="C69" s="29" t="s">
        <v>189</v>
      </c>
    </row>
    <row r="70" spans="1:2" x14ac:dyDescent="0.25">
      <c r="A70" s="11" t="s">
        <v>190</v>
      </c>
      <c r="B70" s="28">
        <v>1</v>
      </c>
    </row>
    <row r="71" spans="1:2" x14ac:dyDescent="0.25">
      <c r="A71" s="11" t="s">
        <v>191</v>
      </c>
      <c r="B71" s="23">
        <v>75000</v>
      </c>
    </row>
    <row r="72" spans="1:2" x14ac:dyDescent="0.25">
      <c r="A72" s="11" t="s">
        <v>192</v>
      </c>
      <c r="B72" s="20" t="s">
        <v>193</v>
      </c>
    </row>
    <row r="73" spans="1:2" x14ac:dyDescent="0.25">
      <c r="A73" s="11" t="s">
        <v>194</v>
      </c>
      <c r="B73" s="24">
        <v>0</v>
      </c>
    </row>
    <row r="74" spans="1:2" x14ac:dyDescent="0.25">
      <c r="A74" s="11" t="s">
        <v>195</v>
      </c>
      <c r="B74" s="24">
        <v>0.03</v>
      </c>
    </row>
    <row r="75" spans="1:2" x14ac:dyDescent="0.25">
      <c r="A75" s="11" t="s">
        <v>196</v>
      </c>
      <c r="B75" s="24">
        <v>0.03</v>
      </c>
    </row>
    <row r="76" spans="1:2" x14ac:dyDescent="0.25">
      <c r="A76" s="11" t="s">
        <v>197</v>
      </c>
      <c r="B76" s="24">
        <v>0.25</v>
      </c>
    </row>
    <row r="77" spans="1:2" x14ac:dyDescent="0.25">
      <c r="A77" s="11" t="s">
        <v>198</v>
      </c>
      <c r="B77" s="24">
        <v>0.08</v>
      </c>
    </row>
    <row r="78" spans="1:2" x14ac:dyDescent="0.25">
      <c r="A78" s="11" t="s">
        <v>199</v>
      </c>
      <c r="B78" s="24">
        <v>0.85</v>
      </c>
    </row>
    <row r="80" ht="24" customHeight="1" spans="1:7" x14ac:dyDescent="0.25">
      <c r="A80" s="19" t="s">
        <v>200</v>
      </c>
      <c r="B80" s="19"/>
      <c r="C80" s="19"/>
      <c r="D80" s="19"/>
      <c r="E80" s="19"/>
      <c r="F80" s="19"/>
      <c r="G80" s="19"/>
    </row>
    <row r="81" spans="1:2" x14ac:dyDescent="0.25">
      <c r="A81" s="11" t="s">
        <v>201</v>
      </c>
      <c r="B81" s="20" t="s">
        <v>202</v>
      </c>
    </row>
    <row r="82" spans="1:2" x14ac:dyDescent="0.25">
      <c r="A82" s="11" t="s">
        <v>203</v>
      </c>
      <c r="B82" s="20" t="s">
        <v>204</v>
      </c>
    </row>
    <row r="83" spans="1:2" x14ac:dyDescent="0.25">
      <c r="A83" s="11" t="s">
        <v>205</v>
      </c>
      <c r="B83" s="24">
        <v>1</v>
      </c>
    </row>
    <row r="84" spans="1:2" x14ac:dyDescent="0.25">
      <c r="A84" s="11" t="s">
        <v>206</v>
      </c>
      <c r="B84" s="20" t="s">
        <v>207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208</v>
      </c>
      <c r="B3" s="11" t="s">
        <v>209</v>
      </c>
    </row>
    <row r="4" spans="1:2" x14ac:dyDescent="0.25">
      <c r="A4" s="10" t="s">
        <v>33</v>
      </c>
      <c r="B4" s="11" t="s">
        <v>34</v>
      </c>
    </row>
    <row r="5" spans="1:2" x14ac:dyDescent="0.25">
      <c r="A5" s="10" t="s">
        <v>35</v>
      </c>
      <c r="B5" s="11" t="s">
        <v>36</v>
      </c>
    </row>
    <row r="6" spans="1:2" x14ac:dyDescent="0.25">
      <c r="A6" s="10" t="s">
        <v>210</v>
      </c>
      <c r="B6" s="11" t="s">
        <v>211</v>
      </c>
    </row>
    <row r="7" spans="1:2" x14ac:dyDescent="0.25">
      <c r="A7" s="10" t="s">
        <v>43</v>
      </c>
      <c r="B7" s="11" t="s">
        <v>44</v>
      </c>
    </row>
    <row r="8" spans="1:2" x14ac:dyDescent="0.25">
      <c r="A8" s="10" t="s">
        <v>212</v>
      </c>
      <c r="B8" s="11" t="s">
        <v>46</v>
      </c>
    </row>
    <row r="9" spans="1:2" x14ac:dyDescent="0.25">
      <c r="A9" s="10" t="s">
        <v>103</v>
      </c>
      <c r="B9" s="11" t="s">
        <v>213</v>
      </c>
    </row>
    <row r="10" spans="1:2" x14ac:dyDescent="0.25">
      <c r="A10" s="10" t="s">
        <v>214</v>
      </c>
      <c r="B10" s="11" t="s">
        <v>215</v>
      </c>
    </row>
    <row r="11" spans="1:2" x14ac:dyDescent="0.25">
      <c r="A11" s="10" t="s">
        <v>216</v>
      </c>
      <c r="B11" s="11" t="s">
        <v>217</v>
      </c>
    </row>
    <row r="12" spans="1:2" x14ac:dyDescent="0.25">
      <c r="A12" s="10" t="s">
        <v>192</v>
      </c>
      <c r="B12" s="11" t="s">
        <v>193</v>
      </c>
    </row>
    <row r="13" spans="1:2" x14ac:dyDescent="0.25">
      <c r="A13" s="10" t="s">
        <v>104</v>
      </c>
      <c r="B13" s="11" t="s">
        <v>218</v>
      </c>
    </row>
    <row r="14" spans="1:2" x14ac:dyDescent="0.25">
      <c r="A14" s="10" t="s">
        <v>219</v>
      </c>
      <c r="B14" s="11" t="s">
        <v>220</v>
      </c>
    </row>
    <row r="15" spans="1:2" x14ac:dyDescent="0.25">
      <c r="A15" s="10" t="s">
        <v>221</v>
      </c>
      <c r="B15" s="11" t="s">
        <v>222</v>
      </c>
    </row>
    <row r="16" spans="1:2" x14ac:dyDescent="0.25">
      <c r="A16" s="10" t="s">
        <v>223</v>
      </c>
      <c r="B16" s="11" t="s">
        <v>224</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225</v>
      </c>
      <c r="C3" s="21" t="s">
        <v>226</v>
      </c>
      <c r="D3" s="21" t="s">
        <v>106</v>
      </c>
      <c r="E3" s="21" t="s">
        <v>107</v>
      </c>
      <c r="F3" s="21" t="s">
        <v>108</v>
      </c>
      <c r="G3" s="21" t="s">
        <v>109</v>
      </c>
      <c r="H3" s="21" t="s">
        <v>110</v>
      </c>
    </row>
    <row r="5" ht="24" customHeight="1" spans="1:8" x14ac:dyDescent="0.25">
      <c r="A5" s="19" t="s">
        <v>227</v>
      </c>
      <c r="B5" s="19"/>
      <c r="C5" s="19"/>
      <c r="D5" s="19"/>
      <c r="E5" s="19"/>
      <c r="F5" s="19"/>
      <c r="G5" s="19"/>
      <c r="H5" s="19"/>
    </row>
    <row r="6" spans="1:8" x14ac:dyDescent="0.25">
      <c r="A6" s="10" t="s">
        <v>111</v>
      </c>
      <c r="B6" s="30">
        <v>85</v>
      </c>
      <c r="C6" s="30">
        <v>0</v>
      </c>
      <c r="D6" s="31">
        <v>100</v>
      </c>
      <c r="E6" s="31">
        <v>130</v>
      </c>
      <c r="F6" s="31">
        <v>160</v>
      </c>
      <c r="G6" s="31">
        <v>185</v>
      </c>
      <c r="H6" s="31">
        <v>200</v>
      </c>
    </row>
    <row r="7" spans="1:2" x14ac:dyDescent="0.25">
      <c r="A7" s="11" t="s">
        <v>104</v>
      </c>
      <c r="B7" s="22">
        <v>200</v>
      </c>
    </row>
    <row r="8" spans="1:8" x14ac:dyDescent="0.25">
      <c r="A8" s="11" t="s">
        <v>228</v>
      </c>
      <c r="D8" s="32">
        <f>D6/$B$7</f>
        <v>0.5</v>
      </c>
      <c r="E8" s="32">
        <f>E6/$B$7</f>
        <v>0.65</v>
      </c>
      <c r="F8" s="32">
        <f>F6/$B$7</f>
        <v>0.8</v>
      </c>
      <c r="G8" s="32">
        <f>G6/$B$7</f>
        <v>0.925</v>
      </c>
      <c r="H8" s="32">
        <f>H6/$B$7</f>
        <v>1</v>
      </c>
    </row>
    <row r="10" spans="1:8" x14ac:dyDescent="0.25">
      <c r="A10" s="11" t="s">
        <v>194</v>
      </c>
      <c r="D10" s="11" t="s">
        <v>229</v>
      </c>
      <c r="E10" s="26">
        <f>IF(D6=0,0,(E6-D6)/D6)</f>
        <v>0.3</v>
      </c>
      <c r="F10" s="26">
        <f>IF(E6=0,0,(F6-E6)/E6)</f>
        <v>0.23076923</v>
      </c>
      <c r="G10" s="26">
        <f>IF(F6=0,0,(G6-F6)/F6)</f>
        <v>0.15625</v>
      </c>
      <c r="H10" s="26">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6" width="16" customWidth="1"/>
  </cols>
  <sheetData>
    <row r="1" spans="1:6" x14ac:dyDescent="0.25">
      <c r="A1" s="15" t="s">
        <v>230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231</v>
      </c>
      <c r="B4" s="19"/>
      <c r="C4" s="19"/>
      <c r="D4" s="19"/>
      <c r="E4" s="19"/>
      <c r="F4" s="19"/>
    </row>
    <row r="5" spans="1:6" x14ac:dyDescent="0.25">
      <c r="A5" s="11" t="s">
        <v>119</v>
      </c>
      <c r="B5" s="25">
        <v>1050000</v>
      </c>
      <c r="C5" s="25">
        <v>1405950</v>
      </c>
      <c r="D5" s="25">
        <v>1782312</v>
      </c>
      <c r="E5" s="25">
        <v>2122622</v>
      </c>
      <c r="F5" s="25">
        <v>2363569</v>
      </c>
    </row>
    <row r="6" spans="1:6" x14ac:dyDescent="0.25">
      <c r="A6" s="11" t="s">
        <v>123</v>
      </c>
      <c r="B6" s="25">
        <v>35000</v>
      </c>
      <c r="C6" s="25">
        <v>46865</v>
      </c>
      <c r="D6" s="25">
        <v>59410</v>
      </c>
      <c r="E6" s="25">
        <v>70754</v>
      </c>
      <c r="F6" s="25">
        <v>78786</v>
      </c>
    </row>
    <row r="7" spans="1:6" x14ac:dyDescent="0.25">
      <c r="A7" s="10" t="s">
        <v>232</v>
      </c>
      <c r="B7" s="33">
        <f>SUM(B5,B6)</f>
        <v>1085000</v>
      </c>
      <c r="C7" s="33">
        <f>SUM(C5,C6)</f>
        <v>1452815</v>
      </c>
      <c r="D7" s="33">
        <f>SUM(D5,D6)</f>
        <v>1841722</v>
      </c>
      <c r="E7" s="33">
        <f>SUM(E5,E6)</f>
        <v>2193376</v>
      </c>
      <c r="F7" s="33">
        <f>SUM(F5,F6)</f>
        <v>2442354</v>
      </c>
    </row>
    <row r="8" ht="24" customHeight="1" spans="1:6" x14ac:dyDescent="0.25">
      <c r="A8" s="19" t="s">
        <v>233</v>
      </c>
      <c r="B8" s="19"/>
      <c r="C8" s="19"/>
      <c r="D8" s="19"/>
      <c r="E8" s="19"/>
      <c r="F8" s="19"/>
    </row>
    <row r="9" spans="1:6" x14ac:dyDescent="0.25">
      <c r="A9" s="11" t="s">
        <v>124</v>
      </c>
      <c r="B9" s="25">
        <v>105000</v>
      </c>
      <c r="C9" s="25">
        <v>140595</v>
      </c>
      <c r="D9" s="25">
        <v>178231</v>
      </c>
      <c r="E9" s="25">
        <v>212262</v>
      </c>
      <c r="F9" s="25">
        <v>236357</v>
      </c>
    </row>
    <row r="10" spans="1:6" x14ac:dyDescent="0.25">
      <c r="A10" s="10" t="s">
        <v>234</v>
      </c>
      <c r="B10" s="33">
        <f>SUM(B9)</f>
        <v>105000</v>
      </c>
      <c r="C10" s="33">
        <f>SUM(C9)</f>
        <v>140595</v>
      </c>
      <c r="D10" s="33">
        <f>SUM(D9)</f>
        <v>178231</v>
      </c>
      <c r="E10" s="33">
        <f>SUM(E9)</f>
        <v>212262</v>
      </c>
      <c r="F10" s="33">
        <f>SUM(F9)</f>
        <v>236357</v>
      </c>
    </row>
    <row r="11" ht="24" customHeight="1" spans="1:6" x14ac:dyDescent="0.25">
      <c r="A11" s="19" t="s">
        <v>235</v>
      </c>
      <c r="B11" s="19"/>
      <c r="C11" s="19"/>
      <c r="D11" s="19"/>
      <c r="E11" s="19"/>
      <c r="F11" s="19"/>
    </row>
    <row r="12" spans="1:6" x14ac:dyDescent="0.25">
      <c r="A12" s="11" t="s">
        <v>126</v>
      </c>
      <c r="B12" s="25">
        <v>870000</v>
      </c>
      <c r="C12" s="25">
        <v>1164930</v>
      </c>
      <c r="D12" s="25">
        <v>1476773</v>
      </c>
      <c r="E12" s="25">
        <v>1758744</v>
      </c>
      <c r="F12" s="25">
        <v>1958385</v>
      </c>
    </row>
    <row r="13" spans="1:6" x14ac:dyDescent="0.25">
      <c r="A13" s="10" t="s">
        <v>236</v>
      </c>
      <c r="B13" s="33">
        <f>SUM(B12)</f>
        <v>870000</v>
      </c>
      <c r="C13" s="33">
        <f>SUM(C12)</f>
        <v>1164930</v>
      </c>
      <c r="D13" s="33">
        <f>SUM(D12)</f>
        <v>1476773</v>
      </c>
      <c r="E13" s="33">
        <f>SUM(E12)</f>
        <v>1758744</v>
      </c>
      <c r="F13" s="33">
        <f>SUM(F12)</f>
        <v>1958385</v>
      </c>
    </row>
    <row r="14" ht="24" customHeight="1" spans="1:6" x14ac:dyDescent="0.25">
      <c r="A14" s="19" t="s">
        <v>237</v>
      </c>
      <c r="B14" s="19"/>
      <c r="C14" s="19"/>
      <c r="D14" s="19"/>
      <c r="E14" s="19"/>
      <c r="F14" s="19"/>
    </row>
    <row r="15" spans="1:6" x14ac:dyDescent="0.25">
      <c r="A15" s="11" t="s">
        <v>128</v>
      </c>
      <c r="B15" s="23">
        <v>50000</v>
      </c>
      <c r="C15" s="25">
        <v>51500</v>
      </c>
      <c r="D15" s="25">
        <v>53045</v>
      </c>
      <c r="E15" s="25">
        <v>54636</v>
      </c>
      <c r="F15" s="25">
        <v>56275</v>
      </c>
    </row>
    <row r="16" spans="1:6" x14ac:dyDescent="0.25">
      <c r="A16" s="11" t="s">
        <v>131</v>
      </c>
      <c r="B16" s="23">
        <v>25000</v>
      </c>
      <c r="C16" s="25">
        <v>25750</v>
      </c>
      <c r="D16" s="25">
        <v>26523</v>
      </c>
      <c r="E16" s="25">
        <v>27318</v>
      </c>
      <c r="F16" s="25">
        <v>28138</v>
      </c>
    </row>
    <row r="17" spans="1:6" x14ac:dyDescent="0.25">
      <c r="A17" s="10" t="s">
        <v>238</v>
      </c>
      <c r="B17" s="33">
        <f>SUM(B15,B16)</f>
        <v>75000</v>
      </c>
      <c r="C17" s="33">
        <f>SUM(C15,C16)</f>
        <v>77250</v>
      </c>
      <c r="D17" s="33">
        <f>SUM(D15,D16)</f>
        <v>79568</v>
      </c>
      <c r="E17" s="33">
        <f>SUM(E15,E16)</f>
        <v>81955</v>
      </c>
      <c r="F17" s="33">
        <f>SUM(F15,F16)</f>
        <v>84413</v>
      </c>
    </row>
    <row r="18" ht="24" customHeight="1" spans="1:6" x14ac:dyDescent="0.25">
      <c r="A18" s="19" t="s">
        <v>239</v>
      </c>
      <c r="B18" s="19"/>
      <c r="C18" s="19"/>
      <c r="D18" s="19"/>
      <c r="E18" s="19"/>
      <c r="F18" s="19"/>
    </row>
    <row r="19" spans="1:6" x14ac:dyDescent="0.25">
      <c r="A19" s="11" t="s">
        <v>132</v>
      </c>
      <c r="B19" s="25">
        <v>50000</v>
      </c>
      <c r="C19" s="25">
        <v>66950</v>
      </c>
      <c r="D19" s="25">
        <v>84872</v>
      </c>
      <c r="E19" s="25">
        <v>101077</v>
      </c>
      <c r="F19" s="25">
        <v>112551</v>
      </c>
    </row>
    <row r="20" spans="1:6" x14ac:dyDescent="0.25">
      <c r="A20" s="10" t="s">
        <v>240</v>
      </c>
      <c r="B20" s="33">
        <f>SUM(B19)</f>
        <v>50000</v>
      </c>
      <c r="C20" s="33">
        <f>SUM(C19)</f>
        <v>66950</v>
      </c>
      <c r="D20" s="33">
        <f>SUM(D19)</f>
        <v>84872</v>
      </c>
      <c r="E20" s="33">
        <f>SUM(E19)</f>
        <v>101077</v>
      </c>
      <c r="F20" s="33">
        <f>SUM(F19)</f>
        <v>112551</v>
      </c>
    </row>
    <row r="22" ht="24" customHeight="1" spans="1:6" x14ac:dyDescent="0.25">
      <c r="A22" s="19" t="s">
        <v>241</v>
      </c>
      <c r="B22" s="34">
        <f>SUM(B7,B10,B13,B17,B20)</f>
        <v>1975000</v>
      </c>
      <c r="C22" s="34">
        <f>SUM(C7,C10,C13,C17,C20)</f>
        <v>2621350</v>
      </c>
      <c r="D22" s="34">
        <f>SUM(D7,D10,D13,D17,D20)</f>
        <v>3304704</v>
      </c>
      <c r="E22" s="34">
        <f>SUM(E7,E10,E13,E17,E20)</f>
        <v>3922890</v>
      </c>
      <c r="F22" s="34">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146</v>
      </c>
      <c r="B3" s="21" t="s">
        <v>114</v>
      </c>
      <c r="C3" s="21" t="s">
        <v>148</v>
      </c>
      <c r="D3" s="21" t="s">
        <v>242</v>
      </c>
      <c r="E3" s="21" t="s">
        <v>150</v>
      </c>
      <c r="F3" s="21" t="s">
        <v>151</v>
      </c>
      <c r="G3" s="21" t="s">
        <v>243</v>
      </c>
      <c r="H3" s="21" t="s">
        <v>244</v>
      </c>
    </row>
    <row r="4" spans="1:8" x14ac:dyDescent="0.25">
      <c r="A4" s="11" t="s">
        <v>152</v>
      </c>
      <c r="B4" s="11" t="s">
        <v>153</v>
      </c>
      <c r="C4" s="28">
        <v>1</v>
      </c>
      <c r="D4" s="23">
        <v>95000</v>
      </c>
      <c r="E4" s="24">
        <v>0.25</v>
      </c>
      <c r="F4" s="24">
        <v>0.0765</v>
      </c>
      <c r="G4" s="35">
        <v>126018</v>
      </c>
      <c r="H4" s="11" t="s">
        <v>122</v>
      </c>
    </row>
    <row r="5" spans="1:8" x14ac:dyDescent="0.25">
      <c r="A5" s="11" t="s">
        <v>155</v>
      </c>
      <c r="B5" s="11" t="s">
        <v>153</v>
      </c>
      <c r="C5" s="28">
        <v>1</v>
      </c>
      <c r="D5" s="23">
        <v>75000</v>
      </c>
      <c r="E5" s="24">
        <v>0.25</v>
      </c>
      <c r="F5" s="24">
        <v>0.0765</v>
      </c>
      <c r="G5" s="35">
        <v>99488</v>
      </c>
      <c r="H5" s="11" t="s">
        <v>122</v>
      </c>
    </row>
    <row r="6" spans="1:8" x14ac:dyDescent="0.25">
      <c r="A6" s="11" t="s">
        <v>156</v>
      </c>
      <c r="B6" s="11" t="s">
        <v>157</v>
      </c>
      <c r="C6" s="28">
        <v>6</v>
      </c>
      <c r="D6" s="23">
        <v>48000</v>
      </c>
      <c r="E6" s="24">
        <v>0.25</v>
      </c>
      <c r="F6" s="24">
        <v>0.0765</v>
      </c>
      <c r="G6" s="35">
        <v>382032</v>
      </c>
      <c r="H6" s="11" t="s">
        <v>122</v>
      </c>
    </row>
    <row r="7" spans="1:8" x14ac:dyDescent="0.25">
      <c r="A7" s="11" t="s">
        <v>158</v>
      </c>
      <c r="B7" s="11" t="s">
        <v>157</v>
      </c>
      <c r="C7" s="28">
        <v>3</v>
      </c>
      <c r="D7" s="23">
        <v>32000</v>
      </c>
      <c r="E7" s="24">
        <v>0.2</v>
      </c>
      <c r="F7" s="24">
        <v>0.0765</v>
      </c>
      <c r="G7" s="35">
        <v>122544</v>
      </c>
      <c r="H7" s="11" t="s">
        <v>122</v>
      </c>
    </row>
    <row r="8" spans="1:8" x14ac:dyDescent="0.25">
      <c r="A8" s="11" t="s">
        <v>159</v>
      </c>
      <c r="B8" s="11" t="s">
        <v>160</v>
      </c>
      <c r="C8" s="28">
        <v>1</v>
      </c>
      <c r="D8" s="23">
        <v>42000</v>
      </c>
      <c r="E8" s="24">
        <v>0.25</v>
      </c>
      <c r="F8" s="24">
        <v>0.0765</v>
      </c>
      <c r="G8" s="35">
        <v>55713</v>
      </c>
      <c r="H8" s="11" t="s">
        <v>122</v>
      </c>
    </row>
    <row r="9" spans="1:8" x14ac:dyDescent="0.25">
      <c r="A9" s="11" t="s">
        <v>161</v>
      </c>
      <c r="B9" s="11" t="s">
        <v>162</v>
      </c>
      <c r="C9" s="28">
        <v>1</v>
      </c>
      <c r="D9" s="23">
        <v>52000</v>
      </c>
      <c r="E9" s="24">
        <v>0.25</v>
      </c>
      <c r="F9" s="24">
        <v>0.0765</v>
      </c>
      <c r="G9" s="35">
        <v>68978</v>
      </c>
      <c r="H9" s="11" t="s">
        <v>122</v>
      </c>
    </row>
    <row r="11" ht="24" customHeight="1" spans="1:6" x14ac:dyDescent="0.25">
      <c r="A11" s="19" t="s">
        <v>245</v>
      </c>
      <c r="B11" s="19"/>
      <c r="C11" s="19"/>
      <c r="D11" s="19"/>
      <c r="E11" s="19"/>
      <c r="F11" s="19"/>
    </row>
    <row r="12" ht="28" customHeight="1" spans="1:6" x14ac:dyDescent="0.25">
      <c r="A12" s="21" t="s">
        <v>7</v>
      </c>
      <c r="B12" s="21" t="s">
        <v>106</v>
      </c>
      <c r="C12" s="21" t="s">
        <v>107</v>
      </c>
      <c r="D12" s="21" t="s">
        <v>108</v>
      </c>
      <c r="E12" s="21" t="s">
        <v>109</v>
      </c>
      <c r="F12" s="21" t="s">
        <v>110</v>
      </c>
    </row>
    <row r="13" spans="1:6" x14ac:dyDescent="0.25">
      <c r="A13" s="10" t="s">
        <v>246</v>
      </c>
      <c r="B13" s="34">
        <v>854772</v>
      </c>
      <c r="C13" s="34">
        <v>880415</v>
      </c>
      <c r="D13" s="34">
        <v>906828</v>
      </c>
      <c r="E13" s="34">
        <v>934032</v>
      </c>
      <c r="F13" s="34">
        <v>962053</v>
      </c>
    </row>
    <row r="14" spans="1:6" x14ac:dyDescent="0.25">
      <c r="A14" s="11" t="s">
        <v>247</v>
      </c>
      <c r="B14" s="26">
        <v>0.4327959493670886</v>
      </c>
      <c r="C14" s="26">
        <v>0.3358632612966601</v>
      </c>
      <c r="D14" s="26">
        <v>0.2744051364365971</v>
      </c>
      <c r="E14" s="26">
        <v>0.23809805013927576</v>
      </c>
      <c r="F14" s="26">
        <v>0.22058632258064514</v>
      </c>
    </row>
    <row r="15" spans="1:6" x14ac:dyDescent="0.25">
      <c r="A15" s="11" t="s">
        <v>248</v>
      </c>
      <c r="B15" s="36">
        <v>7.7</v>
      </c>
      <c r="C15" s="36">
        <v>10</v>
      </c>
      <c r="D15" s="36">
        <v>12.3</v>
      </c>
      <c r="E15" s="36">
        <v>14.2</v>
      </c>
      <c r="F15" s="36">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171</v>
      </c>
      <c r="B4" s="19"/>
      <c r="C4" s="19"/>
      <c r="D4" s="19"/>
      <c r="E4" s="19"/>
      <c r="F4" s="19"/>
    </row>
    <row r="5" spans="1:6" x14ac:dyDescent="0.25">
      <c r="A5" s="11" t="s">
        <v>250</v>
      </c>
      <c r="B5" s="25">
        <v>60000</v>
      </c>
      <c r="C5" s="25">
        <v>80340</v>
      </c>
      <c r="D5" s="25">
        <v>101846</v>
      </c>
      <c r="E5" s="25">
        <v>121293</v>
      </c>
      <c r="F5" s="25">
        <v>135061</v>
      </c>
    </row>
    <row r="6" spans="1:6" x14ac:dyDescent="0.25">
      <c r="A6" s="10" t="s">
        <v>251</v>
      </c>
      <c r="B6" s="33">
        <f>SUM(B5:B5)</f>
        <v>60000</v>
      </c>
      <c r="C6" s="33">
        <f>SUM(C5:C5)</f>
        <v>80340</v>
      </c>
      <c r="D6" s="33">
        <f>SUM(D5:D5)</f>
        <v>101846</v>
      </c>
      <c r="E6" s="33">
        <f>SUM(E5:E5)</f>
        <v>121293</v>
      </c>
      <c r="F6" s="33">
        <f>SUM(F5:F5)</f>
        <v>135061</v>
      </c>
    </row>
    <row r="7" ht="24" customHeight="1" spans="1:6" x14ac:dyDescent="0.25">
      <c r="A7" s="19" t="s">
        <v>172</v>
      </c>
      <c r="B7" s="19"/>
      <c r="C7" s="19"/>
      <c r="D7" s="19"/>
      <c r="E7" s="19"/>
      <c r="F7" s="19"/>
    </row>
    <row r="8" spans="1:6" x14ac:dyDescent="0.25">
      <c r="A8" s="11" t="s">
        <v>252</v>
      </c>
      <c r="B8" s="25">
        <v>40000</v>
      </c>
      <c r="C8" s="25">
        <v>53560</v>
      </c>
      <c r="D8" s="25">
        <v>67898</v>
      </c>
      <c r="E8" s="25">
        <v>80862</v>
      </c>
      <c r="F8" s="25">
        <v>90041</v>
      </c>
    </row>
    <row r="9" spans="1:6" x14ac:dyDescent="0.25">
      <c r="A9" s="10" t="s">
        <v>253</v>
      </c>
      <c r="B9" s="33">
        <f>SUM(B8:B8)</f>
        <v>40000</v>
      </c>
      <c r="C9" s="33">
        <f>SUM(C8:C8)</f>
        <v>53560</v>
      </c>
      <c r="D9" s="33">
        <f>SUM(D8:D8)</f>
        <v>67898</v>
      </c>
      <c r="E9" s="33">
        <f>SUM(E8:E8)</f>
        <v>80862</v>
      </c>
      <c r="F9" s="33">
        <f>SUM(F8:F8)</f>
        <v>90041</v>
      </c>
    </row>
    <row r="10" ht="24" customHeight="1" spans="1:6" x14ac:dyDescent="0.25">
      <c r="A10" s="19" t="s">
        <v>165</v>
      </c>
      <c r="B10" s="19"/>
      <c r="C10" s="19"/>
      <c r="D10" s="19"/>
      <c r="E10" s="19"/>
      <c r="F10" s="19"/>
    </row>
    <row r="11" spans="1:6" x14ac:dyDescent="0.25">
      <c r="A11" s="11" t="s">
        <v>254</v>
      </c>
      <c r="B11" s="25">
        <v>102000</v>
      </c>
      <c r="C11" s="25">
        <v>105060</v>
      </c>
      <c r="D11" s="25">
        <v>108212</v>
      </c>
      <c r="E11" s="25">
        <v>111458</v>
      </c>
      <c r="F11" s="25">
        <v>114802</v>
      </c>
    </row>
    <row r="12" spans="1:6" x14ac:dyDescent="0.25">
      <c r="A12" s="11" t="s">
        <v>255</v>
      </c>
      <c r="B12" s="25">
        <v>14400</v>
      </c>
      <c r="C12" s="25">
        <v>14832</v>
      </c>
      <c r="D12" s="25">
        <v>15277</v>
      </c>
      <c r="E12" s="25">
        <v>15735</v>
      </c>
      <c r="F12" s="25">
        <v>16207</v>
      </c>
    </row>
    <row r="13" spans="1:6" x14ac:dyDescent="0.25">
      <c r="A13" s="11" t="s">
        <v>256</v>
      </c>
      <c r="B13" s="25">
        <v>12000</v>
      </c>
      <c r="C13" s="25">
        <v>12360</v>
      </c>
      <c r="D13" s="25">
        <v>12731</v>
      </c>
      <c r="E13" s="25">
        <v>13113</v>
      </c>
      <c r="F13" s="25">
        <v>13506</v>
      </c>
    </row>
    <row r="14" spans="1:6" x14ac:dyDescent="0.25">
      <c r="A14" s="11" t="s">
        <v>257</v>
      </c>
      <c r="B14" s="25">
        <v>8000</v>
      </c>
      <c r="C14" s="25">
        <v>8240</v>
      </c>
      <c r="D14" s="25">
        <v>8487</v>
      </c>
      <c r="E14" s="25">
        <v>8742</v>
      </c>
      <c r="F14" s="25">
        <v>9004</v>
      </c>
    </row>
    <row r="15" spans="1:6" x14ac:dyDescent="0.25">
      <c r="A15" s="10" t="s">
        <v>258</v>
      </c>
      <c r="B15" s="33">
        <f>SUM(B11:B14)</f>
        <v>136400</v>
      </c>
      <c r="C15" s="33">
        <f>SUM(C11:C14)</f>
        <v>140492</v>
      </c>
      <c r="D15" s="33">
        <f>SUM(D11:D14)</f>
        <v>144707</v>
      </c>
      <c r="E15" s="33">
        <f>SUM(E11:E14)</f>
        <v>149048</v>
      </c>
      <c r="F15" s="33">
        <f>SUM(F11:F14)</f>
        <v>153519</v>
      </c>
    </row>
    <row r="16" ht="24" customHeight="1" spans="1:6" x14ac:dyDescent="0.25">
      <c r="A16" s="19" t="s">
        <v>174</v>
      </c>
      <c r="B16" s="19"/>
      <c r="C16" s="19"/>
      <c r="D16" s="19"/>
      <c r="E16" s="19"/>
      <c r="F16" s="19"/>
    </row>
    <row r="17" spans="1:6" x14ac:dyDescent="0.25">
      <c r="A17" s="11" t="s">
        <v>259</v>
      </c>
      <c r="B17" s="25">
        <v>15000</v>
      </c>
      <c r="C17" s="25">
        <v>15450</v>
      </c>
      <c r="D17" s="25">
        <v>15914</v>
      </c>
      <c r="E17" s="25">
        <v>16391</v>
      </c>
      <c r="F17" s="25">
        <v>16883</v>
      </c>
    </row>
    <row r="18" spans="1:6" x14ac:dyDescent="0.25">
      <c r="A18" s="11" t="s">
        <v>260</v>
      </c>
      <c r="B18" s="25">
        <v>8000</v>
      </c>
      <c r="C18" s="25">
        <v>8240</v>
      </c>
      <c r="D18" s="25">
        <v>8487</v>
      </c>
      <c r="E18" s="25">
        <v>8742</v>
      </c>
      <c r="F18" s="25">
        <v>9004</v>
      </c>
    </row>
    <row r="19" spans="1:6" x14ac:dyDescent="0.25">
      <c r="A19" s="11" t="s">
        <v>261</v>
      </c>
      <c r="B19" s="25">
        <v>12000</v>
      </c>
      <c r="C19" s="25">
        <v>12360</v>
      </c>
      <c r="D19" s="25">
        <v>12731</v>
      </c>
      <c r="E19" s="25">
        <v>13113</v>
      </c>
      <c r="F19" s="25">
        <v>13506</v>
      </c>
    </row>
    <row r="20" spans="1:6" x14ac:dyDescent="0.25">
      <c r="A20" s="10" t="s">
        <v>262</v>
      </c>
      <c r="B20" s="33">
        <f>SUM(B17:B19)</f>
        <v>35000</v>
      </c>
      <c r="C20" s="33">
        <f>SUM(C17:C19)</f>
        <v>36050</v>
      </c>
      <c r="D20" s="33">
        <f>SUM(D17:D19)</f>
        <v>37132</v>
      </c>
      <c r="E20" s="33">
        <f>SUM(E17:E19)</f>
        <v>38245</v>
      </c>
      <c r="F20" s="33">
        <f>SUM(F17:F19)</f>
        <v>39393</v>
      </c>
    </row>
    <row r="22" ht="24" customHeight="1" spans="1:6" x14ac:dyDescent="0.25">
      <c r="A22" s="19" t="s">
        <v>263</v>
      </c>
      <c r="B22" s="34">
        <f>B6+B9+B15+B20</f>
        <v>271400</v>
      </c>
      <c r="C22" s="34">
        <f>C6+C9+C15+C20</f>
        <v>310442</v>
      </c>
      <c r="D22" s="34">
        <f>D6+D9+D15+D20</f>
        <v>351582</v>
      </c>
      <c r="E22" s="34">
        <f>E6+E9+E15+E20</f>
        <v>389448</v>
      </c>
      <c r="F22" s="34">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178</v>
      </c>
      <c r="B3" s="21" t="s">
        <v>147</v>
      </c>
      <c r="C3" s="21" t="s">
        <v>179</v>
      </c>
      <c r="D3" s="21" t="s">
        <v>149</v>
      </c>
      <c r="E3" s="21" t="s">
        <v>180</v>
      </c>
      <c r="F3" s="21" t="s">
        <v>265</v>
      </c>
    </row>
    <row r="4" spans="1:6" x14ac:dyDescent="0.25">
      <c r="A4" s="11" t="s">
        <v>181</v>
      </c>
      <c r="B4" s="11" t="s">
        <v>182</v>
      </c>
      <c r="C4" s="23">
        <v>250000</v>
      </c>
      <c r="D4" s="24">
        <v>0.065</v>
      </c>
      <c r="E4" s="22">
        <v>10</v>
      </c>
      <c r="F4" s="35">
        <v>34064</v>
      </c>
    </row>
    <row r="5" spans="1:6" x14ac:dyDescent="0.25">
      <c r="A5" s="11" t="s">
        <v>183</v>
      </c>
      <c r="B5" s="11" t="s">
        <v>266</v>
      </c>
      <c r="C5" s="23">
        <v>25000</v>
      </c>
      <c r="D5" s="26">
        <v>0</v>
      </c>
      <c r="E5" s="37">
        <v>0</v>
      </c>
      <c r="F5" s="35">
        <v>25000</v>
      </c>
    </row>
    <row r="7" spans="1:6" x14ac:dyDescent="0.25">
      <c r="A7" s="10" t="s">
        <v>267</v>
      </c>
      <c r="F7" s="34">
        <v>34064</v>
      </c>
    </row>
    <row r="8" spans="1:6" x14ac:dyDescent="0.25">
      <c r="A8" s="10" t="s">
        <v>268</v>
      </c>
      <c r="F8" s="33">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0">
        <v>100</v>
      </c>
      <c r="C4" s="30">
        <v>130</v>
      </c>
      <c r="D4" s="30">
        <v>160</v>
      </c>
      <c r="E4" s="30">
        <v>185</v>
      </c>
      <c r="F4" s="30">
        <v>200</v>
      </c>
    </row>
    <row r="6" ht="24" customHeight="1" spans="1:6" x14ac:dyDescent="0.25">
      <c r="A6" s="19" t="s">
        <v>270</v>
      </c>
      <c r="B6" s="19"/>
      <c r="C6" s="19"/>
      <c r="D6" s="19"/>
      <c r="E6" s="19"/>
      <c r="F6" s="19"/>
    </row>
    <row r="7" spans="1:6" x14ac:dyDescent="0.25">
      <c r="A7" s="11" t="s">
        <v>119</v>
      </c>
      <c r="B7" s="25">
        <v>1050000</v>
      </c>
      <c r="C7" s="25">
        <v>1405950</v>
      </c>
      <c r="D7" s="25">
        <v>1782312</v>
      </c>
      <c r="E7" s="25">
        <v>2122622</v>
      </c>
      <c r="F7" s="25">
        <v>2363569</v>
      </c>
    </row>
    <row r="8" spans="1:6" x14ac:dyDescent="0.25">
      <c r="A8" s="11" t="s">
        <v>123</v>
      </c>
      <c r="B8" s="25">
        <v>35000</v>
      </c>
      <c r="C8" s="25">
        <v>46865</v>
      </c>
      <c r="D8" s="25">
        <v>59410</v>
      </c>
      <c r="E8" s="25">
        <v>70754</v>
      </c>
      <c r="F8" s="25">
        <v>78786</v>
      </c>
    </row>
    <row r="9" spans="1:6" x14ac:dyDescent="0.25">
      <c r="A9" s="11" t="s">
        <v>124</v>
      </c>
      <c r="B9" s="25">
        <v>105000</v>
      </c>
      <c r="C9" s="25">
        <v>140595</v>
      </c>
      <c r="D9" s="25">
        <v>178231</v>
      </c>
      <c r="E9" s="25">
        <v>212262</v>
      </c>
      <c r="F9" s="25">
        <v>236357</v>
      </c>
    </row>
    <row r="10" spans="1:6" x14ac:dyDescent="0.25">
      <c r="A10" s="11" t="s">
        <v>126</v>
      </c>
      <c r="B10" s="25">
        <v>870000</v>
      </c>
      <c r="C10" s="25">
        <v>1164930</v>
      </c>
      <c r="D10" s="25">
        <v>1476773</v>
      </c>
      <c r="E10" s="25">
        <v>1758744</v>
      </c>
      <c r="F10" s="25">
        <v>1958385</v>
      </c>
    </row>
    <row r="11" spans="1:6" x14ac:dyDescent="0.25">
      <c r="A11" s="11" t="s">
        <v>128</v>
      </c>
      <c r="B11" s="25">
        <v>50000</v>
      </c>
      <c r="C11" s="25">
        <v>51500</v>
      </c>
      <c r="D11" s="25">
        <v>53045</v>
      </c>
      <c r="E11" s="25">
        <v>54636</v>
      </c>
      <c r="F11" s="25">
        <v>56275</v>
      </c>
    </row>
    <row r="12" spans="1:6" x14ac:dyDescent="0.25">
      <c r="A12" s="11" t="s">
        <v>131</v>
      </c>
      <c r="B12" s="25">
        <v>25000</v>
      </c>
      <c r="C12" s="25">
        <v>25750</v>
      </c>
      <c r="D12" s="25">
        <v>26523</v>
      </c>
      <c r="E12" s="25">
        <v>27318</v>
      </c>
      <c r="F12" s="25">
        <v>28138</v>
      </c>
    </row>
    <row r="13" spans="1:6" x14ac:dyDescent="0.25">
      <c r="A13" s="11" t="s">
        <v>132</v>
      </c>
      <c r="B13" s="25">
        <v>50000</v>
      </c>
      <c r="C13" s="25">
        <v>66950</v>
      </c>
      <c r="D13" s="25">
        <v>84872</v>
      </c>
      <c r="E13" s="25">
        <v>101077</v>
      </c>
      <c r="F13" s="25">
        <v>112551</v>
      </c>
    </row>
    <row r="14" ht="24" customHeight="1" spans="1:6" x14ac:dyDescent="0.25">
      <c r="A14" s="19" t="s">
        <v>271</v>
      </c>
      <c r="B14" s="34">
        <f>SUM(B7:B13)</f>
        <v>1975000</v>
      </c>
      <c r="C14" s="34">
        <f>SUM(C7:C13)</f>
        <v>2621350</v>
      </c>
      <c r="D14" s="34">
        <f>SUM(D7:D13)</f>
        <v>3304704</v>
      </c>
      <c r="E14" s="34">
        <f>SUM(E7:E13)</f>
        <v>3922890</v>
      </c>
      <c r="F14" s="34">
        <f>SUM(F7:F13)</f>
        <v>4361347</v>
      </c>
    </row>
    <row r="16" spans="1:6" x14ac:dyDescent="0.25">
      <c r="A16" s="11" t="s">
        <v>272</v>
      </c>
      <c r="B16" s="25">
        <v>19750</v>
      </c>
      <c r="C16" s="25">
        <v>20164</v>
      </c>
      <c r="D16" s="25">
        <v>20654</v>
      </c>
      <c r="E16" s="25">
        <v>21205</v>
      </c>
      <c r="F16" s="25">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157</v>
      </c>
      <c r="B4" s="19"/>
      <c r="C4" s="19"/>
      <c r="D4" s="19"/>
      <c r="E4" s="19"/>
      <c r="F4" s="19"/>
    </row>
    <row r="5" spans="1:6" x14ac:dyDescent="0.25">
      <c r="A5" s="11" t="s">
        <v>274</v>
      </c>
      <c r="B5" s="25">
        <v>382032</v>
      </c>
      <c r="C5" s="25">
        <v>393493</v>
      </c>
      <c r="D5" s="25">
        <v>405298</v>
      </c>
      <c r="E5" s="25">
        <v>417457</v>
      </c>
      <c r="F5" s="25">
        <v>429980</v>
      </c>
    </row>
    <row r="6" spans="1:6" x14ac:dyDescent="0.25">
      <c r="A6" s="11" t="s">
        <v>275</v>
      </c>
      <c r="B6" s="25">
        <v>122544</v>
      </c>
      <c r="C6" s="25">
        <v>126220</v>
      </c>
      <c r="D6" s="25">
        <v>130007</v>
      </c>
      <c r="E6" s="25">
        <v>133907</v>
      </c>
      <c r="F6" s="25">
        <v>137924</v>
      </c>
    </row>
    <row r="7" spans="1:6" x14ac:dyDescent="0.25">
      <c r="A7" s="10" t="s">
        <v>276</v>
      </c>
      <c r="B7" s="33">
        <f>SUM(B5:B6)</f>
        <v>504576</v>
      </c>
      <c r="C7" s="33">
        <f>SUM(C5:C6)</f>
        <v>519713</v>
      </c>
      <c r="D7" s="33">
        <f>SUM(D5:D6)</f>
        <v>535305</v>
      </c>
      <c r="E7" s="33">
        <f>SUM(E5:E6)</f>
        <v>551364</v>
      </c>
      <c r="F7" s="33">
        <f>SUM(F5:F6)</f>
        <v>567905</v>
      </c>
    </row>
    <row r="8" ht="24" customHeight="1" spans="1:6" x14ac:dyDescent="0.25">
      <c r="A8" s="19" t="s">
        <v>153</v>
      </c>
      <c r="B8" s="19"/>
      <c r="C8" s="19"/>
      <c r="D8" s="19"/>
      <c r="E8" s="19"/>
      <c r="F8" s="19"/>
    </row>
    <row r="9" spans="1:6" x14ac:dyDescent="0.25">
      <c r="A9" s="11" t="s">
        <v>277</v>
      </c>
      <c r="B9" s="25">
        <v>126018</v>
      </c>
      <c r="C9" s="25">
        <v>129798</v>
      </c>
      <c r="D9" s="25">
        <v>133692</v>
      </c>
      <c r="E9" s="25">
        <v>137703</v>
      </c>
      <c r="F9" s="25">
        <v>141834</v>
      </c>
    </row>
    <row r="10" spans="1:6" x14ac:dyDescent="0.25">
      <c r="A10" s="11" t="s">
        <v>278</v>
      </c>
      <c r="B10" s="25">
        <v>99488</v>
      </c>
      <c r="C10" s="25">
        <v>102472</v>
      </c>
      <c r="D10" s="25">
        <v>105546</v>
      </c>
      <c r="E10" s="25">
        <v>108713</v>
      </c>
      <c r="F10" s="25">
        <v>111974</v>
      </c>
    </row>
    <row r="11" spans="1:6" x14ac:dyDescent="0.25">
      <c r="A11" s="10" t="s">
        <v>279</v>
      </c>
      <c r="B11" s="33">
        <f>SUM(B9:B10)</f>
        <v>225505</v>
      </c>
      <c r="C11" s="33">
        <f>SUM(C9:C10)</f>
        <v>232270</v>
      </c>
      <c r="D11" s="33">
        <f>SUM(D9:D10)</f>
        <v>239238</v>
      </c>
      <c r="E11" s="33">
        <f>SUM(E9:E10)</f>
        <v>246415</v>
      </c>
      <c r="F11" s="33">
        <f>SUM(F9:F10)</f>
        <v>253808</v>
      </c>
    </row>
    <row r="12" ht="24" customHeight="1" spans="1:6" x14ac:dyDescent="0.25">
      <c r="A12" s="19" t="s">
        <v>162</v>
      </c>
      <c r="B12" s="19"/>
      <c r="C12" s="19"/>
      <c r="D12" s="19"/>
      <c r="E12" s="19"/>
      <c r="F12" s="19"/>
    </row>
    <row r="13" spans="1:6" x14ac:dyDescent="0.25">
      <c r="A13" s="11" t="s">
        <v>280</v>
      </c>
      <c r="B13" s="25">
        <v>68978</v>
      </c>
      <c r="C13" s="25">
        <v>71047</v>
      </c>
      <c r="D13" s="25">
        <v>73179</v>
      </c>
      <c r="E13" s="25">
        <v>75374</v>
      </c>
      <c r="F13" s="25">
        <v>77635</v>
      </c>
    </row>
    <row r="14" spans="1:6" x14ac:dyDescent="0.25">
      <c r="A14" s="10" t="s">
        <v>281</v>
      </c>
      <c r="B14" s="33">
        <f>SUM(B13:B13)</f>
        <v>68978</v>
      </c>
      <c r="C14" s="33">
        <f>SUM(C13:C13)</f>
        <v>71047</v>
      </c>
      <c r="D14" s="33">
        <f>SUM(D13:D13)</f>
        <v>73179</v>
      </c>
      <c r="E14" s="33">
        <f>SUM(E13:E13)</f>
        <v>75374</v>
      </c>
      <c r="F14" s="33">
        <f>SUM(F13:F13)</f>
        <v>77635</v>
      </c>
    </row>
    <row r="15" ht="24" customHeight="1" spans="1:6" x14ac:dyDescent="0.25">
      <c r="A15" s="19" t="s">
        <v>160</v>
      </c>
      <c r="B15" s="19"/>
      <c r="C15" s="19"/>
      <c r="D15" s="19"/>
      <c r="E15" s="19"/>
      <c r="F15" s="19"/>
    </row>
    <row r="16" spans="1:6" x14ac:dyDescent="0.25">
      <c r="A16" s="11" t="s">
        <v>282</v>
      </c>
      <c r="B16" s="25">
        <v>55713</v>
      </c>
      <c r="C16" s="25">
        <v>57384</v>
      </c>
      <c r="D16" s="25">
        <v>59106</v>
      </c>
      <c r="E16" s="25">
        <v>60879</v>
      </c>
      <c r="F16" s="25">
        <v>62705</v>
      </c>
    </row>
    <row r="17" spans="1:6" x14ac:dyDescent="0.25">
      <c r="A17" s="10" t="s">
        <v>283</v>
      </c>
      <c r="B17" s="33">
        <f>SUM(B16:B16)</f>
        <v>55713</v>
      </c>
      <c r="C17" s="33">
        <f>SUM(C16:C16)</f>
        <v>57384</v>
      </c>
      <c r="D17" s="33">
        <f>SUM(D16:D16)</f>
        <v>59106</v>
      </c>
      <c r="E17" s="33">
        <f>SUM(E16:E16)</f>
        <v>60879</v>
      </c>
      <c r="F17" s="33">
        <f>SUM(F16:F16)</f>
        <v>62705</v>
      </c>
    </row>
    <row r="19" ht="24" customHeight="1" spans="1:6" x14ac:dyDescent="0.25">
      <c r="A19" s="19" t="s">
        <v>284</v>
      </c>
      <c r="B19" s="34">
        <f>B7+B11+B14+B17</f>
        <v>854772</v>
      </c>
      <c r="C19" s="34">
        <f>C7+C11+C14+C17</f>
        <v>880415</v>
      </c>
      <c r="D19" s="34">
        <f>D7+D11+D14+D17</f>
        <v>906828</v>
      </c>
      <c r="E19" s="34">
        <f>E7+E11+E14+E17</f>
        <v>934032</v>
      </c>
      <c r="F19" s="34">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11" t="s">
        <v>287</v>
      </c>
      <c r="B5" s="25">
        <v>1050000</v>
      </c>
      <c r="C5" s="25">
        <v>1405950</v>
      </c>
      <c r="D5" s="25">
        <v>1782312</v>
      </c>
      <c r="E5" s="25">
        <v>2122622</v>
      </c>
      <c r="F5" s="25">
        <v>2363569</v>
      </c>
    </row>
    <row r="6" spans="1:6" x14ac:dyDescent="0.25">
      <c r="A6" s="11" t="s">
        <v>288</v>
      </c>
      <c r="B6" s="25">
        <v>35000</v>
      </c>
      <c r="C6" s="25">
        <v>46865</v>
      </c>
      <c r="D6" s="25">
        <v>59410</v>
      </c>
      <c r="E6" s="25">
        <v>70754</v>
      </c>
      <c r="F6" s="25">
        <v>78786</v>
      </c>
    </row>
    <row r="7" spans="1:6" x14ac:dyDescent="0.25">
      <c r="A7" s="11" t="s">
        <v>289</v>
      </c>
      <c r="B7" s="25">
        <v>105000</v>
      </c>
      <c r="C7" s="25">
        <v>140595</v>
      </c>
      <c r="D7" s="25">
        <v>178231</v>
      </c>
      <c r="E7" s="25">
        <v>212262</v>
      </c>
      <c r="F7" s="25">
        <v>236357</v>
      </c>
    </row>
    <row r="8" spans="1:6" x14ac:dyDescent="0.25">
      <c r="A8" s="11" t="s">
        <v>290</v>
      </c>
      <c r="B8" s="25">
        <v>870000</v>
      </c>
      <c r="C8" s="25">
        <v>1164930</v>
      </c>
      <c r="D8" s="25">
        <v>1476773</v>
      </c>
      <c r="E8" s="25">
        <v>1758744</v>
      </c>
      <c r="F8" s="25">
        <v>1958385</v>
      </c>
    </row>
    <row r="9" spans="1:6" x14ac:dyDescent="0.25">
      <c r="A9" s="11" t="s">
        <v>291</v>
      </c>
      <c r="B9" s="25">
        <v>50000</v>
      </c>
      <c r="C9" s="25">
        <v>51500</v>
      </c>
      <c r="D9" s="25">
        <v>53045</v>
      </c>
      <c r="E9" s="25">
        <v>54636</v>
      </c>
      <c r="F9" s="25">
        <v>56275</v>
      </c>
    </row>
    <row r="10" spans="1:6" x14ac:dyDescent="0.25">
      <c r="A10" s="11" t="s">
        <v>292</v>
      </c>
      <c r="B10" s="25">
        <v>25000</v>
      </c>
      <c r="C10" s="25">
        <v>25750</v>
      </c>
      <c r="D10" s="25">
        <v>26523</v>
      </c>
      <c r="E10" s="25">
        <v>27318</v>
      </c>
      <c r="F10" s="25">
        <v>28138</v>
      </c>
    </row>
    <row r="11" spans="1:6" x14ac:dyDescent="0.25">
      <c r="A11" s="11" t="s">
        <v>293</v>
      </c>
      <c r="B11" s="25">
        <v>50000</v>
      </c>
      <c r="C11" s="25">
        <v>66950</v>
      </c>
      <c r="D11" s="25">
        <v>84872</v>
      </c>
      <c r="E11" s="25">
        <v>101077</v>
      </c>
      <c r="F11" s="25">
        <v>112551</v>
      </c>
    </row>
    <row r="12" spans="1:6" x14ac:dyDescent="0.25">
      <c r="A12" s="10" t="s">
        <v>294</v>
      </c>
      <c r="B12" s="33">
        <f>SUM(B5:B11)</f>
        <v>1922500</v>
      </c>
      <c r="C12" s="33">
        <f>SUM(C5:C11)</f>
        <v>2542373</v>
      </c>
      <c r="D12" s="33">
        <f>SUM(D5:D11)</f>
        <v>3197640</v>
      </c>
      <c r="E12" s="33">
        <f>SUM(E5:E11)</f>
        <v>3788916</v>
      </c>
      <c r="F12" s="33">
        <f>SUM(F5:F11)</f>
        <v>4204820</v>
      </c>
    </row>
    <row r="14" ht="24" customHeight="1" spans="1:6" x14ac:dyDescent="0.25">
      <c r="A14" s="19" t="s">
        <v>295</v>
      </c>
      <c r="B14" s="19"/>
      <c r="C14" s="19"/>
      <c r="D14" s="19"/>
      <c r="E14" s="19"/>
      <c r="F14" s="19"/>
    </row>
    <row r="15" spans="1:6" x14ac:dyDescent="0.25">
      <c r="A15" s="11" t="s">
        <v>296</v>
      </c>
      <c r="B15" s="25">
        <v>126018</v>
      </c>
      <c r="C15" s="25">
        <v>129798</v>
      </c>
      <c r="D15" s="25">
        <v>133692</v>
      </c>
      <c r="E15" s="25">
        <v>137703</v>
      </c>
      <c r="F15" s="25">
        <v>141834</v>
      </c>
    </row>
    <row r="16" spans="1:6" x14ac:dyDescent="0.25">
      <c r="A16" s="11" t="s">
        <v>297</v>
      </c>
      <c r="B16" s="25">
        <v>99488</v>
      </c>
      <c r="C16" s="25">
        <v>102472</v>
      </c>
      <c r="D16" s="25">
        <v>105546</v>
      </c>
      <c r="E16" s="25">
        <v>108713</v>
      </c>
      <c r="F16" s="25">
        <v>111974</v>
      </c>
    </row>
    <row r="17" spans="1:6" x14ac:dyDescent="0.25">
      <c r="A17" s="11" t="s">
        <v>298</v>
      </c>
      <c r="B17" s="25">
        <v>382032</v>
      </c>
      <c r="C17" s="25">
        <v>393493</v>
      </c>
      <c r="D17" s="25">
        <v>405298</v>
      </c>
      <c r="E17" s="25">
        <v>417457</v>
      </c>
      <c r="F17" s="25">
        <v>429980</v>
      </c>
    </row>
    <row r="18" spans="1:6" x14ac:dyDescent="0.25">
      <c r="A18" s="11" t="s">
        <v>299</v>
      </c>
      <c r="B18" s="25">
        <v>122544</v>
      </c>
      <c r="C18" s="25">
        <v>126220</v>
      </c>
      <c r="D18" s="25">
        <v>130007</v>
      </c>
      <c r="E18" s="25">
        <v>133907</v>
      </c>
      <c r="F18" s="25">
        <v>137924</v>
      </c>
    </row>
    <row r="19" spans="1:6" x14ac:dyDescent="0.25">
      <c r="A19" s="11" t="s">
        <v>300</v>
      </c>
      <c r="B19" s="25">
        <v>55713</v>
      </c>
      <c r="C19" s="25">
        <v>57384</v>
      </c>
      <c r="D19" s="25">
        <v>59106</v>
      </c>
      <c r="E19" s="25">
        <v>60879</v>
      </c>
      <c r="F19" s="25">
        <v>62705</v>
      </c>
    </row>
    <row r="20" spans="1:6" x14ac:dyDescent="0.25">
      <c r="A20" s="11" t="s">
        <v>301</v>
      </c>
      <c r="B20" s="25">
        <v>68978</v>
      </c>
      <c r="C20" s="25">
        <v>71047</v>
      </c>
      <c r="D20" s="25">
        <v>73179</v>
      </c>
      <c r="E20" s="25">
        <v>75374</v>
      </c>
      <c r="F20" s="25">
        <v>77635</v>
      </c>
    </row>
    <row r="21" spans="1:6" x14ac:dyDescent="0.25">
      <c r="A21" s="10" t="s">
        <v>246</v>
      </c>
      <c r="B21" s="33">
        <f>SUM(B15:B20)</f>
        <v>854772</v>
      </c>
      <c r="C21" s="33">
        <f>SUM(C15:C20)</f>
        <v>880415</v>
      </c>
      <c r="D21" s="33">
        <f>SUM(D15:D20)</f>
        <v>906828</v>
      </c>
      <c r="E21" s="33">
        <f>SUM(E15:E20)</f>
        <v>934032</v>
      </c>
      <c r="F21" s="33">
        <f>SUM(F15:F20)</f>
        <v>962053</v>
      </c>
    </row>
    <row r="23" ht="24" customHeight="1" spans="1:6" x14ac:dyDescent="0.25">
      <c r="A23" s="19" t="s">
        <v>163</v>
      </c>
      <c r="B23" s="19"/>
      <c r="C23" s="19"/>
      <c r="D23" s="19"/>
      <c r="E23" s="19"/>
      <c r="F23" s="19"/>
    </row>
    <row r="24" spans="1:1" x14ac:dyDescent="0.25">
      <c r="A24" s="38" t="s">
        <v>171</v>
      </c>
    </row>
    <row r="25" spans="1:6" x14ac:dyDescent="0.25">
      <c r="A25" s="11" t="s">
        <v>302</v>
      </c>
      <c r="B25" s="25">
        <v>60000</v>
      </c>
      <c r="C25" s="25">
        <v>80340</v>
      </c>
      <c r="D25" s="25">
        <v>101846</v>
      </c>
      <c r="E25" s="25">
        <v>121293</v>
      </c>
      <c r="F25" s="25">
        <v>135061</v>
      </c>
    </row>
    <row r="26" spans="1:1" x14ac:dyDescent="0.25">
      <c r="A26" s="38" t="s">
        <v>172</v>
      </c>
    </row>
    <row r="27" spans="1:6" x14ac:dyDescent="0.25">
      <c r="A27" s="11" t="s">
        <v>303</v>
      </c>
      <c r="B27" s="25">
        <v>40000</v>
      </c>
      <c r="C27" s="25">
        <v>53560</v>
      </c>
      <c r="D27" s="25">
        <v>67898</v>
      </c>
      <c r="E27" s="25">
        <v>80862</v>
      </c>
      <c r="F27" s="25">
        <v>90041</v>
      </c>
    </row>
    <row r="28" spans="1:1" x14ac:dyDescent="0.25">
      <c r="A28" s="38" t="s">
        <v>165</v>
      </c>
    </row>
    <row r="29" spans="1:6" x14ac:dyDescent="0.25">
      <c r="A29" s="11" t="s">
        <v>304</v>
      </c>
      <c r="B29" s="25">
        <v>102000</v>
      </c>
      <c r="C29" s="25">
        <v>105060</v>
      </c>
      <c r="D29" s="25">
        <v>108212</v>
      </c>
      <c r="E29" s="25">
        <v>111458</v>
      </c>
      <c r="F29" s="25">
        <v>114802</v>
      </c>
    </row>
    <row r="30" spans="1:6" x14ac:dyDescent="0.25">
      <c r="A30" s="11" t="s">
        <v>305</v>
      </c>
      <c r="B30" s="25">
        <v>14400</v>
      </c>
      <c r="C30" s="25">
        <v>14832</v>
      </c>
      <c r="D30" s="25">
        <v>15277</v>
      </c>
      <c r="E30" s="25">
        <v>15735</v>
      </c>
      <c r="F30" s="25">
        <v>16207</v>
      </c>
    </row>
    <row r="31" spans="1:6" x14ac:dyDescent="0.25">
      <c r="A31" s="11" t="s">
        <v>306</v>
      </c>
      <c r="B31" s="25">
        <v>12000</v>
      </c>
      <c r="C31" s="25">
        <v>12360</v>
      </c>
      <c r="D31" s="25">
        <v>12731</v>
      </c>
      <c r="E31" s="25">
        <v>13113</v>
      </c>
      <c r="F31" s="25">
        <v>13506</v>
      </c>
    </row>
    <row r="32" spans="1:6" x14ac:dyDescent="0.25">
      <c r="A32" s="11" t="s">
        <v>307</v>
      </c>
      <c r="B32" s="25">
        <v>8000</v>
      </c>
      <c r="C32" s="25">
        <v>8240</v>
      </c>
      <c r="D32" s="25">
        <v>8487</v>
      </c>
      <c r="E32" s="25">
        <v>8742</v>
      </c>
      <c r="F32" s="25">
        <v>9004</v>
      </c>
    </row>
    <row r="33" spans="1:6" x14ac:dyDescent="0.25">
      <c r="A33" s="10" t="s">
        <v>308</v>
      </c>
      <c r="B33" s="33">
        <f>SUM(B29:B32)</f>
        <v>136400</v>
      </c>
      <c r="C33" s="33">
        <f>SUM(C29:C32)</f>
        <v>140492</v>
      </c>
      <c r="D33" s="33">
        <f>SUM(D29:D32)</f>
        <v>144707</v>
      </c>
      <c r="E33" s="33">
        <f>SUM(E29:E32)</f>
        <v>149048</v>
      </c>
      <c r="F33" s="33">
        <f>SUM(F29:F32)</f>
        <v>153519</v>
      </c>
    </row>
    <row r="34" spans="1:1" x14ac:dyDescent="0.25">
      <c r="A34" s="38" t="s">
        <v>174</v>
      </c>
    </row>
    <row r="35" spans="1:6" x14ac:dyDescent="0.25">
      <c r="A35" s="11" t="s">
        <v>309</v>
      </c>
      <c r="B35" s="25">
        <v>15000</v>
      </c>
      <c r="C35" s="25">
        <v>15450</v>
      </c>
      <c r="D35" s="25">
        <v>15914</v>
      </c>
      <c r="E35" s="25">
        <v>16391</v>
      </c>
      <c r="F35" s="25">
        <v>16883</v>
      </c>
    </row>
    <row r="36" spans="1:6" x14ac:dyDescent="0.25">
      <c r="A36" s="11" t="s">
        <v>310</v>
      </c>
      <c r="B36" s="25">
        <v>8000</v>
      </c>
      <c r="C36" s="25">
        <v>8240</v>
      </c>
      <c r="D36" s="25">
        <v>8487</v>
      </c>
      <c r="E36" s="25">
        <v>8742</v>
      </c>
      <c r="F36" s="25">
        <v>9004</v>
      </c>
    </row>
    <row r="37" spans="1:6" x14ac:dyDescent="0.25">
      <c r="A37" s="11" t="s">
        <v>311</v>
      </c>
      <c r="B37" s="25">
        <v>12000</v>
      </c>
      <c r="C37" s="25">
        <v>12360</v>
      </c>
      <c r="D37" s="25">
        <v>12731</v>
      </c>
      <c r="E37" s="25">
        <v>13113</v>
      </c>
      <c r="F37" s="25">
        <v>13506</v>
      </c>
    </row>
    <row r="38" spans="1:6" x14ac:dyDescent="0.25">
      <c r="A38" s="10" t="s">
        <v>312</v>
      </c>
      <c r="B38" s="33">
        <f>SUM(B35:B37)</f>
        <v>35000</v>
      </c>
      <c r="C38" s="33">
        <f>SUM(C35:C37)</f>
        <v>36050</v>
      </c>
      <c r="D38" s="33">
        <f>SUM(D35:D37)</f>
        <v>37132</v>
      </c>
      <c r="E38" s="33">
        <f>SUM(E35:E37)</f>
        <v>38245</v>
      </c>
      <c r="F38" s="33">
        <f>SUM(F35:F37)</f>
        <v>39393</v>
      </c>
    </row>
    <row r="39" spans="1:6" x14ac:dyDescent="0.25">
      <c r="A39" s="10" t="s">
        <v>313</v>
      </c>
      <c r="B39" s="33">
        <f>B25+B27+B33+B38</f>
        <v>271400</v>
      </c>
      <c r="C39" s="33">
        <f>C25+C27+C33+C38</f>
        <v>310442</v>
      </c>
      <c r="D39" s="33">
        <f>D25+D27+D33+D38</f>
        <v>351582</v>
      </c>
      <c r="E39" s="33">
        <f>E25+E27+E33+E38</f>
        <v>389448</v>
      </c>
      <c r="F39" s="33">
        <f>F25+F27+F33+F38</f>
        <v>418014</v>
      </c>
    </row>
    <row r="41" ht="24" customHeight="1" spans="1:6" x14ac:dyDescent="0.25">
      <c r="A41" s="19" t="s">
        <v>314</v>
      </c>
      <c r="B41" s="19"/>
      <c r="C41" s="19"/>
      <c r="D41" s="19"/>
      <c r="E41" s="19"/>
      <c r="F41" s="19"/>
    </row>
    <row r="42" spans="1:6" x14ac:dyDescent="0.25">
      <c r="A42" s="11" t="s">
        <v>315</v>
      </c>
      <c r="B42" s="25">
        <v>34064</v>
      </c>
      <c r="C42" s="25">
        <v>34064</v>
      </c>
      <c r="D42" s="25">
        <v>34064</v>
      </c>
      <c r="E42" s="25">
        <v>34064</v>
      </c>
      <c r="F42" s="25">
        <v>34064</v>
      </c>
    </row>
    <row r="43" spans="1:6" x14ac:dyDescent="0.25">
      <c r="A43" s="11" t="s">
        <v>316</v>
      </c>
      <c r="B43" s="25">
        <v>25000</v>
      </c>
      <c r="C43" s="25">
        <v>10000</v>
      </c>
      <c r="D43" s="25">
        <v>10000</v>
      </c>
      <c r="E43" s="25">
        <v>5000</v>
      </c>
      <c r="F43" s="25">
        <v>5000</v>
      </c>
    </row>
    <row r="44" spans="1:6" x14ac:dyDescent="0.25">
      <c r="A44" s="10" t="s">
        <v>317</v>
      </c>
      <c r="B44" s="33">
        <f>SUM(B42:B43)</f>
        <v>59064</v>
      </c>
      <c r="C44" s="33">
        <f>SUM(C42:C43)</f>
        <v>44064</v>
      </c>
      <c r="D44" s="33">
        <f>SUM(D42:D43)</f>
        <v>44064</v>
      </c>
      <c r="E44" s="33">
        <f>SUM(E42:E43)</f>
        <v>39064</v>
      </c>
      <c r="F44" s="33">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294</v>
      </c>
      <c r="B4" s="35">
        <f>'Budget Detail'!B12</f>
        <v>1922500</v>
      </c>
      <c r="C4" s="35">
        <f>'Budget Detail'!C12</f>
        <v>2542373</v>
      </c>
      <c r="D4" s="35">
        <f>'Budget Detail'!D12</f>
        <v>3197640</v>
      </c>
      <c r="E4" s="35">
        <f>'Budget Detail'!E12</f>
        <v>3788916</v>
      </c>
      <c r="F4" s="35">
        <f>'Budget Detail'!F12</f>
        <v>4204820</v>
      </c>
    </row>
    <row r="5" spans="1:6" x14ac:dyDescent="0.25">
      <c r="A5" s="10" t="s">
        <v>246</v>
      </c>
      <c r="B5" s="35">
        <f>'Budget Detail'!B21</f>
        <v>854772</v>
      </c>
      <c r="C5" s="35">
        <f>'Budget Detail'!C21</f>
        <v>880415</v>
      </c>
      <c r="D5" s="35">
        <f>'Budget Detail'!D21</f>
        <v>906828</v>
      </c>
      <c r="E5" s="35">
        <f>'Budget Detail'!E21</f>
        <v>934032</v>
      </c>
      <c r="F5" s="35">
        <f>'Budget Detail'!F21</f>
        <v>962053</v>
      </c>
    </row>
    <row r="6" spans="1:6" x14ac:dyDescent="0.25">
      <c r="A6" s="10" t="s">
        <v>313</v>
      </c>
      <c r="B6" s="35">
        <f>'Budget Detail'!B39</f>
        <v>271400</v>
      </c>
      <c r="C6" s="35">
        <f>'Budget Detail'!C39</f>
        <v>310442</v>
      </c>
      <c r="D6" s="35">
        <f>'Budget Detail'!D39</f>
        <v>351582</v>
      </c>
      <c r="E6" s="35">
        <f>'Budget Detail'!E39</f>
        <v>389448</v>
      </c>
      <c r="F6" s="35">
        <f>'Budget Detail'!F39</f>
        <v>418014</v>
      </c>
    </row>
    <row r="7" spans="1:6" x14ac:dyDescent="0.25">
      <c r="A7" s="10" t="s">
        <v>319</v>
      </c>
      <c r="B7" s="35">
        <f>'Budget Detail'!B44</f>
        <v>59064</v>
      </c>
      <c r="C7" s="35">
        <f>'Budget Detail'!C44</f>
        <v>44064</v>
      </c>
      <c r="D7" s="35">
        <f>'Budget Detail'!D44</f>
        <v>44064</v>
      </c>
      <c r="E7" s="35">
        <f>'Budget Detail'!E44</f>
        <v>39064</v>
      </c>
      <c r="F7" s="35">
        <f>'Budget Detail'!F44</f>
        <v>39064</v>
      </c>
    </row>
    <row r="8" spans="1:6" x14ac:dyDescent="0.25">
      <c r="A8" s="10" t="s">
        <v>320</v>
      </c>
      <c r="B8" s="33">
        <f>SUM(B5:B7)</f>
        <v>1185236</v>
      </c>
      <c r="C8" s="33">
        <f>SUM(C5:C7)</f>
        <v>1234922</v>
      </c>
      <c r="D8" s="33">
        <f>SUM(D5:D7)</f>
        <v>1302474</v>
      </c>
      <c r="E8" s="33">
        <f>SUM(E5:E7)</f>
        <v>1362545</v>
      </c>
      <c r="F8" s="33">
        <f>SUM(F5:F7)</f>
        <v>1419132</v>
      </c>
    </row>
    <row r="10" ht="24" customHeight="1" spans="1:6" x14ac:dyDescent="0.25">
      <c r="A10" s="19" t="s">
        <v>321</v>
      </c>
      <c r="B10" s="19"/>
      <c r="C10" s="19"/>
      <c r="D10" s="19"/>
      <c r="E10" s="19"/>
      <c r="F10" s="19"/>
    </row>
    <row r="11" spans="1:6" x14ac:dyDescent="0.25">
      <c r="A11" s="10" t="s">
        <v>322</v>
      </c>
      <c r="B11" s="34">
        <f>B4-B8</f>
        <v>737264</v>
      </c>
      <c r="C11" s="34">
        <f>C4-C8</f>
        <v>1307451</v>
      </c>
      <c r="D11" s="34">
        <f>D4-D8</f>
        <v>1895166</v>
      </c>
      <c r="E11" s="34">
        <f>E4-E8</f>
        <v>2426371</v>
      </c>
      <c r="F11" s="34">
        <f>F4-F8</f>
        <v>2785688</v>
      </c>
    </row>
    <row r="12" spans="1:6" x14ac:dyDescent="0.25">
      <c r="A12" s="11" t="s">
        <v>323</v>
      </c>
      <c r="B12" s="26">
        <f>IF(B4=0,0,B11/B4)</f>
        <v>0.38349212</v>
      </c>
      <c r="C12" s="26">
        <f>IF(C4=0,0,C11/C4)</f>
        <v>0.51426412</v>
      </c>
      <c r="D12" s="26">
        <f>IF(D4=0,0,D11/D4)</f>
        <v>0.59267639</v>
      </c>
      <c r="E12" s="26">
        <f>IF(E4=0,0,E11/E4)</f>
        <v>0.64038661</v>
      </c>
      <c r="F12" s="26">
        <f>IF(F4=0,0,F11/F4)</f>
        <v>0.6624988</v>
      </c>
    </row>
    <row r="13" spans="1:6" x14ac:dyDescent="0.25">
      <c r="A13" s="11" t="s">
        <v>324</v>
      </c>
      <c r="B13" s="25">
        <v>737264</v>
      </c>
      <c r="C13" s="25">
        <v>2044715</v>
      </c>
      <c r="D13" s="25">
        <v>3939880</v>
      </c>
      <c r="E13" s="25">
        <v>6366251</v>
      </c>
      <c r="F13" s="25">
        <v>9151939</v>
      </c>
    </row>
    <row r="14" spans="1:6" x14ac:dyDescent="0.25">
      <c r="A14" s="11" t="s">
        <v>272</v>
      </c>
      <c r="B14" s="25">
        <v>19225</v>
      </c>
      <c r="C14" s="25">
        <v>19557</v>
      </c>
      <c r="D14" s="25">
        <v>19985</v>
      </c>
      <c r="E14" s="25">
        <v>20481</v>
      </c>
      <c r="F14" s="25">
        <v>21024</v>
      </c>
    </row>
    <row r="15" spans="1:6" x14ac:dyDescent="0.25">
      <c r="A15" s="11" t="s">
        <v>325</v>
      </c>
      <c r="B15" s="25">
        <v>11852</v>
      </c>
      <c r="C15" s="25">
        <v>9499</v>
      </c>
      <c r="D15" s="25">
        <v>8140</v>
      </c>
      <c r="E15" s="25">
        <v>7365</v>
      </c>
      <c r="F15" s="25">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326</v>
      </c>
      <c r="B1" s="15"/>
      <c r="C1" s="15"/>
      <c r="D1" s="15"/>
      <c r="E1" s="15"/>
      <c r="F1" s="15"/>
      <c r="G1" s="15"/>
      <c r="H1" s="15"/>
      <c r="I1" s="15"/>
      <c r="J1" s="15"/>
      <c r="K1" s="15"/>
      <c r="L1" s="15"/>
      <c r="M1" s="15"/>
      <c r="N1" s="15"/>
    </row>
    <row r="2" ht="28" customHeight="1" spans="1:14" x14ac:dyDescent="0.25">
      <c r="A2" s="21" t="s">
        <v>7</v>
      </c>
      <c r="B2" s="21" t="s">
        <v>327</v>
      </c>
      <c r="C2" s="21" t="s">
        <v>328</v>
      </c>
      <c r="D2" s="21" t="s">
        <v>329</v>
      </c>
      <c r="E2" s="21" t="s">
        <v>330</v>
      </c>
      <c r="F2" s="21" t="s">
        <v>331</v>
      </c>
      <c r="G2" s="21" t="s">
        <v>332</v>
      </c>
      <c r="H2" s="21" t="s">
        <v>333</v>
      </c>
      <c r="I2" s="21" t="s">
        <v>334</v>
      </c>
      <c r="J2" s="21" t="s">
        <v>335</v>
      </c>
      <c r="K2" s="21" t="s">
        <v>336</v>
      </c>
      <c r="L2" s="21" t="s">
        <v>337</v>
      </c>
      <c r="M2" s="21" t="s">
        <v>338</v>
      </c>
      <c r="N2" s="21" t="s">
        <v>339</v>
      </c>
    </row>
    <row r="3" ht="24" customHeight="1" spans="1:14" x14ac:dyDescent="0.25">
      <c r="A3" s="19" t="s">
        <v>286</v>
      </c>
      <c r="B3" s="19"/>
      <c r="C3" s="19"/>
      <c r="D3" s="19"/>
      <c r="E3" s="19"/>
      <c r="F3" s="19"/>
      <c r="G3" s="19"/>
      <c r="H3" s="19"/>
      <c r="I3" s="19"/>
      <c r="J3" s="19"/>
      <c r="K3" s="19"/>
      <c r="L3" s="19"/>
      <c r="M3" s="19"/>
      <c r="N3" s="19"/>
    </row>
    <row r="4" spans="1:14" x14ac:dyDescent="0.25">
      <c r="A4" s="10" t="s">
        <v>294</v>
      </c>
      <c r="B4" s="33">
        <v>299583</v>
      </c>
      <c r="C4" s="33">
        <v>96333</v>
      </c>
      <c r="D4" s="33">
        <v>96333</v>
      </c>
      <c r="E4" s="33">
        <v>313833</v>
      </c>
      <c r="F4" s="33">
        <v>96333</v>
      </c>
      <c r="G4" s="33">
        <v>96333</v>
      </c>
      <c r="H4" s="33">
        <v>313833</v>
      </c>
      <c r="I4" s="33">
        <v>96333</v>
      </c>
      <c r="J4" s="33">
        <v>96333</v>
      </c>
      <c r="K4" s="33">
        <v>313833</v>
      </c>
      <c r="L4" s="33">
        <v>96333</v>
      </c>
      <c r="M4" s="33">
        <v>7083</v>
      </c>
      <c r="N4" s="33">
        <f>SUM(B4:M4)</f>
        <v>1922496</v>
      </c>
    </row>
    <row r="6" ht="24" customHeight="1" spans="1:14" x14ac:dyDescent="0.25">
      <c r="A6" s="19" t="s">
        <v>340</v>
      </c>
      <c r="B6" s="19"/>
      <c r="C6" s="19"/>
      <c r="D6" s="19"/>
      <c r="E6" s="19"/>
      <c r="F6" s="19"/>
      <c r="G6" s="19"/>
      <c r="H6" s="19"/>
      <c r="I6" s="19"/>
      <c r="J6" s="19"/>
      <c r="K6" s="19"/>
      <c r="L6" s="19"/>
      <c r="M6" s="19"/>
      <c r="N6" s="19"/>
    </row>
    <row r="7" spans="1:14" x14ac:dyDescent="0.25">
      <c r="A7" s="11" t="s">
        <v>341</v>
      </c>
      <c r="B7" s="25">
        <v>71231</v>
      </c>
      <c r="C7" s="25">
        <v>71231</v>
      </c>
      <c r="D7" s="25">
        <v>71231</v>
      </c>
      <c r="E7" s="25">
        <v>71231</v>
      </c>
      <c r="F7" s="25">
        <v>71231</v>
      </c>
      <c r="G7" s="25">
        <v>71231</v>
      </c>
      <c r="H7" s="25">
        <v>71231</v>
      </c>
      <c r="I7" s="25">
        <v>71231</v>
      </c>
      <c r="J7" s="25">
        <v>71231</v>
      </c>
      <c r="K7" s="25">
        <v>71231</v>
      </c>
      <c r="L7" s="25">
        <v>71231</v>
      </c>
      <c r="M7" s="25">
        <v>71231</v>
      </c>
      <c r="N7" s="25">
        <f>SUM(B7:M7)</f>
        <v>854772</v>
      </c>
    </row>
    <row r="8" spans="1:14" x14ac:dyDescent="0.25">
      <c r="A8" s="11" t="s">
        <v>342</v>
      </c>
      <c r="B8" s="25">
        <v>22617</v>
      </c>
      <c r="C8" s="25">
        <v>22617</v>
      </c>
      <c r="D8" s="25">
        <v>22617</v>
      </c>
      <c r="E8" s="25">
        <v>22617</v>
      </c>
      <c r="F8" s="25">
        <v>22617</v>
      </c>
      <c r="G8" s="25">
        <v>22617</v>
      </c>
      <c r="H8" s="25">
        <v>22617</v>
      </c>
      <c r="I8" s="25">
        <v>22617</v>
      </c>
      <c r="J8" s="25">
        <v>22617</v>
      </c>
      <c r="K8" s="25">
        <v>22617</v>
      </c>
      <c r="L8" s="25">
        <v>22617</v>
      </c>
      <c r="M8" s="25">
        <v>22617</v>
      </c>
      <c r="N8" s="25">
        <f>SUM(B8:M8)</f>
        <v>271400</v>
      </c>
    </row>
    <row r="9" spans="1:14" x14ac:dyDescent="0.25">
      <c r="A9" s="11" t="s">
        <v>343</v>
      </c>
      <c r="B9" s="25">
        <v>4922</v>
      </c>
      <c r="C9" s="25">
        <v>4922</v>
      </c>
      <c r="D9" s="25">
        <v>4922</v>
      </c>
      <c r="E9" s="25">
        <v>4922</v>
      </c>
      <c r="F9" s="25">
        <v>4922</v>
      </c>
      <c r="G9" s="25">
        <v>4922</v>
      </c>
      <c r="H9" s="25">
        <v>4922</v>
      </c>
      <c r="I9" s="25">
        <v>4922</v>
      </c>
      <c r="J9" s="25">
        <v>4922</v>
      </c>
      <c r="K9" s="25">
        <v>4922</v>
      </c>
      <c r="L9" s="25">
        <v>4922</v>
      </c>
      <c r="M9" s="25">
        <v>4922</v>
      </c>
      <c r="N9" s="25">
        <f>SUM(B9:M9)</f>
        <v>59064</v>
      </c>
    </row>
    <row r="11" ht="24" customHeight="1" spans="1:14" x14ac:dyDescent="0.25">
      <c r="A11" s="19" t="s">
        <v>344</v>
      </c>
      <c r="B11" s="19"/>
      <c r="C11" s="19"/>
      <c r="D11" s="19"/>
      <c r="E11" s="19"/>
      <c r="F11" s="19"/>
      <c r="G11" s="19"/>
      <c r="H11" s="19"/>
      <c r="I11" s="19"/>
      <c r="J11" s="19"/>
      <c r="K11" s="19"/>
      <c r="L11" s="19"/>
      <c r="M11" s="19"/>
      <c r="N11" s="19"/>
    </row>
    <row r="12" spans="1:14" x14ac:dyDescent="0.25">
      <c r="A12" s="10" t="s">
        <v>320</v>
      </c>
      <c r="B12" s="35">
        <f>B7+B8+B9</f>
        <v>98770</v>
      </c>
      <c r="C12" s="35">
        <f>C7+C8+C9</f>
        <v>98770</v>
      </c>
      <c r="D12" s="35">
        <f>D7+D8+D9</f>
        <v>98770</v>
      </c>
      <c r="E12" s="35">
        <f>E7+E8+E9</f>
        <v>98770</v>
      </c>
      <c r="F12" s="35">
        <f>F7+F8+F9</f>
        <v>98770</v>
      </c>
      <c r="G12" s="35">
        <f>G7+G8+G9</f>
        <v>98770</v>
      </c>
      <c r="H12" s="35">
        <f>H7+H8+H9</f>
        <v>98770</v>
      </c>
      <c r="I12" s="35">
        <f>I7+I8+I9</f>
        <v>98770</v>
      </c>
      <c r="J12" s="35">
        <f>J7+J8+J9</f>
        <v>98770</v>
      </c>
      <c r="K12" s="35">
        <f>K7+K8+K9</f>
        <v>98770</v>
      </c>
      <c r="L12" s="35">
        <f>L7+L8+L9</f>
        <v>98770</v>
      </c>
      <c r="M12" s="35">
        <f>M7+M8+M9</f>
        <v>98770</v>
      </c>
      <c r="N12" s="35">
        <f>SUM(B12:M12)</f>
        <v>1185240</v>
      </c>
    </row>
    <row r="13" spans="1:14" x14ac:dyDescent="0.25">
      <c r="A13" s="10" t="s">
        <v>345</v>
      </c>
      <c r="B13" s="35">
        <f>B4-B12</f>
        <v>200813</v>
      </c>
      <c r="C13" s="35">
        <f>C4-C12</f>
        <v>-2437</v>
      </c>
      <c r="D13" s="35">
        <f>D4-D12</f>
        <v>-2437</v>
      </c>
      <c r="E13" s="35">
        <f>E4-E12</f>
        <v>215063</v>
      </c>
      <c r="F13" s="35">
        <f>F4-F12</f>
        <v>-2437</v>
      </c>
      <c r="G13" s="35">
        <f>G4-G12</f>
        <v>-2437</v>
      </c>
      <c r="H13" s="35">
        <f>H4-H12</f>
        <v>215063</v>
      </c>
      <c r="I13" s="35">
        <f>I4-I12</f>
        <v>-2437</v>
      </c>
      <c r="J13" s="35">
        <f>J4-J12</f>
        <v>-2437</v>
      </c>
      <c r="K13" s="35">
        <f>K4-K12</f>
        <v>215063</v>
      </c>
      <c r="L13" s="35">
        <f>L4-L12</f>
        <v>-2437</v>
      </c>
      <c r="M13" s="35">
        <f>M4-M12</f>
        <v>-91687</v>
      </c>
      <c r="N13" s="35">
        <f>SUM(B13:M13)</f>
        <v>737256</v>
      </c>
    </row>
    <row r="14" spans="1:14" x14ac:dyDescent="0.25">
      <c r="A14" s="10" t="s">
        <v>346</v>
      </c>
      <c r="B14" s="39">
        <f>B17+B13</f>
        <v>275813</v>
      </c>
      <c r="C14" s="39">
        <f>B14+C13</f>
        <v>273376</v>
      </c>
      <c r="D14" s="39">
        <f>C14+D13</f>
        <v>270939</v>
      </c>
      <c r="E14" s="39">
        <f>D14+E13</f>
        <v>486002</v>
      </c>
      <c r="F14" s="39">
        <f>E14+F13</f>
        <v>483565</v>
      </c>
      <c r="G14" s="39">
        <f>F14+G13</f>
        <v>481128</v>
      </c>
      <c r="H14" s="39">
        <f>G14+H13</f>
        <v>696191</v>
      </c>
      <c r="I14" s="39">
        <f>H14+I13</f>
        <v>693754</v>
      </c>
      <c r="J14" s="39">
        <f>I14+J13</f>
        <v>691317</v>
      </c>
      <c r="K14" s="39">
        <f>J14+K13</f>
        <v>906380</v>
      </c>
      <c r="L14" s="39">
        <f>K14+L13</f>
        <v>903943</v>
      </c>
      <c r="M14" s="39">
        <f>L14+M13</f>
        <v>812256</v>
      </c>
      <c r="N14" s="34">
        <f>M14</f>
        <v>812256</v>
      </c>
    </row>
    <row r="16" ht="24" customHeight="1" spans="1:3" x14ac:dyDescent="0.25">
      <c r="A16" s="19" t="s">
        <v>347</v>
      </c>
      <c r="B16" s="19"/>
      <c r="C16" s="19"/>
    </row>
    <row r="17" spans="1:2" x14ac:dyDescent="0.25">
      <c r="A17" s="11" t="s">
        <v>191</v>
      </c>
      <c r="B17" s="23">
        <v>75000</v>
      </c>
    </row>
    <row r="18" spans="1:2" x14ac:dyDescent="0.25">
      <c r="A18" s="11" t="s">
        <v>348</v>
      </c>
      <c r="B18" s="39">
        <f>M14</f>
        <v>812256</v>
      </c>
    </row>
    <row r="19" spans="1:2" x14ac:dyDescent="0.25">
      <c r="A19" s="11" t="s">
        <v>349</v>
      </c>
      <c r="B19" s="25">
        <f>MIN(B14:M14)</f>
        <v>270939</v>
      </c>
    </row>
    <row r="20" spans="1:6" x14ac:dyDescent="0.25">
      <c r="A20" s="3" t="s">
        <v>350</v>
      </c>
      <c r="B20" s="3"/>
      <c r="C20" s="3"/>
      <c r="D20" s="3"/>
      <c r="E20" s="3"/>
      <c r="F20" s="3"/>
    </row>
    <row r="21" spans="1:8" x14ac:dyDescent="0.25">
      <c r="A21" s="40" t="s">
        <v>351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352</v>
      </c>
      <c r="B1" s="15"/>
      <c r="C1" s="15"/>
      <c r="D1" s="15"/>
      <c r="E1" s="15"/>
      <c r="F1" s="15"/>
    </row>
    <row r="2" spans="1:6" x14ac:dyDescent="0.25">
      <c r="A2" s="41" t="s">
        <v>353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42" t="s">
        <v>294</v>
      </c>
      <c r="B5" s="33">
        <v>1922500</v>
      </c>
      <c r="C5" s="33">
        <v>2542373</v>
      </c>
      <c r="D5" s="33">
        <v>3197640</v>
      </c>
      <c r="E5" s="33">
        <v>3788916</v>
      </c>
      <c r="F5" s="33">
        <v>4204820</v>
      </c>
    </row>
    <row r="7" ht="24" customHeight="1" spans="1:6" x14ac:dyDescent="0.25">
      <c r="A7" s="19" t="s">
        <v>340</v>
      </c>
      <c r="B7" s="19"/>
      <c r="C7" s="19"/>
      <c r="D7" s="19"/>
      <c r="E7" s="19"/>
      <c r="F7" s="19"/>
    </row>
    <row r="8" spans="1:6" x14ac:dyDescent="0.25">
      <c r="A8" s="10" t="s">
        <v>341</v>
      </c>
      <c r="B8" s="35">
        <v>854772</v>
      </c>
      <c r="C8" s="35">
        <v>880415</v>
      </c>
      <c r="D8" s="35">
        <v>906828</v>
      </c>
      <c r="E8" s="35">
        <v>934032</v>
      </c>
      <c r="F8" s="35">
        <v>962053</v>
      </c>
    </row>
    <row r="9" spans="1:6" x14ac:dyDescent="0.25">
      <c r="A9" s="10" t="s">
        <v>342</v>
      </c>
      <c r="B9" s="35">
        <v>271400</v>
      </c>
      <c r="C9" s="35">
        <v>310442</v>
      </c>
      <c r="D9" s="35">
        <v>351582</v>
      </c>
      <c r="E9" s="35">
        <v>389448</v>
      </c>
      <c r="F9" s="35">
        <v>418014</v>
      </c>
    </row>
    <row r="10" spans="1:6" x14ac:dyDescent="0.25">
      <c r="A10" s="10" t="s">
        <v>354</v>
      </c>
      <c r="B10" s="35">
        <v>15710</v>
      </c>
      <c r="C10" s="35">
        <v>14480</v>
      </c>
      <c r="D10" s="35">
        <v>13169</v>
      </c>
      <c r="E10" s="35">
        <v>11769</v>
      </c>
      <c r="F10" s="35">
        <v>10276</v>
      </c>
    </row>
    <row r="11" spans="1:6" x14ac:dyDescent="0.25">
      <c r="A11" s="10" t="s">
        <v>355</v>
      </c>
      <c r="B11" s="35">
        <v>43355</v>
      </c>
      <c r="C11" s="35">
        <v>29584</v>
      </c>
      <c r="D11" s="35">
        <v>30896</v>
      </c>
      <c r="E11" s="35">
        <v>27295</v>
      </c>
      <c r="F11" s="35">
        <v>28788</v>
      </c>
    </row>
    <row r="12" spans="1:6" x14ac:dyDescent="0.25">
      <c r="A12" s="10" t="s">
        <v>356</v>
      </c>
      <c r="B12" s="35">
        <v>25714</v>
      </c>
      <c r="C12" s="35">
        <v>25714</v>
      </c>
      <c r="D12" s="35">
        <v>25714</v>
      </c>
      <c r="E12" s="35">
        <v>25714</v>
      </c>
      <c r="F12" s="35">
        <v>25714</v>
      </c>
    </row>
    <row r="13" spans="1:6" x14ac:dyDescent="0.25">
      <c r="A13" s="42" t="s">
        <v>320</v>
      </c>
      <c r="B13" s="33">
        <f>SUM(B8:B12)</f>
        <v>1210951</v>
      </c>
      <c r="C13" s="33">
        <f>SUM(C8:C12)</f>
        <v>1260636</v>
      </c>
      <c r="D13" s="33">
        <f>SUM(D8:D12)</f>
        <v>1328189</v>
      </c>
      <c r="E13" s="33">
        <f>SUM(E8:E12)</f>
        <v>1388259</v>
      </c>
      <c r="F13" s="33">
        <f>SUM(F8:F12)</f>
        <v>1444846</v>
      </c>
    </row>
    <row r="15" ht="24" customHeight="1" spans="1:6" x14ac:dyDescent="0.25">
      <c r="A15" s="19" t="s">
        <v>357</v>
      </c>
      <c r="B15" s="19"/>
      <c r="C15" s="19"/>
      <c r="D15" s="19"/>
      <c r="E15" s="19"/>
      <c r="F15" s="19"/>
    </row>
    <row r="16" spans="1:6" x14ac:dyDescent="0.25">
      <c r="A16" s="42" t="s">
        <v>322</v>
      </c>
      <c r="B16" s="34">
        <f>B5-B13</f>
        <v>711549</v>
      </c>
      <c r="C16" s="34">
        <f>C5-C13</f>
        <v>1281737</v>
      </c>
      <c r="D16" s="34">
        <f>D5-D13</f>
        <v>1869451</v>
      </c>
      <c r="E16" s="34">
        <f>E5-E13</f>
        <v>2400656</v>
      </c>
      <c r="F16" s="34">
        <f>F5-F13</f>
        <v>2759974</v>
      </c>
    </row>
    <row r="17" spans="1:6" x14ac:dyDescent="0.25">
      <c r="A17" s="11" t="s">
        <v>323</v>
      </c>
      <c r="B17" s="26">
        <f>IF(B5=0,0,B16/B5)</f>
        <v>0.37011668</v>
      </c>
      <c r="C17" s="26">
        <f>IF(C5=0,0,C16/C5)</f>
        <v>0.50414983</v>
      </c>
      <c r="D17" s="26">
        <f>IF(D5=0,0,D16/D5)</f>
        <v>0.58463475</v>
      </c>
      <c r="E17" s="26">
        <f>IF(E5=0,0,E16/E5)</f>
        <v>0.6335999</v>
      </c>
      <c r="F17" s="26">
        <f>IF(F5=0,0,F16/F5)</f>
        <v>0.65638337</v>
      </c>
    </row>
    <row r="18" spans="1:6" x14ac:dyDescent="0.25">
      <c r="A18" s="10" t="s">
        <v>358</v>
      </c>
      <c r="B18" s="35">
        <f>B16</f>
        <v>711549</v>
      </c>
      <c r="C18" s="35">
        <f>B18+C16</f>
        <v>1993286</v>
      </c>
      <c r="D18" s="35">
        <f>C18+D16</f>
        <v>3862737</v>
      </c>
      <c r="E18" s="35">
        <f>D18+E16</f>
        <v>6263394</v>
      </c>
      <c r="F18" s="35">
        <f>E18+F16</f>
        <v>9023368</v>
      </c>
    </row>
    <row r="19" spans="1:6" x14ac:dyDescent="0.25">
      <c r="A19" s="10" t="s">
        <v>359</v>
      </c>
      <c r="B19" s="43" t="s">
        <v>360</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361</v>
      </c>
      <c r="B4" s="19"/>
      <c r="C4" s="19"/>
      <c r="D4" s="19"/>
      <c r="E4" s="19"/>
      <c r="F4" s="19"/>
    </row>
    <row r="5" spans="1:5" x14ac:dyDescent="0.25">
      <c r="A5" s="45" t="s">
        <v>362</v>
      </c>
      <c r="B5" s="46" t="s">
        <v>179</v>
      </c>
      <c r="C5" s="47" t="s">
        <v>363</v>
      </c>
      <c r="D5" s="45" t="s">
        <v>364</v>
      </c>
      <c r="E5" s="46" t="s">
        <v>265</v>
      </c>
    </row>
    <row r="6" spans="1:5" x14ac:dyDescent="0.25">
      <c r="A6" s="20" t="s">
        <v>181</v>
      </c>
      <c r="B6" s="23">
        <v>250000</v>
      </c>
      <c r="C6" s="24">
        <v>0.065</v>
      </c>
      <c r="D6" s="20">
        <v>10</v>
      </c>
      <c r="E6" s="25">
        <f>IF(OR(B6=0,D6=0),0,IF(C6=0,B6/D6,-PMT(C6/12,D6*12,B6)*12))</f>
        <v>34064</v>
      </c>
    </row>
    <row r="8" ht="24" customHeight="1" spans="1:6" x14ac:dyDescent="0.25">
      <c r="A8" s="19" t="s">
        <v>365</v>
      </c>
      <c r="B8" s="19"/>
      <c r="C8" s="19"/>
      <c r="D8" s="19"/>
      <c r="E8" s="19"/>
      <c r="F8" s="19"/>
    </row>
    <row r="9" spans="1:6" x14ac:dyDescent="0.25">
      <c r="A9" s="11" t="s">
        <v>366</v>
      </c>
      <c r="B9" s="25">
        <f>B6</f>
        <v>250000</v>
      </c>
      <c r="C9" s="25">
        <f>B13</f>
        <v>231645</v>
      </c>
      <c r="D9" s="25">
        <f>C13</f>
        <v>212061</v>
      </c>
      <c r="E9" s="25">
        <f>D13</f>
        <v>191165</v>
      </c>
      <c r="F9" s="25">
        <f>E13</f>
        <v>168870</v>
      </c>
    </row>
    <row r="10" spans="1:6" x14ac:dyDescent="0.25">
      <c r="A10" s="11" t="s">
        <v>367</v>
      </c>
      <c r="B10" s="25">
        <f>IF(OR(D6=0,1&gt;D6*12),0,IF(C6=0,0,-CUMIPMT(C6/12,D6*12,B6,1,12,0)))</f>
        <v>15710</v>
      </c>
      <c r="C10" s="25">
        <f>IF(OR(D6=0,13&gt;D6*12),0,IF(C6=0,0,-CUMIPMT(C6/12,D6*12,B6,13,24,0)))</f>
        <v>14480</v>
      </c>
      <c r="D10" s="25">
        <f>IF(OR(D6=0,25&gt;D6*12),0,IF(C6=0,0,-CUMIPMT(C6/12,D6*12,B6,25,36,0)))</f>
        <v>13169</v>
      </c>
      <c r="E10" s="25">
        <f>IF(OR(D6=0,37&gt;D6*12),0,IF(C6=0,0,-CUMIPMT(C6/12,D6*12,B6,37,48,0)))</f>
        <v>11769</v>
      </c>
      <c r="F10" s="25">
        <f>IF(OR(D6=0,49&gt;D6*12),0,IF(C6=0,0,-CUMIPMT(C6/12,D6*12,B6,49,60,0)))</f>
        <v>10276</v>
      </c>
    </row>
    <row r="11" spans="1:6" x14ac:dyDescent="0.25">
      <c r="A11" s="11" t="s">
        <v>368</v>
      </c>
      <c r="B11" s="25">
        <f>IF(OR(D6=0,1&gt;D6*12),0,IF(C6=0,B6/D6,-CUMPRINC(C6/12,D6*12,B6,1,12,0)))</f>
        <v>18355</v>
      </c>
      <c r="C11" s="25">
        <f>IF(OR(D6=0,13&gt;D6*12),0,IF(C6=0,B6/D6,-CUMPRINC(C6/12,D6*12,B6,13,24,0)))</f>
        <v>19584</v>
      </c>
      <c r="D11" s="25">
        <f>IF(OR(D6=0,25&gt;D6*12),0,IF(C6=0,B6/D6,-CUMPRINC(C6/12,D6*12,B6,25,36,0)))</f>
        <v>20896</v>
      </c>
      <c r="E11" s="25">
        <f>IF(OR(D6=0,37&gt;D6*12),0,IF(C6=0,B6/D6,-CUMPRINC(C6/12,D6*12,B6,37,48,0)))</f>
        <v>22295</v>
      </c>
      <c r="F11" s="25">
        <f>IF(OR(D6=0,49&gt;D6*12),0,IF(C6=0,B6/D6,-CUMPRINC(C6/12,D6*12,B6,49,60,0)))</f>
        <v>23788</v>
      </c>
    </row>
    <row r="12" spans="1:6" x14ac:dyDescent="0.25">
      <c r="A12" s="10" t="s">
        <v>369</v>
      </c>
      <c r="B12" s="35">
        <f>B10+B11</f>
        <v>34064</v>
      </c>
      <c r="C12" s="35">
        <f>C10+C11</f>
        <v>34064</v>
      </c>
      <c r="D12" s="35">
        <f>D10+D11</f>
        <v>34064</v>
      </c>
      <c r="E12" s="35">
        <f>E10+E11</f>
        <v>34064</v>
      </c>
      <c r="F12" s="35">
        <f>F10+F11</f>
        <v>34064</v>
      </c>
    </row>
    <row r="13" spans="1:6" x14ac:dyDescent="0.25">
      <c r="A13" s="10" t="s">
        <v>370</v>
      </c>
      <c r="B13" s="39">
        <f>MAX(0,B9-B11)</f>
        <v>231645</v>
      </c>
      <c r="C13" s="39">
        <f>MAX(0,C9-C11)</f>
        <v>212061</v>
      </c>
      <c r="D13" s="39">
        <f>MAX(0,D9-D11)</f>
        <v>191165</v>
      </c>
      <c r="E13" s="39">
        <f>MAX(0,E9-E11)</f>
        <v>168870</v>
      </c>
      <c r="F13" s="39">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372</v>
      </c>
      <c r="B4" s="19"/>
      <c r="C4" s="19"/>
      <c r="D4" s="19"/>
      <c r="E4" s="19"/>
      <c r="F4" s="19"/>
    </row>
    <row r="5" spans="1:6" x14ac:dyDescent="0.25">
      <c r="A5" s="11" t="s">
        <v>373</v>
      </c>
      <c r="B5" s="48">
        <f>'Monthly Cash Flow Y1'!M14</f>
        <v>812256</v>
      </c>
      <c r="C5" s="48">
        <f>B5+'5-Year Operating Stmt'!C16</f>
        <v>2119707</v>
      </c>
      <c r="D5" s="48">
        <f>B5+'5-Year Operating Stmt'!C16+'5-Year Operating Stmt'!D16</f>
        <v>4014873</v>
      </c>
      <c r="E5" s="48">
        <f>B5+'5-Year Operating Stmt'!C16+'5-Year Operating Stmt'!D16+'5-Year Operating Stmt'!E16</f>
        <v>6441243</v>
      </c>
      <c r="F5" s="48">
        <f>B5+'5-Year Operating Stmt'!C16+'5-Year Operating Stmt'!D16+'5-Year Operating Stmt'!E16+'5-Year Operating Stmt'!F16</f>
        <v>9226932</v>
      </c>
    </row>
    <row r="6" spans="1:6" x14ac:dyDescent="0.25">
      <c r="A6" s="11" t="s">
        <v>374</v>
      </c>
      <c r="B6" s="25">
        <v>892</v>
      </c>
      <c r="C6" s="25">
        <v>918</v>
      </c>
      <c r="D6" s="25">
        <v>944</v>
      </c>
      <c r="E6" s="25">
        <v>972</v>
      </c>
      <c r="F6" s="25">
        <v>1000</v>
      </c>
    </row>
    <row r="7" spans="1:6" x14ac:dyDescent="0.25">
      <c r="A7" s="11" t="s">
        <v>375</v>
      </c>
      <c r="B7" s="25">
        <v>154286</v>
      </c>
      <c r="C7" s="25">
        <v>128571</v>
      </c>
      <c r="D7" s="25">
        <v>102857</v>
      </c>
      <c r="E7" s="25">
        <v>77143</v>
      </c>
      <c r="F7" s="25">
        <v>51429</v>
      </c>
    </row>
    <row r="8" spans="1:6" x14ac:dyDescent="0.25">
      <c r="A8" s="11" t="s">
        <v>376</v>
      </c>
      <c r="B8" s="25">
        <v>5000</v>
      </c>
      <c r="C8" s="25">
        <v>5000</v>
      </c>
      <c r="D8" s="25">
        <v>5000</v>
      </c>
      <c r="E8" s="25">
        <v>5000</v>
      </c>
      <c r="F8" s="25">
        <v>5000</v>
      </c>
    </row>
    <row r="9" spans="1:6" x14ac:dyDescent="0.25">
      <c r="A9" s="10" t="s">
        <v>377</v>
      </c>
      <c r="B9" s="33">
        <f>SUM(B5:B8)</f>
        <v>972433</v>
      </c>
      <c r="C9" s="33">
        <f>SUM(C5:C8)</f>
        <v>2254196</v>
      </c>
      <c r="D9" s="33">
        <f>SUM(D5:D8)</f>
        <v>4123674</v>
      </c>
      <c r="E9" s="33">
        <f>SUM(E5:E8)</f>
        <v>6524358</v>
      </c>
      <c r="F9" s="33">
        <f>SUM(F5:F8)</f>
        <v>9284360</v>
      </c>
    </row>
    <row r="11" ht="24" customHeight="1" spans="1:6" x14ac:dyDescent="0.25">
      <c r="A11" s="19" t="s">
        <v>378</v>
      </c>
      <c r="B11" s="19"/>
      <c r="C11" s="19"/>
      <c r="D11" s="19"/>
      <c r="E11" s="19"/>
      <c r="F11" s="19"/>
    </row>
    <row r="12" spans="1:6" x14ac:dyDescent="0.25">
      <c r="A12" s="11" t="s">
        <v>379</v>
      </c>
      <c r="B12" s="25">
        <v>8000</v>
      </c>
      <c r="C12" s="25">
        <v>8000</v>
      </c>
      <c r="D12" s="25">
        <v>8000</v>
      </c>
      <c r="E12" s="25">
        <v>8000</v>
      </c>
      <c r="F12" s="25">
        <v>8000</v>
      </c>
    </row>
    <row r="13" spans="1:6" x14ac:dyDescent="0.25">
      <c r="A13" s="11" t="s">
        <v>380</v>
      </c>
      <c r="B13" s="25">
        <f>'Debt Schedule'!B13</f>
        <v>231645</v>
      </c>
      <c r="C13" s="25">
        <f>'Debt Schedule'!C13</f>
        <v>212061</v>
      </c>
      <c r="D13" s="25">
        <f>'Debt Schedule'!D13</f>
        <v>191165</v>
      </c>
      <c r="E13" s="25">
        <f>'Debt Schedule'!E13</f>
        <v>168870</v>
      </c>
      <c r="F13" s="25">
        <f>'Debt Schedule'!F13</f>
        <v>145082</v>
      </c>
    </row>
    <row r="14" spans="1:6" x14ac:dyDescent="0.25">
      <c r="A14" s="10" t="s">
        <v>381</v>
      </c>
      <c r="B14" s="33">
        <f>SUM(B12:B13)</f>
        <v>239645</v>
      </c>
      <c r="C14" s="33">
        <f>SUM(C12:C13)</f>
        <v>220061</v>
      </c>
      <c r="D14" s="33">
        <f>SUM(D12:D13)</f>
        <v>199165</v>
      </c>
      <c r="E14" s="33">
        <f>SUM(E12:E13)</f>
        <v>176870</v>
      </c>
      <c r="F14" s="33">
        <f>SUM(F12:F13)</f>
        <v>153082</v>
      </c>
    </row>
    <row r="16" ht="24" customHeight="1" spans="1:6" x14ac:dyDescent="0.25">
      <c r="A16" s="19" t="s">
        <v>382</v>
      </c>
      <c r="B16" s="19"/>
      <c r="C16" s="19"/>
      <c r="D16" s="19"/>
      <c r="E16" s="19"/>
      <c r="F16" s="19"/>
    </row>
    <row r="17" spans="1:6" x14ac:dyDescent="0.25">
      <c r="A17" s="10" t="s">
        <v>383</v>
      </c>
      <c r="B17" s="34">
        <f>B9-B14</f>
        <v>732788</v>
      </c>
      <c r="C17" s="34">
        <f>C9-C14</f>
        <v>2034135</v>
      </c>
      <c r="D17" s="34">
        <f>D9-D14</f>
        <v>3924509</v>
      </c>
      <c r="E17" s="34">
        <f>E9-E14</f>
        <v>6347488</v>
      </c>
      <c r="F17" s="34">
        <f>F9-F14</f>
        <v>9131278</v>
      </c>
    </row>
    <row r="19" spans="1:6" x14ac:dyDescent="0.25">
      <c r="A19" s="10" t="s">
        <v>384</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386</v>
      </c>
      <c r="B4" s="19"/>
      <c r="C4" s="19"/>
      <c r="D4" s="19"/>
      <c r="E4" s="19"/>
      <c r="F4" s="19"/>
    </row>
    <row r="5" spans="1:6" x14ac:dyDescent="0.25">
      <c r="A5" s="11" t="s">
        <v>387</v>
      </c>
      <c r="B5" s="25">
        <v>1922500</v>
      </c>
      <c r="C5" s="25">
        <v>2542373</v>
      </c>
      <c r="D5" s="25">
        <v>3197640</v>
      </c>
      <c r="E5" s="25">
        <v>3788916</v>
      </c>
      <c r="F5" s="25">
        <v>4204820</v>
      </c>
    </row>
    <row r="6" spans="1:6" x14ac:dyDescent="0.25">
      <c r="A6" s="11" t="s">
        <v>341</v>
      </c>
      <c r="B6" s="25">
        <v>854772</v>
      </c>
      <c r="C6" s="25">
        <v>880415</v>
      </c>
      <c r="D6" s="25">
        <v>906828</v>
      </c>
      <c r="E6" s="25">
        <v>934032</v>
      </c>
      <c r="F6" s="25">
        <v>962053</v>
      </c>
    </row>
    <row r="7" spans="1:6" x14ac:dyDescent="0.25">
      <c r="A7" s="11" t="s">
        <v>342</v>
      </c>
      <c r="B7" s="25">
        <v>271400</v>
      </c>
      <c r="C7" s="25">
        <v>310442</v>
      </c>
      <c r="D7" s="25">
        <v>351582</v>
      </c>
      <c r="E7" s="25">
        <v>389448</v>
      </c>
      <c r="F7" s="25">
        <v>418014</v>
      </c>
    </row>
    <row r="8" spans="1:6" x14ac:dyDescent="0.25">
      <c r="A8" s="10" t="s">
        <v>388</v>
      </c>
      <c r="B8" s="35">
        <v>737264</v>
      </c>
      <c r="C8" s="35">
        <v>1307451</v>
      </c>
      <c r="D8" s="35">
        <v>1895166</v>
      </c>
      <c r="E8" s="35">
        <v>2426371</v>
      </c>
      <c r="F8" s="35">
        <v>2785688</v>
      </c>
    </row>
    <row r="9" spans="1:6" x14ac:dyDescent="0.25">
      <c r="A9" s="11" t="s">
        <v>389</v>
      </c>
      <c r="B9" s="25">
        <v>25714</v>
      </c>
      <c r="C9" s="25">
        <v>25714</v>
      </c>
      <c r="D9" s="25">
        <v>25714</v>
      </c>
      <c r="E9" s="25">
        <v>25714</v>
      </c>
      <c r="F9" s="25">
        <v>25714</v>
      </c>
    </row>
    <row r="10" spans="1:6" x14ac:dyDescent="0.25">
      <c r="A10" s="11" t="s">
        <v>390</v>
      </c>
      <c r="B10" s="25">
        <v>34064</v>
      </c>
      <c r="C10" s="25">
        <v>34064</v>
      </c>
      <c r="D10" s="25">
        <v>34064</v>
      </c>
      <c r="E10" s="25">
        <v>34064</v>
      </c>
      <c r="F10" s="25">
        <v>34064</v>
      </c>
    </row>
    <row r="11" spans="1:6" x14ac:dyDescent="0.25">
      <c r="A11" s="10" t="s">
        <v>391</v>
      </c>
      <c r="B11" s="35">
        <f>B8+B9+B10</f>
        <v>797042</v>
      </c>
      <c r="C11" s="35">
        <f>C8+C9+C10</f>
        <v>1367230</v>
      </c>
      <c r="D11" s="35">
        <f>D8+D9+D10</f>
        <v>1954944</v>
      </c>
      <c r="E11" s="35">
        <f>E8+E9+E10</f>
        <v>2486149</v>
      </c>
      <c r="F11" s="35">
        <f>F8+F9+F10</f>
        <v>2845467</v>
      </c>
    </row>
    <row r="12" spans="1:6" x14ac:dyDescent="0.25">
      <c r="A12" s="10" t="s">
        <v>392</v>
      </c>
      <c r="B12" s="50">
        <v>22.64</v>
      </c>
      <c r="C12" s="50">
        <v>39.38</v>
      </c>
      <c r="D12" s="50">
        <v>56.63</v>
      </c>
      <c r="E12" s="50">
        <v>72.23</v>
      </c>
      <c r="F12" s="50">
        <v>82.78</v>
      </c>
    </row>
    <row r="14" ht="24" customHeight="1" spans="1:6" x14ac:dyDescent="0.25">
      <c r="A14" s="19" t="s">
        <v>393</v>
      </c>
      <c r="B14" s="19"/>
      <c r="C14" s="19"/>
      <c r="D14" s="19"/>
      <c r="E14" s="19"/>
      <c r="F14" s="19"/>
    </row>
    <row r="15" spans="1:6" x14ac:dyDescent="0.25">
      <c r="A15" s="11" t="s">
        <v>394</v>
      </c>
      <c r="B15" s="25">
        <v>812264</v>
      </c>
      <c r="C15" s="25">
        <v>2119715</v>
      </c>
      <c r="D15" s="25">
        <v>4014880</v>
      </c>
      <c r="E15" s="25">
        <v>6441251</v>
      </c>
      <c r="F15" s="25">
        <v>9226939</v>
      </c>
    </row>
    <row r="16" hidden="1" spans="1:6" x14ac:dyDescent="0.25">
      <c r="A16" s="11" t="s">
        <v>395</v>
      </c>
      <c r="B16" s="25">
        <v>812256</v>
      </c>
      <c r="C16" s="25">
        <v>2119707</v>
      </c>
      <c r="D16" s="25">
        <v>4014873</v>
      </c>
      <c r="E16" s="25">
        <v>6441243</v>
      </c>
      <c r="F16" s="25">
        <v>9226932</v>
      </c>
    </row>
    <row r="17" spans="1:6" x14ac:dyDescent="0.25">
      <c r="A17" s="11" t="s">
        <v>396</v>
      </c>
      <c r="B17" s="37">
        <f>IF((B5-B8)=0,0,(B16/(B5-B8))*365)</f>
        <v>250</v>
      </c>
      <c r="C17" s="37">
        <f>IF((C5-C8)=0,0,(C16/(C5-C8))*365)</f>
        <v>627</v>
      </c>
      <c r="D17" s="37">
        <f>IF((D5-D8)=0,0,(D16/(D5-D8))*365)</f>
        <v>1125</v>
      </c>
      <c r="E17" s="37">
        <f>IF((E5-E8)=0,0,(E16/(E5-E8))*365)</f>
        <v>1725</v>
      </c>
      <c r="F17" s="37">
        <f>IF((F5-F8)=0,0,(F16/(F5-F8))*365)</f>
        <v>2373</v>
      </c>
    </row>
    <row r="18" spans="1:6" x14ac:dyDescent="0.25">
      <c r="A18" s="11" t="s">
        <v>397</v>
      </c>
      <c r="B18" s="36">
        <f>IF((B5-B8)=0,0,B16/((B5-B8)/12))</f>
        <v>8.2</v>
      </c>
      <c r="C18" s="36">
        <f>IF((C5-C8)=0,0,C16/((C5-C8)/12))</f>
        <v>20.6</v>
      </c>
      <c r="D18" s="36">
        <f>IF((D5-D8)=0,0,D16/((D5-D8)/12))</f>
        <v>37</v>
      </c>
      <c r="E18" s="36">
        <f>IF((E5-E8)=0,0,E16/((E5-E8)/12))</f>
        <v>56.7</v>
      </c>
      <c r="F18" s="36">
        <f>IF((F5-F8)=0,0,F16/((F5-F8)/12))</f>
        <v>78</v>
      </c>
    </row>
    <row r="19" spans="1:6" x14ac:dyDescent="0.25">
      <c r="A19" s="11" t="s">
        <v>228</v>
      </c>
      <c r="B19" s="26">
        <v>0.5</v>
      </c>
      <c r="C19" s="26">
        <v>0.65</v>
      </c>
      <c r="D19" s="26">
        <v>0.8</v>
      </c>
      <c r="E19" s="26">
        <v>0.925</v>
      </c>
      <c r="F19" s="26">
        <v>1</v>
      </c>
    </row>
    <row r="21" ht="24" customHeight="1" spans="1:6" x14ac:dyDescent="0.25">
      <c r="A21" s="19" t="s">
        <v>398</v>
      </c>
      <c r="B21" s="19"/>
      <c r="C21" s="19"/>
      <c r="D21" s="19"/>
      <c r="E21" s="19"/>
      <c r="F21" s="19"/>
    </row>
    <row r="22" spans="1:6" x14ac:dyDescent="0.25">
      <c r="A22" s="11" t="s">
        <v>272</v>
      </c>
      <c r="B22" s="25">
        <v>19225</v>
      </c>
      <c r="C22" s="25">
        <v>19557</v>
      </c>
      <c r="D22" s="25">
        <v>19985</v>
      </c>
      <c r="E22" s="25">
        <v>20481</v>
      </c>
      <c r="F22" s="25">
        <v>21024</v>
      </c>
    </row>
    <row r="23" spans="1:6" x14ac:dyDescent="0.25">
      <c r="A23" s="11" t="s">
        <v>399</v>
      </c>
      <c r="B23" s="25">
        <v>888836</v>
      </c>
      <c r="C23" s="25">
        <v>914480</v>
      </c>
      <c r="D23" s="25">
        <v>940892</v>
      </c>
      <c r="E23" s="25">
        <v>968097</v>
      </c>
      <c r="F23" s="25">
        <v>996118</v>
      </c>
    </row>
    <row r="24" spans="1:6" x14ac:dyDescent="0.25">
      <c r="A24" s="11" t="s">
        <v>400</v>
      </c>
      <c r="B24" s="25">
        <v>2714</v>
      </c>
      <c r="C24" s="25">
        <v>2388</v>
      </c>
      <c r="D24" s="25">
        <v>2197</v>
      </c>
      <c r="E24" s="25">
        <v>2105</v>
      </c>
      <c r="F24" s="25">
        <v>2090</v>
      </c>
    </row>
    <row r="25" spans="1:6" x14ac:dyDescent="0.25">
      <c r="A25" s="10" t="s">
        <v>401</v>
      </c>
      <c r="B25" s="51">
        <v>59</v>
      </c>
      <c r="C25" s="51">
        <v>59</v>
      </c>
      <c r="D25" s="51">
        <v>60</v>
      </c>
      <c r="E25" s="51">
        <v>60</v>
      </c>
      <c r="F25" s="51">
        <v>60</v>
      </c>
    </row>
    <row r="27" ht="24" customHeight="1" spans="1:6" x14ac:dyDescent="0.25">
      <c r="A27" s="19" t="s">
        <v>402</v>
      </c>
      <c r="B27" s="19"/>
      <c r="C27" s="19"/>
      <c r="D27" s="19"/>
      <c r="E27" s="19"/>
      <c r="F27" s="19"/>
    </row>
    <row r="28" spans="1:6" x14ac:dyDescent="0.25">
      <c r="A28" s="11" t="s">
        <v>403</v>
      </c>
      <c r="B28" s="52" t="s">
        <v>404</v>
      </c>
      <c r="C28" s="52" t="s">
        <v>404</v>
      </c>
      <c r="D28" s="52" t="s">
        <v>404</v>
      </c>
      <c r="E28" s="52" t="s">
        <v>404</v>
      </c>
      <c r="F28" s="52" t="s">
        <v>404</v>
      </c>
    </row>
    <row r="29" spans="1:6" x14ac:dyDescent="0.25">
      <c r="A29" s="11" t="s">
        <v>405</v>
      </c>
      <c r="B29" s="52" t="s">
        <v>404</v>
      </c>
      <c r="C29" s="52" t="s">
        <v>404</v>
      </c>
      <c r="D29" s="52" t="s">
        <v>404</v>
      </c>
      <c r="E29" s="52" t="s">
        <v>404</v>
      </c>
      <c r="F29" s="52" t="s">
        <v>404</v>
      </c>
    </row>
    <row r="30" spans="1:6" x14ac:dyDescent="0.25">
      <c r="A30" s="11" t="s">
        <v>406</v>
      </c>
      <c r="B30" s="52" t="s">
        <v>404</v>
      </c>
      <c r="C30" s="52" t="s">
        <v>404</v>
      </c>
      <c r="D30" s="52" t="s">
        <v>404</v>
      </c>
      <c r="E30" s="52" t="s">
        <v>404</v>
      </c>
      <c r="F30" s="52" t="s">
        <v>404</v>
      </c>
    </row>
    <row r="31" spans="1:6" x14ac:dyDescent="0.25">
      <c r="A31" s="11" t="s">
        <v>407</v>
      </c>
      <c r="B31" s="53" t="s">
        <v>408</v>
      </c>
      <c r="C31" s="53" t="s">
        <v>408</v>
      </c>
      <c r="D31" s="53" t="s">
        <v>408</v>
      </c>
      <c r="E31" s="53" t="s">
        <v>408</v>
      </c>
      <c r="F31" s="53" t="s">
        <v>408</v>
      </c>
    </row>
    <row r="32" spans="1:6" x14ac:dyDescent="0.25">
      <c r="A32" s="11" t="s">
        <v>409</v>
      </c>
      <c r="B32" s="52" t="s">
        <v>404</v>
      </c>
      <c r="C32" s="52" t="s">
        <v>404</v>
      </c>
      <c r="D32" s="52" t="s">
        <v>404</v>
      </c>
      <c r="E32" s="52" t="s">
        <v>404</v>
      </c>
      <c r="F32" s="52" t="s">
        <v>404</v>
      </c>
    </row>
    <row r="33" spans="1:6" x14ac:dyDescent="0.25">
      <c r="A33" s="11" t="s">
        <v>410</v>
      </c>
      <c r="B33" s="52" t="s">
        <v>404</v>
      </c>
      <c r="C33" s="52" t="s">
        <v>404</v>
      </c>
      <c r="D33" s="52" t="s">
        <v>404</v>
      </c>
      <c r="E33" s="52" t="s">
        <v>404</v>
      </c>
      <c r="F33" s="52" t="s">
        <v>404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411</v>
      </c>
      <c r="B3" s="54" t="s">
        <v>116</v>
      </c>
      <c r="D3" s="54" t="s">
        <v>412</v>
      </c>
      <c r="E3" s="54" t="s">
        <v>116</v>
      </c>
    </row>
    <row r="4" spans="1:5" x14ac:dyDescent="0.25">
      <c r="A4" s="11" t="s">
        <v>181</v>
      </c>
      <c r="B4" s="25">
        <v>250000</v>
      </c>
      <c r="D4" s="11" t="s">
        <v>413</v>
      </c>
      <c r="E4" s="25">
        <v>200000</v>
      </c>
    </row>
    <row r="5" spans="1:5" x14ac:dyDescent="0.25">
      <c r="A5" s="11" t="s">
        <v>128</v>
      </c>
      <c r="B5" s="25">
        <v>50000</v>
      </c>
      <c r="D5" s="11" t="s">
        <v>183</v>
      </c>
      <c r="E5" s="25">
        <v>50000</v>
      </c>
    </row>
    <row r="6" spans="1:5" x14ac:dyDescent="0.25">
      <c r="A6" s="11" t="s">
        <v>414</v>
      </c>
      <c r="B6" s="25">
        <v>75000</v>
      </c>
      <c r="D6" s="11" t="s">
        <v>415</v>
      </c>
      <c r="E6" s="25">
        <v>75000</v>
      </c>
    </row>
    <row r="7" spans="4:5" x14ac:dyDescent="0.25">
      <c r="D7" s="11" t="s">
        <v>416</v>
      </c>
      <c r="E7" s="25">
        <v>50000</v>
      </c>
    </row>
    <row r="9" spans="1:5" x14ac:dyDescent="0.25">
      <c r="A9" s="10" t="s">
        <v>417</v>
      </c>
      <c r="B9" s="34">
        <v>375000</v>
      </c>
      <c r="D9" s="10" t="s">
        <v>418</v>
      </c>
      <c r="E9" s="34">
        <v>375000</v>
      </c>
    </row>
    <row r="10" spans="1:2" x14ac:dyDescent="0.25">
      <c r="A10" s="10" t="s">
        <v>419</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420</v>
      </c>
      <c r="B1" s="15"/>
      <c r="C1" s="15"/>
      <c r="D1" s="15"/>
      <c r="E1" s="15"/>
      <c r="F1" s="15"/>
    </row>
    <row r="3" ht="24" customHeight="1" spans="1:6" x14ac:dyDescent="0.25">
      <c r="A3" s="19" t="s">
        <v>421</v>
      </c>
      <c r="B3" s="19"/>
      <c r="C3" s="19"/>
      <c r="D3" s="19"/>
      <c r="E3" s="19"/>
      <c r="F3" s="19"/>
    </row>
    <row r="4" spans="1:1" x14ac:dyDescent="0.25">
      <c r="A4" s="17" t="s">
        <v>422</v>
      </c>
    </row>
    <row r="5" ht="28" customHeight="1" spans="1:6" x14ac:dyDescent="0.25">
      <c r="A5" s="21" t="s">
        <v>7</v>
      </c>
      <c r="B5" s="21" t="s">
        <v>106</v>
      </c>
      <c r="C5" s="21" t="s">
        <v>107</v>
      </c>
      <c r="D5" s="21" t="s">
        <v>108</v>
      </c>
      <c r="E5" s="21" t="s">
        <v>109</v>
      </c>
      <c r="F5" s="21" t="s">
        <v>110</v>
      </c>
    </row>
    <row r="6" spans="1:6" x14ac:dyDescent="0.25">
      <c r="A6" s="11" t="s">
        <v>387</v>
      </c>
      <c r="B6" s="25">
        <v>1922500</v>
      </c>
      <c r="C6" s="25">
        <v>2542373</v>
      </c>
      <c r="D6" s="25">
        <v>3197640</v>
      </c>
      <c r="E6" s="25">
        <v>3788916</v>
      </c>
      <c r="F6" s="25">
        <v>4204820</v>
      </c>
    </row>
    <row r="7" spans="1:6" x14ac:dyDescent="0.25">
      <c r="A7" s="11" t="s">
        <v>320</v>
      </c>
      <c r="B7" s="25">
        <v>1160236</v>
      </c>
      <c r="C7" s="25">
        <v>1224922</v>
      </c>
      <c r="D7" s="25">
        <v>1292474</v>
      </c>
      <c r="E7" s="25">
        <v>1357545</v>
      </c>
      <c r="F7" s="25">
        <v>1414132</v>
      </c>
    </row>
    <row r="8" spans="1:6" x14ac:dyDescent="0.25">
      <c r="A8" s="10" t="s">
        <v>322</v>
      </c>
      <c r="B8" s="34">
        <v>762264</v>
      </c>
      <c r="C8" s="34">
        <v>1317451</v>
      </c>
      <c r="D8" s="34">
        <v>1905166</v>
      </c>
      <c r="E8" s="34">
        <v>2431371</v>
      </c>
      <c r="F8" s="34">
        <v>2790688</v>
      </c>
    </row>
    <row r="9" spans="1:6" x14ac:dyDescent="0.25">
      <c r="A9" s="11" t="s">
        <v>323</v>
      </c>
      <c r="B9" s="26">
        <v>0.3964960243609842</v>
      </c>
      <c r="C9" s="26">
        <v>0.5181974501509877</v>
      </c>
      <c r="D9" s="26">
        <v>0.5958036964867816</v>
      </c>
      <c r="E9" s="26">
        <v>0.6417062509813144</v>
      </c>
      <c r="F9" s="26">
        <v>0.6636879148830799</v>
      </c>
    </row>
    <row r="10" spans="1:6" x14ac:dyDescent="0.25">
      <c r="A10" s="11" t="s">
        <v>392</v>
      </c>
      <c r="B10" s="55">
        <v>23.38</v>
      </c>
      <c r="C10" s="55">
        <v>39.68</v>
      </c>
      <c r="D10" s="55">
        <v>56.93</v>
      </c>
      <c r="E10" s="55">
        <v>72.38</v>
      </c>
      <c r="F10" s="55">
        <v>82.92</v>
      </c>
    </row>
    <row r="11" spans="1:6" x14ac:dyDescent="0.25">
      <c r="A11" s="11" t="s">
        <v>401</v>
      </c>
      <c r="B11" s="37">
        <v>54</v>
      </c>
      <c r="C11" s="37">
        <v>54</v>
      </c>
      <c r="D11" s="37">
        <v>53</v>
      </c>
      <c r="E11" s="37">
        <v>53</v>
      </c>
      <c r="F11" s="37">
        <v>53</v>
      </c>
    </row>
    <row r="13" ht="24" customHeight="1" spans="1:6" x14ac:dyDescent="0.25">
      <c r="A13" s="19" t="s">
        <v>423</v>
      </c>
      <c r="B13" s="19"/>
      <c r="C13" s="19"/>
      <c r="D13" s="19"/>
      <c r="E13" s="19"/>
      <c r="F13" s="19"/>
    </row>
    <row r="14" spans="1:1" x14ac:dyDescent="0.25">
      <c r="A14" s="17" t="s">
        <v>424</v>
      </c>
    </row>
    <row r="15" ht="28" customHeight="1" spans="1:6" x14ac:dyDescent="0.25">
      <c r="A15" s="21" t="s">
        <v>7</v>
      </c>
      <c r="B15" s="21" t="s">
        <v>106</v>
      </c>
      <c r="C15" s="21" t="s">
        <v>107</v>
      </c>
      <c r="D15" s="21" t="s">
        <v>108</v>
      </c>
      <c r="E15" s="21" t="s">
        <v>109</v>
      </c>
      <c r="F15" s="21" t="s">
        <v>110</v>
      </c>
    </row>
    <row r="16" spans="1:6" x14ac:dyDescent="0.25">
      <c r="A16" s="11" t="s">
        <v>387</v>
      </c>
      <c r="B16" s="25">
        <v>1634125</v>
      </c>
      <c r="C16" s="25">
        <v>2161017</v>
      </c>
      <c r="D16" s="25">
        <v>2717994</v>
      </c>
      <c r="E16" s="25">
        <v>3220578</v>
      </c>
      <c r="F16" s="25">
        <v>3574097</v>
      </c>
    </row>
    <row r="17" spans="1:6" x14ac:dyDescent="0.25">
      <c r="A17" s="11" t="s">
        <v>320</v>
      </c>
      <c r="B17" s="25">
        <v>1160236</v>
      </c>
      <c r="C17" s="25">
        <v>1224922</v>
      </c>
      <c r="D17" s="25">
        <v>1292474</v>
      </c>
      <c r="E17" s="25">
        <v>1357545</v>
      </c>
      <c r="F17" s="25">
        <v>1414132</v>
      </c>
    </row>
    <row r="18" spans="1:6" x14ac:dyDescent="0.25">
      <c r="A18" s="10" t="s">
        <v>322</v>
      </c>
      <c r="B18" s="34">
        <v>473889</v>
      </c>
      <c r="C18" s="34">
        <v>936095</v>
      </c>
      <c r="D18" s="34">
        <v>1425520</v>
      </c>
      <c r="E18" s="34">
        <v>1863033</v>
      </c>
      <c r="F18" s="34">
        <v>2159965</v>
      </c>
    </row>
    <row r="19" spans="1:6" x14ac:dyDescent="0.25">
      <c r="A19" s="11" t="s">
        <v>323</v>
      </c>
      <c r="B19" s="26">
        <v>0.2899953227776284</v>
      </c>
      <c r="C19" s="26">
        <v>0.433173470765868</v>
      </c>
      <c r="D19" s="26">
        <v>0.5244749370432724</v>
      </c>
      <c r="E19" s="26">
        <v>0.578477942330958</v>
      </c>
      <c r="F19" s="26">
        <v>0.6043387233918587</v>
      </c>
    </row>
    <row r="20" spans="1:6" x14ac:dyDescent="0.25">
      <c r="A20" s="11" t="s">
        <v>392</v>
      </c>
      <c r="B20" s="55">
        <v>14.91</v>
      </c>
      <c r="C20" s="55">
        <v>28.48</v>
      </c>
      <c r="D20" s="55">
        <v>42.85</v>
      </c>
      <c r="E20" s="55">
        <v>55.69</v>
      </c>
      <c r="F20" s="55">
        <v>64.41</v>
      </c>
    </row>
    <row r="21" spans="1:6" x14ac:dyDescent="0.25">
      <c r="A21" s="11" t="s">
        <v>401</v>
      </c>
      <c r="B21" s="37">
        <v>56</v>
      </c>
      <c r="C21" s="37">
        <v>55</v>
      </c>
      <c r="D21" s="37">
        <v>55</v>
      </c>
      <c r="E21" s="37">
        <v>54</v>
      </c>
      <c r="F21" s="37">
        <v>54</v>
      </c>
    </row>
    <row r="23" ht="24" customHeight="1" spans="1:6" x14ac:dyDescent="0.25">
      <c r="A23" s="19" t="s">
        <v>425</v>
      </c>
      <c r="B23" s="19"/>
      <c r="C23" s="19"/>
      <c r="D23" s="19"/>
      <c r="E23" s="19"/>
      <c r="F23" s="19"/>
    </row>
    <row r="24" spans="1:1" x14ac:dyDescent="0.25">
      <c r="A24" s="17" t="s">
        <v>426</v>
      </c>
    </row>
    <row r="25" ht="28" customHeight="1" spans="1:6" x14ac:dyDescent="0.25">
      <c r="A25" s="21" t="s">
        <v>7</v>
      </c>
      <c r="B25" s="21" t="s">
        <v>106</v>
      </c>
      <c r="C25" s="21" t="s">
        <v>107</v>
      </c>
      <c r="D25" s="21" t="s">
        <v>108</v>
      </c>
      <c r="E25" s="21" t="s">
        <v>109</v>
      </c>
      <c r="F25" s="21" t="s">
        <v>110</v>
      </c>
    </row>
    <row r="26" spans="1:6" x14ac:dyDescent="0.25">
      <c r="A26" s="11" t="s">
        <v>387</v>
      </c>
      <c r="B26" s="25">
        <v>1922500</v>
      </c>
      <c r="C26" s="25">
        <v>2542373</v>
      </c>
      <c r="D26" s="25">
        <v>3197640</v>
      </c>
      <c r="E26" s="25">
        <v>3788916</v>
      </c>
      <c r="F26" s="25">
        <v>4204820</v>
      </c>
    </row>
    <row r="27" spans="1:6" x14ac:dyDescent="0.25">
      <c r="A27" s="11" t="s">
        <v>320</v>
      </c>
      <c r="B27" s="25">
        <v>1173736</v>
      </c>
      <c r="C27" s="25">
        <v>1241917</v>
      </c>
      <c r="D27" s="25">
        <v>1313162</v>
      </c>
      <c r="E27" s="25">
        <v>1381585</v>
      </c>
      <c r="F27" s="25">
        <v>1440581</v>
      </c>
    </row>
    <row r="28" spans="1:6" x14ac:dyDescent="0.25">
      <c r="A28" s="10" t="s">
        <v>322</v>
      </c>
      <c r="B28" s="34">
        <v>748764</v>
      </c>
      <c r="C28" s="34">
        <v>1300456</v>
      </c>
      <c r="D28" s="34">
        <v>1884478</v>
      </c>
      <c r="E28" s="34">
        <v>2407331</v>
      </c>
      <c r="F28" s="34">
        <v>2764239</v>
      </c>
    </row>
    <row r="29" spans="1:6" x14ac:dyDescent="0.25">
      <c r="A29" s="11" t="s">
        <v>323</v>
      </c>
      <c r="B29" s="26">
        <v>0.3894739177289946</v>
      </c>
      <c r="C29" s="26">
        <v>0.5115127491482826</v>
      </c>
      <c r="D29" s="26">
        <v>0.5893340657591198</v>
      </c>
      <c r="E29" s="26">
        <v>0.6353614290923069</v>
      </c>
      <c r="F29" s="26">
        <v>0.657397643947582</v>
      </c>
    </row>
    <row r="30" spans="1:6" x14ac:dyDescent="0.25">
      <c r="A30" s="11" t="s">
        <v>392</v>
      </c>
      <c r="B30" s="55">
        <v>22.98</v>
      </c>
      <c r="C30" s="55">
        <v>39.18</v>
      </c>
      <c r="D30" s="55">
        <v>56.32</v>
      </c>
      <c r="E30" s="55">
        <v>71.67</v>
      </c>
      <c r="F30" s="55">
        <v>82.15</v>
      </c>
    </row>
    <row r="31" spans="1:6" x14ac:dyDescent="0.25">
      <c r="A31" s="11" t="s">
        <v>401</v>
      </c>
      <c r="B31" s="37">
        <v>55</v>
      </c>
      <c r="C31" s="37">
        <v>54</v>
      </c>
      <c r="D31" s="37">
        <v>54</v>
      </c>
      <c r="E31" s="37">
        <v>54</v>
      </c>
      <c r="F31" s="37">
        <v>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147</v>
      </c>
      <c r="B5" s="11" t="s">
        <v>34</v>
      </c>
    </row>
    <row r="6" spans="1:2" x14ac:dyDescent="0.25">
      <c r="A6" s="11" t="s">
        <v>428</v>
      </c>
      <c r="B6" s="11" t="s">
        <v>36</v>
      </c>
    </row>
    <row r="7" spans="1:2" x14ac:dyDescent="0.25">
      <c r="A7" s="11" t="s">
        <v>43</v>
      </c>
      <c r="B7" s="11" t="s">
        <v>44</v>
      </c>
    </row>
    <row r="8" spans="1:2" x14ac:dyDescent="0.25">
      <c r="A8" s="11" t="s">
        <v>37</v>
      </c>
      <c r="B8" s="11" t="s">
        <v>38</v>
      </c>
    </row>
    <row r="9" spans="1:2" x14ac:dyDescent="0.25">
      <c r="A9" s="11" t="s">
        <v>429</v>
      </c>
      <c r="B9" s="11" t="s">
        <v>46</v>
      </c>
    </row>
    <row r="11" ht="24" customHeight="1" spans="1:8" x14ac:dyDescent="0.25">
      <c r="A11" s="19" t="s">
        <v>430</v>
      </c>
      <c r="B11" s="19"/>
      <c r="C11" s="19"/>
      <c r="D11" s="19"/>
      <c r="E11" s="19"/>
      <c r="F11" s="19"/>
      <c r="G11" s="19"/>
      <c r="H11" s="19"/>
    </row>
    <row r="12" spans="1:8" x14ac:dyDescent="0.25">
      <c r="A12" t="s">
        <v>7</v>
      </c>
      <c r="B12" t="s">
        <v>7</v>
      </c>
      <c r="C12" t="s">
        <v>7</v>
      </c>
      <c r="D12" s="56" t="s">
        <v>106</v>
      </c>
      <c r="E12" s="56" t="s">
        <v>107</v>
      </c>
      <c r="F12" s="56" t="s">
        <v>108</v>
      </c>
      <c r="G12" s="56" t="s">
        <v>109</v>
      </c>
      <c r="H12" s="56" t="s">
        <v>110</v>
      </c>
    </row>
    <row r="13" spans="1:8" x14ac:dyDescent="0.25">
      <c r="A13" s="11" t="s">
        <v>387</v>
      </c>
      <c r="D13" s="25">
        <v>1922500</v>
      </c>
      <c r="E13" s="25">
        <v>2542373</v>
      </c>
      <c r="F13" s="25">
        <v>3197640</v>
      </c>
      <c r="G13" s="25">
        <v>3788916</v>
      </c>
      <c r="H13" s="25">
        <v>4204820</v>
      </c>
    </row>
    <row r="14" spans="1:8" x14ac:dyDescent="0.25">
      <c r="A14" s="11" t="s">
        <v>320</v>
      </c>
      <c r="D14" s="25">
        <v>1160236</v>
      </c>
      <c r="E14" s="25">
        <v>1224922</v>
      </c>
      <c r="F14" s="25">
        <v>1292474</v>
      </c>
      <c r="G14" s="25">
        <v>1357545</v>
      </c>
      <c r="H14" s="25">
        <v>1414132</v>
      </c>
    </row>
    <row r="15" spans="1:8" x14ac:dyDescent="0.25">
      <c r="A15" s="11" t="s">
        <v>322</v>
      </c>
      <c r="D15" s="25">
        <v>737264</v>
      </c>
      <c r="E15" s="25">
        <v>1307451</v>
      </c>
      <c r="F15" s="25">
        <v>1895166</v>
      </c>
      <c r="G15" s="25">
        <v>2426371</v>
      </c>
      <c r="H15" s="25">
        <v>2785688</v>
      </c>
    </row>
    <row r="16" spans="1:8" x14ac:dyDescent="0.25">
      <c r="A16" s="11" t="s">
        <v>431</v>
      </c>
      <c r="D16" s="25">
        <v>812256</v>
      </c>
      <c r="E16" s="25">
        <v>2119707</v>
      </c>
      <c r="F16" s="25">
        <v>4014873</v>
      </c>
      <c r="G16" s="25">
        <v>6441243</v>
      </c>
      <c r="H16" s="25">
        <v>9226932</v>
      </c>
    </row>
    <row r="17" spans="1:8" x14ac:dyDescent="0.25">
      <c r="A17" s="11" t="s">
        <v>432</v>
      </c>
      <c r="D17" s="25">
        <v>231645</v>
      </c>
      <c r="E17" s="25">
        <v>212061</v>
      </c>
      <c r="F17" s="25">
        <v>191165</v>
      </c>
      <c r="G17" s="25">
        <v>168870</v>
      </c>
      <c r="H17" s="25">
        <v>145082</v>
      </c>
    </row>
    <row r="19" ht="24" customHeight="1" spans="1:8" x14ac:dyDescent="0.25">
      <c r="A19" s="19" t="s">
        <v>433</v>
      </c>
      <c r="B19" s="19"/>
      <c r="C19" s="19"/>
      <c r="D19" s="19"/>
      <c r="E19" s="19"/>
      <c r="F19" s="19"/>
      <c r="G19" s="19"/>
      <c r="H19" s="19"/>
    </row>
    <row r="20" spans="1:8" x14ac:dyDescent="0.25">
      <c r="A20" t="s">
        <v>7</v>
      </c>
      <c r="B20" t="s">
        <v>7</v>
      </c>
      <c r="C20" t="s">
        <v>7</v>
      </c>
      <c r="D20" s="56" t="s">
        <v>106</v>
      </c>
      <c r="E20" s="56" t="s">
        <v>107</v>
      </c>
      <c r="F20" s="56" t="s">
        <v>108</v>
      </c>
      <c r="G20" s="56" t="s">
        <v>109</v>
      </c>
      <c r="H20" s="56" t="s">
        <v>110</v>
      </c>
    </row>
    <row r="21" spans="1:8" x14ac:dyDescent="0.25">
      <c r="A21" s="11" t="s">
        <v>434</v>
      </c>
      <c r="D21" s="26">
        <v>0.3834921231906331</v>
      </c>
      <c r="E21" s="26">
        <v>0.5142641162276543</v>
      </c>
      <c r="F21" s="26">
        <v>0.5926763900983201</v>
      </c>
      <c r="G21" s="26">
        <v>0.6403866121559038</v>
      </c>
      <c r="H21" s="26">
        <v>0.6624988033396607</v>
      </c>
    </row>
    <row r="22" spans="1:8" x14ac:dyDescent="0.25">
      <c r="A22" s="11" t="s">
        <v>392</v>
      </c>
      <c r="D22" s="55">
        <v>22.64</v>
      </c>
      <c r="E22" s="55">
        <v>39.38</v>
      </c>
      <c r="F22" s="55">
        <v>56.63</v>
      </c>
      <c r="G22" s="55">
        <v>72.23</v>
      </c>
      <c r="H22" s="55">
        <v>82.78</v>
      </c>
    </row>
    <row r="23" spans="1:8" x14ac:dyDescent="0.25">
      <c r="A23" s="11" t="s">
        <v>228</v>
      </c>
      <c r="D23" s="26">
        <v>0.5</v>
      </c>
      <c r="E23" s="26">
        <v>0.65</v>
      </c>
      <c r="F23" s="26">
        <v>0.8</v>
      </c>
      <c r="G23" s="26">
        <v>0.925</v>
      </c>
      <c r="H23" s="26">
        <v>1</v>
      </c>
    </row>
    <row r="24" spans="1:8" x14ac:dyDescent="0.25">
      <c r="A24" s="11" t="s">
        <v>435</v>
      </c>
      <c r="D24" s="37">
        <v>100</v>
      </c>
      <c r="E24" s="37">
        <v>130</v>
      </c>
      <c r="F24" s="37">
        <v>160</v>
      </c>
      <c r="G24" s="37">
        <v>185</v>
      </c>
      <c r="H24" s="37">
        <v>200</v>
      </c>
    </row>
    <row r="26" ht="24" customHeight="1" spans="1:8" x14ac:dyDescent="0.25">
      <c r="A26" s="19" t="s">
        <v>436</v>
      </c>
      <c r="B26" s="19"/>
      <c r="C26" s="19"/>
      <c r="D26" s="19"/>
      <c r="E26" s="19"/>
      <c r="F26" s="19"/>
      <c r="G26" s="19"/>
      <c r="H26" s="19"/>
    </row>
    <row r="27" spans="1:8" x14ac:dyDescent="0.25">
      <c r="A27" t="s">
        <v>7</v>
      </c>
      <c r="B27" t="s">
        <v>7</v>
      </c>
      <c r="C27" t="s">
        <v>7</v>
      </c>
      <c r="D27" s="56" t="s">
        <v>106</v>
      </c>
      <c r="E27" s="56" t="s">
        <v>107</v>
      </c>
      <c r="F27" s="56" t="s">
        <v>108</v>
      </c>
      <c r="G27" s="56" t="s">
        <v>109</v>
      </c>
      <c r="H27" s="56" t="s">
        <v>110</v>
      </c>
    </row>
    <row r="28" spans="1:8" x14ac:dyDescent="0.25">
      <c r="A28" s="11" t="s">
        <v>437</v>
      </c>
      <c r="D28" s="37">
        <v>59</v>
      </c>
      <c r="E28" s="37">
        <v>58</v>
      </c>
      <c r="F28" s="37">
        <v>57</v>
      </c>
      <c r="G28" s="37">
        <v>56</v>
      </c>
      <c r="H28" s="37">
        <v>55</v>
      </c>
    </row>
    <row r="29" spans="1:8" x14ac:dyDescent="0.25">
      <c r="A29" s="11" t="s">
        <v>438</v>
      </c>
      <c r="D29" s="26">
        <v>0.295</v>
      </c>
      <c r="E29" s="26">
        <v>0.29</v>
      </c>
      <c r="F29" s="26">
        <v>0.285</v>
      </c>
      <c r="G29" s="26">
        <v>0.28</v>
      </c>
      <c r="H29" s="26">
        <v>0.275</v>
      </c>
    </row>
    <row r="30" spans="1:8" x14ac:dyDescent="0.25">
      <c r="A30" s="11" t="s">
        <v>439</v>
      </c>
      <c r="D30" s="55">
        <v>17.51</v>
      </c>
      <c r="E30" s="55">
        <v>33.27</v>
      </c>
      <c r="F30" s="55">
        <v>49.46</v>
      </c>
      <c r="G30" s="55">
        <v>64.48</v>
      </c>
      <c r="H30" s="55">
        <v>74.41</v>
      </c>
    </row>
    <row r="31" spans="1:8" x14ac:dyDescent="0.25">
      <c r="A31" s="11" t="s">
        <v>440</v>
      </c>
      <c r="D31" s="25">
        <v>637514</v>
      </c>
      <c r="E31" s="25">
        <v>1736760</v>
      </c>
      <c r="F31" s="25">
        <v>3387678</v>
      </c>
      <c r="G31" s="25">
        <v>5550122</v>
      </c>
      <c r="H31" s="25">
        <v>8050719</v>
      </c>
    </row>
    <row r="32" spans="1:8" x14ac:dyDescent="0.25">
      <c r="A32" s="11" t="s">
        <v>441</v>
      </c>
      <c r="D32" s="55">
        <v>12.38</v>
      </c>
      <c r="E32" s="55">
        <v>26.4</v>
      </c>
      <c r="F32" s="55">
        <v>40.77</v>
      </c>
      <c r="G32" s="55">
        <v>53.85</v>
      </c>
      <c r="H32" s="55">
        <v>62.89</v>
      </c>
    </row>
    <row r="33" spans="1:8" x14ac:dyDescent="0.25">
      <c r="A33" s="11" t="s">
        <v>442</v>
      </c>
      <c r="D33" s="25">
        <v>462764</v>
      </c>
      <c r="E33" s="25">
        <v>1328163</v>
      </c>
      <c r="F33" s="25">
        <v>2682793</v>
      </c>
      <c r="G33" s="25">
        <v>4483034</v>
      </c>
      <c r="H33" s="25">
        <v>6591149</v>
      </c>
    </row>
    <row r="35" spans="1:8" x14ac:dyDescent="0.25">
      <c r="A35" s="14" t="s">
        <v>443</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444</v>
      </c>
      <c r="C2" s="1"/>
      <c r="D2" s="1"/>
      <c r="E2" s="1"/>
      <c r="F2" s="1"/>
      <c r="G2" s="1"/>
      <c r="H2" s="1"/>
      <c r="I2" s="1"/>
    </row>
    <row r="3" spans="2:9" x14ac:dyDescent="0.25">
      <c r="B3" s="57" t="s">
        <v>445</v>
      </c>
      <c r="C3" s="57"/>
      <c r="D3" s="57"/>
      <c r="E3" s="57"/>
      <c r="F3" s="57"/>
      <c r="G3" s="57"/>
      <c r="H3" s="57"/>
      <c r="I3" s="57"/>
    </row>
    <row r="4" spans="2:6" x14ac:dyDescent="0.25">
      <c r="B4" s="58" t="s">
        <v>446</v>
      </c>
      <c r="D4" s="59" t="s">
        <v>447</v>
      </c>
      <c r="F4" s="60" t="s">
        <v>448</v>
      </c>
    </row>
    <row r="6" ht="24" customHeight="1" spans="2:8" x14ac:dyDescent="0.25">
      <c r="B6" s="19" t="s">
        <v>449</v>
      </c>
      <c r="C6" s="61" t="s">
        <v>450</v>
      </c>
      <c r="D6" s="61" t="s">
        <v>451</v>
      </c>
      <c r="E6" s="61" t="s">
        <v>452</v>
      </c>
      <c r="F6" s="61" t="s">
        <v>453</v>
      </c>
      <c r="G6" s="61" t="s">
        <v>454</v>
      </c>
      <c r="H6" s="61" t="s">
        <v>455</v>
      </c>
    </row>
    <row r="7" spans="2:7" x14ac:dyDescent="0.25">
      <c r="B7" s="11" t="s">
        <v>435</v>
      </c>
      <c r="C7" s="62">
        <v>100</v>
      </c>
      <c r="D7" s="62">
        <v>130</v>
      </c>
      <c r="E7" s="62">
        <v>160</v>
      </c>
      <c r="F7" s="62">
        <v>185</v>
      </c>
      <c r="G7" s="62">
        <v>200</v>
      </c>
    </row>
    <row r="8" spans="2:7" x14ac:dyDescent="0.25">
      <c r="B8" s="11" t="s">
        <v>387</v>
      </c>
      <c r="C8" s="63">
        <v>1922500</v>
      </c>
      <c r="D8" s="63">
        <v>2542372.5</v>
      </c>
      <c r="E8" s="63">
        <v>3197640</v>
      </c>
      <c r="F8" s="63">
        <v>3788915.5</v>
      </c>
      <c r="G8" s="63">
        <v>4204820</v>
      </c>
    </row>
    <row r="9" spans="2:7" x14ac:dyDescent="0.25">
      <c r="B9" s="11" t="s">
        <v>341</v>
      </c>
      <c r="C9" s="63">
        <v>854772</v>
      </c>
      <c r="D9" s="63">
        <v>880415.1599999999</v>
      </c>
      <c r="E9" s="63">
        <v>906827.6148</v>
      </c>
      <c r="F9" s="63">
        <v>934032.443244</v>
      </c>
      <c r="G9" s="63">
        <v>962053.41654132</v>
      </c>
    </row>
    <row r="10" spans="2:7" x14ac:dyDescent="0.25">
      <c r="B10" s="11" t="s">
        <v>342</v>
      </c>
      <c r="C10" s="63">
        <v>271400</v>
      </c>
      <c r="D10" s="63">
        <v>310442</v>
      </c>
      <c r="E10" s="63">
        <v>351582.26</v>
      </c>
      <c r="F10" s="63">
        <v>389447.9028</v>
      </c>
      <c r="G10" s="63">
        <v>418013.9720340001</v>
      </c>
    </row>
    <row r="11" spans="2:7" x14ac:dyDescent="0.25">
      <c r="B11" s="11" t="s">
        <v>343</v>
      </c>
      <c r="C11" s="63">
        <v>34064.39316600799</v>
      </c>
      <c r="D11" s="63">
        <v>34064.39316600799</v>
      </c>
      <c r="E11" s="63">
        <v>34064.39316600799</v>
      </c>
      <c r="F11" s="63">
        <v>34064.39316600799</v>
      </c>
      <c r="G11" s="63">
        <v>34064.39316600799</v>
      </c>
    </row>
    <row r="12" spans="2:7" x14ac:dyDescent="0.25">
      <c r="B12" s="10" t="s">
        <v>388</v>
      </c>
      <c r="C12" s="64">
        <v>737263.6068339921</v>
      </c>
      <c r="D12" s="64">
        <v>1307450.9468339921</v>
      </c>
      <c r="E12" s="64">
        <v>1895165.7320339922</v>
      </c>
      <c r="F12" s="64">
        <v>2426370.7607899923</v>
      </c>
      <c r="G12" s="64">
        <v>2785688.218258672</v>
      </c>
    </row>
    <row r="13" spans="2:7" x14ac:dyDescent="0.25">
      <c r="B13" s="10" t="s">
        <v>394</v>
      </c>
      <c r="C13" s="64">
        <v>812256</v>
      </c>
      <c r="D13" s="64">
        <v>2119706.9468339924</v>
      </c>
      <c r="E13" s="64">
        <v>4014872.6788679846</v>
      </c>
      <c r="F13" s="64">
        <v>6441243.439657977</v>
      </c>
      <c r="G13" s="64">
        <v>9226931.657916648</v>
      </c>
    </row>
    <row r="14" spans="2:7" x14ac:dyDescent="0.25">
      <c r="B14" s="10" t="s">
        <v>434</v>
      </c>
      <c r="C14" s="65">
        <v>0.3834921231906331</v>
      </c>
      <c r="D14" s="65">
        <v>0.5142641162276543</v>
      </c>
      <c r="E14" s="65">
        <v>0.5926763900983201</v>
      </c>
      <c r="F14" s="65">
        <v>0.6403866121559038</v>
      </c>
      <c r="G14" s="65">
        <v>0.6624988033396607</v>
      </c>
    </row>
    <row r="15" spans="2:8" x14ac:dyDescent="0.25">
      <c r="B15" s="10" t="s">
        <v>272</v>
      </c>
      <c r="C15" s="66">
        <v>19225</v>
      </c>
      <c r="D15" s="66">
        <v>19556.71153846154</v>
      </c>
      <c r="E15" s="66">
        <v>19985.25</v>
      </c>
      <c r="F15" s="66">
        <v>20480.624324324323</v>
      </c>
      <c r="G15" s="66">
        <v>21024.1</v>
      </c>
      <c r="H15" s="67" t="s">
        <v>456</v>
      </c>
    </row>
    <row r="16" spans="2:7" x14ac:dyDescent="0.25">
      <c r="B16" s="10" t="s">
        <v>325</v>
      </c>
      <c r="C16" s="68">
        <v>11602.36393166008</v>
      </c>
      <c r="D16" s="68">
        <v>9422.473485892368</v>
      </c>
      <c r="E16" s="68">
        <v>8077.9641747875485</v>
      </c>
      <c r="F16" s="68">
        <v>7338.079671405449</v>
      </c>
      <c r="G16" s="68">
        <v>7070.65890870664</v>
      </c>
    </row>
    <row r="17" spans="2:7" x14ac:dyDescent="0.25">
      <c r="B17" s="11" t="s">
        <v>457</v>
      </c>
      <c r="C17" s="63">
        <v>600</v>
      </c>
      <c r="D17" s="63">
        <v>618</v>
      </c>
      <c r="E17" s="63">
        <v>636.54</v>
      </c>
      <c r="F17" s="63">
        <v>655.6362</v>
      </c>
      <c r="G17" s="63">
        <v>675.3052860000003</v>
      </c>
    </row>
    <row r="18" spans="2:8" x14ac:dyDescent="0.25">
      <c r="B18" s="11" t="s">
        <v>458</v>
      </c>
      <c r="C18" s="66">
        <v>1364</v>
      </c>
      <c r="D18" s="66">
        <v>1080.7076923076922</v>
      </c>
      <c r="E18" s="66">
        <v>904.4172499999999</v>
      </c>
      <c r="F18" s="66">
        <v>805.6646637837838</v>
      </c>
      <c r="G18" s="66">
        <v>767.5970084200001</v>
      </c>
      <c r="H18" s="67" t="s">
        <v>459</v>
      </c>
    </row>
    <row r="19" spans="2:7" x14ac:dyDescent="0.25">
      <c r="B19" s="10" t="s">
        <v>460</v>
      </c>
      <c r="C19" s="69">
        <v>7372.636068339921</v>
      </c>
      <c r="D19" s="69">
        <v>10057.314975646093</v>
      </c>
      <c r="E19" s="69">
        <v>11844.785825212452</v>
      </c>
      <c r="F19" s="69">
        <v>13115.517625891851</v>
      </c>
      <c r="G19" s="69">
        <v>13928.44109129336</v>
      </c>
    </row>
    <row r="20" spans="2:8" x14ac:dyDescent="0.25">
      <c r="B20" s="10" t="s">
        <v>461</v>
      </c>
      <c r="C20" s="65">
        <v>0.4446148244473342</v>
      </c>
      <c r="D20" s="65">
        <v>0.3462966815445022</v>
      </c>
      <c r="E20" s="65">
        <v>0.28359277929973353</v>
      </c>
      <c r="F20" s="65">
        <v>0.2465170952595802</v>
      </c>
      <c r="G20" s="65">
        <v>0.22879776459903636</v>
      </c>
      <c r="H20" s="67" t="s">
        <v>462</v>
      </c>
    </row>
    <row r="21" spans="2:8" x14ac:dyDescent="0.25">
      <c r="B21" s="10" t="s">
        <v>463</v>
      </c>
      <c r="C21" s="65">
        <v>0.07094928478543563</v>
      </c>
      <c r="D21" s="65">
        <v>0.05526019495569591</v>
      </c>
      <c r="E21" s="65">
        <v>0.04525423750015636</v>
      </c>
      <c r="F21" s="65">
        <v>0.039337895711846836</v>
      </c>
      <c r="G21" s="65">
        <v>0.036510338536251255</v>
      </c>
      <c r="H21" s="67" t="s">
        <v>464</v>
      </c>
    </row>
    <row r="22" spans="2:8" x14ac:dyDescent="0.25">
      <c r="B22" s="10" t="s">
        <v>465</v>
      </c>
      <c r="C22" s="65">
        <v>0.4142148244473342</v>
      </c>
      <c r="D22" s="65">
        <v>0.5315961134727504</v>
      </c>
      <c r="E22" s="65">
        <v>0.6064566759234935</v>
      </c>
      <c r="F22" s="65">
        <v>0.6506967901384975</v>
      </c>
      <c r="G22" s="65">
        <v>0.671789187509734</v>
      </c>
      <c r="H22" s="67" t="s">
        <v>466</v>
      </c>
    </row>
    <row r="23" spans="2:8" x14ac:dyDescent="0.25">
      <c r="B23" s="10" t="s">
        <v>467</v>
      </c>
      <c r="C23" s="70">
        <v>4</v>
      </c>
      <c r="D23" s="70">
        <v>4</v>
      </c>
      <c r="E23" s="70">
        <v>4</v>
      </c>
      <c r="F23" s="70">
        <v>4</v>
      </c>
      <c r="G23" s="70">
        <v>4</v>
      </c>
      <c r="H23" s="67" t="s">
        <v>468</v>
      </c>
    </row>
    <row r="24" spans="2:8" x14ac:dyDescent="0.25">
      <c r="B24" s="10" t="s">
        <v>392</v>
      </c>
      <c r="C24" s="71">
        <v>23.37713741498956</v>
      </c>
      <c r="D24" s="71">
        <v>39.67530944742158</v>
      </c>
      <c r="E24" s="71">
        <v>56.92836257934896</v>
      </c>
      <c r="F24" s="71">
        <v>72.37572505522266</v>
      </c>
      <c r="G24" s="71">
        <v>82.92390818937089</v>
      </c>
      <c r="H24" s="67" t="s">
        <v>469</v>
      </c>
    </row>
    <row r="25" spans="2:8" x14ac:dyDescent="0.25">
      <c r="B25" s="10" t="s">
        <v>470</v>
      </c>
      <c r="C25" s="43" t="str">
        <f>IF('5-Year Operating Stmt'!B18&gt;=0,"✓ Break-even","")</f>
        <v>✓ Break-even</v>
      </c>
      <c r="D25" s="72" t="str">
        <f>IF(AND('5-Year Operating Stmt'!C18&gt;=0,'5-Year Operating Stmt'!B18&lt;0),"✓ Break-even","")</f>
        <v>0</v>
      </c>
      <c r="E25" s="72" t="str">
        <f>IF(AND('5-Year Operating Stmt'!D18&gt;=0,'5-Year Operating Stmt'!C18&lt;0),"✓ Break-even","")</f>
        <v>0</v>
      </c>
      <c r="F25" s="72" t="str">
        <f>IF(AND('5-Year Operating Stmt'!E18&gt;=0,'5-Year Operating Stmt'!D18&lt;0),"✓ Break-even","")</f>
        <v>0</v>
      </c>
      <c r="G25" s="72" t="str">
        <f>IF(AND('5-Year Operating Stmt'!F18&gt;=0,'5-Year Operating Stmt'!E18&lt;0),"✓ Break-even","")</f>
        <v>0</v>
      </c>
      <c r="H25" s="67" t="s">
        <v>450</v>
      </c>
    </row>
    <row r="26" spans="2:8" x14ac:dyDescent="0.25">
      <c r="B26" s="10" t="s">
        <v>471</v>
      </c>
      <c r="C26" s="73">
        <v>8</v>
      </c>
      <c r="D26" s="74">
        <v>21</v>
      </c>
      <c r="E26" s="70">
        <v>37</v>
      </c>
      <c r="F26" s="70">
        <v>57</v>
      </c>
      <c r="G26" s="75" t="s">
        <v>472</v>
      </c>
      <c r="H26" s="67" t="s">
        <v>473</v>
      </c>
    </row>
    <row r="27" spans="2:8" x14ac:dyDescent="0.25">
      <c r="B27" s="10" t="s">
        <v>396</v>
      </c>
      <c r="C27" s="70">
        <v>256</v>
      </c>
      <c r="D27" s="70">
        <v>632</v>
      </c>
      <c r="E27" s="70">
        <v>1134</v>
      </c>
      <c r="F27" s="70">
        <v>1732</v>
      </c>
      <c r="G27" s="70">
        <v>2382</v>
      </c>
      <c r="H27" s="67" t="s">
        <v>474</v>
      </c>
    </row>
    <row r="29" ht="24" customHeight="1" spans="2:9" x14ac:dyDescent="0.25">
      <c r="B29" s="19" t="s">
        <v>475</v>
      </c>
      <c r="C29" s="19" t="s">
        <v>476</v>
      </c>
      <c r="D29" s="19" t="s">
        <v>477</v>
      </c>
      <c r="E29" s="19"/>
      <c r="F29" s="19" t="s">
        <v>478</v>
      </c>
      <c r="G29" s="19"/>
      <c r="H29" s="19"/>
      <c r="I29" s="19"/>
    </row>
    <row r="30" ht="45" customHeight="1" spans="2:9" x14ac:dyDescent="0.25">
      <c r="B30" s="45" t="s">
        <v>479</v>
      </c>
      <c r="C30" s="43" t="s">
        <v>480</v>
      </c>
      <c r="D30" s="76" t="s">
        <v>481</v>
      </c>
      <c r="E30" s="76"/>
      <c r="F30" s="77" t="s">
        <v>482</v>
      </c>
      <c r="G30" s="77"/>
      <c r="H30" s="77"/>
      <c r="I30" s="77"/>
    </row>
    <row r="31" ht="45" customHeight="1" spans="2:9" x14ac:dyDescent="0.25">
      <c r="B31" s="45" t="s">
        <v>483</v>
      </c>
      <c r="C31" s="43" t="s">
        <v>480</v>
      </c>
      <c r="D31" s="76" t="s">
        <v>484</v>
      </c>
      <c r="E31" s="76"/>
      <c r="F31" s="77" t="s">
        <v>485</v>
      </c>
      <c r="G31" s="77"/>
      <c r="H31" s="77"/>
      <c r="I31" s="77"/>
    </row>
    <row r="32" ht="45" customHeight="1" spans="2:9" x14ac:dyDescent="0.25">
      <c r="B32" s="45" t="s">
        <v>486</v>
      </c>
      <c r="C32" s="43" t="s">
        <v>480</v>
      </c>
      <c r="D32" s="76" t="s">
        <v>487</v>
      </c>
      <c r="E32" s="76"/>
      <c r="F32" s="77" t="s">
        <v>488</v>
      </c>
      <c r="G32" s="77"/>
      <c r="H32" s="77"/>
      <c r="I32" s="77"/>
    </row>
    <row r="33" ht="45" customHeight="1" spans="2:9" x14ac:dyDescent="0.25">
      <c r="B33" s="45" t="s">
        <v>489</v>
      </c>
      <c r="C33" s="43" t="s">
        <v>480</v>
      </c>
      <c r="D33" s="76" t="s">
        <v>490</v>
      </c>
      <c r="E33" s="76"/>
      <c r="F33" s="77" t="s">
        <v>491</v>
      </c>
      <c r="G33" s="77"/>
      <c r="H33" s="77"/>
      <c r="I33" s="77"/>
    </row>
    <row r="34" ht="45" customHeight="1" spans="2:9" x14ac:dyDescent="0.25">
      <c r="B34" s="45" t="s">
        <v>492</v>
      </c>
      <c r="C34" s="43" t="s">
        <v>480</v>
      </c>
      <c r="D34" s="76" t="s">
        <v>493</v>
      </c>
      <c r="E34" s="76"/>
      <c r="F34" s="77" t="s">
        <v>494</v>
      </c>
      <c r="G34" s="77"/>
      <c r="H34" s="77"/>
      <c r="I34" s="77"/>
    </row>
    <row r="35" ht="45" customHeight="1" spans="2:9" x14ac:dyDescent="0.25">
      <c r="B35" s="45" t="s">
        <v>495</v>
      </c>
      <c r="C35" s="43" t="s">
        <v>480</v>
      </c>
      <c r="D35" s="76" t="s">
        <v>496</v>
      </c>
      <c r="E35" s="76"/>
      <c r="F35" s="77" t="s">
        <v>497</v>
      </c>
      <c r="G35" s="77"/>
      <c r="H35" s="77"/>
      <c r="I35" s="77"/>
    </row>
    <row r="36" ht="45" customHeight="1" spans="2:9" x14ac:dyDescent="0.25">
      <c r="B36" s="45" t="s">
        <v>498</v>
      </c>
      <c r="C36" s="43" t="s">
        <v>480</v>
      </c>
      <c r="D36" s="76" t="s">
        <v>499</v>
      </c>
      <c r="E36" s="76"/>
      <c r="F36" s="77" t="s">
        <v>500</v>
      </c>
      <c r="G36" s="77"/>
      <c r="H36" s="77"/>
      <c r="I36" s="77"/>
    </row>
    <row r="38" spans="2:6" x14ac:dyDescent="0.25">
      <c r="B38" s="45" t="s">
        <v>501</v>
      </c>
      <c r="C38" s="10" t="s">
        <v>502</v>
      </c>
      <c r="D38" s="10"/>
      <c r="E38" s="10"/>
      <c r="F38" s="10"/>
    </row>
    <row r="40" spans="2:9" x14ac:dyDescent="0.25">
      <c r="B40" s="78" t="s">
        <v>503</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504</v>
      </c>
      <c r="B3" s="19"/>
    </row>
    <row r="4" spans="1:2" x14ac:dyDescent="0.25">
      <c r="A4" s="79" t="s">
        <v>505</v>
      </c>
      <c r="B4" s="79"/>
    </row>
    <row r="6" ht="24" customHeight="1" spans="1:2" x14ac:dyDescent="0.25">
      <c r="A6" s="19" t="s">
        <v>506</v>
      </c>
      <c r="B6" s="19"/>
    </row>
    <row r="7" spans="1:2" x14ac:dyDescent="0.25">
      <c r="A7" s="79" t="s">
        <v>505</v>
      </c>
      <c r="B7" s="79"/>
    </row>
    <row r="9" ht="24" customHeight="1" spans="1:2" x14ac:dyDescent="0.25">
      <c r="A9" s="19" t="s">
        <v>507</v>
      </c>
      <c r="B9" s="19"/>
    </row>
    <row r="10" spans="1:2" x14ac:dyDescent="0.25">
      <c r="A10" s="79" t="s">
        <v>505</v>
      </c>
      <c r="B10" s="79"/>
    </row>
    <row r="12" ht="24" customHeight="1" spans="1:2" x14ac:dyDescent="0.25">
      <c r="A12" s="19" t="s">
        <v>508</v>
      </c>
      <c r="B12" s="19"/>
    </row>
    <row r="13" spans="1:2" x14ac:dyDescent="0.25">
      <c r="A13" s="79" t="s">
        <v>505</v>
      </c>
      <c r="B13" s="79"/>
    </row>
    <row r="15" ht="24" customHeight="1" spans="1:2" x14ac:dyDescent="0.25">
      <c r="A15" s="19" t="s">
        <v>509</v>
      </c>
      <c r="B15" s="19"/>
    </row>
    <row r="16" spans="1:2" x14ac:dyDescent="0.25">
      <c r="A16" s="79" t="s">
        <v>505</v>
      </c>
      <c r="B16" s="79"/>
    </row>
    <row r="18" ht="24" customHeight="1" spans="1:2" x14ac:dyDescent="0.25">
      <c r="A18" s="19" t="s">
        <v>510</v>
      </c>
      <c r="B18" s="19"/>
    </row>
    <row r="19" spans="1:2" x14ac:dyDescent="0.25">
      <c r="A19" s="79" t="s">
        <v>505</v>
      </c>
      <c r="B19" s="79"/>
    </row>
    <row r="21" ht="24" customHeight="1" spans="1:2" x14ac:dyDescent="0.25">
      <c r="A21" s="19" t="s">
        <v>511</v>
      </c>
      <c r="B21" s="19"/>
    </row>
    <row r="22" spans="1:2" x14ac:dyDescent="0.25">
      <c r="A22" s="79" t="s">
        <v>505</v>
      </c>
      <c r="B22" s="79"/>
    </row>
    <row r="24" ht="24" customHeight="1" spans="1:2" x14ac:dyDescent="0.25">
      <c r="A24" s="19" t="s">
        <v>512</v>
      </c>
      <c r="B24" s="19"/>
    </row>
    <row r="25" spans="1:2" x14ac:dyDescent="0.25">
      <c r="A25" s="79" t="s">
        <v>505</v>
      </c>
      <c r="B25" s="79"/>
    </row>
    <row r="27" ht="24" customHeight="1" spans="1:2" x14ac:dyDescent="0.25">
      <c r="A27" s="19" t="s">
        <v>513</v>
      </c>
      <c r="B27" s="19"/>
    </row>
    <row r="28" spans="1:2" x14ac:dyDescent="0.25">
      <c r="A28" s="79" t="s">
        <v>505</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79" t="s">
        <v>514</v>
      </c>
      <c r="B3" s="79"/>
      <c r="C3" s="79"/>
      <c r="D3" s="79"/>
      <c r="E3" s="79"/>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515</v>
      </c>
      <c r="B1" s="21"/>
      <c r="C1" s="21"/>
    </row>
    <row r="2" spans="1:3" x14ac:dyDescent="0.25">
      <c r="A2" s="80" t="s">
        <v>516</v>
      </c>
      <c r="B2" s="80"/>
      <c r="C2" s="80"/>
    </row>
    <row r="4" ht="24" customHeight="1" spans="1:3" x14ac:dyDescent="0.25">
      <c r="A4" s="81" t="s">
        <v>517</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518</v>
      </c>
      <c r="C1" s="15"/>
      <c r="D1" s="15"/>
      <c r="E1" s="15"/>
      <c r="F1" s="15"/>
      <c r="G1" s="15"/>
      <c r="H1" s="15"/>
    </row>
    <row r="2" ht="60" customHeight="1" spans="2:8" x14ac:dyDescent="0.25">
      <c r="B2" s="82" t="s">
        <v>519</v>
      </c>
      <c r="C2" s="82"/>
      <c r="D2" s="82"/>
      <c r="E2" s="82"/>
      <c r="F2" s="82"/>
      <c r="G2" s="82"/>
      <c r="H2" s="82"/>
    </row>
    <row r="4" ht="30" customHeight="1" spans="2:8" x14ac:dyDescent="0.25">
      <c r="B4" s="83" t="s">
        <v>520</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