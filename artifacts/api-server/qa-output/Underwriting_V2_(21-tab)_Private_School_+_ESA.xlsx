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/>
</workbook>
</file>

<file path=xl/sharedStrings.xml><?xml version="1.0" encoding="utf-8"?>
<sst xmlns="http://schemas.openxmlformats.org/spreadsheetml/2006/main" count="682" uniqueCount="367">
  <si>
    <t>SchoolStack Budget</t>
  </si>
  <si>
    <t>5-Year Financial Model &amp; Underwriting Workbook</t>
  </si>
  <si>
    <t>School Name</t>
  </si>
  <si>
    <t>Heritage Academy</t>
  </si>
  <si>
    <t>School Type</t>
  </si>
  <si>
    <t>Private School</t>
  </si>
  <si>
    <t>Entity Type</t>
  </si>
  <si>
    <t>501(c)(3) Nonprofit</t>
  </si>
  <si>
    <t>State</t>
  </si>
  <si>
    <t>FL</t>
  </si>
  <si>
    <t>Fiscal Year Start</t>
  </si>
  <si>
    <t>Month 7</t>
  </si>
  <si>
    <t>Model Date</t>
  </si>
  <si>
    <t>March 17, 2026</t>
  </si>
  <si>
    <t>Stage</t>
  </si>
  <si>
    <t>Operating</t>
  </si>
  <si>
    <t>Funding Profile</t>
  </si>
  <si>
    <t>Hybrid / Mixed</t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</si>
  <si>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</si>
  <si>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</si>
  <si>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</si>
  <si>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</si>
  <si>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</si>
  <si>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</si>
  <si>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</si>
  <si>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</si>
  <si>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</si>
  <si>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</si>
  <si>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</si>
  <si>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</si>
  <si>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</si>
  <si>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</si>
  <si>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</si>
  <si>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</si>
  <si>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</si>
  <si>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</si>
  <si>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</si>
  <si>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</si>
  <si>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</si>
  <si>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</si>
  <si>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</si>
  <si>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</si>
  <si>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</si>
  <si>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</si>
  <si>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</si>
  <si>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</si>
  <si>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</si>
  <si>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</si>
  <si>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</si>
  <si>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</si>
  <si>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</si>
  <si>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</si>
  <si>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</si>
  <si>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</si>
  <si>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</si>
  <si>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</si>
  <si>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</si>
  <si>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</si>
  <si>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</si>
  <si>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</si>
  <si>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</si>
  <si>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- Prepared by SchoolStack Budget (budget.schoolstack.ai)</t>
  </si>
  <si>
    <t>How to Use This Workbook</t>
  </si>
  <si>
    <t>Color Legend</t>
  </si>
  <si>
    <t>Yellow cells are editable inputs - change these to update your model.</t>
  </si>
  <si>
    <t>Gray cells contain formulas - do not edit.</t>
  </si>
  <si>
    <t>Green cells are key outputs and summary metrics.</t>
  </si>
  <si>
    <t/>
  </si>
  <si>
    <t>Navigation</t>
  </si>
  <si>
    <t>The Assumptions tab is the central control panel -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</si>
  <si>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</si>
  <si>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</si>
  <si>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</si>
  <si>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</si>
  <si>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</si>
  <si>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</si>
  <si>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</si>
  <si>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</si>
  <si>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</si>
  <si>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</si>
  <si>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</si>
  <si>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</si>
  <si>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Heritage Academy - Assumptions</t>
  </si>
  <si>
    <t>Yellow cells are editable inputs. All other cells are formulas.</t>
  </si>
  <si>
    <t>SCHOOL PROFILE</t>
  </si>
  <si>
    <t>EIN</t>
  </si>
  <si>
    <t>59-9876543</t>
  </si>
  <si>
    <t>Fiscal Year Start Month</t>
  </si>
  <si>
    <t>Max Capacity</t>
  </si>
  <si>
    <t>ENROLLMENT</t>
  </si>
  <si>
    <t>2023-24</t>
  </si>
  <si>
    <t>2024-25</t>
  </si>
  <si>
    <t>2025-26</t>
  </si>
  <si>
    <t>2026-27</t>
  </si>
  <si>
    <t>2027-28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</si>
  <si>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</si>
  <si>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</si>
  <si>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</si>
  <si>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</si>
  <si>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</si>
  <si>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</si>
  <si>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</si>
  <si>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Tuition</t>
  </si>
  <si>
    <t>Tuition &amp; Fees</t>
  </si>
  <si>
    <t>Per Student</t>
  </si>
  <si>
    <t>Registration Fee</t>
  </si>
  <si>
    <t>Scholarship Discount</t>
  </si>
  <si>
    <t>Tuition Offsets</t>
  </si>
  <si>
    <t>FL FTC Scholarship</t>
  </si>
  <si>
    <t>School Choice</t>
  </si>
  <si>
    <t>Foundation Grant</t>
  </si>
  <si>
    <t>Philanthropy</t>
  </si>
  <si>
    <t>Annual Fixed</t>
  </si>
  <si>
    <t>Annual Fund</t>
  </si>
  <si>
    <t>After-School Programs</t>
  </si>
  <si>
    <t>Other Revenue</t>
  </si>
  <si>
    <t>STAFFING</t>
  </si>
  <si>
    <t>Role</t>
  </si>
  <si>
    <t>Type</t>
  </si>
  <si>
    <t>FTE</t>
  </si>
  <si>
    <t>Rate</t>
  </si>
  <si>
    <t>Benefits %</t>
  </si>
  <si>
    <t>Tax %</t>
  </si>
  <si>
    <t>Head of School</t>
  </si>
  <si>
    <t>School Leadership</t>
  </si>
  <si>
    <t>full_time</t>
  </si>
  <si>
    <t>Assistant Principal</t>
  </si>
  <si>
    <t>Teachers</t>
  </si>
  <si>
    <t>Instructional</t>
  </si>
  <si>
    <t>Paraprofessionals</t>
  </si>
  <si>
    <t>Office Manager</t>
  </si>
  <si>
    <t>Administrative</t>
  </si>
  <si>
    <t>School Counselor</t>
  </si>
  <si>
    <t>Student Support</t>
  </si>
  <si>
    <t>OPERATING EXPENSES</t>
  </si>
  <si>
    <t>Rent</t>
  </si>
  <si>
    <t>Occupancy / Facility</t>
  </si>
  <si>
    <t>Monthly</t>
  </si>
  <si>
    <t>Utilities</t>
  </si>
  <si>
    <t>Insurance</t>
  </si>
  <si>
    <t>Maintenance</t>
  </si>
  <si>
    <t>Curriculum</t>
  </si>
  <si>
    <t>Instructional / Program</t>
  </si>
  <si>
    <t>Technology</t>
  </si>
  <si>
    <t>Marketing</t>
  </si>
  <si>
    <t>Administrative / General</t>
  </si>
  <si>
    <t>Professional Development</t>
  </si>
  <si>
    <t>Accounting &amp; Legal</t>
  </si>
  <si>
    <t>CAPITAL &amp; DEBT</t>
  </si>
  <si>
    <t>Instrument</t>
  </si>
  <si>
    <t>Principal</t>
  </si>
  <si>
    <t>Term (Yrs)</t>
  </si>
  <si>
    <t>Facility Buildout Loan</t>
  </si>
  <si>
    <t>Loan</t>
  </si>
  <si>
    <t>Furniture &amp; Equipment</t>
  </si>
  <si>
    <t>Capital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</si>
  <si>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</si>
  <si>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</si>
  <si>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</si>
  <si>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</si>
  <si>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</si>
  <si>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</si>
  <si>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</si>
  <si>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</si>
  <si>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Yes</t>
  </si>
  <si>
    <t>School Model</t>
  </si>
  <si>
    <t>private</t>
  </si>
  <si>
    <t>Financial Label Convention</t>
  </si>
  <si>
    <t>Nonprofit (Change in Net Assets / Net Assets)</t>
  </si>
  <si>
    <t>Funding Mix</t>
  </si>
  <si>
    <t>7</t>
  </si>
  <si>
    <t>Year 1 Operating Months</t>
  </si>
  <si>
    <t>12</t>
  </si>
  <si>
    <t>Proration Factor</t>
  </si>
  <si>
    <t>100.0%</t>
  </si>
  <si>
    <t>200</t>
  </si>
  <si>
    <t>Accredited</t>
  </si>
  <si>
    <t>No</t>
  </si>
  <si>
    <t>Location</t>
  </si>
  <si>
    <t>456 Oak Ave, Tampa, FL 33602</t>
  </si>
  <si>
    <t>Facility</t>
  </si>
  <si>
    <t>Leased</t>
  </si>
  <si>
    <t>Prior Year</t>
  </si>
  <si>
    <t>Current Year</t>
  </si>
  <si>
    <t>TOTAL ENROLLMENT</t>
  </si>
  <si>
    <t>Capacity Utilization</t>
  </si>
  <si>
    <t>Enrollment Growth Rate</t>
  </si>
  <si>
    <t>-</t>
  </si>
  <si>
    <t>Tuition &amp; Funding Drivers</t>
  </si>
  <si>
    <t>REVENUE BY LINE ITEM</t>
  </si>
  <si>
    <t>Tuition (Tuition &amp; Fees)</t>
  </si>
  <si>
    <t>Registration Fee (Tuition &amp; Fees)</t>
  </si>
  <si>
    <t>Scholarship Discount (Tuition Offsets)</t>
  </si>
  <si>
    <t>FL FTC Scholarship (School Choice)</t>
  </si>
  <si>
    <t>Foundation Grant (Philanthropy)</t>
  </si>
  <si>
    <t>Annual Fund (Philanthropy)</t>
  </si>
  <si>
    <t>After-School Programs (Other Revenue)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</si>
  <si>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</si>
  <si>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</si>
  <si>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</si>
  <si>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</si>
  <si>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</si>
  <si>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</si>
  <si>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</si>
  <si>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</si>
  <si>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</t>
  </si>
  <si>
    <t>Total Instructional / Program</t>
  </si>
  <si>
    <t xml:space="preserve">  Technology</t>
  </si>
  <si>
    <t>Total Technology</t>
  </si>
  <si>
    <t xml:space="preserve">  Rent</t>
  </si>
  <si>
    <t xml:space="preserve">  Utilities</t>
  </si>
  <si>
    <t xml:space="preserve">  Insurance</t>
  </si>
  <si>
    <t xml:space="preserve">  Maintenance</t>
  </si>
  <si>
    <t>Total Occupancy / Facility</t>
  </si>
  <si>
    <t xml:space="preserve">  Marketing</t>
  </si>
  <si>
    <t xml:space="preserve">  Professional Development</t>
  </si>
  <si>
    <t xml:space="preserve">  Accounting &amp; Legal</t>
  </si>
  <si>
    <t>Total Administrative / General</t>
  </si>
  <si>
    <t>TOTAL OPERATING EXPENSES</t>
  </si>
  <si>
    <t>Capital Stack &amp; Loan Terms</t>
  </si>
  <si>
    <t>Annual Payment</t>
  </si>
  <si>
    <t>Capital Expense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</si>
  <si>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</si>
  <si>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</si>
  <si>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</si>
  <si>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</si>
  <si>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</si>
  <si>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</si>
  <si>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Teachers</t>
  </si>
  <si>
    <t xml:space="preserve">  Paraprofessionals</t>
  </si>
  <si>
    <t>Total Instructional</t>
  </si>
  <si>
    <t xml:space="preserve">  Head of School</t>
  </si>
  <si>
    <t xml:space="preserve">  Assistant Principal</t>
  </si>
  <si>
    <t>Total School Leadership</t>
  </si>
  <si>
    <t xml:space="preserve">  School Counselor</t>
  </si>
  <si>
    <t>Total Student Support</t>
  </si>
  <si>
    <t xml:space="preserve">  Office Manager</t>
  </si>
  <si>
    <t>Total Administrative</t>
  </si>
  <si>
    <t>TOTAL PERSONNEL</t>
  </si>
  <si>
    <t>Heritage Academy - Budget Detail</t>
  </si>
  <si>
    <t>REVENUE</t>
  </si>
  <si>
    <t xml:space="preserve">  Tuition</t>
  </si>
  <si>
    <t xml:space="preserve">  Registration Fee</t>
  </si>
  <si>
    <t xml:space="preserve">  Scholarship Discount</t>
  </si>
  <si>
    <t xml:space="preserve">  FL FTC Scholarship</t>
  </si>
  <si>
    <t xml:space="preserve">  Foundation Grant</t>
  </si>
  <si>
    <t xml:space="preserve">  Annual Fund</t>
  </si>
  <si>
    <t xml:space="preserve">  After-School Programs</t>
  </si>
  <si>
    <t>Total Revenue</t>
  </si>
  <si>
    <t>PERSONNEL</t>
  </si>
  <si>
    <t xml:space="preserve">    Curriculum</t>
  </si>
  <si>
    <t xml:space="preserve">    Technology</t>
  </si>
  <si>
    <t xml:space="preserve">    Rent</t>
  </si>
  <si>
    <t xml:space="preserve">    Utilities</t>
  </si>
  <si>
    <t xml:space="preserve">    Insurance</t>
  </si>
  <si>
    <t xml:space="preserve">    Maintenance</t>
  </si>
  <si>
    <t xml:space="preserve">  Total Occupancy / Facility</t>
  </si>
  <si>
    <t xml:space="preserve">    Marketing</t>
  </si>
  <si>
    <t xml:space="preserve">    Professional Development</t>
  </si>
  <si>
    <t xml:space="preserve">    Accounting &amp; Legal</t>
  </si>
  <si>
    <t xml:space="preserve">  Total Administrative / General</t>
  </si>
  <si>
    <t>Total Operating Expenses</t>
  </si>
  <si>
    <t>CAPITAL &amp; DEBT SERVICE</t>
  </si>
  <si>
    <t xml:space="preserve">  Facility Buildout Loan</t>
  </si>
  <si>
    <t xml:space="preserve">  Furniture &amp; Equipment</t>
  </si>
  <si>
    <t>Total Capital &amp; Debt</t>
  </si>
  <si>
    <t>Heritage Academy - Budget Summary</t>
  </si>
  <si>
    <t>Total Capital &amp; Debt Service</t>
  </si>
  <si>
    <t>Total Expenses</t>
  </si>
  <si>
    <t>KEY METRICS</t>
  </si>
  <si>
    <t>Change in Net Assets</t>
  </si>
  <si>
    <t>Net Margin %</t>
  </si>
  <si>
    <t>Cumulative Change in Net Assets</t>
  </si>
  <si>
    <t>Cost per Student</t>
  </si>
  <si>
    <t>Heritage Academy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</si>
  <si>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</si>
  <si>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</si>
  <si>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</si>
  <si>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</si>
  <si>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</si>
  <si>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</si>
  <si>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</si>
  <si>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</si>
  <si>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</si>
  <si>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</si>
  <si>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</si>
  <si>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</si>
  <si>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</si>
  <si>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</si>
  <si>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</si>
  <si>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</si>
  <si>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</si>
  <si>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</si>
  <si>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</si>
  <si>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</si>
  <si>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</si>
  <si>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</si>
  <si>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</si>
  <si>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Heritage Academy - 5-Year Operating Statement</t>
  </si>
  <si>
    <t>Capital &amp; Debt Service</t>
  </si>
  <si>
    <t>BOTTOM LINE</t>
  </si>
  <si>
    <t>Beginning Balance</t>
  </si>
  <si>
    <t>Interest</t>
  </si>
  <si>
    <t>Principal Payment</t>
  </si>
  <si>
    <t>Total Payment</t>
  </si>
  <si>
    <t>Ending Balance</t>
  </si>
  <si>
    <t>Heritage Academy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</si>
  <si>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</si>
  <si>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</si>
  <si>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</si>
  <si>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</si>
  <si>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</si>
  <si>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</si>
  <si>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</si>
  <si>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</si>
  <si>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</si>
  <si>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</si>
  <si>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NET ASSETS</t>
  </si>
  <si>
    <t>Net Assets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</si>
  <si>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</si>
  <si>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</si>
  <si>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</si>
  <si>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</si>
  <si>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</si>
  <si>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</si>
  <si>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</si>
  <si>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</si>
  <si>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</si>
  <si>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</si>
  <si>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</si>
  <si>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</si>
  <si>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</si>
  <si>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</si>
  <si>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</si>
  <si>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1.25x</t>
  </si>
  <si>
    <t>PASS</t>
  </si>
  <si>
    <t>Positive Net Income</t>
  </si>
  <si>
    <t>Capacity ≥ 7500%</t>
  </si>
  <si>
    <t>FAIL</t>
  </si>
  <si>
    <t>Cash Reserve ≥ 3 months</t>
  </si>
  <si>
    <t>Days Cash ≥ 60</t>
  </si>
  <si>
    <t>SOURCES</t>
  </si>
  <si>
    <t>USES</t>
  </si>
  <si>
    <t>Facility Renovation</t>
  </si>
  <si>
    <t>Operating Cash</t>
  </si>
  <si>
    <t>Working Capital Reserve</t>
  </si>
  <si>
    <t>Pre-Opening Costs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</si>
  <si>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</si>
  <si>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</si>
  <si>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</si>
  <si>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</si>
  <si>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</si>
  <si>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</si>
  <si>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LOW ENROLLMENT</t>
  </si>
  <si>
    <t>Enrollment: -15%  |  Revenue: +0%  |  Staffing: +0%  |  Facility: +0%  |  Expenses: +0%</t>
  </si>
  <si>
    <t>HIGH COSTS</t>
  </si>
  <si>
    <t>Enrollment: +0%  |  Revenue: +0%  |  Staffing: +0%  |  Facility: +0%  |  Expenses: +10%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</si>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</sst>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5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12" fillId="0" borderId="0" xfId="0" applyFont="1"/>
    <xf numFmtId="164" fontId="3" fillId="0" borderId="1" xfId="0" applyNumberFormat="1" applyFont="1" applyBorder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165" fontId="4" fillId="5" borderId="1" xfId="0" applyNumberFormat="1" applyFont="1" applyFill="1" applyBorder="1"/>
    <xf numFmtId="165" fontId="13" fillId="0" borderId="1" xfId="0" applyNumberFormat="1" applyFont="1" applyBorder="1"/>
    <xf numFmtId="165" fontId="14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25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67</v>
      </c>
    </row>
    <row r="9" spans="2:2" x14ac:dyDescent="0.25">
      <c r="B9" s="10" t="s">
        <v>68</v>
      </c>
    </row>
    <row r="10" spans="2:2" x14ac:dyDescent="0.25">
      <c r="B10" s="6" t="s">
        <v>69</v>
      </c>
    </row>
    <row r="11" spans="2:2" x14ac:dyDescent="0.25">
      <c r="B11" s="6" t="s">
        <v>67</v>
      </c>
    </row>
    <row r="12" spans="2:2" x14ac:dyDescent="0.25">
      <c r="B12" s="10" t="s">
        <v>70</v>
      </c>
    </row>
    <row r="13" spans="2:2" x14ac:dyDescent="0.25">
      <c r="B13" s="6" t="s">
        <v>71</v>
      </c>
    </row>
    <row r="14" spans="2:2" x14ac:dyDescent="0.25">
      <c r="B14" s="6" t="s">
        <v>72</v>
      </c>
    </row>
    <row r="15" spans="2:2" x14ac:dyDescent="0.25">
      <c r="B15" s="6" t="s">
        <v>73</v>
      </c>
    </row>
    <row r="16" spans="2:2" x14ac:dyDescent="0.25">
      <c r="B16" s="6" t="s">
        <v>74</v>
      </c>
    </row>
    <row r="17" spans="2:2" x14ac:dyDescent="0.25">
      <c r="B17" s="6" t="s">
        <v>67</v>
      </c>
    </row>
    <row r="18" spans="2:2" x14ac:dyDescent="0.25">
      <c r="B18" s="10" t="s">
        <v>75</v>
      </c>
    </row>
    <row r="19" spans="2:2" x14ac:dyDescent="0.25">
      <c r="B19" s="6" t="s">
        <v>76</v>
      </c>
    </row>
    <row r="20" spans="2:2" x14ac:dyDescent="0.25">
      <c r="B20" s="6" t="s">
        <v>77</v>
      </c>
    </row>
    <row r="21" spans="2:2" x14ac:dyDescent="0.25">
      <c r="B21" s="6" t="s">
        <v>78</v>
      </c>
    </row>
    <row r="22" spans="2:2" x14ac:dyDescent="0.25">
      <c r="B22" s="6" t="s">
        <v>67</v>
      </c>
    </row>
    <row r="23" spans="2:2" x14ac:dyDescent="0.25">
      <c r="B23" s="10" t="s">
        <v>79</v>
      </c>
    </row>
    <row r="24" spans="2:2" x14ac:dyDescent="0.25">
      <c r="B24" s="6" t="s">
        <v>80</v>
      </c>
    </row>
    <row r="25" spans="2:2" x14ac:dyDescent="0.25">
      <c r="B25" s="6" t="s">
        <v>81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82</v>
      </c>
      <c r="B1" s="11"/>
      <c r="C1" s="11"/>
      <c r="D1" s="11"/>
      <c r="E1" s="11"/>
      <c r="F1" s="11"/>
      <c r="G1" s="11"/>
    </row>
    <row r="2" spans="1:1" x14ac:dyDescent="0.25">
      <c r="A2" s="12" t="s">
        <v>83</v>
      </c>
    </row>
    <row r="4" ht="24" customHeight="1" spans="1:7" x14ac:dyDescent="0.25">
      <c r="A4" s="13" t="s">
        <v>84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85</v>
      </c>
      <c r="B9" s="14" t="s">
        <v>86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87</v>
      </c>
      <c r="B12" s="14">
        <v>7</v>
      </c>
    </row>
    <row r="13" spans="1:2" x14ac:dyDescent="0.25">
      <c r="A13" s="4" t="s">
        <v>88</v>
      </c>
      <c r="B13" s="14">
        <v>200</v>
      </c>
    </row>
    <row r="15" ht="24" customHeight="1" spans="1:7" x14ac:dyDescent="0.25">
      <c r="A15" s="13" t="s">
        <v>89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67</v>
      </c>
      <c r="B16" s="15" t="s">
        <v>90</v>
      </c>
      <c r="C16" s="15" t="s">
        <v>91</v>
      </c>
      <c r="D16" s="15" t="s">
        <v>92</v>
      </c>
      <c r="E16" s="15" t="s">
        <v>93</v>
      </c>
      <c r="F16" s="15" t="s">
        <v>94</v>
      </c>
    </row>
    <row r="17" spans="1:6" x14ac:dyDescent="0.25">
      <c r="A17" s="4" t="s">
        <v>95</v>
      </c>
      <c r="B17" s="16">
        <v>100</v>
      </c>
      <c r="C17" s="16">
        <v>130</v>
      </c>
      <c r="D17" s="16">
        <v>160</v>
      </c>
      <c r="E17" s="16">
        <v>185</v>
      </c>
      <c r="F17" s="16">
        <v>200</v>
      </c>
    </row>
    <row r="19" ht="24" customHeight="1" spans="1:7" x14ac:dyDescent="0.25">
      <c r="A19" s="13" t="s">
        <v>96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97</v>
      </c>
      <c r="B20" s="15" t="s">
        <v>98</v>
      </c>
      <c r="C20" s="15" t="s">
        <v>99</v>
      </c>
      <c r="D20" s="15" t="s">
        <v>100</v>
      </c>
      <c r="E20" s="15" t="s">
        <v>101</v>
      </c>
    </row>
    <row r="21" spans="1:5" x14ac:dyDescent="0.25">
      <c r="A21" s="4" t="s">
        <v>102</v>
      </c>
      <c r="B21" s="4" t="s">
        <v>103</v>
      </c>
      <c r="C21" s="4" t="s">
        <v>104</v>
      </c>
      <c r="D21" s="17">
        <v>10500</v>
      </c>
      <c r="E21" s="18">
        <v>0</v>
      </c>
    </row>
    <row r="22" spans="1:5" x14ac:dyDescent="0.25">
      <c r="A22" s="4" t="s">
        <v>105</v>
      </c>
      <c r="B22" s="4" t="s">
        <v>103</v>
      </c>
      <c r="C22" s="4" t="s">
        <v>104</v>
      </c>
      <c r="D22" s="17">
        <v>350</v>
      </c>
      <c r="E22" s="18">
        <v>0</v>
      </c>
    </row>
    <row r="23" spans="1:5" x14ac:dyDescent="0.25">
      <c r="A23" s="4" t="s">
        <v>106</v>
      </c>
      <c r="B23" s="4" t="s">
        <v>107</v>
      </c>
      <c r="C23" s="4" t="s">
        <v>104</v>
      </c>
      <c r="D23" s="17">
        <v>-1050</v>
      </c>
      <c r="E23" s="18">
        <v>0</v>
      </c>
    </row>
    <row r="24" spans="1:5" x14ac:dyDescent="0.25">
      <c r="A24" s="4" t="s">
        <v>108</v>
      </c>
      <c r="B24" s="4" t="s">
        <v>109</v>
      </c>
      <c r="C24" s="4" t="s">
        <v>104</v>
      </c>
      <c r="D24" s="17">
        <v>8700</v>
      </c>
      <c r="E24" s="18">
        <v>0</v>
      </c>
    </row>
    <row r="25" spans="1:5" x14ac:dyDescent="0.25">
      <c r="A25" s="4" t="s">
        <v>110</v>
      </c>
      <c r="B25" s="4" t="s">
        <v>111</v>
      </c>
      <c r="C25" s="4" t="s">
        <v>112</v>
      </c>
      <c r="D25" s="17">
        <v>50000</v>
      </c>
      <c r="E25" s="18">
        <v>0</v>
      </c>
    </row>
    <row r="26" spans="1:5" x14ac:dyDescent="0.25">
      <c r="A26" s="4" t="s">
        <v>113</v>
      </c>
      <c r="B26" s="4" t="s">
        <v>111</v>
      </c>
      <c r="C26" s="4" t="s">
        <v>112</v>
      </c>
      <c r="D26" s="17">
        <v>25000</v>
      </c>
      <c r="E26" s="18">
        <v>0</v>
      </c>
    </row>
    <row r="27" spans="1:5" x14ac:dyDescent="0.25">
      <c r="A27" s="4" t="s">
        <v>114</v>
      </c>
      <c r="B27" s="4" t="s">
        <v>115</v>
      </c>
      <c r="C27" s="4" t="s">
        <v>104</v>
      </c>
      <c r="D27" s="17">
        <v>500</v>
      </c>
      <c r="E27" s="18">
        <v>0</v>
      </c>
    </row>
    <row r="29" ht="24" customHeight="1" spans="1:7" x14ac:dyDescent="0.25">
      <c r="A29" s="13" t="s">
        <v>116</v>
      </c>
      <c r="B29" s="13"/>
      <c r="C29" s="13"/>
      <c r="D29" s="13"/>
      <c r="E29" s="13"/>
      <c r="F29" s="13"/>
      <c r="G29" s="13"/>
    </row>
    <row r="30" ht="28" customHeight="1" spans="1:7" x14ac:dyDescent="0.25">
      <c r="A30" s="15" t="s">
        <v>117</v>
      </c>
      <c r="B30" s="15" t="s">
        <v>98</v>
      </c>
      <c r="C30" s="15" t="s">
        <v>118</v>
      </c>
      <c r="D30" s="15" t="s">
        <v>119</v>
      </c>
      <c r="E30" s="15" t="s">
        <v>120</v>
      </c>
      <c r="F30" s="15" t="s">
        <v>121</v>
      </c>
      <c r="G30" s="15" t="s">
        <v>122</v>
      </c>
    </row>
    <row r="31" spans="1:7" x14ac:dyDescent="0.25">
      <c r="A31" s="4" t="s">
        <v>123</v>
      </c>
      <c r="B31" s="4" t="s">
        <v>124</v>
      </c>
      <c r="C31" s="4" t="s">
        <v>125</v>
      </c>
      <c r="D31" s="19">
        <v>1</v>
      </c>
      <c r="E31" s="17">
        <v>95000</v>
      </c>
      <c r="F31" s="18">
        <v>0.25</v>
      </c>
      <c r="G31" s="18">
        <v>0.0765</v>
      </c>
    </row>
    <row r="32" spans="1:7" x14ac:dyDescent="0.25">
      <c r="A32" s="4" t="s">
        <v>126</v>
      </c>
      <c r="B32" s="4" t="s">
        <v>124</v>
      </c>
      <c r="C32" s="4" t="s">
        <v>125</v>
      </c>
      <c r="D32" s="19">
        <v>1</v>
      </c>
      <c r="E32" s="17">
        <v>75000</v>
      </c>
      <c r="F32" s="18">
        <v>0.25</v>
      </c>
      <c r="G32" s="18">
        <v>0.0765</v>
      </c>
    </row>
    <row r="33" spans="1:7" x14ac:dyDescent="0.25">
      <c r="A33" s="4" t="s">
        <v>127</v>
      </c>
      <c r="B33" s="4" t="s">
        <v>128</v>
      </c>
      <c r="C33" s="4" t="s">
        <v>125</v>
      </c>
      <c r="D33" s="19">
        <v>6</v>
      </c>
      <c r="E33" s="17">
        <v>48000</v>
      </c>
      <c r="F33" s="18">
        <v>0.25</v>
      </c>
      <c r="G33" s="18">
        <v>0.0765</v>
      </c>
    </row>
    <row r="34" spans="1:7" x14ac:dyDescent="0.25">
      <c r="A34" s="4" t="s">
        <v>129</v>
      </c>
      <c r="B34" s="4" t="s">
        <v>128</v>
      </c>
      <c r="C34" s="4" t="s">
        <v>125</v>
      </c>
      <c r="D34" s="19">
        <v>3</v>
      </c>
      <c r="E34" s="17">
        <v>32000</v>
      </c>
      <c r="F34" s="18">
        <v>0.2</v>
      </c>
      <c r="G34" s="18">
        <v>0.0765</v>
      </c>
    </row>
    <row r="35" spans="1:7" x14ac:dyDescent="0.25">
      <c r="A35" s="4" t="s">
        <v>130</v>
      </c>
      <c r="B35" s="4" t="s">
        <v>131</v>
      </c>
      <c r="C35" s="4" t="s">
        <v>125</v>
      </c>
      <c r="D35" s="19">
        <v>1</v>
      </c>
      <c r="E35" s="17">
        <v>42000</v>
      </c>
      <c r="F35" s="18">
        <v>0.25</v>
      </c>
      <c r="G35" s="18">
        <v>0.0765</v>
      </c>
    </row>
    <row r="36" spans="1:7" x14ac:dyDescent="0.25">
      <c r="A36" s="4" t="s">
        <v>132</v>
      </c>
      <c r="B36" s="4" t="s">
        <v>133</v>
      </c>
      <c r="C36" s="4" t="s">
        <v>125</v>
      </c>
      <c r="D36" s="19">
        <v>1</v>
      </c>
      <c r="E36" s="17">
        <v>52000</v>
      </c>
      <c r="F36" s="18">
        <v>0.25</v>
      </c>
      <c r="G36" s="18">
        <v>0.0765</v>
      </c>
    </row>
    <row r="38" ht="24" customHeight="1" spans="1:7" x14ac:dyDescent="0.25">
      <c r="A38" s="13" t="s">
        <v>134</v>
      </c>
      <c r="B38" s="13"/>
      <c r="C38" s="13"/>
      <c r="D38" s="13"/>
      <c r="E38" s="13"/>
      <c r="F38" s="13"/>
      <c r="G38" s="13"/>
    </row>
    <row r="39" ht="28" customHeight="1" spans="1:5" x14ac:dyDescent="0.25">
      <c r="A39" s="15" t="s">
        <v>97</v>
      </c>
      <c r="B39" s="15" t="s">
        <v>98</v>
      </c>
      <c r="C39" s="15" t="s">
        <v>99</v>
      </c>
      <c r="D39" s="15" t="s">
        <v>100</v>
      </c>
      <c r="E39" s="15" t="s">
        <v>101</v>
      </c>
    </row>
    <row r="40" spans="1:5" x14ac:dyDescent="0.25">
      <c r="A40" s="4" t="s">
        <v>135</v>
      </c>
      <c r="B40" s="4" t="s">
        <v>136</v>
      </c>
      <c r="C40" s="4" t="s">
        <v>137</v>
      </c>
      <c r="D40" s="17">
        <v>8500</v>
      </c>
      <c r="E40" s="18">
        <v>0.03</v>
      </c>
    </row>
    <row r="41" spans="1:5" x14ac:dyDescent="0.25">
      <c r="A41" s="4" t="s">
        <v>138</v>
      </c>
      <c r="B41" s="4" t="s">
        <v>136</v>
      </c>
      <c r="C41" s="4" t="s">
        <v>137</v>
      </c>
      <c r="D41" s="17">
        <v>1200</v>
      </c>
      <c r="E41" s="18">
        <v>0</v>
      </c>
    </row>
    <row r="42" spans="1:5" x14ac:dyDescent="0.25">
      <c r="A42" s="4" t="s">
        <v>139</v>
      </c>
      <c r="B42" s="4" t="s">
        <v>136</v>
      </c>
      <c r="C42" s="4" t="s">
        <v>112</v>
      </c>
      <c r="D42" s="17">
        <v>12000</v>
      </c>
      <c r="E42" s="18">
        <v>0</v>
      </c>
    </row>
    <row r="43" spans="1:5" x14ac:dyDescent="0.25">
      <c r="A43" s="4" t="s">
        <v>140</v>
      </c>
      <c r="B43" s="4" t="s">
        <v>136</v>
      </c>
      <c r="C43" s="4" t="s">
        <v>112</v>
      </c>
      <c r="D43" s="17">
        <v>8000</v>
      </c>
      <c r="E43" s="18">
        <v>0</v>
      </c>
    </row>
    <row r="44" spans="1:5" x14ac:dyDescent="0.25">
      <c r="A44" s="4" t="s">
        <v>141</v>
      </c>
      <c r="B44" s="4" t="s">
        <v>142</v>
      </c>
      <c r="C44" s="4" t="s">
        <v>104</v>
      </c>
      <c r="D44" s="17">
        <v>600</v>
      </c>
      <c r="E44" s="18">
        <v>0</v>
      </c>
    </row>
    <row r="45" spans="1:5" x14ac:dyDescent="0.25">
      <c r="A45" s="4" t="s">
        <v>143</v>
      </c>
      <c r="B45" s="4" t="s">
        <v>143</v>
      </c>
      <c r="C45" s="4" t="s">
        <v>104</v>
      </c>
      <c r="D45" s="17">
        <v>400</v>
      </c>
      <c r="E45" s="18">
        <v>0</v>
      </c>
    </row>
    <row r="46" spans="1:5" x14ac:dyDescent="0.25">
      <c r="A46" s="4" t="s">
        <v>144</v>
      </c>
      <c r="B46" s="4" t="s">
        <v>145</v>
      </c>
      <c r="C46" s="4" t="s">
        <v>112</v>
      </c>
      <c r="D46" s="17">
        <v>15000</v>
      </c>
      <c r="E46" s="18">
        <v>0</v>
      </c>
    </row>
    <row r="47" spans="1:5" x14ac:dyDescent="0.25">
      <c r="A47" s="4" t="s">
        <v>146</v>
      </c>
      <c r="B47" s="4" t="s">
        <v>145</v>
      </c>
      <c r="C47" s="4" t="s">
        <v>112</v>
      </c>
      <c r="D47" s="17">
        <v>8000</v>
      </c>
      <c r="E47" s="18">
        <v>0</v>
      </c>
    </row>
    <row r="48" spans="1:5" x14ac:dyDescent="0.25">
      <c r="A48" s="4" t="s">
        <v>147</v>
      </c>
      <c r="B48" s="4" t="s">
        <v>145</v>
      </c>
      <c r="C48" s="4" t="s">
        <v>112</v>
      </c>
      <c r="D48" s="17">
        <v>12000</v>
      </c>
      <c r="E48" s="18">
        <v>0</v>
      </c>
    </row>
    <row r="50" ht="24" customHeight="1" spans="1:7" x14ac:dyDescent="0.25">
      <c r="A50" s="13" t="s">
        <v>148</v>
      </c>
      <c r="B50" s="13"/>
      <c r="C50" s="13"/>
      <c r="D50" s="13"/>
      <c r="E50" s="13"/>
      <c r="F50" s="13"/>
      <c r="G50" s="13"/>
    </row>
    <row r="51" ht="28" customHeight="1" spans="1:5" x14ac:dyDescent="0.25">
      <c r="A51" s="15" t="s">
        <v>149</v>
      </c>
      <c r="B51" s="15" t="s">
        <v>118</v>
      </c>
      <c r="C51" s="15" t="s">
        <v>150</v>
      </c>
      <c r="D51" s="15" t="s">
        <v>120</v>
      </c>
      <c r="E51" s="15" t="s">
        <v>151</v>
      </c>
    </row>
    <row r="52" spans="1:5" x14ac:dyDescent="0.25">
      <c r="A52" s="4" t="s">
        <v>152</v>
      </c>
      <c r="B52" s="4" t="s">
        <v>153</v>
      </c>
      <c r="C52" s="17">
        <v>250000</v>
      </c>
      <c r="D52" s="18">
        <v>0.065</v>
      </c>
      <c r="E52" s="16">
        <v>10</v>
      </c>
    </row>
    <row r="53" spans="1:5" x14ac:dyDescent="0.25">
      <c r="A53" s="4" t="s">
        <v>154</v>
      </c>
      <c r="B53" s="4" t="s">
        <v>155</v>
      </c>
      <c r="C53" s="17">
        <v>25000</v>
      </c>
      <c r="D53" s="18">
        <v>0</v>
      </c>
      <c r="E53" s="16">
        <v>0</v>
      </c>
    </row>
    <row r="55" ht="24" customHeight="1" spans="1:7" x14ac:dyDescent="0.25">
      <c r="A55" s="13" t="s">
        <v>156</v>
      </c>
      <c r="B55" s="13"/>
      <c r="C55" s="13"/>
      <c r="D55" s="13"/>
      <c r="E55" s="13"/>
      <c r="F55" s="13"/>
      <c r="G55" s="13"/>
    </row>
    <row r="56" spans="1:3" x14ac:dyDescent="0.25">
      <c r="A56" s="4" t="s">
        <v>157</v>
      </c>
      <c r="B56" s="18">
        <v>0.03</v>
      </c>
      <c r="C56" s="20" t="s">
        <v>158</v>
      </c>
    </row>
    <row r="57" spans="1:3" x14ac:dyDescent="0.25">
      <c r="A57" s="4" t="s">
        <v>159</v>
      </c>
      <c r="B57" s="18">
        <v>0.03</v>
      </c>
      <c r="C57" s="20" t="s">
        <v>160</v>
      </c>
    </row>
    <row r="58" spans="1:2" x14ac:dyDescent="0.25">
      <c r="A58" s="4" t="s">
        <v>161</v>
      </c>
      <c r="B58" s="19">
        <v>1</v>
      </c>
    </row>
    <row r="59" spans="1:2" x14ac:dyDescent="0.25">
      <c r="A59" s="4" t="s">
        <v>162</v>
      </c>
      <c r="B59" s="17">
        <v>75000</v>
      </c>
    </row>
    <row r="60" spans="1:2" x14ac:dyDescent="0.25">
      <c r="A60" s="4" t="s">
        <v>163</v>
      </c>
      <c r="B60" s="14" t="s">
        <v>164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165</v>
      </c>
      <c r="B3" s="4" t="s">
        <v>166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167</v>
      </c>
      <c r="B6" s="4" t="s">
        <v>168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169</v>
      </c>
      <c r="B8" s="4" t="s">
        <v>17</v>
      </c>
    </row>
    <row r="9" spans="1:2" x14ac:dyDescent="0.25">
      <c r="A9" s="3" t="s">
        <v>87</v>
      </c>
      <c r="B9" s="4" t="s">
        <v>170</v>
      </c>
    </row>
    <row r="10" spans="1:2" x14ac:dyDescent="0.25">
      <c r="A10" s="3" t="s">
        <v>171</v>
      </c>
      <c r="B10" s="4" t="s">
        <v>172</v>
      </c>
    </row>
    <row r="11" spans="1:2" x14ac:dyDescent="0.25">
      <c r="A11" s="3" t="s">
        <v>173</v>
      </c>
      <c r="B11" s="4" t="s">
        <v>174</v>
      </c>
    </row>
    <row r="12" spans="1:2" x14ac:dyDescent="0.25">
      <c r="A12" s="3" t="s">
        <v>163</v>
      </c>
      <c r="B12" s="4" t="s">
        <v>164</v>
      </c>
    </row>
    <row r="13" spans="1:2" x14ac:dyDescent="0.25">
      <c r="A13" s="3" t="s">
        <v>88</v>
      </c>
      <c r="B13" s="4" t="s">
        <v>175</v>
      </c>
    </row>
    <row r="14" spans="1:2" x14ac:dyDescent="0.25">
      <c r="A14" s="3" t="s">
        <v>176</v>
      </c>
      <c r="B14" s="4" t="s">
        <v>177</v>
      </c>
    </row>
    <row r="15" spans="1:2" x14ac:dyDescent="0.25">
      <c r="A15" s="3" t="s">
        <v>178</v>
      </c>
      <c r="B15" s="4" t="s">
        <v>179</v>
      </c>
    </row>
    <row r="16" spans="1:2" x14ac:dyDescent="0.25">
      <c r="A16" s="3" t="s">
        <v>180</v>
      </c>
      <c r="B16" s="4" t="s">
        <v>181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8" x14ac:dyDescent="0.25">
      <c r="A3" s="15" t="s">
        <v>67</v>
      </c>
      <c r="B3" s="15" t="s">
        <v>182</v>
      </c>
      <c r="C3" s="15" t="s">
        <v>183</v>
      </c>
      <c r="D3" s="15" t="s">
        <v>90</v>
      </c>
      <c r="E3" s="15" t="s">
        <v>91</v>
      </c>
      <c r="F3" s="15" t="s">
        <v>92</v>
      </c>
      <c r="G3" s="15" t="s">
        <v>93</v>
      </c>
      <c r="H3" s="15" t="s">
        <v>94</v>
      </c>
    </row>
    <row r="5" ht="24" customHeight="1" spans="1:8" x14ac:dyDescent="0.25">
      <c r="A5" s="13" t="s">
        <v>184</v>
      </c>
      <c r="B5" s="13"/>
      <c r="C5" s="13"/>
      <c r="D5" s="13"/>
      <c r="E5" s="13"/>
      <c r="F5" s="13"/>
      <c r="G5" s="13"/>
      <c r="H5" s="13"/>
    </row>
    <row r="6" spans="1:8" x14ac:dyDescent="0.25">
      <c r="A6" s="3" t="s">
        <v>95</v>
      </c>
      <c r="B6" s="21">
        <v>85</v>
      </c>
      <c r="C6" s="21">
        <v>0</v>
      </c>
      <c r="D6" s="22">
        <v>100</v>
      </c>
      <c r="E6" s="22">
        <v>130</v>
      </c>
      <c r="F6" s="22">
        <v>160</v>
      </c>
      <c r="G6" s="22">
        <v>185</v>
      </c>
      <c r="H6" s="22">
        <v>200</v>
      </c>
    </row>
    <row r="7" spans="1:2" x14ac:dyDescent="0.25">
      <c r="A7" s="4" t="s">
        <v>88</v>
      </c>
      <c r="B7" s="23">
        <v>200</v>
      </c>
    </row>
    <row r="8" spans="1:8" x14ac:dyDescent="0.25">
      <c r="A8" s="4" t="s">
        <v>185</v>
      </c>
      <c r="D8" s="24">
        <v>0.5</v>
      </c>
      <c r="E8" s="24">
        <v>0.65</v>
      </c>
      <c r="F8" s="24">
        <v>0.8</v>
      </c>
      <c r="G8" s="24">
        <v>0.925</v>
      </c>
      <c r="H8" s="24">
        <v>1</v>
      </c>
    </row>
    <row r="10" spans="1:8" x14ac:dyDescent="0.25">
      <c r="A10" s="4" t="s">
        <v>186</v>
      </c>
      <c r="D10" s="4" t="s">
        <v>187</v>
      </c>
      <c r="E10" s="25">
        <v>0.3</v>
      </c>
      <c r="F10" s="25">
        <v>0.23076923076923078</v>
      </c>
      <c r="G10" s="25">
        <v>0.15625</v>
      </c>
      <c r="H10" s="25">
        <v>0.08108108108108109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188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189</v>
      </c>
      <c r="B4" s="13"/>
      <c r="C4" s="13"/>
      <c r="D4" s="13"/>
      <c r="E4" s="13"/>
      <c r="F4" s="13"/>
    </row>
    <row r="5" spans="1:6" x14ac:dyDescent="0.25">
      <c r="A5" s="4" t="s">
        <v>190</v>
      </c>
      <c r="B5" s="26">
        <v>1050000</v>
      </c>
      <c r="C5" s="26">
        <v>1405950</v>
      </c>
      <c r="D5" s="26">
        <v>1782312</v>
      </c>
      <c r="E5" s="26">
        <v>2122622</v>
      </c>
      <c r="F5" s="26">
        <v>2363569</v>
      </c>
    </row>
    <row r="6" spans="1:6" x14ac:dyDescent="0.25">
      <c r="A6" s="4" t="s">
        <v>191</v>
      </c>
      <c r="B6" s="26">
        <v>35000</v>
      </c>
      <c r="C6" s="26">
        <v>46865</v>
      </c>
      <c r="D6" s="26">
        <v>59410</v>
      </c>
      <c r="E6" s="26">
        <v>70754</v>
      </c>
      <c r="F6" s="26">
        <v>78786</v>
      </c>
    </row>
    <row r="7" spans="1:6" x14ac:dyDescent="0.25">
      <c r="A7" s="4" t="s">
        <v>192</v>
      </c>
      <c r="B7" s="26">
        <v>105000</v>
      </c>
      <c r="C7" s="26">
        <v>140595</v>
      </c>
      <c r="D7" s="26">
        <v>178231</v>
      </c>
      <c r="E7" s="26">
        <v>212262</v>
      </c>
      <c r="F7" s="26">
        <v>236357</v>
      </c>
    </row>
    <row r="8" spans="1:6" x14ac:dyDescent="0.25">
      <c r="A8" s="4" t="s">
        <v>193</v>
      </c>
      <c r="B8" s="26">
        <v>870000</v>
      </c>
      <c r="C8" s="26">
        <v>1164930</v>
      </c>
      <c r="D8" s="26">
        <v>1476773</v>
      </c>
      <c r="E8" s="26">
        <v>1758744</v>
      </c>
      <c r="F8" s="26">
        <v>1958385</v>
      </c>
    </row>
    <row r="9" spans="1:6" x14ac:dyDescent="0.25">
      <c r="A9" s="4" t="s">
        <v>194</v>
      </c>
      <c r="B9" s="26">
        <v>50000</v>
      </c>
      <c r="C9" s="26">
        <v>51500</v>
      </c>
      <c r="D9" s="26">
        <v>53045</v>
      </c>
      <c r="E9" s="26">
        <v>54636</v>
      </c>
      <c r="F9" s="26">
        <v>56275</v>
      </c>
    </row>
    <row r="10" spans="1:6" x14ac:dyDescent="0.25">
      <c r="A10" s="4" t="s">
        <v>195</v>
      </c>
      <c r="B10" s="26">
        <v>25000</v>
      </c>
      <c r="C10" s="26">
        <v>25750</v>
      </c>
      <c r="D10" s="26">
        <v>26523</v>
      </c>
      <c r="E10" s="26">
        <v>27318</v>
      </c>
      <c r="F10" s="26">
        <v>28138</v>
      </c>
    </row>
    <row r="11" spans="1:6" x14ac:dyDescent="0.25">
      <c r="A11" s="4" t="s">
        <v>196</v>
      </c>
      <c r="B11" s="26">
        <v>50000</v>
      </c>
      <c r="C11" s="26">
        <v>66950</v>
      </c>
      <c r="D11" s="26">
        <v>84872</v>
      </c>
      <c r="E11" s="26">
        <v>101077</v>
      </c>
      <c r="F11" s="26">
        <v>112551</v>
      </c>
    </row>
    <row r="12" ht="24" customHeight="1" spans="1:6" x14ac:dyDescent="0.25">
      <c r="A12" s="13" t="s">
        <v>197</v>
      </c>
      <c r="B12" s="27">
        <f>SUM(B5:B11)</f>
        <v>1975000</v>
      </c>
      <c r="C12" s="27">
        <f>SUM(C5:C11)</f>
        <v>2621350</v>
      </c>
      <c r="D12" s="27">
        <f>SUM(D5:D11)</f>
        <v>3304704</v>
      </c>
      <c r="E12" s="27">
        <f>SUM(E5:E11)</f>
        <v>3922890</v>
      </c>
      <c r="F12" s="27">
        <f>SUM(F5:F11)</f>
        <v>4361347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117</v>
      </c>
      <c r="B3" s="15" t="s">
        <v>98</v>
      </c>
      <c r="C3" s="15" t="s">
        <v>119</v>
      </c>
      <c r="D3" s="15" t="s">
        <v>198</v>
      </c>
      <c r="E3" s="15" t="s">
        <v>121</v>
      </c>
      <c r="F3" s="15" t="s">
        <v>122</v>
      </c>
      <c r="G3" s="15" t="s">
        <v>199</v>
      </c>
    </row>
    <row r="4" spans="1:7" x14ac:dyDescent="0.25">
      <c r="A4" s="4" t="s">
        <v>123</v>
      </c>
      <c r="B4" s="4" t="s">
        <v>124</v>
      </c>
      <c r="C4" s="28">
        <v>1</v>
      </c>
      <c r="D4" s="26">
        <v>95000</v>
      </c>
      <c r="E4" s="25">
        <v>0.25</v>
      </c>
      <c r="F4" s="25">
        <v>0.0765</v>
      </c>
      <c r="G4" s="29">
        <v>126018</v>
      </c>
    </row>
    <row r="5" spans="1:7" x14ac:dyDescent="0.25">
      <c r="A5" s="4" t="s">
        <v>126</v>
      </c>
      <c r="B5" s="4" t="s">
        <v>124</v>
      </c>
      <c r="C5" s="28">
        <v>1</v>
      </c>
      <c r="D5" s="26">
        <v>75000</v>
      </c>
      <c r="E5" s="25">
        <v>0.25</v>
      </c>
      <c r="F5" s="25">
        <v>0.0765</v>
      </c>
      <c r="G5" s="29">
        <v>99488</v>
      </c>
    </row>
    <row r="6" spans="1:7" x14ac:dyDescent="0.25">
      <c r="A6" s="4" t="s">
        <v>127</v>
      </c>
      <c r="B6" s="4" t="s">
        <v>128</v>
      </c>
      <c r="C6" s="28">
        <v>6</v>
      </c>
      <c r="D6" s="26">
        <v>48000</v>
      </c>
      <c r="E6" s="25">
        <v>0.25</v>
      </c>
      <c r="F6" s="25">
        <v>0.0765</v>
      </c>
      <c r="G6" s="29">
        <v>382032</v>
      </c>
    </row>
    <row r="7" spans="1:7" x14ac:dyDescent="0.25">
      <c r="A7" s="4" t="s">
        <v>129</v>
      </c>
      <c r="B7" s="4" t="s">
        <v>128</v>
      </c>
      <c r="C7" s="28">
        <v>3</v>
      </c>
      <c r="D7" s="26">
        <v>32000</v>
      </c>
      <c r="E7" s="25">
        <v>0.2</v>
      </c>
      <c r="F7" s="25">
        <v>0.0765</v>
      </c>
      <c r="G7" s="29">
        <v>122544</v>
      </c>
    </row>
    <row r="8" spans="1:7" x14ac:dyDescent="0.25">
      <c r="A8" s="4" t="s">
        <v>130</v>
      </c>
      <c r="B8" s="4" t="s">
        <v>131</v>
      </c>
      <c r="C8" s="28">
        <v>1</v>
      </c>
      <c r="D8" s="26">
        <v>42000</v>
      </c>
      <c r="E8" s="25">
        <v>0.25</v>
      </c>
      <c r="F8" s="25">
        <v>0.0765</v>
      </c>
      <c r="G8" s="29">
        <v>55713</v>
      </c>
    </row>
    <row r="9" spans="1:7" x14ac:dyDescent="0.25">
      <c r="A9" s="4" t="s">
        <v>132</v>
      </c>
      <c r="B9" s="4" t="s">
        <v>133</v>
      </c>
      <c r="C9" s="28">
        <v>1</v>
      </c>
      <c r="D9" s="26">
        <v>52000</v>
      </c>
      <c r="E9" s="25">
        <v>0.25</v>
      </c>
      <c r="F9" s="25">
        <v>0.0765</v>
      </c>
      <c r="G9" s="29">
        <v>68978</v>
      </c>
    </row>
    <row r="11" ht="24" customHeight="1" spans="1:7" x14ac:dyDescent="0.25">
      <c r="A11" s="13" t="s">
        <v>200</v>
      </c>
      <c r="B11" s="13"/>
      <c r="C11" s="13"/>
      <c r="D11" s="13"/>
      <c r="E11" s="13"/>
      <c r="F11" s="13"/>
      <c r="G11" s="13"/>
    </row>
    <row r="12" ht="28" customHeight="1" spans="1:6" x14ac:dyDescent="0.25">
      <c r="A12" s="15" t="s">
        <v>67</v>
      </c>
      <c r="B12" s="15" t="s">
        <v>90</v>
      </c>
      <c r="C12" s="15" t="s">
        <v>91</v>
      </c>
      <c r="D12" s="15" t="s">
        <v>92</v>
      </c>
      <c r="E12" s="15" t="s">
        <v>93</v>
      </c>
      <c r="F12" s="15" t="s">
        <v>94</v>
      </c>
    </row>
    <row r="13" spans="1:6" x14ac:dyDescent="0.25">
      <c r="A13" s="3" t="s">
        <v>201</v>
      </c>
      <c r="B13" s="27">
        <v>854772</v>
      </c>
      <c r="C13" s="27">
        <v>880415</v>
      </c>
      <c r="D13" s="27">
        <v>906828</v>
      </c>
      <c r="E13" s="27">
        <v>934032</v>
      </c>
      <c r="F13" s="27">
        <v>962053</v>
      </c>
    </row>
    <row r="14" spans="1:6" x14ac:dyDescent="0.25">
      <c r="A14" s="4" t="s">
        <v>202</v>
      </c>
      <c r="B14" s="25">
        <v>0.4327959493670886</v>
      </c>
      <c r="C14" s="25">
        <v>0.3358632612966601</v>
      </c>
      <c r="D14" s="25">
        <v>0.2744051364365971</v>
      </c>
      <c r="E14" s="25">
        <v>0.23809805013927576</v>
      </c>
      <c r="F14" s="25">
        <v>0.22058632258064514</v>
      </c>
    </row>
    <row r="15" spans="1:6" x14ac:dyDescent="0.25">
      <c r="A15" s="4" t="s">
        <v>203</v>
      </c>
      <c r="B15" s="30">
        <v>7.7</v>
      </c>
      <c r="C15" s="30">
        <v>10</v>
      </c>
      <c r="D15" s="30">
        <v>12.3</v>
      </c>
      <c r="E15" s="30">
        <v>14.2</v>
      </c>
      <c r="F15" s="30">
        <v>15.4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204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142</v>
      </c>
      <c r="B4" s="13"/>
      <c r="C4" s="13"/>
      <c r="D4" s="13"/>
      <c r="E4" s="13"/>
      <c r="F4" s="13"/>
    </row>
    <row r="5" spans="1:6" x14ac:dyDescent="0.25">
      <c r="A5" s="4" t="s">
        <v>205</v>
      </c>
      <c r="B5" s="26">
        <v>60000</v>
      </c>
      <c r="C5" s="26">
        <v>80340</v>
      </c>
      <c r="D5" s="26">
        <v>101846</v>
      </c>
      <c r="E5" s="26">
        <v>121293</v>
      </c>
      <c r="F5" s="26">
        <v>135061</v>
      </c>
    </row>
    <row r="6" spans="1:6" x14ac:dyDescent="0.25">
      <c r="A6" s="3" t="s">
        <v>206</v>
      </c>
      <c r="B6" s="31">
        <f>SUM(B5:B5)</f>
        <v>60000</v>
      </c>
      <c r="C6" s="31">
        <f>SUM(C5:C5)</f>
        <v>80340</v>
      </c>
      <c r="D6" s="31">
        <f>SUM(D5:D5)</f>
        <v>101846</v>
      </c>
      <c r="E6" s="31">
        <f>SUM(E5:E5)</f>
        <v>121293</v>
      </c>
      <c r="F6" s="31">
        <f>SUM(F5:F5)</f>
        <v>135061</v>
      </c>
    </row>
    <row r="7" ht="24" customHeight="1" spans="1:6" x14ac:dyDescent="0.25">
      <c r="A7" s="13" t="s">
        <v>143</v>
      </c>
      <c r="B7" s="13"/>
      <c r="C7" s="13"/>
      <c r="D7" s="13"/>
      <c r="E7" s="13"/>
      <c r="F7" s="13"/>
    </row>
    <row r="8" spans="1:6" x14ac:dyDescent="0.25">
      <c r="A8" s="4" t="s">
        <v>207</v>
      </c>
      <c r="B8" s="26">
        <v>40000</v>
      </c>
      <c r="C8" s="26">
        <v>53560</v>
      </c>
      <c r="D8" s="26">
        <v>67898</v>
      </c>
      <c r="E8" s="26">
        <v>80862</v>
      </c>
      <c r="F8" s="26">
        <v>90041</v>
      </c>
    </row>
    <row r="9" spans="1:6" x14ac:dyDescent="0.25">
      <c r="A9" s="3" t="s">
        <v>208</v>
      </c>
      <c r="B9" s="31">
        <f>SUM(B8:B8)</f>
        <v>40000</v>
      </c>
      <c r="C9" s="31">
        <f>SUM(C8:C8)</f>
        <v>53560</v>
      </c>
      <c r="D9" s="31">
        <f>SUM(D8:D8)</f>
        <v>67898</v>
      </c>
      <c r="E9" s="31">
        <f>SUM(E8:E8)</f>
        <v>80862</v>
      </c>
      <c r="F9" s="31">
        <f>SUM(F8:F8)</f>
        <v>90041</v>
      </c>
    </row>
    <row r="10" ht="24" customHeight="1" spans="1:6" x14ac:dyDescent="0.25">
      <c r="A10" s="13" t="s">
        <v>136</v>
      </c>
      <c r="B10" s="13"/>
      <c r="C10" s="13"/>
      <c r="D10" s="13"/>
      <c r="E10" s="13"/>
      <c r="F10" s="13"/>
    </row>
    <row r="11" spans="1:6" x14ac:dyDescent="0.25">
      <c r="A11" s="4" t="s">
        <v>209</v>
      </c>
      <c r="B11" s="26">
        <v>102000</v>
      </c>
      <c r="C11" s="26">
        <v>105060</v>
      </c>
      <c r="D11" s="26">
        <v>108212</v>
      </c>
      <c r="E11" s="26">
        <v>111458</v>
      </c>
      <c r="F11" s="26">
        <v>114802</v>
      </c>
    </row>
    <row r="12" spans="1:6" x14ac:dyDescent="0.25">
      <c r="A12" s="4" t="s">
        <v>210</v>
      </c>
      <c r="B12" s="26">
        <v>14400</v>
      </c>
      <c r="C12" s="26">
        <v>14832</v>
      </c>
      <c r="D12" s="26">
        <v>15277</v>
      </c>
      <c r="E12" s="26">
        <v>15735</v>
      </c>
      <c r="F12" s="26">
        <v>16207</v>
      </c>
    </row>
    <row r="13" spans="1:6" x14ac:dyDescent="0.25">
      <c r="A13" s="4" t="s">
        <v>211</v>
      </c>
      <c r="B13" s="26">
        <v>12000</v>
      </c>
      <c r="C13" s="26">
        <v>12360</v>
      </c>
      <c r="D13" s="26">
        <v>12731</v>
      </c>
      <c r="E13" s="26">
        <v>13113</v>
      </c>
      <c r="F13" s="26">
        <v>13506</v>
      </c>
    </row>
    <row r="14" spans="1:6" x14ac:dyDescent="0.25">
      <c r="A14" s="4" t="s">
        <v>212</v>
      </c>
      <c r="B14" s="26">
        <v>8000</v>
      </c>
      <c r="C14" s="26">
        <v>8240</v>
      </c>
      <c r="D14" s="26">
        <v>8487</v>
      </c>
      <c r="E14" s="26">
        <v>8742</v>
      </c>
      <c r="F14" s="26">
        <v>9004</v>
      </c>
    </row>
    <row r="15" spans="1:6" x14ac:dyDescent="0.25">
      <c r="A15" s="3" t="s">
        <v>213</v>
      </c>
      <c r="B15" s="31">
        <f>SUM(B11:B14)</f>
        <v>136400</v>
      </c>
      <c r="C15" s="31">
        <f>SUM(C11:C14)</f>
        <v>140492</v>
      </c>
      <c r="D15" s="31">
        <f>SUM(D11:D14)</f>
        <v>144707</v>
      </c>
      <c r="E15" s="31">
        <f>SUM(E11:E14)</f>
        <v>149048</v>
      </c>
      <c r="F15" s="31">
        <f>SUM(F11:F14)</f>
        <v>153519</v>
      </c>
    </row>
    <row r="16" ht="24" customHeight="1" spans="1:6" x14ac:dyDescent="0.25">
      <c r="A16" s="13" t="s">
        <v>145</v>
      </c>
      <c r="B16" s="13"/>
      <c r="C16" s="13"/>
      <c r="D16" s="13"/>
      <c r="E16" s="13"/>
      <c r="F16" s="13"/>
    </row>
    <row r="17" spans="1:6" x14ac:dyDescent="0.25">
      <c r="A17" s="4" t="s">
        <v>214</v>
      </c>
      <c r="B17" s="26">
        <v>15000</v>
      </c>
      <c r="C17" s="26">
        <v>15450</v>
      </c>
      <c r="D17" s="26">
        <v>15914</v>
      </c>
      <c r="E17" s="26">
        <v>16391</v>
      </c>
      <c r="F17" s="26">
        <v>16883</v>
      </c>
    </row>
    <row r="18" spans="1:6" x14ac:dyDescent="0.25">
      <c r="A18" s="4" t="s">
        <v>215</v>
      </c>
      <c r="B18" s="26">
        <v>8000</v>
      </c>
      <c r="C18" s="26">
        <v>8240</v>
      </c>
      <c r="D18" s="26">
        <v>8487</v>
      </c>
      <c r="E18" s="26">
        <v>8742</v>
      </c>
      <c r="F18" s="26">
        <v>9004</v>
      </c>
    </row>
    <row r="19" spans="1:6" x14ac:dyDescent="0.25">
      <c r="A19" s="4" t="s">
        <v>216</v>
      </c>
      <c r="B19" s="26">
        <v>12000</v>
      </c>
      <c r="C19" s="26">
        <v>12360</v>
      </c>
      <c r="D19" s="26">
        <v>12731</v>
      </c>
      <c r="E19" s="26">
        <v>13113</v>
      </c>
      <c r="F19" s="26">
        <v>13506</v>
      </c>
    </row>
    <row r="20" spans="1:6" x14ac:dyDescent="0.25">
      <c r="A20" s="3" t="s">
        <v>217</v>
      </c>
      <c r="B20" s="31">
        <f>SUM(B17:B19)</f>
        <v>35000</v>
      </c>
      <c r="C20" s="31">
        <f>SUM(C17:C19)</f>
        <v>36050</v>
      </c>
      <c r="D20" s="31">
        <f>SUM(D17:D19)</f>
        <v>37132</v>
      </c>
      <c r="E20" s="31">
        <f>SUM(E17:E19)</f>
        <v>38245</v>
      </c>
      <c r="F20" s="31">
        <f>SUM(F17:F19)</f>
        <v>39393</v>
      </c>
    </row>
    <row r="22" ht="24" customHeight="1" spans="1:6" x14ac:dyDescent="0.25">
      <c r="A22" s="13" t="s">
        <v>218</v>
      </c>
      <c r="B22" s="27">
        <f>B6+B9+B15+B20</f>
        <v>271400</v>
      </c>
      <c r="C22" s="27">
        <f>C6+C9+C15+C20</f>
        <v>310442</v>
      </c>
      <c r="D22" s="27">
        <f>D6+D9+D15+D20</f>
        <v>351582</v>
      </c>
      <c r="E22" s="27">
        <f>E6+E9+E15+E20</f>
        <v>389448</v>
      </c>
      <c r="F22" s="27">
        <f>F6+F9+F15+F20</f>
        <v>418014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219</v>
      </c>
      <c r="B1" s="11"/>
      <c r="C1" s="11"/>
      <c r="D1" s="11"/>
      <c r="E1" s="11"/>
      <c r="F1" s="11"/>
    </row>
    <row r="3" ht="28" customHeight="1" spans="1:6" x14ac:dyDescent="0.25">
      <c r="A3" s="15" t="s">
        <v>149</v>
      </c>
      <c r="B3" s="15" t="s">
        <v>118</v>
      </c>
      <c r="C3" s="15" t="s">
        <v>150</v>
      </c>
      <c r="D3" s="15" t="s">
        <v>120</v>
      </c>
      <c r="E3" s="15" t="s">
        <v>151</v>
      </c>
      <c r="F3" s="15" t="s">
        <v>220</v>
      </c>
    </row>
    <row r="4" spans="1:6" x14ac:dyDescent="0.25">
      <c r="A4" s="4" t="s">
        <v>152</v>
      </c>
      <c r="B4" s="4" t="s">
        <v>153</v>
      </c>
      <c r="C4" s="17">
        <v>250000</v>
      </c>
      <c r="D4" s="25">
        <v>0.065</v>
      </c>
      <c r="E4" s="23">
        <v>10</v>
      </c>
      <c r="F4" s="29">
        <v>34064</v>
      </c>
    </row>
    <row r="5" spans="1:6" x14ac:dyDescent="0.25">
      <c r="A5" s="4" t="s">
        <v>154</v>
      </c>
      <c r="B5" s="4" t="s">
        <v>221</v>
      </c>
      <c r="C5" s="17">
        <v>25000</v>
      </c>
      <c r="D5" s="25">
        <v>0</v>
      </c>
      <c r="E5" s="23">
        <v>0</v>
      </c>
      <c r="F5" s="29">
        <v>25000</v>
      </c>
    </row>
    <row r="7" spans="1:6" x14ac:dyDescent="0.25">
      <c r="A7" s="3" t="s">
        <v>222</v>
      </c>
      <c r="F7" s="27">
        <v>34064</v>
      </c>
    </row>
    <row r="8" spans="1:6" x14ac:dyDescent="0.25">
      <c r="A8" s="3" t="s">
        <v>223</v>
      </c>
      <c r="F8" s="31">
        <v>250000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224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95</v>
      </c>
      <c r="B4" s="21">
        <v>100</v>
      </c>
      <c r="C4" s="21">
        <v>130</v>
      </c>
      <c r="D4" s="21">
        <v>160</v>
      </c>
      <c r="E4" s="21">
        <v>185</v>
      </c>
      <c r="F4" s="21">
        <v>200</v>
      </c>
    </row>
    <row r="6" ht="24" customHeight="1" spans="1:6" x14ac:dyDescent="0.25">
      <c r="A6" s="13" t="s">
        <v>225</v>
      </c>
      <c r="B6" s="13"/>
      <c r="C6" s="13"/>
      <c r="D6" s="13"/>
      <c r="E6" s="13"/>
      <c r="F6" s="13"/>
    </row>
    <row r="7" spans="1:6" x14ac:dyDescent="0.25">
      <c r="A7" s="4" t="s">
        <v>102</v>
      </c>
      <c r="B7" s="26">
        <v>1050000</v>
      </c>
      <c r="C7" s="26">
        <v>1405950</v>
      </c>
      <c r="D7" s="26">
        <v>1782312</v>
      </c>
      <c r="E7" s="26">
        <v>2122622</v>
      </c>
      <c r="F7" s="26">
        <v>2363569</v>
      </c>
    </row>
    <row r="8" spans="1:6" x14ac:dyDescent="0.25">
      <c r="A8" s="4" t="s">
        <v>105</v>
      </c>
      <c r="B8" s="26">
        <v>35000</v>
      </c>
      <c r="C8" s="26">
        <v>46865</v>
      </c>
      <c r="D8" s="26">
        <v>59410</v>
      </c>
      <c r="E8" s="26">
        <v>70754</v>
      </c>
      <c r="F8" s="26">
        <v>78786</v>
      </c>
    </row>
    <row r="9" spans="1:6" x14ac:dyDescent="0.25">
      <c r="A9" s="4" t="s">
        <v>106</v>
      </c>
      <c r="B9" s="26">
        <v>105000</v>
      </c>
      <c r="C9" s="26">
        <v>140595</v>
      </c>
      <c r="D9" s="26">
        <v>178231</v>
      </c>
      <c r="E9" s="26">
        <v>212262</v>
      </c>
      <c r="F9" s="26">
        <v>236357</v>
      </c>
    </row>
    <row r="10" spans="1:6" x14ac:dyDescent="0.25">
      <c r="A10" s="4" t="s">
        <v>108</v>
      </c>
      <c r="B10" s="26">
        <v>870000</v>
      </c>
      <c r="C10" s="26">
        <v>1164930</v>
      </c>
      <c r="D10" s="26">
        <v>1476773</v>
      </c>
      <c r="E10" s="26">
        <v>1758744</v>
      </c>
      <c r="F10" s="26">
        <v>1958385</v>
      </c>
    </row>
    <row r="11" spans="1:6" x14ac:dyDescent="0.25">
      <c r="A11" s="4" t="s">
        <v>110</v>
      </c>
      <c r="B11" s="26">
        <v>50000</v>
      </c>
      <c r="C11" s="26">
        <v>51500</v>
      </c>
      <c r="D11" s="26">
        <v>53045</v>
      </c>
      <c r="E11" s="26">
        <v>54636</v>
      </c>
      <c r="F11" s="26">
        <v>56275</v>
      </c>
    </row>
    <row r="12" spans="1:6" x14ac:dyDescent="0.25">
      <c r="A12" s="4" t="s">
        <v>113</v>
      </c>
      <c r="B12" s="26">
        <v>25000</v>
      </c>
      <c r="C12" s="26">
        <v>25750</v>
      </c>
      <c r="D12" s="26">
        <v>26523</v>
      </c>
      <c r="E12" s="26">
        <v>27318</v>
      </c>
      <c r="F12" s="26">
        <v>28138</v>
      </c>
    </row>
    <row r="13" spans="1:6" x14ac:dyDescent="0.25">
      <c r="A13" s="4" t="s">
        <v>114</v>
      </c>
      <c r="B13" s="26">
        <v>50000</v>
      </c>
      <c r="C13" s="26">
        <v>66950</v>
      </c>
      <c r="D13" s="26">
        <v>84872</v>
      </c>
      <c r="E13" s="26">
        <v>101077</v>
      </c>
      <c r="F13" s="26">
        <v>112551</v>
      </c>
    </row>
    <row r="14" ht="24" customHeight="1" spans="1:6" x14ac:dyDescent="0.25">
      <c r="A14" s="13" t="s">
        <v>197</v>
      </c>
      <c r="B14" s="27">
        <f>SUM(B7:B13)</f>
        <v>1975000</v>
      </c>
      <c r="C14" s="27">
        <f>SUM(C7:C13)</f>
        <v>2621350</v>
      </c>
      <c r="D14" s="27">
        <f>SUM(D7:D13)</f>
        <v>3304704</v>
      </c>
      <c r="E14" s="27">
        <f>SUM(E7:E13)</f>
        <v>3922890</v>
      </c>
      <c r="F14" s="27">
        <f>SUM(F7:F13)</f>
        <v>4361347</v>
      </c>
    </row>
    <row r="16" spans="1:6" x14ac:dyDescent="0.25">
      <c r="A16" s="4" t="s">
        <v>226</v>
      </c>
      <c r="B16" s="26">
        <v>19750</v>
      </c>
      <c r="C16" s="26">
        <v>20164</v>
      </c>
      <c r="D16" s="26">
        <v>20654</v>
      </c>
      <c r="E16" s="26">
        <v>21205</v>
      </c>
      <c r="F16" s="26">
        <v>21807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227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128</v>
      </c>
      <c r="B4" s="13"/>
      <c r="C4" s="13"/>
      <c r="D4" s="13"/>
      <c r="E4" s="13"/>
      <c r="F4" s="13"/>
    </row>
    <row r="5" spans="1:6" x14ac:dyDescent="0.25">
      <c r="A5" s="4" t="s">
        <v>228</v>
      </c>
      <c r="B5" s="26">
        <v>382032</v>
      </c>
      <c r="C5" s="26">
        <v>393493</v>
      </c>
      <c r="D5" s="26">
        <v>405298</v>
      </c>
      <c r="E5" s="26">
        <v>417457</v>
      </c>
      <c r="F5" s="26">
        <v>429980</v>
      </c>
    </row>
    <row r="6" spans="1:6" x14ac:dyDescent="0.25">
      <c r="A6" s="4" t="s">
        <v>229</v>
      </c>
      <c r="B6" s="26">
        <v>122544</v>
      </c>
      <c r="C6" s="26">
        <v>126220</v>
      </c>
      <c r="D6" s="26">
        <v>130007</v>
      </c>
      <c r="E6" s="26">
        <v>133907</v>
      </c>
      <c r="F6" s="26">
        <v>137924</v>
      </c>
    </row>
    <row r="7" spans="1:6" x14ac:dyDescent="0.25">
      <c r="A7" s="3" t="s">
        <v>230</v>
      </c>
      <c r="B7" s="31">
        <f>SUM(B5:B6)</f>
        <v>504576</v>
      </c>
      <c r="C7" s="31">
        <f>SUM(C5:C6)</f>
        <v>519713</v>
      </c>
      <c r="D7" s="31">
        <f>SUM(D5:D6)</f>
        <v>535305</v>
      </c>
      <c r="E7" s="31">
        <f>SUM(E5:E6)</f>
        <v>551364</v>
      </c>
      <c r="F7" s="31">
        <f>SUM(F5:F6)</f>
        <v>567905</v>
      </c>
    </row>
    <row r="8" ht="24" customHeight="1" spans="1:6" x14ac:dyDescent="0.25">
      <c r="A8" s="13" t="s">
        <v>124</v>
      </c>
      <c r="B8" s="13"/>
      <c r="C8" s="13"/>
      <c r="D8" s="13"/>
      <c r="E8" s="13"/>
      <c r="F8" s="13"/>
    </row>
    <row r="9" spans="1:6" x14ac:dyDescent="0.25">
      <c r="A9" s="4" t="s">
        <v>231</v>
      </c>
      <c r="B9" s="26">
        <v>126018</v>
      </c>
      <c r="C9" s="26">
        <v>129798</v>
      </c>
      <c r="D9" s="26">
        <v>133692</v>
      </c>
      <c r="E9" s="26">
        <v>137703</v>
      </c>
      <c r="F9" s="26">
        <v>141834</v>
      </c>
    </row>
    <row r="10" spans="1:6" x14ac:dyDescent="0.25">
      <c r="A10" s="4" t="s">
        <v>232</v>
      </c>
      <c r="B10" s="26">
        <v>99488</v>
      </c>
      <c r="C10" s="26">
        <v>102472</v>
      </c>
      <c r="D10" s="26">
        <v>105546</v>
      </c>
      <c r="E10" s="26">
        <v>108713</v>
      </c>
      <c r="F10" s="26">
        <v>111974</v>
      </c>
    </row>
    <row r="11" spans="1:6" x14ac:dyDescent="0.25">
      <c r="A11" s="3" t="s">
        <v>233</v>
      </c>
      <c r="B11" s="31">
        <f>SUM(B9:B10)</f>
        <v>225505</v>
      </c>
      <c r="C11" s="31">
        <f>SUM(C9:C10)</f>
        <v>232270</v>
      </c>
      <c r="D11" s="31">
        <f>SUM(D9:D10)</f>
        <v>239238</v>
      </c>
      <c r="E11" s="31">
        <f>SUM(E9:E10)</f>
        <v>246415</v>
      </c>
      <c r="F11" s="31">
        <f>SUM(F9:F10)</f>
        <v>253808</v>
      </c>
    </row>
    <row r="12" ht="24" customHeight="1" spans="1:6" x14ac:dyDescent="0.25">
      <c r="A12" s="13" t="s">
        <v>133</v>
      </c>
      <c r="B12" s="13"/>
      <c r="C12" s="13"/>
      <c r="D12" s="13"/>
      <c r="E12" s="13"/>
      <c r="F12" s="13"/>
    </row>
    <row r="13" spans="1:6" x14ac:dyDescent="0.25">
      <c r="A13" s="4" t="s">
        <v>234</v>
      </c>
      <c r="B13" s="26">
        <v>68978</v>
      </c>
      <c r="C13" s="26">
        <v>71047</v>
      </c>
      <c r="D13" s="26">
        <v>73179</v>
      </c>
      <c r="E13" s="26">
        <v>75374</v>
      </c>
      <c r="F13" s="26">
        <v>77635</v>
      </c>
    </row>
    <row r="14" spans="1:6" x14ac:dyDescent="0.25">
      <c r="A14" s="3" t="s">
        <v>235</v>
      </c>
      <c r="B14" s="31">
        <f>SUM(B13:B13)</f>
        <v>68978</v>
      </c>
      <c r="C14" s="31">
        <f>SUM(C13:C13)</f>
        <v>71047</v>
      </c>
      <c r="D14" s="31">
        <f>SUM(D13:D13)</f>
        <v>73179</v>
      </c>
      <c r="E14" s="31">
        <f>SUM(E13:E13)</f>
        <v>75374</v>
      </c>
      <c r="F14" s="31">
        <f>SUM(F13:F13)</f>
        <v>77635</v>
      </c>
    </row>
    <row r="15" ht="24" customHeight="1" spans="1:6" x14ac:dyDescent="0.25">
      <c r="A15" s="13" t="s">
        <v>131</v>
      </c>
      <c r="B15" s="13"/>
      <c r="C15" s="13"/>
      <c r="D15" s="13"/>
      <c r="E15" s="13"/>
      <c r="F15" s="13"/>
    </row>
    <row r="16" spans="1:6" x14ac:dyDescent="0.25">
      <c r="A16" s="4" t="s">
        <v>236</v>
      </c>
      <c r="B16" s="26">
        <v>55713</v>
      </c>
      <c r="C16" s="26">
        <v>57384</v>
      </c>
      <c r="D16" s="26">
        <v>59106</v>
      </c>
      <c r="E16" s="26">
        <v>60879</v>
      </c>
      <c r="F16" s="26">
        <v>62705</v>
      </c>
    </row>
    <row r="17" spans="1:6" x14ac:dyDescent="0.25">
      <c r="A17" s="3" t="s">
        <v>237</v>
      </c>
      <c r="B17" s="31">
        <f>SUM(B16:B16)</f>
        <v>55713</v>
      </c>
      <c r="C17" s="31">
        <f>SUM(C16:C16)</f>
        <v>57384</v>
      </c>
      <c r="D17" s="31">
        <f>SUM(D16:D16)</f>
        <v>59106</v>
      </c>
      <c r="E17" s="31">
        <f>SUM(E16:E16)</f>
        <v>60879</v>
      </c>
      <c r="F17" s="31">
        <f>SUM(F16:F16)</f>
        <v>62705</v>
      </c>
    </row>
    <row r="19" ht="24" customHeight="1" spans="1:6" x14ac:dyDescent="0.25">
      <c r="A19" s="13" t="s">
        <v>238</v>
      </c>
      <c r="B19" s="27">
        <f>B7+B11+B14+B17</f>
        <v>854772</v>
      </c>
      <c r="C19" s="27">
        <f>C7+C11+C14+C17</f>
        <v>880415</v>
      </c>
      <c r="D19" s="27">
        <f>D7+D11+D14+D17</f>
        <v>906828</v>
      </c>
      <c r="E19" s="27">
        <f>E7+E11+E14+E17</f>
        <v>934032</v>
      </c>
      <c r="F19" s="27">
        <f>F7+F11+F14+F17</f>
        <v>962053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239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240</v>
      </c>
      <c r="B4" s="13"/>
      <c r="C4" s="13"/>
      <c r="D4" s="13"/>
      <c r="E4" s="13"/>
      <c r="F4" s="13"/>
    </row>
    <row r="5" spans="1:6" x14ac:dyDescent="0.25">
      <c r="A5" s="4" t="s">
        <v>241</v>
      </c>
      <c r="B5" s="26">
        <v>1050000</v>
      </c>
      <c r="C5" s="26">
        <v>1405950</v>
      </c>
      <c r="D5" s="26">
        <v>1782312</v>
      </c>
      <c r="E5" s="26">
        <v>2122622</v>
      </c>
      <c r="F5" s="26">
        <v>2363569</v>
      </c>
    </row>
    <row r="6" spans="1:6" x14ac:dyDescent="0.25">
      <c r="A6" s="4" t="s">
        <v>242</v>
      </c>
      <c r="B6" s="26">
        <v>35000</v>
      </c>
      <c r="C6" s="26">
        <v>46865</v>
      </c>
      <c r="D6" s="26">
        <v>59410</v>
      </c>
      <c r="E6" s="26">
        <v>70754</v>
      </c>
      <c r="F6" s="26">
        <v>78786</v>
      </c>
    </row>
    <row r="7" spans="1:6" x14ac:dyDescent="0.25">
      <c r="A7" s="4" t="s">
        <v>243</v>
      </c>
      <c r="B7" s="26">
        <v>105000</v>
      </c>
      <c r="C7" s="26">
        <v>140595</v>
      </c>
      <c r="D7" s="26">
        <v>178231</v>
      </c>
      <c r="E7" s="26">
        <v>212262</v>
      </c>
      <c r="F7" s="26">
        <v>236357</v>
      </c>
    </row>
    <row r="8" spans="1:6" x14ac:dyDescent="0.25">
      <c r="A8" s="4" t="s">
        <v>244</v>
      </c>
      <c r="B8" s="26">
        <v>870000</v>
      </c>
      <c r="C8" s="26">
        <v>1164930</v>
      </c>
      <c r="D8" s="26">
        <v>1476773</v>
      </c>
      <c r="E8" s="26">
        <v>1758744</v>
      </c>
      <c r="F8" s="26">
        <v>1958385</v>
      </c>
    </row>
    <row r="9" spans="1:6" x14ac:dyDescent="0.25">
      <c r="A9" s="4" t="s">
        <v>245</v>
      </c>
      <c r="B9" s="26">
        <v>50000</v>
      </c>
      <c r="C9" s="26">
        <v>51500</v>
      </c>
      <c r="D9" s="26">
        <v>53045</v>
      </c>
      <c r="E9" s="26">
        <v>54636</v>
      </c>
      <c r="F9" s="26">
        <v>56275</v>
      </c>
    </row>
    <row r="10" spans="1:6" x14ac:dyDescent="0.25">
      <c r="A10" s="4" t="s">
        <v>246</v>
      </c>
      <c r="B10" s="26">
        <v>25000</v>
      </c>
      <c r="C10" s="26">
        <v>25750</v>
      </c>
      <c r="D10" s="26">
        <v>26523</v>
      </c>
      <c r="E10" s="26">
        <v>27318</v>
      </c>
      <c r="F10" s="26">
        <v>28138</v>
      </c>
    </row>
    <row r="11" spans="1:6" x14ac:dyDescent="0.25">
      <c r="A11" s="4" t="s">
        <v>247</v>
      </c>
      <c r="B11" s="26">
        <v>50000</v>
      </c>
      <c r="C11" s="26">
        <v>66950</v>
      </c>
      <c r="D11" s="26">
        <v>84872</v>
      </c>
      <c r="E11" s="26">
        <v>101077</v>
      </c>
      <c r="F11" s="26">
        <v>112551</v>
      </c>
    </row>
    <row r="12" spans="1:6" x14ac:dyDescent="0.25">
      <c r="A12" s="3" t="s">
        <v>248</v>
      </c>
      <c r="B12" s="31">
        <f>SUM(B5:B11)</f>
        <v>1975000</v>
      </c>
      <c r="C12" s="31">
        <f>SUM(C5:C11)</f>
        <v>2621350</v>
      </c>
      <c r="D12" s="31">
        <f>SUM(D5:D11)</f>
        <v>3304704</v>
      </c>
      <c r="E12" s="31">
        <f>SUM(E5:E11)</f>
        <v>3922890</v>
      </c>
      <c r="F12" s="31">
        <f>SUM(F5:F11)</f>
        <v>4361347</v>
      </c>
    </row>
    <row r="14" ht="24" customHeight="1" spans="1:6" x14ac:dyDescent="0.25">
      <c r="A14" s="13" t="s">
        <v>249</v>
      </c>
      <c r="B14" s="13"/>
      <c r="C14" s="13"/>
      <c r="D14" s="13"/>
      <c r="E14" s="13"/>
      <c r="F14" s="13"/>
    </row>
    <row r="15" spans="1:6" x14ac:dyDescent="0.25">
      <c r="A15" s="4" t="s">
        <v>231</v>
      </c>
      <c r="B15" s="26">
        <v>126018</v>
      </c>
      <c r="C15" s="26">
        <v>129798</v>
      </c>
      <c r="D15" s="26">
        <v>133692</v>
      </c>
      <c r="E15" s="26">
        <v>137703</v>
      </c>
      <c r="F15" s="26">
        <v>141834</v>
      </c>
    </row>
    <row r="16" spans="1:6" x14ac:dyDescent="0.25">
      <c r="A16" s="4" t="s">
        <v>232</v>
      </c>
      <c r="B16" s="26">
        <v>99488</v>
      </c>
      <c r="C16" s="26">
        <v>102472</v>
      </c>
      <c r="D16" s="26">
        <v>105546</v>
      </c>
      <c r="E16" s="26">
        <v>108713</v>
      </c>
      <c r="F16" s="26">
        <v>111974</v>
      </c>
    </row>
    <row r="17" spans="1:6" x14ac:dyDescent="0.25">
      <c r="A17" s="4" t="s">
        <v>228</v>
      </c>
      <c r="B17" s="26">
        <v>382032</v>
      </c>
      <c r="C17" s="26">
        <v>393493</v>
      </c>
      <c r="D17" s="26">
        <v>405298</v>
      </c>
      <c r="E17" s="26">
        <v>417457</v>
      </c>
      <c r="F17" s="26">
        <v>429980</v>
      </c>
    </row>
    <row r="18" spans="1:6" x14ac:dyDescent="0.25">
      <c r="A18" s="4" t="s">
        <v>229</v>
      </c>
      <c r="B18" s="26">
        <v>122544</v>
      </c>
      <c r="C18" s="26">
        <v>126220</v>
      </c>
      <c r="D18" s="26">
        <v>130007</v>
      </c>
      <c r="E18" s="26">
        <v>133907</v>
      </c>
      <c r="F18" s="26">
        <v>137924</v>
      </c>
    </row>
    <row r="19" spans="1:6" x14ac:dyDescent="0.25">
      <c r="A19" s="4" t="s">
        <v>236</v>
      </c>
      <c r="B19" s="26">
        <v>55713</v>
      </c>
      <c r="C19" s="26">
        <v>57384</v>
      </c>
      <c r="D19" s="26">
        <v>59106</v>
      </c>
      <c r="E19" s="26">
        <v>60879</v>
      </c>
      <c r="F19" s="26">
        <v>62705</v>
      </c>
    </row>
    <row r="20" spans="1:6" x14ac:dyDescent="0.25">
      <c r="A20" s="4" t="s">
        <v>234</v>
      </c>
      <c r="B20" s="26">
        <v>68978</v>
      </c>
      <c r="C20" s="26">
        <v>71047</v>
      </c>
      <c r="D20" s="26">
        <v>73179</v>
      </c>
      <c r="E20" s="26">
        <v>75374</v>
      </c>
      <c r="F20" s="26">
        <v>77635</v>
      </c>
    </row>
    <row r="21" spans="1:6" x14ac:dyDescent="0.25">
      <c r="A21" s="3" t="s">
        <v>201</v>
      </c>
      <c r="B21" s="31">
        <f>SUM(B15:B20)</f>
        <v>854772</v>
      </c>
      <c r="C21" s="31">
        <f>SUM(C15:C20)</f>
        <v>880415</v>
      </c>
      <c r="D21" s="31">
        <f>SUM(D15:D20)</f>
        <v>906828</v>
      </c>
      <c r="E21" s="31">
        <f>SUM(E15:E20)</f>
        <v>934032</v>
      </c>
      <c r="F21" s="31">
        <f>SUM(F15:F20)</f>
        <v>962053</v>
      </c>
    </row>
    <row r="23" ht="24" customHeight="1" spans="1:6" x14ac:dyDescent="0.25">
      <c r="A23" s="13" t="s">
        <v>134</v>
      </c>
      <c r="B23" s="13"/>
      <c r="C23" s="13"/>
      <c r="D23" s="13"/>
      <c r="E23" s="13"/>
      <c r="F23" s="13"/>
    </row>
    <row r="24" spans="1:1" x14ac:dyDescent="0.25">
      <c r="A24" s="32" t="s">
        <v>142</v>
      </c>
    </row>
    <row r="25" spans="1:6" x14ac:dyDescent="0.25">
      <c r="A25" s="4" t="s">
        <v>250</v>
      </c>
      <c r="B25" s="26">
        <v>60000</v>
      </c>
      <c r="C25" s="26">
        <v>80340</v>
      </c>
      <c r="D25" s="26">
        <v>101846</v>
      </c>
      <c r="E25" s="26">
        <v>121293</v>
      </c>
      <c r="F25" s="26">
        <v>135061</v>
      </c>
    </row>
    <row r="26" spans="1:1" x14ac:dyDescent="0.25">
      <c r="A26" s="32" t="s">
        <v>143</v>
      </c>
    </row>
    <row r="27" spans="1:6" x14ac:dyDescent="0.25">
      <c r="A27" s="4" t="s">
        <v>251</v>
      </c>
      <c r="B27" s="26">
        <v>40000</v>
      </c>
      <c r="C27" s="26">
        <v>53560</v>
      </c>
      <c r="D27" s="26">
        <v>67898</v>
      </c>
      <c r="E27" s="26">
        <v>80862</v>
      </c>
      <c r="F27" s="26">
        <v>90041</v>
      </c>
    </row>
    <row r="28" spans="1:1" x14ac:dyDescent="0.25">
      <c r="A28" s="32" t="s">
        <v>136</v>
      </c>
    </row>
    <row r="29" spans="1:6" x14ac:dyDescent="0.25">
      <c r="A29" s="4" t="s">
        <v>252</v>
      </c>
      <c r="B29" s="26">
        <v>102000</v>
      </c>
      <c r="C29" s="26">
        <v>105060</v>
      </c>
      <c r="D29" s="26">
        <v>108212</v>
      </c>
      <c r="E29" s="26">
        <v>111458</v>
      </c>
      <c r="F29" s="26">
        <v>114802</v>
      </c>
    </row>
    <row r="30" spans="1:6" x14ac:dyDescent="0.25">
      <c r="A30" s="4" t="s">
        <v>253</v>
      </c>
      <c r="B30" s="26">
        <v>14400</v>
      </c>
      <c r="C30" s="26">
        <v>14832</v>
      </c>
      <c r="D30" s="26">
        <v>15277</v>
      </c>
      <c r="E30" s="26">
        <v>15735</v>
      </c>
      <c r="F30" s="26">
        <v>16207</v>
      </c>
    </row>
    <row r="31" spans="1:6" x14ac:dyDescent="0.25">
      <c r="A31" s="4" t="s">
        <v>254</v>
      </c>
      <c r="B31" s="26">
        <v>12000</v>
      </c>
      <c r="C31" s="26">
        <v>12360</v>
      </c>
      <c r="D31" s="26">
        <v>12731</v>
      </c>
      <c r="E31" s="26">
        <v>13113</v>
      </c>
      <c r="F31" s="26">
        <v>13506</v>
      </c>
    </row>
    <row r="32" spans="1:6" x14ac:dyDescent="0.25">
      <c r="A32" s="4" t="s">
        <v>255</v>
      </c>
      <c r="B32" s="26">
        <v>8000</v>
      </c>
      <c r="C32" s="26">
        <v>8240</v>
      </c>
      <c r="D32" s="26">
        <v>8487</v>
      </c>
      <c r="E32" s="26">
        <v>8742</v>
      </c>
      <c r="F32" s="26">
        <v>9004</v>
      </c>
    </row>
    <row r="33" spans="1:6" x14ac:dyDescent="0.25">
      <c r="A33" s="3" t="s">
        <v>256</v>
      </c>
      <c r="B33" s="31">
        <f>SUM(B29:B32)</f>
        <v>136400</v>
      </c>
      <c r="C33" s="31">
        <f>SUM(C29:C32)</f>
        <v>140492</v>
      </c>
      <c r="D33" s="31">
        <f>SUM(D29:D32)</f>
        <v>144707</v>
      </c>
      <c r="E33" s="31">
        <f>SUM(E29:E32)</f>
        <v>149048</v>
      </c>
      <c r="F33" s="31">
        <f>SUM(F29:F32)</f>
        <v>153519</v>
      </c>
    </row>
    <row r="34" spans="1:1" x14ac:dyDescent="0.25">
      <c r="A34" s="32" t="s">
        <v>145</v>
      </c>
    </row>
    <row r="35" spans="1:6" x14ac:dyDescent="0.25">
      <c r="A35" s="4" t="s">
        <v>257</v>
      </c>
      <c r="B35" s="26">
        <v>15000</v>
      </c>
      <c r="C35" s="26">
        <v>15450</v>
      </c>
      <c r="D35" s="26">
        <v>15914</v>
      </c>
      <c r="E35" s="26">
        <v>16391</v>
      </c>
      <c r="F35" s="26">
        <v>16883</v>
      </c>
    </row>
    <row r="36" spans="1:6" x14ac:dyDescent="0.25">
      <c r="A36" s="4" t="s">
        <v>258</v>
      </c>
      <c r="B36" s="26">
        <v>8000</v>
      </c>
      <c r="C36" s="26">
        <v>8240</v>
      </c>
      <c r="D36" s="26">
        <v>8487</v>
      </c>
      <c r="E36" s="26">
        <v>8742</v>
      </c>
      <c r="F36" s="26">
        <v>9004</v>
      </c>
    </row>
    <row r="37" spans="1:6" x14ac:dyDescent="0.25">
      <c r="A37" s="4" t="s">
        <v>259</v>
      </c>
      <c r="B37" s="26">
        <v>12000</v>
      </c>
      <c r="C37" s="26">
        <v>12360</v>
      </c>
      <c r="D37" s="26">
        <v>12731</v>
      </c>
      <c r="E37" s="26">
        <v>13113</v>
      </c>
      <c r="F37" s="26">
        <v>13506</v>
      </c>
    </row>
    <row r="38" spans="1:6" x14ac:dyDescent="0.25">
      <c r="A38" s="3" t="s">
        <v>260</v>
      </c>
      <c r="B38" s="31">
        <f>SUM(B35:B37)</f>
        <v>35000</v>
      </c>
      <c r="C38" s="31">
        <f>SUM(C35:C37)</f>
        <v>36050</v>
      </c>
      <c r="D38" s="31">
        <f>SUM(D35:D37)</f>
        <v>37132</v>
      </c>
      <c r="E38" s="31">
        <f>SUM(E35:E37)</f>
        <v>38245</v>
      </c>
      <c r="F38" s="31">
        <f>SUM(F35:F37)</f>
        <v>39393</v>
      </c>
    </row>
    <row r="39" spans="1:6" x14ac:dyDescent="0.25">
      <c r="A39" s="3" t="s">
        <v>261</v>
      </c>
      <c r="B39" s="31">
        <f>B25+B27+B33+B38</f>
        <v>271400</v>
      </c>
      <c r="C39" s="31">
        <f>C25+C27+C33+C38</f>
        <v>310442</v>
      </c>
      <c r="D39" s="31">
        <f>D25+D27+D33+D38</f>
        <v>351582</v>
      </c>
      <c r="E39" s="31">
        <f>E25+E27+E33+E38</f>
        <v>389448</v>
      </c>
      <c r="F39" s="31">
        <f>F25+F27+F33+F38</f>
        <v>418014</v>
      </c>
    </row>
    <row r="41" ht="24" customHeight="1" spans="1:6" x14ac:dyDescent="0.25">
      <c r="A41" s="13" t="s">
        <v>262</v>
      </c>
      <c r="B41" s="13"/>
      <c r="C41" s="13"/>
      <c r="D41" s="13"/>
      <c r="E41" s="13"/>
      <c r="F41" s="13"/>
    </row>
    <row r="42" spans="1:6" x14ac:dyDescent="0.25">
      <c r="A42" s="4" t="s">
        <v>263</v>
      </c>
      <c r="B42" s="26">
        <v>34064</v>
      </c>
      <c r="C42" s="26">
        <v>34064</v>
      </c>
      <c r="D42" s="26">
        <v>34064</v>
      </c>
      <c r="E42" s="26">
        <v>34064</v>
      </c>
      <c r="F42" s="26">
        <v>34064</v>
      </c>
    </row>
    <row r="43" spans="1:6" x14ac:dyDescent="0.25">
      <c r="A43" s="4" t="s">
        <v>264</v>
      </c>
      <c r="B43" s="26">
        <v>25000</v>
      </c>
      <c r="C43" s="26">
        <v>10000</v>
      </c>
      <c r="D43" s="26">
        <v>10000</v>
      </c>
      <c r="E43" s="26">
        <v>5000</v>
      </c>
      <c r="F43" s="26">
        <v>5000</v>
      </c>
    </row>
    <row r="44" spans="1:6" x14ac:dyDescent="0.25">
      <c r="A44" s="3" t="s">
        <v>265</v>
      </c>
      <c r="B44" s="31">
        <f>SUM(B42:B43)</f>
        <v>59064</v>
      </c>
      <c r="C44" s="31">
        <f>SUM(C42:C43)</f>
        <v>44064</v>
      </c>
      <c r="D44" s="31">
        <f>SUM(D42:D43)</f>
        <v>44064</v>
      </c>
      <c r="E44" s="31">
        <f>SUM(E42:E43)</f>
        <v>39064</v>
      </c>
      <c r="F44" s="31">
        <f>SUM(F42:F43)</f>
        <v>39064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266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248</v>
      </c>
      <c r="B4" s="29">
        <f>'Budget Detail'!B12</f>
        <v>1975000</v>
      </c>
      <c r="C4" s="29">
        <f>'Budget Detail'!C12</f>
        <v>2621350</v>
      </c>
      <c r="D4" s="29">
        <f>'Budget Detail'!D12</f>
        <v>3304704</v>
      </c>
      <c r="E4" s="29">
        <f>'Budget Detail'!E12</f>
        <v>3922890</v>
      </c>
      <c r="F4" s="29">
        <f>'Budget Detail'!F12</f>
        <v>4361347</v>
      </c>
    </row>
    <row r="5" spans="1:6" x14ac:dyDescent="0.25">
      <c r="A5" s="3" t="s">
        <v>201</v>
      </c>
      <c r="B5" s="29">
        <f>'Budget Detail'!B21</f>
        <v>854772</v>
      </c>
      <c r="C5" s="29">
        <f>'Budget Detail'!C21</f>
        <v>880415</v>
      </c>
      <c r="D5" s="29">
        <f>'Budget Detail'!D21</f>
        <v>906828</v>
      </c>
      <c r="E5" s="29">
        <f>'Budget Detail'!E21</f>
        <v>934032</v>
      </c>
      <c r="F5" s="29">
        <f>'Budget Detail'!F21</f>
        <v>962053</v>
      </c>
    </row>
    <row r="6" spans="1:6" x14ac:dyDescent="0.25">
      <c r="A6" s="3" t="s">
        <v>261</v>
      </c>
      <c r="B6" s="29">
        <f>'Budget Detail'!B39</f>
        <v>271400</v>
      </c>
      <c r="C6" s="29">
        <f>'Budget Detail'!C39</f>
        <v>310442</v>
      </c>
      <c r="D6" s="29">
        <f>'Budget Detail'!D39</f>
        <v>351582</v>
      </c>
      <c r="E6" s="29">
        <f>'Budget Detail'!E39</f>
        <v>389448</v>
      </c>
      <c r="F6" s="29">
        <f>'Budget Detail'!F39</f>
        <v>418014</v>
      </c>
    </row>
    <row r="7" spans="1:6" x14ac:dyDescent="0.25">
      <c r="A7" s="3" t="s">
        <v>267</v>
      </c>
      <c r="B7" s="29">
        <f>'Budget Detail'!B44</f>
        <v>59064</v>
      </c>
      <c r="C7" s="29">
        <f>'Budget Detail'!C44</f>
        <v>44064</v>
      </c>
      <c r="D7" s="29">
        <f>'Budget Detail'!D44</f>
        <v>44064</v>
      </c>
      <c r="E7" s="29">
        <f>'Budget Detail'!E44</f>
        <v>39064</v>
      </c>
      <c r="F7" s="29">
        <f>'Budget Detail'!F44</f>
        <v>39064</v>
      </c>
    </row>
    <row r="8" spans="1:6" x14ac:dyDescent="0.25">
      <c r="A8" s="3" t="s">
        <v>268</v>
      </c>
      <c r="B8" s="31">
        <f>SUM(B5:B7)</f>
        <v>1185236</v>
      </c>
      <c r="C8" s="31">
        <f>SUM(C5:C7)</f>
        <v>1234922</v>
      </c>
      <c r="D8" s="31">
        <f>SUM(D5:D7)</f>
        <v>1302474</v>
      </c>
      <c r="E8" s="31">
        <f>SUM(E5:E7)</f>
        <v>1362545</v>
      </c>
      <c r="F8" s="31">
        <f>SUM(F5:F7)</f>
        <v>1419132</v>
      </c>
    </row>
    <row r="10" ht="24" customHeight="1" spans="1:6" x14ac:dyDescent="0.25">
      <c r="A10" s="13" t="s">
        <v>269</v>
      </c>
      <c r="B10" s="13"/>
      <c r="C10" s="13"/>
      <c r="D10" s="13"/>
      <c r="E10" s="13"/>
      <c r="F10" s="13"/>
    </row>
    <row r="11" spans="1:6" x14ac:dyDescent="0.25">
      <c r="A11" s="3" t="s">
        <v>270</v>
      </c>
      <c r="B11" s="27">
        <f>B4-B8</f>
        <v>789764</v>
      </c>
      <c r="C11" s="27">
        <f>C4-C8</f>
        <v>1386428</v>
      </c>
      <c r="D11" s="27">
        <f>D4-D8</f>
        <v>2002229</v>
      </c>
      <c r="E11" s="27">
        <f>E4-E8</f>
        <v>2560345</v>
      </c>
      <c r="F11" s="27">
        <f>F4-F8</f>
        <v>2942215</v>
      </c>
    </row>
    <row r="12" spans="1:6" x14ac:dyDescent="0.25">
      <c r="A12" s="4" t="s">
        <v>271</v>
      </c>
      <c r="B12" s="25">
        <f>IF(B4=0,0,B11/B4)</f>
        <v>0.39988031</v>
      </c>
      <c r="C12" s="25">
        <f>IF(C4=0,0,C11/C4)</f>
        <v>0.52889864</v>
      </c>
      <c r="D12" s="25">
        <f>IF(D4=0,0,D11/D4)</f>
        <v>0.60587258</v>
      </c>
      <c r="E12" s="25">
        <f>IF(E4=0,0,E11/E4)</f>
        <v>0.65266812</v>
      </c>
      <c r="F12" s="25">
        <f>IF(F4=0,0,F11/F4)</f>
        <v>0.67461156</v>
      </c>
    </row>
    <row r="13" spans="1:6" x14ac:dyDescent="0.25">
      <c r="A13" s="4" t="s">
        <v>272</v>
      </c>
      <c r="B13" s="26">
        <v>789764</v>
      </c>
      <c r="C13" s="26">
        <v>2176192</v>
      </c>
      <c r="D13" s="26">
        <v>4178421</v>
      </c>
      <c r="E13" s="26">
        <v>6738766</v>
      </c>
      <c r="F13" s="26">
        <v>9680981</v>
      </c>
    </row>
    <row r="14" spans="1:6" x14ac:dyDescent="0.25">
      <c r="A14" s="4" t="s">
        <v>226</v>
      </c>
      <c r="B14" s="26">
        <v>19750</v>
      </c>
      <c r="C14" s="26">
        <v>20164</v>
      </c>
      <c r="D14" s="26">
        <v>20654</v>
      </c>
      <c r="E14" s="26">
        <v>21205</v>
      </c>
      <c r="F14" s="26">
        <v>21807</v>
      </c>
    </row>
    <row r="15" spans="1:6" x14ac:dyDescent="0.25">
      <c r="A15" s="4" t="s">
        <v>273</v>
      </c>
      <c r="B15" s="26">
        <v>11852</v>
      </c>
      <c r="C15" s="26">
        <v>9499</v>
      </c>
      <c r="D15" s="26">
        <v>8140</v>
      </c>
      <c r="E15" s="26">
        <v>7365</v>
      </c>
      <c r="F15" s="26">
        <v>7096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67</v>
      </c>
      <c r="B2" s="15" t="s">
        <v>275</v>
      </c>
      <c r="C2" s="15" t="s">
        <v>276</v>
      </c>
      <c r="D2" s="15" t="s">
        <v>277</v>
      </c>
      <c r="E2" s="15" t="s">
        <v>278</v>
      </c>
      <c r="F2" s="15" t="s">
        <v>279</v>
      </c>
      <c r="G2" s="15" t="s">
        <v>280</v>
      </c>
      <c r="H2" s="15" t="s">
        <v>281</v>
      </c>
      <c r="I2" s="15" t="s">
        <v>282</v>
      </c>
      <c r="J2" s="15" t="s">
        <v>283</v>
      </c>
      <c r="K2" s="15" t="s">
        <v>284</v>
      </c>
      <c r="L2" s="15" t="s">
        <v>285</v>
      </c>
      <c r="M2" s="15" t="s">
        <v>286</v>
      </c>
      <c r="N2" s="15" t="s">
        <v>287</v>
      </c>
    </row>
    <row r="3" ht="24" customHeight="1" spans="1:14" x14ac:dyDescent="0.25">
      <c r="A3" s="13" t="s">
        <v>240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248</v>
      </c>
      <c r="B4" s="31">
        <v>85833</v>
      </c>
      <c r="C4" s="31">
        <v>180333</v>
      </c>
      <c r="D4" s="31">
        <v>180333</v>
      </c>
      <c r="E4" s="31">
        <v>180333</v>
      </c>
      <c r="F4" s="31">
        <v>180333</v>
      </c>
      <c r="G4" s="31">
        <v>180333</v>
      </c>
      <c r="H4" s="31">
        <v>180333</v>
      </c>
      <c r="I4" s="31">
        <v>180333</v>
      </c>
      <c r="J4" s="31">
        <v>180333</v>
      </c>
      <c r="K4" s="31">
        <v>180333</v>
      </c>
      <c r="L4" s="31">
        <v>180333</v>
      </c>
      <c r="M4" s="31">
        <v>85833</v>
      </c>
      <c r="N4" s="31">
        <v>1974996</v>
      </c>
    </row>
    <row r="6" ht="24" customHeight="1" spans="1:14" x14ac:dyDescent="0.25">
      <c r="A6" s="13" t="s">
        <v>288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289</v>
      </c>
      <c r="B7" s="26">
        <v>71231</v>
      </c>
      <c r="C7" s="26">
        <v>71231</v>
      </c>
      <c r="D7" s="26">
        <v>71231</v>
      </c>
      <c r="E7" s="26">
        <v>71231</v>
      </c>
      <c r="F7" s="26">
        <v>71231</v>
      </c>
      <c r="G7" s="26">
        <v>71231</v>
      </c>
      <c r="H7" s="26">
        <v>71231</v>
      </c>
      <c r="I7" s="26">
        <v>71231</v>
      </c>
      <c r="J7" s="26">
        <v>71231</v>
      </c>
      <c r="K7" s="26">
        <v>71231</v>
      </c>
      <c r="L7" s="26">
        <v>71231</v>
      </c>
      <c r="M7" s="26">
        <v>71231</v>
      </c>
      <c r="N7" s="26">
        <v>854772</v>
      </c>
    </row>
    <row r="8" spans="1:14" x14ac:dyDescent="0.25">
      <c r="A8" s="4" t="s">
        <v>290</v>
      </c>
      <c r="B8" s="26">
        <v>22617</v>
      </c>
      <c r="C8" s="26">
        <v>22617</v>
      </c>
      <c r="D8" s="26">
        <v>22617</v>
      </c>
      <c r="E8" s="26">
        <v>22617</v>
      </c>
      <c r="F8" s="26">
        <v>22617</v>
      </c>
      <c r="G8" s="26">
        <v>22617</v>
      </c>
      <c r="H8" s="26">
        <v>22617</v>
      </c>
      <c r="I8" s="26">
        <v>22617</v>
      </c>
      <c r="J8" s="26">
        <v>22617</v>
      </c>
      <c r="K8" s="26">
        <v>22617</v>
      </c>
      <c r="L8" s="26">
        <v>22617</v>
      </c>
      <c r="M8" s="26">
        <v>22617</v>
      </c>
      <c r="N8" s="26">
        <v>271400</v>
      </c>
    </row>
    <row r="9" spans="1:14" x14ac:dyDescent="0.25">
      <c r="A9" s="4" t="s">
        <v>291</v>
      </c>
      <c r="B9" s="26">
        <v>4922</v>
      </c>
      <c r="C9" s="26">
        <v>4922</v>
      </c>
      <c r="D9" s="26">
        <v>4922</v>
      </c>
      <c r="E9" s="26">
        <v>4922</v>
      </c>
      <c r="F9" s="26">
        <v>4922</v>
      </c>
      <c r="G9" s="26">
        <v>4922</v>
      </c>
      <c r="H9" s="26">
        <v>4922</v>
      </c>
      <c r="I9" s="26">
        <v>4922</v>
      </c>
      <c r="J9" s="26">
        <v>4922</v>
      </c>
      <c r="K9" s="26">
        <v>4922</v>
      </c>
      <c r="L9" s="26">
        <v>4922</v>
      </c>
      <c r="M9" s="26">
        <v>4922</v>
      </c>
      <c r="N9" s="26">
        <v>59064</v>
      </c>
    </row>
    <row r="11" ht="24" customHeight="1" spans="1:14" x14ac:dyDescent="0.25">
      <c r="A11" s="13" t="s">
        <v>292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268</v>
      </c>
      <c r="B12" s="29">
        <v>98770</v>
      </c>
      <c r="C12" s="29">
        <v>98770</v>
      </c>
      <c r="D12" s="29">
        <v>98770</v>
      </c>
      <c r="E12" s="29">
        <v>98770</v>
      </c>
      <c r="F12" s="29">
        <v>98770</v>
      </c>
      <c r="G12" s="29">
        <v>98770</v>
      </c>
      <c r="H12" s="29">
        <v>98770</v>
      </c>
      <c r="I12" s="29">
        <v>98770</v>
      </c>
      <c r="J12" s="29">
        <v>98770</v>
      </c>
      <c r="K12" s="29">
        <v>98770</v>
      </c>
      <c r="L12" s="29">
        <v>98770</v>
      </c>
      <c r="M12" s="29">
        <v>98770</v>
      </c>
      <c r="N12" s="29">
        <v>1185240</v>
      </c>
    </row>
    <row r="13" spans="1:14" x14ac:dyDescent="0.25">
      <c r="A13" s="3" t="s">
        <v>293</v>
      </c>
      <c r="B13" s="29">
        <v>-12937</v>
      </c>
      <c r="C13" s="29">
        <v>81563</v>
      </c>
      <c r="D13" s="29">
        <v>81563</v>
      </c>
      <c r="E13" s="29">
        <v>81563</v>
      </c>
      <c r="F13" s="29">
        <v>81563</v>
      </c>
      <c r="G13" s="29">
        <v>81563</v>
      </c>
      <c r="H13" s="29">
        <v>81563</v>
      </c>
      <c r="I13" s="29">
        <v>81563</v>
      </c>
      <c r="J13" s="29">
        <v>81563</v>
      </c>
      <c r="K13" s="29">
        <v>81563</v>
      </c>
      <c r="L13" s="29">
        <v>81563</v>
      </c>
      <c r="M13" s="29">
        <v>-12937</v>
      </c>
      <c r="N13" s="29">
        <v>789756</v>
      </c>
    </row>
    <row r="14" spans="1:14" x14ac:dyDescent="0.25">
      <c r="A14" s="3" t="s">
        <v>294</v>
      </c>
      <c r="B14" s="33">
        <v>62063</v>
      </c>
      <c r="C14" s="33">
        <v>143626</v>
      </c>
      <c r="D14" s="33">
        <v>225189</v>
      </c>
      <c r="E14" s="33">
        <v>306752</v>
      </c>
      <c r="F14" s="33">
        <v>388315</v>
      </c>
      <c r="G14" s="33">
        <v>469878</v>
      </c>
      <c r="H14" s="33">
        <v>551441</v>
      </c>
      <c r="I14" s="33">
        <v>633004</v>
      </c>
      <c r="J14" s="33">
        <v>714567</v>
      </c>
      <c r="K14" s="33">
        <v>796130</v>
      </c>
      <c r="L14" s="33">
        <v>877693</v>
      </c>
      <c r="M14" s="33">
        <v>864756</v>
      </c>
      <c r="N14" s="27">
        <v>864756</v>
      </c>
    </row>
    <row r="16" ht="24" customHeight="1" spans="1:3" x14ac:dyDescent="0.25">
      <c r="A16" s="13" t="s">
        <v>295</v>
      </c>
      <c r="B16" s="13"/>
      <c r="C16" s="13"/>
    </row>
    <row r="17" spans="1:2" x14ac:dyDescent="0.25">
      <c r="A17" s="4" t="s">
        <v>162</v>
      </c>
      <c r="B17" s="26">
        <v>75000</v>
      </c>
    </row>
    <row r="18" spans="1:2" x14ac:dyDescent="0.25">
      <c r="A18" s="4" t="s">
        <v>296</v>
      </c>
      <c r="B18" s="33">
        <v>864756</v>
      </c>
    </row>
    <row r="19" spans="1:2" x14ac:dyDescent="0.25">
      <c r="A19" s="4" t="s">
        <v>297</v>
      </c>
      <c r="B19" s="26">
        <v>62063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298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240</v>
      </c>
      <c r="B4" s="13"/>
      <c r="C4" s="13"/>
      <c r="D4" s="13"/>
      <c r="E4" s="13"/>
      <c r="F4" s="13"/>
    </row>
    <row r="5" spans="1:6" x14ac:dyDescent="0.25">
      <c r="A5" s="34" t="s">
        <v>248</v>
      </c>
      <c r="B5" s="31">
        <v>1975000</v>
      </c>
      <c r="C5" s="31">
        <v>2621350</v>
      </c>
      <c r="D5" s="31">
        <v>3304704</v>
      </c>
      <c r="E5" s="31">
        <v>3922890</v>
      </c>
      <c r="F5" s="31">
        <v>4361347</v>
      </c>
    </row>
    <row r="7" ht="24" customHeight="1" spans="1:6" x14ac:dyDescent="0.25">
      <c r="A7" s="13" t="s">
        <v>288</v>
      </c>
      <c r="B7" s="13"/>
      <c r="C7" s="13"/>
      <c r="D7" s="13"/>
      <c r="E7" s="13"/>
      <c r="F7" s="13"/>
    </row>
    <row r="8" spans="1:6" x14ac:dyDescent="0.25">
      <c r="A8" s="3" t="s">
        <v>289</v>
      </c>
      <c r="B8" s="29">
        <v>854772</v>
      </c>
      <c r="C8" s="29">
        <v>880415</v>
      </c>
      <c r="D8" s="29">
        <v>906828</v>
      </c>
      <c r="E8" s="29">
        <v>934032</v>
      </c>
      <c r="F8" s="29">
        <v>962053</v>
      </c>
    </row>
    <row r="9" spans="1:6" x14ac:dyDescent="0.25">
      <c r="A9" s="3" t="s">
        <v>290</v>
      </c>
      <c r="B9" s="29">
        <v>271400</v>
      </c>
      <c r="C9" s="29">
        <v>310442</v>
      </c>
      <c r="D9" s="29">
        <v>351582</v>
      </c>
      <c r="E9" s="29">
        <v>389448</v>
      </c>
      <c r="F9" s="29">
        <v>418014</v>
      </c>
    </row>
    <row r="10" spans="1:6" x14ac:dyDescent="0.25">
      <c r="A10" s="3" t="s">
        <v>299</v>
      </c>
      <c r="B10" s="29">
        <v>59064</v>
      </c>
      <c r="C10" s="29">
        <v>44064</v>
      </c>
      <c r="D10" s="29">
        <v>44064</v>
      </c>
      <c r="E10" s="29">
        <v>39064</v>
      </c>
      <c r="F10" s="29">
        <v>39064</v>
      </c>
    </row>
    <row r="11" spans="1:6" x14ac:dyDescent="0.25">
      <c r="A11" s="34" t="s">
        <v>268</v>
      </c>
      <c r="B11" s="31">
        <f>SUM(B8:B10)</f>
        <v>1185236</v>
      </c>
      <c r="C11" s="31">
        <f>SUM(C8:C10)</f>
        <v>1234922</v>
      </c>
      <c r="D11" s="31">
        <f>SUM(D8:D10)</f>
        <v>1302474</v>
      </c>
      <c r="E11" s="31">
        <f>SUM(E8:E10)</f>
        <v>1362545</v>
      </c>
      <c r="F11" s="31">
        <f>SUM(F8:F10)</f>
        <v>1419132</v>
      </c>
    </row>
    <row r="13" ht="24" customHeight="1" spans="1:6" x14ac:dyDescent="0.25">
      <c r="A13" s="13" t="s">
        <v>300</v>
      </c>
      <c r="B13" s="13"/>
      <c r="C13" s="13"/>
      <c r="D13" s="13"/>
      <c r="E13" s="13"/>
      <c r="F13" s="13"/>
    </row>
    <row r="14" spans="1:6" x14ac:dyDescent="0.25">
      <c r="A14" s="34" t="s">
        <v>270</v>
      </c>
      <c r="B14" s="27">
        <f>B5-B11</f>
        <v>789764</v>
      </c>
      <c r="C14" s="27">
        <f>C5-C11</f>
        <v>1386428</v>
      </c>
      <c r="D14" s="27">
        <f>D5-D11</f>
        <v>2002229</v>
      </c>
      <c r="E14" s="27">
        <f>E5-E11</f>
        <v>2560345</v>
      </c>
      <c r="F14" s="27">
        <f>F5-F11</f>
        <v>2942215</v>
      </c>
    </row>
    <row r="15" spans="1:6" x14ac:dyDescent="0.25">
      <c r="A15" s="4" t="s">
        <v>271</v>
      </c>
      <c r="B15" s="25">
        <f>IF(B5=0,0,B14/B5)</f>
        <v>0.39988031</v>
      </c>
      <c r="C15" s="25">
        <f>IF(C5=0,0,C14/C5)</f>
        <v>0.52889864</v>
      </c>
      <c r="D15" s="25">
        <f>IF(D5=0,0,D14/D5)</f>
        <v>0.60587258</v>
      </c>
      <c r="E15" s="25">
        <f>IF(E5=0,0,E14/E5)</f>
        <v>0.65266812</v>
      </c>
      <c r="F15" s="25">
        <f>IF(F5=0,0,F14/F5)</f>
        <v>0.67461156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152</v>
      </c>
      <c r="B4" s="13"/>
      <c r="C4" s="13"/>
      <c r="D4" s="13"/>
      <c r="E4" s="13"/>
      <c r="F4" s="13"/>
    </row>
    <row r="5" spans="1:6" x14ac:dyDescent="0.25">
      <c r="A5" s="4" t="s">
        <v>301</v>
      </c>
      <c r="B5" s="26">
        <v>250000</v>
      </c>
      <c r="C5" s="26">
        <v>231645</v>
      </c>
      <c r="D5" s="26">
        <v>212061</v>
      </c>
      <c r="E5" s="26">
        <v>191165</v>
      </c>
      <c r="F5" s="26">
        <v>168870</v>
      </c>
    </row>
    <row r="6" spans="1:6" x14ac:dyDescent="0.25">
      <c r="A6" s="4" t="s">
        <v>302</v>
      </c>
      <c r="B6" s="26">
        <v>15710</v>
      </c>
      <c r="C6" s="26">
        <v>14480</v>
      </c>
      <c r="D6" s="26">
        <v>13169</v>
      </c>
      <c r="E6" s="26">
        <v>11769</v>
      </c>
      <c r="F6" s="26">
        <v>10276</v>
      </c>
    </row>
    <row r="7" spans="1:6" x14ac:dyDescent="0.25">
      <c r="A7" s="4" t="s">
        <v>303</v>
      </c>
      <c r="B7" s="26">
        <v>18355</v>
      </c>
      <c r="C7" s="26">
        <v>19584</v>
      </c>
      <c r="D7" s="26">
        <v>20896</v>
      </c>
      <c r="E7" s="26">
        <v>22295</v>
      </c>
      <c r="F7" s="26">
        <v>23788</v>
      </c>
    </row>
    <row r="8" spans="1:6" x14ac:dyDescent="0.25">
      <c r="A8" s="3" t="s">
        <v>304</v>
      </c>
      <c r="B8" s="29">
        <v>34064</v>
      </c>
      <c r="C8" s="29">
        <v>34064</v>
      </c>
      <c r="D8" s="29">
        <v>34064</v>
      </c>
      <c r="E8" s="29">
        <v>34064</v>
      </c>
      <c r="F8" s="29">
        <v>34064</v>
      </c>
    </row>
    <row r="9" spans="1:6" x14ac:dyDescent="0.25">
      <c r="A9" s="3" t="s">
        <v>305</v>
      </c>
      <c r="B9" s="33">
        <v>231645</v>
      </c>
      <c r="C9" s="33">
        <v>212061</v>
      </c>
      <c r="D9" s="33">
        <v>191165</v>
      </c>
      <c r="E9" s="33">
        <v>168870</v>
      </c>
      <c r="F9" s="33">
        <v>145082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306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307</v>
      </c>
      <c r="B4" s="13"/>
      <c r="C4" s="13"/>
      <c r="D4" s="13"/>
      <c r="E4" s="13"/>
      <c r="F4" s="13"/>
    </row>
    <row r="5" spans="1:6" x14ac:dyDescent="0.25">
      <c r="A5" s="4" t="s">
        <v>308</v>
      </c>
      <c r="B5" s="35">
        <v>864756</v>
      </c>
      <c r="C5" s="35">
        <v>2251184</v>
      </c>
      <c r="D5" s="35">
        <v>4253414</v>
      </c>
      <c r="E5" s="35">
        <v>6813759</v>
      </c>
      <c r="F5" s="35">
        <v>9755974</v>
      </c>
    </row>
    <row r="6" spans="1:6" x14ac:dyDescent="0.25">
      <c r="A6" s="4" t="s">
        <v>309</v>
      </c>
      <c r="B6" s="26">
        <v>12000</v>
      </c>
      <c r="C6" s="26">
        <v>12000</v>
      </c>
      <c r="D6" s="26">
        <v>12000</v>
      </c>
      <c r="E6" s="26">
        <v>12000</v>
      </c>
      <c r="F6" s="26">
        <v>12000</v>
      </c>
    </row>
    <row r="7" spans="1:6" x14ac:dyDescent="0.25">
      <c r="A7" s="4" t="s">
        <v>310</v>
      </c>
      <c r="B7" s="26">
        <v>180000</v>
      </c>
      <c r="C7" s="26">
        <v>180000</v>
      </c>
      <c r="D7" s="26">
        <v>180000</v>
      </c>
      <c r="E7" s="26">
        <v>180000</v>
      </c>
      <c r="F7" s="26">
        <v>180000</v>
      </c>
    </row>
    <row r="8" spans="1:6" x14ac:dyDescent="0.25">
      <c r="A8" s="4" t="s">
        <v>311</v>
      </c>
      <c r="B8" s="26">
        <v>5000</v>
      </c>
      <c r="C8" s="26">
        <v>5000</v>
      </c>
      <c r="D8" s="26">
        <v>5000</v>
      </c>
      <c r="E8" s="26">
        <v>5000</v>
      </c>
      <c r="F8" s="26">
        <v>5000</v>
      </c>
    </row>
    <row r="9" spans="1:6" x14ac:dyDescent="0.25">
      <c r="A9" s="3" t="s">
        <v>312</v>
      </c>
      <c r="B9" s="31">
        <v>1061756</v>
      </c>
      <c r="C9" s="31">
        <v>2448184</v>
      </c>
      <c r="D9" s="31">
        <v>4450414</v>
      </c>
      <c r="E9" s="31">
        <v>7010759</v>
      </c>
      <c r="F9" s="31">
        <v>9952974</v>
      </c>
    </row>
    <row r="11" ht="24" customHeight="1" spans="1:6" x14ac:dyDescent="0.25">
      <c r="A11" s="13" t="s">
        <v>313</v>
      </c>
      <c r="B11" s="13"/>
      <c r="C11" s="13"/>
      <c r="D11" s="13"/>
      <c r="E11" s="13"/>
      <c r="F11" s="13"/>
    </row>
    <row r="12" spans="1:6" x14ac:dyDescent="0.25">
      <c r="A12" s="4" t="s">
        <v>314</v>
      </c>
      <c r="B12" s="26">
        <v>8000</v>
      </c>
      <c r="C12" s="26">
        <v>8000</v>
      </c>
      <c r="D12" s="26">
        <v>8000</v>
      </c>
      <c r="E12" s="26">
        <v>8000</v>
      </c>
      <c r="F12" s="26">
        <v>8000</v>
      </c>
    </row>
    <row r="13" spans="1:6" x14ac:dyDescent="0.25">
      <c r="A13" s="4" t="s">
        <v>315</v>
      </c>
      <c r="B13" s="26">
        <v>231645</v>
      </c>
      <c r="C13" s="26">
        <v>212061</v>
      </c>
      <c r="D13" s="26">
        <v>191165</v>
      </c>
      <c r="E13" s="26">
        <v>168870</v>
      </c>
      <c r="F13" s="26">
        <v>145082</v>
      </c>
    </row>
    <row r="14" spans="1:6" x14ac:dyDescent="0.25">
      <c r="A14" s="3" t="s">
        <v>316</v>
      </c>
      <c r="B14" s="31">
        <v>239645</v>
      </c>
      <c r="C14" s="31">
        <v>220061</v>
      </c>
      <c r="D14" s="31">
        <v>199165</v>
      </c>
      <c r="E14" s="31">
        <v>176870</v>
      </c>
      <c r="F14" s="31">
        <v>153082</v>
      </c>
    </row>
    <row r="16" ht="24" customHeight="1" spans="1:6" x14ac:dyDescent="0.25">
      <c r="A16" s="13" t="s">
        <v>317</v>
      </c>
      <c r="B16" s="13"/>
      <c r="C16" s="13"/>
      <c r="D16" s="13"/>
      <c r="E16" s="13"/>
      <c r="F16" s="13"/>
    </row>
    <row r="17" spans="1:6" x14ac:dyDescent="0.25">
      <c r="A17" s="3" t="s">
        <v>318</v>
      </c>
      <c r="B17" s="27">
        <v>822111</v>
      </c>
      <c r="C17" s="27">
        <v>2228123</v>
      </c>
      <c r="D17" s="27">
        <v>4251248</v>
      </c>
      <c r="E17" s="27">
        <v>6833888</v>
      </c>
      <c r="F17" s="27">
        <v>9799892</v>
      </c>
    </row>
    <row r="19" spans="1:6" x14ac:dyDescent="0.25">
      <c r="A19" s="3" t="s">
        <v>319</v>
      </c>
      <c r="B19" s="36">
        <v>0</v>
      </c>
      <c r="C19" s="36">
        <v>0</v>
      </c>
      <c r="D19" s="37">
        <v>1</v>
      </c>
      <c r="E19" s="37">
        <v>1</v>
      </c>
      <c r="F19" s="36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320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321</v>
      </c>
      <c r="B4" s="13"/>
      <c r="C4" s="13"/>
      <c r="D4" s="13"/>
      <c r="E4" s="13"/>
      <c r="F4" s="13"/>
    </row>
    <row r="5" spans="1:6" x14ac:dyDescent="0.25">
      <c r="A5" s="4" t="s">
        <v>322</v>
      </c>
      <c r="B5" s="26">
        <v>1975000</v>
      </c>
      <c r="C5" s="26">
        <v>2621350</v>
      </c>
      <c r="D5" s="26">
        <v>3304704</v>
      </c>
      <c r="E5" s="26">
        <v>3922890</v>
      </c>
      <c r="F5" s="26">
        <v>4361347</v>
      </c>
    </row>
    <row r="6" spans="1:6" x14ac:dyDescent="0.25">
      <c r="A6" s="4" t="s">
        <v>289</v>
      </c>
      <c r="B6" s="26">
        <v>854772</v>
      </c>
      <c r="C6" s="26">
        <v>880415</v>
      </c>
      <c r="D6" s="26">
        <v>906828</v>
      </c>
      <c r="E6" s="26">
        <v>934032</v>
      </c>
      <c r="F6" s="26">
        <v>962053</v>
      </c>
    </row>
    <row r="7" spans="1:6" x14ac:dyDescent="0.25">
      <c r="A7" s="4" t="s">
        <v>290</v>
      </c>
      <c r="B7" s="26">
        <v>271400</v>
      </c>
      <c r="C7" s="26">
        <v>310442</v>
      </c>
      <c r="D7" s="26">
        <v>351582</v>
      </c>
      <c r="E7" s="26">
        <v>389448</v>
      </c>
      <c r="F7" s="26">
        <v>418014</v>
      </c>
    </row>
    <row r="8" spans="1:6" x14ac:dyDescent="0.25">
      <c r="A8" s="3" t="s">
        <v>323</v>
      </c>
      <c r="B8" s="29">
        <f>B5-B6-B7</f>
        <v>848828</v>
      </c>
      <c r="C8" s="29">
        <f>C5-C6-C7</f>
        <v>1430493</v>
      </c>
      <c r="D8" s="29">
        <f>D5-D6-D7</f>
        <v>2046294</v>
      </c>
      <c r="E8" s="29">
        <f>E5-E6-E7</f>
        <v>2599410</v>
      </c>
      <c r="F8" s="29">
        <f>F5-F6-F7</f>
        <v>2981279</v>
      </c>
    </row>
    <row r="9" spans="1:6" x14ac:dyDescent="0.25">
      <c r="A9" s="4" t="s">
        <v>291</v>
      </c>
      <c r="B9" s="26">
        <v>34064</v>
      </c>
      <c r="C9" s="26">
        <v>34064</v>
      </c>
      <c r="D9" s="26">
        <v>34064</v>
      </c>
      <c r="E9" s="26">
        <v>34064</v>
      </c>
      <c r="F9" s="26">
        <v>34064</v>
      </c>
    </row>
    <row r="10" spans="1:6" x14ac:dyDescent="0.25">
      <c r="A10" s="3" t="s">
        <v>324</v>
      </c>
      <c r="B10" s="38">
        <f>IF(B9=0,"N/A",B8/B9)</f>
        <v>24.92</v>
      </c>
      <c r="C10" s="38">
        <f>IF(C9=0,"N/A",C8/C9)</f>
        <v>41.99</v>
      </c>
      <c r="D10" s="38">
        <f>IF(D9=0,"N/A",D8/D9)</f>
        <v>60.07</v>
      </c>
      <c r="E10" s="38">
        <f>IF(E9=0,"N/A",E8/E9)</f>
        <v>76.31</v>
      </c>
      <c r="F10" s="38">
        <f>IF(F9=0,"N/A",F8/F9)</f>
        <v>87.52</v>
      </c>
    </row>
    <row r="12" ht="24" customHeight="1" spans="1:6" x14ac:dyDescent="0.25">
      <c r="A12" s="13" t="s">
        <v>325</v>
      </c>
      <c r="B12" s="13"/>
      <c r="C12" s="13"/>
      <c r="D12" s="13"/>
      <c r="E12" s="13"/>
      <c r="F12" s="13"/>
    </row>
    <row r="13" spans="1:6" x14ac:dyDescent="0.25">
      <c r="A13" s="4" t="s">
        <v>326</v>
      </c>
      <c r="B13" s="26">
        <v>864756</v>
      </c>
      <c r="C13" s="26">
        <v>2251184</v>
      </c>
      <c r="D13" s="26">
        <v>4253414</v>
      </c>
      <c r="E13" s="26">
        <v>6813759</v>
      </c>
      <c r="F13" s="26">
        <v>9755974</v>
      </c>
    </row>
    <row r="14" spans="1:6" x14ac:dyDescent="0.25">
      <c r="A14" s="4" t="s">
        <v>327</v>
      </c>
      <c r="B14" s="23">
        <f>IF((B6+B7+B9)=0,0,(B13/(B6+B7+B9))*365)</f>
        <v>272</v>
      </c>
      <c r="C14" s="23">
        <f>IF((C6+C7+C9)=0,0,(C13/(C6+C7+C9))*365)</f>
        <v>671</v>
      </c>
      <c r="D14" s="23">
        <f>IF((D6+D7+D9)=0,0,(D13/(D6+D7+D9))*365)</f>
        <v>1201</v>
      </c>
      <c r="E14" s="23">
        <f>IF((E6+E7+E9)=0,0,(E13/(E6+E7+E9))*365)</f>
        <v>1832</v>
      </c>
      <c r="F14" s="23">
        <f>IF((F6+F7+F9)=0,0,(F13/(F6+F7+F9))*365)</f>
        <v>2518</v>
      </c>
    </row>
    <row r="15" spans="1:6" x14ac:dyDescent="0.25">
      <c r="A15" s="4" t="s">
        <v>328</v>
      </c>
      <c r="B15" s="30">
        <f>IF((B6+B7+B9)=0,0,B13/((B6+B7+B9)/12))</f>
        <v>8.9</v>
      </c>
      <c r="C15" s="30">
        <f>IF((C6+C7+C9)=0,0,C13/((C6+C7+C9)/12))</f>
        <v>22.1</v>
      </c>
      <c r="D15" s="30">
        <f>IF((D6+D7+D9)=0,0,D13/((D6+D7+D9)/12))</f>
        <v>39.5</v>
      </c>
      <c r="E15" s="30">
        <f>IF((E6+E7+E9)=0,0,E13/((E6+E7+E9)/12))</f>
        <v>60.2</v>
      </c>
      <c r="F15" s="30">
        <f>IF((F6+F7+F9)=0,0,F13/((F6+F7+F9)/12))</f>
        <v>82.8</v>
      </c>
    </row>
    <row r="16" spans="1:6" x14ac:dyDescent="0.25">
      <c r="A16" s="4" t="s">
        <v>185</v>
      </c>
      <c r="B16" s="25">
        <v>0.5</v>
      </c>
      <c r="C16" s="25">
        <v>0.65</v>
      </c>
      <c r="D16" s="25">
        <v>0.8</v>
      </c>
      <c r="E16" s="25">
        <v>0.925</v>
      </c>
      <c r="F16" s="25">
        <v>1</v>
      </c>
    </row>
    <row r="18" ht="24" customHeight="1" spans="1:6" x14ac:dyDescent="0.25">
      <c r="A18" s="13" t="s">
        <v>329</v>
      </c>
      <c r="B18" s="13"/>
      <c r="C18" s="13"/>
      <c r="D18" s="13"/>
      <c r="E18" s="13"/>
      <c r="F18" s="13"/>
    </row>
    <row r="19" spans="1:6" x14ac:dyDescent="0.25">
      <c r="A19" s="4" t="s">
        <v>226</v>
      </c>
      <c r="B19" s="26">
        <v>19750</v>
      </c>
      <c r="C19" s="26">
        <v>20164</v>
      </c>
      <c r="D19" s="26">
        <v>20654</v>
      </c>
      <c r="E19" s="26">
        <v>21205</v>
      </c>
      <c r="F19" s="26">
        <v>21807</v>
      </c>
    </row>
    <row r="20" spans="1:6" x14ac:dyDescent="0.25">
      <c r="A20" s="4" t="s">
        <v>330</v>
      </c>
      <c r="B20" s="26">
        <v>888836</v>
      </c>
      <c r="C20" s="26">
        <v>914480</v>
      </c>
      <c r="D20" s="26">
        <v>940892</v>
      </c>
      <c r="E20" s="26">
        <v>968097</v>
      </c>
      <c r="F20" s="26">
        <v>996118</v>
      </c>
    </row>
    <row r="21" spans="1:6" x14ac:dyDescent="0.25">
      <c r="A21" s="4" t="s">
        <v>331</v>
      </c>
      <c r="B21" s="26">
        <v>2714</v>
      </c>
      <c r="C21" s="26">
        <v>2388</v>
      </c>
      <c r="D21" s="26">
        <v>2197</v>
      </c>
      <c r="E21" s="26">
        <v>2105</v>
      </c>
      <c r="F21" s="26">
        <v>2090</v>
      </c>
    </row>
    <row r="22" spans="1:6" x14ac:dyDescent="0.25">
      <c r="A22" s="3" t="s">
        <v>332</v>
      </c>
      <c r="B22" s="39">
        <v>53</v>
      </c>
      <c r="C22" s="39">
        <v>52</v>
      </c>
      <c r="D22" s="39">
        <v>51</v>
      </c>
      <c r="E22" s="39">
        <v>51</v>
      </c>
      <c r="F22" s="39">
        <v>51</v>
      </c>
    </row>
    <row r="24" ht="24" customHeight="1" spans="1:6" x14ac:dyDescent="0.25">
      <c r="A24" s="13" t="s">
        <v>333</v>
      </c>
      <c r="B24" s="13"/>
      <c r="C24" s="13"/>
      <c r="D24" s="13"/>
      <c r="E24" s="13"/>
      <c r="F24" s="13"/>
    </row>
    <row r="25" spans="1:6" x14ac:dyDescent="0.25">
      <c r="A25" s="4" t="s">
        <v>334</v>
      </c>
      <c r="B25" s="40" t="s">
        <v>335</v>
      </c>
      <c r="C25" s="40" t="s">
        <v>335</v>
      </c>
      <c r="D25" s="40" t="s">
        <v>335</v>
      </c>
      <c r="E25" s="40" t="s">
        <v>335</v>
      </c>
      <c r="F25" s="40" t="s">
        <v>335</v>
      </c>
    </row>
    <row r="26" spans="1:6" x14ac:dyDescent="0.25">
      <c r="A26" s="4" t="s">
        <v>336</v>
      </c>
      <c r="B26" s="40" t="s">
        <v>335</v>
      </c>
      <c r="C26" s="40" t="s">
        <v>335</v>
      </c>
      <c r="D26" s="40" t="s">
        <v>335</v>
      </c>
      <c r="E26" s="40" t="s">
        <v>335</v>
      </c>
      <c r="F26" s="40" t="s">
        <v>335</v>
      </c>
    </row>
    <row r="27" spans="1:6" x14ac:dyDescent="0.25">
      <c r="A27" s="4" t="s">
        <v>337</v>
      </c>
      <c r="B27" s="41" t="s">
        <v>338</v>
      </c>
      <c r="C27" s="41" t="s">
        <v>338</v>
      </c>
      <c r="D27" s="41" t="s">
        <v>338</v>
      </c>
      <c r="E27" s="41" t="s">
        <v>338</v>
      </c>
      <c r="F27" s="41" t="s">
        <v>338</v>
      </c>
    </row>
    <row r="28" spans="1:6" x14ac:dyDescent="0.25">
      <c r="A28" s="4" t="s">
        <v>339</v>
      </c>
      <c r="B28" s="40" t="s">
        <v>335</v>
      </c>
      <c r="C28" s="40" t="s">
        <v>335</v>
      </c>
      <c r="D28" s="40" t="s">
        <v>335</v>
      </c>
      <c r="E28" s="40" t="s">
        <v>335</v>
      </c>
      <c r="F28" s="40" t="s">
        <v>335</v>
      </c>
    </row>
    <row r="29" spans="1:6" x14ac:dyDescent="0.25">
      <c r="A29" s="4" t="s">
        <v>340</v>
      </c>
      <c r="B29" s="40" t="s">
        <v>335</v>
      </c>
      <c r="C29" s="40" t="s">
        <v>335</v>
      </c>
      <c r="D29" s="40" t="s">
        <v>335</v>
      </c>
      <c r="E29" s="40" t="s">
        <v>335</v>
      </c>
      <c r="F29" s="40" t="s">
        <v>335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2" t="s">
        <v>341</v>
      </c>
      <c r="B3" s="42" t="s">
        <v>100</v>
      </c>
      <c r="D3" s="42" t="s">
        <v>342</v>
      </c>
      <c r="E3" s="42" t="s">
        <v>100</v>
      </c>
    </row>
    <row r="4" spans="1:5" x14ac:dyDescent="0.25">
      <c r="A4" s="4" t="s">
        <v>152</v>
      </c>
      <c r="B4" s="26">
        <v>250000</v>
      </c>
      <c r="D4" s="4" t="s">
        <v>343</v>
      </c>
      <c r="E4" s="26">
        <v>200000</v>
      </c>
    </row>
    <row r="5" spans="1:5" x14ac:dyDescent="0.25">
      <c r="A5" s="4" t="s">
        <v>110</v>
      </c>
      <c r="B5" s="26">
        <v>50000</v>
      </c>
      <c r="D5" s="4" t="s">
        <v>154</v>
      </c>
      <c r="E5" s="26">
        <v>50000</v>
      </c>
    </row>
    <row r="6" spans="1:5" x14ac:dyDescent="0.25">
      <c r="A6" s="4" t="s">
        <v>344</v>
      </c>
      <c r="B6" s="26">
        <v>75000</v>
      </c>
      <c r="D6" s="4" t="s">
        <v>345</v>
      </c>
      <c r="E6" s="26">
        <v>75000</v>
      </c>
    </row>
    <row r="7" spans="4:5" x14ac:dyDescent="0.25">
      <c r="D7" s="4" t="s">
        <v>346</v>
      </c>
      <c r="E7" s="26">
        <v>50000</v>
      </c>
    </row>
    <row r="9" spans="1:5" x14ac:dyDescent="0.25">
      <c r="A9" s="3" t="s">
        <v>347</v>
      </c>
      <c r="B9" s="27">
        <v>375000</v>
      </c>
      <c r="D9" s="3" t="s">
        <v>348</v>
      </c>
      <c r="E9" s="27">
        <v>375000</v>
      </c>
    </row>
    <row r="10" spans="1:2" x14ac:dyDescent="0.25">
      <c r="A10" s="3" t="s">
        <v>349</v>
      </c>
      <c r="B10" s="36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350</v>
      </c>
      <c r="B1" s="11"/>
      <c r="C1" s="11"/>
      <c r="D1" s="11"/>
      <c r="E1" s="11"/>
      <c r="F1" s="11"/>
    </row>
    <row r="3" ht="24" customHeight="1" spans="1:6" x14ac:dyDescent="0.25">
      <c r="A3" s="13" t="s">
        <v>351</v>
      </c>
      <c r="B3" s="13"/>
      <c r="C3" s="13"/>
      <c r="D3" s="13"/>
      <c r="E3" s="13"/>
      <c r="F3" s="13"/>
    </row>
    <row r="4" spans="1:1" x14ac:dyDescent="0.25">
      <c r="A4" s="12" t="s">
        <v>352</v>
      </c>
    </row>
    <row r="5" ht="28" customHeight="1" spans="1:6" x14ac:dyDescent="0.25">
      <c r="A5" s="15" t="s">
        <v>67</v>
      </c>
      <c r="B5" s="15" t="s">
        <v>90</v>
      </c>
      <c r="C5" s="15" t="s">
        <v>91</v>
      </c>
      <c r="D5" s="15" t="s">
        <v>92</v>
      </c>
      <c r="E5" s="15" t="s">
        <v>93</v>
      </c>
      <c r="F5" s="15" t="s">
        <v>94</v>
      </c>
    </row>
    <row r="6" spans="1:6" x14ac:dyDescent="0.25">
      <c r="A6" s="4" t="s">
        <v>322</v>
      </c>
      <c r="B6" s="26">
        <v>1975000</v>
      </c>
      <c r="C6" s="26">
        <v>2621350</v>
      </c>
      <c r="D6" s="26">
        <v>3304704</v>
      </c>
      <c r="E6" s="26">
        <v>3922890</v>
      </c>
      <c r="F6" s="26">
        <v>4361347</v>
      </c>
    </row>
    <row r="7" spans="1:6" x14ac:dyDescent="0.25">
      <c r="A7" s="4" t="s">
        <v>268</v>
      </c>
      <c r="B7" s="26">
        <v>1160236</v>
      </c>
      <c r="C7" s="26">
        <v>1224922</v>
      </c>
      <c r="D7" s="26">
        <v>1292474</v>
      </c>
      <c r="E7" s="26">
        <v>1357545</v>
      </c>
      <c r="F7" s="26">
        <v>1414132</v>
      </c>
    </row>
    <row r="8" spans="1:6" x14ac:dyDescent="0.25">
      <c r="A8" s="3" t="s">
        <v>270</v>
      </c>
      <c r="B8" s="27">
        <v>814764</v>
      </c>
      <c r="C8" s="27">
        <v>1396428</v>
      </c>
      <c r="D8" s="27">
        <v>2012229</v>
      </c>
      <c r="E8" s="27">
        <v>2565345</v>
      </c>
      <c r="F8" s="27">
        <v>2947215</v>
      </c>
    </row>
    <row r="9" spans="1:6" x14ac:dyDescent="0.25">
      <c r="A9" s="4" t="s">
        <v>271</v>
      </c>
      <c r="B9" s="25">
        <v>0.4125385351058188</v>
      </c>
      <c r="C9" s="25">
        <v>0.5327134670433142</v>
      </c>
      <c r="D9" s="25">
        <v>0.6088985689741885</v>
      </c>
      <c r="E9" s="25">
        <v>0.6539426893351535</v>
      </c>
      <c r="F9" s="25">
        <v>0.6757579942908114</v>
      </c>
    </row>
    <row r="10" spans="1:6" x14ac:dyDescent="0.25">
      <c r="A10" s="4" t="s">
        <v>324</v>
      </c>
      <c r="B10" s="43">
        <v>24.92</v>
      </c>
      <c r="C10" s="43">
        <v>41.99</v>
      </c>
      <c r="D10" s="43">
        <v>60.07</v>
      </c>
      <c r="E10" s="43">
        <v>76.31</v>
      </c>
      <c r="F10" s="43">
        <v>87.52</v>
      </c>
    </row>
    <row r="11" spans="1:6" x14ac:dyDescent="0.25">
      <c r="A11" s="4" t="s">
        <v>332</v>
      </c>
      <c r="B11" s="23">
        <v>53</v>
      </c>
      <c r="C11" s="23">
        <v>52</v>
      </c>
      <c r="D11" s="23">
        <v>51</v>
      </c>
      <c r="E11" s="23">
        <v>51</v>
      </c>
      <c r="F11" s="23">
        <v>51</v>
      </c>
    </row>
    <row r="13" ht="24" customHeight="1" spans="1:6" x14ac:dyDescent="0.25">
      <c r="A13" s="13" t="s">
        <v>353</v>
      </c>
      <c r="B13" s="13"/>
      <c r="C13" s="13"/>
      <c r="D13" s="13"/>
      <c r="E13" s="13"/>
      <c r="F13" s="13"/>
    </row>
    <row r="14" spans="1:1" x14ac:dyDescent="0.25">
      <c r="A14" s="12" t="s">
        <v>354</v>
      </c>
    </row>
    <row r="15" ht="28" customHeight="1" spans="1:6" x14ac:dyDescent="0.25">
      <c r="A15" s="15" t="s">
        <v>67</v>
      </c>
      <c r="B15" s="15" t="s">
        <v>90</v>
      </c>
      <c r="C15" s="15" t="s">
        <v>91</v>
      </c>
      <c r="D15" s="15" t="s">
        <v>92</v>
      </c>
      <c r="E15" s="15" t="s">
        <v>93</v>
      </c>
      <c r="F15" s="15" t="s">
        <v>94</v>
      </c>
    </row>
    <row r="16" spans="1:6" x14ac:dyDescent="0.25">
      <c r="A16" s="4" t="s">
        <v>322</v>
      </c>
      <c r="B16" s="26">
        <v>1678750</v>
      </c>
      <c r="C16" s="26">
        <v>2228148</v>
      </c>
      <c r="D16" s="26">
        <v>2808998</v>
      </c>
      <c r="E16" s="26">
        <v>3334456</v>
      </c>
      <c r="F16" s="26">
        <v>3707145</v>
      </c>
    </row>
    <row r="17" spans="1:6" x14ac:dyDescent="0.25">
      <c r="A17" s="4" t="s">
        <v>268</v>
      </c>
      <c r="B17" s="26">
        <v>1160236</v>
      </c>
      <c r="C17" s="26">
        <v>1224922</v>
      </c>
      <c r="D17" s="26">
        <v>1292474</v>
      </c>
      <c r="E17" s="26">
        <v>1357545</v>
      </c>
      <c r="F17" s="26">
        <v>1414132</v>
      </c>
    </row>
    <row r="18" spans="1:6" x14ac:dyDescent="0.25">
      <c r="A18" s="3" t="s">
        <v>270</v>
      </c>
      <c r="B18" s="27">
        <v>518514</v>
      </c>
      <c r="C18" s="27">
        <v>1003226</v>
      </c>
      <c r="D18" s="27">
        <v>1516524</v>
      </c>
      <c r="E18" s="27">
        <v>1976912</v>
      </c>
      <c r="F18" s="27">
        <v>2293013</v>
      </c>
    </row>
    <row r="19" spans="1:6" x14ac:dyDescent="0.25">
      <c r="A19" s="4" t="s">
        <v>271</v>
      </c>
      <c r="B19" s="25">
        <v>0.308868864830375</v>
      </c>
      <c r="C19" s="25">
        <v>0.45025113769801683</v>
      </c>
      <c r="D19" s="25">
        <v>0.5398806693813982</v>
      </c>
      <c r="E19" s="25">
        <v>0.5928737521590041</v>
      </c>
      <c r="F19" s="25">
        <v>0.6185388168127194</v>
      </c>
    </row>
    <row r="20" spans="1:6" x14ac:dyDescent="0.25">
      <c r="A20" s="4" t="s">
        <v>324</v>
      </c>
      <c r="B20" s="43">
        <v>16.22</v>
      </c>
      <c r="C20" s="43">
        <v>30.45</v>
      </c>
      <c r="D20" s="43">
        <v>45.52</v>
      </c>
      <c r="E20" s="43">
        <v>59.03</v>
      </c>
      <c r="F20" s="43">
        <v>68.31</v>
      </c>
    </row>
    <row r="21" spans="1:6" x14ac:dyDescent="0.25">
      <c r="A21" s="4" t="s">
        <v>332</v>
      </c>
      <c r="B21" s="23">
        <v>54</v>
      </c>
      <c r="C21" s="23">
        <v>53</v>
      </c>
      <c r="D21" s="23">
        <v>53</v>
      </c>
      <c r="E21" s="23">
        <v>52</v>
      </c>
      <c r="F21" s="23">
        <v>52</v>
      </c>
    </row>
    <row r="23" ht="24" customHeight="1" spans="1:6" x14ac:dyDescent="0.25">
      <c r="A23" s="13" t="s">
        <v>355</v>
      </c>
      <c r="B23" s="13"/>
      <c r="C23" s="13"/>
      <c r="D23" s="13"/>
      <c r="E23" s="13"/>
      <c r="F23" s="13"/>
    </row>
    <row r="24" spans="1:1" x14ac:dyDescent="0.25">
      <c r="A24" s="12" t="s">
        <v>356</v>
      </c>
    </row>
    <row r="25" ht="28" customHeight="1" spans="1:6" x14ac:dyDescent="0.25">
      <c r="A25" s="15" t="s">
        <v>67</v>
      </c>
      <c r="B25" s="15" t="s">
        <v>90</v>
      </c>
      <c r="C25" s="15" t="s">
        <v>91</v>
      </c>
      <c r="D25" s="15" t="s">
        <v>92</v>
      </c>
      <c r="E25" s="15" t="s">
        <v>93</v>
      </c>
      <c r="F25" s="15" t="s">
        <v>94</v>
      </c>
    </row>
    <row r="26" spans="1:6" x14ac:dyDescent="0.25">
      <c r="A26" s="4" t="s">
        <v>322</v>
      </c>
      <c r="B26" s="26">
        <v>1975000</v>
      </c>
      <c r="C26" s="26">
        <v>2621350</v>
      </c>
      <c r="D26" s="26">
        <v>3304704</v>
      </c>
      <c r="E26" s="26">
        <v>3922890</v>
      </c>
      <c r="F26" s="26">
        <v>4361347</v>
      </c>
    </row>
    <row r="27" spans="1:6" x14ac:dyDescent="0.25">
      <c r="A27" s="4" t="s">
        <v>268</v>
      </c>
      <c r="B27" s="26">
        <v>1173736</v>
      </c>
      <c r="C27" s="26">
        <v>1241917</v>
      </c>
      <c r="D27" s="26">
        <v>1313162</v>
      </c>
      <c r="E27" s="26">
        <v>1381585</v>
      </c>
      <c r="F27" s="26">
        <v>1440581</v>
      </c>
    </row>
    <row r="28" spans="1:6" x14ac:dyDescent="0.25">
      <c r="A28" s="3" t="s">
        <v>270</v>
      </c>
      <c r="B28" s="27">
        <v>801264</v>
      </c>
      <c r="C28" s="27">
        <v>1379433</v>
      </c>
      <c r="D28" s="27">
        <v>1991542</v>
      </c>
      <c r="E28" s="27">
        <v>2541305</v>
      </c>
      <c r="F28" s="27">
        <v>2920765</v>
      </c>
    </row>
    <row r="29" spans="1:6" x14ac:dyDescent="0.25">
      <c r="A29" s="4" t="s">
        <v>271</v>
      </c>
      <c r="B29" s="25">
        <v>0.4057030920678441</v>
      </c>
      <c r="C29" s="25">
        <v>0.5262301664539233</v>
      </c>
      <c r="D29" s="25">
        <v>0.6026385368714597</v>
      </c>
      <c r="E29" s="25">
        <v>0.6478145556304181</v>
      </c>
      <c r="F29" s="25">
        <v>0.6696934781617792</v>
      </c>
    </row>
    <row r="30" spans="1:6" x14ac:dyDescent="0.25">
      <c r="A30" s="4" t="s">
        <v>324</v>
      </c>
      <c r="B30" s="43">
        <v>24.52</v>
      </c>
      <c r="C30" s="43">
        <v>41.49</v>
      </c>
      <c r="D30" s="43">
        <v>59.46</v>
      </c>
      <c r="E30" s="43">
        <v>75.6</v>
      </c>
      <c r="F30" s="43">
        <v>86.74</v>
      </c>
    </row>
    <row r="31" spans="1:6" x14ac:dyDescent="0.25">
      <c r="A31" s="4" t="s">
        <v>332</v>
      </c>
      <c r="B31" s="23">
        <v>53</v>
      </c>
      <c r="C31" s="23">
        <v>52</v>
      </c>
      <c r="D31" s="23">
        <v>52</v>
      </c>
      <c r="E31" s="23">
        <v>52</v>
      </c>
      <c r="F31" s="23">
        <v>51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357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84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118</v>
      </c>
      <c r="B5" s="4" t="s">
        <v>5</v>
      </c>
    </row>
    <row r="6" spans="1:2" x14ac:dyDescent="0.25">
      <c r="A6" s="4" t="s">
        <v>358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359</v>
      </c>
      <c r="B9" s="4" t="s">
        <v>17</v>
      </c>
    </row>
    <row r="11" ht="24" customHeight="1" spans="1:8" x14ac:dyDescent="0.25">
      <c r="A11" s="13" t="s">
        <v>360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67</v>
      </c>
      <c r="B12" t="s">
        <v>67</v>
      </c>
      <c r="C12" t="s">
        <v>67</v>
      </c>
      <c r="D12" s="44" t="s">
        <v>90</v>
      </c>
      <c r="E12" s="44" t="s">
        <v>91</v>
      </c>
      <c r="F12" s="44" t="s">
        <v>92</v>
      </c>
      <c r="G12" s="44" t="s">
        <v>93</v>
      </c>
      <c r="H12" s="44" t="s">
        <v>94</v>
      </c>
    </row>
    <row r="13" spans="1:8" x14ac:dyDescent="0.25">
      <c r="A13" s="4" t="s">
        <v>322</v>
      </c>
      <c r="D13" s="26">
        <v>1975000</v>
      </c>
      <c r="E13" s="26">
        <v>2621350</v>
      </c>
      <c r="F13" s="26">
        <v>3304704</v>
      </c>
      <c r="G13" s="26">
        <v>3922890</v>
      </c>
      <c r="H13" s="26">
        <v>4361347</v>
      </c>
    </row>
    <row r="14" spans="1:8" x14ac:dyDescent="0.25">
      <c r="A14" s="4" t="s">
        <v>268</v>
      </c>
      <c r="D14" s="26">
        <v>1160236</v>
      </c>
      <c r="E14" s="26">
        <v>1224922</v>
      </c>
      <c r="F14" s="26">
        <v>1292474</v>
      </c>
      <c r="G14" s="26">
        <v>1357545</v>
      </c>
      <c r="H14" s="26">
        <v>1414132</v>
      </c>
    </row>
    <row r="15" spans="1:8" x14ac:dyDescent="0.25">
      <c r="A15" s="4" t="s">
        <v>270</v>
      </c>
      <c r="D15" s="26">
        <v>789764</v>
      </c>
      <c r="E15" s="26">
        <v>1386428</v>
      </c>
      <c r="F15" s="26">
        <v>2002229</v>
      </c>
      <c r="G15" s="26">
        <v>2560345</v>
      </c>
      <c r="H15" s="26">
        <v>2942215</v>
      </c>
    </row>
    <row r="16" spans="1:8" x14ac:dyDescent="0.25">
      <c r="A16" s="4" t="s">
        <v>361</v>
      </c>
      <c r="D16" s="26">
        <v>864756</v>
      </c>
      <c r="E16" s="26">
        <v>2251184</v>
      </c>
      <c r="F16" s="26">
        <v>4253414</v>
      </c>
      <c r="G16" s="26">
        <v>6813759</v>
      </c>
      <c r="H16" s="26">
        <v>9755974</v>
      </c>
    </row>
    <row r="17" spans="1:8" x14ac:dyDescent="0.25">
      <c r="A17" s="4" t="s">
        <v>362</v>
      </c>
      <c r="D17" s="26">
        <v>231645</v>
      </c>
      <c r="E17" s="26">
        <v>212061</v>
      </c>
      <c r="F17" s="26">
        <v>191165</v>
      </c>
      <c r="G17" s="26">
        <v>168870</v>
      </c>
      <c r="H17" s="26">
        <v>145082</v>
      </c>
    </row>
    <row r="19" ht="24" customHeight="1" spans="1:8" x14ac:dyDescent="0.25">
      <c r="A19" s="13" t="s">
        <v>363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67</v>
      </c>
      <c r="B20" t="s">
        <v>67</v>
      </c>
      <c r="C20" t="s">
        <v>67</v>
      </c>
      <c r="D20" s="44" t="s">
        <v>90</v>
      </c>
      <c r="E20" s="44" t="s">
        <v>91</v>
      </c>
      <c r="F20" s="44" t="s">
        <v>92</v>
      </c>
      <c r="G20" s="44" t="s">
        <v>93</v>
      </c>
      <c r="H20" s="44" t="s">
        <v>94</v>
      </c>
    </row>
    <row r="21" spans="1:8" x14ac:dyDescent="0.25">
      <c r="A21" s="4" t="s">
        <v>364</v>
      </c>
      <c r="D21" s="25">
        <v>0.3998803072577175</v>
      </c>
      <c r="E21" s="25">
        <v>0.5288986388059557</v>
      </c>
      <c r="F21" s="25">
        <v>0.6058725788967125</v>
      </c>
      <c r="G21" s="25">
        <v>0.6526681187789514</v>
      </c>
      <c r="H21" s="25">
        <v>0.6746115593902751</v>
      </c>
    </row>
    <row r="22" spans="1:8" x14ac:dyDescent="0.25">
      <c r="A22" s="4" t="s">
        <v>324</v>
      </c>
      <c r="D22" s="43">
        <v>24.92</v>
      </c>
      <c r="E22" s="43">
        <v>41.99</v>
      </c>
      <c r="F22" s="43">
        <v>60.07</v>
      </c>
      <c r="G22" s="43">
        <v>76.31</v>
      </c>
      <c r="H22" s="43">
        <v>87.52</v>
      </c>
    </row>
    <row r="23" spans="1:8" x14ac:dyDescent="0.25">
      <c r="A23" s="4" t="s">
        <v>185</v>
      </c>
      <c r="D23" s="25">
        <v>0.5</v>
      </c>
      <c r="E23" s="25">
        <v>0.65</v>
      </c>
      <c r="F23" s="25">
        <v>0.8</v>
      </c>
      <c r="G23" s="25">
        <v>0.925</v>
      </c>
      <c r="H23" s="25">
        <v>1</v>
      </c>
    </row>
    <row r="24" spans="1:8" x14ac:dyDescent="0.25">
      <c r="A24" s="4" t="s">
        <v>365</v>
      </c>
      <c r="D24" s="23">
        <v>100</v>
      </c>
      <c r="E24" s="23">
        <v>130</v>
      </c>
      <c r="F24" s="23">
        <v>160</v>
      </c>
      <c r="G24" s="23">
        <v>185</v>
      </c>
      <c r="H24" s="23">
        <v>200</v>
      </c>
    </row>
    <row r="26" spans="1:8" x14ac:dyDescent="0.25">
      <c r="A26" s="8" t="s">
        <v>366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2026-03-17T20:07:25Z</dcterms:created>
  <dcterms:modified xsi:type="dcterms:W3CDTF">2026-03-17T20:07:25Z</dcterms:modified>
</cp:coreProperties>
</file>