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<sst xmlns="http://schemas.openxmlformats.org/spreadsheetml/2006/main" count="696" uniqueCount="378">
  <si>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</si>
  <si>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</si>
  <si>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</si>
  <si>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</si>
  <si>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</si>
  <si>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</si>
  <si>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</si>
  <si>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</si>
  <si>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</si>
  <si>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</si>
  <si>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</si>
  <si>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</si>
  <si>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</si>
  <si>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18,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</si>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</sst>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200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10500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350</v>
      </c>
      <c r="E22" s="18">
        <v>0</v>
      </c>
    </row>
    <row r="23" spans="1:5" x14ac:dyDescent="0.25">
      <c r="A23" s="4" t="s">
        <v>112</v>
      </c>
      <c r="B23" s="4" t="s">
        <v>113</v>
      </c>
      <c r="C23" s="4" t="s">
        <v>110</v>
      </c>
      <c r="D23" s="17">
        <v>-1050</v>
      </c>
      <c r="E23" s="18">
        <v>0</v>
      </c>
    </row>
    <row r="24" spans="1:5" x14ac:dyDescent="0.25">
      <c r="A24" s="4" t="s">
        <v>114</v>
      </c>
      <c r="B24" s="4" t="s">
        <v>115</v>
      </c>
      <c r="C24" s="4" t="s">
        <v>110</v>
      </c>
      <c r="D24" s="17">
        <v>8700</v>
      </c>
      <c r="E24" s="18">
        <v>0</v>
      </c>
    </row>
    <row r="25" spans="1:5" x14ac:dyDescent="0.25">
      <c r="A25" s="4" t="s">
        <v>116</v>
      </c>
      <c r="B25" s="4" t="s">
        <v>117</v>
      </c>
      <c r="C25" s="4" t="s">
        <v>118</v>
      </c>
      <c r="D25" s="17">
        <v>50000</v>
      </c>
      <c r="E25" s="18">
        <v>0</v>
      </c>
    </row>
    <row r="26" spans="1:5" x14ac:dyDescent="0.25">
      <c r="A26" s="4" t="s">
        <v>119</v>
      </c>
      <c r="B26" s="4" t="s">
        <v>117</v>
      </c>
      <c r="C26" s="4" t="s">
        <v>118</v>
      </c>
      <c r="D26" s="17">
        <v>25000</v>
      </c>
      <c r="E26" s="18">
        <v>0</v>
      </c>
    </row>
    <row r="27" spans="1:5" x14ac:dyDescent="0.25">
      <c r="A27" s="4" t="s">
        <v>120</v>
      </c>
      <c r="B27" s="4" t="s">
        <v>121</v>
      </c>
      <c r="C27" s="4" t="s">
        <v>110</v>
      </c>
      <c r="D27" s="17">
        <v>500</v>
      </c>
      <c r="E27" s="18">
        <v>0</v>
      </c>
    </row>
    <row r="29" ht="24" customHeight="1" spans="1:7" x14ac:dyDescent="0.25">
      <c r="A29" s="13" t="s">
        <v>122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123</v>
      </c>
      <c r="B30" s="15" t="s">
        <v>104</v>
      </c>
      <c r="C30" s="15" t="s">
        <v>124</v>
      </c>
      <c r="D30" s="15" t="s">
        <v>125</v>
      </c>
      <c r="E30" s="15" t="s">
        <v>126</v>
      </c>
      <c r="F30" s="15" t="s">
        <v>127</v>
      </c>
      <c r="G30" s="15" t="s">
        <v>128</v>
      </c>
    </row>
    <row r="31" spans="1:7" x14ac:dyDescent="0.25">
      <c r="A31" s="4" t="s">
        <v>129</v>
      </c>
      <c r="B31" s="4" t="s">
        <v>130</v>
      </c>
      <c r="C31" s="4" t="s">
        <v>131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132</v>
      </c>
      <c r="B32" s="4" t="s">
        <v>130</v>
      </c>
      <c r="C32" s="4" t="s">
        <v>131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133</v>
      </c>
      <c r="B33" s="4" t="s">
        <v>134</v>
      </c>
      <c r="C33" s="4" t="s">
        <v>131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135</v>
      </c>
      <c r="B34" s="4" t="s">
        <v>134</v>
      </c>
      <c r="C34" s="4" t="s">
        <v>131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136</v>
      </c>
      <c r="B35" s="4" t="s">
        <v>137</v>
      </c>
      <c r="C35" s="4" t="s">
        <v>131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138</v>
      </c>
      <c r="B36" s="4" t="s">
        <v>139</v>
      </c>
      <c r="C36" s="4" t="s">
        <v>131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140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103</v>
      </c>
      <c r="B39" s="15" t="s">
        <v>104</v>
      </c>
      <c r="C39" s="15" t="s">
        <v>105</v>
      </c>
      <c r="D39" s="15" t="s">
        <v>106</v>
      </c>
      <c r="E39" s="15" t="s">
        <v>107</v>
      </c>
    </row>
    <row r="40" spans="1:5" x14ac:dyDescent="0.25">
      <c r="A40" s="4" t="s">
        <v>141</v>
      </c>
      <c r="B40" s="4" t="s">
        <v>142</v>
      </c>
      <c r="C40" s="4" t="s">
        <v>143</v>
      </c>
      <c r="D40" s="17">
        <v>8500</v>
      </c>
      <c r="E40" s="18">
        <v>0.03</v>
      </c>
    </row>
    <row r="41" spans="1:5" x14ac:dyDescent="0.25">
      <c r="A41" s="4" t="s">
        <v>144</v>
      </c>
      <c r="B41" s="4" t="s">
        <v>142</v>
      </c>
      <c r="C41" s="4" t="s">
        <v>143</v>
      </c>
      <c r="D41" s="17">
        <v>1200</v>
      </c>
      <c r="E41" s="18">
        <v>0</v>
      </c>
    </row>
    <row r="42" spans="1:5" x14ac:dyDescent="0.25">
      <c r="A42" s="4" t="s">
        <v>145</v>
      </c>
      <c r="B42" s="4" t="s">
        <v>142</v>
      </c>
      <c r="C42" s="4" t="s">
        <v>118</v>
      </c>
      <c r="D42" s="17">
        <v>12000</v>
      </c>
      <c r="E42" s="18">
        <v>0</v>
      </c>
    </row>
    <row r="43" spans="1:5" x14ac:dyDescent="0.25">
      <c r="A43" s="4" t="s">
        <v>146</v>
      </c>
      <c r="B43" s="4" t="s">
        <v>142</v>
      </c>
      <c r="C43" s="4" t="s">
        <v>118</v>
      </c>
      <c r="D43" s="17">
        <v>8000</v>
      </c>
      <c r="E43" s="18">
        <v>0</v>
      </c>
    </row>
    <row r="44" spans="1:5" x14ac:dyDescent="0.25">
      <c r="A44" s="4" t="s">
        <v>147</v>
      </c>
      <c r="B44" s="4" t="s">
        <v>148</v>
      </c>
      <c r="C44" s="4" t="s">
        <v>110</v>
      </c>
      <c r="D44" s="17">
        <v>600</v>
      </c>
      <c r="E44" s="18">
        <v>0</v>
      </c>
    </row>
    <row r="45" spans="1:5" x14ac:dyDescent="0.25">
      <c r="A45" s="4" t="s">
        <v>149</v>
      </c>
      <c r="B45" s="4" t="s">
        <v>149</v>
      </c>
      <c r="C45" s="4" t="s">
        <v>110</v>
      </c>
      <c r="D45" s="17">
        <v>400</v>
      </c>
      <c r="E45" s="18">
        <v>0</v>
      </c>
    </row>
    <row r="46" spans="1:5" x14ac:dyDescent="0.25">
      <c r="A46" s="4" t="s">
        <v>150</v>
      </c>
      <c r="B46" s="4" t="s">
        <v>151</v>
      </c>
      <c r="C46" s="4" t="s">
        <v>118</v>
      </c>
      <c r="D46" s="17">
        <v>15000</v>
      </c>
      <c r="E46" s="18">
        <v>0</v>
      </c>
    </row>
    <row r="47" spans="1:5" x14ac:dyDescent="0.25">
      <c r="A47" s="4" t="s">
        <v>152</v>
      </c>
      <c r="B47" s="4" t="s">
        <v>151</v>
      </c>
      <c r="C47" s="4" t="s">
        <v>118</v>
      </c>
      <c r="D47" s="17">
        <v>8000</v>
      </c>
      <c r="E47" s="18">
        <v>0</v>
      </c>
    </row>
    <row r="48" spans="1:5" x14ac:dyDescent="0.25">
      <c r="A48" s="4" t="s">
        <v>153</v>
      </c>
      <c r="B48" s="4" t="s">
        <v>151</v>
      </c>
      <c r="C48" s="4" t="s">
        <v>118</v>
      </c>
      <c r="D48" s="17">
        <v>12000</v>
      </c>
      <c r="E48" s="18">
        <v>0</v>
      </c>
    </row>
    <row r="50" ht="24" customHeight="1" spans="1:7" x14ac:dyDescent="0.25">
      <c r="A50" s="13" t="s">
        <v>154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155</v>
      </c>
      <c r="B51" s="15" t="s">
        <v>124</v>
      </c>
      <c r="C51" s="15" t="s">
        <v>156</v>
      </c>
      <c r="D51" s="15" t="s">
        <v>126</v>
      </c>
      <c r="E51" s="15" t="s">
        <v>157</v>
      </c>
    </row>
    <row r="52" spans="1:5" x14ac:dyDescent="0.25">
      <c r="A52" s="4" t="s">
        <v>158</v>
      </c>
      <c r="B52" s="4" t="s">
        <v>159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160</v>
      </c>
      <c r="B53" s="4" t="s">
        <v>161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162</v>
      </c>
      <c r="B55" s="13"/>
      <c r="C55" s="13"/>
      <c r="D55" s="13"/>
      <c r="E55" s="13"/>
      <c r="F55" s="13"/>
      <c r="G55" s="13"/>
    </row>
    <row r="56" spans="1:3" x14ac:dyDescent="0.25">
      <c r="A56" s="4" t="s">
        <v>163</v>
      </c>
      <c r="B56" s="18">
        <v>0.03</v>
      </c>
      <c r="C56" s="20" t="s">
        <v>164</v>
      </c>
    </row>
    <row r="57" spans="1:3" x14ac:dyDescent="0.25">
      <c r="A57" s="4" t="s">
        <v>165</v>
      </c>
      <c r="B57" s="18">
        <v>0.03</v>
      </c>
      <c r="C57" s="20" t="s">
        <v>166</v>
      </c>
    </row>
    <row r="58" spans="1:2" x14ac:dyDescent="0.25">
      <c r="A58" s="4" t="s">
        <v>167</v>
      </c>
      <c r="B58" s="19">
        <v>1</v>
      </c>
    </row>
    <row r="59" spans="1:2" x14ac:dyDescent="0.25">
      <c r="A59" s="4" t="s">
        <v>168</v>
      </c>
      <c r="B59" s="17">
        <v>75000</v>
      </c>
    </row>
    <row r="60" spans="1:2" x14ac:dyDescent="0.25">
      <c r="A60" s="4" t="s">
        <v>169</v>
      </c>
      <c r="B60" s="14" t="s">
        <v>170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171</v>
      </c>
      <c r="B3" s="4" t="s">
        <v>172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173</v>
      </c>
      <c r="B6" s="4" t="s">
        <v>174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175</v>
      </c>
      <c r="B8" s="4" t="s">
        <v>17</v>
      </c>
    </row>
    <row r="9" spans="1:2" x14ac:dyDescent="0.25">
      <c r="A9" s="3" t="s">
        <v>93</v>
      </c>
      <c r="B9" s="4" t="s">
        <v>176</v>
      </c>
    </row>
    <row r="10" spans="1:2" x14ac:dyDescent="0.25">
      <c r="A10" s="3" t="s">
        <v>177</v>
      </c>
      <c r="B10" s="4" t="s">
        <v>178</v>
      </c>
    </row>
    <row r="11" spans="1:2" x14ac:dyDescent="0.25">
      <c r="A11" s="3" t="s">
        <v>179</v>
      </c>
      <c r="B11" s="4" t="s">
        <v>180</v>
      </c>
    </row>
    <row r="12" spans="1:2" x14ac:dyDescent="0.25">
      <c r="A12" s="3" t="s">
        <v>169</v>
      </c>
      <c r="B12" s="4" t="s">
        <v>170</v>
      </c>
    </row>
    <row r="13" spans="1:2" x14ac:dyDescent="0.25">
      <c r="A13" s="3" t="s">
        <v>94</v>
      </c>
      <c r="B13" s="4" t="s">
        <v>181</v>
      </c>
    </row>
    <row r="14" spans="1:2" x14ac:dyDescent="0.25">
      <c r="A14" s="3" t="s">
        <v>182</v>
      </c>
      <c r="B14" s="4" t="s">
        <v>183</v>
      </c>
    </row>
    <row r="15" spans="1:2" x14ac:dyDescent="0.25">
      <c r="A15" s="3" t="s">
        <v>184</v>
      </c>
      <c r="B15" s="4" t="s">
        <v>185</v>
      </c>
    </row>
    <row r="16" spans="1:2" x14ac:dyDescent="0.25">
      <c r="A16" s="3" t="s">
        <v>186</v>
      </c>
      <c r="B16" s="4" t="s">
        <v>187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188</v>
      </c>
      <c r="C3" s="15" t="s">
        <v>189</v>
      </c>
      <c r="D3" s="15" t="s">
        <v>96</v>
      </c>
      <c r="E3" s="15" t="s">
        <v>97</v>
      </c>
      <c r="F3" s="15" t="s">
        <v>98</v>
      </c>
      <c r="G3" s="15" t="s">
        <v>99</v>
      </c>
      <c r="H3" s="15" t="s">
        <v>100</v>
      </c>
    </row>
    <row r="5" ht="24" customHeight="1" spans="1:8" x14ac:dyDescent="0.25">
      <c r="A5" s="13" t="s">
        <v>190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101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94</v>
      </c>
      <c r="B7" s="23">
        <v>200</v>
      </c>
    </row>
    <row r="8" spans="1:8" x14ac:dyDescent="0.25">
      <c r="A8" s="4" t="s">
        <v>191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192</v>
      </c>
      <c r="D10" s="4" t="s">
        <v>193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195</v>
      </c>
      <c r="B4" s="13"/>
      <c r="C4" s="13"/>
      <c r="D4" s="13"/>
      <c r="E4" s="13"/>
      <c r="F4" s="13"/>
    </row>
    <row r="5" spans="1:6" x14ac:dyDescent="0.25">
      <c r="A5" s="4" t="s">
        <v>196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197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198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199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200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201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202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203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123</v>
      </c>
      <c r="B3" s="15" t="s">
        <v>104</v>
      </c>
      <c r="C3" s="15" t="s">
        <v>125</v>
      </c>
      <c r="D3" s="15" t="s">
        <v>204</v>
      </c>
      <c r="E3" s="15" t="s">
        <v>127</v>
      </c>
      <c r="F3" s="15" t="s">
        <v>128</v>
      </c>
      <c r="G3" s="15" t="s">
        <v>205</v>
      </c>
    </row>
    <row r="4" spans="1:7" x14ac:dyDescent="0.25">
      <c r="A4" s="4" t="s">
        <v>129</v>
      </c>
      <c r="B4" s="4" t="s">
        <v>130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132</v>
      </c>
      <c r="B5" s="4" t="s">
        <v>130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133</v>
      </c>
      <c r="B6" s="4" t="s">
        <v>134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135</v>
      </c>
      <c r="B7" s="4" t="s">
        <v>134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136</v>
      </c>
      <c r="B8" s="4" t="s">
        <v>137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138</v>
      </c>
      <c r="B9" s="4" t="s">
        <v>139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206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96</v>
      </c>
      <c r="C12" s="15" t="s">
        <v>97</v>
      </c>
      <c r="D12" s="15" t="s">
        <v>98</v>
      </c>
      <c r="E12" s="15" t="s">
        <v>99</v>
      </c>
      <c r="F12" s="15" t="s">
        <v>100</v>
      </c>
    </row>
    <row r="13" spans="1:6" x14ac:dyDescent="0.25">
      <c r="A13" s="3" t="s">
        <v>207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208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209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148</v>
      </c>
      <c r="B4" s="13"/>
      <c r="C4" s="13"/>
      <c r="D4" s="13"/>
      <c r="E4" s="13"/>
      <c r="F4" s="13"/>
    </row>
    <row r="5" spans="1:6" x14ac:dyDescent="0.25">
      <c r="A5" s="4" t="s">
        <v>211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212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149</v>
      </c>
      <c r="B7" s="13"/>
      <c r="C7" s="13"/>
      <c r="D7" s="13"/>
      <c r="E7" s="13"/>
      <c r="F7" s="13"/>
    </row>
    <row r="8" spans="1:6" x14ac:dyDescent="0.25">
      <c r="A8" s="4" t="s">
        <v>213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214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142</v>
      </c>
      <c r="B10" s="13"/>
      <c r="C10" s="13"/>
      <c r="D10" s="13"/>
      <c r="E10" s="13"/>
      <c r="F10" s="13"/>
    </row>
    <row r="11" spans="1:6" x14ac:dyDescent="0.25">
      <c r="A11" s="4" t="s">
        <v>215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216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217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218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219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151</v>
      </c>
      <c r="B16" s="13"/>
      <c r="C16" s="13"/>
      <c r="D16" s="13"/>
      <c r="E16" s="13"/>
      <c r="F16" s="13"/>
    </row>
    <row r="17" spans="1:6" x14ac:dyDescent="0.25">
      <c r="A17" s="4" t="s">
        <v>220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221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222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223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224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155</v>
      </c>
      <c r="B3" s="15" t="s">
        <v>124</v>
      </c>
      <c r="C3" s="15" t="s">
        <v>156</v>
      </c>
      <c r="D3" s="15" t="s">
        <v>126</v>
      </c>
      <c r="E3" s="15" t="s">
        <v>157</v>
      </c>
      <c r="F3" s="15" t="s">
        <v>226</v>
      </c>
    </row>
    <row r="4" spans="1:6" x14ac:dyDescent="0.25">
      <c r="A4" s="4" t="s">
        <v>158</v>
      </c>
      <c r="B4" s="4" t="s">
        <v>159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160</v>
      </c>
      <c r="B5" s="4" t="s">
        <v>227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228</v>
      </c>
      <c r="F7" s="27">
        <v>34064</v>
      </c>
    </row>
    <row r="8" spans="1:6" x14ac:dyDescent="0.25">
      <c r="A8" s="3" t="s">
        <v>229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231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111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112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114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116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119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120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203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232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134</v>
      </c>
      <c r="B4" s="13"/>
      <c r="C4" s="13"/>
      <c r="D4" s="13"/>
      <c r="E4" s="13"/>
      <c r="F4" s="13"/>
    </row>
    <row r="5" spans="1:6" x14ac:dyDescent="0.25">
      <c r="A5" s="4" t="s">
        <v>234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235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236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130</v>
      </c>
      <c r="B8" s="13"/>
      <c r="C8" s="13"/>
      <c r="D8" s="13"/>
      <c r="E8" s="13"/>
      <c r="F8" s="13"/>
    </row>
    <row r="9" spans="1:6" x14ac:dyDescent="0.25">
      <c r="A9" s="4" t="s">
        <v>237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238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239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139</v>
      </c>
      <c r="B12" s="13"/>
      <c r="C12" s="13"/>
      <c r="D12" s="13"/>
      <c r="E12" s="13"/>
      <c r="F12" s="13"/>
    </row>
    <row r="13" spans="1:6" x14ac:dyDescent="0.25">
      <c r="A13" s="4" t="s">
        <v>240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241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137</v>
      </c>
      <c r="B15" s="13"/>
      <c r="C15" s="13"/>
      <c r="D15" s="13"/>
      <c r="E15" s="13"/>
      <c r="F15" s="13"/>
    </row>
    <row r="16" spans="1:6" x14ac:dyDescent="0.25">
      <c r="A16" s="4" t="s">
        <v>242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243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244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248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249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250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251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252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253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254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255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238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234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235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242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240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207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140</v>
      </c>
      <c r="B23" s="13"/>
      <c r="C23" s="13"/>
      <c r="D23" s="13"/>
      <c r="E23" s="13"/>
      <c r="F23" s="13"/>
    </row>
    <row r="24" spans="1:1" x14ac:dyDescent="0.25">
      <c r="A24" s="32" t="s">
        <v>148</v>
      </c>
    </row>
    <row r="25" spans="1:6" x14ac:dyDescent="0.25">
      <c r="A25" s="4" t="s">
        <v>256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149</v>
      </c>
    </row>
    <row r="27" spans="1:6" x14ac:dyDescent="0.25">
      <c r="A27" s="4" t="s">
        <v>257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142</v>
      </c>
    </row>
    <row r="29" spans="1:6" x14ac:dyDescent="0.25">
      <c r="A29" s="4" t="s">
        <v>258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259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260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261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262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151</v>
      </c>
    </row>
    <row r="35" spans="1:6" x14ac:dyDescent="0.25">
      <c r="A35" s="4" t="s">
        <v>263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264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265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266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267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268</v>
      </c>
      <c r="B41" s="13"/>
      <c r="C41" s="13"/>
      <c r="D41" s="13"/>
      <c r="E41" s="13"/>
      <c r="F41" s="13"/>
    </row>
    <row r="42" spans="1:6" x14ac:dyDescent="0.25">
      <c r="A42" s="4" t="s">
        <v>269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270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271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254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207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267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273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274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275</v>
      </c>
      <c r="B10" s="13"/>
      <c r="C10" s="13"/>
      <c r="D10" s="13"/>
      <c r="E10" s="13"/>
      <c r="F10" s="13"/>
    </row>
    <row r="11" spans="1:6" x14ac:dyDescent="0.25">
      <c r="A11" s="3" t="s">
        <v>276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277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278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232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279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281</v>
      </c>
      <c r="C2" s="15" t="s">
        <v>282</v>
      </c>
      <c r="D2" s="15" t="s">
        <v>283</v>
      </c>
      <c r="E2" s="15" t="s">
        <v>284</v>
      </c>
      <c r="F2" s="15" t="s">
        <v>285</v>
      </c>
      <c r="G2" s="15" t="s">
        <v>286</v>
      </c>
      <c r="H2" s="15" t="s">
        <v>287</v>
      </c>
      <c r="I2" s="15" t="s">
        <v>288</v>
      </c>
      <c r="J2" s="15" t="s">
        <v>289</v>
      </c>
      <c r="K2" s="15" t="s">
        <v>290</v>
      </c>
      <c r="L2" s="15" t="s">
        <v>291</v>
      </c>
      <c r="M2" s="15" t="s">
        <v>292</v>
      </c>
      <c r="N2" s="15" t="s">
        <v>293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254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294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295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296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297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298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274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299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300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301</v>
      </c>
      <c r="B16" s="13"/>
      <c r="C16" s="13"/>
    </row>
    <row r="17" spans="1:2" x14ac:dyDescent="0.25">
      <c r="A17" s="4" t="s">
        <v>168</v>
      </c>
      <c r="B17" s="26">
        <v>75000</v>
      </c>
    </row>
    <row r="18" spans="1:2" x14ac:dyDescent="0.25">
      <c r="A18" s="4" t="s">
        <v>302</v>
      </c>
      <c r="B18" s="33">
        <v>864756</v>
      </c>
    </row>
    <row r="19" spans="1:2" x14ac:dyDescent="0.25">
      <c r="A19" s="4" t="s">
        <v>303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254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294</v>
      </c>
      <c r="B7" s="13"/>
      <c r="C7" s="13"/>
      <c r="D7" s="13"/>
      <c r="E7" s="13"/>
      <c r="F7" s="13"/>
    </row>
    <row r="8" spans="1:6" x14ac:dyDescent="0.25">
      <c r="A8" s="3" t="s">
        <v>295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296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305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274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6" x14ac:dyDescent="0.25">
      <c r="A14" s="34" t="s">
        <v>276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277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307</v>
      </c>
      <c r="B4" s="13"/>
      <c r="C4" s="13"/>
      <c r="D4" s="13"/>
      <c r="E4" s="13"/>
      <c r="F4" s="13"/>
    </row>
    <row r="5" spans="1:5" x14ac:dyDescent="0.25">
      <c r="A5" s="35" t="s">
        <v>308</v>
      </c>
      <c r="B5" s="36" t="s">
        <v>156</v>
      </c>
      <c r="C5" s="37" t="s">
        <v>309</v>
      </c>
      <c r="D5" s="35" t="s">
        <v>310</v>
      </c>
      <c r="E5" s="36" t="s">
        <v>226</v>
      </c>
    </row>
    <row r="6" spans="1:5" x14ac:dyDescent="0.25">
      <c r="A6" s="14" t="s">
        <v>158</v>
      </c>
      <c r="B6" s="17">
        <v>250000</v>
      </c>
      <c r="C6" s="18">
        <v>0.065</v>
      </c>
      <c r="D6" s="14">
        <v>10</v>
      </c>
      <c r="E6" s="26">
        <f>IF(OR(B6=0,D6=0),0,IF(C6=0,B6/D6,-PMT(C6/12,D6*12,B6)*12))</f>
        <v>34064</v>
      </c>
    </row>
    <row r="8" ht="24" customHeight="1" spans="1:6" x14ac:dyDescent="0.25">
      <c r="A8" s="13" t="s">
        <v>311</v>
      </c>
      <c r="B8" s="13"/>
      <c r="C8" s="13"/>
      <c r="D8" s="13"/>
      <c r="E8" s="13"/>
      <c r="F8" s="13"/>
    </row>
    <row r="9" spans="1:6" x14ac:dyDescent="0.25">
      <c r="A9" s="4" t="s">
        <v>312</v>
      </c>
      <c r="B9" s="26">
        <f>B6</f>
        <v>250000</v>
      </c>
      <c r="C9" s="26">
        <f>B13</f>
        <v>231645</v>
      </c>
      <c r="D9" s="26">
        <f>C13</f>
        <v>212061</v>
      </c>
      <c r="E9" s="26">
        <f>D13</f>
        <v>191165</v>
      </c>
      <c r="F9" s="26">
        <f>E13</f>
        <v>168870</v>
      </c>
    </row>
    <row r="10" spans="1:6" x14ac:dyDescent="0.25">
      <c r="A10" s="4" t="s">
        <v>313</v>
      </c>
      <c r="B10" s="26">
        <f>IF(OR(D6=0,1&gt;D6*12),0,IF(C6=0,0,-CUMIPMT(C6/12,D6*12,B6,1,12,0)))</f>
        <v>15710</v>
      </c>
      <c r="C10" s="26">
        <f>IF(OR(D6=0,13&gt;D6*12),0,IF(C6=0,0,-CUMIPMT(C6/12,D6*12,B6,13,24,0)))</f>
        <v>14480</v>
      </c>
      <c r="D10" s="26">
        <f>IF(OR(D6=0,25&gt;D6*12),0,IF(C6=0,0,-CUMIPMT(C6/12,D6*12,B6,25,36,0)))</f>
        <v>13169</v>
      </c>
      <c r="E10" s="26">
        <f>IF(OR(D6=0,37&gt;D6*12),0,IF(C6=0,0,-CUMIPMT(C6/12,D6*12,B6,37,48,0)))</f>
        <v>11769</v>
      </c>
      <c r="F10" s="26">
        <f>IF(OR(D6=0,49&gt;D6*12),0,IF(C6=0,0,-CUMIPMT(C6/12,D6*12,B6,49,60,0)))</f>
        <v>10276</v>
      </c>
    </row>
    <row r="11" spans="1:6" x14ac:dyDescent="0.25">
      <c r="A11" s="4" t="s">
        <v>314</v>
      </c>
      <c r="B11" s="26">
        <f>IF(OR(D6=0,1&gt;D6*12),0,IF(C6=0,B6/D6,-CUMPRINC(C6/12,D6*12,B6,1,12,0)))</f>
        <v>18355</v>
      </c>
      <c r="C11" s="26">
        <f>IF(OR(D6=0,13&gt;D6*12),0,IF(C6=0,B6/D6,-CUMPRINC(C6/12,D6*12,B6,13,24,0)))</f>
        <v>19584</v>
      </c>
      <c r="D11" s="26">
        <f>IF(OR(D6=0,25&gt;D6*12),0,IF(C6=0,B6/D6,-CUMPRINC(C6/12,D6*12,B6,25,36,0)))</f>
        <v>20896</v>
      </c>
      <c r="E11" s="26">
        <f>IF(OR(D6=0,37&gt;D6*12),0,IF(C6=0,B6/D6,-CUMPRINC(C6/12,D6*12,B6,37,48,0)))</f>
        <v>22295</v>
      </c>
      <c r="F11" s="26">
        <f>IF(OR(D6=0,49&gt;D6*12),0,IF(C6=0,B6/D6,-CUMPRINC(C6/12,D6*12,B6,49,60,0)))</f>
        <v>23788</v>
      </c>
    </row>
    <row r="12" spans="1:6" x14ac:dyDescent="0.25">
      <c r="A12" s="3" t="s">
        <v>315</v>
      </c>
      <c r="B12" s="29">
        <f>B10+B11</f>
        <v>34064</v>
      </c>
      <c r="C12" s="29">
        <f>C10+C11</f>
        <v>34064</v>
      </c>
      <c r="D12" s="29">
        <f>D10+D11</f>
        <v>34064</v>
      </c>
      <c r="E12" s="29">
        <f>E10+E11</f>
        <v>34064</v>
      </c>
      <c r="F12" s="29">
        <f>F10+F11</f>
        <v>34064</v>
      </c>
    </row>
    <row r="13" spans="1:6" x14ac:dyDescent="0.25">
      <c r="A13" s="3" t="s">
        <v>316</v>
      </c>
      <c r="B13" s="33">
        <f>MAX(0,B9-B11)</f>
        <v>231645</v>
      </c>
      <c r="C13" s="33">
        <f>MAX(0,C9-C11)</f>
        <v>212061</v>
      </c>
      <c r="D13" s="33">
        <f>MAX(0,D9-D11)</f>
        <v>191165</v>
      </c>
      <c r="E13" s="33">
        <f>MAX(0,E9-E11)</f>
        <v>168870</v>
      </c>
      <c r="F13" s="33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8">
        <v>864756</v>
      </c>
      <c r="C5" s="38">
        <v>2251184</v>
      </c>
      <c r="D5" s="38">
        <v>4253414</v>
      </c>
      <c r="E5" s="38">
        <v>6813759</v>
      </c>
      <c r="F5" s="38">
        <v>9755974</v>
      </c>
    </row>
    <row r="6" spans="1:6" x14ac:dyDescent="0.25">
      <c r="A6" s="4" t="s">
        <v>320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321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322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323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326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327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330</v>
      </c>
      <c r="B19" s="39">
        <v>0</v>
      </c>
      <c r="C19" s="39">
        <v>0</v>
      </c>
      <c r="D19" s="40">
        <v>1</v>
      </c>
      <c r="E19" s="40">
        <v>1</v>
      </c>
      <c r="F19" s="3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295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296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334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297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335</v>
      </c>
      <c r="B10" s="41">
        <f>IF(B9=0,"N/A",B8/B9)</f>
        <v>24.92</v>
      </c>
      <c r="C10" s="41">
        <f>IF(C9=0,"N/A",C8/C9)</f>
        <v>41.99</v>
      </c>
      <c r="D10" s="41">
        <f>IF(D9=0,"N/A",D8/D9)</f>
        <v>60.07</v>
      </c>
      <c r="E10" s="41">
        <f>IF(E9=0,"N/A",E8/E9)</f>
        <v>76.31</v>
      </c>
      <c r="F10" s="41">
        <f>IF(F9=0,"N/A",F8/F9)</f>
        <v>87.52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338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339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191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232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341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342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343</v>
      </c>
      <c r="B22" s="42">
        <v>53</v>
      </c>
      <c r="C22" s="42">
        <v>52</v>
      </c>
      <c r="D22" s="42">
        <v>51</v>
      </c>
      <c r="E22" s="42">
        <v>51</v>
      </c>
      <c r="F22" s="42">
        <v>51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3" t="s">
        <v>346</v>
      </c>
      <c r="C25" s="43" t="s">
        <v>346</v>
      </c>
      <c r="D25" s="43" t="s">
        <v>346</v>
      </c>
      <c r="E25" s="43" t="s">
        <v>346</v>
      </c>
      <c r="F25" s="43" t="s">
        <v>346</v>
      </c>
    </row>
    <row r="26" spans="1:6" x14ac:dyDescent="0.25">
      <c r="A26" s="4" t="s">
        <v>347</v>
      </c>
      <c r="B26" s="43" t="s">
        <v>346</v>
      </c>
      <c r="C26" s="43" t="s">
        <v>346</v>
      </c>
      <c r="D26" s="43" t="s">
        <v>346</v>
      </c>
      <c r="E26" s="43" t="s">
        <v>346</v>
      </c>
      <c r="F26" s="43" t="s">
        <v>346</v>
      </c>
    </row>
    <row r="27" spans="1:6" x14ac:dyDescent="0.25">
      <c r="A27" s="4" t="s">
        <v>348</v>
      </c>
      <c r="B27" s="44" t="s">
        <v>349</v>
      </c>
      <c r="C27" s="44" t="s">
        <v>349</v>
      </c>
      <c r="D27" s="44" t="s">
        <v>349</v>
      </c>
      <c r="E27" s="44" t="s">
        <v>349</v>
      </c>
      <c r="F27" s="44" t="s">
        <v>349</v>
      </c>
    </row>
    <row r="28" spans="1:6" x14ac:dyDescent="0.25">
      <c r="A28" s="4" t="s">
        <v>350</v>
      </c>
      <c r="B28" s="43" t="s">
        <v>346</v>
      </c>
      <c r="C28" s="43" t="s">
        <v>346</v>
      </c>
      <c r="D28" s="43" t="s">
        <v>346</v>
      </c>
      <c r="E28" s="43" t="s">
        <v>346</v>
      </c>
      <c r="F28" s="43" t="s">
        <v>346</v>
      </c>
    </row>
    <row r="29" spans="1:6" x14ac:dyDescent="0.25">
      <c r="A29" s="4" t="s">
        <v>351</v>
      </c>
      <c r="B29" s="43" t="s">
        <v>346</v>
      </c>
      <c r="C29" s="43" t="s">
        <v>346</v>
      </c>
      <c r="D29" s="43" t="s">
        <v>346</v>
      </c>
      <c r="E29" s="43" t="s">
        <v>346</v>
      </c>
      <c r="F29" s="43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352</v>
      </c>
      <c r="B3" s="45" t="s">
        <v>106</v>
      </c>
      <c r="D3" s="45" t="s">
        <v>353</v>
      </c>
      <c r="E3" s="45" t="s">
        <v>106</v>
      </c>
    </row>
    <row r="4" spans="1:5" x14ac:dyDescent="0.25">
      <c r="A4" s="4" t="s">
        <v>158</v>
      </c>
      <c r="B4" s="26">
        <v>250000</v>
      </c>
      <c r="D4" s="4" t="s">
        <v>354</v>
      </c>
      <c r="E4" s="26">
        <v>200000</v>
      </c>
    </row>
    <row r="5" spans="1:5" x14ac:dyDescent="0.25">
      <c r="A5" s="4" t="s">
        <v>116</v>
      </c>
      <c r="B5" s="26">
        <v>50000</v>
      </c>
      <c r="D5" s="4" t="s">
        <v>160</v>
      </c>
      <c r="E5" s="26">
        <v>50000</v>
      </c>
    </row>
    <row r="6" spans="1:5" x14ac:dyDescent="0.25">
      <c r="A6" s="4" t="s">
        <v>355</v>
      </c>
      <c r="B6" s="26">
        <v>75000</v>
      </c>
      <c r="D6" s="4" t="s">
        <v>356</v>
      </c>
      <c r="E6" s="26">
        <v>75000</v>
      </c>
    </row>
    <row r="7" spans="4:5" x14ac:dyDescent="0.25">
      <c r="D7" s="4" t="s">
        <v>357</v>
      </c>
      <c r="E7" s="26">
        <v>50000</v>
      </c>
    </row>
    <row r="9" spans="1:5" x14ac:dyDescent="0.25">
      <c r="A9" s="3" t="s">
        <v>358</v>
      </c>
      <c r="B9" s="27">
        <v>375000</v>
      </c>
      <c r="D9" s="3" t="s">
        <v>359</v>
      </c>
      <c r="E9" s="27">
        <v>375000</v>
      </c>
    </row>
    <row r="10" spans="1:2" x14ac:dyDescent="0.25">
      <c r="A10" s="3" t="s">
        <v>360</v>
      </c>
      <c r="B10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333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274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276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277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335</v>
      </c>
      <c r="B10" s="46">
        <v>24.92</v>
      </c>
      <c r="C10" s="46">
        <v>41.99</v>
      </c>
      <c r="D10" s="46">
        <v>60.07</v>
      </c>
      <c r="E10" s="46">
        <v>76.31</v>
      </c>
      <c r="F10" s="46">
        <v>87.52</v>
      </c>
    </row>
    <row r="11" spans="1:6" x14ac:dyDescent="0.25">
      <c r="A11" s="4" t="s">
        <v>343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333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274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276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277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335</v>
      </c>
      <c r="B20" s="46">
        <v>16.22</v>
      </c>
      <c r="C20" s="46">
        <v>30.45</v>
      </c>
      <c r="D20" s="46">
        <v>45.52</v>
      </c>
      <c r="E20" s="46">
        <v>59.03</v>
      </c>
      <c r="F20" s="46">
        <v>68.31</v>
      </c>
    </row>
    <row r="21" spans="1:6" x14ac:dyDescent="0.25">
      <c r="A21" s="4" t="s">
        <v>343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333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274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276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277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335</v>
      </c>
      <c r="B30" s="46">
        <v>24.52</v>
      </c>
      <c r="C30" s="46">
        <v>41.49</v>
      </c>
      <c r="D30" s="46">
        <v>59.46</v>
      </c>
      <c r="E30" s="46">
        <v>75.6</v>
      </c>
      <c r="F30" s="46">
        <v>86.74</v>
      </c>
    </row>
    <row r="31" spans="1:6" x14ac:dyDescent="0.25">
      <c r="A31" s="4" t="s">
        <v>343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124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333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274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276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372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373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375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335</v>
      </c>
      <c r="D22" s="46">
        <v>24.92</v>
      </c>
      <c r="E22" s="46">
        <v>41.99</v>
      </c>
      <c r="F22" s="46">
        <v>60.07</v>
      </c>
      <c r="G22" s="46">
        <v>76.31</v>
      </c>
      <c r="H22" s="46">
        <v>87.52</v>
      </c>
    </row>
    <row r="23" spans="1:8" x14ac:dyDescent="0.25">
      <c r="A23" s="4" t="s">
        <v>191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376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