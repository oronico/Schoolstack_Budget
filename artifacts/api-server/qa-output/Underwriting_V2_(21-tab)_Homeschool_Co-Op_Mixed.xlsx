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<sst xmlns="http://schemas.openxmlformats.org/spreadsheetml/2006/main" count="716" uniqueCount="390">
  <si>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</si>
  <si>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</si>
  <si>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</si>
  <si>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</si>
  <si>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</si>
  <si>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</si>
  <si>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</si>
  <si>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</si>
  <si>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</si>
  <si>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</si>
  <si>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</si>
  <si>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</si>
  <si>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</si>
  <si>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</si>
  <si>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</si>
  <si>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</si>
  <si>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</si>
  <si>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</si>
  <si>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</si>
  <si>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</si>
  <si>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</si>
  <si>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</si>
  <si>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</si>
  <si>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</si>
  <si>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</si>
  <si>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</si>
  <si>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</si>
  <si>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</si>
  <si>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</si>
  <si>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</si>
  <si>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</si>
  <si>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</si>
  <si>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</si>
  <si>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</si>
  <si>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</si>
  <si>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</si>
  <si>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</si>
  <si>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</si>
  <si>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</si>
  <si>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</si>
  <si>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</si>
  <si>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</si>
  <si>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</si>
  <si>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</si>
  <si>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</si>
  <si>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</si>
  <si>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</si>
  <si>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</si>
  <si>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</si>
  <si>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</si>
  <si>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</si>
  <si>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</si>
  <si>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</si>
  <si>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</si>
  <si>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</si>
  <si>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</si>
  <si>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</si>
  <si>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</si>
  <si>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</si>
  <si>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</si>
  <si>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</si>
  <si>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</si>
  <si>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</si>
  <si>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</si>
  <si>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</si>
  <si>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</si>
  <si>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</si>
  <si>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</si>
  <si>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</si>
  <si>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</si>
  <si>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</si>
  <si>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</si>
  <si>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</si>
  <si>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</si>
  <si>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</si>
  <si>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</si>
  <si>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</si>
  <si>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</si>
  <si>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</si>
  <si>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</si>
  <si>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</si>
  <si>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</si>
  <si>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</si>
  <si>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</si>
  <si>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</si>
  <si>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</si>
  <si>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</si>
  <si>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</si>
  <si>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</si>
  <si>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</si>
  <si>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</si>
  <si>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</si>
  <si>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</si>
  <si>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</si>
  <si>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</si>
  <si>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</si>
  <si>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</si>
  <si>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</si>
  <si>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</si>
  <si>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</si>
  <si>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</si>
  <si>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</si>
  <si>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</si>
  <si>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</si>
  <si>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</si>
  <si>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</si>
  <si>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</si>
  <si>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</si>
  <si>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</si>
  <si>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</si>
  <si>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</si>
  <si>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</si>
  <si>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</si>
  <si>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</si>
  <si>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</si>
  <si>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</si>
  <si>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</si>
  <si>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</si>
  <si>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</si>
  <si>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</si>
  <si>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</si>
  <si>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</si>
  <si>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</si>
  <si>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</si>
  <si>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</si>
  <si>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</si>
  <si>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</si>
  <si>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</si>
  <si>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</si>
  <si>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</si>
  <si>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</si>
  <si>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</si>
  <si>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</si>
  <si>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</si>
  <si>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</si>
  <si>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</si>
  <si>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</si>
  <si>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</si>
  <si>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</si>
  <si>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</si>
  <si>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</si>
  <si>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</si>
  <si>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</si>
  <si>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</si>
  <si>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</si>
  <si>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</si>
  <si>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</si>
  <si>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</si>
  <si>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</si>
  <si>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</si>
  <si>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</si>
  <si>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</si>
  <si>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</si>
  <si>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</si>
  <si>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</si>
  <si>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</si>
  <si>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</si>
  <si>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</si>
  <si>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</si>
  <si>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</si>
  <si>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</si>
  <si>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</si>
  <si>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</si>
  <si>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</si>
  <si>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</si>
  <si>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</si>
  <si>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</si>
  <si>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</si>
  <si>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</si>
  <si>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</si>
  <si>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</si>
  <si>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</si>
  <si>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</si>
  <si>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</si>
  <si>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</si>
  <si>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</si>
  <si>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</si>
  <si>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</si>
  <si>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</si>
  <si>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</si>
  <si>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</si>
  <si>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</si>
  <si>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</si>
  <si>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</si>
  <si>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</si>
  <si>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</si>
  <si>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</si>
  <si>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</si>
  <si>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</si>
  <si>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</si>
  <si>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</si>
  <si>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</si>
  <si>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</si>
  <si>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</si>
  <si>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</si>
  <si>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</si>
  <si>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</si>
  <si>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</si>
  <si>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</si>
  <si>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</si>
  <si>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</si>
  <si>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</si>
  <si>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</si>
  <si>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</si>
  <si>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</si>
  <si>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</si>
  <si>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</si>
  <si>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</si>
  <si>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</si>
  <si>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</si>
  <si>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</si>
  <si>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</si>
  <si>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</si>
  <si>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</si>
  <si>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</si>
  <si>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</si>
  <si>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</si>
  <si>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</si>
  <si>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</t>
  </si>
  <si>
    <t>Total Instructional</t>
  </si>
  <si>
    <t xml:space="preserve">  Director / Lead Educator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</si>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</sst>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4" fontId="6" fillId="3" borderId="1" xfId="0" applyNumberFormat="1" applyFont="1" applyFill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30">
        <f>Assumptions!B51</f>
        <v>3</v>
      </c>
      <c r="C14" s="30">
        <f>Assumptions!C51</f>
        <v>4</v>
      </c>
      <c r="D14" s="30">
        <f>Assumptions!D51</f>
        <v>5</v>
      </c>
      <c r="E14" s="30">
        <f>Assumptions!E51</f>
        <v>6</v>
      </c>
      <c r="F14" s="30">
        <f>Assumptions!F51</f>
        <v>6</v>
      </c>
    </row>
    <row r="15" spans="1:6" x14ac:dyDescent="0.25">
      <c r="A15" s="11" t="s">
        <v>161</v>
      </c>
      <c r="B15" s="30">
        <f>Assumptions!B52</f>
        <v>2</v>
      </c>
      <c r="C15" s="30">
        <f>Assumptions!C52</f>
        <v>3</v>
      </c>
      <c r="D15" s="30">
        <f>Assumptions!D52</f>
        <v>4</v>
      </c>
      <c r="E15" s="30">
        <f>Assumptions!E52</f>
        <v>5</v>
      </c>
      <c r="F15" s="30">
        <f>Assumptions!F52</f>
        <v>5</v>
      </c>
    </row>
    <row r="16" spans="1:6" x14ac:dyDescent="0.25">
      <c r="A16" s="11" t="s">
        <v>162</v>
      </c>
      <c r="B16" s="30">
        <f>Assumptions!B53</f>
        <v>5</v>
      </c>
      <c r="C16" s="30">
        <f>Assumptions!C53</f>
        <v>7</v>
      </c>
      <c r="D16" s="30">
        <f>Assumptions!D53</f>
        <v>9</v>
      </c>
      <c r="E16" s="30">
        <f>Assumptions!E53</f>
        <v>10</v>
      </c>
      <c r="F16" s="30">
        <f>Assumptions!F53</f>
        <v>12</v>
      </c>
    </row>
    <row r="17" spans="1:6" x14ac:dyDescent="0.25">
      <c r="A17" s="10" t="s">
        <v>183</v>
      </c>
      <c r="B17" s="27">
        <f>B14+B15+B16</f>
        <v>10</v>
      </c>
      <c r="C17" s="27">
        <f>C14+C15+C16</f>
        <v>14</v>
      </c>
      <c r="D17" s="27">
        <f>D14+D15+D16</f>
        <v>18</v>
      </c>
      <c r="E17" s="27">
        <f>E14+E15+E16</f>
        <v>21</v>
      </c>
      <c r="F17" s="27">
        <f>F14+F15+F16</f>
        <v>23</v>
      </c>
    </row>
    <row r="18" spans="1:6" x14ac:dyDescent="0.25">
      <c r="A18" s="11" t="s">
        <v>184</v>
      </c>
      <c r="B18" s="28">
        <f>IF(B6=0,0,B17/B6)</f>
        <v>0.66666667</v>
      </c>
      <c r="C18" s="28">
        <f>IF(C6=0,0,C17/C6)</f>
        <v>0.63636364</v>
      </c>
      <c r="D18" s="28">
        <f>IF(D6=0,0,D17/D6)</f>
        <v>0.6</v>
      </c>
      <c r="E18" s="28">
        <f>IF(E6=0,0,E17/E6)</f>
        <v>0.58333333</v>
      </c>
      <c r="F18" s="28">
        <f>IF(F6=0,0,F17/F6)</f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90000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117</v>
      </c>
      <c r="B6" s="31">
        <v>3000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0" t="s">
        <v>187</v>
      </c>
      <c r="B7" s="32">
        <f>SUM(B5,B6)</f>
        <v>93000</v>
      </c>
      <c r="C7" s="32">
        <f>SUM(C5,C6)</f>
        <v>140492</v>
      </c>
      <c r="D7" s="32">
        <f>SUM(D5,D6)</f>
        <v>197327</v>
      </c>
      <c r="E7" s="32">
        <f>SUM(E5,E6)</f>
        <v>243897</v>
      </c>
      <c r="F7" s="32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0" t="s">
        <v>189</v>
      </c>
      <c r="B10" s="32">
        <f>SUM(B9)</f>
        <v>105000</v>
      </c>
      <c r="C10" s="32">
        <f>SUM(C9)</f>
        <v>158620</v>
      </c>
      <c r="D10" s="32">
        <f>SUM(D9)</f>
        <v>222789</v>
      </c>
      <c r="E10" s="32">
        <f>SUM(E9)</f>
        <v>275367</v>
      </c>
      <c r="F10" s="32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1">
        <v>3090</v>
      </c>
      <c r="D12" s="31">
        <v>3183</v>
      </c>
      <c r="E12" s="31">
        <v>3278</v>
      </c>
      <c r="F12" s="31">
        <v>3377</v>
      </c>
    </row>
    <row r="13" spans="1:6" x14ac:dyDescent="0.25">
      <c r="A13" s="10" t="s">
        <v>191</v>
      </c>
      <c r="B13" s="32">
        <f>SUM(B12)</f>
        <v>3000</v>
      </c>
      <c r="C13" s="32">
        <f>SUM(C12)</f>
        <v>3090</v>
      </c>
      <c r="D13" s="32">
        <f>SUM(D12)</f>
        <v>3183</v>
      </c>
      <c r="E13" s="32">
        <f>SUM(E12)</f>
        <v>3278</v>
      </c>
      <c r="F13" s="32">
        <f>SUM(F12)</f>
        <v>3377</v>
      </c>
    </row>
    <row r="15" ht="24" customHeight="1" spans="1:6" x14ac:dyDescent="0.25">
      <c r="A15" s="19" t="s">
        <v>192</v>
      </c>
      <c r="B15" s="33">
        <f>SUM(B7,B10,B13)</f>
        <v>201000</v>
      </c>
      <c r="C15" s="33">
        <f>SUM(C7,C10,C13)</f>
        <v>302202</v>
      </c>
      <c r="D15" s="33">
        <f>SUM(D7,D10,D13)</f>
        <v>423299</v>
      </c>
      <c r="E15" s="33">
        <f>SUM(E7,E10,E13)</f>
        <v>522542</v>
      </c>
      <c r="F15" s="33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4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4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3">
        <v>64516</v>
      </c>
      <c r="C9" s="33">
        <v>79742</v>
      </c>
      <c r="D9" s="33">
        <v>82134</v>
      </c>
      <c r="E9" s="33">
        <v>84598</v>
      </c>
      <c r="F9" s="33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5">
        <v>10</v>
      </c>
      <c r="C11" s="35">
        <v>14.7</v>
      </c>
      <c r="D11" s="35">
        <v>20</v>
      </c>
      <c r="E11" s="35">
        <v>24</v>
      </c>
      <c r="F11" s="35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1">
        <v>6000</v>
      </c>
      <c r="C5" s="31">
        <v>9064</v>
      </c>
      <c r="D5" s="31">
        <v>12731</v>
      </c>
      <c r="E5" s="31">
        <v>15735</v>
      </c>
      <c r="F5" s="31">
        <v>18008</v>
      </c>
    </row>
    <row r="6" spans="1:6" x14ac:dyDescent="0.25">
      <c r="A6" s="10" t="s">
        <v>201</v>
      </c>
      <c r="B6" s="32">
        <f>SUM(B5:B5)</f>
        <v>6000</v>
      </c>
      <c r="C6" s="32">
        <f>SUM(C5:C5)</f>
        <v>9064</v>
      </c>
      <c r="D6" s="32">
        <f>SUM(D5:D5)</f>
        <v>12731</v>
      </c>
      <c r="E6" s="32">
        <f>SUM(E5:E5)</f>
        <v>15735</v>
      </c>
      <c r="F6" s="32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1">
        <v>3750</v>
      </c>
      <c r="C8" s="31">
        <v>5665</v>
      </c>
      <c r="D8" s="31">
        <v>7957</v>
      </c>
      <c r="E8" s="31">
        <v>9835</v>
      </c>
      <c r="F8" s="31">
        <v>11255</v>
      </c>
    </row>
    <row r="9" spans="1:6" x14ac:dyDescent="0.25">
      <c r="A9" s="10" t="s">
        <v>203</v>
      </c>
      <c r="B9" s="32">
        <f>SUM(B8:B8)</f>
        <v>3750</v>
      </c>
      <c r="C9" s="32">
        <f>SUM(C8:C8)</f>
        <v>5665</v>
      </c>
      <c r="D9" s="32">
        <f>SUM(D8:D8)</f>
        <v>7957</v>
      </c>
      <c r="E9" s="32">
        <f>SUM(E8:E8)</f>
        <v>9835</v>
      </c>
      <c r="F9" s="32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1">
        <v>21600</v>
      </c>
      <c r="C11" s="31">
        <v>22248</v>
      </c>
      <c r="D11" s="31">
        <v>22915</v>
      </c>
      <c r="E11" s="31">
        <v>23603</v>
      </c>
      <c r="F11" s="31">
        <v>24311</v>
      </c>
    </row>
    <row r="12" spans="1:6" x14ac:dyDescent="0.25">
      <c r="A12" s="11" t="s">
        <v>205</v>
      </c>
      <c r="B12" s="31">
        <v>2400</v>
      </c>
      <c r="C12" s="31">
        <v>2472</v>
      </c>
      <c r="D12" s="31">
        <v>2546</v>
      </c>
      <c r="E12" s="31">
        <v>2623</v>
      </c>
      <c r="F12" s="31">
        <v>2701</v>
      </c>
    </row>
    <row r="13" spans="1:6" x14ac:dyDescent="0.25">
      <c r="A13" s="11" t="s">
        <v>206</v>
      </c>
      <c r="B13" s="31">
        <v>1800</v>
      </c>
      <c r="C13" s="31">
        <v>1854</v>
      </c>
      <c r="D13" s="31">
        <v>1910</v>
      </c>
      <c r="E13" s="31">
        <v>1967</v>
      </c>
      <c r="F13" s="31">
        <v>2026</v>
      </c>
    </row>
    <row r="14" spans="1:6" x14ac:dyDescent="0.25">
      <c r="A14" s="10" t="s">
        <v>207</v>
      </c>
      <c r="B14" s="32">
        <f>SUM(B11:B13)</f>
        <v>25800</v>
      </c>
      <c r="C14" s="32">
        <f>SUM(C11:C13)</f>
        <v>26574</v>
      </c>
      <c r="D14" s="32">
        <f>SUM(D11:D13)</f>
        <v>27371</v>
      </c>
      <c r="E14" s="32">
        <f>SUM(E11:E13)</f>
        <v>28192</v>
      </c>
      <c r="F14" s="32">
        <f>SUM(F11:F13)</f>
        <v>29038</v>
      </c>
    </row>
    <row r="16" ht="24" customHeight="1" spans="1:6" x14ac:dyDescent="0.25">
      <c r="A16" s="19" t="s">
        <v>208</v>
      </c>
      <c r="B16" s="33">
        <f>B6+B9+B14</f>
        <v>35550</v>
      </c>
      <c r="C16" s="33">
        <f>C6+C9+C14</f>
        <v>41303</v>
      </c>
      <c r="D16" s="33">
        <f>D6+D9+D14</f>
        <v>48059</v>
      </c>
      <c r="E16" s="33">
        <f>E6+E9+E14</f>
        <v>53762</v>
      </c>
      <c r="F16" s="33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3">
        <v>0</v>
      </c>
    </row>
    <row r="6" spans="1:6" x14ac:dyDescent="0.25">
      <c r="A6" s="10" t="s">
        <v>212</v>
      </c>
      <c r="F6" s="32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15</v>
      </c>
      <c r="C4" s="36">
        <v>22</v>
      </c>
      <c r="D4" s="36">
        <v>30</v>
      </c>
      <c r="E4" s="36">
        <v>36</v>
      </c>
      <c r="F4" s="36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90000</v>
      </c>
      <c r="C7" s="31">
        <v>135960</v>
      </c>
      <c r="D7" s="31">
        <v>190962</v>
      </c>
      <c r="E7" s="31">
        <v>236029</v>
      </c>
      <c r="F7" s="31">
        <v>270122</v>
      </c>
    </row>
    <row r="8" spans="1:6" x14ac:dyDescent="0.25">
      <c r="A8" s="11" t="s">
        <v>117</v>
      </c>
      <c r="B8" s="31">
        <v>3000</v>
      </c>
      <c r="C8" s="31">
        <v>4532</v>
      </c>
      <c r="D8" s="31">
        <v>6365</v>
      </c>
      <c r="E8" s="31">
        <v>7868</v>
      </c>
      <c r="F8" s="31">
        <v>9004</v>
      </c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1" t="s">
        <v>120</v>
      </c>
      <c r="B10" s="31">
        <v>3000</v>
      </c>
      <c r="C10" s="31">
        <v>3090</v>
      </c>
      <c r="D10" s="31">
        <v>3183</v>
      </c>
      <c r="E10" s="31">
        <v>3278</v>
      </c>
      <c r="F10" s="31">
        <v>3377</v>
      </c>
    </row>
    <row r="11" ht="24" customHeight="1" spans="1:6" x14ac:dyDescent="0.25">
      <c r="A11" s="19" t="s">
        <v>215</v>
      </c>
      <c r="B11" s="33">
        <f>SUM(B7:B10)</f>
        <v>201000</v>
      </c>
      <c r="C11" s="33">
        <f>SUM(C7:C10)</f>
        <v>302202</v>
      </c>
      <c r="D11" s="33">
        <f>SUM(D7:D10)</f>
        <v>423299</v>
      </c>
      <c r="E11" s="33">
        <f>SUM(E7:E10)</f>
        <v>522542</v>
      </c>
      <c r="F11" s="33">
        <f>SUM(F7:F10)</f>
        <v>597645</v>
      </c>
    </row>
    <row r="13" spans="1:6" x14ac:dyDescent="0.25">
      <c r="A13" s="11" t="s">
        <v>216</v>
      </c>
      <c r="B13" s="31">
        <v>13400</v>
      </c>
      <c r="C13" s="31">
        <v>13736</v>
      </c>
      <c r="D13" s="31">
        <v>14110</v>
      </c>
      <c r="E13" s="31">
        <v>14515</v>
      </c>
      <c r="F13" s="31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1">
        <v>13456</v>
      </c>
      <c r="C5" s="31">
        <v>16632</v>
      </c>
      <c r="D5" s="31">
        <v>17131</v>
      </c>
      <c r="E5" s="31">
        <v>17645</v>
      </c>
      <c r="F5" s="31">
        <v>18174</v>
      </c>
    </row>
    <row r="6" spans="1:6" x14ac:dyDescent="0.25">
      <c r="A6" s="10" t="s">
        <v>219</v>
      </c>
      <c r="B6" s="32">
        <f>SUM(B5:B5)</f>
        <v>13456</v>
      </c>
      <c r="C6" s="32">
        <f>SUM(C5:C5)</f>
        <v>16632</v>
      </c>
      <c r="D6" s="32">
        <f>SUM(D5:D5)</f>
        <v>17131</v>
      </c>
      <c r="E6" s="32">
        <f>SUM(E5:E5)</f>
        <v>17645</v>
      </c>
      <c r="F6" s="32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1">
        <v>51060</v>
      </c>
      <c r="C8" s="31">
        <v>63110</v>
      </c>
      <c r="D8" s="31">
        <v>65003</v>
      </c>
      <c r="E8" s="31">
        <v>66954</v>
      </c>
      <c r="F8" s="31">
        <v>68962</v>
      </c>
    </row>
    <row r="9" spans="1:6" x14ac:dyDescent="0.25">
      <c r="A9" s="10" t="s">
        <v>221</v>
      </c>
      <c r="B9" s="32">
        <f>SUM(B8:B8)</f>
        <v>51060</v>
      </c>
      <c r="C9" s="32">
        <f>SUM(C8:C8)</f>
        <v>63110</v>
      </c>
      <c r="D9" s="32">
        <f>SUM(D8:D8)</f>
        <v>65003</v>
      </c>
      <c r="E9" s="32">
        <f>SUM(E8:E8)</f>
        <v>66954</v>
      </c>
      <c r="F9" s="32">
        <f>SUM(F8:F8)</f>
        <v>68962</v>
      </c>
    </row>
    <row r="11" ht="24" customHeight="1" spans="1:6" x14ac:dyDescent="0.25">
      <c r="A11" s="19" t="s">
        <v>222</v>
      </c>
      <c r="B11" s="33">
        <f>B6+B9</f>
        <v>64516</v>
      </c>
      <c r="C11" s="33">
        <f>C6+C9</f>
        <v>79742</v>
      </c>
      <c r="D11" s="33">
        <f>D6+D9</f>
        <v>82134</v>
      </c>
      <c r="E11" s="33">
        <f>E6+E9</f>
        <v>84598</v>
      </c>
      <c r="F11" s="33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1">
        <v>75000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226</v>
      </c>
      <c r="B6" s="31">
        <v>2500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1" t="s">
        <v>227</v>
      </c>
      <c r="B7" s="31">
        <v>87500</v>
      </c>
      <c r="C7" s="31">
        <v>158620</v>
      </c>
      <c r="D7" s="31">
        <v>222789</v>
      </c>
      <c r="E7" s="31">
        <v>275367</v>
      </c>
      <c r="F7" s="31">
        <v>315142</v>
      </c>
    </row>
    <row r="8" spans="1:6" x14ac:dyDescent="0.25">
      <c r="A8" s="11" t="s">
        <v>228</v>
      </c>
      <c r="B8" s="31">
        <v>2500</v>
      </c>
      <c r="C8" s="31">
        <v>3090</v>
      </c>
      <c r="D8" s="31">
        <v>3183</v>
      </c>
      <c r="E8" s="31">
        <v>3278</v>
      </c>
      <c r="F8" s="31">
        <v>3377</v>
      </c>
    </row>
    <row r="9" spans="1:6" x14ac:dyDescent="0.25">
      <c r="A9" s="10" t="s">
        <v>229</v>
      </c>
      <c r="B9" s="32">
        <f>SUM(B5:B8)</f>
        <v>167500</v>
      </c>
      <c r="C9" s="32">
        <f>SUM(C5:C8)</f>
        <v>302202</v>
      </c>
      <c r="D9" s="32">
        <f>SUM(D5:D8)</f>
        <v>423299</v>
      </c>
      <c r="E9" s="32">
        <f>SUM(E5:E8)</f>
        <v>522542</v>
      </c>
      <c r="F9" s="32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220</v>
      </c>
      <c r="B12" s="31">
        <v>51060</v>
      </c>
      <c r="C12" s="31">
        <v>63110</v>
      </c>
      <c r="D12" s="31">
        <v>65003</v>
      </c>
      <c r="E12" s="31">
        <v>66954</v>
      </c>
      <c r="F12" s="31">
        <v>68962</v>
      </c>
    </row>
    <row r="13" spans="1:6" x14ac:dyDescent="0.25">
      <c r="A13" s="11" t="s">
        <v>218</v>
      </c>
      <c r="B13" s="31">
        <v>13456</v>
      </c>
      <c r="C13" s="31">
        <v>16632</v>
      </c>
      <c r="D13" s="31">
        <v>17131</v>
      </c>
      <c r="E13" s="31">
        <v>17645</v>
      </c>
      <c r="F13" s="31">
        <v>18174</v>
      </c>
    </row>
    <row r="14" spans="1:6" x14ac:dyDescent="0.25">
      <c r="A14" s="10" t="s">
        <v>196</v>
      </c>
      <c r="B14" s="32">
        <f>SUM(B12:B13)</f>
        <v>64516</v>
      </c>
      <c r="C14" s="32">
        <f>SUM(C12:C13)</f>
        <v>79742</v>
      </c>
      <c r="D14" s="32">
        <f>SUM(D12:D13)</f>
        <v>82134</v>
      </c>
      <c r="E14" s="32">
        <f>SUM(E12:E13)</f>
        <v>84598</v>
      </c>
      <c r="F14" s="32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7" t="s">
        <v>143</v>
      </c>
    </row>
    <row r="18" spans="1:6" x14ac:dyDescent="0.25">
      <c r="A18" s="11" t="s">
        <v>231</v>
      </c>
      <c r="B18" s="31">
        <v>5000</v>
      </c>
      <c r="C18" s="31">
        <v>9064</v>
      </c>
      <c r="D18" s="31">
        <v>12731</v>
      </c>
      <c r="E18" s="31">
        <v>15735</v>
      </c>
      <c r="F18" s="31">
        <v>18008</v>
      </c>
    </row>
    <row r="19" spans="1:1" x14ac:dyDescent="0.25">
      <c r="A19" s="37" t="s">
        <v>144</v>
      </c>
    </row>
    <row r="20" spans="1:6" x14ac:dyDescent="0.25">
      <c r="A20" s="11" t="s">
        <v>232</v>
      </c>
      <c r="B20" s="31">
        <v>3125</v>
      </c>
      <c r="C20" s="31">
        <v>5665</v>
      </c>
      <c r="D20" s="31">
        <v>7957</v>
      </c>
      <c r="E20" s="31">
        <v>9835</v>
      </c>
      <c r="F20" s="31">
        <v>11255</v>
      </c>
    </row>
    <row r="21" spans="1:1" x14ac:dyDescent="0.25">
      <c r="A21" s="37" t="s">
        <v>138</v>
      </c>
    </row>
    <row r="22" spans="1:6" x14ac:dyDescent="0.25">
      <c r="A22" s="11" t="s">
        <v>233</v>
      </c>
      <c r="B22" s="31">
        <v>18000</v>
      </c>
      <c r="C22" s="31">
        <v>22248</v>
      </c>
      <c r="D22" s="31">
        <v>22915</v>
      </c>
      <c r="E22" s="31">
        <v>23603</v>
      </c>
      <c r="F22" s="31">
        <v>24311</v>
      </c>
    </row>
    <row r="23" spans="1:6" x14ac:dyDescent="0.25">
      <c r="A23" s="11" t="s">
        <v>234</v>
      </c>
      <c r="B23" s="31">
        <v>2000</v>
      </c>
      <c r="C23" s="31">
        <v>2472</v>
      </c>
      <c r="D23" s="31">
        <v>2546</v>
      </c>
      <c r="E23" s="31">
        <v>2623</v>
      </c>
      <c r="F23" s="31">
        <v>2701</v>
      </c>
    </row>
    <row r="24" spans="1:6" x14ac:dyDescent="0.25">
      <c r="A24" s="11" t="s">
        <v>235</v>
      </c>
      <c r="B24" s="31">
        <v>1500</v>
      </c>
      <c r="C24" s="31">
        <v>1854</v>
      </c>
      <c r="D24" s="31">
        <v>1910</v>
      </c>
      <c r="E24" s="31">
        <v>1967</v>
      </c>
      <c r="F24" s="31">
        <v>2026</v>
      </c>
    </row>
    <row r="25" spans="1:6" x14ac:dyDescent="0.25">
      <c r="A25" s="10" t="s">
        <v>236</v>
      </c>
      <c r="B25" s="32">
        <f>SUM(B22:B24)</f>
        <v>21500</v>
      </c>
      <c r="C25" s="32">
        <f>SUM(C22:C24)</f>
        <v>26574</v>
      </c>
      <c r="D25" s="32">
        <f>SUM(D22:D24)</f>
        <v>27371</v>
      </c>
      <c r="E25" s="32">
        <f>SUM(E22:E24)</f>
        <v>28192</v>
      </c>
      <c r="F25" s="32">
        <f>SUM(F22:F24)</f>
        <v>29038</v>
      </c>
    </row>
    <row r="26" spans="1:6" x14ac:dyDescent="0.25">
      <c r="A26" s="10" t="s">
        <v>237</v>
      </c>
      <c r="B26" s="32">
        <f>B18+B20+B25</f>
        <v>29625</v>
      </c>
      <c r="C26" s="32">
        <f>C18+C20+C25</f>
        <v>41303</v>
      </c>
      <c r="D26" s="32">
        <f>D18+D20+D25</f>
        <v>48059</v>
      </c>
      <c r="E26" s="32">
        <f>E18+E20+E25</f>
        <v>53762</v>
      </c>
      <c r="F26" s="32">
        <f>F18+F20+F25</f>
        <v>58301</v>
      </c>
    </row>
    <row r="28" ht="24" customHeight="1" spans="1:6" x14ac:dyDescent="0.25">
      <c r="A28" s="19" t="s">
        <v>238</v>
      </c>
      <c r="B28" s="19"/>
      <c r="C28" s="19"/>
      <c r="D28" s="19"/>
      <c r="E28" s="19"/>
      <c r="F28" s="19"/>
    </row>
    <row r="29" spans="1:6" x14ac:dyDescent="0.25">
      <c r="A29" s="10" t="s">
        <v>239</v>
      </c>
      <c r="B29" s="32" t="str">
        <f>SUM(B29:B28)</f>
        <v>0</v>
      </c>
      <c r="C29" s="32" t="str">
        <f>SUM(C29:C28)</f>
        <v>0</v>
      </c>
      <c r="D29" s="32" t="str">
        <f>SUM(D29:D28)</f>
        <v>0</v>
      </c>
      <c r="E29" s="32" t="str">
        <f>SUM(E29:E28)</f>
        <v>0</v>
      </c>
      <c r="F29" s="32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4">
        <f>'Budget Detail'!B9</f>
        <v>167500</v>
      </c>
      <c r="C4" s="34">
        <f>'Budget Detail'!C9</f>
        <v>302202</v>
      </c>
      <c r="D4" s="34">
        <f>'Budget Detail'!D9</f>
        <v>423299</v>
      </c>
      <c r="E4" s="34">
        <f>'Budget Detail'!E9</f>
        <v>522542</v>
      </c>
      <c r="F4" s="34">
        <f>'Budget Detail'!F9</f>
        <v>597645</v>
      </c>
    </row>
    <row r="5" spans="1:6" x14ac:dyDescent="0.25">
      <c r="A5" s="10" t="s">
        <v>196</v>
      </c>
      <c r="B5" s="34">
        <f>'Budget Detail'!B14</f>
        <v>64516</v>
      </c>
      <c r="C5" s="34">
        <f>'Budget Detail'!C14</f>
        <v>79742</v>
      </c>
      <c r="D5" s="34">
        <f>'Budget Detail'!D14</f>
        <v>82134</v>
      </c>
      <c r="E5" s="34">
        <f>'Budget Detail'!E14</f>
        <v>84598</v>
      </c>
      <c r="F5" s="34">
        <f>'Budget Detail'!F14</f>
        <v>87136</v>
      </c>
    </row>
    <row r="6" spans="1:6" x14ac:dyDescent="0.25">
      <c r="A6" s="10" t="s">
        <v>237</v>
      </c>
      <c r="B6" s="34">
        <f>'Budget Detail'!B26</f>
        <v>29625</v>
      </c>
      <c r="C6" s="34">
        <f>'Budget Detail'!C26</f>
        <v>41303</v>
      </c>
      <c r="D6" s="34">
        <f>'Budget Detail'!D26</f>
        <v>48059</v>
      </c>
      <c r="E6" s="34">
        <f>'Budget Detail'!E26</f>
        <v>53762</v>
      </c>
      <c r="F6" s="34">
        <f>'Budget Detail'!F26</f>
        <v>58301</v>
      </c>
    </row>
    <row r="7" spans="1:6" x14ac:dyDescent="0.25">
      <c r="A7" s="10" t="s">
        <v>241</v>
      </c>
      <c r="B7" s="34" t="str">
        <f>'Budget Detail'!B29</f>
        <v>0</v>
      </c>
      <c r="C7" s="34" t="str">
        <f>'Budget Detail'!C29</f>
        <v>0</v>
      </c>
      <c r="D7" s="34" t="str">
        <f>'Budget Detail'!D29</f>
        <v>0</v>
      </c>
      <c r="E7" s="34" t="str">
        <f>'Budget Detail'!E29</f>
        <v>0</v>
      </c>
      <c r="F7" s="34" t="str">
        <f>'Budget Detail'!F29</f>
        <v>0</v>
      </c>
    </row>
    <row r="8" spans="1:6" x14ac:dyDescent="0.25">
      <c r="A8" s="10" t="s">
        <v>242</v>
      </c>
      <c r="B8" s="32">
        <f>SUM(B5:B7)</f>
        <v>94141</v>
      </c>
      <c r="C8" s="32">
        <f>SUM(C5:C7)</f>
        <v>121045</v>
      </c>
      <c r="D8" s="32">
        <f>SUM(D5:D7)</f>
        <v>130193</v>
      </c>
      <c r="E8" s="32">
        <f>SUM(E5:E7)</f>
        <v>138361</v>
      </c>
      <c r="F8" s="32">
        <f>SUM(F5:F7)</f>
        <v>145438</v>
      </c>
    </row>
    <row r="10" ht="24" customHeight="1" spans="1:6" x14ac:dyDescent="0.25">
      <c r="A10" s="19" t="s">
        <v>243</v>
      </c>
      <c r="B10" s="19"/>
      <c r="C10" s="19"/>
      <c r="D10" s="19"/>
      <c r="E10" s="19"/>
      <c r="F10" s="19"/>
    </row>
    <row r="11" spans="1:6" x14ac:dyDescent="0.25">
      <c r="A11" s="10" t="s">
        <v>244</v>
      </c>
      <c r="B11" s="33">
        <f>B4-B8</f>
        <v>73359</v>
      </c>
      <c r="C11" s="33">
        <f>C4-C8</f>
        <v>181157</v>
      </c>
      <c r="D11" s="33">
        <f>D4-D8</f>
        <v>293106</v>
      </c>
      <c r="E11" s="33">
        <f>E4-E8</f>
        <v>384182</v>
      </c>
      <c r="F11" s="33">
        <f>F4-F8</f>
        <v>452207</v>
      </c>
    </row>
    <row r="12" spans="1:6" x14ac:dyDescent="0.25">
      <c r="A12" s="11" t="s">
        <v>245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246</v>
      </c>
      <c r="B13" s="31">
        <v>73359</v>
      </c>
      <c r="C13" s="31">
        <v>254516</v>
      </c>
      <c r="D13" s="31">
        <v>547622</v>
      </c>
      <c r="E13" s="31">
        <v>931803</v>
      </c>
      <c r="F13" s="31">
        <v>1384011</v>
      </c>
    </row>
    <row r="14" spans="1:6" x14ac:dyDescent="0.25">
      <c r="A14" s="11" t="s">
        <v>216</v>
      </c>
      <c r="B14" s="31">
        <v>11167</v>
      </c>
      <c r="C14" s="31">
        <v>13736</v>
      </c>
      <c r="D14" s="31">
        <v>14110</v>
      </c>
      <c r="E14" s="31">
        <v>14515</v>
      </c>
      <c r="F14" s="31">
        <v>14941</v>
      </c>
    </row>
    <row r="15" spans="1:6" x14ac:dyDescent="0.25">
      <c r="A15" s="11" t="s">
        <v>247</v>
      </c>
      <c r="B15" s="31">
        <v>6276</v>
      </c>
      <c r="C15" s="31">
        <v>5502</v>
      </c>
      <c r="D15" s="31">
        <v>4340</v>
      </c>
      <c r="E15" s="31">
        <v>3843</v>
      </c>
      <c r="F15" s="31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248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249</v>
      </c>
      <c r="C2" s="21" t="s">
        <v>250</v>
      </c>
      <c r="D2" s="21" t="s">
        <v>251</v>
      </c>
      <c r="E2" s="21" t="s">
        <v>252</v>
      </c>
      <c r="F2" s="21" t="s">
        <v>253</v>
      </c>
      <c r="G2" s="21" t="s">
        <v>254</v>
      </c>
      <c r="H2" s="21" t="s">
        <v>255</v>
      </c>
      <c r="I2" s="21" t="s">
        <v>256</v>
      </c>
      <c r="J2" s="21" t="s">
        <v>257</v>
      </c>
      <c r="K2" s="21" t="s">
        <v>258</v>
      </c>
      <c r="L2" s="21" t="s">
        <v>259</v>
      </c>
      <c r="M2" s="21" t="s">
        <v>260</v>
      </c>
      <c r="N2" s="21" t="s">
        <v>261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2">
        <v>11050</v>
      </c>
      <c r="C4" s="32">
        <v>20050</v>
      </c>
      <c r="D4" s="32">
        <v>20050</v>
      </c>
      <c r="E4" s="32">
        <v>20050</v>
      </c>
      <c r="F4" s="32">
        <v>20050</v>
      </c>
      <c r="G4" s="32">
        <v>20050</v>
      </c>
      <c r="H4" s="32">
        <v>20050</v>
      </c>
      <c r="I4" s="32">
        <v>20050</v>
      </c>
      <c r="J4" s="32">
        <v>20050</v>
      </c>
      <c r="K4" s="32">
        <v>20050</v>
      </c>
      <c r="L4" s="32">
        <v>9250</v>
      </c>
      <c r="M4" s="32">
        <v>250</v>
      </c>
      <c r="N4" s="32">
        <f>SUM(B4:M4)</f>
        <v>201000</v>
      </c>
    </row>
    <row r="6" ht="24" customHeight="1" spans="1:14" x14ac:dyDescent="0.25">
      <c r="A6" s="19" t="s">
        <v>262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263</v>
      </c>
      <c r="B7" s="31">
        <v>6452</v>
      </c>
      <c r="C7" s="31">
        <v>6452</v>
      </c>
      <c r="D7" s="31">
        <v>6452</v>
      </c>
      <c r="E7" s="31">
        <v>6452</v>
      </c>
      <c r="F7" s="31">
        <v>6452</v>
      </c>
      <c r="G7" s="31">
        <v>6452</v>
      </c>
      <c r="H7" s="31">
        <v>6452</v>
      </c>
      <c r="I7" s="31">
        <v>6452</v>
      </c>
      <c r="J7" s="31">
        <v>6452</v>
      </c>
      <c r="K7" s="31">
        <v>6452</v>
      </c>
      <c r="L7" s="31">
        <v>0</v>
      </c>
      <c r="M7" s="31">
        <v>0</v>
      </c>
      <c r="N7" s="31">
        <f>SUM(B7:M7)</f>
        <v>64516</v>
      </c>
    </row>
    <row r="8" spans="1:14" x14ac:dyDescent="0.25">
      <c r="A8" s="11" t="s">
        <v>264</v>
      </c>
      <c r="B8" s="31">
        <v>2963</v>
      </c>
      <c r="C8" s="31">
        <v>2963</v>
      </c>
      <c r="D8" s="31">
        <v>2963</v>
      </c>
      <c r="E8" s="31">
        <v>2963</v>
      </c>
      <c r="F8" s="31">
        <v>2963</v>
      </c>
      <c r="G8" s="31">
        <v>2963</v>
      </c>
      <c r="H8" s="31">
        <v>2963</v>
      </c>
      <c r="I8" s="31">
        <v>2963</v>
      </c>
      <c r="J8" s="31">
        <v>2963</v>
      </c>
      <c r="K8" s="31">
        <v>2963</v>
      </c>
      <c r="L8" s="31">
        <v>0</v>
      </c>
      <c r="M8" s="31">
        <v>0</v>
      </c>
      <c r="N8" s="31">
        <f>SUM(B8:M8)</f>
        <v>29625</v>
      </c>
    </row>
    <row r="9" spans="1:14" x14ac:dyDescent="0.25">
      <c r="A9" s="11" t="s">
        <v>265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 t="str">
        <f>SUM(B9:M9)</f>
        <v>0</v>
      </c>
    </row>
    <row r="11" ht="24" customHeight="1" spans="1:14" x14ac:dyDescent="0.25">
      <c r="A11" s="19" t="s">
        <v>266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242</v>
      </c>
      <c r="B12" s="34">
        <f>B7+B8+B9</f>
        <v>9415</v>
      </c>
      <c r="C12" s="34">
        <f>C7+C8+C9</f>
        <v>9415</v>
      </c>
      <c r="D12" s="34">
        <f>D7+D8+D9</f>
        <v>9415</v>
      </c>
      <c r="E12" s="34">
        <f>E7+E8+E9</f>
        <v>9415</v>
      </c>
      <c r="F12" s="34">
        <f>F7+F8+F9</f>
        <v>9415</v>
      </c>
      <c r="G12" s="34">
        <f>G7+G8+G9</f>
        <v>9415</v>
      </c>
      <c r="H12" s="34">
        <f>H7+H8+H9</f>
        <v>9415</v>
      </c>
      <c r="I12" s="34">
        <f>I7+I8+I9</f>
        <v>9415</v>
      </c>
      <c r="J12" s="34">
        <f>J7+J8+J9</f>
        <v>9415</v>
      </c>
      <c r="K12" s="34">
        <f>K7+K8+K9</f>
        <v>9415</v>
      </c>
      <c r="L12" s="34" t="str">
        <f>L7+L8+L9</f>
        <v>0</v>
      </c>
      <c r="M12" s="34" t="str">
        <f>M7+M8+M9</f>
        <v>0</v>
      </c>
      <c r="N12" s="34">
        <f>SUM(B12:M12)</f>
        <v>94150</v>
      </c>
    </row>
    <row r="13" spans="1:14" x14ac:dyDescent="0.25">
      <c r="A13" s="10" t="s">
        <v>267</v>
      </c>
      <c r="B13" s="34">
        <f>B4-B12</f>
        <v>1635</v>
      </c>
      <c r="C13" s="34">
        <f>C4-C12</f>
        <v>10635</v>
      </c>
      <c r="D13" s="34">
        <f>D4-D12</f>
        <v>10635</v>
      </c>
      <c r="E13" s="34">
        <f>E4-E12</f>
        <v>10635</v>
      </c>
      <c r="F13" s="34">
        <f>F4-F12</f>
        <v>10635</v>
      </c>
      <c r="G13" s="34">
        <f>G4-G12</f>
        <v>10635</v>
      </c>
      <c r="H13" s="34">
        <f>H4-H12</f>
        <v>10635</v>
      </c>
      <c r="I13" s="34">
        <f>I4-I12</f>
        <v>10635</v>
      </c>
      <c r="J13" s="34">
        <f>J4-J12</f>
        <v>10635</v>
      </c>
      <c r="K13" s="34">
        <f>K4-K12</f>
        <v>10635</v>
      </c>
      <c r="L13" s="34">
        <f>L4-L12</f>
        <v>9250</v>
      </c>
      <c r="M13" s="34">
        <f>M4-M12</f>
        <v>250</v>
      </c>
      <c r="N13" s="34">
        <f>SUM(B13:M13)</f>
        <v>106850</v>
      </c>
    </row>
    <row r="14" spans="1:14" x14ac:dyDescent="0.25">
      <c r="A14" s="10" t="s">
        <v>268</v>
      </c>
      <c r="B14" s="38">
        <f>B17+B13</f>
        <v>1635</v>
      </c>
      <c r="C14" s="38">
        <f>B14+C13</f>
        <v>12270</v>
      </c>
      <c r="D14" s="38">
        <f>C14+D13</f>
        <v>22905</v>
      </c>
      <c r="E14" s="38">
        <f>D14+E13</f>
        <v>33540</v>
      </c>
      <c r="F14" s="38">
        <f>E14+F13</f>
        <v>44175</v>
      </c>
      <c r="G14" s="38">
        <f>F14+G13</f>
        <v>54810</v>
      </c>
      <c r="H14" s="38">
        <f>G14+H13</f>
        <v>65445</v>
      </c>
      <c r="I14" s="38">
        <f>H14+I13</f>
        <v>76080</v>
      </c>
      <c r="J14" s="38">
        <f>I14+J13</f>
        <v>86715</v>
      </c>
      <c r="K14" s="38">
        <f>J14+K13</f>
        <v>97350</v>
      </c>
      <c r="L14" s="38">
        <f>K14+L13</f>
        <v>106600</v>
      </c>
      <c r="M14" s="38">
        <f>L14+M13</f>
        <v>106850</v>
      </c>
      <c r="N14" s="33">
        <f>M14</f>
        <v>106850</v>
      </c>
    </row>
    <row r="16" ht="24" customHeight="1" spans="1:3" x14ac:dyDescent="0.25">
      <c r="A16" s="19" t="s">
        <v>269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270</v>
      </c>
      <c r="B18" s="38">
        <f>M14</f>
        <v>106850</v>
      </c>
    </row>
    <row r="19" spans="1:2" x14ac:dyDescent="0.25">
      <c r="A19" s="11" t="s">
        <v>271</v>
      </c>
      <c r="B19" s="31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9" t="s">
        <v>229</v>
      </c>
      <c r="B5" s="32">
        <v>167500</v>
      </c>
      <c r="C5" s="32">
        <v>302202</v>
      </c>
      <c r="D5" s="32">
        <v>423299</v>
      </c>
      <c r="E5" s="32">
        <v>522542</v>
      </c>
      <c r="F5" s="32">
        <v>597645</v>
      </c>
    </row>
    <row r="7" ht="24" customHeight="1" spans="1:6" x14ac:dyDescent="0.25">
      <c r="A7" s="19" t="s">
        <v>262</v>
      </c>
      <c r="B7" s="19"/>
      <c r="C7" s="19"/>
      <c r="D7" s="19"/>
      <c r="E7" s="19"/>
      <c r="F7" s="19"/>
    </row>
    <row r="8" spans="1:6" x14ac:dyDescent="0.25">
      <c r="A8" s="10" t="s">
        <v>263</v>
      </c>
      <c r="B8" s="34">
        <v>64516</v>
      </c>
      <c r="C8" s="34">
        <v>79742</v>
      </c>
      <c r="D8" s="34">
        <v>82134</v>
      </c>
      <c r="E8" s="34">
        <v>84598</v>
      </c>
      <c r="F8" s="34">
        <v>87136</v>
      </c>
    </row>
    <row r="9" spans="1:6" x14ac:dyDescent="0.25">
      <c r="A9" s="10" t="s">
        <v>264</v>
      </c>
      <c r="B9" s="34">
        <v>29625</v>
      </c>
      <c r="C9" s="34">
        <v>41303</v>
      </c>
      <c r="D9" s="34">
        <v>48059</v>
      </c>
      <c r="E9" s="34">
        <v>53762</v>
      </c>
      <c r="F9" s="34">
        <v>58301</v>
      </c>
    </row>
    <row r="10" spans="1:6" x14ac:dyDescent="0.25">
      <c r="A10" s="10" t="s">
        <v>273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9" t="s">
        <v>242</v>
      </c>
      <c r="B11" s="32">
        <f>SUM(B8:B10)</f>
        <v>94141</v>
      </c>
      <c r="C11" s="32">
        <f>SUM(C8:C10)</f>
        <v>121045</v>
      </c>
      <c r="D11" s="32">
        <f>SUM(D8:D10)</f>
        <v>130193</v>
      </c>
      <c r="E11" s="32">
        <f>SUM(E8:E10)</f>
        <v>138361</v>
      </c>
      <c r="F11" s="32">
        <f>SUM(F8:F10)</f>
        <v>145438</v>
      </c>
    </row>
    <row r="13" ht="24" customHeight="1" spans="1:6" x14ac:dyDescent="0.25">
      <c r="A13" s="19" t="s">
        <v>274</v>
      </c>
      <c r="B13" s="19"/>
      <c r="C13" s="19"/>
      <c r="D13" s="19"/>
      <c r="E13" s="19"/>
      <c r="F13" s="19"/>
    </row>
    <row r="14" spans="1:6" x14ac:dyDescent="0.25">
      <c r="A14" s="39" t="s">
        <v>244</v>
      </c>
      <c r="B14" s="33">
        <f>B5-B11</f>
        <v>73359</v>
      </c>
      <c r="C14" s="33">
        <f>C5-C11</f>
        <v>181157</v>
      </c>
      <c r="D14" s="33">
        <f>D5-D11</f>
        <v>293106</v>
      </c>
      <c r="E14" s="33">
        <f>E5-E11</f>
        <v>384182</v>
      </c>
      <c r="F14" s="33">
        <f>F5-F11</f>
        <v>452207</v>
      </c>
    </row>
    <row r="15" spans="1:6" x14ac:dyDescent="0.25">
      <c r="A15" s="11" t="s">
        <v>245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246</v>
      </c>
      <c r="B16" s="34">
        <f>B14</f>
        <v>73359</v>
      </c>
      <c r="C16" s="34">
        <f>B16+C14</f>
        <v>254516</v>
      </c>
      <c r="D16" s="34">
        <f>C16+D14</f>
        <v>547622</v>
      </c>
      <c r="E16" s="34">
        <f>D16+E14</f>
        <v>931803</v>
      </c>
      <c r="F16" s="34">
        <f>E16+F14</f>
        <v>1384011</v>
      </c>
    </row>
    <row r="17" spans="1:6" x14ac:dyDescent="0.25">
      <c r="A17" s="10" t="s">
        <v>275</v>
      </c>
      <c r="B17" s="40" t="s">
        <v>276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277</v>
      </c>
      <c r="B4" s="19"/>
      <c r="C4" s="19"/>
      <c r="D4" s="19"/>
      <c r="E4" s="19"/>
      <c r="F4" s="19"/>
    </row>
    <row r="5" spans="1:5" x14ac:dyDescent="0.25">
      <c r="A5" s="42" t="s">
        <v>278</v>
      </c>
      <c r="B5" s="43" t="s">
        <v>147</v>
      </c>
      <c r="C5" s="44" t="s">
        <v>279</v>
      </c>
      <c r="D5" s="42" t="s">
        <v>280</v>
      </c>
      <c r="E5" s="43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282</v>
      </c>
      <c r="B4" s="19"/>
      <c r="C4" s="19"/>
      <c r="D4" s="19"/>
      <c r="E4" s="19"/>
      <c r="F4" s="19"/>
    </row>
    <row r="5" spans="1:6" x14ac:dyDescent="0.25">
      <c r="A5" s="11" t="s">
        <v>283</v>
      </c>
      <c r="B5" s="45">
        <f>'Monthly Cash Flow Y1'!M14</f>
        <v>106850</v>
      </c>
      <c r="C5" s="45">
        <f>B5+'5-Year Operating Stmt'!C14</f>
        <v>288007</v>
      </c>
      <c r="D5" s="45">
        <f>B5+'5-Year Operating Stmt'!C14+'5-Year Operating Stmt'!D14</f>
        <v>581113</v>
      </c>
      <c r="E5" s="45">
        <f>B5+'5-Year Operating Stmt'!C14+'5-Year Operating Stmt'!D14+'5-Year Operating Stmt'!E14</f>
        <v>965294</v>
      </c>
      <c r="F5" s="45">
        <f>B5+'5-Year Operating Stmt'!C14+'5-Year Operating Stmt'!D14+'5-Year Operating Stmt'!E14+'5-Year Operating Stmt'!F14</f>
        <v>1417502</v>
      </c>
    </row>
    <row r="6" spans="1:6" x14ac:dyDescent="0.25">
      <c r="A6" s="11" t="s">
        <v>284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285</v>
      </c>
      <c r="B7" s="31">
        <v>2000</v>
      </c>
      <c r="C7" s="31">
        <v>2000</v>
      </c>
      <c r="D7" s="31">
        <v>2000</v>
      </c>
      <c r="E7" s="31">
        <v>2000</v>
      </c>
      <c r="F7" s="31">
        <v>2000</v>
      </c>
    </row>
    <row r="8" spans="1:6" x14ac:dyDescent="0.25">
      <c r="A8" s="11" t="s">
        <v>286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287</v>
      </c>
      <c r="B9" s="32">
        <f>SUM(B5:B8)</f>
        <v>108850</v>
      </c>
      <c r="C9" s="32">
        <f>SUM(C5:C8)</f>
        <v>290007</v>
      </c>
      <c r="D9" s="32">
        <f>SUM(D5:D8)</f>
        <v>583113</v>
      </c>
      <c r="E9" s="32">
        <f>SUM(E5:E8)</f>
        <v>967294</v>
      </c>
      <c r="F9" s="32">
        <f>SUM(F5:F8)</f>
        <v>1419502</v>
      </c>
    </row>
    <row r="11" ht="24" customHeight="1" spans="1:6" x14ac:dyDescent="0.25">
      <c r="A11" s="19" t="s">
        <v>288</v>
      </c>
      <c r="B11" s="19"/>
      <c r="C11" s="19"/>
      <c r="D11" s="19"/>
      <c r="E11" s="19"/>
      <c r="F11" s="19"/>
    </row>
    <row r="12" spans="1:6" x14ac:dyDescent="0.25">
      <c r="A12" s="11" t="s">
        <v>289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290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</row>
    <row r="14" spans="1:6" x14ac:dyDescent="0.25">
      <c r="A14" s="10" t="s">
        <v>291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292</v>
      </c>
      <c r="B16" s="19"/>
      <c r="C16" s="19"/>
      <c r="D16" s="19"/>
      <c r="E16" s="19"/>
      <c r="F16" s="19"/>
    </row>
    <row r="17" spans="1:6" x14ac:dyDescent="0.25">
      <c r="A17" s="10" t="s">
        <v>293</v>
      </c>
      <c r="B17" s="33">
        <f>B9-B14</f>
        <v>108850</v>
      </c>
      <c r="C17" s="33">
        <f>C9-C14</f>
        <v>290007</v>
      </c>
      <c r="D17" s="33">
        <f>D9-D14</f>
        <v>583113</v>
      </c>
      <c r="E17" s="33">
        <f>E9-E14</f>
        <v>967294</v>
      </c>
      <c r="F17" s="33">
        <f>F9-F14</f>
        <v>1419502</v>
      </c>
    </row>
    <row r="19" spans="1:6" x14ac:dyDescent="0.25">
      <c r="A19" s="10" t="s">
        <v>294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296</v>
      </c>
      <c r="B4" s="19"/>
      <c r="C4" s="19"/>
      <c r="D4" s="19"/>
      <c r="E4" s="19"/>
      <c r="F4" s="19"/>
    </row>
    <row r="5" spans="1:6" x14ac:dyDescent="0.25">
      <c r="A5" s="11" t="s">
        <v>297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6" spans="1:6" x14ac:dyDescent="0.25">
      <c r="A6" s="11" t="s">
        <v>263</v>
      </c>
      <c r="B6" s="31">
        <v>64516</v>
      </c>
      <c r="C6" s="31">
        <v>79742</v>
      </c>
      <c r="D6" s="31">
        <v>82134</v>
      </c>
      <c r="E6" s="31">
        <v>84598</v>
      </c>
      <c r="F6" s="31">
        <v>87136</v>
      </c>
    </row>
    <row r="7" spans="1:6" x14ac:dyDescent="0.25">
      <c r="A7" s="11" t="s">
        <v>264</v>
      </c>
      <c r="B7" s="31">
        <v>29625</v>
      </c>
      <c r="C7" s="31">
        <v>41303</v>
      </c>
      <c r="D7" s="31">
        <v>48059</v>
      </c>
      <c r="E7" s="31">
        <v>53762</v>
      </c>
      <c r="F7" s="31">
        <v>58301</v>
      </c>
    </row>
    <row r="8" spans="1:6" x14ac:dyDescent="0.25">
      <c r="A8" s="10" t="s">
        <v>298</v>
      </c>
      <c r="B8" s="34">
        <f>B5-B6-B7</f>
        <v>73359</v>
      </c>
      <c r="C8" s="34">
        <f>C5-C6-C7</f>
        <v>181157</v>
      </c>
      <c r="D8" s="34">
        <f>D5-D6-D7</f>
        <v>293106</v>
      </c>
      <c r="E8" s="34">
        <f>E5-E6-E7</f>
        <v>384182</v>
      </c>
      <c r="F8" s="34">
        <f>F5-F6-F7</f>
        <v>452207</v>
      </c>
    </row>
    <row r="9" spans="1:6" x14ac:dyDescent="0.25">
      <c r="A9" s="11" t="s">
        <v>265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</row>
    <row r="10" spans="1:6" x14ac:dyDescent="0.25">
      <c r="A10" s="10" t="s">
        <v>299</v>
      </c>
      <c r="B10" s="47" t="s">
        <v>300</v>
      </c>
      <c r="C10" s="47" t="s">
        <v>300</v>
      </c>
      <c r="D10" s="47" t="s">
        <v>300</v>
      </c>
      <c r="E10" s="47" t="s">
        <v>300</v>
      </c>
      <c r="F10" s="47" t="s">
        <v>300</v>
      </c>
    </row>
    <row r="12" ht="24" customHeight="1" spans="1:6" x14ac:dyDescent="0.25">
      <c r="A12" s="19" t="s">
        <v>301</v>
      </c>
      <c r="B12" s="19"/>
      <c r="C12" s="19"/>
      <c r="D12" s="19"/>
      <c r="E12" s="19"/>
      <c r="F12" s="19"/>
    </row>
    <row r="13" spans="1:6" x14ac:dyDescent="0.25">
      <c r="A13" s="11" t="s">
        <v>302</v>
      </c>
      <c r="B13" s="31">
        <v>106850</v>
      </c>
      <c r="C13" s="31">
        <v>288007</v>
      </c>
      <c r="D13" s="31">
        <v>581113</v>
      </c>
      <c r="E13" s="31">
        <v>965294</v>
      </c>
      <c r="F13" s="31">
        <v>1417502</v>
      </c>
    </row>
    <row r="14" spans="1:6" x14ac:dyDescent="0.25">
      <c r="A14" s="11" t="s">
        <v>303</v>
      </c>
      <c r="B14" s="48">
        <f>IF((B6+B7+B9)=0,0,(B13/(B6+B7+B9))*365)</f>
        <v>414</v>
      </c>
      <c r="C14" s="48">
        <f>IF((C6+C7+C9)=0,0,(C13/(C6+C7+C9))*365)</f>
        <v>868</v>
      </c>
      <c r="D14" s="48">
        <f>IF((D6+D7+D9)=0,0,(D13/(D6+D7+D9))*365)</f>
        <v>1629</v>
      </c>
      <c r="E14" s="48">
        <f>IF((E6+E7+E9)=0,0,(E13/(E6+E7+E9))*365)</f>
        <v>2546</v>
      </c>
      <c r="F14" s="48">
        <f>IF((F6+F7+F9)=0,0,(F13/(F6+F7+F9))*365)</f>
        <v>3557</v>
      </c>
    </row>
    <row r="15" spans="1:6" x14ac:dyDescent="0.25">
      <c r="A15" s="11" t="s">
        <v>304</v>
      </c>
      <c r="B15" s="35">
        <f>IF((B6+B7+B9)=0,0,B13/((B6+B7+B9)/12))</f>
        <v>13.6</v>
      </c>
      <c r="C15" s="35">
        <f>IF((C6+C7+C9)=0,0,C13/((C6+C7+C9)/12))</f>
        <v>28.6</v>
      </c>
      <c r="D15" s="35">
        <f>IF((D6+D7+D9)=0,0,D13/((D6+D7+D9)/12))</f>
        <v>53.6</v>
      </c>
      <c r="E15" s="35">
        <f>IF((E6+E7+E9)=0,0,E13/((E6+E7+E9)/12))</f>
        <v>83.7</v>
      </c>
      <c r="F15" s="35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305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1">
        <v>11167</v>
      </c>
      <c r="C19" s="31">
        <v>13736</v>
      </c>
      <c r="D19" s="31">
        <v>14110</v>
      </c>
      <c r="E19" s="31">
        <v>14515</v>
      </c>
      <c r="F19" s="31">
        <v>14941</v>
      </c>
    </row>
    <row r="20" spans="1:6" x14ac:dyDescent="0.25">
      <c r="A20" s="11" t="s">
        <v>306</v>
      </c>
      <c r="B20" s="31">
        <v>64516</v>
      </c>
      <c r="C20" s="31">
        <v>79742</v>
      </c>
      <c r="D20" s="31">
        <v>82134</v>
      </c>
      <c r="E20" s="31">
        <v>84598</v>
      </c>
      <c r="F20" s="31">
        <v>87136</v>
      </c>
    </row>
    <row r="21" spans="1:6" x14ac:dyDescent="0.25">
      <c r="A21" s="11" t="s">
        <v>307</v>
      </c>
      <c r="B21" s="31">
        <v>1975</v>
      </c>
      <c r="C21" s="31">
        <v>1877</v>
      </c>
      <c r="D21" s="31">
        <v>1602</v>
      </c>
      <c r="E21" s="31">
        <v>1493</v>
      </c>
      <c r="F21" s="31">
        <v>1458</v>
      </c>
    </row>
    <row r="22" spans="1:6" x14ac:dyDescent="0.25">
      <c r="A22" s="10" t="s">
        <v>308</v>
      </c>
      <c r="B22" s="49">
        <v>8</v>
      </c>
      <c r="C22" s="49">
        <v>7</v>
      </c>
      <c r="D22" s="49">
        <v>7</v>
      </c>
      <c r="E22" s="49">
        <v>7</v>
      </c>
      <c r="F22" s="49">
        <v>7</v>
      </c>
    </row>
    <row r="24" ht="24" customHeight="1" spans="1:6" x14ac:dyDescent="0.25">
      <c r="A24" s="19" t="s">
        <v>309</v>
      </c>
      <c r="B24" s="19"/>
      <c r="C24" s="19"/>
      <c r="D24" s="19"/>
      <c r="E24" s="19"/>
      <c r="F24" s="19"/>
    </row>
    <row r="25" spans="1:6" x14ac:dyDescent="0.25">
      <c r="A25" s="11" t="s">
        <v>310</v>
      </c>
      <c r="B25" s="50" t="s">
        <v>300</v>
      </c>
      <c r="C25" s="50" t="s">
        <v>300</v>
      </c>
      <c r="D25" s="50" t="s">
        <v>300</v>
      </c>
      <c r="E25" s="50" t="s">
        <v>300</v>
      </c>
      <c r="F25" s="50" t="s">
        <v>300</v>
      </c>
    </row>
    <row r="26" spans="1:6" x14ac:dyDescent="0.25">
      <c r="A26" s="11" t="s">
        <v>311</v>
      </c>
      <c r="B26" s="51" t="s">
        <v>312</v>
      </c>
      <c r="C26" s="51" t="s">
        <v>312</v>
      </c>
      <c r="D26" s="51" t="s">
        <v>312</v>
      </c>
      <c r="E26" s="51" t="s">
        <v>312</v>
      </c>
      <c r="F26" s="51" t="s">
        <v>312</v>
      </c>
    </row>
    <row r="27" spans="1:6" x14ac:dyDescent="0.25">
      <c r="A27" s="11" t="s">
        <v>313</v>
      </c>
      <c r="B27" s="52" t="s">
        <v>314</v>
      </c>
      <c r="C27" s="52" t="s">
        <v>314</v>
      </c>
      <c r="D27" s="51" t="s">
        <v>312</v>
      </c>
      <c r="E27" s="51" t="s">
        <v>312</v>
      </c>
      <c r="F27" s="51" t="s">
        <v>312</v>
      </c>
    </row>
    <row r="28" spans="1:6" x14ac:dyDescent="0.25">
      <c r="A28" s="11" t="s">
        <v>315</v>
      </c>
      <c r="B28" s="51" t="s">
        <v>312</v>
      </c>
      <c r="C28" s="51" t="s">
        <v>312</v>
      </c>
      <c r="D28" s="51" t="s">
        <v>312</v>
      </c>
      <c r="E28" s="51" t="s">
        <v>312</v>
      </c>
      <c r="F28" s="51" t="s">
        <v>312</v>
      </c>
    </row>
    <row r="29" spans="1:6" x14ac:dyDescent="0.25">
      <c r="A29" s="11" t="s">
        <v>316</v>
      </c>
      <c r="B29" s="51" t="s">
        <v>312</v>
      </c>
      <c r="C29" s="51" t="s">
        <v>312</v>
      </c>
      <c r="D29" s="51" t="s">
        <v>312</v>
      </c>
      <c r="E29" s="51" t="s">
        <v>312</v>
      </c>
      <c r="F29" s="51" t="s">
        <v>312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317</v>
      </c>
      <c r="B3" s="53" t="s">
        <v>112</v>
      </c>
      <c r="D3" s="53" t="s">
        <v>318</v>
      </c>
      <c r="E3" s="53" t="s">
        <v>112</v>
      </c>
    </row>
    <row r="4" spans="1:5" x14ac:dyDescent="0.25">
      <c r="A4" s="11" t="s">
        <v>319</v>
      </c>
      <c r="B4" s="31">
        <v>12000</v>
      </c>
      <c r="D4" s="11" t="s">
        <v>320</v>
      </c>
      <c r="E4" s="31">
        <v>12000</v>
      </c>
    </row>
    <row r="6" spans="1:5" x14ac:dyDescent="0.25">
      <c r="A6" s="10" t="s">
        <v>321</v>
      </c>
      <c r="B6" s="33">
        <v>12000</v>
      </c>
      <c r="D6" s="10" t="s">
        <v>322</v>
      </c>
      <c r="E6" s="33">
        <v>12000</v>
      </c>
    </row>
    <row r="7" spans="1:2" x14ac:dyDescent="0.25">
      <c r="A7" s="10" t="s">
        <v>323</v>
      </c>
      <c r="B7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324</v>
      </c>
      <c r="B1" s="15"/>
      <c r="C1" s="15"/>
      <c r="D1" s="15"/>
      <c r="E1" s="15"/>
      <c r="F1" s="15"/>
    </row>
    <row r="3" ht="24" customHeight="1" spans="1:6" x14ac:dyDescent="0.25">
      <c r="A3" s="19" t="s">
        <v>325</v>
      </c>
      <c r="B3" s="19"/>
      <c r="C3" s="19"/>
      <c r="D3" s="19"/>
      <c r="E3" s="19"/>
      <c r="F3" s="19"/>
    </row>
    <row r="4" spans="1:1" x14ac:dyDescent="0.25">
      <c r="A4" s="17" t="s">
        <v>326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297</v>
      </c>
      <c r="B6" s="31">
        <v>167500</v>
      </c>
      <c r="C6" s="31">
        <v>302202</v>
      </c>
      <c r="D6" s="31">
        <v>423299</v>
      </c>
      <c r="E6" s="31">
        <v>522542</v>
      </c>
      <c r="F6" s="31">
        <v>597645</v>
      </c>
    </row>
    <row r="7" spans="1:6" x14ac:dyDescent="0.25">
      <c r="A7" s="11" t="s">
        <v>242</v>
      </c>
      <c r="B7" s="31">
        <v>94141</v>
      </c>
      <c r="C7" s="31">
        <v>121045</v>
      </c>
      <c r="D7" s="31">
        <v>130193</v>
      </c>
      <c r="E7" s="31">
        <v>138361</v>
      </c>
      <c r="F7" s="31">
        <v>145438</v>
      </c>
    </row>
    <row r="8" spans="1:6" x14ac:dyDescent="0.25">
      <c r="A8" s="10" t="s">
        <v>244</v>
      </c>
      <c r="B8" s="33">
        <v>73359</v>
      </c>
      <c r="C8" s="33">
        <v>181157</v>
      </c>
      <c r="D8" s="33">
        <v>293106</v>
      </c>
      <c r="E8" s="33">
        <v>384182</v>
      </c>
      <c r="F8" s="33">
        <v>452207</v>
      </c>
    </row>
    <row r="9" spans="1:6" x14ac:dyDescent="0.25">
      <c r="A9" s="11" t="s">
        <v>245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299</v>
      </c>
      <c r="B10" s="54" t="s">
        <v>300</v>
      </c>
      <c r="C10" s="54" t="s">
        <v>300</v>
      </c>
      <c r="D10" s="54" t="s">
        <v>300</v>
      </c>
      <c r="E10" s="54" t="s">
        <v>300</v>
      </c>
      <c r="F10" s="54" t="s">
        <v>300</v>
      </c>
    </row>
    <row r="11" spans="1:6" x14ac:dyDescent="0.25">
      <c r="A11" s="11" t="s">
        <v>308</v>
      </c>
      <c r="B11" s="48">
        <v>8</v>
      </c>
      <c r="C11" s="48">
        <v>7</v>
      </c>
      <c r="D11" s="48">
        <v>7</v>
      </c>
      <c r="E11" s="48">
        <v>7</v>
      </c>
      <c r="F11" s="48">
        <v>7</v>
      </c>
    </row>
    <row r="13" ht="24" customHeight="1" spans="1:6" x14ac:dyDescent="0.25">
      <c r="A13" s="19" t="s">
        <v>327</v>
      </c>
      <c r="B13" s="19"/>
      <c r="C13" s="19"/>
      <c r="D13" s="19"/>
      <c r="E13" s="19"/>
      <c r="F13" s="19"/>
    </row>
    <row r="14" spans="1:1" x14ac:dyDescent="0.25">
      <c r="A14" s="17" t="s">
        <v>328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297</v>
      </c>
      <c r="B16" s="31">
        <v>125625</v>
      </c>
      <c r="C16" s="31">
        <v>226652</v>
      </c>
      <c r="D16" s="31">
        <v>317474</v>
      </c>
      <c r="E16" s="31">
        <v>391907</v>
      </c>
      <c r="F16" s="31">
        <v>448234</v>
      </c>
    </row>
    <row r="17" spans="1:6" x14ac:dyDescent="0.25">
      <c r="A17" s="11" t="s">
        <v>242</v>
      </c>
      <c r="B17" s="31">
        <v>94141</v>
      </c>
      <c r="C17" s="31">
        <v>121045</v>
      </c>
      <c r="D17" s="31">
        <v>130193</v>
      </c>
      <c r="E17" s="31">
        <v>138361</v>
      </c>
      <c r="F17" s="31">
        <v>145438</v>
      </c>
    </row>
    <row r="18" spans="1:6" x14ac:dyDescent="0.25">
      <c r="A18" s="10" t="s">
        <v>244</v>
      </c>
      <c r="B18" s="33">
        <v>31484</v>
      </c>
      <c r="C18" s="33">
        <v>105606</v>
      </c>
      <c r="D18" s="33">
        <v>187281</v>
      </c>
      <c r="E18" s="33">
        <v>253546</v>
      </c>
      <c r="F18" s="33">
        <v>302796</v>
      </c>
    </row>
    <row r="19" spans="1:6" x14ac:dyDescent="0.25">
      <c r="A19" s="11" t="s">
        <v>245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299</v>
      </c>
      <c r="B20" s="54" t="s">
        <v>300</v>
      </c>
      <c r="C20" s="54" t="s">
        <v>300</v>
      </c>
      <c r="D20" s="54" t="s">
        <v>300</v>
      </c>
      <c r="E20" s="54" t="s">
        <v>300</v>
      </c>
      <c r="F20" s="54" t="s">
        <v>300</v>
      </c>
    </row>
    <row r="21" spans="1:6" x14ac:dyDescent="0.25">
      <c r="A21" s="11" t="s">
        <v>308</v>
      </c>
      <c r="B21" s="48">
        <v>8</v>
      </c>
      <c r="C21" s="48">
        <v>8</v>
      </c>
      <c r="D21" s="48">
        <v>8</v>
      </c>
      <c r="E21" s="48">
        <v>7</v>
      </c>
      <c r="F21" s="48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329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331</v>
      </c>
      <c r="B9" s="11" t="s">
        <v>46</v>
      </c>
    </row>
    <row r="11" ht="24" customHeight="1" spans="1:8" x14ac:dyDescent="0.25">
      <c r="A11" s="19" t="s">
        <v>332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297</v>
      </c>
      <c r="D13" s="31">
        <v>167500</v>
      </c>
      <c r="E13" s="31">
        <v>302202</v>
      </c>
      <c r="F13" s="31">
        <v>423299</v>
      </c>
      <c r="G13" s="31">
        <v>522542</v>
      </c>
      <c r="H13" s="31">
        <v>597645</v>
      </c>
    </row>
    <row r="14" spans="1:8" x14ac:dyDescent="0.25">
      <c r="A14" s="11" t="s">
        <v>242</v>
      </c>
      <c r="D14" s="31">
        <v>94141</v>
      </c>
      <c r="E14" s="31">
        <v>121045</v>
      </c>
      <c r="F14" s="31">
        <v>130193</v>
      </c>
      <c r="G14" s="31">
        <v>138361</v>
      </c>
      <c r="H14" s="31">
        <v>145438</v>
      </c>
    </row>
    <row r="15" spans="1:8" x14ac:dyDescent="0.25">
      <c r="A15" s="11" t="s">
        <v>244</v>
      </c>
      <c r="D15" s="31">
        <v>73359</v>
      </c>
      <c r="E15" s="31">
        <v>181157</v>
      </c>
      <c r="F15" s="31">
        <v>293106</v>
      </c>
      <c r="G15" s="31">
        <v>384182</v>
      </c>
      <c r="H15" s="31">
        <v>452207</v>
      </c>
    </row>
    <row r="16" spans="1:8" x14ac:dyDescent="0.25">
      <c r="A16" s="11" t="s">
        <v>333</v>
      </c>
      <c r="D16" s="31">
        <v>106850</v>
      </c>
      <c r="E16" s="31">
        <v>288007</v>
      </c>
      <c r="F16" s="31">
        <v>581113</v>
      </c>
      <c r="G16" s="31">
        <v>965294</v>
      </c>
      <c r="H16" s="31">
        <v>1417502</v>
      </c>
    </row>
    <row r="17" spans="1:8" x14ac:dyDescent="0.25">
      <c r="A17" s="11" t="s">
        <v>334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</row>
    <row r="19" ht="24" customHeight="1" spans="1:8" x14ac:dyDescent="0.25">
      <c r="A19" s="19" t="s">
        <v>335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336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299</v>
      </c>
      <c r="D22" s="54" t="s">
        <v>300</v>
      </c>
      <c r="E22" s="54" t="s">
        <v>300</v>
      </c>
      <c r="F22" s="54" t="s">
        <v>300</v>
      </c>
      <c r="G22" s="54" t="s">
        <v>300</v>
      </c>
      <c r="H22" s="54" t="s">
        <v>300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337</v>
      </c>
      <c r="D24" s="48">
        <v>15</v>
      </c>
      <c r="E24" s="48">
        <v>22</v>
      </c>
      <c r="F24" s="48">
        <v>30</v>
      </c>
      <c r="G24" s="48">
        <v>36</v>
      </c>
      <c r="H24" s="48">
        <v>40</v>
      </c>
    </row>
    <row r="26" spans="1:8" x14ac:dyDescent="0.25">
      <c r="A26" s="14" t="s">
        <v>338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339</v>
      </c>
      <c r="C2" s="1"/>
      <c r="D2" s="1"/>
      <c r="E2" s="1"/>
      <c r="F2" s="1"/>
      <c r="G2" s="1"/>
      <c r="H2" s="1"/>
    </row>
    <row r="3" spans="2:8" x14ac:dyDescent="0.25">
      <c r="B3" s="56" t="s">
        <v>340</v>
      </c>
      <c r="C3" s="56"/>
      <c r="D3" s="56"/>
      <c r="E3" s="56"/>
      <c r="F3" s="56"/>
      <c r="G3" s="56"/>
      <c r="H3" s="56"/>
    </row>
    <row r="4" spans="2:6" x14ac:dyDescent="0.25">
      <c r="B4" s="57" t="s">
        <v>341</v>
      </c>
      <c r="D4" s="58" t="s">
        <v>342</v>
      </c>
      <c r="F4" s="59" t="s">
        <v>343</v>
      </c>
    </row>
    <row r="6" ht="24" customHeight="1" spans="2:8" x14ac:dyDescent="0.25">
      <c r="B6" s="19" t="s">
        <v>344</v>
      </c>
      <c r="C6" s="60" t="s">
        <v>345</v>
      </c>
      <c r="D6" s="60" t="s">
        <v>346</v>
      </c>
      <c r="E6" s="60" t="s">
        <v>347</v>
      </c>
      <c r="F6" s="60" t="s">
        <v>348</v>
      </c>
      <c r="G6" s="60" t="s">
        <v>349</v>
      </c>
      <c r="H6" s="60" t="s">
        <v>350</v>
      </c>
    </row>
    <row r="7" spans="2:7" x14ac:dyDescent="0.25">
      <c r="B7" s="11" t="s">
        <v>337</v>
      </c>
      <c r="C7" s="61">
        <v>15</v>
      </c>
      <c r="D7" s="61">
        <v>22</v>
      </c>
      <c r="E7" s="61">
        <v>30</v>
      </c>
      <c r="F7" s="61">
        <v>36</v>
      </c>
      <c r="G7" s="61">
        <v>40</v>
      </c>
    </row>
    <row r="8" spans="2:7" x14ac:dyDescent="0.25">
      <c r="B8" s="11" t="s">
        <v>297</v>
      </c>
      <c r="C8" s="62">
        <v>167500</v>
      </c>
      <c r="D8" s="62">
        <v>302202</v>
      </c>
      <c r="E8" s="62">
        <v>423299.1</v>
      </c>
      <c r="F8" s="62">
        <v>522542.0514</v>
      </c>
      <c r="G8" s="62">
        <v>597645.1781100001</v>
      </c>
    </row>
    <row r="9" spans="2:7" x14ac:dyDescent="0.25">
      <c r="B9" s="11" t="s">
        <v>263</v>
      </c>
      <c r="C9" s="62">
        <v>64516.25</v>
      </c>
      <c r="D9" s="62">
        <v>79742.085</v>
      </c>
      <c r="E9" s="62">
        <v>82134.34754999999</v>
      </c>
      <c r="F9" s="62">
        <v>84598.3779765</v>
      </c>
      <c r="G9" s="62">
        <v>87136.32931579501</v>
      </c>
    </row>
    <row r="10" spans="2:7" x14ac:dyDescent="0.25">
      <c r="B10" s="11" t="s">
        <v>264</v>
      </c>
      <c r="C10" s="62">
        <v>29625</v>
      </c>
      <c r="D10" s="62">
        <v>41303</v>
      </c>
      <c r="E10" s="62">
        <v>48058.77</v>
      </c>
      <c r="F10" s="62">
        <v>53762.168399999995</v>
      </c>
      <c r="G10" s="62">
        <v>58301.35635800001</v>
      </c>
    </row>
    <row r="11" spans="2:7" x14ac:dyDescent="0.25">
      <c r="B11" s="11" t="s">
        <v>265</v>
      </c>
      <c r="C11" s="62">
        <v>0</v>
      </c>
      <c r="D11" s="62">
        <v>0</v>
      </c>
      <c r="E11" s="62">
        <v>0</v>
      </c>
      <c r="F11" s="62">
        <v>0</v>
      </c>
      <c r="G11" s="62">
        <v>0</v>
      </c>
    </row>
    <row r="12" spans="2:7" x14ac:dyDescent="0.25">
      <c r="B12" s="10" t="s">
        <v>244</v>
      </c>
      <c r="C12" s="63">
        <v>73358.75</v>
      </c>
      <c r="D12" s="63">
        <v>181156.91499999998</v>
      </c>
      <c r="E12" s="63">
        <v>293105.98245</v>
      </c>
      <c r="F12" s="63">
        <v>384181.5050235</v>
      </c>
      <c r="G12" s="63">
        <v>452207.49243620504</v>
      </c>
    </row>
    <row r="13" spans="2:7" x14ac:dyDescent="0.25">
      <c r="B13" s="10" t="s">
        <v>302</v>
      </c>
      <c r="C13" s="63">
        <v>106850</v>
      </c>
      <c r="D13" s="63">
        <v>288006.915</v>
      </c>
      <c r="E13" s="63">
        <v>581112.89745</v>
      </c>
      <c r="F13" s="63">
        <v>965294.4024735</v>
      </c>
      <c r="G13" s="63">
        <v>1417501.894909705</v>
      </c>
    </row>
    <row r="14" spans="2:7" x14ac:dyDescent="0.25">
      <c r="B14" s="10" t="s">
        <v>336</v>
      </c>
      <c r="C14" s="64">
        <v>0.4379626865671642</v>
      </c>
      <c r="D14" s="64">
        <v>0.5994563735514655</v>
      </c>
      <c r="E14" s="64">
        <v>0.6924323308270677</v>
      </c>
      <c r="F14" s="64">
        <v>0.7352164366373902</v>
      </c>
      <c r="G14" s="64">
        <v>0.7566487758945385</v>
      </c>
    </row>
    <row r="15" spans="2:8" x14ac:dyDescent="0.25">
      <c r="B15" s="10" t="s">
        <v>216</v>
      </c>
      <c r="C15" s="65">
        <v>11166.666666666666</v>
      </c>
      <c r="D15" s="65">
        <v>13736.454545454546</v>
      </c>
      <c r="E15" s="65">
        <v>14109.97</v>
      </c>
      <c r="F15" s="65">
        <v>14515.056983333334</v>
      </c>
      <c r="G15" s="65">
        <v>14941.129452750003</v>
      </c>
      <c r="H15" s="66" t="s">
        <v>351</v>
      </c>
    </row>
    <row r="16" spans="2:8" x14ac:dyDescent="0.25">
      <c r="B16" s="10" t="s">
        <v>352</v>
      </c>
      <c r="C16" s="64">
        <v>0.3851716417910448</v>
      </c>
      <c r="D16" s="64">
        <v>0.26387014314928425</v>
      </c>
      <c r="E16" s="64">
        <v>0.19403383458646614</v>
      </c>
      <c r="F16" s="64">
        <v>0.1618977415307403</v>
      </c>
      <c r="G16" s="64">
        <v>0.14579943502824858</v>
      </c>
      <c r="H16" s="66" t="s">
        <v>353</v>
      </c>
    </row>
    <row r="17" spans="2:8" x14ac:dyDescent="0.25">
      <c r="B17" s="10" t="s">
        <v>354</v>
      </c>
      <c r="C17" s="67">
        <v>0.15402985074626865</v>
      </c>
      <c r="D17" s="64">
        <v>0.08793456032719836</v>
      </c>
      <c r="E17" s="64">
        <v>0.06466165413533834</v>
      </c>
      <c r="F17" s="64">
        <v>0.053952321204516936</v>
      </c>
      <c r="G17" s="64">
        <v>0.04858757062146892</v>
      </c>
      <c r="H17" s="66" t="s">
        <v>355</v>
      </c>
    </row>
    <row r="18" spans="2:8" x14ac:dyDescent="0.25">
      <c r="B18" s="10" t="s">
        <v>356</v>
      </c>
      <c r="C18" s="64">
        <v>0.4379626865671642</v>
      </c>
      <c r="D18" s="64">
        <v>0.5994563735514655</v>
      </c>
      <c r="E18" s="64">
        <v>0.6924323308270676</v>
      </c>
      <c r="F18" s="64">
        <v>0.7352164366373901</v>
      </c>
      <c r="G18" s="64">
        <v>0.7566487758945386</v>
      </c>
      <c r="H18" s="66" t="s">
        <v>357</v>
      </c>
    </row>
    <row r="19" spans="2:8" x14ac:dyDescent="0.25">
      <c r="B19" s="10" t="s">
        <v>358</v>
      </c>
      <c r="C19" s="68">
        <v>3</v>
      </c>
      <c r="D19" s="68">
        <v>3</v>
      </c>
      <c r="E19" s="68">
        <v>3</v>
      </c>
      <c r="F19" s="68">
        <v>3</v>
      </c>
      <c r="G19" s="68">
        <v>3</v>
      </c>
      <c r="H19" s="66" t="s">
        <v>359</v>
      </c>
    </row>
    <row r="20" spans="2:8" x14ac:dyDescent="0.25">
      <c r="B20" s="10" t="s">
        <v>299</v>
      </c>
      <c r="C20" s="69" t="s">
        <v>300</v>
      </c>
      <c r="D20" s="69" t="s">
        <v>300</v>
      </c>
      <c r="E20" s="69" t="s">
        <v>300</v>
      </c>
      <c r="F20" s="69" t="s">
        <v>300</v>
      </c>
      <c r="G20" s="69" t="s">
        <v>300</v>
      </c>
      <c r="H20" s="66" t="s">
        <v>300</v>
      </c>
    </row>
    <row r="21" spans="2:8" x14ac:dyDescent="0.25">
      <c r="B21" s="10" t="s">
        <v>360</v>
      </c>
      <c r="C21" s="40" t="str">
        <f>IF('5-Year Operating Stmt'!B16&gt;=0,"✓ Break-even","")</f>
        <v>✓ Break-even</v>
      </c>
      <c r="D21" s="70" t="str">
        <f>IF(AND('5-Year Operating Stmt'!C16&gt;=0,'5-Year Operating Stmt'!B16&lt;0),"✓ Break-even","")</f>
        <v>0</v>
      </c>
      <c r="E21" s="70" t="str">
        <f>IF(AND('5-Year Operating Stmt'!D16&gt;=0,'5-Year Operating Stmt'!C16&lt;0),"✓ Break-even","")</f>
        <v>0</v>
      </c>
      <c r="F21" s="70" t="str">
        <f>IF(AND('5-Year Operating Stmt'!E16&gt;=0,'5-Year Operating Stmt'!D16&lt;0),"✓ Break-even","")</f>
        <v>0</v>
      </c>
      <c r="G21" s="70" t="str">
        <f>IF(AND('5-Year Operating Stmt'!F16&gt;=0,'5-Year Operating Stmt'!E16&lt;0),"✓ Break-even","")</f>
        <v>0</v>
      </c>
      <c r="H21" s="66" t="s">
        <v>345</v>
      </c>
    </row>
    <row r="22" spans="2:8" x14ac:dyDescent="0.25">
      <c r="B22" s="10" t="s">
        <v>361</v>
      </c>
      <c r="C22" s="71">
        <v>14</v>
      </c>
      <c r="D22" s="68">
        <v>29</v>
      </c>
      <c r="E22" s="68">
        <v>54</v>
      </c>
      <c r="F22" s="72" t="s">
        <v>362</v>
      </c>
      <c r="G22" s="72" t="s">
        <v>362</v>
      </c>
      <c r="H22" s="66" t="s">
        <v>363</v>
      </c>
    </row>
    <row r="24" ht="24" customHeight="1" spans="2:8" x14ac:dyDescent="0.25">
      <c r="B24" s="19" t="s">
        <v>364</v>
      </c>
      <c r="C24" s="19" t="s">
        <v>365</v>
      </c>
      <c r="D24" s="19" t="s">
        <v>366</v>
      </c>
      <c r="E24" s="19"/>
      <c r="F24" s="19" t="s">
        <v>367</v>
      </c>
      <c r="G24" s="19"/>
      <c r="H24" s="19"/>
    </row>
    <row r="25" ht="45" customHeight="1" spans="2:8" x14ac:dyDescent="0.25">
      <c r="B25" s="42" t="s">
        <v>368</v>
      </c>
      <c r="C25" s="40" t="s">
        <v>369</v>
      </c>
      <c r="D25" s="73" t="s">
        <v>370</v>
      </c>
      <c r="E25" s="73"/>
      <c r="F25" s="74" t="s">
        <v>371</v>
      </c>
      <c r="G25" s="74"/>
      <c r="H25" s="74"/>
    </row>
    <row r="26" ht="45" customHeight="1" spans="2:8" x14ac:dyDescent="0.25">
      <c r="B26" s="42" t="s">
        <v>372</v>
      </c>
      <c r="C26" s="40" t="s">
        <v>369</v>
      </c>
      <c r="D26" s="73" t="s">
        <v>373</v>
      </c>
      <c r="E26" s="73"/>
      <c r="F26" s="74" t="s">
        <v>374</v>
      </c>
      <c r="G26" s="74"/>
      <c r="H26" s="74"/>
    </row>
    <row r="27" ht="45" customHeight="1" spans="2:8" x14ac:dyDescent="0.25">
      <c r="B27" s="42" t="s">
        <v>375</v>
      </c>
      <c r="C27" s="40" t="s">
        <v>369</v>
      </c>
      <c r="D27" s="73" t="s">
        <v>376</v>
      </c>
      <c r="E27" s="73"/>
      <c r="F27" s="74" t="s">
        <v>377</v>
      </c>
      <c r="G27" s="74"/>
      <c r="H27" s="74"/>
    </row>
    <row r="28" ht="45" customHeight="1" spans="2:8" x14ac:dyDescent="0.25">
      <c r="B28" s="42" t="s">
        <v>378</v>
      </c>
      <c r="C28" s="40" t="s">
        <v>369</v>
      </c>
      <c r="D28" s="73" t="s">
        <v>379</v>
      </c>
      <c r="E28" s="73"/>
      <c r="F28" s="74" t="s">
        <v>380</v>
      </c>
      <c r="G28" s="74"/>
      <c r="H28" s="74"/>
    </row>
    <row r="29" ht="45" customHeight="1" spans="2:8" x14ac:dyDescent="0.25">
      <c r="B29" s="42" t="s">
        <v>381</v>
      </c>
      <c r="C29" s="40" t="s">
        <v>369</v>
      </c>
      <c r="D29" s="73" t="s">
        <v>382</v>
      </c>
      <c r="E29" s="73"/>
      <c r="F29" s="74" t="s">
        <v>383</v>
      </c>
      <c r="G29" s="74"/>
      <c r="H29" s="74"/>
    </row>
    <row r="30" ht="45" customHeight="1" spans="2:8" x14ac:dyDescent="0.25">
      <c r="B30" s="42" t="s">
        <v>384</v>
      </c>
      <c r="C30" s="40" t="s">
        <v>369</v>
      </c>
      <c r="D30" s="73" t="s">
        <v>385</v>
      </c>
      <c r="E30" s="73"/>
      <c r="F30" s="74" t="s">
        <v>386</v>
      </c>
      <c r="G30" s="74"/>
      <c r="H30" s="74"/>
    </row>
    <row r="32" spans="2:6" x14ac:dyDescent="0.25">
      <c r="B32" s="42" t="s">
        <v>387</v>
      </c>
      <c r="C32" s="10" t="s">
        <v>388</v>
      </c>
      <c r="D32" s="10"/>
      <c r="E32" s="10"/>
      <c r="F32" s="10"/>
    </row>
    <row r="34" spans="2:8" x14ac:dyDescent="0.25">
      <c r="B34" s="75" t="s">
        <v>389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2026-03-27T00:37:24Z</dcterms:created>
  <dcterms:modified xsi:type="dcterms:W3CDTF">2026-03-27T00:37:24Z</dcterms:modified>
</cp:coreProperties>
</file>