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<sst xmlns="http://schemas.openxmlformats.org/spreadsheetml/2006/main" count="789" uniqueCount="440">
  <si>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</si>
  <si>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</si>
  <si>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</si>
  <si>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</si>
  <si>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</si>
  <si>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</si>
  <si>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</si>
  <si>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</si>
  <si>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</si>
  <si>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</si>
  <si>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</si>
  <si>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</si>
  <si>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</si>
  <si>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</si>
  <si>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</si>
  <si>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</si>
  <si>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</si>
  <si>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</si>
  <si>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</si>
  <si>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</si>
  <si>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</si>
  <si>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</si>
  <si>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</si>
  <si>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</si>
  <si>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</si>
  <si>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</si>
  <si>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</si>
  <si>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</si>
  <si>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</si>
  <si>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</si>
  <si>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</si>
  <si>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</si>
  <si>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</si>
  <si>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</si>
  <si>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</si>
  <si>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</si>
  <si>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</si>
  <si>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</si>
  <si>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</si>
  <si>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</si>
  <si>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</si>
  <si>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</si>
  <si>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April 29,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</si>
  <si>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</si>
  <si>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</si>
  <si>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</si>
  <si>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</si>
  <si>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</si>
  <si>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</si>
  <si>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</si>
  <si>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</si>
  <si>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</si>
  <si>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</si>
  <si>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</si>
  <si>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</si>
  <si>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</si>
  <si>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</si>
  <si>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</si>
  <si>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</si>
  <si>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</si>
  <si>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</si>
  <si>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</si>
  <si>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</si>
  <si>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</si>
  <si>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</si>
  <si>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</si>
  <si>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</si>
  <si>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</si>
  <si>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</si>
  <si>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</si>
  <si>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</si>
  <si>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</si>
  <si>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</si>
  <si>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</si>
  <si>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</si>
  <si>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</si>
  <si>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</si>
  <si>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</si>
  <si>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</si>
  <si>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</si>
  <si>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</si>
  <si>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</si>
  <si>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</si>
  <si>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</si>
  <si>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</si>
  <si>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</si>
  <si>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</si>
  <si>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</si>
  <si>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</si>
  <si>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</si>
  <si>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</si>
  <si>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</si>
  <si>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</si>
  <si>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</si>
  <si>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</si>
  <si>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</si>
  <si>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</si>
  <si>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</si>
  <si>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</si>
  <si>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</si>
  <si>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</si>
  <si>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</si>
  <si>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</si>
  <si>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</si>
  <si>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</si>
  <si>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</si>
  <si>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</si>
  <si>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</si>
  <si>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</si>
  <si>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</si>
  <si>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</si>
  <si>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</si>
  <si>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</si>
  <si>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</si>
  <si>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</si>
  <si>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</si>
  <si>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</si>
  <si>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</si>
  <si>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</si>
  <si>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</si>
  <si>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</si>
  <si>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</si>
  <si>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</si>
  <si>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</si>
  <si>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</si>
  <si>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</si>
  <si>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</si>
  <si>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</si>
  <si>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</si>
  <si>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</si>
  <si>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</si>
  <si>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</si>
  <si>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</si>
  <si>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</si>
  <si>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</si>
  <si>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</si>
  <si>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</si>
  <si>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</si>
  <si>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</si>
  <si>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</si>
  <si>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</si>
  <si>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</si>
  <si>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</si>
  <si>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</si>
  <si>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</si>
  <si>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</si>
  <si>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</si>
  <si>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</si>
  <si>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</si>
  <si>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</si>
  <si>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</si>
  <si>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</si>
  <si>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</si>
  <si>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</si>
  <si>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</si>
  <si>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</si>
  <si>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</si>
  <si>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</si>
  <si>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</si>
  <si>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</si>
  <si>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</si>
  <si>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</si>
  <si>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</si>
  <si>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</si>
  <si>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</si>
  <si>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</si>
  <si>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</si>
  <si>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</si>
  <si>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</si>
  <si>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</si>
  <si>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</si>
  <si>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</si>
  <si>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</si>
  <si>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</si>
  <si>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</si>
  <si>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</si>
  <si>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</si>
  <si>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</si>
  <si>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</si>
  <si>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</si>
  <si>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</si>
  <si>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</si>
  <si>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</si>
  <si>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</si>
  <si>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microschool</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</si>
  <si>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</si>
  <si>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</si>
  <si>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</si>
  <si>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</si>
  <si>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</si>
  <si>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</si>
  <si>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</si>
  <si>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</si>
  <si>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</si>
  <si>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</si>
  <si>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</si>
  <si>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</si>
  <si>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</si>
  <si>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</si>
  <si>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</si>
  <si>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</si>
  <si>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</si>
  <si>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</si>
  <si>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</si>
  <si>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</si>
  <si>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</si>
  <si>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</si>
  <si>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</si>
  <si>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</si>
  <si>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</si>
  <si>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</si>
  <si>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</si>
  <si>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</si>
  <si>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</si>
  <si>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</si>
  <si>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</si>
  <si>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</si>
  <si>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</si>
  <si>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</si>
  <si>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</si>
  <si>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</si>
  <si>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</si>
  <si>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</si>
  <si>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</si>
  <si>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</si>
  <si>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</si>
  <si>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</si>
  <si>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</si>
  <si>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</si>
  <si>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</si>
  <si>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</si>
  <si>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</si>
  <si>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</si>
  <si>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</si>
  <si>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</si>
  <si>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</si>
  <si>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</si>
  <si>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</si>
  <si>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</si>
  <si>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</si>
  <si>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</si>
  <si>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</si>
  <si>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</si>
  <si>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</si>
  <si>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</si>
  <si>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</si>
  <si>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</si>
  <si>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</si>
  <si>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</si>
  <si>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</si>
  <si>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</si>
  <si>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</si>
  <si>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</si>
  <si>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</si>
  <si>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</si>
  <si>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</si>
  <si>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</si>
  <si>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</si>
  <si>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</si>
  <si>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</si>
  <si>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</si>
  <si>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</si>
  <si>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</si>
  <si>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</si>
  <si>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</si>
  <si>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</si>
  <si>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</si>
  <si>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</si>
  <si>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</si>
  <si>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</si>
  <si>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</si>
  <si>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</si>
  <si>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</si>
  <si>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</si>
  <si>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</si>
  <si>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</si>
  <si>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</si>
  <si>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</si>
  <si>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</si>
  <si>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</si>
  <si>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</si>
  <si>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</si>
  <si>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</si>
  <si>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</si>
  <si>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</si>
  <si>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</si>
  <si>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</si>
  <si>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</si>
  <si>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</si>
  <si>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</si>
  <si>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</si>
  <si>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</si>
  <si>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</si>
  <si>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</si>
  <si>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</si>
  <si>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</si>
  <si>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</si>
  <si>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</si>
  <si>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</si>
  <si>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</si>
  <si>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</si>
  <si>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</si>
  <si>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</si>
  <si>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</si>
  <si>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</si>
  <si>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</si>
  <si>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</si>
  <si>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</si>
  <si>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</si>
  <si>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</si>
  <si>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</si>
  <si>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</si>
  <si>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</si>
  <si>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</si>
  <si>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</si>
  <si>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</si>
  <si>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</si>
  <si>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</si>
  <si>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</si>
  <si>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</si>
  <si>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</si>
  <si>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</si>
  <si>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</si>
  <si>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</si>
  <si>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</si>
  <si>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</si>
  <si>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</si>
  <si>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</si>
  <si>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</si>
  <si>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</si>
  <si>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</si>
  <si>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</si>
  <si>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</si>
  <si>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</si>
  <si>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</si>
  <si>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</si>
  <si>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</si>
  <si>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</si>
  <si>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</si>
  <si>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</si>
  <si>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</si>
  <si>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</si>
  <si>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</si>
  <si>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</si>
  <si>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</si>
  <si>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</si>
  <si>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</si>
  <si>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</si>
  <si>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</si>
  <si>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</si>
  <si>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</si>
  <si>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</si>
  <si>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</si>
  <si>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</si>
  <si>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</si>
  <si>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</si>
  <si>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</si>
  <si>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</si>
  <si>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</si>
  <si>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</si>
  <si>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</si>
  <si>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</si>
  <si>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</si>
  <si>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</si>
  <si>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</si>
  <si>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</si>
  <si>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</si>
  <si>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</si>
  <si>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</si>
  <si>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</si>
  <si>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</si>
  <si>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</si>
  <si>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</si>
  <si>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</si>
  <si>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</si>
  <si>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</si>
  <si>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</si>
  <si>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</si>
  <si>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</si>
  <si>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</si>
  <si>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</si>
  <si>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</si>
  <si>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</si>
  <si>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</si>
  <si>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</si>
  <si>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</si>
  <si>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</si>
  <si>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</si>
  <si>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</si>
  <si>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</si>
  <si>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</si>
  <si>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</si>
  <si>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</si>
  <si>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</si>
  <si>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</si>
  <si>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</si>
  <si>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</si>
  <si>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</si>
  <si>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</si>
  <si>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</si>
  <si>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</si>
  <si>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</si>
  <si>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</si>
  <si>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</si>
  <si>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</si>
  <si>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</si>
  <si>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</si>
  <si>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</si>
  <si>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</si>
  <si>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</si>
  <si>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</si>
  <si>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</si>
  <si>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</si>
  <si>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</si>
  <si>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</si>
  <si>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</si>
  <si>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</si>
  <si>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</si>
  <si>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</si>
  <si>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</si>
  <si>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</si>
  <si>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</si>
  <si>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111.5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</si>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</sst>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7" x14ac:dyDescent="0.25">
      <c r="A62" s="19" t="s">
        <v>178</v>
      </c>
      <c r="B62" s="19"/>
      <c r="C62" s="19"/>
      <c r="D62" s="19"/>
      <c r="E62" s="19"/>
      <c r="F62" s="19"/>
      <c r="G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7"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7" x14ac:dyDescent="0.25">
      <c r="A7" s="19" t="s">
        <v>215</v>
      </c>
      <c r="B7" s="19"/>
      <c r="C7" s="19"/>
      <c r="D7" s="19"/>
      <c r="E7" s="19"/>
      <c r="F7" s="19"/>
      <c r="G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302070</v>
      </c>
      <c r="D9" s="32">
        <f>SUM(D5:D8)</f>
        <v>422934</v>
      </c>
      <c r="E9" s="32">
        <f>SUM(E5:E8)</f>
        <v>521874</v>
      </c>
      <c r="F9" s="32">
        <f>SUM(F5:F8)</f>
        <v>596641</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302070</v>
      </c>
      <c r="D4" s="34">
        <f>'Budget Detail'!D9</f>
        <v>422934</v>
      </c>
      <c r="E4" s="34">
        <f>'Budget Detail'!E9</f>
        <v>521874</v>
      </c>
      <c r="F4" s="34">
        <f>'Budget Detail'!F9</f>
        <v>596641</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176525</v>
      </c>
      <c r="D11" s="33">
        <f>D4-D8</f>
        <v>288241</v>
      </c>
      <c r="E11" s="33">
        <f>E4-E8</f>
        <v>379014</v>
      </c>
      <c r="F11" s="33">
        <f>F4-F8</f>
        <v>446703</v>
      </c>
    </row>
    <row r="12" spans="1:6" x14ac:dyDescent="0.25">
      <c r="A12" s="11" t="s">
        <v>270</v>
      </c>
      <c r="B12" s="29">
        <f>IF(B4=0,0,B11/B4)</f>
        <v>0.41557463</v>
      </c>
      <c r="C12" s="29">
        <f>IF(C4=0,0,C11/C4)</f>
        <v>0.58438413</v>
      </c>
      <c r="D12" s="29">
        <f>IF(D4=0,0,D11/D4)</f>
        <v>0.68152664</v>
      </c>
      <c r="E12" s="29">
        <f>IF(E4=0,0,E11/E4)</f>
        <v>0.72625493</v>
      </c>
      <c r="F12" s="29">
        <f>IF(F4=0,0,F11/F4)</f>
        <v>0.74869702</v>
      </c>
    </row>
    <row r="13" spans="1:6" x14ac:dyDescent="0.25">
      <c r="A13" s="11" t="s">
        <v>271</v>
      </c>
      <c r="B13" s="31">
        <v>69609</v>
      </c>
      <c r="C13" s="31">
        <v>246134</v>
      </c>
      <c r="D13" s="31">
        <v>534374</v>
      </c>
      <c r="E13" s="31">
        <v>913388</v>
      </c>
      <c r="F13" s="31">
        <v>1360092</v>
      </c>
    </row>
    <row r="14" spans="1:6" x14ac:dyDescent="0.25">
      <c r="A14" s="11" t="s">
        <v>238</v>
      </c>
      <c r="B14" s="31">
        <v>11167</v>
      </c>
      <c r="C14" s="31">
        <v>13730</v>
      </c>
      <c r="D14" s="31">
        <v>14098</v>
      </c>
      <c r="E14" s="31">
        <v>14497</v>
      </c>
      <c r="F14" s="31">
        <v>14916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302070</v>
      </c>
      <c r="D5" s="32">
        <v>422934</v>
      </c>
      <c r="E5" s="32">
        <v>521874</v>
      </c>
      <c r="F5" s="32">
        <v>596641</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176239</v>
      </c>
      <c r="D15" s="33">
        <f>D5-D12</f>
        <v>287955</v>
      </c>
      <c r="E15" s="33">
        <f>E5-E12</f>
        <v>378728</v>
      </c>
      <c r="F15" s="33">
        <f>F5-F12</f>
        <v>446418</v>
      </c>
    </row>
    <row r="16" spans="1:6" x14ac:dyDescent="0.25">
      <c r="A16" s="11" t="s">
        <v>270</v>
      </c>
      <c r="B16" s="29">
        <f>IF(B5=0,0,B15/B5)</f>
        <v>0.41386887</v>
      </c>
      <c r="C16" s="29">
        <f>IF(C5=0,0,C15/C5)</f>
        <v>0.58343828</v>
      </c>
      <c r="D16" s="29">
        <f>IF(D5=0,0,D15/D5)</f>
        <v>0.68085108</v>
      </c>
      <c r="E16" s="29">
        <f>IF(E5=0,0,E15/E5)</f>
        <v>0.72570746</v>
      </c>
      <c r="F16" s="29">
        <f>IF(F5=0,0,F15/F5)</f>
        <v>0.74821815</v>
      </c>
    </row>
    <row r="17" spans="1:6" x14ac:dyDescent="0.25">
      <c r="A17" s="10" t="s">
        <v>271</v>
      </c>
      <c r="B17" s="34">
        <f>B15</f>
        <v>69323</v>
      </c>
      <c r="C17" s="34">
        <f>B17+C15</f>
        <v>245562</v>
      </c>
      <c r="D17" s="34">
        <f>C17+D15</f>
        <v>533517</v>
      </c>
      <c r="E17" s="34">
        <f>D17+E15</f>
        <v>912245</v>
      </c>
      <c r="F17" s="34">
        <f>E17+F15</f>
        <v>1358663</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279625</v>
      </c>
      <c r="D5" s="47">
        <f>B5+'5-Year Operating Stmt'!C15+'5-Year Operating Stmt'!D15</f>
        <v>567865</v>
      </c>
      <c r="E5" s="47">
        <f>B5+'5-Year Operating Stmt'!C15+'5-Year Operating Stmt'!D15+'5-Year Operating Stmt'!E15</f>
        <v>946879</v>
      </c>
      <c r="F5" s="47">
        <f>B5+'5-Year Operating Stmt'!C15+'5-Year Operating Stmt'!D15+'5-Year Operating Stmt'!E15+'5-Year Operating Stmt'!F15</f>
        <v>1393583</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281578</v>
      </c>
      <c r="D9" s="32">
        <f>SUM(D5:D8)</f>
        <v>569548</v>
      </c>
      <c r="E9" s="32">
        <f>SUM(E5:E8)</f>
        <v>948292</v>
      </c>
      <c r="F9" s="32">
        <f>SUM(F5:F8)</f>
        <v>1394726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281578</v>
      </c>
      <c r="D17" s="33">
        <f>D9-D14</f>
        <v>569548</v>
      </c>
      <c r="E17" s="33">
        <f>E9-E14</f>
        <v>948292</v>
      </c>
      <c r="F17" s="33">
        <f>F9-F14</f>
        <v>1394726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302070</v>
      </c>
      <c r="D5" s="31">
        <v>422934</v>
      </c>
      <c r="E5" s="31">
        <v>521874</v>
      </c>
      <c r="F5" s="31">
        <v>596641</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176525</v>
      </c>
      <c r="D8" s="34">
        <v>288241</v>
      </c>
      <c r="E8" s="34">
        <v>379014</v>
      </c>
      <c r="F8" s="34">
        <v>446703</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176811</v>
      </c>
      <c r="D11" s="34">
        <f>D8+D9+D10</f>
        <v>288526</v>
      </c>
      <c r="E11" s="34">
        <f>E8+E9+E10</f>
        <v>379300</v>
      </c>
      <c r="F11" s="34">
        <f>F8+F9+F10</f>
        <v>446989</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279625</v>
      </c>
      <c r="D15" s="31">
        <v>567865</v>
      </c>
      <c r="E15" s="31">
        <v>946879</v>
      </c>
      <c r="F15" s="31">
        <v>1393583</v>
      </c>
    </row>
    <row r="16" spans="1:6" x14ac:dyDescent="0.25">
      <c r="A16" s="11" t="s">
        <v>334</v>
      </c>
      <c r="B16" s="50">
        <f>IF((B5-B8)=0,0,(B15/(B5-B8))*365)</f>
        <v>384</v>
      </c>
      <c r="C16" s="50">
        <f>IF((C5-C8)=0,0,(C15/(C5-C8))*365)</f>
        <v>813</v>
      </c>
      <c r="D16" s="50">
        <f>IF((D5-D8)=0,0,(D15/(D5-D8))*365)</f>
        <v>1539</v>
      </c>
      <c r="E16" s="50">
        <f>IF((E5-E8)=0,0,(E15/(E5-E8))*365)</f>
        <v>2419</v>
      </c>
      <c r="F16" s="50">
        <f>IF((F5-F8)=0,0,(F15/(F5-F8))*365)</f>
        <v>3392</v>
      </c>
    </row>
    <row r="17" spans="1:6" x14ac:dyDescent="0.25">
      <c r="A17" s="11" t="s">
        <v>335</v>
      </c>
      <c r="B17" s="35">
        <f>IF((B5-B8)=0,0,B15/((B5-B8)/12))</f>
        <v>12.6</v>
      </c>
      <c r="C17" s="35">
        <f>IF((C5-C8)=0,0,C15/((C5-C8)/12))</f>
        <v>26.7</v>
      </c>
      <c r="D17" s="35">
        <f>IF((D5-D8)=0,0,D15/((D5-D8)/12))</f>
        <v>50.6</v>
      </c>
      <c r="E17" s="35">
        <f>IF((E5-E8)=0,0,E15/((E5-E8)/12))</f>
        <v>79.5</v>
      </c>
      <c r="F17" s="35">
        <f>IF((F5-F8)=0,0,F15/((F5-F8)/12))</f>
        <v>111.5</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13730</v>
      </c>
      <c r="D21" s="31">
        <v>14098</v>
      </c>
      <c r="E21" s="31">
        <v>14497</v>
      </c>
      <c r="F21" s="31">
        <v>14916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302070</v>
      </c>
      <c r="D6" s="31">
        <v>422934</v>
      </c>
      <c r="E6" s="31">
        <v>521874</v>
      </c>
      <c r="F6" s="31">
        <v>596641</v>
      </c>
    </row>
    <row r="7" spans="1:6" x14ac:dyDescent="0.25">
      <c r="A7" s="11" t="s">
        <v>267</v>
      </c>
      <c r="B7" s="31">
        <v>97891</v>
      </c>
      <c r="C7" s="31">
        <v>125545</v>
      </c>
      <c r="D7" s="31">
        <v>134693</v>
      </c>
      <c r="E7" s="31">
        <v>142861</v>
      </c>
      <c r="F7" s="31">
        <v>149938</v>
      </c>
    </row>
    <row r="8" spans="1:6" x14ac:dyDescent="0.25">
      <c r="A8" s="10" t="s">
        <v>269</v>
      </c>
      <c r="B8" s="33">
        <v>69609</v>
      </c>
      <c r="C8" s="33">
        <v>176525</v>
      </c>
      <c r="D8" s="33">
        <v>288241</v>
      </c>
      <c r="E8" s="33">
        <v>379014</v>
      </c>
      <c r="F8" s="33">
        <v>446703</v>
      </c>
    </row>
    <row r="9" spans="1:6" x14ac:dyDescent="0.25">
      <c r="A9" s="11" t="s">
        <v>270</v>
      </c>
      <c r="B9" s="29">
        <v>0.41557462686567165</v>
      </c>
      <c r="C9" s="29">
        <v>0.5843841328168967</v>
      </c>
      <c r="D9" s="29">
        <v>0.6815266375084321</v>
      </c>
      <c r="E9" s="29">
        <v>0.7262549346685067</v>
      </c>
      <c r="F9" s="29">
        <v>0.7486970244652048</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226553</v>
      </c>
      <c r="D16" s="31">
        <v>317200</v>
      </c>
      <c r="E16" s="31">
        <v>391406</v>
      </c>
      <c r="F16" s="31">
        <v>447481</v>
      </c>
    </row>
    <row r="17" spans="1:6" x14ac:dyDescent="0.25">
      <c r="A17" s="11" t="s">
        <v>267</v>
      </c>
      <c r="B17" s="31">
        <v>97891</v>
      </c>
      <c r="C17" s="31">
        <v>125545</v>
      </c>
      <c r="D17" s="31">
        <v>134693</v>
      </c>
      <c r="E17" s="31">
        <v>142861</v>
      </c>
      <c r="F17" s="31">
        <v>149938</v>
      </c>
    </row>
    <row r="18" spans="1:6" x14ac:dyDescent="0.25">
      <c r="A18" s="10" t="s">
        <v>269</v>
      </c>
      <c r="B18" s="33">
        <v>27734</v>
      </c>
      <c r="C18" s="33">
        <v>101007</v>
      </c>
      <c r="D18" s="33">
        <v>182507</v>
      </c>
      <c r="E18" s="33">
        <v>248545</v>
      </c>
      <c r="F18" s="33">
        <v>297543</v>
      </c>
    </row>
    <row r="19" spans="1:6" x14ac:dyDescent="0.25">
      <c r="A19" s="11" t="s">
        <v>270</v>
      </c>
      <c r="B19" s="29">
        <v>0.22076616915422886</v>
      </c>
      <c r="C19" s="29">
        <v>0.44584551042252896</v>
      </c>
      <c r="D19" s="29">
        <v>0.5753688500112429</v>
      </c>
      <c r="E19" s="29">
        <v>0.635006579558009</v>
      </c>
      <c r="F19" s="29">
        <v>0.6649293659536065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302070</v>
      </c>
      <c r="F13" s="31">
        <v>422934</v>
      </c>
      <c r="G13" s="31">
        <v>521874</v>
      </c>
      <c r="H13" s="31">
        <v>596641</v>
      </c>
    </row>
    <row r="14" spans="1:8" x14ac:dyDescent="0.25">
      <c r="A14" s="11" t="s">
        <v>267</v>
      </c>
      <c r="D14" s="31">
        <v>97891</v>
      </c>
      <c r="E14" s="31">
        <v>125545</v>
      </c>
      <c r="F14" s="31">
        <v>134693</v>
      </c>
      <c r="G14" s="31">
        <v>142861</v>
      </c>
      <c r="H14" s="31">
        <v>149938</v>
      </c>
    </row>
    <row r="15" spans="1:8" x14ac:dyDescent="0.25">
      <c r="A15" s="11" t="s">
        <v>269</v>
      </c>
      <c r="D15" s="31">
        <v>69609</v>
      </c>
      <c r="E15" s="31">
        <v>176525</v>
      </c>
      <c r="F15" s="31">
        <v>288241</v>
      </c>
      <c r="G15" s="31">
        <v>379014</v>
      </c>
      <c r="H15" s="31">
        <v>446703</v>
      </c>
    </row>
    <row r="16" spans="1:8" x14ac:dyDescent="0.25">
      <c r="A16" s="11" t="s">
        <v>365</v>
      </c>
      <c r="D16" s="31">
        <v>103100</v>
      </c>
      <c r="E16" s="31">
        <v>279625</v>
      </c>
      <c r="F16" s="31">
        <v>567865</v>
      </c>
      <c r="G16" s="31">
        <v>946879</v>
      </c>
      <c r="H16" s="31">
        <v>1393583</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0.5843841328168967</v>
      </c>
      <c r="F21" s="29">
        <v>0.6815266375084321</v>
      </c>
      <c r="G21" s="29">
        <v>0.7262549346685067</v>
      </c>
      <c r="H21" s="29">
        <v>0.7486970244652047</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371</v>
      </c>
      <c r="C2" s="1"/>
      <c r="D2" s="1"/>
      <c r="E2" s="1"/>
      <c r="F2" s="1"/>
      <c r="G2" s="1"/>
      <c r="H2" s="1"/>
    </row>
    <row r="3" spans="2:8" x14ac:dyDescent="0.25">
      <c r="B3" s="58" t="s">
        <v>372</v>
      </c>
      <c r="C3" s="58"/>
      <c r="D3" s="58"/>
      <c r="E3" s="58"/>
      <c r="F3" s="58"/>
      <c r="G3" s="58"/>
      <c r="H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302070</v>
      </c>
      <c r="E8" s="64">
        <v>422933.7</v>
      </c>
      <c r="F8" s="64">
        <v>521874.417</v>
      </c>
      <c r="G8" s="64">
        <v>596641.1076300001</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62801.35635800001</v>
      </c>
    </row>
    <row r="11" spans="2:7" x14ac:dyDescent="0.25">
      <c r="B11" s="11" t="s">
        <v>290</v>
      </c>
      <c r="C11" s="64">
        <v>0</v>
      </c>
      <c r="D11" s="64">
        <v>0</v>
      </c>
      <c r="E11" s="64">
        <v>0</v>
      </c>
      <c r="F11" s="64">
        <v>0</v>
      </c>
      <c r="G11" s="64">
        <v>0</v>
      </c>
    </row>
    <row r="12" spans="2:7" x14ac:dyDescent="0.25">
      <c r="B12" s="10" t="s">
        <v>269</v>
      </c>
      <c r="C12" s="65">
        <v>69608.75</v>
      </c>
      <c r="D12" s="65">
        <v>176524.91499999998</v>
      </c>
      <c r="E12" s="65">
        <v>288240.58245</v>
      </c>
      <c r="F12" s="65">
        <v>379013.8706235</v>
      </c>
      <c r="G12" s="65">
        <v>446703.42195620504</v>
      </c>
    </row>
    <row r="13" spans="2:7" x14ac:dyDescent="0.25">
      <c r="B13" s="10" t="s">
        <v>333</v>
      </c>
      <c r="C13" s="65">
        <v>103100</v>
      </c>
      <c r="D13" s="65">
        <v>279624.915</v>
      </c>
      <c r="E13" s="65">
        <v>567865.4974499999</v>
      </c>
      <c r="F13" s="65">
        <v>946879.3680735</v>
      </c>
      <c r="G13" s="65">
        <v>1393582.790029705</v>
      </c>
    </row>
    <row r="14" spans="2:7" x14ac:dyDescent="0.25">
      <c r="B14" s="10" t="s">
        <v>368</v>
      </c>
      <c r="C14" s="66">
        <v>0.41557462686567165</v>
      </c>
      <c r="D14" s="66">
        <v>0.5843841328168967</v>
      </c>
      <c r="E14" s="66">
        <v>0.6815266375084321</v>
      </c>
      <c r="F14" s="66">
        <v>0.7262549346685067</v>
      </c>
      <c r="G14" s="66">
        <v>0.7486970244652047</v>
      </c>
    </row>
    <row r="15" spans="2:8" x14ac:dyDescent="0.25">
      <c r="B15" s="10" t="s">
        <v>238</v>
      </c>
      <c r="C15" s="67">
        <v>11166.666666666666</v>
      </c>
      <c r="D15" s="67">
        <v>13730.454545454546</v>
      </c>
      <c r="E15" s="67">
        <v>14097.79</v>
      </c>
      <c r="F15" s="67">
        <v>14496.511583333333</v>
      </c>
      <c r="G15" s="67">
        <v>14916.027690750003</v>
      </c>
      <c r="H15" s="68" t="s">
        <v>383</v>
      </c>
    </row>
    <row r="16" spans="2:7" x14ac:dyDescent="0.25">
      <c r="B16" s="10" t="s">
        <v>272</v>
      </c>
      <c r="C16" s="69">
        <v>6526.083333333333</v>
      </c>
      <c r="D16" s="69">
        <v>5706.594772727273</v>
      </c>
      <c r="E16" s="69">
        <v>4489.770585</v>
      </c>
      <c r="F16" s="69">
        <v>3968.348510458333</v>
      </c>
      <c r="G16" s="69">
        <v>3748.4421418448756</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8023.859772727272</v>
      </c>
      <c r="E19" s="70">
        <v>9608.019414999999</v>
      </c>
      <c r="F19" s="70">
        <v>10528.163072875</v>
      </c>
      <c r="G19" s="70">
        <v>11167.585548905126</v>
      </c>
    </row>
    <row r="20" spans="2:8" x14ac:dyDescent="0.25">
      <c r="B20" s="10" t="s">
        <v>388</v>
      </c>
      <c r="C20" s="66">
        <v>0.3851716417910448</v>
      </c>
      <c r="D20" s="66">
        <v>0.2639854503922932</v>
      </c>
      <c r="E20" s="66">
        <v>0.1942014730677645</v>
      </c>
      <c r="F20" s="66">
        <v>0.16210485745366593</v>
      </c>
      <c r="G20" s="66">
        <v>0.14604479678230883</v>
      </c>
      <c r="H20" s="68" t="s">
        <v>389</v>
      </c>
    </row>
    <row r="21" spans="2:8" x14ac:dyDescent="0.25">
      <c r="B21" s="10" t="s">
        <v>390</v>
      </c>
      <c r="C21" s="71">
        <v>0.15402985074626865</v>
      </c>
      <c r="D21" s="66">
        <v>0.08797298639388221</v>
      </c>
      <c r="E21" s="66">
        <v>0.06471751955448335</v>
      </c>
      <c r="F21" s="66">
        <v>0.05402134245641706</v>
      </c>
      <c r="G21" s="66">
        <v>0.048669337272697025</v>
      </c>
      <c r="H21" s="68" t="s">
        <v>391</v>
      </c>
    </row>
    <row r="22" spans="2:8" x14ac:dyDescent="0.25">
      <c r="B22" s="10" t="s">
        <v>392</v>
      </c>
      <c r="C22" s="66">
        <v>0.41557462686567165</v>
      </c>
      <c r="D22" s="66">
        <v>0.5843841328168967</v>
      </c>
      <c r="E22" s="66">
        <v>0.6815266375084321</v>
      </c>
      <c r="F22" s="66">
        <v>0.7262549346685065</v>
      </c>
      <c r="G22" s="66">
        <v>0.7486970244652048</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813</v>
      </c>
      <c r="E27" s="72">
        <v>1539</v>
      </c>
      <c r="F27" s="72">
        <v>2419</v>
      </c>
      <c r="G27" s="72">
        <v>3392</v>
      </c>
      <c r="H27" s="68" t="s">
        <v>400</v>
      </c>
    </row>
    <row r="29" ht="24" customHeight="1" spans="2:8" x14ac:dyDescent="0.25">
      <c r="B29" s="19" t="s">
        <v>401</v>
      </c>
      <c r="C29" s="19" t="s">
        <v>402</v>
      </c>
      <c r="D29" s="19" t="s">
        <v>403</v>
      </c>
      <c r="E29" s="19"/>
      <c r="F29" s="19" t="s">
        <v>404</v>
      </c>
      <c r="G29" s="19"/>
      <c r="H29" s="19"/>
    </row>
    <row r="30" ht="45" customHeight="1" spans="2:8" x14ac:dyDescent="0.25">
      <c r="B30" s="44" t="s">
        <v>405</v>
      </c>
      <c r="C30" s="42" t="s">
        <v>406</v>
      </c>
      <c r="D30" s="77" t="s">
        <v>407</v>
      </c>
      <c r="E30" s="77"/>
      <c r="F30" s="78" t="s">
        <v>408</v>
      </c>
      <c r="G30" s="78"/>
      <c r="H30" s="78"/>
    </row>
    <row r="31" ht="45" customHeight="1" spans="2:8" x14ac:dyDescent="0.25">
      <c r="B31" s="44" t="s">
        <v>409</v>
      </c>
      <c r="C31" s="42" t="s">
        <v>406</v>
      </c>
      <c r="D31" s="77" t="s">
        <v>410</v>
      </c>
      <c r="E31" s="77"/>
      <c r="F31" s="78" t="s">
        <v>411</v>
      </c>
      <c r="G31" s="78"/>
      <c r="H31" s="78"/>
    </row>
    <row r="32" ht="45" customHeight="1" spans="2:8" x14ac:dyDescent="0.25">
      <c r="B32" s="44" t="s">
        <v>412</v>
      </c>
      <c r="C32" s="42" t="s">
        <v>406</v>
      </c>
      <c r="D32" s="77" t="s">
        <v>413</v>
      </c>
      <c r="E32" s="77"/>
      <c r="F32" s="78" t="s">
        <v>414</v>
      </c>
      <c r="G32" s="78"/>
      <c r="H32" s="78"/>
    </row>
    <row r="33" ht="45" customHeight="1" spans="2:8" x14ac:dyDescent="0.25">
      <c r="B33" s="44" t="s">
        <v>415</v>
      </c>
      <c r="C33" s="42" t="s">
        <v>406</v>
      </c>
      <c r="D33" s="77" t="s">
        <v>416</v>
      </c>
      <c r="E33" s="77"/>
      <c r="F33" s="78" t="s">
        <v>417</v>
      </c>
      <c r="G33" s="78"/>
      <c r="H33" s="78"/>
    </row>
    <row r="34" ht="45" customHeight="1" spans="2:8" x14ac:dyDescent="0.25">
      <c r="B34" s="44" t="s">
        <v>418</v>
      </c>
      <c r="C34" s="42" t="s">
        <v>406</v>
      </c>
      <c r="D34" s="77" t="s">
        <v>419</v>
      </c>
      <c r="E34" s="77"/>
      <c r="F34" s="78" t="s">
        <v>420</v>
      </c>
      <c r="G34" s="78"/>
      <c r="H34" s="78"/>
    </row>
    <row r="35" ht="45" customHeight="1" spans="2:8" x14ac:dyDescent="0.25">
      <c r="B35" s="44" t="s">
        <v>421</v>
      </c>
      <c r="C35" s="42" t="s">
        <v>406</v>
      </c>
      <c r="D35" s="77" t="s">
        <v>422</v>
      </c>
      <c r="E35" s="77"/>
      <c r="F35" s="78" t="s">
        <v>423</v>
      </c>
      <c r="G35" s="78"/>
      <c r="H35" s="78"/>
    </row>
    <row r="37" spans="2:6" x14ac:dyDescent="0.25">
      <c r="B37" s="44" t="s">
        <v>424</v>
      </c>
      <c r="C37" s="10" t="s">
        <v>425</v>
      </c>
      <c r="D37" s="10"/>
      <c r="E37" s="10"/>
      <c r="F37" s="10"/>
    </row>
    <row r="39" spans="2:8" x14ac:dyDescent="0.25">
      <c r="B39" s="79" t="s">
        <v>426</v>
      </c>
      <c r="C39" s="79"/>
      <c r="D39" s="79"/>
      <c r="E39" s="79"/>
      <c r="F39" s="79"/>
      <c r="G39" s="79"/>
      <c r="H39" s="79"/>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437</v>
      </c>
      <c r="C1" s="15"/>
      <c r="D1" s="15"/>
      <c r="E1" s="15"/>
      <c r="F1" s="15"/>
      <c r="G1" s="15"/>
      <c r="H1" s="15"/>
    </row>
    <row r="2" ht="60" customHeight="1" spans="2:8" x14ac:dyDescent="0.25">
      <c r="B2" s="81" t="s">
        <v>438</v>
      </c>
      <c r="C2" s="81"/>
      <c r="D2" s="81"/>
      <c r="E2" s="81"/>
      <c r="F2" s="81"/>
      <c r="G2" s="81"/>
      <c r="H2" s="81"/>
    </row>
    <row r="4" ht="30" customHeight="1" spans="2:8" x14ac:dyDescent="0.25">
      <c r="B4" s="82" t="s">
        <v>439</v>
      </c>
      <c r="C4" s="82"/>
      <c r="D4" s="82"/>
      <c r="E4" s="82"/>
      <c r="F4" s="82"/>
      <c r="G4" s="82"/>
      <c r="H4" s="82"/>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