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Assumptions Memo" state="visible" r:id="rId27"/>
    <sheet sheetId="25" name="Decision History" state="visible" r:id="rId28"/>
  </sheets>
  <calcPr calcId="171027" fullCalcOnLoad="1"/>
</workbook>
</file>

<file path=xl/sharedStrings.xml><?xml version="1.0" encoding="utf-8"?>
<sst xmlns="http://schemas.openxmlformats.org/spreadsheetml/2006/main" count="792" uniqueCount="443">
  <si>
    <t>How to Use This Workbook</t>
  </si>
  <si>
    <t>Liberty Learning Co-Op</t>
  </si>
  <si>
    <t>Generated May 7,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</si>
  <si>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</si>
  <si>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</si>
  <si>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</si>
  <si>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</si>
  <si>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</si>
  <si>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</si>
  <si>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</si>
  <si>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</si>
  <si>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</si>
  <si>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</si>
  <si>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</si>
  <si>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</si>
  <si>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</si>
  <si>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</si>
  <si>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</si>
  <si>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</si>
  <si>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</si>
  <si>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</si>
  <si>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</si>
  <si>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</si>
  <si>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</si>
  <si>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</si>
  <si>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</si>
  <si>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</si>
  <si>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</si>
  <si>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</si>
  <si>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</si>
  <si>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</si>
  <si>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</si>
  <si>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</si>
  <si>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</si>
  <si>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Homeschool Co-Op</t>
  </si>
  <si>
    <t>Entity Type</t>
  </si>
  <si>
    <t>LLC (Single Member)</t>
  </si>
  <si>
    <t>State</t>
  </si>
  <si>
    <t>AZ</t>
  </si>
  <si>
    <t>Fiscal Year Start</t>
  </si>
  <si>
    <t>Month 7</t>
  </si>
  <si>
    <t>Model Date</t>
  </si>
  <si>
    <t>May 7, 2026</t>
  </si>
  <si>
    <t>Stage</t>
  </si>
  <si>
    <t>Startup / Pre-Opening</t>
  </si>
  <si>
    <t>Funding Profile</t>
  </si>
  <si>
    <t>Hybrid / Mixed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</si>
  <si>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</si>
  <si>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</si>
  <si>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</si>
  <si>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</si>
  <si>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</si>
  <si>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</si>
  <si>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</si>
  <si>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</si>
  <si>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</si>
  <si>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</si>
  <si>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</si>
  <si>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</si>
  <si>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</si>
  <si>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</si>
  <si>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</si>
  <si>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</si>
  <si>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</si>
  <si>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</si>
  <si>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</si>
  <si>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</si>
  <si>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</si>
  <si>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</si>
  <si>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</si>
  <si>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</si>
  <si>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</si>
  <si>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</si>
  <si>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</si>
  <si>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</si>
  <si>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</si>
  <si>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</si>
  <si>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</si>
  <si>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</si>
  <si>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</si>
  <si>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</si>
  <si>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</si>
  <si>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</si>
  <si>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</si>
  <si>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</si>
  <si>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</si>
  <si>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</si>
  <si>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</si>
  <si>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</si>
  <si>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</si>
  <si>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</si>
  <si>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</si>
  <si>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</si>
  <si>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</si>
  <si>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</si>
  <si>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Liberty Learning Co-Op - Assumptions</t>
  </si>
  <si>
    <t>Editable assumption — change this value</t>
  </si>
  <si>
    <t>Calculated — driven by formula</t>
  </si>
  <si>
    <t>SCHOOL PROFILE</t>
  </si>
  <si>
    <t>EIN</t>
  </si>
  <si>
    <t>86-5551234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</si>
  <si>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</si>
  <si>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</si>
  <si>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</si>
  <si>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</si>
  <si>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</si>
  <si>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</si>
  <si>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</si>
  <si>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</si>
  <si>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</si>
  <si>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</si>
  <si>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</si>
  <si>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</si>
  <si>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</si>
  <si>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</si>
  <si>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</si>
  <si>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</si>
  <si>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Co-Op Tuition</t>
  </si>
  <si>
    <t>Tuition &amp; Fees</t>
  </si>
  <si>
    <t>Per Student</t>
  </si>
  <si>
    <t>Default</t>
  </si>
  <si>
    <t>Materials Fee</t>
  </si>
  <si>
    <t>ESA Revenue</t>
  </si>
  <si>
    <t>School Choice</t>
  </si>
  <si>
    <t>Annual Fundraising</t>
  </si>
  <si>
    <t>Philanthropy</t>
  </si>
  <si>
    <t>Annual Fixed</t>
  </si>
  <si>
    <t>STAFFING</t>
  </si>
  <si>
    <t>Role</t>
  </si>
  <si>
    <t>Type</t>
  </si>
  <si>
    <t>FTE</t>
  </si>
  <si>
    <t>Rate</t>
  </si>
  <si>
    <t>Benefits %</t>
  </si>
  <si>
    <t>Tax %</t>
  </si>
  <si>
    <t>Director / Lead Educator</t>
  </si>
  <si>
    <t>School Leadership</t>
  </si>
  <si>
    <t>full_time</t>
  </si>
  <si>
    <t>Assistant Educator</t>
  </si>
  <si>
    <t>Instructional</t>
  </si>
  <si>
    <t>part_time</t>
  </si>
  <si>
    <t>OPERATING EXPENSES</t>
  </si>
  <si>
    <t>Rent</t>
  </si>
  <si>
    <t>Occupancy / Facility</t>
  </si>
  <si>
    <t>Monthly</t>
  </si>
  <si>
    <t>Utilities</t>
  </si>
  <si>
    <t>Insurance</t>
  </si>
  <si>
    <t>Compliance Contract</t>
  </si>
  <si>
    <t>Administrative / General</t>
  </si>
  <si>
    <t>Curriculum &amp; Materials</t>
  </si>
  <si>
    <t>Instructional / Program</t>
  </si>
  <si>
    <t>Technology</t>
  </si>
  <si>
    <t>CAPITAL &amp; DEBT</t>
  </si>
  <si>
    <t>Instrument</t>
  </si>
  <si>
    <t>Principal</t>
  </si>
  <si>
    <t>Term (Yrs)</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</si>
  <si>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</si>
  <si>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</si>
  <si>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</si>
  <si>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</si>
  <si>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</si>
  <si>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</si>
  <si>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</si>
  <si>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</si>
  <si>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No</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</si>
  <si>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</si>
  <si>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</si>
  <si>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</si>
  <si>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</si>
  <si>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</si>
  <si>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</si>
  <si>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</si>
  <si>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</si>
  <si>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</si>
  <si>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</si>
  <si>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</si>
  <si>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</si>
  <si>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</si>
  <si>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</si>
  <si>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WEIGHTED ENROLLMENT POPULATIONS</t>
  </si>
  <si>
    <t>Population</t>
  </si>
  <si>
    <t>Special Education (SPED)</t>
  </si>
  <si>
    <t>English Language Learners (ELL)</t>
  </si>
  <si>
    <t>Economically Disadvantaged</t>
  </si>
  <si>
    <t>School Model</t>
  </si>
  <si>
    <t>homeschool co-op</t>
  </si>
  <si>
    <t>Financial Label Convention</t>
  </si>
  <si>
    <t>For-Profit (Profit &amp; Loss / Equity)</t>
  </si>
  <si>
    <t>Funding Mix</t>
  </si>
  <si>
    <t>7</t>
  </si>
  <si>
    <t>Year 1 Operating Months</t>
  </si>
  <si>
    <t>10</t>
  </si>
  <si>
    <t>Proration Factor</t>
  </si>
  <si>
    <t>83.3%</t>
  </si>
  <si>
    <t>40</t>
  </si>
  <si>
    <t>Accredited</t>
  </si>
  <si>
    <t>Location</t>
  </si>
  <si>
    <t>789 Desert Way, Mesa, AZ 85201</t>
  </si>
  <si>
    <t>Facility</t>
  </si>
  <si>
    <t>Leased</t>
  </si>
  <si>
    <t>TOTAL ENROLLMENT</t>
  </si>
  <si>
    <t>Capacity Utilization</t>
  </si>
  <si>
    <t>-</t>
  </si>
  <si>
    <t>Total Weighted Population</t>
  </si>
  <si>
    <t>Weighted % of Total</t>
  </si>
  <si>
    <t>Tuition &amp; Funding Drivers</t>
  </si>
  <si>
    <t>TUITION &amp; FEES</t>
  </si>
  <si>
    <t>Total Tuition &amp; Fees</t>
  </si>
  <si>
    <t>SCHOOL CHOICE</t>
  </si>
  <si>
    <t>Total School Choice</t>
  </si>
  <si>
    <t>PHILANTHROPY</t>
  </si>
  <si>
    <t>Total Philanthropy</t>
  </si>
  <si>
    <t>GRAND TOTAL REVENUE</t>
  </si>
  <si>
    <t>Base Rate</t>
  </si>
  <si>
    <t>Loaded Cost</t>
  </si>
  <si>
    <t>Rates</t>
  </si>
  <si>
    <t>5-YEAR TOTAL PERSONNEL COST</t>
  </si>
  <si>
    <t>Total Personnel</t>
  </si>
  <si>
    <t>Personnel as % of Revenue</t>
  </si>
  <si>
    <t>Students per FTE</t>
  </si>
  <si>
    <t>Operating Expense Drivers</t>
  </si>
  <si>
    <t xml:space="preserve">  Curriculum &amp; Materials</t>
  </si>
  <si>
    <t>Total Instructional / Program</t>
  </si>
  <si>
    <t xml:space="preserve">  Technology</t>
  </si>
  <si>
    <t>Total Technology</t>
  </si>
  <si>
    <t xml:space="preserve">  Rent</t>
  </si>
  <si>
    <t xml:space="preserve">  Utilities</t>
  </si>
  <si>
    <t xml:space="preserve">  Insurance</t>
  </si>
  <si>
    <t>Total Occupancy / Facility</t>
  </si>
  <si>
    <t xml:space="preserve">  Compliance Contract</t>
  </si>
  <si>
    <t>Total Administrative / General</t>
  </si>
  <si>
    <t>TOTAL OPERATING EXPENSES</t>
  </si>
  <si>
    <t>Capital Stack &amp; Loan Terms</t>
  </si>
  <si>
    <t>Annual Payment</t>
  </si>
  <si>
    <t>Total Annual Debt Service</t>
  </si>
  <si>
    <t>Total Loan Principal</t>
  </si>
  <si>
    <t>Enrollment &amp; Tuition Forecast</t>
  </si>
  <si>
    <t>REVENUE FORECAST</t>
  </si>
  <si>
    <t>TOTAL REVENUE</t>
  </si>
  <si>
    <t>Revenue per Student</t>
  </si>
  <si>
    <t>Staffing Costs Forecast</t>
  </si>
  <si>
    <t xml:space="preserve">  Assistant Educator [0.5 FTE]</t>
  </si>
  <si>
    <t>Total Instructional</t>
  </si>
  <si>
    <t xml:space="preserve">  Director / Lead Educator [1 FTE]</t>
  </si>
  <si>
    <t>Total School Leadership</t>
  </si>
  <si>
    <t>TOTAL PERSONNEL</t>
  </si>
  <si>
    <t>Liberty Learning Co-Op - Budget Detail</t>
  </si>
  <si>
    <t>REVENUE</t>
  </si>
  <si>
    <t xml:space="preserve">  Co-Op Tuition</t>
  </si>
  <si>
    <t xml:space="preserve">  Materials Fee</t>
  </si>
  <si>
    <t xml:space="preserve">  ESA Revenue</t>
  </si>
  <si>
    <t xml:space="preserve">  Annual Fundraising</t>
  </si>
  <si>
    <t>Total Revenue</t>
  </si>
  <si>
    <t>PERSONNEL</t>
  </si>
  <si>
    <t xml:space="preserve">  Director / Lead Educator</t>
  </si>
  <si>
    <t xml:space="preserve">  Assistant Educator</t>
  </si>
  <si>
    <t xml:space="preserve">    Curriculum &amp; Materials</t>
  </si>
  <si>
    <t xml:space="preserve">    Technology</t>
  </si>
  <si>
    <t xml:space="preserve">    Rent</t>
  </si>
  <si>
    <t xml:space="preserve">    Utilities</t>
  </si>
  <si>
    <t xml:space="preserve">    Insurance</t>
  </si>
  <si>
    <t xml:space="preserve">  Total Occupancy / Facility</t>
  </si>
  <si>
    <t xml:space="preserve">    Compliance Contract</t>
  </si>
  <si>
    <t>Total Operating Expenses</t>
  </si>
  <si>
    <t>CAPITAL &amp; DEBT SERVICE</t>
  </si>
  <si>
    <t>Total Capital &amp; Debt</t>
  </si>
  <si>
    <t>Liberty Learning Co-Op - Budget Summary</t>
  </si>
  <si>
    <t>Total Capital &amp; Debt Service</t>
  </si>
  <si>
    <t>Total Expenses</t>
  </si>
  <si>
    <t>KEY METRICS</t>
  </si>
  <si>
    <t>Net Income</t>
  </si>
  <si>
    <t>Net Margin %</t>
  </si>
  <si>
    <t>Cumulative Net Income</t>
  </si>
  <si>
    <t>Cost per Student</t>
  </si>
  <si>
    <t>Liberty Learning Co-Op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</si>
  <si>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</si>
  <si>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</si>
  <si>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</si>
  <si>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</si>
  <si>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</si>
  <si>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</si>
  <si>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</si>
  <si>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</si>
  <si>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</si>
  <si>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</si>
  <si>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</si>
  <si>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</si>
  <si>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</si>
  <si>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</si>
  <si>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</si>
  <si>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</si>
  <si>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</si>
  <si>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</si>
  <si>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</si>
  <si>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</si>
  <si>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</si>
  <si>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</si>
  <si>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</si>
  <si>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</si>
  <si>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</si>
  <si>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Liberty Learning Co-Op - 5-Year Operating Statement</t>
  </si>
  <si>
    <t>Projections prepared on an accrual basis. School currently keeps books on a undetermined basis.</t>
  </si>
  <si>
    <t>Capital &amp; Debt Service</t>
  </si>
  <si>
    <t>Depreciation</t>
  </si>
  <si>
    <t>BOTTOM LINE</t>
  </si>
  <si>
    <t>Break-even</t>
  </si>
  <si>
    <t>✓ Break-even</t>
  </si>
  <si>
    <t>LOAN TERMS</t>
  </si>
  <si>
    <t>Loan Name</t>
  </si>
  <si>
    <t>Annual Rate</t>
  </si>
  <si>
    <t>Term (Years)</t>
  </si>
  <si>
    <t>Liberty Learning Co-Op - Balance Sheet</t>
  </si>
  <si>
    <t>ASSETS</t>
  </si>
  <si>
    <t>Cash &amp; Equivalents</t>
  </si>
  <si>
    <t>Accounts Receivable</t>
  </si>
  <si>
    <t>Fixed Assets (Net of Depreciation)</t>
  </si>
  <si>
    <t>Other Assets</t>
  </si>
  <si>
    <t>Total Assets</t>
  </si>
  <si>
    <t>LIABILITIES</t>
  </si>
  <si>
    <t>Accounts Payable</t>
  </si>
  <si>
    <t>Long-Term Debt</t>
  </si>
  <si>
    <t>Total Liabilities</t>
  </si>
  <si>
    <t>EQUITY</t>
  </si>
  <si>
    <t>Equity</t>
  </si>
  <si>
    <t>Balance Check (should = 0)</t>
  </si>
  <si>
    <t>DSCR &amp; Covenant Checks</t>
  </si>
  <si>
    <t>CASH FLOW &amp; DEBT</t>
  </si>
  <si>
    <t>Revenue</t>
  </si>
  <si>
    <t>Depreciation Add-Back</t>
  </si>
  <si>
    <t>Debt Service (Loan)</t>
  </si>
  <si>
    <t>CFADS (NI + Depr + DS)</t>
  </si>
  <si>
    <t>DSCR</t>
  </si>
  <si>
    <t>N/A</t>
  </si>
  <si>
    <t>LIQUIDITY METRICS</t>
  </si>
  <si>
    <t>Ending Cash</t>
  </si>
  <si>
    <t>Days Cash on Hand</t>
  </si>
  <si>
    <t>Months of Runway</t>
  </si>
  <si>
    <t>BREAK-EVEN ANALYSIS</t>
  </si>
  <si>
    <t>Fixed Costs (Pers + Debt)</t>
  </si>
  <si>
    <t>Variable Cost per Student (OpEx)</t>
  </si>
  <si>
    <t>Break-Even Enrollment</t>
  </si>
  <si>
    <t>COVENANT CHECKS</t>
  </si>
  <si>
    <t>DSCR ≥ 1x</t>
  </si>
  <si>
    <t>Positive Net Income</t>
  </si>
  <si>
    <t>PASS</t>
  </si>
  <si>
    <t>Current Ratio ≥ 1.1x</t>
  </si>
  <si>
    <t>Capacity ≥ 70%</t>
  </si>
  <si>
    <t>FAIL</t>
  </si>
  <si>
    <t>Cash Reserve ≥ 2 months</t>
  </si>
  <si>
    <t>Days Cash ≥ 30</t>
  </si>
  <si>
    <t>SOURCES</t>
  </si>
  <si>
    <t>USES</t>
  </si>
  <si>
    <t>Owner Savings</t>
  </si>
  <si>
    <t>Startup Costs</t>
  </si>
  <si>
    <t>Total Sources</t>
  </si>
  <si>
    <t>Total Uses</t>
  </si>
  <si>
    <t>Sources - Uses (should = 0)</t>
  </si>
  <si>
    <t>Scenario Analysis</t>
  </si>
  <si>
    <t>BASE CASE</t>
  </si>
  <si>
    <t>Enrollment: +0%  |  Revenue: +0%  |  Staffing: +0%  |  Facility: +0%  |  Expenses: +0%</t>
  </si>
  <si>
    <t>LOW ESA UTILIZATION</t>
  </si>
  <si>
    <t>Enrollment: -25%  |  Revenue: +0%  |  Staffing: +0%  |  Facility: +0%  |  Expenses: +0%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</si>
  <si>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</si>
  <si>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</si>
  <si>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</si>
  <si>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</si>
  <si>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</si>
  <si>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</si>
  <si>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</si>
  <si>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</si>
  <si>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</si>
  <si>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</si>
  <si>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Liberty Learning Co-Op — Financial Health Dashboard</t>
  </si>
  <si>
    <t>Generated May 7,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</si>
  <si>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</si>
  <si>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</si>
  <si>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</si>
  <si>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</si>
  <si>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</si>
  <si>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</si>
  <si>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</si>
  <si>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</si>
  <si>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</si>
  <si>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</si>
  <si>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</si>
  <si>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</si>
  <si>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</si>
  <si>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</si>
  <si>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</si>
  <si>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</si>
  <si>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</si>
  <si>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</si>
  <si>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</si>
  <si>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</si>
  <si>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</si>
  <si>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</si>
  <si>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</si>
  <si>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Break-even Year</t>
  </si>
  <si>
    <t>Cash Runway (Months)</t>
  </si>
  <si>
    <t>60+</t>
  </si>
  <si>
    <t>≥ 24 months</t>
  </si>
  <si>
    <t>≥ 90 days</t>
  </si>
  <si>
    <t>FINANCIAL HEALTH SIGNALS</t>
  </si>
  <si>
    <t>Status</t>
  </si>
  <si>
    <t>Assessment</t>
  </si>
  <si>
    <t>Watch Item</t>
  </si>
  <si>
    <t>Viability</t>
  </si>
  <si>
    <t>● Healthy</t>
  </si>
  <si>
    <t>The model reaches profit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</si>
  <si>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</si>
  <si>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</si>
  <si>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</si>
  <si>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</si>
  <si>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</si>
  <si>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</si>
  <si>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</si>
  <si>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</si>
  <si>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</si>
  <si>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</si>
  <si>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</si>
  <si>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</si>
  <si>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</si>
  <si>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</si>
  <si>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112.0 months of reserves by Year 5 — a strong buffer for unexpected costs.</t>
  </si>
  <si>
    <t>Continue growing reserves toward 6 months for best-in-class financial health.</t>
  </si>
  <si>
    <t>Summary</t>
  </si>
  <si>
    <t>6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</si>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</sst>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7"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999999"/>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8">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5">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4" fontId="6" fillId="3" borderId="1" xfId="0" applyNumberFormat="1" applyFont="1" applyFill="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18"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8" fontId="9" fillId="3" borderId="1" xfId="0" applyNumberFormat="1" applyFont="1" applyFill="1" applyBorder="1"/>
    <xf numFmtId="164" fontId="6" fillId="0" borderId="1" xfId="0" applyNumberFormat="1" applyFont="1" applyBorder="1"/>
    <xf numFmtId="164" fontId="9" fillId="3" borderId="1" xfId="0" applyNumberFormat="1" applyFont="1" applyFill="1" applyBorder="1"/>
    <xf numFmtId="0" fontId="20" fillId="0" borderId="1" xfId="0" applyFont="1" applyBorder="1" applyAlignment="1">
      <alignment horizontal="center"/>
    </xf>
    <xf numFmtId="0" fontId="19" fillId="0" borderId="1" xfId="0" applyFont="1" applyBorder="1" applyAlignment="1">
      <alignment horizontal="center"/>
    </xf>
    <xf numFmtId="0" fontId="21"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2" fillId="0" borderId="0" xfId="0" applyFont="1"/>
    <xf numFmtId="0" fontId="18" fillId="0" borderId="0" xfId="0" applyFont="1"/>
    <xf numFmtId="0" fontId="23" fillId="0" borderId="0" xfId="0" applyFont="1"/>
    <xf numFmtId="0" fontId="24"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2" fillId="0" borderId="1" xfId="0" applyFont="1" applyBorder="1"/>
    <xf numFmtId="165" fontId="9" fillId="0" borderId="1" xfId="0" applyNumberFormat="1" applyFont="1" applyBorder="1" applyAlignment="1">
      <alignment horizontal="right"/>
    </xf>
    <xf numFmtId="165" fontId="9" fillId="3" borderId="1" xfId="0" applyNumberFormat="1" applyFont="1" applyFill="1" applyBorder="1" applyAlignment="1">
      <alignment horizontal="right"/>
    </xf>
    <xf numFmtId="166" fontId="9" fillId="7" borderId="3" xfId="0" applyNumberFormat="1" applyFont="1" applyFill="1" applyBorder="1" applyAlignment="1">
      <alignment horizontal="right"/>
    </xf>
    <xf numFmtId="164" fontId="9" fillId="3" borderId="3" xfId="0" applyNumberFormat="1" applyFont="1" applyFill="1" applyBorder="1" applyAlignment="1">
      <alignment horizontal="right"/>
    </xf>
    <xf numFmtId="49" fontId="9" fillId="0" borderId="3" xfId="0" applyNumberFormat="1" applyFont="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49" fontId="9" fillId="3" borderId="3" xfId="0" applyNumberFormat="1" applyFont="1" applyFill="1" applyBorder="1" applyAlignment="1">
      <alignment horizontal="right"/>
    </xf>
    <xf numFmtId="0" fontId="6" fillId="0" borderId="1" xfId="0" applyFont="1" applyBorder="1" applyAlignment="1">
      <alignment wrapText="1"/>
    </xf>
    <xf numFmtId="0" fontId="22" fillId="0" borderId="1" xfId="0" applyFont="1" applyBorder="1" applyAlignment="1">
      <alignment wrapText="1"/>
    </xf>
    <xf numFmtId="0" fontId="25" fillId="0" borderId="0" xfId="0" applyFont="1" applyAlignment="1">
      <alignment horizontal="center"/>
    </xf>
    <xf numFmtId="0" fontId="6" fillId="0" borderId="0" xfId="0" applyFont="1" applyAlignment="1">
      <alignment vertical="top" wrapText="1"/>
    </xf>
    <xf numFmtId="0" fontId="26" fillId="0" borderId="0" xfId="0" applyFont="1" applyAlignment="1">
      <alignment vertical="top" wrapText="1"/>
    </xf>
    <xf numFmtId="0" fontId="26" fillId="5" borderId="1" xfId="0" applyFont="1" applyFill="1" applyBorder="1"/>
    <xf numFmtId="0" fontId="22"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66"/>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40</v>
      </c>
    </row>
    <row r="15" ht="24" customHeight="1" spans="1:6" x14ac:dyDescent="0.25">
      <c r="A15" s="19" t="s">
        <v>103</v>
      </c>
      <c r="B15" s="19"/>
      <c r="C15" s="19"/>
      <c r="D15" s="19"/>
      <c r="E15" s="19"/>
      <c r="F15" s="19"/>
    </row>
    <row r="16" ht="28" customHeight="1" spans="1:6" x14ac:dyDescent="0.25">
      <c r="A16" s="21" t="s">
        <v>7</v>
      </c>
      <c r="B16" s="21" t="s">
        <v>104</v>
      </c>
      <c r="C16" s="21" t="s">
        <v>105</v>
      </c>
      <c r="D16" s="21" t="s">
        <v>106</v>
      </c>
      <c r="E16" s="21" t="s">
        <v>107</v>
      </c>
      <c r="F16" s="21" t="s">
        <v>108</v>
      </c>
    </row>
    <row r="17" spans="1:6" x14ac:dyDescent="0.25">
      <c r="A17" s="11" t="s">
        <v>109</v>
      </c>
      <c r="B17" s="22">
        <v>15</v>
      </c>
      <c r="C17" s="22">
        <v>22</v>
      </c>
      <c r="D17" s="22">
        <v>30</v>
      </c>
      <c r="E17" s="22">
        <v>36</v>
      </c>
      <c r="F17" s="22">
        <v>40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6000</v>
      </c>
      <c r="E21" s="24">
        <v>0</v>
      </c>
      <c r="F21" s="11" t="s">
        <v>120</v>
      </c>
    </row>
    <row r="22" spans="1:6" x14ac:dyDescent="0.25">
      <c r="A22" s="11" t="s">
        <v>121</v>
      </c>
      <c r="B22" s="11" t="s">
        <v>118</v>
      </c>
      <c r="C22" s="11" t="s">
        <v>119</v>
      </c>
      <c r="D22" s="23">
        <v>200</v>
      </c>
      <c r="E22" s="24">
        <v>0</v>
      </c>
      <c r="F22" s="11" t="s">
        <v>120</v>
      </c>
    </row>
    <row r="23" spans="1:6" x14ac:dyDescent="0.25">
      <c r="A23" s="11" t="s">
        <v>122</v>
      </c>
      <c r="B23" s="11" t="s">
        <v>123</v>
      </c>
      <c r="C23" s="11" t="s">
        <v>119</v>
      </c>
      <c r="D23" s="23">
        <v>7000</v>
      </c>
      <c r="E23" s="24">
        <v>0</v>
      </c>
      <c r="F23" s="11" t="s">
        <v>120</v>
      </c>
    </row>
    <row r="24" spans="1:6" x14ac:dyDescent="0.25">
      <c r="A24" s="11" t="s">
        <v>124</v>
      </c>
      <c r="B24" s="11" t="s">
        <v>125</v>
      </c>
      <c r="C24" s="11" t="s">
        <v>126</v>
      </c>
      <c r="D24" s="23">
        <v>3000</v>
      </c>
      <c r="E24" s="24">
        <v>0</v>
      </c>
      <c r="F24" s="11" t="s">
        <v>120</v>
      </c>
    </row>
    <row r="26" ht="24" customHeight="1" spans="1:7" x14ac:dyDescent="0.25">
      <c r="A26" s="19" t="s">
        <v>127</v>
      </c>
      <c r="B26" s="19"/>
      <c r="C26" s="19"/>
      <c r="D26" s="19"/>
      <c r="E26" s="19"/>
      <c r="F26" s="19"/>
      <c r="G26" s="19"/>
    </row>
    <row r="27" ht="28" customHeight="1" spans="1:7" x14ac:dyDescent="0.25">
      <c r="A27" s="21" t="s">
        <v>128</v>
      </c>
      <c r="B27" s="21" t="s">
        <v>112</v>
      </c>
      <c r="C27" s="21" t="s">
        <v>129</v>
      </c>
      <c r="D27" s="21" t="s">
        <v>130</v>
      </c>
      <c r="E27" s="21" t="s">
        <v>131</v>
      </c>
      <c r="F27" s="21" t="s">
        <v>132</v>
      </c>
      <c r="G27" s="21" t="s">
        <v>133</v>
      </c>
    </row>
    <row r="28" spans="1:7" x14ac:dyDescent="0.25">
      <c r="A28" s="11" t="s">
        <v>134</v>
      </c>
      <c r="B28" s="11" t="s">
        <v>135</v>
      </c>
      <c r="C28" s="11" t="s">
        <v>136</v>
      </c>
      <c r="D28" s="25">
        <v>1</v>
      </c>
      <c r="E28" s="23">
        <v>48000</v>
      </c>
      <c r="F28" s="24">
        <v>0.2</v>
      </c>
      <c r="G28" s="24">
        <v>0.0765</v>
      </c>
    </row>
    <row r="29" spans="1:7" x14ac:dyDescent="0.25">
      <c r="A29" s="11" t="s">
        <v>137</v>
      </c>
      <c r="B29" s="11" t="s">
        <v>138</v>
      </c>
      <c r="C29" s="11" t="s">
        <v>139</v>
      </c>
      <c r="D29" s="25">
        <v>0.5</v>
      </c>
      <c r="E29" s="23">
        <v>30000</v>
      </c>
      <c r="F29" s="24">
        <v>0</v>
      </c>
      <c r="G29" s="24">
        <v>0.0765</v>
      </c>
    </row>
    <row r="31" ht="24" customHeight="1" spans="1:7" x14ac:dyDescent="0.25">
      <c r="A31" s="19" t="s">
        <v>140</v>
      </c>
      <c r="B31" s="19"/>
      <c r="C31" s="19"/>
      <c r="D31" s="19"/>
      <c r="E31" s="19"/>
      <c r="F31" s="19"/>
      <c r="G31" s="19"/>
    </row>
    <row r="32" ht="28" customHeight="1" spans="1:5" x14ac:dyDescent="0.25">
      <c r="A32" s="21" t="s">
        <v>111</v>
      </c>
      <c r="B32" s="21" t="s">
        <v>112</v>
      </c>
      <c r="C32" s="21" t="s">
        <v>113</v>
      </c>
      <c r="D32" s="21" t="s">
        <v>114</v>
      </c>
      <c r="E32" s="21" t="s">
        <v>115</v>
      </c>
    </row>
    <row r="33" spans="1:5" x14ac:dyDescent="0.25">
      <c r="A33" s="11" t="s">
        <v>141</v>
      </c>
      <c r="B33" s="11" t="s">
        <v>142</v>
      </c>
      <c r="C33" s="11" t="s">
        <v>143</v>
      </c>
      <c r="D33" s="23">
        <v>1800</v>
      </c>
      <c r="E33" s="24">
        <v>0.03</v>
      </c>
    </row>
    <row r="34" spans="1:5" x14ac:dyDescent="0.25">
      <c r="A34" s="11" t="s">
        <v>144</v>
      </c>
      <c r="B34" s="11" t="s">
        <v>142</v>
      </c>
      <c r="C34" s="11" t="s">
        <v>143</v>
      </c>
      <c r="D34" s="23">
        <v>200</v>
      </c>
      <c r="E34" s="24">
        <v>0</v>
      </c>
    </row>
    <row r="35" spans="1:5" x14ac:dyDescent="0.25">
      <c r="A35" s="11" t="s">
        <v>145</v>
      </c>
      <c r="B35" s="11" t="s">
        <v>142</v>
      </c>
      <c r="C35" s="11" t="s">
        <v>126</v>
      </c>
      <c r="D35" s="23">
        <v>1800</v>
      </c>
      <c r="E35" s="24">
        <v>0</v>
      </c>
    </row>
    <row r="36" spans="1:5" x14ac:dyDescent="0.25">
      <c r="A36" s="11" t="s">
        <v>146</v>
      </c>
      <c r="B36" s="11" t="s">
        <v>147</v>
      </c>
      <c r="C36" s="11" t="s">
        <v>126</v>
      </c>
      <c r="D36" s="23">
        <v>4500</v>
      </c>
      <c r="E36" s="24">
        <v>0</v>
      </c>
    </row>
    <row r="37" spans="1:5" x14ac:dyDescent="0.25">
      <c r="A37" s="11" t="s">
        <v>148</v>
      </c>
      <c r="B37" s="11" t="s">
        <v>149</v>
      </c>
      <c r="C37" s="11" t="s">
        <v>119</v>
      </c>
      <c r="D37" s="23">
        <v>400</v>
      </c>
      <c r="E37" s="24">
        <v>0</v>
      </c>
    </row>
    <row r="38" spans="1:5" x14ac:dyDescent="0.25">
      <c r="A38" s="11" t="s">
        <v>150</v>
      </c>
      <c r="B38" s="11" t="s">
        <v>150</v>
      </c>
      <c r="C38" s="11" t="s">
        <v>119</v>
      </c>
      <c r="D38" s="23">
        <v>250</v>
      </c>
      <c r="E38" s="24">
        <v>0</v>
      </c>
    </row>
    <row r="40" ht="24" customHeight="1" spans="1:7" x14ac:dyDescent="0.25">
      <c r="A40" s="19" t="s">
        <v>151</v>
      </c>
      <c r="B40" s="19"/>
      <c r="C40" s="19"/>
      <c r="D40" s="19"/>
      <c r="E40" s="19"/>
      <c r="F40" s="19"/>
      <c r="G40" s="19"/>
    </row>
    <row r="41" ht="28" customHeight="1" spans="1:5" x14ac:dyDescent="0.25">
      <c r="A41" s="21" t="s">
        <v>152</v>
      </c>
      <c r="B41" s="21" t="s">
        <v>129</v>
      </c>
      <c r="C41" s="21" t="s">
        <v>153</v>
      </c>
      <c r="D41" s="21" t="s">
        <v>131</v>
      </c>
      <c r="E41" s="21" t="s">
        <v>154</v>
      </c>
    </row>
    <row r="43" ht="24" customHeight="1" spans="1:7" x14ac:dyDescent="0.25">
      <c r="A43" s="19" t="s">
        <v>155</v>
      </c>
      <c r="B43" s="19"/>
      <c r="C43" s="19"/>
      <c r="D43" s="19"/>
      <c r="E43" s="19"/>
      <c r="F43" s="19"/>
      <c r="G43" s="19"/>
    </row>
    <row r="44" spans="1:3" x14ac:dyDescent="0.25">
      <c r="A44" s="11" t="s">
        <v>156</v>
      </c>
      <c r="B44" s="24">
        <v>0.03</v>
      </c>
      <c r="C44" s="26" t="s">
        <v>157</v>
      </c>
    </row>
    <row r="45" spans="1:3" x14ac:dyDescent="0.25">
      <c r="A45" s="11" t="s">
        <v>158</v>
      </c>
      <c r="B45" s="24">
        <v>0.03</v>
      </c>
      <c r="C45" s="26" t="s">
        <v>159</v>
      </c>
    </row>
    <row r="46" spans="1:2" x14ac:dyDescent="0.25">
      <c r="A46" s="11" t="s">
        <v>160</v>
      </c>
      <c r="B46" s="25">
        <v>0.8333333333333334</v>
      </c>
    </row>
    <row r="47" spans="1:2" x14ac:dyDescent="0.25">
      <c r="A47" s="11" t="s">
        <v>161</v>
      </c>
      <c r="B47" s="23">
        <v>0</v>
      </c>
    </row>
    <row r="48" spans="1:2" x14ac:dyDescent="0.25">
      <c r="A48" s="11" t="s">
        <v>162</v>
      </c>
      <c r="B48" s="20" t="s">
        <v>163</v>
      </c>
    </row>
    <row r="49" spans="1:2" x14ac:dyDescent="0.25">
      <c r="A49" s="11" t="s">
        <v>164</v>
      </c>
      <c r="B49" s="24">
        <v>0.15</v>
      </c>
    </row>
    <row r="50" spans="1:2" x14ac:dyDescent="0.25">
      <c r="A50" s="11" t="s">
        <v>165</v>
      </c>
      <c r="B50" s="24">
        <v>0.03</v>
      </c>
    </row>
    <row r="51" spans="1:2" x14ac:dyDescent="0.25">
      <c r="A51" s="11" t="s">
        <v>166</v>
      </c>
      <c r="B51" s="24">
        <v>0.03</v>
      </c>
    </row>
    <row r="52" spans="1:2" x14ac:dyDescent="0.25">
      <c r="A52" s="11" t="s">
        <v>167</v>
      </c>
      <c r="B52" s="24">
        <v>0.25</v>
      </c>
    </row>
    <row r="53" spans="1:2" x14ac:dyDescent="0.25">
      <c r="A53" s="11" t="s">
        <v>168</v>
      </c>
      <c r="B53" s="24">
        <v>0.08</v>
      </c>
    </row>
    <row r="54" spans="1:2" x14ac:dyDescent="0.25">
      <c r="A54" s="11" t="s">
        <v>169</v>
      </c>
      <c r="B54" s="24">
        <v>0.85</v>
      </c>
    </row>
    <row r="56" ht="24" customHeight="1" spans="1:7" x14ac:dyDescent="0.25">
      <c r="A56" s="19" t="s">
        <v>170</v>
      </c>
      <c r="B56" s="19"/>
      <c r="C56" s="19"/>
      <c r="D56" s="19"/>
      <c r="E56" s="19"/>
      <c r="F56" s="19"/>
      <c r="G56" s="19"/>
    </row>
    <row r="57" spans="1:2" x14ac:dyDescent="0.25">
      <c r="A57" s="11" t="s">
        <v>171</v>
      </c>
      <c r="B57" s="20" t="s">
        <v>172</v>
      </c>
    </row>
    <row r="58" spans="1:2" x14ac:dyDescent="0.25">
      <c r="A58" s="11" t="s">
        <v>173</v>
      </c>
      <c r="B58" s="20" t="s">
        <v>174</v>
      </c>
    </row>
    <row r="59" spans="1:2" x14ac:dyDescent="0.25">
      <c r="A59" s="11" t="s">
        <v>175</v>
      </c>
      <c r="B59" s="24">
        <v>1</v>
      </c>
    </row>
    <row r="60" spans="1:2" x14ac:dyDescent="0.25">
      <c r="A60" s="11" t="s">
        <v>176</v>
      </c>
      <c r="B60" s="20" t="s">
        <v>177</v>
      </c>
    </row>
    <row r="62" ht="24" customHeight="1" spans="1:6" x14ac:dyDescent="0.25">
      <c r="A62" s="19" t="s">
        <v>178</v>
      </c>
      <c r="B62" s="19"/>
      <c r="C62" s="19"/>
      <c r="D62" s="19"/>
      <c r="E62" s="19"/>
      <c r="F62" s="19"/>
    </row>
    <row r="63" ht="28" customHeight="1" spans="1:6" x14ac:dyDescent="0.25">
      <c r="A63" s="21" t="s">
        <v>179</v>
      </c>
      <c r="B63" s="21" t="s">
        <v>104</v>
      </c>
      <c r="C63" s="21" t="s">
        <v>105</v>
      </c>
      <c r="D63" s="21" t="s">
        <v>106</v>
      </c>
      <c r="E63" s="21" t="s">
        <v>107</v>
      </c>
      <c r="F63" s="21" t="s">
        <v>108</v>
      </c>
    </row>
    <row r="64" spans="1:6" x14ac:dyDescent="0.25">
      <c r="A64" s="11" t="s">
        <v>180</v>
      </c>
      <c r="B64" s="22">
        <v>3</v>
      </c>
      <c r="C64" s="22">
        <v>4</v>
      </c>
      <c r="D64" s="22">
        <v>5</v>
      </c>
      <c r="E64" s="22">
        <v>6</v>
      </c>
      <c r="F64" s="22">
        <v>6</v>
      </c>
    </row>
    <row r="65" spans="1:6" x14ac:dyDescent="0.25">
      <c r="A65" s="11" t="s">
        <v>181</v>
      </c>
      <c r="B65" s="22">
        <v>2</v>
      </c>
      <c r="C65" s="22">
        <v>3</v>
      </c>
      <c r="D65" s="22">
        <v>4</v>
      </c>
      <c r="E65" s="22">
        <v>5</v>
      </c>
      <c r="F65" s="22">
        <v>5</v>
      </c>
    </row>
    <row r="66" spans="1:6" x14ac:dyDescent="0.25">
      <c r="A66" s="11" t="s">
        <v>182</v>
      </c>
      <c r="B66" s="22">
        <v>5</v>
      </c>
      <c r="C66" s="22">
        <v>7</v>
      </c>
      <c r="D66" s="22">
        <v>9</v>
      </c>
      <c r="E66" s="22">
        <v>10</v>
      </c>
      <c r="F66" s="22">
        <v>12</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183</v>
      </c>
      <c r="B3" s="11" t="s">
        <v>184</v>
      </c>
    </row>
    <row r="4" spans="1:2" x14ac:dyDescent="0.25">
      <c r="A4" s="10" t="s">
        <v>33</v>
      </c>
      <c r="B4" s="11" t="s">
        <v>34</v>
      </c>
    </row>
    <row r="5" spans="1:2" x14ac:dyDescent="0.25">
      <c r="A5" s="10" t="s">
        <v>35</v>
      </c>
      <c r="B5" s="11" t="s">
        <v>36</v>
      </c>
    </row>
    <row r="6" spans="1:2" x14ac:dyDescent="0.25">
      <c r="A6" s="10" t="s">
        <v>185</v>
      </c>
      <c r="B6" s="11" t="s">
        <v>186</v>
      </c>
    </row>
    <row r="7" spans="1:2" x14ac:dyDescent="0.25">
      <c r="A7" s="10" t="s">
        <v>43</v>
      </c>
      <c r="B7" s="11" t="s">
        <v>44</v>
      </c>
    </row>
    <row r="8" spans="1:2" x14ac:dyDescent="0.25">
      <c r="A8" s="10" t="s">
        <v>187</v>
      </c>
      <c r="B8" s="11" t="s">
        <v>46</v>
      </c>
    </row>
    <row r="9" spans="1:2" x14ac:dyDescent="0.25">
      <c r="A9" s="10" t="s">
        <v>101</v>
      </c>
      <c r="B9" s="11" t="s">
        <v>188</v>
      </c>
    </row>
    <row r="10" spans="1:2" x14ac:dyDescent="0.25">
      <c r="A10" s="10" t="s">
        <v>189</v>
      </c>
      <c r="B10" s="11" t="s">
        <v>190</v>
      </c>
    </row>
    <row r="11" spans="1:2" x14ac:dyDescent="0.25">
      <c r="A11" s="10" t="s">
        <v>191</v>
      </c>
      <c r="B11" s="11" t="s">
        <v>192</v>
      </c>
    </row>
    <row r="12" spans="1:2" x14ac:dyDescent="0.25">
      <c r="A12" s="10" t="s">
        <v>162</v>
      </c>
      <c r="B12" s="11" t="s">
        <v>163</v>
      </c>
    </row>
    <row r="13" spans="1:2" x14ac:dyDescent="0.25">
      <c r="A13" s="10" t="s">
        <v>102</v>
      </c>
      <c r="B13" s="11" t="s">
        <v>193</v>
      </c>
    </row>
    <row r="14" spans="1:2" x14ac:dyDescent="0.25">
      <c r="A14" s="10" t="s">
        <v>194</v>
      </c>
      <c r="B14" s="11" t="s">
        <v>163</v>
      </c>
    </row>
    <row r="15" spans="1:2" x14ac:dyDescent="0.25">
      <c r="A15" s="10" t="s">
        <v>195</v>
      </c>
      <c r="B15" s="11" t="s">
        <v>196</v>
      </c>
    </row>
    <row r="16" spans="1:2" x14ac:dyDescent="0.25">
      <c r="A16" s="10" t="s">
        <v>197</v>
      </c>
      <c r="B16" s="11" t="s">
        <v>198</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8"/>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199</v>
      </c>
      <c r="B5" s="19"/>
      <c r="C5" s="19"/>
      <c r="D5" s="19"/>
      <c r="E5" s="19"/>
      <c r="F5" s="19"/>
    </row>
    <row r="6" spans="1:6" x14ac:dyDescent="0.25">
      <c r="A6" s="10" t="s">
        <v>109</v>
      </c>
      <c r="B6" s="27">
        <v>15</v>
      </c>
      <c r="C6" s="27">
        <v>22</v>
      </c>
      <c r="D6" s="27">
        <v>30</v>
      </c>
      <c r="E6" s="27">
        <v>36</v>
      </c>
      <c r="F6" s="27">
        <v>40</v>
      </c>
    </row>
    <row r="7" spans="1:2" x14ac:dyDescent="0.25">
      <c r="A7" s="11" t="s">
        <v>102</v>
      </c>
      <c r="B7" s="22">
        <v>40</v>
      </c>
    </row>
    <row r="8" spans="1:6" x14ac:dyDescent="0.25">
      <c r="A8" s="11" t="s">
        <v>200</v>
      </c>
      <c r="B8" s="28">
        <f>B6/$B$7</f>
        <v>0.375</v>
      </c>
      <c r="C8" s="28">
        <f>C6/$B$7</f>
        <v>0.55</v>
      </c>
      <c r="D8" s="28">
        <f>D6/$B$7</f>
        <v>0.75</v>
      </c>
      <c r="E8" s="28">
        <f>E6/$B$7</f>
        <v>0.9</v>
      </c>
      <c r="F8" s="28">
        <f>F6/$B$7</f>
        <v>1</v>
      </c>
    </row>
    <row r="10" spans="1:6" x14ac:dyDescent="0.25">
      <c r="A10" s="11" t="s">
        <v>164</v>
      </c>
      <c r="B10" s="11" t="s">
        <v>201</v>
      </c>
      <c r="C10" s="29">
        <f>IF(B6=0,0,(C6-B6)/B6)</f>
        <v>0.46666667</v>
      </c>
      <c r="D10" s="29">
        <f>IF(C6=0,0,(D6-C6)/C6)</f>
        <v>0.36363636</v>
      </c>
      <c r="E10" s="29">
        <f>IF(D6=0,0,(E6-D6)/D6)</f>
        <v>0.2</v>
      </c>
      <c r="F10" s="29">
        <f>IF(E6=0,0,(F6-E6)/E6)</f>
        <v>0.11111111</v>
      </c>
    </row>
    <row r="12" ht="24" customHeight="1" spans="1:6" x14ac:dyDescent="0.25">
      <c r="A12" s="19" t="s">
        <v>178</v>
      </c>
      <c r="B12" s="19"/>
      <c r="C12" s="19"/>
      <c r="D12" s="19"/>
      <c r="E12" s="19"/>
      <c r="F12" s="19"/>
    </row>
    <row r="14" spans="1:6" x14ac:dyDescent="0.25">
      <c r="A14" s="11" t="s">
        <v>180</v>
      </c>
      <c r="B14" s="30">
        <f>Assumptions!B64</f>
        <v>3</v>
      </c>
      <c r="C14" s="30">
        <f>Assumptions!C64</f>
        <v>4</v>
      </c>
      <c r="D14" s="30">
        <f>Assumptions!D64</f>
        <v>5</v>
      </c>
      <c r="E14" s="30">
        <f>Assumptions!E64</f>
        <v>6</v>
      </c>
      <c r="F14" s="30">
        <f>Assumptions!F64</f>
        <v>6</v>
      </c>
    </row>
    <row r="15" spans="1:6" x14ac:dyDescent="0.25">
      <c r="A15" s="11" t="s">
        <v>181</v>
      </c>
      <c r="B15" s="30">
        <f>Assumptions!B65</f>
        <v>2</v>
      </c>
      <c r="C15" s="30">
        <f>Assumptions!C65</f>
        <v>3</v>
      </c>
      <c r="D15" s="30">
        <f>Assumptions!D65</f>
        <v>4</v>
      </c>
      <c r="E15" s="30">
        <f>Assumptions!E65</f>
        <v>5</v>
      </c>
      <c r="F15" s="30">
        <f>Assumptions!F65</f>
        <v>5</v>
      </c>
    </row>
    <row r="16" spans="1:6" x14ac:dyDescent="0.25">
      <c r="A16" s="11" t="s">
        <v>182</v>
      </c>
      <c r="B16" s="30">
        <f>Assumptions!B66</f>
        <v>5</v>
      </c>
      <c r="C16" s="30">
        <f>Assumptions!C66</f>
        <v>7</v>
      </c>
      <c r="D16" s="30">
        <f>Assumptions!D66</f>
        <v>9</v>
      </c>
      <c r="E16" s="30">
        <f>Assumptions!E66</f>
        <v>10</v>
      </c>
      <c r="F16" s="30">
        <f>Assumptions!F66</f>
        <v>12</v>
      </c>
    </row>
    <row r="17" spans="1:6" x14ac:dyDescent="0.25">
      <c r="A17" s="10" t="s">
        <v>202</v>
      </c>
      <c r="B17" s="27">
        <f>B14+B15+B16</f>
        <v>10</v>
      </c>
      <c r="C17" s="27">
        <f>C14+C15+C16</f>
        <v>14</v>
      </c>
      <c r="D17" s="27">
        <f>D14+D15+D16</f>
        <v>18</v>
      </c>
      <c r="E17" s="27">
        <f>E14+E15+E16</f>
        <v>21</v>
      </c>
      <c r="F17" s="27">
        <f>F14+F15+F16</f>
        <v>23</v>
      </c>
    </row>
    <row r="18" spans="1:6" x14ac:dyDescent="0.25">
      <c r="A18" s="11" t="s">
        <v>203</v>
      </c>
      <c r="B18" s="28">
        <f>IF(B6=0,0,B17/B6)</f>
        <v>0.66666667</v>
      </c>
      <c r="C18" s="28">
        <f>IF(C6=0,0,C17/C6)</f>
        <v>0.63636364</v>
      </c>
      <c r="D18" s="28">
        <f>IF(D6=0,0,D17/D6)</f>
        <v>0.6</v>
      </c>
      <c r="E18" s="28">
        <f>IF(E6=0,0,E17/E6)</f>
        <v>0.58333333</v>
      </c>
      <c r="F18" s="28">
        <f>IF(F6=0,0,F17/F6)</f>
        <v>0.575</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204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205</v>
      </c>
      <c r="B4" s="19"/>
      <c r="C4" s="19"/>
      <c r="D4" s="19"/>
      <c r="E4" s="19"/>
      <c r="F4" s="19"/>
    </row>
    <row r="5" spans="1:6" x14ac:dyDescent="0.25">
      <c r="A5" s="11" t="s">
        <v>117</v>
      </c>
      <c r="B5" s="31">
        <v>90000</v>
      </c>
      <c r="C5" s="31">
        <v>135960</v>
      </c>
      <c r="D5" s="31">
        <v>190962</v>
      </c>
      <c r="E5" s="31">
        <v>236029</v>
      </c>
      <c r="F5" s="31">
        <v>270122</v>
      </c>
    </row>
    <row r="6" spans="1:6" x14ac:dyDescent="0.25">
      <c r="A6" s="11" t="s">
        <v>121</v>
      </c>
      <c r="B6" s="31">
        <v>3000</v>
      </c>
      <c r="C6" s="31">
        <v>4400</v>
      </c>
      <c r="D6" s="31">
        <v>6000</v>
      </c>
      <c r="E6" s="31">
        <v>7200</v>
      </c>
      <c r="F6" s="31">
        <v>8000</v>
      </c>
    </row>
    <row r="7" spans="1:6" x14ac:dyDescent="0.25">
      <c r="A7" s="10" t="s">
        <v>206</v>
      </c>
      <c r="B7" s="32">
        <f>SUM(B5,B6)</f>
        <v>93000</v>
      </c>
      <c r="C7" s="32">
        <f>SUM(C5,C6)</f>
        <v>140360</v>
      </c>
      <c r="D7" s="32">
        <f>SUM(D5,D6)</f>
        <v>196962</v>
      </c>
      <c r="E7" s="32">
        <f>SUM(E5,E6)</f>
        <v>243229</v>
      </c>
      <c r="F7" s="32">
        <f>SUM(F5,F6)</f>
        <v>278122</v>
      </c>
    </row>
    <row r="8" ht="24" customHeight="1" spans="1:6" x14ac:dyDescent="0.25">
      <c r="A8" s="19" t="s">
        <v>207</v>
      </c>
      <c r="B8" s="19"/>
      <c r="C8" s="19"/>
      <c r="D8" s="19"/>
      <c r="E8" s="19"/>
      <c r="F8" s="19"/>
    </row>
    <row r="9" spans="1:6" x14ac:dyDescent="0.25">
      <c r="A9" s="11" t="s">
        <v>122</v>
      </c>
      <c r="B9" s="31">
        <v>105000</v>
      </c>
      <c r="C9" s="31">
        <v>158620</v>
      </c>
      <c r="D9" s="31">
        <v>222789</v>
      </c>
      <c r="E9" s="31">
        <v>275367</v>
      </c>
      <c r="F9" s="31">
        <v>315142</v>
      </c>
    </row>
    <row r="10" spans="1:6" x14ac:dyDescent="0.25">
      <c r="A10" s="10" t="s">
        <v>208</v>
      </c>
      <c r="B10" s="32">
        <f>SUM(B9)</f>
        <v>105000</v>
      </c>
      <c r="C10" s="32">
        <f>SUM(C9)</f>
        <v>158620</v>
      </c>
      <c r="D10" s="32">
        <f>SUM(D9)</f>
        <v>222789</v>
      </c>
      <c r="E10" s="32">
        <f>SUM(E9)</f>
        <v>275367</v>
      </c>
      <c r="F10" s="32">
        <f>SUM(F9)</f>
        <v>315142</v>
      </c>
    </row>
    <row r="11" ht="24" customHeight="1" spans="1:6" x14ac:dyDescent="0.25">
      <c r="A11" s="19" t="s">
        <v>209</v>
      </c>
      <c r="B11" s="19"/>
      <c r="C11" s="19"/>
      <c r="D11" s="19"/>
      <c r="E11" s="19"/>
      <c r="F11" s="19"/>
    </row>
    <row r="12" spans="1:6" x14ac:dyDescent="0.25">
      <c r="A12" s="11" t="s">
        <v>124</v>
      </c>
      <c r="B12" s="23">
        <v>3000</v>
      </c>
      <c r="C12" s="31">
        <v>3090</v>
      </c>
      <c r="D12" s="31">
        <v>3183</v>
      </c>
      <c r="E12" s="31">
        <v>3278</v>
      </c>
      <c r="F12" s="31">
        <v>3377</v>
      </c>
    </row>
    <row r="13" spans="1:6" x14ac:dyDescent="0.25">
      <c r="A13" s="10" t="s">
        <v>210</v>
      </c>
      <c r="B13" s="32">
        <f>SUM(B12)</f>
        <v>3000</v>
      </c>
      <c r="C13" s="32">
        <f>SUM(C12)</f>
        <v>3090</v>
      </c>
      <c r="D13" s="32">
        <f>SUM(D12)</f>
        <v>3183</v>
      </c>
      <c r="E13" s="32">
        <f>SUM(E12)</f>
        <v>3278</v>
      </c>
      <c r="F13" s="32">
        <f>SUM(F12)</f>
        <v>3377</v>
      </c>
    </row>
    <row r="15" ht="24" customHeight="1" spans="1:6" x14ac:dyDescent="0.25">
      <c r="A15" s="19" t="s">
        <v>211</v>
      </c>
      <c r="B15" s="33">
        <f>SUM(B7,B10,B13)</f>
        <v>201000</v>
      </c>
      <c r="C15" s="33">
        <f>SUM(C7,C10,C13)</f>
        <v>302070</v>
      </c>
      <c r="D15" s="33">
        <f>SUM(D7,D10,D13)</f>
        <v>422934</v>
      </c>
      <c r="E15" s="33">
        <f>SUM(E7,E10,E13)</f>
        <v>521874</v>
      </c>
      <c r="F15" s="33">
        <f>SUM(F7,F10,F13)</f>
        <v>596641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1"/>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128</v>
      </c>
      <c r="B3" s="21" t="s">
        <v>112</v>
      </c>
      <c r="C3" s="21" t="s">
        <v>130</v>
      </c>
      <c r="D3" s="21" t="s">
        <v>212</v>
      </c>
      <c r="E3" s="21" t="s">
        <v>132</v>
      </c>
      <c r="F3" s="21" t="s">
        <v>133</v>
      </c>
      <c r="G3" s="21" t="s">
        <v>213</v>
      </c>
      <c r="H3" s="21" t="s">
        <v>214</v>
      </c>
    </row>
    <row r="4" spans="1:8" x14ac:dyDescent="0.25">
      <c r="A4" s="11" t="s">
        <v>134</v>
      </c>
      <c r="B4" s="11" t="s">
        <v>135</v>
      </c>
      <c r="C4" s="25">
        <v>1</v>
      </c>
      <c r="D4" s="23">
        <v>48000</v>
      </c>
      <c r="E4" s="24">
        <v>0.2</v>
      </c>
      <c r="F4" s="24">
        <v>0.0765</v>
      </c>
      <c r="G4" s="34">
        <v>61272</v>
      </c>
      <c r="H4" s="11" t="s">
        <v>120</v>
      </c>
    </row>
    <row r="5" spans="1:8" x14ac:dyDescent="0.25">
      <c r="A5" s="11" t="s">
        <v>137</v>
      </c>
      <c r="B5" s="11" t="s">
        <v>138</v>
      </c>
      <c r="C5" s="25">
        <v>0.5</v>
      </c>
      <c r="D5" s="23">
        <v>30000</v>
      </c>
      <c r="E5" s="24">
        <v>0</v>
      </c>
      <c r="F5" s="24">
        <v>0.0765</v>
      </c>
      <c r="G5" s="34">
        <v>16148</v>
      </c>
      <c r="H5" s="11" t="s">
        <v>120</v>
      </c>
    </row>
    <row r="7" ht="24" customHeight="1" spans="1:6" x14ac:dyDescent="0.25">
      <c r="A7" s="19" t="s">
        <v>215</v>
      </c>
      <c r="B7" s="19"/>
      <c r="C7" s="19"/>
      <c r="D7" s="19"/>
      <c r="E7" s="19"/>
      <c r="F7" s="19"/>
    </row>
    <row r="8" ht="28" customHeight="1" spans="1:6" x14ac:dyDescent="0.25">
      <c r="A8" s="21" t="s">
        <v>7</v>
      </c>
      <c r="B8" s="21" t="s">
        <v>104</v>
      </c>
      <c r="C8" s="21" t="s">
        <v>105</v>
      </c>
      <c r="D8" s="21" t="s">
        <v>106</v>
      </c>
      <c r="E8" s="21" t="s">
        <v>107</v>
      </c>
      <c r="F8" s="21" t="s">
        <v>108</v>
      </c>
    </row>
    <row r="9" spans="1:6" x14ac:dyDescent="0.25">
      <c r="A9" s="10" t="s">
        <v>216</v>
      </c>
      <c r="B9" s="33">
        <v>64516</v>
      </c>
      <c r="C9" s="33">
        <v>79742</v>
      </c>
      <c r="D9" s="33">
        <v>82134</v>
      </c>
      <c r="E9" s="33">
        <v>84598</v>
      </c>
      <c r="F9" s="33">
        <v>87136</v>
      </c>
    </row>
    <row r="10" spans="1:6" x14ac:dyDescent="0.25">
      <c r="A10" s="11" t="s">
        <v>217</v>
      </c>
      <c r="B10" s="29">
        <v>0.320976368159204</v>
      </c>
      <c r="C10" s="29">
        <v>0.2639854503922932</v>
      </c>
      <c r="D10" s="29">
        <v>0.1942014730677645</v>
      </c>
      <c r="E10" s="29">
        <v>0.16210485745366593</v>
      </c>
      <c r="F10" s="29">
        <v>0.14604479678230883</v>
      </c>
    </row>
    <row r="11" spans="1:6" x14ac:dyDescent="0.25">
      <c r="A11" s="11" t="s">
        <v>218</v>
      </c>
      <c r="B11" s="35">
        <v>10</v>
      </c>
      <c r="C11" s="35">
        <v>14.7</v>
      </c>
      <c r="D11" s="35">
        <v>20</v>
      </c>
      <c r="E11" s="35">
        <v>24</v>
      </c>
      <c r="F11" s="35">
        <v>26.7</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2" customWidth="1"/>
    <col min="2" max="6" width="16" customWidth="1"/>
  </cols>
  <sheetData>
    <row r="1" spans="1:6" x14ac:dyDescent="0.25">
      <c r="A1" s="15" t="s">
        <v>219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149</v>
      </c>
      <c r="B4" s="19"/>
      <c r="C4" s="19"/>
      <c r="D4" s="19"/>
      <c r="E4" s="19"/>
      <c r="F4" s="19"/>
    </row>
    <row r="5" spans="1:6" x14ac:dyDescent="0.25">
      <c r="A5" s="11" t="s">
        <v>220</v>
      </c>
      <c r="B5" s="31">
        <v>6000</v>
      </c>
      <c r="C5" s="31">
        <v>9064</v>
      </c>
      <c r="D5" s="31">
        <v>12731</v>
      </c>
      <c r="E5" s="31">
        <v>15735</v>
      </c>
      <c r="F5" s="31">
        <v>18008</v>
      </c>
    </row>
    <row r="6" spans="1:6" x14ac:dyDescent="0.25">
      <c r="A6" s="10" t="s">
        <v>221</v>
      </c>
      <c r="B6" s="32">
        <f>SUM(B5:B5)</f>
        <v>6000</v>
      </c>
      <c r="C6" s="32">
        <f>SUM(C5:C5)</f>
        <v>9064</v>
      </c>
      <c r="D6" s="32">
        <f>SUM(D5:D5)</f>
        <v>12731</v>
      </c>
      <c r="E6" s="32">
        <f>SUM(E5:E5)</f>
        <v>15735</v>
      </c>
      <c r="F6" s="32">
        <f>SUM(F5:F5)</f>
        <v>18008</v>
      </c>
    </row>
    <row r="7" ht="24" customHeight="1" spans="1:6" x14ac:dyDescent="0.25">
      <c r="A7" s="19" t="s">
        <v>150</v>
      </c>
      <c r="B7" s="19"/>
      <c r="C7" s="19"/>
      <c r="D7" s="19"/>
      <c r="E7" s="19"/>
      <c r="F7" s="19"/>
    </row>
    <row r="8" spans="1:6" x14ac:dyDescent="0.25">
      <c r="A8" s="11" t="s">
        <v>222</v>
      </c>
      <c r="B8" s="31">
        <v>3750</v>
      </c>
      <c r="C8" s="31">
        <v>5665</v>
      </c>
      <c r="D8" s="31">
        <v>7957</v>
      </c>
      <c r="E8" s="31">
        <v>9835</v>
      </c>
      <c r="F8" s="31">
        <v>11255</v>
      </c>
    </row>
    <row r="9" spans="1:6" x14ac:dyDescent="0.25">
      <c r="A9" s="10" t="s">
        <v>223</v>
      </c>
      <c r="B9" s="32">
        <f>SUM(B8:B8)</f>
        <v>3750</v>
      </c>
      <c r="C9" s="32">
        <f>SUM(C8:C8)</f>
        <v>5665</v>
      </c>
      <c r="D9" s="32">
        <f>SUM(D8:D8)</f>
        <v>7957</v>
      </c>
      <c r="E9" s="32">
        <f>SUM(E8:E8)</f>
        <v>9835</v>
      </c>
      <c r="F9" s="32">
        <f>SUM(F8:F8)</f>
        <v>11255</v>
      </c>
    </row>
    <row r="10" ht="24" customHeight="1" spans="1:6" x14ac:dyDescent="0.25">
      <c r="A10" s="19" t="s">
        <v>142</v>
      </c>
      <c r="B10" s="19"/>
      <c r="C10" s="19"/>
      <c r="D10" s="19"/>
      <c r="E10" s="19"/>
      <c r="F10" s="19"/>
    </row>
    <row r="11" spans="1:6" x14ac:dyDescent="0.25">
      <c r="A11" s="11" t="s">
        <v>224</v>
      </c>
      <c r="B11" s="31">
        <v>21600</v>
      </c>
      <c r="C11" s="31">
        <v>22248</v>
      </c>
      <c r="D11" s="31">
        <v>22915</v>
      </c>
      <c r="E11" s="31">
        <v>23603</v>
      </c>
      <c r="F11" s="31">
        <v>24311</v>
      </c>
    </row>
    <row r="12" spans="1:6" x14ac:dyDescent="0.25">
      <c r="A12" s="11" t="s">
        <v>225</v>
      </c>
      <c r="B12" s="31">
        <v>2400</v>
      </c>
      <c r="C12" s="31">
        <v>2472</v>
      </c>
      <c r="D12" s="31">
        <v>2546</v>
      </c>
      <c r="E12" s="31">
        <v>2623</v>
      </c>
      <c r="F12" s="31">
        <v>2701</v>
      </c>
    </row>
    <row r="13" spans="1:6" x14ac:dyDescent="0.25">
      <c r="A13" s="11" t="s">
        <v>226</v>
      </c>
      <c r="B13" s="31">
        <v>1800</v>
      </c>
      <c r="C13" s="31">
        <v>1854</v>
      </c>
      <c r="D13" s="31">
        <v>1910</v>
      </c>
      <c r="E13" s="31">
        <v>1967</v>
      </c>
      <c r="F13" s="31">
        <v>2026</v>
      </c>
    </row>
    <row r="14" spans="1:6" x14ac:dyDescent="0.25">
      <c r="A14" s="10" t="s">
        <v>227</v>
      </c>
      <c r="B14" s="32">
        <f>SUM(B11:B13)</f>
        <v>25800</v>
      </c>
      <c r="C14" s="32">
        <f>SUM(C11:C13)</f>
        <v>26574</v>
      </c>
      <c r="D14" s="32">
        <f>SUM(D11:D13)</f>
        <v>27371</v>
      </c>
      <c r="E14" s="32">
        <f>SUM(E11:E13)</f>
        <v>28192</v>
      </c>
      <c r="F14" s="32">
        <f>SUM(F11:F13)</f>
        <v>29038</v>
      </c>
    </row>
    <row r="15" ht="24" customHeight="1" spans="1:6" x14ac:dyDescent="0.25">
      <c r="A15" s="19" t="s">
        <v>147</v>
      </c>
      <c r="B15" s="19"/>
      <c r="C15" s="19"/>
      <c r="D15" s="19"/>
      <c r="E15" s="19"/>
      <c r="F15" s="19"/>
    </row>
    <row r="16" spans="1:6" x14ac:dyDescent="0.25">
      <c r="A16" s="11" t="s">
        <v>228</v>
      </c>
      <c r="B16" s="31">
        <v>4500</v>
      </c>
      <c r="C16" s="31">
        <v>4500</v>
      </c>
      <c r="D16" s="31">
        <v>4500</v>
      </c>
      <c r="E16" s="31">
        <v>4500</v>
      </c>
      <c r="F16" s="31">
        <v>4500</v>
      </c>
    </row>
    <row r="17" spans="1:6" x14ac:dyDescent="0.25">
      <c r="A17" s="10" t="s">
        <v>229</v>
      </c>
      <c r="B17" s="32">
        <f>SUM(B16:B16)</f>
        <v>4500</v>
      </c>
      <c r="C17" s="32">
        <f>SUM(C16:C16)</f>
        <v>4500</v>
      </c>
      <c r="D17" s="32">
        <f>SUM(D16:D16)</f>
        <v>4500</v>
      </c>
      <c r="E17" s="32">
        <f>SUM(E16:E16)</f>
        <v>4500</v>
      </c>
      <c r="F17" s="32">
        <f>SUM(F16:F16)</f>
        <v>4500</v>
      </c>
    </row>
    <row r="19" ht="24" customHeight="1" spans="1:6" x14ac:dyDescent="0.25">
      <c r="A19" s="19" t="s">
        <v>230</v>
      </c>
      <c r="B19" s="33">
        <f>B6+B9+B14+B17</f>
        <v>40050</v>
      </c>
      <c r="C19" s="33">
        <f>C6+C9+C14+C17</f>
        <v>45803</v>
      </c>
      <c r="D19" s="33">
        <f>D6+D9+D14+D17</f>
        <v>52559</v>
      </c>
      <c r="E19" s="33">
        <f>E6+E9+E14+E17</f>
        <v>58262</v>
      </c>
      <c r="F19" s="33">
        <f>F6+F9+F14+F17</f>
        <v>62801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6"/>
  <sheetFormatPr defaultRowHeight="15" outlineLevelRow="0" outlineLevelCol="0" x14ac:dyDescent="55"/>
  <cols>
    <col min="1" max="1" width="28" customWidth="1"/>
    <col min="2" max="4" width="14" customWidth="1"/>
    <col min="5" max="6" width="16" customWidth="1"/>
  </cols>
  <sheetData>
    <row r="1" spans="1:6" x14ac:dyDescent="0.25">
      <c r="A1" s="15" t="s">
        <v>231</v>
      </c>
      <c r="B1" s="15"/>
      <c r="C1" s="15"/>
      <c r="D1" s="15"/>
      <c r="E1" s="15"/>
      <c r="F1" s="15"/>
    </row>
    <row r="3" ht="28" customHeight="1" spans="1:6" x14ac:dyDescent="0.25">
      <c r="A3" s="21" t="s">
        <v>152</v>
      </c>
      <c r="B3" s="21" t="s">
        <v>129</v>
      </c>
      <c r="C3" s="21" t="s">
        <v>153</v>
      </c>
      <c r="D3" s="21" t="s">
        <v>131</v>
      </c>
      <c r="E3" s="21" t="s">
        <v>154</v>
      </c>
      <c r="F3" s="21" t="s">
        <v>232</v>
      </c>
    </row>
    <row r="5" spans="1:6" x14ac:dyDescent="0.25">
      <c r="A5" s="10" t="s">
        <v>233</v>
      </c>
      <c r="F5" s="33">
        <v>0</v>
      </c>
    </row>
    <row r="6" spans="1:6" x14ac:dyDescent="0.25">
      <c r="A6" s="10" t="s">
        <v>234</v>
      </c>
      <c r="F6" s="32">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36" customWidth="1"/>
    <col min="2" max="6" width="16" customWidth="1"/>
  </cols>
  <sheetData>
    <row r="1" spans="1:6" x14ac:dyDescent="0.25">
      <c r="A1" s="15" t="s">
        <v>235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6">
        <v>15</v>
      </c>
      <c r="C4" s="36">
        <v>22</v>
      </c>
      <c r="D4" s="36">
        <v>30</v>
      </c>
      <c r="E4" s="36">
        <v>36</v>
      </c>
      <c r="F4" s="36">
        <v>40</v>
      </c>
    </row>
    <row r="6" ht="24" customHeight="1" spans="1:6" x14ac:dyDescent="0.25">
      <c r="A6" s="19" t="s">
        <v>236</v>
      </c>
      <c r="B6" s="19"/>
      <c r="C6" s="19"/>
      <c r="D6" s="19"/>
      <c r="E6" s="19"/>
      <c r="F6" s="19"/>
    </row>
    <row r="7" spans="1:6" x14ac:dyDescent="0.25">
      <c r="A7" s="11" t="s">
        <v>117</v>
      </c>
      <c r="B7" s="31">
        <v>90000</v>
      </c>
      <c r="C7" s="31">
        <v>135960</v>
      </c>
      <c r="D7" s="31">
        <v>190962</v>
      </c>
      <c r="E7" s="31">
        <v>236029</v>
      </c>
      <c r="F7" s="31">
        <v>270122</v>
      </c>
    </row>
    <row r="8" spans="1:6" x14ac:dyDescent="0.25">
      <c r="A8" s="11" t="s">
        <v>121</v>
      </c>
      <c r="B8" s="31">
        <v>3000</v>
      </c>
      <c r="C8" s="31">
        <v>4400</v>
      </c>
      <c r="D8" s="31">
        <v>6000</v>
      </c>
      <c r="E8" s="31">
        <v>7200</v>
      </c>
      <c r="F8" s="31">
        <v>8000</v>
      </c>
    </row>
    <row r="9" spans="1:6" x14ac:dyDescent="0.25">
      <c r="A9" s="11" t="s">
        <v>122</v>
      </c>
      <c r="B9" s="31">
        <v>105000</v>
      </c>
      <c r="C9" s="31">
        <v>158620</v>
      </c>
      <c r="D9" s="31">
        <v>222789</v>
      </c>
      <c r="E9" s="31">
        <v>275367</v>
      </c>
      <c r="F9" s="31">
        <v>315142</v>
      </c>
    </row>
    <row r="10" spans="1:6" x14ac:dyDescent="0.25">
      <c r="A10" s="11" t="s">
        <v>124</v>
      </c>
      <c r="B10" s="31">
        <v>3000</v>
      </c>
      <c r="C10" s="31">
        <v>3090</v>
      </c>
      <c r="D10" s="31">
        <v>3183</v>
      </c>
      <c r="E10" s="31">
        <v>3278</v>
      </c>
      <c r="F10" s="31">
        <v>3377</v>
      </c>
    </row>
    <row r="11" ht="24" customHeight="1" spans="1:6" x14ac:dyDescent="0.25">
      <c r="A11" s="19" t="s">
        <v>237</v>
      </c>
      <c r="B11" s="33">
        <f>SUM(B7:B10)</f>
        <v>201000</v>
      </c>
      <c r="C11" s="33">
        <f>SUM(C7:C10)</f>
        <v>302070</v>
      </c>
      <c r="D11" s="33">
        <f>SUM(D7:D10)</f>
        <v>422934</v>
      </c>
      <c r="E11" s="33">
        <f>SUM(E7:E10)</f>
        <v>521874</v>
      </c>
      <c r="F11" s="33">
        <f>SUM(F7:F10)</f>
        <v>596641</v>
      </c>
    </row>
    <row r="13" spans="1:6" x14ac:dyDescent="0.25">
      <c r="A13" s="11" t="s">
        <v>238</v>
      </c>
      <c r="B13" s="31">
        <v>13400</v>
      </c>
      <c r="C13" s="31">
        <v>13730</v>
      </c>
      <c r="D13" s="31">
        <v>14098</v>
      </c>
      <c r="E13" s="31">
        <v>14497</v>
      </c>
      <c r="F13" s="31">
        <v>14916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1"/>
  <sheetFormatPr defaultRowHeight="15" outlineLevelRow="0" outlineLevelCol="0" x14ac:dyDescent="55"/>
  <cols>
    <col min="1" max="1" width="30" customWidth="1"/>
    <col min="2" max="6" width="16" customWidth="1"/>
  </cols>
  <sheetData>
    <row r="1" spans="1:6" x14ac:dyDescent="0.25">
      <c r="A1" s="15" t="s">
        <v>239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138</v>
      </c>
      <c r="B4" s="19"/>
      <c r="C4" s="19"/>
      <c r="D4" s="19"/>
      <c r="E4" s="19"/>
      <c r="F4" s="19"/>
    </row>
    <row r="5" spans="1:6" x14ac:dyDescent="0.25">
      <c r="A5" s="11" t="s">
        <v>240</v>
      </c>
      <c r="B5" s="31">
        <v>13456</v>
      </c>
      <c r="C5" s="31">
        <v>16632</v>
      </c>
      <c r="D5" s="31">
        <v>17131</v>
      </c>
      <c r="E5" s="31">
        <v>17645</v>
      </c>
      <c r="F5" s="31">
        <v>18174</v>
      </c>
    </row>
    <row r="6" spans="1:6" x14ac:dyDescent="0.25">
      <c r="A6" s="10" t="s">
        <v>241</v>
      </c>
      <c r="B6" s="32">
        <f>SUM(B5:B5)</f>
        <v>13456</v>
      </c>
      <c r="C6" s="32">
        <f>SUM(C5:C5)</f>
        <v>16632</v>
      </c>
      <c r="D6" s="32">
        <f>SUM(D5:D5)</f>
        <v>17131</v>
      </c>
      <c r="E6" s="32">
        <f>SUM(E5:E5)</f>
        <v>17645</v>
      </c>
      <c r="F6" s="32">
        <f>SUM(F5:F5)</f>
        <v>18174</v>
      </c>
    </row>
    <row r="7" ht="24" customHeight="1" spans="1:6" x14ac:dyDescent="0.25">
      <c r="A7" s="19" t="s">
        <v>135</v>
      </c>
      <c r="B7" s="19"/>
      <c r="C7" s="19"/>
      <c r="D7" s="19"/>
      <c r="E7" s="19"/>
      <c r="F7" s="19"/>
    </row>
    <row r="8" spans="1:6" x14ac:dyDescent="0.25">
      <c r="A8" s="11" t="s">
        <v>242</v>
      </c>
      <c r="B8" s="31">
        <v>51060</v>
      </c>
      <c r="C8" s="31">
        <v>63110</v>
      </c>
      <c r="D8" s="31">
        <v>65003</v>
      </c>
      <c r="E8" s="31">
        <v>66954</v>
      </c>
      <c r="F8" s="31">
        <v>68962</v>
      </c>
    </row>
    <row r="9" spans="1:6" x14ac:dyDescent="0.25">
      <c r="A9" s="10" t="s">
        <v>243</v>
      </c>
      <c r="B9" s="32">
        <f>SUM(B8:B8)</f>
        <v>51060</v>
      </c>
      <c r="C9" s="32">
        <f>SUM(C8:C8)</f>
        <v>63110</v>
      </c>
      <c r="D9" s="32">
        <f>SUM(D8:D8)</f>
        <v>65003</v>
      </c>
      <c r="E9" s="32">
        <f>SUM(E8:E8)</f>
        <v>66954</v>
      </c>
      <c r="F9" s="32">
        <f>SUM(F8:F8)</f>
        <v>68962</v>
      </c>
    </row>
    <row r="11" ht="24" customHeight="1" spans="1:6" x14ac:dyDescent="0.25">
      <c r="A11" s="19" t="s">
        <v>244</v>
      </c>
      <c r="B11" s="33">
        <f>B6+B9</f>
        <v>64516</v>
      </c>
      <c r="C11" s="33">
        <f>C6+C9</f>
        <v>79742</v>
      </c>
      <c r="D11" s="33">
        <f>D6+D9</f>
        <v>82134</v>
      </c>
      <c r="E11" s="33">
        <f>E6+E9</f>
        <v>84598</v>
      </c>
      <c r="F11" s="33">
        <f>F6+F9</f>
        <v>87136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36" customWidth="1"/>
    <col min="2" max="6" width="16" customWidth="1"/>
  </cols>
  <sheetData>
    <row r="1" spans="1:6" x14ac:dyDescent="0.25">
      <c r="A1" s="15" t="s">
        <v>245</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246</v>
      </c>
      <c r="B4" s="19"/>
      <c r="C4" s="19"/>
      <c r="D4" s="19"/>
      <c r="E4" s="19"/>
      <c r="F4" s="19"/>
    </row>
    <row r="5" spans="1:6" x14ac:dyDescent="0.25">
      <c r="A5" s="11" t="s">
        <v>247</v>
      </c>
      <c r="B5" s="31">
        <v>75000</v>
      </c>
      <c r="C5" s="31">
        <v>135960</v>
      </c>
      <c r="D5" s="31">
        <v>190962</v>
      </c>
      <c r="E5" s="31">
        <v>236029</v>
      </c>
      <c r="F5" s="31">
        <v>270122</v>
      </c>
    </row>
    <row r="6" spans="1:6" x14ac:dyDescent="0.25">
      <c r="A6" s="11" t="s">
        <v>248</v>
      </c>
      <c r="B6" s="31">
        <v>2500</v>
      </c>
      <c r="C6" s="31">
        <v>4400</v>
      </c>
      <c r="D6" s="31">
        <v>6000</v>
      </c>
      <c r="E6" s="31">
        <v>7200</v>
      </c>
      <c r="F6" s="31">
        <v>8000</v>
      </c>
    </row>
    <row r="7" spans="1:6" x14ac:dyDescent="0.25">
      <c r="A7" s="11" t="s">
        <v>249</v>
      </c>
      <c r="B7" s="31">
        <v>87500</v>
      </c>
      <c r="C7" s="31">
        <v>158620</v>
      </c>
      <c r="D7" s="31">
        <v>222789</v>
      </c>
      <c r="E7" s="31">
        <v>275367</v>
      </c>
      <c r="F7" s="31">
        <v>315142</v>
      </c>
    </row>
    <row r="8" spans="1:6" x14ac:dyDescent="0.25">
      <c r="A8" s="11" t="s">
        <v>250</v>
      </c>
      <c r="B8" s="31">
        <v>2500</v>
      </c>
      <c r="C8" s="31">
        <v>3090</v>
      </c>
      <c r="D8" s="31">
        <v>3183</v>
      </c>
      <c r="E8" s="31">
        <v>3278</v>
      </c>
      <c r="F8" s="31">
        <v>3377</v>
      </c>
    </row>
    <row r="9" spans="1:6" x14ac:dyDescent="0.25">
      <c r="A9" s="10" t="s">
        <v>251</v>
      </c>
      <c r="B9" s="32">
        <f>SUM(B5:B8)</f>
        <v>167500</v>
      </c>
      <c r="C9" s="32">
        <f>SUM(C5:C8)</f>
        <v>302980</v>
      </c>
      <c r="D9" s="32">
        <f>SUM(D5:D8)</f>
        <v>424730</v>
      </c>
      <c r="E9" s="32">
        <f>SUM(E5:E8)</f>
        <v>523580</v>
      </c>
      <c r="F9" s="32">
        <f>SUM(F5:F8)</f>
        <v>598240</v>
      </c>
    </row>
    <row r="11" ht="24" customHeight="1" spans="1:6" x14ac:dyDescent="0.25">
      <c r="A11" s="19" t="s">
        <v>252</v>
      </c>
      <c r="B11" s="19"/>
      <c r="C11" s="19"/>
      <c r="D11" s="19"/>
      <c r="E11" s="19"/>
      <c r="F11" s="19"/>
    </row>
    <row r="12" spans="1:6" x14ac:dyDescent="0.25">
      <c r="A12" s="11" t="s">
        <v>253</v>
      </c>
      <c r="B12" s="31">
        <v>51060</v>
      </c>
      <c r="C12" s="31">
        <v>63110</v>
      </c>
      <c r="D12" s="31">
        <v>65003</v>
      </c>
      <c r="E12" s="31">
        <v>66954</v>
      </c>
      <c r="F12" s="31">
        <v>68962</v>
      </c>
    </row>
    <row r="13" spans="1:6" x14ac:dyDescent="0.25">
      <c r="A13" s="11" t="s">
        <v>254</v>
      </c>
      <c r="B13" s="31">
        <v>13456</v>
      </c>
      <c r="C13" s="31">
        <v>16632</v>
      </c>
      <c r="D13" s="31">
        <v>17131</v>
      </c>
      <c r="E13" s="31">
        <v>17645</v>
      </c>
      <c r="F13" s="31">
        <v>18174</v>
      </c>
    </row>
    <row r="14" spans="1:6" x14ac:dyDescent="0.25">
      <c r="A14" s="10" t="s">
        <v>216</v>
      </c>
      <c r="B14" s="32">
        <f>SUM(B12:B13)</f>
        <v>64516</v>
      </c>
      <c r="C14" s="32">
        <f>SUM(C12:C13)</f>
        <v>79742</v>
      </c>
      <c r="D14" s="32">
        <f>SUM(D12:D13)</f>
        <v>82134</v>
      </c>
      <c r="E14" s="32">
        <f>SUM(E12:E13)</f>
        <v>84598</v>
      </c>
      <c r="F14" s="32">
        <f>SUM(F12:F13)</f>
        <v>87136</v>
      </c>
    </row>
    <row r="16" ht="24" customHeight="1" spans="1:6" x14ac:dyDescent="0.25">
      <c r="A16" s="19" t="s">
        <v>140</v>
      </c>
      <c r="B16" s="19"/>
      <c r="C16" s="19"/>
      <c r="D16" s="19"/>
      <c r="E16" s="19"/>
      <c r="F16" s="19"/>
    </row>
    <row r="17" spans="1:1" x14ac:dyDescent="0.25">
      <c r="A17" s="37" t="s">
        <v>149</v>
      </c>
    </row>
    <row r="18" spans="1:6" x14ac:dyDescent="0.25">
      <c r="A18" s="11" t="s">
        <v>255</v>
      </c>
      <c r="B18" s="31">
        <v>5000</v>
      </c>
      <c r="C18" s="31">
        <v>9064</v>
      </c>
      <c r="D18" s="31">
        <v>12731</v>
      </c>
      <c r="E18" s="31">
        <v>15735</v>
      </c>
      <c r="F18" s="31">
        <v>18008</v>
      </c>
    </row>
    <row r="19" spans="1:1" x14ac:dyDescent="0.25">
      <c r="A19" s="37" t="s">
        <v>150</v>
      </c>
    </row>
    <row r="20" spans="1:6" x14ac:dyDescent="0.25">
      <c r="A20" s="11" t="s">
        <v>256</v>
      </c>
      <c r="B20" s="31">
        <v>3125</v>
      </c>
      <c r="C20" s="31">
        <v>5665</v>
      </c>
      <c r="D20" s="31">
        <v>7957</v>
      </c>
      <c r="E20" s="31">
        <v>9835</v>
      </c>
      <c r="F20" s="31">
        <v>11255</v>
      </c>
    </row>
    <row r="21" spans="1:1" x14ac:dyDescent="0.25">
      <c r="A21" s="37" t="s">
        <v>142</v>
      </c>
    </row>
    <row r="22" spans="1:6" x14ac:dyDescent="0.25">
      <c r="A22" s="11" t="s">
        <v>257</v>
      </c>
      <c r="B22" s="31">
        <v>18000</v>
      </c>
      <c r="C22" s="31">
        <v>22248</v>
      </c>
      <c r="D22" s="31">
        <v>22915</v>
      </c>
      <c r="E22" s="31">
        <v>23603</v>
      </c>
      <c r="F22" s="31">
        <v>24311</v>
      </c>
    </row>
    <row r="23" spans="1:6" x14ac:dyDescent="0.25">
      <c r="A23" s="11" t="s">
        <v>258</v>
      </c>
      <c r="B23" s="31">
        <v>2000</v>
      </c>
      <c r="C23" s="31">
        <v>2472</v>
      </c>
      <c r="D23" s="31">
        <v>2546</v>
      </c>
      <c r="E23" s="31">
        <v>2623</v>
      </c>
      <c r="F23" s="31">
        <v>2701</v>
      </c>
    </row>
    <row r="24" spans="1:6" x14ac:dyDescent="0.25">
      <c r="A24" s="11" t="s">
        <v>259</v>
      </c>
      <c r="B24" s="31">
        <v>1500</v>
      </c>
      <c r="C24" s="31">
        <v>1854</v>
      </c>
      <c r="D24" s="31">
        <v>1910</v>
      </c>
      <c r="E24" s="31">
        <v>1967</v>
      </c>
      <c r="F24" s="31">
        <v>2026</v>
      </c>
    </row>
    <row r="25" spans="1:6" x14ac:dyDescent="0.25">
      <c r="A25" s="10" t="s">
        <v>260</v>
      </c>
      <c r="B25" s="32">
        <f>SUM(B22:B24)</f>
        <v>21500</v>
      </c>
      <c r="C25" s="32">
        <f>SUM(C22:C24)</f>
        <v>26574</v>
      </c>
      <c r="D25" s="32">
        <f>SUM(D22:D24)</f>
        <v>27371</v>
      </c>
      <c r="E25" s="32">
        <f>SUM(E22:E24)</f>
        <v>28192</v>
      </c>
      <c r="F25" s="32">
        <f>SUM(F22:F24)</f>
        <v>29038</v>
      </c>
    </row>
    <row r="26" spans="1:1" x14ac:dyDescent="0.25">
      <c r="A26" s="37" t="s">
        <v>147</v>
      </c>
    </row>
    <row r="27" spans="1:6" x14ac:dyDescent="0.25">
      <c r="A27" s="11" t="s">
        <v>261</v>
      </c>
      <c r="B27" s="31">
        <v>3750</v>
      </c>
      <c r="C27" s="31">
        <v>4500</v>
      </c>
      <c r="D27" s="31">
        <v>4500</v>
      </c>
      <c r="E27" s="31">
        <v>4500</v>
      </c>
      <c r="F27" s="31">
        <v>4500</v>
      </c>
    </row>
    <row r="28" spans="1:6" x14ac:dyDescent="0.25">
      <c r="A28" s="10" t="s">
        <v>262</v>
      </c>
      <c r="B28" s="32">
        <f>B18+B20+B25+B27</f>
        <v>33375</v>
      </c>
      <c r="C28" s="32">
        <f>C18+C20+C25+C27</f>
        <v>45803</v>
      </c>
      <c r="D28" s="32">
        <f>D18+D20+D25+D27</f>
        <v>52559</v>
      </c>
      <c r="E28" s="32">
        <f>E18+E20+E25+E27</f>
        <v>58262</v>
      </c>
      <c r="F28" s="32">
        <f>F18+F20+F25+F27</f>
        <v>62801</v>
      </c>
    </row>
    <row r="30" ht="24" customHeight="1" spans="1:6" x14ac:dyDescent="0.25">
      <c r="A30" s="19" t="s">
        <v>263</v>
      </c>
      <c r="B30" s="19"/>
      <c r="C30" s="19"/>
      <c r="D30" s="19"/>
      <c r="E30" s="19"/>
      <c r="F30" s="19"/>
    </row>
    <row r="31" spans="1:6" x14ac:dyDescent="0.25">
      <c r="A31" s="10" t="s">
        <v>264</v>
      </c>
      <c r="B31" s="32" t="str">
        <f>SUM(B31:B30)</f>
        <v>0</v>
      </c>
      <c r="C31" s="32" t="str">
        <f>SUM(C31:C30)</f>
        <v>0</v>
      </c>
      <c r="D31" s="32" t="str">
        <f>SUM(D31:D30)</f>
        <v>0</v>
      </c>
      <c r="E31" s="32" t="str">
        <f>SUM(E31:E30)</f>
        <v>0</v>
      </c>
      <c r="F31" s="32" t="str">
        <f>SUM(F31:F30)</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265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251</v>
      </c>
      <c r="B4" s="34">
        <f>'Budget Detail'!B9</f>
        <v>167500</v>
      </c>
      <c r="C4" s="34">
        <f>'Budget Detail'!C9</f>
        <v>302980</v>
      </c>
      <c r="D4" s="34">
        <f>'Budget Detail'!D9</f>
        <v>424730</v>
      </c>
      <c r="E4" s="34">
        <f>'Budget Detail'!E9</f>
        <v>523580</v>
      </c>
      <c r="F4" s="34">
        <f>'Budget Detail'!F9</f>
        <v>598240</v>
      </c>
    </row>
    <row r="5" spans="1:6" x14ac:dyDescent="0.25">
      <c r="A5" s="10" t="s">
        <v>216</v>
      </c>
      <c r="B5" s="34">
        <f>'Budget Detail'!B14</f>
        <v>64516</v>
      </c>
      <c r="C5" s="34">
        <f>'Budget Detail'!C14</f>
        <v>79742</v>
      </c>
      <c r="D5" s="34">
        <f>'Budget Detail'!D14</f>
        <v>82134</v>
      </c>
      <c r="E5" s="34">
        <f>'Budget Detail'!E14</f>
        <v>84598</v>
      </c>
      <c r="F5" s="34">
        <f>'Budget Detail'!F14</f>
        <v>87136</v>
      </c>
    </row>
    <row r="6" spans="1:6" x14ac:dyDescent="0.25">
      <c r="A6" s="10" t="s">
        <v>262</v>
      </c>
      <c r="B6" s="34">
        <f>'Budget Detail'!B28</f>
        <v>33375</v>
      </c>
      <c r="C6" s="34">
        <f>'Budget Detail'!C28</f>
        <v>45803</v>
      </c>
      <c r="D6" s="34">
        <f>'Budget Detail'!D28</f>
        <v>52559</v>
      </c>
      <c r="E6" s="34">
        <f>'Budget Detail'!E28</f>
        <v>58262</v>
      </c>
      <c r="F6" s="34">
        <f>'Budget Detail'!F28</f>
        <v>62801</v>
      </c>
    </row>
    <row r="7" spans="1:6" x14ac:dyDescent="0.25">
      <c r="A7" s="10" t="s">
        <v>266</v>
      </c>
      <c r="B7" s="34" t="str">
        <f>'Budget Detail'!B31</f>
        <v>0</v>
      </c>
      <c r="C7" s="34" t="str">
        <f>'Budget Detail'!C31</f>
        <v>0</v>
      </c>
      <c r="D7" s="34" t="str">
        <f>'Budget Detail'!D31</f>
        <v>0</v>
      </c>
      <c r="E7" s="34" t="str">
        <f>'Budget Detail'!E31</f>
        <v>0</v>
      </c>
      <c r="F7" s="34" t="str">
        <f>'Budget Detail'!F31</f>
        <v>0</v>
      </c>
    </row>
    <row r="8" spans="1:6" x14ac:dyDescent="0.25">
      <c r="A8" s="10" t="s">
        <v>267</v>
      </c>
      <c r="B8" s="32">
        <f>SUM(B5:B7)</f>
        <v>97891</v>
      </c>
      <c r="C8" s="32">
        <f>SUM(C5:C7)</f>
        <v>125545</v>
      </c>
      <c r="D8" s="32">
        <f>SUM(D5:D7)</f>
        <v>134693</v>
      </c>
      <c r="E8" s="32">
        <f>SUM(E5:E7)</f>
        <v>142861</v>
      </c>
      <c r="F8" s="32">
        <f>SUM(F5:F7)</f>
        <v>149938</v>
      </c>
    </row>
    <row r="10" ht="24" customHeight="1" spans="1:6" x14ac:dyDescent="0.25">
      <c r="A10" s="19" t="s">
        <v>268</v>
      </c>
      <c r="B10" s="19"/>
      <c r="C10" s="19"/>
      <c r="D10" s="19"/>
      <c r="E10" s="19"/>
      <c r="F10" s="19"/>
    </row>
    <row r="11" spans="1:6" x14ac:dyDescent="0.25">
      <c r="A11" s="10" t="s">
        <v>269</v>
      </c>
      <c r="B11" s="33">
        <f>B4-B8</f>
        <v>69609</v>
      </c>
      <c r="C11" s="33">
        <f>C4-C8</f>
        <v>177435</v>
      </c>
      <c r="D11" s="33">
        <f>D4-D8</f>
        <v>290037</v>
      </c>
      <c r="E11" s="33">
        <f>E4-E8</f>
        <v>380719</v>
      </c>
      <c r="F11" s="33">
        <f>F4-F8</f>
        <v>448302</v>
      </c>
    </row>
    <row r="12" spans="1:6" x14ac:dyDescent="0.25">
      <c r="A12" s="11" t="s">
        <v>270</v>
      </c>
      <c r="B12" s="29">
        <f>IF(B4=0,0,B11/B4)</f>
        <v>0.41557463</v>
      </c>
      <c r="C12" s="29">
        <f>IF(C4=0,0,C11/C4)</f>
        <v>0.58563243</v>
      </c>
      <c r="D12" s="29">
        <f>IF(D4=0,0,D11/D4)</f>
        <v>0.68287355</v>
      </c>
      <c r="E12" s="29">
        <f>IF(E4=0,0,E11/E4)</f>
        <v>0.72714667</v>
      </c>
      <c r="F12" s="29">
        <f>IF(F4=0,0,F11/F4)</f>
        <v>0.74936867</v>
      </c>
    </row>
    <row r="13" spans="1:6" x14ac:dyDescent="0.25">
      <c r="A13" s="11" t="s">
        <v>271</v>
      </c>
      <c r="B13" s="31">
        <v>69609</v>
      </c>
      <c r="C13" s="31">
        <v>247044</v>
      </c>
      <c r="D13" s="31">
        <v>537081</v>
      </c>
      <c r="E13" s="31">
        <v>917800</v>
      </c>
      <c r="F13" s="31">
        <v>1366102</v>
      </c>
    </row>
    <row r="14" spans="1:6" x14ac:dyDescent="0.25">
      <c r="A14" s="11" t="s">
        <v>238</v>
      </c>
      <c r="B14" s="31">
        <v>11167</v>
      </c>
      <c r="C14" s="31">
        <v>13772</v>
      </c>
      <c r="D14" s="31">
        <v>14158</v>
      </c>
      <c r="E14" s="31">
        <v>14544</v>
      </c>
      <c r="F14" s="31">
        <v>14956</v>
      </c>
    </row>
    <row r="15" spans="1:6" x14ac:dyDescent="0.25">
      <c r="A15" s="11" t="s">
        <v>272</v>
      </c>
      <c r="B15" s="31">
        <v>6526</v>
      </c>
      <c r="C15" s="31">
        <v>5707</v>
      </c>
      <c r="D15" s="31">
        <v>4490</v>
      </c>
      <c r="E15" s="31">
        <v>3968</v>
      </c>
      <c r="F15" s="31">
        <v>3748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273</v>
      </c>
      <c r="B1" s="15"/>
      <c r="C1" s="15"/>
      <c r="D1" s="15"/>
      <c r="E1" s="15"/>
      <c r="F1" s="15"/>
      <c r="G1" s="15"/>
      <c r="H1" s="15"/>
      <c r="I1" s="15"/>
      <c r="J1" s="15"/>
      <c r="K1" s="15"/>
      <c r="L1" s="15"/>
      <c r="M1" s="15"/>
      <c r="N1" s="15"/>
    </row>
    <row r="2" ht="28" customHeight="1" spans="1:14" x14ac:dyDescent="0.25">
      <c r="A2" s="21" t="s">
        <v>7</v>
      </c>
      <c r="B2" s="21" t="s">
        <v>274</v>
      </c>
      <c r="C2" s="21" t="s">
        <v>275</v>
      </c>
      <c r="D2" s="21" t="s">
        <v>276</v>
      </c>
      <c r="E2" s="21" t="s">
        <v>277</v>
      </c>
      <c r="F2" s="21" t="s">
        <v>278</v>
      </c>
      <c r="G2" s="21" t="s">
        <v>279</v>
      </c>
      <c r="H2" s="21" t="s">
        <v>280</v>
      </c>
      <c r="I2" s="21" t="s">
        <v>281</v>
      </c>
      <c r="J2" s="21" t="s">
        <v>282</v>
      </c>
      <c r="K2" s="21" t="s">
        <v>283</v>
      </c>
      <c r="L2" s="21" t="s">
        <v>284</v>
      </c>
      <c r="M2" s="21" t="s">
        <v>285</v>
      </c>
      <c r="N2" s="21" t="s">
        <v>286</v>
      </c>
    </row>
    <row r="3" ht="24" customHeight="1" spans="1:14" x14ac:dyDescent="0.25">
      <c r="A3" s="19" t="s">
        <v>246</v>
      </c>
      <c r="B3" s="19"/>
      <c r="C3" s="19"/>
      <c r="D3" s="19"/>
      <c r="E3" s="19"/>
      <c r="F3" s="19"/>
      <c r="G3" s="19"/>
      <c r="H3" s="19"/>
      <c r="I3" s="19"/>
      <c r="J3" s="19"/>
      <c r="K3" s="19"/>
      <c r="L3" s="19"/>
      <c r="M3" s="19"/>
      <c r="N3" s="19"/>
    </row>
    <row r="4" spans="1:14" x14ac:dyDescent="0.25">
      <c r="A4" s="10" t="s">
        <v>251</v>
      </c>
      <c r="B4" s="32">
        <v>11050</v>
      </c>
      <c r="C4" s="32">
        <v>20050</v>
      </c>
      <c r="D4" s="32">
        <v>20050</v>
      </c>
      <c r="E4" s="32">
        <v>20050</v>
      </c>
      <c r="F4" s="32">
        <v>20050</v>
      </c>
      <c r="G4" s="32">
        <v>20050</v>
      </c>
      <c r="H4" s="32">
        <v>20050</v>
      </c>
      <c r="I4" s="32">
        <v>20050</v>
      </c>
      <c r="J4" s="32">
        <v>20050</v>
      </c>
      <c r="K4" s="32">
        <v>20050</v>
      </c>
      <c r="L4" s="32">
        <v>9250</v>
      </c>
      <c r="M4" s="32">
        <v>250</v>
      </c>
      <c r="N4" s="32">
        <f>SUM(B4:M4)</f>
        <v>201000</v>
      </c>
    </row>
    <row r="6" ht="24" customHeight="1" spans="1:14" x14ac:dyDescent="0.25">
      <c r="A6" s="19" t="s">
        <v>287</v>
      </c>
      <c r="B6" s="19"/>
      <c r="C6" s="19"/>
      <c r="D6" s="19"/>
      <c r="E6" s="19"/>
      <c r="F6" s="19"/>
      <c r="G6" s="19"/>
      <c r="H6" s="19"/>
      <c r="I6" s="19"/>
      <c r="J6" s="19"/>
      <c r="K6" s="19"/>
      <c r="L6" s="19"/>
      <c r="M6" s="19"/>
      <c r="N6" s="19"/>
    </row>
    <row r="7" spans="1:14" x14ac:dyDescent="0.25">
      <c r="A7" s="11" t="s">
        <v>288</v>
      </c>
      <c r="B7" s="31">
        <v>6452</v>
      </c>
      <c r="C7" s="31">
        <v>6452</v>
      </c>
      <c r="D7" s="31">
        <v>6452</v>
      </c>
      <c r="E7" s="31">
        <v>6452</v>
      </c>
      <c r="F7" s="31">
        <v>6452</v>
      </c>
      <c r="G7" s="31">
        <v>6452</v>
      </c>
      <c r="H7" s="31">
        <v>6452</v>
      </c>
      <c r="I7" s="31">
        <v>6452</v>
      </c>
      <c r="J7" s="31">
        <v>6452</v>
      </c>
      <c r="K7" s="31">
        <v>6452</v>
      </c>
      <c r="L7" s="31">
        <v>0</v>
      </c>
      <c r="M7" s="31">
        <v>0</v>
      </c>
      <c r="N7" s="31">
        <f>SUM(B7:M7)</f>
        <v>64516</v>
      </c>
    </row>
    <row r="8" spans="1:14" x14ac:dyDescent="0.25">
      <c r="A8" s="11" t="s">
        <v>289</v>
      </c>
      <c r="B8" s="31">
        <v>3338</v>
      </c>
      <c r="C8" s="31">
        <v>3338</v>
      </c>
      <c r="D8" s="31">
        <v>3338</v>
      </c>
      <c r="E8" s="31">
        <v>3338</v>
      </c>
      <c r="F8" s="31">
        <v>3338</v>
      </c>
      <c r="G8" s="31">
        <v>3338</v>
      </c>
      <c r="H8" s="31">
        <v>3338</v>
      </c>
      <c r="I8" s="31">
        <v>3338</v>
      </c>
      <c r="J8" s="31">
        <v>3338</v>
      </c>
      <c r="K8" s="31">
        <v>3338</v>
      </c>
      <c r="L8" s="31">
        <v>0</v>
      </c>
      <c r="M8" s="31">
        <v>0</v>
      </c>
      <c r="N8" s="31">
        <f>SUM(B8:M8)</f>
        <v>33375</v>
      </c>
    </row>
    <row r="9" spans="1:14" x14ac:dyDescent="0.25">
      <c r="A9" s="11" t="s">
        <v>290</v>
      </c>
      <c r="B9" s="31">
        <v>0</v>
      </c>
      <c r="C9" s="31">
        <v>0</v>
      </c>
      <c r="D9" s="31">
        <v>0</v>
      </c>
      <c r="E9" s="31">
        <v>0</v>
      </c>
      <c r="F9" s="31">
        <v>0</v>
      </c>
      <c r="G9" s="31">
        <v>0</v>
      </c>
      <c r="H9" s="31">
        <v>0</v>
      </c>
      <c r="I9" s="31">
        <v>0</v>
      </c>
      <c r="J9" s="31">
        <v>0</v>
      </c>
      <c r="K9" s="31">
        <v>0</v>
      </c>
      <c r="L9" s="31">
        <v>0</v>
      </c>
      <c r="M9" s="31">
        <v>0</v>
      </c>
      <c r="N9" s="31" t="str">
        <f>SUM(B9:M9)</f>
        <v>0</v>
      </c>
    </row>
    <row r="11" ht="24" customHeight="1" spans="1:14" x14ac:dyDescent="0.25">
      <c r="A11" s="19" t="s">
        <v>291</v>
      </c>
      <c r="B11" s="19"/>
      <c r="C11" s="19"/>
      <c r="D11" s="19"/>
      <c r="E11" s="19"/>
      <c r="F11" s="19"/>
      <c r="G11" s="19"/>
      <c r="H11" s="19"/>
      <c r="I11" s="19"/>
      <c r="J11" s="19"/>
      <c r="K11" s="19"/>
      <c r="L11" s="19"/>
      <c r="M11" s="19"/>
      <c r="N11" s="19"/>
    </row>
    <row r="12" spans="1:14" x14ac:dyDescent="0.25">
      <c r="A12" s="10" t="s">
        <v>267</v>
      </c>
      <c r="B12" s="34">
        <f>B7+B8+B9</f>
        <v>9790</v>
      </c>
      <c r="C12" s="34">
        <f>C7+C8+C9</f>
        <v>9790</v>
      </c>
      <c r="D12" s="34">
        <f>D7+D8+D9</f>
        <v>9790</v>
      </c>
      <c r="E12" s="34">
        <f>E7+E8+E9</f>
        <v>9790</v>
      </c>
      <c r="F12" s="34">
        <f>F7+F8+F9</f>
        <v>9790</v>
      </c>
      <c r="G12" s="34">
        <f>G7+G8+G9</f>
        <v>9790</v>
      </c>
      <c r="H12" s="34">
        <f>H7+H8+H9</f>
        <v>9790</v>
      </c>
      <c r="I12" s="34">
        <f>I7+I8+I9</f>
        <v>9790</v>
      </c>
      <c r="J12" s="34">
        <f>J7+J8+J9</f>
        <v>9790</v>
      </c>
      <c r="K12" s="34">
        <f>K7+K8+K9</f>
        <v>9790</v>
      </c>
      <c r="L12" s="34" t="str">
        <f>L7+L8+L9</f>
        <v>0</v>
      </c>
      <c r="M12" s="34" t="str">
        <f>M7+M8+M9</f>
        <v>0</v>
      </c>
      <c r="N12" s="34">
        <f>SUM(B12:M12)</f>
        <v>97900</v>
      </c>
    </row>
    <row r="13" spans="1:14" x14ac:dyDescent="0.25">
      <c r="A13" s="10" t="s">
        <v>292</v>
      </c>
      <c r="B13" s="34">
        <f>B4-B12</f>
        <v>1260</v>
      </c>
      <c r="C13" s="34">
        <f>C4-C12</f>
        <v>10260</v>
      </c>
      <c r="D13" s="34">
        <f>D4-D12</f>
        <v>10260</v>
      </c>
      <c r="E13" s="34">
        <f>E4-E12</f>
        <v>10260</v>
      </c>
      <c r="F13" s="34">
        <f>F4-F12</f>
        <v>10260</v>
      </c>
      <c r="G13" s="34">
        <f>G4-G12</f>
        <v>10260</v>
      </c>
      <c r="H13" s="34">
        <f>H4-H12</f>
        <v>10260</v>
      </c>
      <c r="I13" s="34">
        <f>I4-I12</f>
        <v>10260</v>
      </c>
      <c r="J13" s="34">
        <f>J4-J12</f>
        <v>10260</v>
      </c>
      <c r="K13" s="34">
        <f>K4-K12</f>
        <v>10260</v>
      </c>
      <c r="L13" s="34">
        <f>L4-L12</f>
        <v>9250</v>
      </c>
      <c r="M13" s="34">
        <f>M4-M12</f>
        <v>250</v>
      </c>
      <c r="N13" s="34">
        <f>SUM(B13:M13)</f>
        <v>103100</v>
      </c>
    </row>
    <row r="14" spans="1:14" x14ac:dyDescent="0.25">
      <c r="A14" s="10" t="s">
        <v>293</v>
      </c>
      <c r="B14" s="38">
        <f>B17+B13</f>
        <v>1260</v>
      </c>
      <c r="C14" s="38">
        <f>B14+C13</f>
        <v>11520</v>
      </c>
      <c r="D14" s="38">
        <f>C14+D13</f>
        <v>21780</v>
      </c>
      <c r="E14" s="38">
        <f>D14+E13</f>
        <v>32040</v>
      </c>
      <c r="F14" s="38">
        <f>E14+F13</f>
        <v>42300</v>
      </c>
      <c r="G14" s="38">
        <f>F14+G13</f>
        <v>52560</v>
      </c>
      <c r="H14" s="38">
        <f>G14+H13</f>
        <v>62820</v>
      </c>
      <c r="I14" s="38">
        <f>H14+I13</f>
        <v>73080</v>
      </c>
      <c r="J14" s="38">
        <f>I14+J13</f>
        <v>83340</v>
      </c>
      <c r="K14" s="38">
        <f>J14+K13</f>
        <v>93600</v>
      </c>
      <c r="L14" s="38">
        <f>K14+L13</f>
        <v>102850</v>
      </c>
      <c r="M14" s="38">
        <f>L14+M13</f>
        <v>103100</v>
      </c>
      <c r="N14" s="33">
        <f>M14</f>
        <v>103100</v>
      </c>
    </row>
    <row r="16" ht="24" customHeight="1" spans="1:3" x14ac:dyDescent="0.25">
      <c r="A16" s="19" t="s">
        <v>294</v>
      </c>
      <c r="B16" s="19"/>
      <c r="C16" s="19"/>
    </row>
    <row r="17" spans="1:2" x14ac:dyDescent="0.25">
      <c r="A17" s="11" t="s">
        <v>161</v>
      </c>
      <c r="B17" s="23">
        <v>0</v>
      </c>
    </row>
    <row r="18" spans="1:2" x14ac:dyDescent="0.25">
      <c r="A18" s="11" t="s">
        <v>295</v>
      </c>
      <c r="B18" s="38">
        <f>M14</f>
        <v>103100</v>
      </c>
    </row>
    <row r="19" spans="1:2" x14ac:dyDescent="0.25">
      <c r="A19" s="11" t="s">
        <v>296</v>
      </c>
      <c r="B19" s="31">
        <f>MIN(B14:M14)</f>
        <v>1260</v>
      </c>
    </row>
    <row r="20" spans="1:6" x14ac:dyDescent="0.25">
      <c r="A20" s="3" t="s">
        <v>297</v>
      </c>
      <c r="B20" s="3"/>
      <c r="C20" s="3"/>
      <c r="D20" s="3"/>
      <c r="E20" s="3"/>
      <c r="F20" s="3"/>
    </row>
    <row r="21" spans="1:8" x14ac:dyDescent="0.25">
      <c r="A21" s="39" t="s">
        <v>298</v>
      </c>
      <c r="B21" s="39"/>
      <c r="C21" s="39"/>
      <c r="D21" s="39"/>
      <c r="E21" s="39"/>
      <c r="F21" s="39"/>
      <c r="G21" s="39"/>
      <c r="H21" s="39"/>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299</v>
      </c>
      <c r="B1" s="15"/>
      <c r="C1" s="15"/>
      <c r="D1" s="15"/>
      <c r="E1" s="15"/>
      <c r="F1" s="15"/>
    </row>
    <row r="2" spans="1:6" x14ac:dyDescent="0.25">
      <c r="A2" s="40" t="s">
        <v>300</v>
      </c>
      <c r="B2" s="40"/>
      <c r="C2" s="40"/>
      <c r="D2" s="40"/>
      <c r="E2" s="40"/>
      <c r="F2" s="40"/>
    </row>
    <row r="3" ht="28" customHeight="1" spans="1:6" x14ac:dyDescent="0.25">
      <c r="A3" s="21" t="s">
        <v>7</v>
      </c>
      <c r="B3" s="21" t="s">
        <v>104</v>
      </c>
      <c r="C3" s="21" t="s">
        <v>105</v>
      </c>
      <c r="D3" s="21" t="s">
        <v>106</v>
      </c>
      <c r="E3" s="21" t="s">
        <v>107</v>
      </c>
      <c r="F3" s="21" t="s">
        <v>108</v>
      </c>
    </row>
    <row r="4" ht="24" customHeight="1" spans="1:6" x14ac:dyDescent="0.25">
      <c r="A4" s="19" t="s">
        <v>246</v>
      </c>
      <c r="B4" s="19"/>
      <c r="C4" s="19"/>
      <c r="D4" s="19"/>
      <c r="E4" s="19"/>
      <c r="F4" s="19"/>
    </row>
    <row r="5" spans="1:6" x14ac:dyDescent="0.25">
      <c r="A5" s="41" t="s">
        <v>251</v>
      </c>
      <c r="B5" s="32">
        <v>167500</v>
      </c>
      <c r="C5" s="32">
        <v>302980</v>
      </c>
      <c r="D5" s="32">
        <v>424730</v>
      </c>
      <c r="E5" s="32">
        <v>523580</v>
      </c>
      <c r="F5" s="32">
        <v>598240</v>
      </c>
    </row>
    <row r="7" ht="24" customHeight="1" spans="1:6" x14ac:dyDescent="0.25">
      <c r="A7" s="19" t="s">
        <v>287</v>
      </c>
      <c r="B7" s="19"/>
      <c r="C7" s="19"/>
      <c r="D7" s="19"/>
      <c r="E7" s="19"/>
      <c r="F7" s="19"/>
    </row>
    <row r="8" spans="1:6" x14ac:dyDescent="0.25">
      <c r="A8" s="10" t="s">
        <v>288</v>
      </c>
      <c r="B8" s="34">
        <v>64516</v>
      </c>
      <c r="C8" s="34">
        <v>79742</v>
      </c>
      <c r="D8" s="34">
        <v>82134</v>
      </c>
      <c r="E8" s="34">
        <v>84598</v>
      </c>
      <c r="F8" s="34">
        <v>87136</v>
      </c>
    </row>
    <row r="9" spans="1:6" x14ac:dyDescent="0.25">
      <c r="A9" s="10" t="s">
        <v>289</v>
      </c>
      <c r="B9" s="34">
        <v>33375</v>
      </c>
      <c r="C9" s="34">
        <v>45803</v>
      </c>
      <c r="D9" s="34">
        <v>52559</v>
      </c>
      <c r="E9" s="34">
        <v>58262</v>
      </c>
      <c r="F9" s="34">
        <v>62801</v>
      </c>
    </row>
    <row r="10" spans="1:6" x14ac:dyDescent="0.25">
      <c r="A10" s="10" t="s">
        <v>301</v>
      </c>
      <c r="B10" s="34">
        <v>0</v>
      </c>
      <c r="C10" s="34">
        <v>0</v>
      </c>
      <c r="D10" s="34">
        <v>0</v>
      </c>
      <c r="E10" s="34">
        <v>0</v>
      </c>
      <c r="F10" s="34">
        <v>0</v>
      </c>
    </row>
    <row r="11" spans="1:6" x14ac:dyDescent="0.25">
      <c r="A11" s="10" t="s">
        <v>302</v>
      </c>
      <c r="B11" s="34">
        <v>286</v>
      </c>
      <c r="C11" s="34">
        <v>286</v>
      </c>
      <c r="D11" s="34">
        <v>286</v>
      </c>
      <c r="E11" s="34">
        <v>286</v>
      </c>
      <c r="F11" s="34">
        <v>286</v>
      </c>
    </row>
    <row r="12" spans="1:6" x14ac:dyDescent="0.25">
      <c r="A12" s="41" t="s">
        <v>267</v>
      </c>
      <c r="B12" s="32">
        <f>SUM(B8:B11)</f>
        <v>98177</v>
      </c>
      <c r="C12" s="32">
        <f>SUM(C8:C11)</f>
        <v>125831</v>
      </c>
      <c r="D12" s="32">
        <f>SUM(D8:D11)</f>
        <v>134979</v>
      </c>
      <c r="E12" s="32">
        <f>SUM(E8:E11)</f>
        <v>143146</v>
      </c>
      <c r="F12" s="32">
        <f>SUM(F8:F11)</f>
        <v>150223</v>
      </c>
    </row>
    <row r="14" ht="24" customHeight="1" spans="1:6" x14ac:dyDescent="0.25">
      <c r="A14" s="19" t="s">
        <v>303</v>
      </c>
      <c r="B14" s="19"/>
      <c r="C14" s="19"/>
      <c r="D14" s="19"/>
      <c r="E14" s="19"/>
      <c r="F14" s="19"/>
    </row>
    <row r="15" spans="1:6" x14ac:dyDescent="0.25">
      <c r="A15" s="41" t="s">
        <v>269</v>
      </c>
      <c r="B15" s="33">
        <f>B5-B12</f>
        <v>69323</v>
      </c>
      <c r="C15" s="33">
        <f>C5-C12</f>
        <v>177149</v>
      </c>
      <c r="D15" s="33">
        <f>D5-D12</f>
        <v>289751</v>
      </c>
      <c r="E15" s="33">
        <f>E5-E12</f>
        <v>380434</v>
      </c>
      <c r="F15" s="33">
        <f>F5-F12</f>
        <v>448017</v>
      </c>
    </row>
    <row r="16" spans="1:6" x14ac:dyDescent="0.25">
      <c r="A16" s="11" t="s">
        <v>270</v>
      </c>
      <c r="B16" s="29">
        <f>IF(B5=0,0,B15/B5)</f>
        <v>0.41386887</v>
      </c>
      <c r="C16" s="29">
        <f>IF(C5=0,0,C15/C5)</f>
        <v>0.58468942</v>
      </c>
      <c r="D16" s="29">
        <f>IF(D5=0,0,D15/D5)</f>
        <v>0.68220085</v>
      </c>
      <c r="E16" s="29">
        <f>IF(E5=0,0,E15/E5)</f>
        <v>0.72660098</v>
      </c>
      <c r="F16" s="29">
        <f>IF(F5=0,0,F15/F5)</f>
        <v>0.74889108</v>
      </c>
    </row>
    <row r="17" spans="1:6" x14ac:dyDescent="0.25">
      <c r="A17" s="10" t="s">
        <v>271</v>
      </c>
      <c r="B17" s="34">
        <f>B15</f>
        <v>69323</v>
      </c>
      <c r="C17" s="34">
        <f>B17+C15</f>
        <v>246472</v>
      </c>
      <c r="D17" s="34">
        <f>C17+D15</f>
        <v>536223</v>
      </c>
      <c r="E17" s="34">
        <f>D17+E15</f>
        <v>916657</v>
      </c>
      <c r="F17" s="34">
        <f>E17+F15</f>
        <v>1364674</v>
      </c>
    </row>
    <row r="18" spans="1:6" x14ac:dyDescent="0.25">
      <c r="A18" s="10" t="s">
        <v>304</v>
      </c>
      <c r="B18" s="42" t="s">
        <v>305</v>
      </c>
      <c r="C18" s="43" t="s">
        <v>7</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306</v>
      </c>
      <c r="B4" s="19"/>
      <c r="C4" s="19"/>
      <c r="D4" s="19"/>
      <c r="E4" s="19"/>
      <c r="F4" s="19"/>
    </row>
    <row r="5" spans="1:5" x14ac:dyDescent="0.25">
      <c r="A5" s="44" t="s">
        <v>307</v>
      </c>
      <c r="B5" s="45" t="s">
        <v>153</v>
      </c>
      <c r="C5" s="46" t="s">
        <v>308</v>
      </c>
      <c r="D5" s="44" t="s">
        <v>309</v>
      </c>
      <c r="E5" s="45" t="s">
        <v>232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310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311</v>
      </c>
      <c r="B4" s="19"/>
      <c r="C4" s="19"/>
      <c r="D4" s="19"/>
      <c r="E4" s="19"/>
      <c r="F4" s="19"/>
    </row>
    <row r="5" spans="1:6" x14ac:dyDescent="0.25">
      <c r="A5" s="11" t="s">
        <v>312</v>
      </c>
      <c r="B5" s="47">
        <f>'Monthly Cash Flow Y1'!M14</f>
        <v>103100</v>
      </c>
      <c r="C5" s="47">
        <f>B5+'5-Year Operating Stmt'!C15</f>
        <v>280535</v>
      </c>
      <c r="D5" s="47">
        <f>B5+'5-Year Operating Stmt'!C15+'5-Year Operating Stmt'!D15</f>
        <v>570572</v>
      </c>
      <c r="E5" s="47">
        <f>B5+'5-Year Operating Stmt'!C15+'5-Year Operating Stmt'!D15+'5-Year Operating Stmt'!E15</f>
        <v>951291</v>
      </c>
      <c r="F5" s="47">
        <f>B5+'5-Year Operating Stmt'!C15+'5-Year Operating Stmt'!D15+'5-Year Operating Stmt'!E15+'5-Year Operating Stmt'!F15</f>
        <v>1399594</v>
      </c>
    </row>
    <row r="6" spans="1:6" x14ac:dyDescent="0.25">
      <c r="A6" s="11" t="s">
        <v>313</v>
      </c>
      <c r="B6" s="31">
        <v>510</v>
      </c>
      <c r="C6" s="31">
        <v>524</v>
      </c>
      <c r="D6" s="31">
        <v>540</v>
      </c>
      <c r="E6" s="31">
        <v>555</v>
      </c>
      <c r="F6" s="31">
        <v>571</v>
      </c>
    </row>
    <row r="7" spans="1:6" x14ac:dyDescent="0.25">
      <c r="A7" s="11" t="s">
        <v>314</v>
      </c>
      <c r="B7" s="31">
        <v>1714</v>
      </c>
      <c r="C7" s="31">
        <v>1429</v>
      </c>
      <c r="D7" s="31">
        <v>1143</v>
      </c>
      <c r="E7" s="31">
        <v>857</v>
      </c>
      <c r="F7" s="31">
        <v>571</v>
      </c>
    </row>
    <row r="8" spans="1:6" x14ac:dyDescent="0.25">
      <c r="A8" s="11" t="s">
        <v>315</v>
      </c>
      <c r="B8" s="31">
        <v>0</v>
      </c>
      <c r="C8" s="31">
        <v>0</v>
      </c>
      <c r="D8" s="31">
        <v>0</v>
      </c>
      <c r="E8" s="31">
        <v>0</v>
      </c>
      <c r="F8" s="31">
        <v>0</v>
      </c>
    </row>
    <row r="9" spans="1:6" x14ac:dyDescent="0.25">
      <c r="A9" s="10" t="s">
        <v>316</v>
      </c>
      <c r="B9" s="32">
        <f>SUM(B5:B8)</f>
        <v>105324</v>
      </c>
      <c r="C9" s="32">
        <f>SUM(C5:C8)</f>
        <v>282488</v>
      </c>
      <c r="D9" s="32">
        <f>SUM(D5:D8)</f>
        <v>572254</v>
      </c>
      <c r="E9" s="32">
        <f>SUM(E5:E8)</f>
        <v>952704</v>
      </c>
      <c r="F9" s="32">
        <f>SUM(F5:F8)</f>
        <v>1400736</v>
      </c>
    </row>
    <row r="11" ht="24" customHeight="1" spans="1:6" x14ac:dyDescent="0.25">
      <c r="A11" s="19" t="s">
        <v>317</v>
      </c>
      <c r="B11" s="19"/>
      <c r="C11" s="19"/>
      <c r="D11" s="19"/>
      <c r="E11" s="19"/>
      <c r="F11" s="19"/>
    </row>
    <row r="12" spans="1:6" x14ac:dyDescent="0.25">
      <c r="A12" s="11" t="s">
        <v>318</v>
      </c>
      <c r="B12" s="31">
        <v>0</v>
      </c>
      <c r="C12" s="31">
        <v>0</v>
      </c>
      <c r="D12" s="31">
        <v>0</v>
      </c>
      <c r="E12" s="31">
        <v>0</v>
      </c>
      <c r="F12" s="31">
        <v>0</v>
      </c>
    </row>
    <row r="13" spans="1:6" x14ac:dyDescent="0.25">
      <c r="A13" s="11" t="s">
        <v>319</v>
      </c>
      <c r="B13" s="31">
        <v>0</v>
      </c>
      <c r="C13" s="31">
        <v>0</v>
      </c>
      <c r="D13" s="31">
        <v>0</v>
      </c>
      <c r="E13" s="31">
        <v>0</v>
      </c>
      <c r="F13" s="31">
        <v>0</v>
      </c>
    </row>
    <row r="14" spans="1:6" x14ac:dyDescent="0.25">
      <c r="A14" s="10" t="s">
        <v>320</v>
      </c>
      <c r="B14" s="32" t="str">
        <f>SUM(B12:B13)</f>
        <v>0</v>
      </c>
      <c r="C14" s="32" t="str">
        <f>SUM(C12:C13)</f>
        <v>0</v>
      </c>
      <c r="D14" s="32" t="str">
        <f>SUM(D12:D13)</f>
        <v>0</v>
      </c>
      <c r="E14" s="32" t="str">
        <f>SUM(E12:E13)</f>
        <v>0</v>
      </c>
      <c r="F14" s="32" t="str">
        <f>SUM(F12:F13)</f>
        <v>0</v>
      </c>
    </row>
    <row r="16" ht="24" customHeight="1" spans="1:6" x14ac:dyDescent="0.25">
      <c r="A16" s="19" t="s">
        <v>321</v>
      </c>
      <c r="B16" s="19"/>
      <c r="C16" s="19"/>
      <c r="D16" s="19"/>
      <c r="E16" s="19"/>
      <c r="F16" s="19"/>
    </row>
    <row r="17" spans="1:6" x14ac:dyDescent="0.25">
      <c r="A17" s="10" t="s">
        <v>322</v>
      </c>
      <c r="B17" s="33">
        <f>B9-B14</f>
        <v>105324</v>
      </c>
      <c r="C17" s="33">
        <f>C9-C14</f>
        <v>282488</v>
      </c>
      <c r="D17" s="33">
        <f>D9-D14</f>
        <v>572254</v>
      </c>
      <c r="E17" s="33">
        <f>E9-E14</f>
        <v>952704</v>
      </c>
      <c r="F17" s="33">
        <f>F9-F14</f>
        <v>1400736</v>
      </c>
    </row>
    <row r="19" spans="1:6" x14ac:dyDescent="0.25">
      <c r="A19" s="10" t="s">
        <v>323</v>
      </c>
      <c r="B19" s="48" t="str">
        <f>B9-B14-B17</f>
        <v>0</v>
      </c>
      <c r="C19" s="48" t="str">
        <f>C9-C14-C17</f>
        <v>0</v>
      </c>
      <c r="D19" s="48" t="str">
        <f>D9-D14-D17</f>
        <v>0</v>
      </c>
      <c r="E19" s="48" t="str">
        <f>E9-E14-E17</f>
        <v>0</v>
      </c>
      <c r="F19" s="48"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324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325</v>
      </c>
      <c r="B4" s="19"/>
      <c r="C4" s="19"/>
      <c r="D4" s="19"/>
      <c r="E4" s="19"/>
      <c r="F4" s="19"/>
    </row>
    <row r="5" spans="1:6" x14ac:dyDescent="0.25">
      <c r="A5" s="11" t="s">
        <v>326</v>
      </c>
      <c r="B5" s="31">
        <v>167500</v>
      </c>
      <c r="C5" s="31">
        <v>302980</v>
      </c>
      <c r="D5" s="31">
        <v>424730</v>
      </c>
      <c r="E5" s="31">
        <v>523580</v>
      </c>
      <c r="F5" s="31">
        <v>598240</v>
      </c>
    </row>
    <row r="6" spans="1:6" x14ac:dyDescent="0.25">
      <c r="A6" s="11" t="s">
        <v>288</v>
      </c>
      <c r="B6" s="31">
        <v>64516</v>
      </c>
      <c r="C6" s="31">
        <v>79742</v>
      </c>
      <c r="D6" s="31">
        <v>82134</v>
      </c>
      <c r="E6" s="31">
        <v>84598</v>
      </c>
      <c r="F6" s="31">
        <v>87136</v>
      </c>
    </row>
    <row r="7" spans="1:6" x14ac:dyDescent="0.25">
      <c r="A7" s="11" t="s">
        <v>289</v>
      </c>
      <c r="B7" s="31">
        <v>33375</v>
      </c>
      <c r="C7" s="31">
        <v>45803</v>
      </c>
      <c r="D7" s="31">
        <v>52559</v>
      </c>
      <c r="E7" s="31">
        <v>58262</v>
      </c>
      <c r="F7" s="31">
        <v>62801</v>
      </c>
    </row>
    <row r="8" spans="1:6" x14ac:dyDescent="0.25">
      <c r="A8" s="10" t="s">
        <v>269</v>
      </c>
      <c r="B8" s="34">
        <v>69609</v>
      </c>
      <c r="C8" s="34">
        <v>177435</v>
      </c>
      <c r="D8" s="34">
        <v>290037</v>
      </c>
      <c r="E8" s="34">
        <v>380719</v>
      </c>
      <c r="F8" s="34">
        <v>448302</v>
      </c>
    </row>
    <row r="9" spans="1:6" x14ac:dyDescent="0.25">
      <c r="A9" s="11" t="s">
        <v>327</v>
      </c>
      <c r="B9" s="31">
        <v>286</v>
      </c>
      <c r="C9" s="31">
        <v>286</v>
      </c>
      <c r="D9" s="31">
        <v>286</v>
      </c>
      <c r="E9" s="31">
        <v>286</v>
      </c>
      <c r="F9" s="31">
        <v>286</v>
      </c>
    </row>
    <row r="10" spans="1:6" x14ac:dyDescent="0.25">
      <c r="A10" s="11" t="s">
        <v>328</v>
      </c>
      <c r="B10" s="31">
        <v>0</v>
      </c>
      <c r="C10" s="31">
        <v>0</v>
      </c>
      <c r="D10" s="31">
        <v>0</v>
      </c>
      <c r="E10" s="31">
        <v>0</v>
      </c>
      <c r="F10" s="31">
        <v>0</v>
      </c>
    </row>
    <row r="11" spans="1:6" x14ac:dyDescent="0.25">
      <c r="A11" s="10" t="s">
        <v>329</v>
      </c>
      <c r="B11" s="34">
        <f>B8+B9+B10</f>
        <v>69894</v>
      </c>
      <c r="C11" s="34">
        <f>C8+C9+C10</f>
        <v>177721</v>
      </c>
      <c r="D11" s="34">
        <f>D8+D9+D10</f>
        <v>290323</v>
      </c>
      <c r="E11" s="34">
        <f>E8+E9+E10</f>
        <v>381005</v>
      </c>
      <c r="F11" s="34">
        <f>F8+F9+F10</f>
        <v>448588</v>
      </c>
    </row>
    <row r="12" spans="1:6" x14ac:dyDescent="0.25">
      <c r="A12" s="10" t="s">
        <v>330</v>
      </c>
      <c r="B12" s="49" t="s">
        <v>331</v>
      </c>
      <c r="C12" s="49" t="s">
        <v>331</v>
      </c>
      <c r="D12" s="49" t="s">
        <v>331</v>
      </c>
      <c r="E12" s="49" t="s">
        <v>331</v>
      </c>
      <c r="F12" s="49" t="s">
        <v>331</v>
      </c>
    </row>
    <row r="14" ht="24" customHeight="1" spans="1:6" x14ac:dyDescent="0.25">
      <c r="A14" s="19" t="s">
        <v>332</v>
      </c>
      <c r="B14" s="19"/>
      <c r="C14" s="19"/>
      <c r="D14" s="19"/>
      <c r="E14" s="19"/>
      <c r="F14" s="19"/>
    </row>
    <row r="15" spans="1:6" x14ac:dyDescent="0.25">
      <c r="A15" s="11" t="s">
        <v>333</v>
      </c>
      <c r="B15" s="31">
        <v>103100</v>
      </c>
      <c r="C15" s="31">
        <v>280535</v>
      </c>
      <c r="D15" s="31">
        <v>570572</v>
      </c>
      <c r="E15" s="31">
        <v>951291</v>
      </c>
      <c r="F15" s="31">
        <v>1399594</v>
      </c>
    </row>
    <row r="16" spans="1:6" x14ac:dyDescent="0.25">
      <c r="A16" s="11" t="s">
        <v>334</v>
      </c>
      <c r="B16" s="50">
        <f>IF((B5-B8)=0,0,(B15/(B5-B8))*365)</f>
        <v>384</v>
      </c>
      <c r="C16" s="50">
        <f>IF((C5-C8)=0,0,(C15/(C5-C8))*365)</f>
        <v>816</v>
      </c>
      <c r="D16" s="50">
        <f>IF((D5-D8)=0,0,(D15/(D5-D8))*365)</f>
        <v>1546</v>
      </c>
      <c r="E16" s="50">
        <f>IF((E5-E8)=0,0,(E15/(E5-E8))*365)</f>
        <v>2430</v>
      </c>
      <c r="F16" s="50">
        <f>IF((F5-F8)=0,0,(F15/(F5-F8))*365)</f>
        <v>3407</v>
      </c>
    </row>
    <row r="17" spans="1:6" x14ac:dyDescent="0.25">
      <c r="A17" s="11" t="s">
        <v>335</v>
      </c>
      <c r="B17" s="35">
        <f>IF((B5-B8)=0,0,B15/((B5-B8)/12))</f>
        <v>12.6</v>
      </c>
      <c r="C17" s="35">
        <f>IF((C5-C8)=0,0,C15/((C5-C8)/12))</f>
        <v>26.8</v>
      </c>
      <c r="D17" s="35">
        <f>IF((D5-D8)=0,0,D15/((D5-D8)/12))</f>
        <v>50.8</v>
      </c>
      <c r="E17" s="35">
        <f>IF((E5-E8)=0,0,E15/((E5-E8)/12))</f>
        <v>79.9</v>
      </c>
      <c r="F17" s="35">
        <f>IF((F5-F8)=0,0,F15/((F5-F8)/12))</f>
        <v>112</v>
      </c>
    </row>
    <row r="18" spans="1:6" x14ac:dyDescent="0.25">
      <c r="A18" s="11" t="s">
        <v>200</v>
      </c>
      <c r="B18" s="29">
        <v>0.375</v>
      </c>
      <c r="C18" s="29">
        <v>0.55</v>
      </c>
      <c r="D18" s="29">
        <v>0.75</v>
      </c>
      <c r="E18" s="29">
        <v>0.9</v>
      </c>
      <c r="F18" s="29">
        <v>1</v>
      </c>
    </row>
    <row r="20" ht="24" customHeight="1" spans="1:6" x14ac:dyDescent="0.25">
      <c r="A20" s="19" t="s">
        <v>336</v>
      </c>
      <c r="B20" s="19"/>
      <c r="C20" s="19"/>
      <c r="D20" s="19"/>
      <c r="E20" s="19"/>
      <c r="F20" s="19"/>
    </row>
    <row r="21" spans="1:6" x14ac:dyDescent="0.25">
      <c r="A21" s="11" t="s">
        <v>238</v>
      </c>
      <c r="B21" s="31">
        <v>11167</v>
      </c>
      <c r="C21" s="31">
        <v>13772</v>
      </c>
      <c r="D21" s="31">
        <v>14158</v>
      </c>
      <c r="E21" s="31">
        <v>14544</v>
      </c>
      <c r="F21" s="31">
        <v>14956</v>
      </c>
    </row>
    <row r="22" spans="1:6" x14ac:dyDescent="0.25">
      <c r="A22" s="11" t="s">
        <v>337</v>
      </c>
      <c r="B22" s="31">
        <v>64516</v>
      </c>
      <c r="C22" s="31">
        <v>79742</v>
      </c>
      <c r="D22" s="31">
        <v>82134</v>
      </c>
      <c r="E22" s="31">
        <v>84598</v>
      </c>
      <c r="F22" s="31">
        <v>87136</v>
      </c>
    </row>
    <row r="23" spans="1:6" x14ac:dyDescent="0.25">
      <c r="A23" s="11" t="s">
        <v>338</v>
      </c>
      <c r="B23" s="31">
        <v>2225</v>
      </c>
      <c r="C23" s="31">
        <v>2082</v>
      </c>
      <c r="D23" s="31">
        <v>1752</v>
      </c>
      <c r="E23" s="31">
        <v>1618</v>
      </c>
      <c r="F23" s="31">
        <v>1570</v>
      </c>
    </row>
    <row r="24" spans="1:6" x14ac:dyDescent="0.25">
      <c r="A24" s="10" t="s">
        <v>339</v>
      </c>
      <c r="B24" s="51">
        <v>8</v>
      </c>
      <c r="C24" s="51">
        <v>7</v>
      </c>
      <c r="D24" s="51">
        <v>7</v>
      </c>
      <c r="E24" s="51">
        <v>7</v>
      </c>
      <c r="F24" s="51">
        <v>7</v>
      </c>
    </row>
    <row r="26" ht="24" customHeight="1" spans="1:6" x14ac:dyDescent="0.25">
      <c r="A26" s="19" t="s">
        <v>340</v>
      </c>
      <c r="B26" s="19"/>
      <c r="C26" s="19"/>
      <c r="D26" s="19"/>
      <c r="E26" s="19"/>
      <c r="F26" s="19"/>
    </row>
    <row r="27" spans="1:6" x14ac:dyDescent="0.25">
      <c r="A27" s="11" t="s">
        <v>341</v>
      </c>
      <c r="B27" s="52" t="s">
        <v>331</v>
      </c>
      <c r="C27" s="52" t="s">
        <v>331</v>
      </c>
      <c r="D27" s="52" t="s">
        <v>331</v>
      </c>
      <c r="E27" s="52" t="s">
        <v>331</v>
      </c>
      <c r="F27" s="52" t="s">
        <v>331</v>
      </c>
    </row>
    <row r="28" spans="1:6" x14ac:dyDescent="0.25">
      <c r="A28" s="11" t="s">
        <v>342</v>
      </c>
      <c r="B28" s="53" t="s">
        <v>343</v>
      </c>
      <c r="C28" s="53" t="s">
        <v>343</v>
      </c>
      <c r="D28" s="53" t="s">
        <v>343</v>
      </c>
      <c r="E28" s="53" t="s">
        <v>343</v>
      </c>
      <c r="F28" s="53" t="s">
        <v>343</v>
      </c>
    </row>
    <row r="29" spans="1:6" x14ac:dyDescent="0.25">
      <c r="A29" s="11" t="s">
        <v>344</v>
      </c>
      <c r="B29" s="52" t="s">
        <v>331</v>
      </c>
      <c r="C29" s="52" t="s">
        <v>331</v>
      </c>
      <c r="D29" s="52" t="s">
        <v>331</v>
      </c>
      <c r="E29" s="52" t="s">
        <v>331</v>
      </c>
      <c r="F29" s="52" t="s">
        <v>331</v>
      </c>
    </row>
    <row r="30" spans="1:6" x14ac:dyDescent="0.25">
      <c r="A30" s="11" t="s">
        <v>345</v>
      </c>
      <c r="B30" s="54" t="s">
        <v>346</v>
      </c>
      <c r="C30" s="54" t="s">
        <v>346</v>
      </c>
      <c r="D30" s="53" t="s">
        <v>343</v>
      </c>
      <c r="E30" s="53" t="s">
        <v>343</v>
      </c>
      <c r="F30" s="53" t="s">
        <v>343</v>
      </c>
    </row>
    <row r="31" spans="1:6" x14ac:dyDescent="0.25">
      <c r="A31" s="11" t="s">
        <v>347</v>
      </c>
      <c r="B31" s="53" t="s">
        <v>343</v>
      </c>
      <c r="C31" s="53" t="s">
        <v>343</v>
      </c>
      <c r="D31" s="53" t="s">
        <v>343</v>
      </c>
      <c r="E31" s="53" t="s">
        <v>343</v>
      </c>
      <c r="F31" s="53" t="s">
        <v>343</v>
      </c>
    </row>
    <row r="32" spans="1:6" x14ac:dyDescent="0.25">
      <c r="A32" s="11" t="s">
        <v>348</v>
      </c>
      <c r="B32" s="53" t="s">
        <v>343</v>
      </c>
      <c r="C32" s="53" t="s">
        <v>343</v>
      </c>
      <c r="D32" s="53" t="s">
        <v>343</v>
      </c>
      <c r="E32" s="53" t="s">
        <v>343</v>
      </c>
      <c r="F32" s="53" t="s">
        <v>343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7"/>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349</v>
      </c>
      <c r="B3" s="55" t="s">
        <v>114</v>
      </c>
      <c r="D3" s="55" t="s">
        <v>350</v>
      </c>
      <c r="E3" s="55" t="s">
        <v>114</v>
      </c>
    </row>
    <row r="4" spans="1:5" x14ac:dyDescent="0.25">
      <c r="A4" s="11" t="s">
        <v>351</v>
      </c>
      <c r="B4" s="31">
        <v>12000</v>
      </c>
      <c r="D4" s="11" t="s">
        <v>352</v>
      </c>
      <c r="E4" s="31">
        <v>12000</v>
      </c>
    </row>
    <row r="6" spans="1:5" x14ac:dyDescent="0.25">
      <c r="A6" s="10" t="s">
        <v>353</v>
      </c>
      <c r="B6" s="33">
        <v>12000</v>
      </c>
      <c r="D6" s="10" t="s">
        <v>354</v>
      </c>
      <c r="E6" s="33">
        <v>12000</v>
      </c>
    </row>
    <row r="7" spans="1:2" x14ac:dyDescent="0.25">
      <c r="A7" s="10" t="s">
        <v>355</v>
      </c>
      <c r="B7" s="48">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FormatPr defaultRowHeight="15" outlineLevelRow="0" outlineLevelCol="0" x14ac:dyDescent="55"/>
  <cols>
    <col min="1" max="1" width="28" customWidth="1"/>
    <col min="2" max="6" width="16" customWidth="1"/>
  </cols>
  <sheetData>
    <row r="1" spans="1:6" x14ac:dyDescent="0.25">
      <c r="A1" s="15" t="s">
        <v>356</v>
      </c>
      <c r="B1" s="15"/>
      <c r="C1" s="15"/>
      <c r="D1" s="15"/>
      <c r="E1" s="15"/>
      <c r="F1" s="15"/>
    </row>
    <row r="3" ht="24" customHeight="1" spans="1:6" x14ac:dyDescent="0.25">
      <c r="A3" s="19" t="s">
        <v>357</v>
      </c>
      <c r="B3" s="19"/>
      <c r="C3" s="19"/>
      <c r="D3" s="19"/>
      <c r="E3" s="19"/>
      <c r="F3" s="19"/>
    </row>
    <row r="4" spans="1:1" x14ac:dyDescent="0.25">
      <c r="A4" s="17" t="s">
        <v>358</v>
      </c>
    </row>
    <row r="5" ht="28" customHeight="1" spans="1:6" x14ac:dyDescent="0.25">
      <c r="A5" s="21" t="s">
        <v>7</v>
      </c>
      <c r="B5" s="21" t="s">
        <v>104</v>
      </c>
      <c r="C5" s="21" t="s">
        <v>105</v>
      </c>
      <c r="D5" s="21" t="s">
        <v>106</v>
      </c>
      <c r="E5" s="21" t="s">
        <v>107</v>
      </c>
      <c r="F5" s="21" t="s">
        <v>108</v>
      </c>
    </row>
    <row r="6" spans="1:6" x14ac:dyDescent="0.25">
      <c r="A6" s="11" t="s">
        <v>326</v>
      </c>
      <c r="B6" s="31">
        <v>167500</v>
      </c>
      <c r="C6" s="31">
        <v>302980</v>
      </c>
      <c r="D6" s="31">
        <v>424730</v>
      </c>
      <c r="E6" s="31">
        <v>523580</v>
      </c>
      <c r="F6" s="31">
        <v>598240</v>
      </c>
    </row>
    <row r="7" spans="1:6" x14ac:dyDescent="0.25">
      <c r="A7" s="11" t="s">
        <v>267</v>
      </c>
      <c r="B7" s="31">
        <v>97891</v>
      </c>
      <c r="C7" s="31">
        <v>125545</v>
      </c>
      <c r="D7" s="31">
        <v>134693</v>
      </c>
      <c r="E7" s="31">
        <v>142861</v>
      </c>
      <c r="F7" s="31">
        <v>149938</v>
      </c>
    </row>
    <row r="8" spans="1:6" x14ac:dyDescent="0.25">
      <c r="A8" s="10" t="s">
        <v>269</v>
      </c>
      <c r="B8" s="33">
        <v>69609</v>
      </c>
      <c r="C8" s="33">
        <v>177435</v>
      </c>
      <c r="D8" s="33">
        <v>290037</v>
      </c>
      <c r="E8" s="33">
        <v>380719</v>
      </c>
      <c r="F8" s="33">
        <v>448302</v>
      </c>
    </row>
    <row r="9" spans="1:6" x14ac:dyDescent="0.25">
      <c r="A9" s="11" t="s">
        <v>270</v>
      </c>
      <c r="B9" s="29">
        <v>0.41557462686567165</v>
      </c>
      <c r="C9" s="29">
        <v>0.5856324344841243</v>
      </c>
      <c r="D9" s="29">
        <v>0.6828735489605162</v>
      </c>
      <c r="E9" s="29">
        <v>0.7271466702767485</v>
      </c>
      <c r="F9" s="29">
        <v>0.7493686719814874</v>
      </c>
    </row>
    <row r="10" spans="1:6" x14ac:dyDescent="0.25">
      <c r="A10" s="11" t="s">
        <v>330</v>
      </c>
      <c r="B10" s="56" t="s">
        <v>331</v>
      </c>
      <c r="C10" s="56" t="s">
        <v>331</v>
      </c>
      <c r="D10" s="56" t="s">
        <v>331</v>
      </c>
      <c r="E10" s="56" t="s">
        <v>331</v>
      </c>
      <c r="F10" s="56" t="s">
        <v>331</v>
      </c>
    </row>
    <row r="11" spans="1:6" x14ac:dyDescent="0.25">
      <c r="A11" s="11" t="s">
        <v>339</v>
      </c>
      <c r="B11" s="50">
        <v>8</v>
      </c>
      <c r="C11" s="50">
        <v>7</v>
      </c>
      <c r="D11" s="50">
        <v>7</v>
      </c>
      <c r="E11" s="50">
        <v>7</v>
      </c>
      <c r="F11" s="50">
        <v>7</v>
      </c>
    </row>
    <row r="13" ht="24" customHeight="1" spans="1:6" x14ac:dyDescent="0.25">
      <c r="A13" s="19" t="s">
        <v>359</v>
      </c>
      <c r="B13" s="19"/>
      <c r="C13" s="19"/>
      <c r="D13" s="19"/>
      <c r="E13" s="19"/>
      <c r="F13" s="19"/>
    </row>
    <row r="14" spans="1:1" x14ac:dyDescent="0.25">
      <c r="A14" s="17" t="s">
        <v>360</v>
      </c>
    </row>
    <row r="15" ht="28" customHeight="1" spans="1:6" x14ac:dyDescent="0.25">
      <c r="A15" s="21" t="s">
        <v>7</v>
      </c>
      <c r="B15" s="21" t="s">
        <v>104</v>
      </c>
      <c r="C15" s="21" t="s">
        <v>105</v>
      </c>
      <c r="D15" s="21" t="s">
        <v>106</v>
      </c>
      <c r="E15" s="21" t="s">
        <v>107</v>
      </c>
      <c r="F15" s="21" t="s">
        <v>108</v>
      </c>
    </row>
    <row r="16" spans="1:6" x14ac:dyDescent="0.25">
      <c r="A16" s="11" t="s">
        <v>326</v>
      </c>
      <c r="B16" s="31">
        <v>125625</v>
      </c>
      <c r="C16" s="31">
        <v>227235</v>
      </c>
      <c r="D16" s="31">
        <v>318548</v>
      </c>
      <c r="E16" s="31">
        <v>392685</v>
      </c>
      <c r="F16" s="31">
        <v>448680</v>
      </c>
    </row>
    <row r="17" spans="1:6" x14ac:dyDescent="0.25">
      <c r="A17" s="11" t="s">
        <v>267</v>
      </c>
      <c r="B17" s="31">
        <v>97891</v>
      </c>
      <c r="C17" s="31">
        <v>125545</v>
      </c>
      <c r="D17" s="31">
        <v>134693</v>
      </c>
      <c r="E17" s="31">
        <v>142861</v>
      </c>
      <c r="F17" s="31">
        <v>149938</v>
      </c>
    </row>
    <row r="18" spans="1:6" x14ac:dyDescent="0.25">
      <c r="A18" s="10" t="s">
        <v>269</v>
      </c>
      <c r="B18" s="33">
        <v>27734</v>
      </c>
      <c r="C18" s="33">
        <v>101690</v>
      </c>
      <c r="D18" s="33">
        <v>183854</v>
      </c>
      <c r="E18" s="33">
        <v>249824</v>
      </c>
      <c r="F18" s="33">
        <v>298742</v>
      </c>
    </row>
    <row r="19" spans="1:6" x14ac:dyDescent="0.25">
      <c r="A19" s="11" t="s">
        <v>270</v>
      </c>
      <c r="B19" s="29">
        <v>0.22076616915422886</v>
      </c>
      <c r="C19" s="29">
        <v>0.4475099126454991</v>
      </c>
      <c r="D19" s="29">
        <v>0.5771647319473548</v>
      </c>
      <c r="E19" s="29">
        <v>0.636195560368998</v>
      </c>
      <c r="F19" s="29">
        <v>0.6658248959753165</v>
      </c>
    </row>
    <row r="20" spans="1:6" x14ac:dyDescent="0.25">
      <c r="A20" s="11" t="s">
        <v>330</v>
      </c>
      <c r="B20" s="56" t="s">
        <v>331</v>
      </c>
      <c r="C20" s="56" t="s">
        <v>331</v>
      </c>
      <c r="D20" s="56" t="s">
        <v>331</v>
      </c>
      <c r="E20" s="56" t="s">
        <v>331</v>
      </c>
      <c r="F20" s="56" t="s">
        <v>331</v>
      </c>
    </row>
    <row r="21" spans="1:6" x14ac:dyDescent="0.25">
      <c r="A21" s="11" t="s">
        <v>339</v>
      </c>
      <c r="B21" s="50">
        <v>8</v>
      </c>
      <c r="C21" s="50">
        <v>8</v>
      </c>
      <c r="D21" s="50">
        <v>8</v>
      </c>
      <c r="E21" s="50">
        <v>7</v>
      </c>
      <c r="F21" s="50">
        <v>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361</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129</v>
      </c>
      <c r="B5" s="11" t="s">
        <v>34</v>
      </c>
    </row>
    <row r="6" spans="1:2" x14ac:dyDescent="0.25">
      <c r="A6" s="11" t="s">
        <v>362</v>
      </c>
      <c r="B6" s="11" t="s">
        <v>36</v>
      </c>
    </row>
    <row r="7" spans="1:2" x14ac:dyDescent="0.25">
      <c r="A7" s="11" t="s">
        <v>43</v>
      </c>
      <c r="B7" s="11" t="s">
        <v>44</v>
      </c>
    </row>
    <row r="8" spans="1:2" x14ac:dyDescent="0.25">
      <c r="A8" s="11" t="s">
        <v>37</v>
      </c>
      <c r="B8" s="11" t="s">
        <v>38</v>
      </c>
    </row>
    <row r="9" spans="1:2" x14ac:dyDescent="0.25">
      <c r="A9" s="11" t="s">
        <v>363</v>
      </c>
      <c r="B9" s="11" t="s">
        <v>46</v>
      </c>
    </row>
    <row r="11" ht="24" customHeight="1" spans="1:8" x14ac:dyDescent="0.25">
      <c r="A11" s="19" t="s">
        <v>364</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326</v>
      </c>
      <c r="D13" s="31">
        <v>167500</v>
      </c>
      <c r="E13" s="31">
        <v>302980</v>
      </c>
      <c r="F13" s="31">
        <v>424730</v>
      </c>
      <c r="G13" s="31">
        <v>523580</v>
      </c>
      <c r="H13" s="31">
        <v>598240</v>
      </c>
    </row>
    <row r="14" spans="1:8" x14ac:dyDescent="0.25">
      <c r="A14" s="11" t="s">
        <v>267</v>
      </c>
      <c r="D14" s="31">
        <v>97891</v>
      </c>
      <c r="E14" s="31">
        <v>125545</v>
      </c>
      <c r="F14" s="31">
        <v>134693</v>
      </c>
      <c r="G14" s="31">
        <v>142861</v>
      </c>
      <c r="H14" s="31">
        <v>149938</v>
      </c>
    </row>
    <row r="15" spans="1:8" x14ac:dyDescent="0.25">
      <c r="A15" s="11" t="s">
        <v>269</v>
      </c>
      <c r="D15" s="31">
        <v>69609</v>
      </c>
      <c r="E15" s="31">
        <v>177435</v>
      </c>
      <c r="F15" s="31">
        <v>290037</v>
      </c>
      <c r="G15" s="31">
        <v>380719</v>
      </c>
      <c r="H15" s="31">
        <v>448302</v>
      </c>
    </row>
    <row r="16" spans="1:8" x14ac:dyDescent="0.25">
      <c r="A16" s="11" t="s">
        <v>365</v>
      </c>
      <c r="D16" s="31">
        <v>103100</v>
      </c>
      <c r="E16" s="31">
        <v>280535</v>
      </c>
      <c r="F16" s="31">
        <v>570572</v>
      </c>
      <c r="G16" s="31">
        <v>951291</v>
      </c>
      <c r="H16" s="31">
        <v>1399594</v>
      </c>
    </row>
    <row r="17" spans="1:8" x14ac:dyDescent="0.25">
      <c r="A17" s="11" t="s">
        <v>366</v>
      </c>
      <c r="D17" s="31">
        <v>0</v>
      </c>
      <c r="E17" s="31">
        <v>0</v>
      </c>
      <c r="F17" s="31">
        <v>0</v>
      </c>
      <c r="G17" s="31">
        <v>0</v>
      </c>
      <c r="H17" s="31">
        <v>0</v>
      </c>
    </row>
    <row r="19" ht="24" customHeight="1" spans="1:8" x14ac:dyDescent="0.25">
      <c r="A19" s="19" t="s">
        <v>367</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368</v>
      </c>
      <c r="D21" s="29">
        <v>0.41557462686567165</v>
      </c>
      <c r="E21" s="29">
        <v>0.5856324344841243</v>
      </c>
      <c r="F21" s="29">
        <v>0.6828735489605162</v>
      </c>
      <c r="G21" s="29">
        <v>0.7271466702767485</v>
      </c>
      <c r="H21" s="29">
        <v>0.7493686719814874</v>
      </c>
    </row>
    <row r="22" spans="1:8" x14ac:dyDescent="0.25">
      <c r="A22" s="11" t="s">
        <v>330</v>
      </c>
      <c r="D22" s="56" t="s">
        <v>331</v>
      </c>
      <c r="E22" s="56" t="s">
        <v>331</v>
      </c>
      <c r="F22" s="56" t="s">
        <v>331</v>
      </c>
      <c r="G22" s="56" t="s">
        <v>331</v>
      </c>
      <c r="H22" s="56" t="s">
        <v>331</v>
      </c>
    </row>
    <row r="23" spans="1:8" x14ac:dyDescent="0.25">
      <c r="A23" s="11" t="s">
        <v>200</v>
      </c>
      <c r="D23" s="29">
        <v>0.375</v>
      </c>
      <c r="E23" s="29">
        <v>0.55</v>
      </c>
      <c r="F23" s="29">
        <v>0.75</v>
      </c>
      <c r="G23" s="29">
        <v>0.9</v>
      </c>
      <c r="H23" s="29">
        <v>1</v>
      </c>
    </row>
    <row r="24" spans="1:8" x14ac:dyDescent="0.25">
      <c r="A24" s="11" t="s">
        <v>369</v>
      </c>
      <c r="D24" s="50">
        <v>15</v>
      </c>
      <c r="E24" s="50">
        <v>22</v>
      </c>
      <c r="F24" s="50">
        <v>30</v>
      </c>
      <c r="G24" s="50">
        <v>36</v>
      </c>
      <c r="H24" s="50">
        <v>40</v>
      </c>
    </row>
    <row r="26" spans="1:8" x14ac:dyDescent="0.25">
      <c r="A26" s="14" t="s">
        <v>370</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371</v>
      </c>
      <c r="C2" s="1"/>
      <c r="D2" s="1"/>
      <c r="E2" s="1"/>
      <c r="F2" s="1"/>
      <c r="G2" s="1"/>
      <c r="H2" s="1"/>
      <c r="I2" s="1"/>
    </row>
    <row r="3" spans="2:9" x14ac:dyDescent="0.25">
      <c r="B3" s="58" t="s">
        <v>372</v>
      </c>
      <c r="C3" s="58"/>
      <c r="D3" s="58"/>
      <c r="E3" s="58"/>
      <c r="F3" s="58"/>
      <c r="G3" s="58"/>
      <c r="H3" s="58"/>
      <c r="I3" s="58"/>
    </row>
    <row r="4" spans="2:6" x14ac:dyDescent="0.25">
      <c r="B4" s="59" t="s">
        <v>373</v>
      </c>
      <c r="D4" s="60" t="s">
        <v>374</v>
      </c>
      <c r="F4" s="61" t="s">
        <v>375</v>
      </c>
    </row>
    <row r="6" ht="24" customHeight="1" spans="2:8" x14ac:dyDescent="0.25">
      <c r="B6" s="19" t="s">
        <v>376</v>
      </c>
      <c r="C6" s="62" t="s">
        <v>377</v>
      </c>
      <c r="D6" s="62" t="s">
        <v>378</v>
      </c>
      <c r="E6" s="62" t="s">
        <v>379</v>
      </c>
      <c r="F6" s="62" t="s">
        <v>380</v>
      </c>
      <c r="G6" s="62" t="s">
        <v>381</v>
      </c>
      <c r="H6" s="62" t="s">
        <v>382</v>
      </c>
    </row>
    <row r="7" spans="2:7" x14ac:dyDescent="0.25">
      <c r="B7" s="11" t="s">
        <v>369</v>
      </c>
      <c r="C7" s="63">
        <v>15</v>
      </c>
      <c r="D7" s="63">
        <v>22</v>
      </c>
      <c r="E7" s="63">
        <v>30</v>
      </c>
      <c r="F7" s="63">
        <v>36</v>
      </c>
      <c r="G7" s="63">
        <v>40</v>
      </c>
    </row>
    <row r="8" spans="2:7" x14ac:dyDescent="0.25">
      <c r="B8" s="11" t="s">
        <v>326</v>
      </c>
      <c r="C8" s="64">
        <v>167500</v>
      </c>
      <c r="D8" s="64">
        <v>302980</v>
      </c>
      <c r="E8" s="64">
        <v>424730</v>
      </c>
      <c r="F8" s="64">
        <v>523580</v>
      </c>
      <c r="G8" s="64">
        <v>598240</v>
      </c>
    </row>
    <row r="9" spans="2:7" x14ac:dyDescent="0.25">
      <c r="B9" s="11" t="s">
        <v>288</v>
      </c>
      <c r="C9" s="64">
        <v>64516.25</v>
      </c>
      <c r="D9" s="64">
        <v>79742.085</v>
      </c>
      <c r="E9" s="64">
        <v>82134.34754999999</v>
      </c>
      <c r="F9" s="64">
        <v>84598.3779765</v>
      </c>
      <c r="G9" s="64">
        <v>87136.32931579501</v>
      </c>
    </row>
    <row r="10" spans="2:7" x14ac:dyDescent="0.25">
      <c r="B10" s="11" t="s">
        <v>289</v>
      </c>
      <c r="C10" s="64">
        <v>33375</v>
      </c>
      <c r="D10" s="64">
        <v>45803</v>
      </c>
      <c r="E10" s="64">
        <v>52558.77</v>
      </c>
      <c r="F10" s="64">
        <v>58262.168399999995</v>
      </c>
      <c r="G10" s="64">
        <v>62801.356358000005</v>
      </c>
    </row>
    <row r="11" spans="2:7" x14ac:dyDescent="0.25">
      <c r="B11" s="11" t="s">
        <v>290</v>
      </c>
      <c r="C11" s="64">
        <v>0</v>
      </c>
      <c r="D11" s="64">
        <v>0</v>
      </c>
      <c r="E11" s="64">
        <v>0</v>
      </c>
      <c r="F11" s="64">
        <v>0</v>
      </c>
      <c r="G11" s="64">
        <v>0</v>
      </c>
    </row>
    <row r="12" spans="2:7" x14ac:dyDescent="0.25">
      <c r="B12" s="10" t="s">
        <v>269</v>
      </c>
      <c r="C12" s="65">
        <v>69608.75</v>
      </c>
      <c r="D12" s="65">
        <v>177434.91499999998</v>
      </c>
      <c r="E12" s="65">
        <v>290036.88245000003</v>
      </c>
      <c r="F12" s="65">
        <v>380719.4536235</v>
      </c>
      <c r="G12" s="65">
        <v>448302.314326205</v>
      </c>
    </row>
    <row r="13" spans="2:7" x14ac:dyDescent="0.25">
      <c r="B13" s="10" t="s">
        <v>333</v>
      </c>
      <c r="C13" s="65">
        <v>103100</v>
      </c>
      <c r="D13" s="65">
        <v>280534.915</v>
      </c>
      <c r="E13" s="65">
        <v>570571.79745</v>
      </c>
      <c r="F13" s="65">
        <v>951291.2510735</v>
      </c>
      <c r="G13" s="65">
        <v>1399593.565399705</v>
      </c>
    </row>
    <row r="14" spans="2:7" x14ac:dyDescent="0.25">
      <c r="B14" s="10" t="s">
        <v>368</v>
      </c>
      <c r="C14" s="66">
        <v>0.41557462686567165</v>
      </c>
      <c r="D14" s="66">
        <v>0.5856324344841243</v>
      </c>
      <c r="E14" s="66">
        <v>0.6828735489605162</v>
      </c>
      <c r="F14" s="66">
        <v>0.7271466702767485</v>
      </c>
      <c r="G14" s="66">
        <v>0.7493686719814874</v>
      </c>
    </row>
    <row r="15" spans="2:8" x14ac:dyDescent="0.25">
      <c r="B15" s="10" t="s">
        <v>238</v>
      </c>
      <c r="C15" s="67">
        <v>11166.666666666666</v>
      </c>
      <c r="D15" s="67">
        <v>13771.818181818182</v>
      </c>
      <c r="E15" s="67">
        <v>14157.666666666666</v>
      </c>
      <c r="F15" s="67">
        <v>14543.888888888889</v>
      </c>
      <c r="G15" s="67">
        <v>14956</v>
      </c>
      <c r="H15" s="68" t="s">
        <v>383</v>
      </c>
    </row>
    <row r="16" spans="2:7" x14ac:dyDescent="0.25">
      <c r="B16" s="10" t="s">
        <v>272</v>
      </c>
      <c r="C16" s="69">
        <v>6526.083333333333</v>
      </c>
      <c r="D16" s="69">
        <v>5706.594772727273</v>
      </c>
      <c r="E16" s="69">
        <v>4489.770585</v>
      </c>
      <c r="F16" s="69">
        <v>3968.348510458333</v>
      </c>
      <c r="G16" s="69">
        <v>3748.442141844875</v>
      </c>
    </row>
    <row r="17" spans="2:7" x14ac:dyDescent="0.25">
      <c r="B17" s="11" t="s">
        <v>384</v>
      </c>
      <c r="C17" s="64">
        <v>400</v>
      </c>
      <c r="D17" s="64">
        <v>412</v>
      </c>
      <c r="E17" s="64">
        <v>424.35999999999996</v>
      </c>
      <c r="F17" s="64">
        <v>437.0908</v>
      </c>
      <c r="G17" s="64">
        <v>450.20352400000013</v>
      </c>
    </row>
    <row r="18" spans="2:8" x14ac:dyDescent="0.25">
      <c r="B18" s="11" t="s">
        <v>385</v>
      </c>
      <c r="C18" s="67">
        <v>1720</v>
      </c>
      <c r="D18" s="67">
        <v>1207.909090909091</v>
      </c>
      <c r="E18" s="67">
        <v>912.3739999999999</v>
      </c>
      <c r="F18" s="67">
        <v>783.1210166666666</v>
      </c>
      <c r="G18" s="67">
        <v>725.9531824500001</v>
      </c>
      <c r="H18" s="68" t="s">
        <v>386</v>
      </c>
    </row>
    <row r="19" spans="2:7" x14ac:dyDescent="0.25">
      <c r="B19" s="10" t="s">
        <v>387</v>
      </c>
      <c r="C19" s="70">
        <v>4640.583333333333</v>
      </c>
      <c r="D19" s="70">
        <v>8065.223409090908</v>
      </c>
      <c r="E19" s="70">
        <v>9667.896081666668</v>
      </c>
      <c r="F19" s="70">
        <v>10575.540378430556</v>
      </c>
      <c r="G19" s="70">
        <v>11207.557858155125</v>
      </c>
    </row>
    <row r="20" spans="2:8" x14ac:dyDescent="0.25">
      <c r="B20" s="10" t="s">
        <v>388</v>
      </c>
      <c r="C20" s="66">
        <v>0.3851716417910448</v>
      </c>
      <c r="D20" s="66">
        <v>0.2631925704666975</v>
      </c>
      <c r="E20" s="66">
        <v>0.19338014161938172</v>
      </c>
      <c r="F20" s="66">
        <v>0.16157679433228925</v>
      </c>
      <c r="G20" s="66">
        <v>0.14565446863431902</v>
      </c>
      <c r="H20" s="68" t="s">
        <v>389</v>
      </c>
    </row>
    <row r="21" spans="2:8" x14ac:dyDescent="0.25">
      <c r="B21" s="10" t="s">
        <v>390</v>
      </c>
      <c r="C21" s="71">
        <v>0.15402985074626865</v>
      </c>
      <c r="D21" s="66">
        <v>0.08770875965410257</v>
      </c>
      <c r="E21" s="66">
        <v>0.06444381136251265</v>
      </c>
      <c r="F21" s="66">
        <v>0.0538453657511746</v>
      </c>
      <c r="G21" s="66">
        <v>0.04853926066127307</v>
      </c>
      <c r="H21" s="68" t="s">
        <v>391</v>
      </c>
    </row>
    <row r="22" spans="2:8" x14ac:dyDescent="0.25">
      <c r="B22" s="10" t="s">
        <v>392</v>
      </c>
      <c r="C22" s="66">
        <v>0.41557462686567165</v>
      </c>
      <c r="D22" s="66">
        <v>0.5856324344841243</v>
      </c>
      <c r="E22" s="66">
        <v>0.682873548960516</v>
      </c>
      <c r="F22" s="66">
        <v>0.7271466702767484</v>
      </c>
      <c r="G22" s="66">
        <v>0.7493686719814874</v>
      </c>
      <c r="H22" s="68" t="s">
        <v>393</v>
      </c>
    </row>
    <row r="23" spans="2:8" x14ac:dyDescent="0.25">
      <c r="B23" s="10" t="s">
        <v>394</v>
      </c>
      <c r="C23" s="72">
        <v>3</v>
      </c>
      <c r="D23" s="72">
        <v>3</v>
      </c>
      <c r="E23" s="72">
        <v>3</v>
      </c>
      <c r="F23" s="72">
        <v>3</v>
      </c>
      <c r="G23" s="72">
        <v>3</v>
      </c>
      <c r="H23" s="68" t="s">
        <v>395</v>
      </c>
    </row>
    <row r="24" spans="2:8" x14ac:dyDescent="0.25">
      <c r="B24" s="10" t="s">
        <v>330</v>
      </c>
      <c r="C24" s="73" t="s">
        <v>331</v>
      </c>
      <c r="D24" s="73" t="s">
        <v>331</v>
      </c>
      <c r="E24" s="73" t="s">
        <v>331</v>
      </c>
      <c r="F24" s="73" t="s">
        <v>331</v>
      </c>
      <c r="G24" s="73" t="s">
        <v>331</v>
      </c>
      <c r="H24" s="68" t="s">
        <v>331</v>
      </c>
    </row>
    <row r="25" spans="2:8" x14ac:dyDescent="0.25">
      <c r="B25" s="10" t="s">
        <v>396</v>
      </c>
      <c r="C25" s="42" t="str">
        <f>IF('5-Year Operating Stmt'!B17&gt;=0,"✓ Break-even","")</f>
        <v>✓ Break-even</v>
      </c>
      <c r="D25" s="74" t="str">
        <f>IF(AND('5-Year Operating Stmt'!C17&gt;=0,'5-Year Operating Stmt'!B17&lt;0),"✓ Break-even","")</f>
        <v>0</v>
      </c>
      <c r="E25" s="74" t="str">
        <f>IF(AND('5-Year Operating Stmt'!D17&gt;=0,'5-Year Operating Stmt'!C17&lt;0),"✓ Break-even","")</f>
        <v>0</v>
      </c>
      <c r="F25" s="74" t="str">
        <f>IF(AND('5-Year Operating Stmt'!E17&gt;=0,'5-Year Operating Stmt'!D17&lt;0),"✓ Break-even","")</f>
        <v>0</v>
      </c>
      <c r="G25" s="74" t="str">
        <f>IF(AND('5-Year Operating Stmt'!F17&gt;=0,'5-Year Operating Stmt'!E17&lt;0),"✓ Break-even","")</f>
        <v>0</v>
      </c>
      <c r="H25" s="68" t="s">
        <v>377</v>
      </c>
    </row>
    <row r="26" spans="2:8" x14ac:dyDescent="0.25">
      <c r="B26" s="10" t="s">
        <v>397</v>
      </c>
      <c r="C26" s="75">
        <v>13</v>
      </c>
      <c r="D26" s="72">
        <v>27</v>
      </c>
      <c r="E26" s="72">
        <v>51</v>
      </c>
      <c r="F26" s="76" t="s">
        <v>398</v>
      </c>
      <c r="G26" s="76" t="s">
        <v>398</v>
      </c>
      <c r="H26" s="68" t="s">
        <v>399</v>
      </c>
    </row>
    <row r="27" spans="2:8" x14ac:dyDescent="0.25">
      <c r="B27" s="10" t="s">
        <v>334</v>
      </c>
      <c r="C27" s="72">
        <v>384</v>
      </c>
      <c r="D27" s="72">
        <v>816</v>
      </c>
      <c r="E27" s="72">
        <v>1546</v>
      </c>
      <c r="F27" s="72">
        <v>2430</v>
      </c>
      <c r="G27" s="72">
        <v>3407</v>
      </c>
      <c r="H27" s="68" t="s">
        <v>400</v>
      </c>
    </row>
    <row r="29" ht="24" customHeight="1" spans="2:9" x14ac:dyDescent="0.25">
      <c r="B29" s="19" t="s">
        <v>401</v>
      </c>
      <c r="C29" s="19" t="s">
        <v>402</v>
      </c>
      <c r="D29" s="19" t="s">
        <v>403</v>
      </c>
      <c r="E29" s="19"/>
      <c r="F29" s="19" t="s">
        <v>404</v>
      </c>
      <c r="G29" s="19"/>
      <c r="H29" s="19"/>
      <c r="I29" s="19"/>
    </row>
    <row r="30" ht="45" customHeight="1" spans="2:9" x14ac:dyDescent="0.25">
      <c r="B30" s="44" t="s">
        <v>405</v>
      </c>
      <c r="C30" s="42" t="s">
        <v>406</v>
      </c>
      <c r="D30" s="77" t="s">
        <v>407</v>
      </c>
      <c r="E30" s="77"/>
      <c r="F30" s="78" t="s">
        <v>408</v>
      </c>
      <c r="G30" s="78"/>
      <c r="H30" s="78"/>
      <c r="I30" s="78"/>
    </row>
    <row r="31" ht="45" customHeight="1" spans="2:9" x14ac:dyDescent="0.25">
      <c r="B31" s="44" t="s">
        <v>409</v>
      </c>
      <c r="C31" s="42" t="s">
        <v>406</v>
      </c>
      <c r="D31" s="77" t="s">
        <v>410</v>
      </c>
      <c r="E31" s="77"/>
      <c r="F31" s="78" t="s">
        <v>411</v>
      </c>
      <c r="G31" s="78"/>
      <c r="H31" s="78"/>
      <c r="I31" s="78"/>
    </row>
    <row r="32" ht="45" customHeight="1" spans="2:9" x14ac:dyDescent="0.25">
      <c r="B32" s="44" t="s">
        <v>412</v>
      </c>
      <c r="C32" s="42" t="s">
        <v>406</v>
      </c>
      <c r="D32" s="77" t="s">
        <v>413</v>
      </c>
      <c r="E32" s="77"/>
      <c r="F32" s="78" t="s">
        <v>414</v>
      </c>
      <c r="G32" s="78"/>
      <c r="H32" s="78"/>
      <c r="I32" s="78"/>
    </row>
    <row r="33" ht="45" customHeight="1" spans="2:9" x14ac:dyDescent="0.25">
      <c r="B33" s="44" t="s">
        <v>415</v>
      </c>
      <c r="C33" s="42" t="s">
        <v>406</v>
      </c>
      <c r="D33" s="77" t="s">
        <v>416</v>
      </c>
      <c r="E33" s="77"/>
      <c r="F33" s="78" t="s">
        <v>417</v>
      </c>
      <c r="G33" s="78"/>
      <c r="H33" s="78"/>
      <c r="I33" s="78"/>
    </row>
    <row r="34" ht="45" customHeight="1" spans="2:9" x14ac:dyDescent="0.25">
      <c r="B34" s="44" t="s">
        <v>418</v>
      </c>
      <c r="C34" s="42" t="s">
        <v>406</v>
      </c>
      <c r="D34" s="77" t="s">
        <v>419</v>
      </c>
      <c r="E34" s="77"/>
      <c r="F34" s="78" t="s">
        <v>420</v>
      </c>
      <c r="G34" s="78"/>
      <c r="H34" s="78"/>
      <c r="I34" s="78"/>
    </row>
    <row r="35" ht="45" customHeight="1" spans="2:9" x14ac:dyDescent="0.25">
      <c r="B35" s="44" t="s">
        <v>421</v>
      </c>
      <c r="C35" s="42" t="s">
        <v>406</v>
      </c>
      <c r="D35" s="77" t="s">
        <v>422</v>
      </c>
      <c r="E35" s="77"/>
      <c r="F35" s="78" t="s">
        <v>423</v>
      </c>
      <c r="G35" s="78"/>
      <c r="H35" s="78"/>
      <c r="I35" s="78"/>
    </row>
    <row r="37" spans="2:6" x14ac:dyDescent="0.25">
      <c r="B37" s="44" t="s">
        <v>424</v>
      </c>
      <c r="C37" s="10" t="s">
        <v>425</v>
      </c>
      <c r="D37" s="10"/>
      <c r="E37" s="10"/>
      <c r="F37" s="10"/>
    </row>
    <row r="39" spans="2:9" x14ac:dyDescent="0.25">
      <c r="B39" s="79" t="s">
        <v>426</v>
      </c>
      <c r="C39" s="79"/>
      <c r="D39" s="79"/>
      <c r="E39" s="79"/>
      <c r="F39" s="79"/>
      <c r="G39" s="79"/>
      <c r="H39" s="79"/>
      <c r="I39" s="79"/>
    </row>
  </sheetData>
  <mergeCells count="18">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C37:F37"/>
    <mergeCell ref="B39:I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427</v>
      </c>
      <c r="B3" s="19"/>
    </row>
    <row r="4" spans="1:2" x14ac:dyDescent="0.25">
      <c r="A4" s="80" t="s">
        <v>428</v>
      </c>
      <c r="B4" s="80"/>
    </row>
    <row r="6" ht="24" customHeight="1" spans="1:2" x14ac:dyDescent="0.25">
      <c r="A6" s="19" t="s">
        <v>429</v>
      </c>
      <c r="B6" s="19"/>
    </row>
    <row r="7" spans="1:2" x14ac:dyDescent="0.25">
      <c r="A7" s="80" t="s">
        <v>428</v>
      </c>
      <c r="B7" s="80"/>
    </row>
    <row r="9" ht="24" customHeight="1" spans="1:2" x14ac:dyDescent="0.25">
      <c r="A9" s="19" t="s">
        <v>430</v>
      </c>
      <c r="B9" s="19"/>
    </row>
    <row r="10" spans="1:2" x14ac:dyDescent="0.25">
      <c r="A10" s="80" t="s">
        <v>428</v>
      </c>
      <c r="B10" s="80"/>
    </row>
    <row r="12" ht="24" customHeight="1" spans="1:2" x14ac:dyDescent="0.25">
      <c r="A12" s="19" t="s">
        <v>431</v>
      </c>
      <c r="B12" s="19"/>
    </row>
    <row r="13" spans="1:2" x14ac:dyDescent="0.25">
      <c r="A13" s="80" t="s">
        <v>428</v>
      </c>
      <c r="B13" s="80"/>
    </row>
    <row r="15" ht="24" customHeight="1" spans="1:2" x14ac:dyDescent="0.25">
      <c r="A15" s="19" t="s">
        <v>432</v>
      </c>
      <c r="B15" s="19"/>
    </row>
    <row r="16" spans="1:2" x14ac:dyDescent="0.25">
      <c r="A16" s="80" t="s">
        <v>428</v>
      </c>
      <c r="B16" s="80"/>
    </row>
    <row r="18" ht="24" customHeight="1" spans="1:2" x14ac:dyDescent="0.25">
      <c r="A18" s="19" t="s">
        <v>433</v>
      </c>
      <c r="B18" s="19"/>
    </row>
    <row r="19" spans="1:2" x14ac:dyDescent="0.25">
      <c r="A19" s="80" t="s">
        <v>428</v>
      </c>
      <c r="B19" s="80"/>
    </row>
    <row r="21" ht="24" customHeight="1" spans="1:2" x14ac:dyDescent="0.25">
      <c r="A21" s="19" t="s">
        <v>434</v>
      </c>
      <c r="B21" s="19"/>
    </row>
    <row r="22" spans="1:2" x14ac:dyDescent="0.25">
      <c r="A22" s="80" t="s">
        <v>428</v>
      </c>
      <c r="B22" s="80"/>
    </row>
    <row r="24" ht="24" customHeight="1" spans="1:2" x14ac:dyDescent="0.25">
      <c r="A24" s="19" t="s">
        <v>435</v>
      </c>
      <c r="B24" s="19"/>
    </row>
    <row r="25" spans="1:2" x14ac:dyDescent="0.25">
      <c r="A25" s="80" t="s">
        <v>428</v>
      </c>
      <c r="B25" s="80"/>
    </row>
    <row r="27" ht="24" customHeight="1" spans="1:2" x14ac:dyDescent="0.25">
      <c r="A27" s="19" t="s">
        <v>436</v>
      </c>
      <c r="B27" s="19"/>
    </row>
    <row r="28" spans="1:2" x14ac:dyDescent="0.25">
      <c r="A28" s="80" t="s">
        <v>428</v>
      </c>
      <c r="B28" s="80"/>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437</v>
      </c>
      <c r="B1" s="21"/>
      <c r="C1" s="21"/>
    </row>
    <row r="2" spans="1:3" x14ac:dyDescent="0.25">
      <c r="A2" s="81" t="s">
        <v>438</v>
      </c>
      <c r="B2" s="81"/>
      <c r="C2" s="81"/>
    </row>
    <row r="4" ht="24" customHeight="1" spans="1:3" x14ac:dyDescent="0.25">
      <c r="A4" s="82" t="s">
        <v>439</v>
      </c>
      <c r="B4" s="82"/>
      <c r="C4" s="82"/>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440</v>
      </c>
      <c r="C1" s="15"/>
      <c r="D1" s="15"/>
      <c r="E1" s="15"/>
      <c r="F1" s="15"/>
      <c r="G1" s="15"/>
      <c r="H1" s="15"/>
    </row>
    <row r="2" ht="60" customHeight="1" spans="2:8" x14ac:dyDescent="0.25">
      <c r="B2" s="83" t="s">
        <v>441</v>
      </c>
      <c r="C2" s="83"/>
      <c r="D2" s="83"/>
      <c r="E2" s="83"/>
      <c r="F2" s="83"/>
      <c r="G2" s="83"/>
      <c r="H2" s="83"/>
    </row>
    <row r="4" ht="30" customHeight="1" spans="2:8" x14ac:dyDescent="0.25">
      <c r="B4" s="84" t="s">
        <v>442</v>
      </c>
      <c r="C4" s="84"/>
      <c r="D4" s="84"/>
      <c r="E4" s="84"/>
      <c r="F4" s="84"/>
      <c r="G4" s="84"/>
      <c r="H4" s="84"/>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2026-05-07T12:41:24Z</dcterms:created>
  <dcterms:modified xsi:type="dcterms:W3CDTF">2026-05-07T12:41:24Z</dcterms:modified>
</cp:coreProperties>
</file>