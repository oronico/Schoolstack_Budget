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over" state="visible" r:id="rId5"/>
    <sheet sheetId="3" name="Assumptions" state="visible" r:id="rId6"/>
    <sheet sheetId="4" name="Program Profile" state="visible" r:id="rId7"/>
    <sheet sheetId="5" name="Enrollment Drivers" state="visible" r:id="rId8"/>
    <sheet sheetId="6" name="Tuition &amp; Funding" state="visible" r:id="rId9"/>
    <sheet sheetId="7" name="Staffing Drivers" state="visible" r:id="rId10"/>
    <sheet sheetId="8" name="OpEx Drivers" state="visible" r:id="rId11"/>
    <sheet sheetId="9" name="Capital Stack" state="visible" r:id="rId12"/>
    <sheet sheetId="10" name="Enrollment Tuition Fcst" state="visible" r:id="rId13"/>
    <sheet sheetId="11" name="Staffing Costs Fcst" state="visible" r:id="rId14"/>
    <sheet sheetId="12" name="Budget Detail" state="visible" r:id="rId15"/>
    <sheet sheetId="13" name="Budget Summary" state="visible" r:id="rId16"/>
    <sheet sheetId="14" name="Monthly Cash Flow Y1" state="visible" r:id="rId17"/>
    <sheet sheetId="15" name="5-Year Operating Stmt" state="visible" r:id="rId18"/>
    <sheet sheetId="16" name="Debt Schedule" state="visible" r:id="rId19"/>
    <sheet sheetId="17" name="Balance Sheet" state="visible" r:id="rId20"/>
    <sheet sheetId="18" name="DSCR &amp; Covenants" state="visible" r:id="rId21"/>
    <sheet sheetId="19" name="Sources &amp; Uses" state="visible" r:id="rId22"/>
    <sheet sheetId="20" name="Scenarios" state="visible" r:id="rId23"/>
    <sheet sheetId="21" name="Underwriting Snapshot" state="visible" r:id="rId24"/>
    <sheet sheetId="22" name="Financial Health" state="visible" r:id="rId25"/>
  </sheets>
  <calcPr calcId="171027" fullCalcOnLoad="1"/>
</workbook>
</file>

<file path=xl/sharedStrings.xml><?xml version="1.0" encoding="utf-8"?>
<sst xmlns="http://schemas.openxmlformats.org/spreadsheetml/2006/main" count="716" uniqueCount="390">
  <si>
    <t>How to Use This Workbook</t>
  </si>
  <si>
    <t>Liberty Learning Co-Op</t>
  </si>
  <si>
    <t>Generated March 27, 2026 · llc_single</t>
  </si>
  <si>
    <t>Cell Color Legend</t>
  </si>
  <si>
    <t xml:space="preserve">  Blue cells are editable inputs — change these to update your model.</t>
  </si>
  <si>
    <t xml:space="preserve">  White cells contain formulas — do not edit (they recalculate automatically).</t>
  </si>
  <si>
    <t xml:space="preserve">  Green cells are key outputs and summary metrics.</t>
  </si>
  <si>
    <t/>
  </si>
  <si>
    <t>Navigation</t>
  </si>
  <si>
    <t>The Assumptions tab is the central control panel — all other tabs reference it.</t>
  </si>
  <si>
    <t>Structure</t>
  </si>
  <si>
    <t>Tabs 5-9: Drivers &amp; inputs</t>
  </si>
  <si>
    <t>Tabs 10-13: Forecasts &amp; budgets</t>
  </si>
  <si>
    <t>Tabs 14-17: Financial statements</t>
  </si>
  <si>
    <t>Tabs 18-22: Analysis, underwriting &amp; dashboard</t>
  </si>
  <si>
    <t>Debt Service Convention</t>
  </si>
  <si>
    <t>operating expense on the Operating Statement. This is a standard</t>
  </si>
  <si>
    <t>simplification used in school financial underwriting that ensures internal</t>
  </si>
  <si>
    <t>consistency across all tabs.</t>
  </si>
  <si>
    <t>Tips</t>
  </si>
  <si>
    <t>Check the Financial Health dashboard for an at-a-glance assessment.</t>
  </si>
  <si>
    <t>Review key metrics: net margin, cash runway, and DSCR.</t>
  </si>
  <si>
    <t>Next Steps</t>
  </si>
  <si>
    <t>2. Verify enrollment and revenue projections match your plan.</t>
  </si>
  <si>
    <t>3. Check the Financial Health dashboard for risk signals.</t>
  </si>
  <si>
    <t>4. Share this workbook with your lender or financial advisor.</t>
  </si>
  <si>
    <t>5. Update inputs as your school's plan evolves.</t>
  </si>
  <si>
    <t>Disclaimer</t>
  </si>
  <si>
    <t>a loan commitment, or a guarantee of funding. All projections are based on</t>
  </si>
  <si>
    <t>user-provided assumptions and should be independently verified.</t>
  </si>
  <si>
    <t>SchoolStack Budget</t>
  </si>
  <si>
    <t>5-Year Financial Model &amp; Underwriting Workbook</t>
  </si>
  <si>
    <t>School Name</t>
  </si>
  <si>
    <t>School Type</t>
  </si>
  <si>
    <t>Homeschool Co-Op</t>
  </si>
  <si>
    <t>Entity Type</t>
  </si>
  <si>
    <t>LLC (Single Member)</t>
  </si>
  <si>
    <t>State</t>
  </si>
  <si>
    <t>AZ</t>
  </si>
  <si>
    <t>Fiscal Year Start</t>
  </si>
  <si>
    <t>Month 7</t>
  </si>
  <si>
    <t>Model Date</t>
  </si>
  <si>
    <t>March 27, 2026</t>
  </si>
  <si>
    <t>Stage</t>
  </si>
  <si>
    <t>Startup / Pre-Opening</t>
  </si>
  <si>
    <t>Funding Profile</t>
  </si>
  <si>
    <t>Hybrid / Mixed</t>
  </si>
  <si>
    <t>Table of Contents</t>
  </si>
  <si>
    <t>1.</t>
  </si>
  <si>
    <t>Instructions</t>
  </si>
  <si>
    <t>2.</t>
  </si>
  <si>
    <t>Cover</t>
  </si>
  <si>
    <t>3.</t>
  </si>
  <si>
    <t>Assumptions</t>
  </si>
  <si>
    <t>4.</t>
  </si>
  <si>
    <t>Program Profile</t>
  </si>
  <si>
    <t>5.</t>
  </si>
  <si>
    <t>Enrollment Drivers</t>
  </si>
  <si>
    <t>6.</t>
  </si>
  <si>
    <t>Tuition &amp; Funding</t>
  </si>
  <si>
    <t>7.</t>
  </si>
  <si>
    <t>Staffing Drivers</t>
  </si>
  <si>
    <t>8.</t>
  </si>
  <si>
    <t>OpEx Drivers</t>
  </si>
  <si>
    <t>9.</t>
  </si>
  <si>
    <t>Capital Stack</t>
  </si>
  <si>
    <t>10.</t>
  </si>
  <si>
    <t>Enrollment Tuition Fcst</t>
  </si>
  <si>
    <t>11.</t>
  </si>
  <si>
    <t>Staffing Costs Fcst</t>
  </si>
  <si>
    <t>12.</t>
  </si>
  <si>
    <t>Budget Detail</t>
  </si>
  <si>
    <t>13.</t>
  </si>
  <si>
    <t>Budget Summary</t>
  </si>
  <si>
    <t>14.</t>
  </si>
  <si>
    <t>Monthly Cash Flow Y1</t>
  </si>
  <si>
    <t>15.</t>
  </si>
  <si>
    <t>5-Year Operating Stmt</t>
  </si>
  <si>
    <t>16.</t>
  </si>
  <si>
    <t>Debt Schedule</t>
  </si>
  <si>
    <t>17.</t>
  </si>
  <si>
    <t>Balance Sheet</t>
  </si>
  <si>
    <t>18.</t>
  </si>
  <si>
    <t>DSCR &amp; Covenants</t>
  </si>
  <si>
    <t>19.</t>
  </si>
  <si>
    <t>Sources &amp; Uses</t>
  </si>
  <si>
    <t>20.</t>
  </si>
  <si>
    <t>Scenarios</t>
  </si>
  <si>
    <t>21.</t>
  </si>
  <si>
    <t>Underwriting Snapshot</t>
  </si>
  <si>
    <t>22.</t>
  </si>
  <si>
    <t>Financial Health</t>
  </si>
  <si>
    <t>CONFIDENTIAL - Prepared by SchoolStack Budget (budget.schoolstack.ai)</t>
  </si>
  <si>
    <t>Liberty Learning Co-Op - Assumptions</t>
  </si>
  <si>
    <t>Editable assumption — change this value</t>
  </si>
  <si>
    <t>Calculated — driven by formula</t>
  </si>
  <si>
    <t>SCHOOL PROFILE</t>
  </si>
  <si>
    <t>EIN</t>
  </si>
  <si>
    <t>86-5551234</t>
  </si>
  <si>
    <t>Fiscal Year Start Month</t>
  </si>
  <si>
    <t>Max Capacity</t>
  </si>
  <si>
    <t>ENROLLMENT</t>
  </si>
  <si>
    <t>2026-27</t>
  </si>
  <si>
    <t>2027-28</t>
  </si>
  <si>
    <t>2028-29</t>
  </si>
  <si>
    <t>2029-30</t>
  </si>
  <si>
    <t>2030-31</t>
  </si>
  <si>
    <t>Total Students</t>
  </si>
  <si>
    <t>REVENUE DRIVERS</t>
  </si>
  <si>
    <t>Line Item</t>
  </si>
  <si>
    <t>Category</t>
  </si>
  <si>
    <t>Driver</t>
  </si>
  <si>
    <t>Amount</t>
  </si>
  <si>
    <t>Escalation %</t>
  </si>
  <si>
    <t>Co-Op Tuition</t>
  </si>
  <si>
    <t>Tuition &amp; Fees</t>
  </si>
  <si>
    <t>Per Student</t>
  </si>
  <si>
    <t>Materials Fee</t>
  </si>
  <si>
    <t>ESA Revenue</t>
  </si>
  <si>
    <t>School Choice</t>
  </si>
  <si>
    <t>Annual Fundraising</t>
  </si>
  <si>
    <t>Philanthropy</t>
  </si>
  <si>
    <t>Annual Fixed</t>
  </si>
  <si>
    <t>STAFFING</t>
  </si>
  <si>
    <t>Role</t>
  </si>
  <si>
    <t>Type</t>
  </si>
  <si>
    <t>FTE</t>
  </si>
  <si>
    <t>Rate</t>
  </si>
  <si>
    <t>Benefits %</t>
  </si>
  <si>
    <t>Tax %</t>
  </si>
  <si>
    <t>Director / Lead Educator</t>
  </si>
  <si>
    <t>School Leadership</t>
  </si>
  <si>
    <t>full_time</t>
  </si>
  <si>
    <t>Assistant Educator</t>
  </si>
  <si>
    <t>Instructional</t>
  </si>
  <si>
    <t>part_time</t>
  </si>
  <si>
    <t>OPERATING EXPENSES</t>
  </si>
  <si>
    <t>Rent</t>
  </si>
  <si>
    <t>Occupancy / Facility</t>
  </si>
  <si>
    <t>Monthly</t>
  </si>
  <si>
    <t>Utilities</t>
  </si>
  <si>
    <t>Insurance</t>
  </si>
  <si>
    <t>Curriculum &amp; Materials</t>
  </si>
  <si>
    <t>Instructional / Program</t>
  </si>
  <si>
    <t>Technology</t>
  </si>
  <si>
    <t>CAPITAL &amp; DEBT</t>
  </si>
  <si>
    <t>Instrument</t>
  </si>
  <si>
    <t>Principal</t>
  </si>
  <si>
    <t>Term (Yrs)</t>
  </si>
  <si>
    <t>GROWTH &amp; TIMING</t>
  </si>
  <si>
    <t>Salary Escalation Rate</t>
  </si>
  <si>
    <t>Salary input or tuition escalation fallback</t>
  </si>
  <si>
    <t>Cost Inflation Rate</t>
  </si>
  <si>
    <t>Cost inflation input or tuition escalation fallback</t>
  </si>
  <si>
    <t>Year 1 Proration Factor</t>
  </si>
  <si>
    <t>Starting Cash</t>
  </si>
  <si>
    <t>Debt Included</t>
  </si>
  <si>
    <t>No</t>
  </si>
  <si>
    <t>WEIGHTED ENROLLMENT POPULATIONS</t>
  </si>
  <si>
    <t>Population</t>
  </si>
  <si>
    <t>Special Education (SPED)</t>
  </si>
  <si>
    <t>English Language Learners (ELL)</t>
  </si>
  <si>
    <t>Economically Disadvantaged</t>
  </si>
  <si>
    <t>School Model</t>
  </si>
  <si>
    <t>microschool</t>
  </si>
  <si>
    <t>Financial Label Convention</t>
  </si>
  <si>
    <t>For-Profit (Profit &amp; Loss / Equity)</t>
  </si>
  <si>
    <t>Funding Mix</t>
  </si>
  <si>
    <t>7</t>
  </si>
  <si>
    <t>Year 1 Operating Months</t>
  </si>
  <si>
    <t>10</t>
  </si>
  <si>
    <t>Proration Factor</t>
  </si>
  <si>
    <t>83.3%</t>
  </si>
  <si>
    <t>40</t>
  </si>
  <si>
    <t>Accredited</t>
  </si>
  <si>
    <t>Location</t>
  </si>
  <si>
    <t>789 Desert Way, Mesa, AZ 85201</t>
  </si>
  <si>
    <t>Facility</t>
  </si>
  <si>
    <t>Leased</t>
  </si>
  <si>
    <t>TOTAL ENROLLMENT</t>
  </si>
  <si>
    <t>Capacity Utilization</t>
  </si>
  <si>
    <t>Enrollment Growth Rate</t>
  </si>
  <si>
    <t>-</t>
  </si>
  <si>
    <t>Total Weighted Population</t>
  </si>
  <si>
    <t>Weighted % of Total</t>
  </si>
  <si>
    <t>Tuition &amp; Funding Drivers</t>
  </si>
  <si>
    <t>TUITION &amp; FEES</t>
  </si>
  <si>
    <t>Total Tuition &amp; Fees</t>
  </si>
  <si>
    <t>SCHOOL CHOICE</t>
  </si>
  <si>
    <t>Total School Choice</t>
  </si>
  <si>
    <t>PHILANTHROPY</t>
  </si>
  <si>
    <t>Total Philanthropy</t>
  </si>
  <si>
    <t>GRAND TOTAL REVENUE</t>
  </si>
  <si>
    <t>Base Rate</t>
  </si>
  <si>
    <t>Loaded Cost</t>
  </si>
  <si>
    <t>5-YEAR TOTAL PERSONNEL COST</t>
  </si>
  <si>
    <t>Total Personnel</t>
  </si>
  <si>
    <t>Personnel as % of Revenue</t>
  </si>
  <si>
    <t>Students per FTE</t>
  </si>
  <si>
    <t>Operating Expense Drivers</t>
  </si>
  <si>
    <t xml:space="preserve">  Curriculum &amp; Materials</t>
  </si>
  <si>
    <t>Total Instructional / Program</t>
  </si>
  <si>
    <t xml:space="preserve">  Technology</t>
  </si>
  <si>
    <t>Total Technology</t>
  </si>
  <si>
    <t xml:space="preserve">  Rent</t>
  </si>
  <si>
    <t xml:space="preserve">  Utilities</t>
  </si>
  <si>
    <t xml:space="preserve">  Insurance</t>
  </si>
  <si>
    <t>Total Occupancy / Facility</t>
  </si>
  <si>
    <t>TOTAL OPERATING EXPENSES</t>
  </si>
  <si>
    <t>Capital Stack &amp; Loan Terms</t>
  </si>
  <si>
    <t>Annual Payment</t>
  </si>
  <si>
    <t>Total Annual Debt Service</t>
  </si>
  <si>
    <t>Total Loan Principal</t>
  </si>
  <si>
    <t>Enrollment &amp; Tuition Forecast</t>
  </si>
  <si>
    <t>REVENUE FORECAST</t>
  </si>
  <si>
    <t>TOTAL REVENUE</t>
  </si>
  <si>
    <t>Revenue per Student</t>
  </si>
  <si>
    <t>Staffing Costs Forecast</t>
  </si>
  <si>
    <t xml:space="preserve">  Assistant Educator</t>
  </si>
  <si>
    <t>Total Instructional</t>
  </si>
  <si>
    <t xml:space="preserve">  Director / Lead Educator</t>
  </si>
  <si>
    <t>Total School Leadership</t>
  </si>
  <si>
    <t>TOTAL PERSONNEL</t>
  </si>
  <si>
    <t>Liberty Learning Co-Op - Budget Detail</t>
  </si>
  <si>
    <t>REVENUE</t>
  </si>
  <si>
    <t xml:space="preserve">  Co-Op Tuition</t>
  </si>
  <si>
    <t xml:space="preserve">  Materials Fee</t>
  </si>
  <si>
    <t xml:space="preserve">  ESA Revenue</t>
  </si>
  <si>
    <t xml:space="preserve">  Annual Fundraising</t>
  </si>
  <si>
    <t>Total Revenue</t>
  </si>
  <si>
    <t>PERSONNEL</t>
  </si>
  <si>
    <t xml:space="preserve">    Curriculum &amp; Materials</t>
  </si>
  <si>
    <t xml:space="preserve">    Technology</t>
  </si>
  <si>
    <t xml:space="preserve">    Rent</t>
  </si>
  <si>
    <t xml:space="preserve">    Utilities</t>
  </si>
  <si>
    <t xml:space="preserve">    Insurance</t>
  </si>
  <si>
    <t xml:space="preserve">  Total Occupancy / Facility</t>
  </si>
  <si>
    <t>Total Operating Expenses</t>
  </si>
  <si>
    <t>CAPITAL &amp; DEBT SERVICE</t>
  </si>
  <si>
    <t>Total Capital &amp; Debt</t>
  </si>
  <si>
    <t>Liberty Learning Co-Op - Budget Summary</t>
  </si>
  <si>
    <t>Total Capital &amp; Debt Service</t>
  </si>
  <si>
    <t>Total Expenses</t>
  </si>
  <si>
    <t>KEY METRICS</t>
  </si>
  <si>
    <t>Net Income</t>
  </si>
  <si>
    <t>Net Margin %</t>
  </si>
  <si>
    <t>Cumulative Net Income</t>
  </si>
  <si>
    <t>Cost per Student</t>
  </si>
  <si>
    <t>Liberty Learning Co-Op - Year 1 Monthly Cash Flow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</si>
  <si>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</si>
  <si>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</si>
  <si>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</si>
  <si>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</si>
  <si>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</si>
  <si>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</si>
  <si>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</si>
  <si>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</si>
  <si>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</si>
  <si>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</si>
  <si>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</si>
  <si>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</si>
  <si>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Total</t>
  </si>
  <si>
    <t>EXPENSES</t>
  </si>
  <si>
    <t>Personnel</t>
  </si>
  <si>
    <t>Operating Expenses</t>
  </si>
  <si>
    <t>Debt Service</t>
  </si>
  <si>
    <t>CASH FLOW</t>
  </si>
  <si>
    <t>Net Cash Flow</t>
  </si>
  <si>
    <t>Cumulative Cash</t>
  </si>
  <si>
    <t>CASH FLOW METRICS</t>
  </si>
  <si>
    <t>Ending Cash (Month 12)</t>
  </si>
  <si>
    <t>Minimum Cash Month</t>
  </si>
  <si>
    <t>Liberty Learning Co-Op - 5-Year Operating Statement</t>
  </si>
  <si>
    <t>Capital &amp; Debt Service</t>
  </si>
  <si>
    <t>BOTTOM LINE</t>
  </si>
  <si>
    <t>Break-even</t>
  </si>
  <si>
    <t>✓ Break-even</t>
  </si>
  <si>
    <t>LOAN TERMS</t>
  </si>
  <si>
    <t>Loan Name</t>
  </si>
  <si>
    <t>Annual Rate</t>
  </si>
  <si>
    <t>Term (Years)</t>
  </si>
  <si>
    <t>Liberty Learning Co-Op - Balance Sheet</t>
  </si>
  <si>
    <t>ASSETS</t>
  </si>
  <si>
    <t>Cash &amp; Equivalents</t>
  </si>
  <si>
    <t>Accounts Receivable</t>
  </si>
  <si>
    <t>Fixed Assets</t>
  </si>
  <si>
    <t>Other Assets</t>
  </si>
  <si>
    <t>Total Assets</t>
  </si>
  <si>
    <t>LIABILITIES</t>
  </si>
  <si>
    <t>Accounts Payable</t>
  </si>
  <si>
    <t>Long-Term Debt</t>
  </si>
  <si>
    <t>Total Liabilities</t>
  </si>
  <si>
    <t>EQUITY</t>
  </si>
  <si>
    <t>Equity</t>
  </si>
  <si>
    <t>Balance Check (should = 0)</t>
  </si>
  <si>
    <t>DSCR &amp; Covenant Checks</t>
  </si>
  <si>
    <t>CASH FLOW &amp; DEBT</t>
  </si>
  <si>
    <t>Revenue</t>
  </si>
  <si>
    <t>CFADS (Rev - Pers - OpEx)</t>
  </si>
  <si>
    <t>DSCR</t>
  </si>
  <si>
    <t>N/A</t>
  </si>
  <si>
    <t>LIQUIDITY METRICS</t>
  </si>
  <si>
    <t>Ending Cash</t>
  </si>
  <si>
    <t>Days Cash on Hand</t>
  </si>
  <si>
    <t>Months of Runway</t>
  </si>
  <si>
    <t>BREAK-EVEN ANALYSIS</t>
  </si>
  <si>
    <t>Fixed Costs (Pers + Debt)</t>
  </si>
  <si>
    <t>Variable Cost per Student (OpEx)</t>
  </si>
  <si>
    <t>Break-Even Enrollment</t>
  </si>
  <si>
    <t>COVENANT CHECKS</t>
  </si>
  <si>
    <t>DSCR ≥ 1x</t>
  </si>
  <si>
    <t>Positive Net Income</t>
  </si>
  <si>
    <t>PASS</t>
  </si>
  <si>
    <t>Capacity ≥ 70%</t>
  </si>
  <si>
    <t>FAIL</t>
  </si>
  <si>
    <t>Cash Reserve ≥ 2 months</t>
  </si>
  <si>
    <t>Days Cash ≥ 30</t>
  </si>
  <si>
    <t>SOURCES</t>
  </si>
  <si>
    <t>USES</t>
  </si>
  <si>
    <t>Owner Savings</t>
  </si>
  <si>
    <t>Startup Costs</t>
  </si>
  <si>
    <t>Total Sources</t>
  </si>
  <si>
    <t>Total Uses</t>
  </si>
  <si>
    <t>Sources - Uses (should = 0)</t>
  </si>
  <si>
    <t>Scenario Analysis</t>
  </si>
  <si>
    <t>BASE CASE</t>
  </si>
  <si>
    <t>Enrollment: +0%  |  Revenue: +0%  |  Staffing: +0%  |  Facility: +0%  |  Expenses: +0%</t>
  </si>
  <si>
    <t>LOW ESA UTILIZATION</t>
  </si>
  <si>
    <t>Enrollment: -25%  |  Revenue: +0%  |  Staffing: +0%  |  Facility: +0%  |  Expenses: +0%</t>
  </si>
  <si>
    <t>Underwriting Snapshot - Loan Committee Summary</t>
  </si>
  <si>
    <t>Entity</t>
  </si>
  <si>
    <t>Funding</t>
  </si>
  <si>
    <t>5-YEAR FINANCIAL TREND</t>
  </si>
  <si>
    <t>Cash Position</t>
  </si>
  <si>
    <t>Outstanding Debt</t>
  </si>
  <si>
    <t>KEY RATIOS</t>
  </si>
  <si>
    <t>Net Margin</t>
  </si>
  <si>
    <t>Enrollment</t>
  </si>
  <si>
    <t>Prepared by SchoolStack Budget - budget.schoolstack.ai</t>
  </si>
  <si>
    <t>Liberty Learning Co-Op — Financial Health Dashboard</t>
  </si>
  <si>
    <t>Generated March 27, 2026</t>
  </si>
  <si>
    <t>● Green = healthy</t>
  </si>
  <si>
    <t>◐ Yellow = monitor</t>
  </si>
  <si>
    <t>○ Red = action needed</t>
  </si>
  <si>
    <t>Metric</t>
  </si>
  <si>
    <t>Year 1</t>
  </si>
  <si>
    <t>Year 2</t>
  </si>
  <si>
    <t>Year 3</t>
  </si>
  <si>
    <t>Year 4</t>
  </si>
  <si>
    <t>Year 5</t>
  </si>
  <si>
    <t>Benchmark</t>
  </si>
  <si>
    <t>≥ $10,000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</si>
  <si>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</si>
  <si>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</si>
  <si>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</si>
  <si>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</si>
  <si>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</si>
  <si>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</si>
  <si>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</si>
  <si>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</si>
  <si>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Break-even Year</t>
  </si>
  <si>
    <t>Cash Runway (Months)</t>
  </si>
  <si>
    <t>60+</t>
  </si>
  <si>
    <t>≥ 24 months</t>
  </si>
  <si>
    <t>FINANCIAL HEALTH SIGNALS</t>
  </si>
  <si>
    <t>Status</t>
  </si>
  <si>
    <t>Assessment</t>
  </si>
  <si>
    <t>Watch Item</t>
  </si>
  <si>
    <t>Viability</t>
  </si>
  <si>
    <t>● Healthy</t>
  </si>
  <si>
    <t>The model reaches profit early and sustains strong margins through Year 5.</t>
  </si>
  <si>
    <t>Monitor enrollment actuals vs. projections in Year 1.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</si>
  <si>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</si>
  <si>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</si>
  <si>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</si>
  <si>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</si>
  <si>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15% of revenue leaves room for facilities, programs, and reserves.</t>
  </si>
  <si>
    <t>As you add staff, ensure staffing stays below 60% of revenue.</t>
  </si>
  <si>
    <t>Facility Burden</t>
  </si>
  <si>
    <t>Facility costs at 5% of revenue are well-managed and leave budget for programs.</t>
  </si>
  <si>
    <t>Watch for rent escalation clauses that could push this higher over time.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</si>
  <si>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</si>
  <si>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</si>
  <si>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</si>
  <si>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</si>
  <si>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117.0 months of reserves by Year 5 — a strong buffer for unexpected costs.</t>
  </si>
  <si>
    <t>Continue growing reserves toward 6 months for best-in-class financial health.</t>
  </si>
  <si>
    <t>Summary</t>
  </si>
  <si>
    <t>6 Healthy  |  0 Watch  |  0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</si>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</sst>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"/>
    <numFmt numFmtId="168" formatCode="0.00x"/>
  </numFmts>
  <fonts count="24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color rgb="FF1E293B"/>
      <sz val="12"/>
      <name val="Calibri"/>
    </font>
    <font>
      <i/>
      <color rgb="FF6B7280"/>
      <sz val="10"/>
      <name val="Calibri"/>
    </font>
    <font>
      <b/>
      <color rgb="FF1E293B"/>
      <sz val="11"/>
      <name val="Calibri"/>
    </font>
    <font>
      <color rgb="FF1E3A5F"/>
      <sz val="11"/>
      <name val="Calibri"/>
    </font>
    <font>
      <sz val="11"/>
      <name val="Calibri"/>
    </font>
    <font>
      <b/>
      <color rgb="FF328555"/>
      <sz val="22"/>
      <name val="Calibri"/>
    </font>
    <font>
      <b/>
      <color rgb="FF1E293B"/>
      <sz val="14"/>
      <name val="Calibri"/>
    </font>
    <font>
      <b/>
      <sz val="11"/>
      <name val="Calibri"/>
    </font>
    <font>
      <b/>
      <color rgb="FF1E293B"/>
      <sz val="13"/>
      <name val="Calibri"/>
    </font>
    <font>
      <u/>
      <color rgb="FF328555"/>
      <sz val="11"/>
      <name val="Calibri"/>
    </font>
    <font>
      <i/>
      <color rgb="FF999999"/>
      <sz val="11"/>
      <name val="Calibri"/>
    </font>
    <font>
      <i/>
      <color rgb="FF666666"/>
      <sz val="11"/>
      <name val="Calibri"/>
    </font>
    <font>
      <b/>
      <color rgb="FFFFFFFF"/>
      <sz val="11"/>
      <name val="Calibri"/>
    </font>
    <font>
      <i/>
      <color rgb="FF808080"/>
      <sz val="11"/>
      <name val="Calibri"/>
    </font>
    <font>
      <b/>
      <color rgb="FF16A34A"/>
      <sz val="11"/>
      <name val="Calibri"/>
    </font>
    <font>
      <b/>
      <color rgb="FF328555"/>
      <sz val="11"/>
      <name val="Calibri"/>
    </font>
    <font>
      <b/>
      <color rgb="FF999999"/>
      <sz val="11"/>
      <name val="Calibri"/>
    </font>
    <font>
      <b/>
      <color rgb="FFFF0000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  <font>
      <i/>
      <color rgb="FF9CA3A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/>
    <xf numFmtId="0" fontId="6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8" fillId="0" borderId="0" xfId="0" applyFont="1"/>
    <xf numFmtId="0" fontId="0" fillId="2" borderId="0" xfId="0" applyFill="1"/>
    <xf numFmtId="0" fontId="13" fillId="0" borderId="0" xfId="0" applyFont="1"/>
    <xf numFmtId="0" fontId="0" fillId="4" borderId="2" xfId="0" applyFill="1" applyBorder="1"/>
    <xf numFmtId="0" fontId="4" fillId="5" borderId="1" xfId="0" applyFont="1" applyFill="1" applyBorder="1"/>
    <xf numFmtId="0" fontId="5" fillId="2" borderId="1" xfId="0" applyFont="1" applyFill="1" applyBorder="1"/>
    <xf numFmtId="0" fontId="14" fillId="6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/>
    <xf numFmtId="165" fontId="5" fillId="2" borderId="1" xfId="0" applyNumberFormat="1" applyFont="1" applyFill="1" applyBorder="1"/>
    <xf numFmtId="166" fontId="5" fillId="2" borderId="1" xfId="0" applyNumberFormat="1" applyFont="1" applyFill="1" applyBorder="1"/>
    <xf numFmtId="2" fontId="5" fillId="2" borderId="1" xfId="0" applyNumberFormat="1" applyFont="1" applyFill="1" applyBorder="1"/>
    <xf numFmtId="0" fontId="15" fillId="0" borderId="0" xfId="0" applyFont="1"/>
    <xf numFmtId="164" fontId="9" fillId="3" borderId="3" xfId="0" applyNumberFormat="1" applyFont="1" applyFill="1" applyBorder="1"/>
    <xf numFmtId="166" fontId="6" fillId="3" borderId="1" xfId="0" applyNumberFormat="1" applyFont="1" applyFill="1" applyBorder="1"/>
    <xf numFmtId="166" fontId="6" fillId="0" borderId="1" xfId="0" applyNumberFormat="1" applyFont="1" applyBorder="1"/>
    <xf numFmtId="164" fontId="6" fillId="3" borderId="1" xfId="0" applyNumberFormat="1" applyFont="1" applyFill="1" applyBorder="1"/>
    <xf numFmtId="165" fontId="6" fillId="0" borderId="1" xfId="0" applyNumberFormat="1" applyFont="1" applyBorder="1"/>
    <xf numFmtId="165" fontId="9" fillId="0" borderId="3" xfId="0" applyNumberFormat="1" applyFont="1" applyBorder="1"/>
    <xf numFmtId="165" fontId="9" fillId="3" borderId="3" xfId="0" applyNumberFormat="1" applyFont="1" applyFill="1" applyBorder="1"/>
    <xf numFmtId="165" fontId="9" fillId="0" borderId="1" xfId="0" applyNumberFormat="1" applyFont="1" applyBorder="1"/>
    <xf numFmtId="167" fontId="6" fillId="0" borderId="1" xfId="0" applyNumberFormat="1" applyFont="1" applyBorder="1"/>
    <xf numFmtId="164" fontId="9" fillId="0" borderId="1" xfId="0" applyNumberFormat="1" applyFont="1" applyBorder="1"/>
    <xf numFmtId="0" fontId="9" fillId="0" borderId="0" xfId="0" applyFont="1"/>
    <xf numFmtId="165" fontId="9" fillId="3" borderId="1" xfId="0" applyNumberFormat="1" applyFont="1" applyFill="1" applyBorder="1"/>
    <xf numFmtId="0" fontId="9" fillId="0" borderId="3" xfId="0" applyFont="1" applyBorder="1"/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5" fontId="6" fillId="3" borderId="1" xfId="0" applyNumberFormat="1" applyFont="1" applyFill="1" applyBorder="1"/>
    <xf numFmtId="165" fontId="17" fillId="0" borderId="1" xfId="0" applyNumberFormat="1" applyFont="1" applyBorder="1"/>
    <xf numFmtId="168" fontId="9" fillId="3" borderId="1" xfId="0" applyNumberFormat="1" applyFont="1" applyFill="1" applyBorder="1"/>
    <xf numFmtId="164" fontId="6" fillId="0" borderId="1" xfId="0" applyNumberFormat="1" applyFont="1" applyBorder="1"/>
    <xf numFmtId="164" fontId="9" fillId="3" borderId="1" xfId="0" applyNumberFormat="1" applyFont="1" applyFill="1" applyBorder="1"/>
    <xf numFmtId="0" fontId="1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4" fillId="6" borderId="1" xfId="0" applyFont="1" applyFill="1" applyBorder="1"/>
    <xf numFmtId="168" fontId="6" fillId="0" borderId="1" xfId="0" applyNumberFormat="1" applyFont="1" applyBorder="1"/>
    <xf numFmtId="0" fontId="14" fillId="6" borderId="1" xfId="0" applyFont="1" applyFill="1" applyBorder="1" applyAlignment="1">
      <alignment horizontal="center"/>
    </xf>
    <xf numFmtId="0" fontId="20" fillId="0" borderId="0" xfId="0" applyFont="1"/>
    <xf numFmtId="0" fontId="16" fillId="0" borderId="0" xfId="0" applyFont="1"/>
    <xf numFmtId="0" fontId="21" fillId="0" borderId="0" xfId="0" applyFont="1"/>
    <xf numFmtId="0" fontId="22" fillId="0" borderId="0" xfId="0" applyFont="1"/>
    <xf numFmtId="0" fontId="4" fillId="5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9" fillId="3" borderId="3" xfId="0" applyNumberFormat="1" applyFont="1" applyFill="1" applyBorder="1" applyAlignment="1">
      <alignment horizontal="right"/>
    </xf>
    <xf numFmtId="166" fontId="9" fillId="3" borderId="3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0" fontId="20" fillId="0" borderId="1" xfId="0" applyFont="1" applyBorder="1"/>
    <xf numFmtId="166" fontId="9" fillId="7" borderId="3" xfId="0" applyNumberFormat="1" applyFont="1" applyFill="1" applyBorder="1" applyAlignment="1">
      <alignment horizontal="right"/>
    </xf>
    <xf numFmtId="164" fontId="9" fillId="3" borderId="3" xfId="0" applyNumberFormat="1" applyFont="1" applyFill="1" applyBorder="1" applyAlignment="1">
      <alignment horizontal="right"/>
    </xf>
    <xf numFmtId="49" fontId="9" fillId="0" borderId="3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9" fillId="7" borderId="3" xfId="0" applyNumberFormat="1" applyFont="1" applyFill="1" applyBorder="1" applyAlignment="1">
      <alignment horizontal="right"/>
    </xf>
    <xf numFmtId="49" fontId="9" fillId="3" borderId="3" xfId="0" applyNumberFormat="1" applyFont="1" applyFill="1" applyBorder="1" applyAlignment="1">
      <alignment horizontal="right"/>
    </xf>
    <xf numFmtId="0" fontId="6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3" fillId="0" borderId="0" xfId="0" applyFont="1" applyAlignment="1">
      <alignment horizontal="center"/>
    </xf>
  </cellXfs>
  <cellStyles count="1">
    <cellStyle name="Normal" xfId="0" builtinId="0"/>
  </cellStyles>
  <dxfs count="21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Instructions&apos;!A1" TargetMode="External"/><Relationship Id="rId2" Type="http://schemas.openxmlformats.org/officeDocument/2006/relationships/hyperlink" Target="#&apos;Cover&apos;!A1" TargetMode="External"/><Relationship Id="rId3" Type="http://schemas.openxmlformats.org/officeDocument/2006/relationships/hyperlink" Target="#&apos;Assumptions&apos;!A1" TargetMode="External"/><Relationship Id="rId4" Type="http://schemas.openxmlformats.org/officeDocument/2006/relationships/hyperlink" Target="#&apos;Program Profile&apos;!A1" TargetMode="External"/><Relationship Id="rId5" Type="http://schemas.openxmlformats.org/officeDocument/2006/relationships/hyperlink" Target="#&apos;Enrollment Drivers&apos;!A1" TargetMode="External"/><Relationship Id="rId6" Type="http://schemas.openxmlformats.org/officeDocument/2006/relationships/hyperlink" Target="#&apos;Tuition &amp; Funding&apos;!A1" TargetMode="External"/><Relationship Id="rId7" Type="http://schemas.openxmlformats.org/officeDocument/2006/relationships/hyperlink" Target="#&apos;Staffing Drivers&apos;!A1" TargetMode="External"/><Relationship Id="rId8" Type="http://schemas.openxmlformats.org/officeDocument/2006/relationships/hyperlink" Target="#&apos;OpEx Drivers&apos;!A1" TargetMode="External"/><Relationship Id="rId9" Type="http://schemas.openxmlformats.org/officeDocument/2006/relationships/hyperlink" Target="#&apos;Capital Stack&apos;!A1" TargetMode="External"/><Relationship Id="rId10" Type="http://schemas.openxmlformats.org/officeDocument/2006/relationships/hyperlink" Target="#&apos;Enrollment Tuition Fcst&apos;!A1" TargetMode="External"/><Relationship Id="rId11" Type="http://schemas.openxmlformats.org/officeDocument/2006/relationships/hyperlink" Target="#&apos;Staffing Costs Fcst&apos;!A1" TargetMode="External"/><Relationship Id="rId12" Type="http://schemas.openxmlformats.org/officeDocument/2006/relationships/hyperlink" Target="#&apos;Budget Detail&apos;!A1" TargetMode="External"/><Relationship Id="rId13" Type="http://schemas.openxmlformats.org/officeDocument/2006/relationships/hyperlink" Target="#&apos;Budget Summary&apos;!A1" TargetMode="External"/><Relationship Id="rId14" Type="http://schemas.openxmlformats.org/officeDocument/2006/relationships/hyperlink" Target="#&apos;Monthly Cash Flow Y1&apos;!A1" TargetMode="External"/><Relationship Id="rId15" Type="http://schemas.openxmlformats.org/officeDocument/2006/relationships/hyperlink" Target="#&apos;5-Year Operating Stmt&apos;!A1" TargetMode="External"/><Relationship Id="rId16" Type="http://schemas.openxmlformats.org/officeDocument/2006/relationships/hyperlink" Target="#&apos;Debt Schedule&apos;!A1" TargetMode="External"/><Relationship Id="rId17" Type="http://schemas.openxmlformats.org/officeDocument/2006/relationships/hyperlink" Target="#&apos;Balance Sheet&apos;!A1" TargetMode="External"/><Relationship Id="rId18" Type="http://schemas.openxmlformats.org/officeDocument/2006/relationships/hyperlink" Target="#&apos;DSCR &amp; Covenants&apos;!A1" TargetMode="External"/><Relationship Id="rId19" Type="http://schemas.openxmlformats.org/officeDocument/2006/relationships/hyperlink" Target="#&apos;Sources &amp; Uses&apos;!A1" TargetMode="External"/><Relationship Id="rId20" Type="http://schemas.openxmlformats.org/officeDocument/2006/relationships/hyperlink" Target="#&apos;Scenarios&apos;!A1" TargetMode="External"/><Relationship Id="rId21" Type="http://schemas.openxmlformats.org/officeDocument/2006/relationships/hyperlink" Target="#&apos;Underwriting Snapshot&apos;!A1" TargetMode="External"/><Relationship Id="rId22" Type="http://schemas.openxmlformats.org/officeDocument/2006/relationships/hyperlink" Target="#&apos;Financial Health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B37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6" spans="2:2" x14ac:dyDescent="0.25">
      <c r="B6" s="4" t="s">
        <v>3</v>
      </c>
    </row>
    <row r="7" spans="2:2" x14ac:dyDescent="0.25">
      <c r="B7" s="5" t="s">
        <v>4</v>
      </c>
    </row>
    <row r="8" spans="2:2" x14ac:dyDescent="0.25">
      <c r="B8" s="6" t="s">
        <v>5</v>
      </c>
    </row>
    <row r="9" spans="2:2" x14ac:dyDescent="0.25">
      <c r="B9" s="7" t="s">
        <v>6</v>
      </c>
    </row>
    <row r="10" spans="2:2" x14ac:dyDescent="0.25">
      <c r="B10" s="6" t="s">
        <v>7</v>
      </c>
    </row>
    <row r="11" spans="2:2" x14ac:dyDescent="0.25">
      <c r="B11" s="4" t="s">
        <v>8</v>
      </c>
    </row>
    <row r="12" spans="2:2" x14ac:dyDescent="0.25">
      <c r="B12" s="6" t="s">
        <v>9</v>
      </c>
    </row>
    <row r="13" spans="2:2" x14ac:dyDescent="0.25">
      <c r="B13" s="6" t="s">
        <v>7</v>
      </c>
    </row>
    <row r="14" spans="2:2" x14ac:dyDescent="0.25">
      <c r="B14" s="4" t="s">
        <v>10</v>
      </c>
    </row>
    <row r="15" spans="2:2" x14ac:dyDescent="0.25">
      <c r="B15" s="6" t="s">
        <v>11</v>
      </c>
    </row>
    <row r="16" spans="2:2" x14ac:dyDescent="0.25">
      <c r="B16" s="6" t="s">
        <v>12</v>
      </c>
    </row>
    <row r="17" spans="2:2" x14ac:dyDescent="0.25">
      <c r="B17" s="6" t="s">
        <v>13</v>
      </c>
    </row>
    <row r="18" spans="2:2" x14ac:dyDescent="0.25">
      <c r="B18" s="6" t="s">
        <v>14</v>
      </c>
    </row>
    <row r="19" spans="2:2" x14ac:dyDescent="0.25">
      <c r="B19" s="6" t="s">
        <v>7</v>
      </c>
    </row>
    <row r="20" spans="2:2" x14ac:dyDescent="0.25">
      <c r="B20" s="4" t="s">
        <v>15</v>
      </c>
    </row>
    <row r="21" spans="2:2" x14ac:dyDescent="0.25">
      <c r="B21" s="6" t="s">
        <v>16</v>
      </c>
    </row>
    <row r="22" spans="2:2" x14ac:dyDescent="0.25">
      <c r="B22" s="6" t="s">
        <v>17</v>
      </c>
    </row>
    <row r="23" spans="2:2" x14ac:dyDescent="0.25">
      <c r="B23" s="6" t="s">
        <v>18</v>
      </c>
    </row>
    <row r="24" spans="2:2" x14ac:dyDescent="0.25">
      <c r="B24" s="6" t="s">
        <v>7</v>
      </c>
    </row>
    <row r="25" spans="2:2" x14ac:dyDescent="0.25">
      <c r="B25" s="4" t="s">
        <v>19</v>
      </c>
    </row>
    <row r="26" spans="2:2" x14ac:dyDescent="0.25">
      <c r="B26" s="6" t="s">
        <v>20</v>
      </c>
    </row>
    <row r="27" spans="2:2" x14ac:dyDescent="0.25">
      <c r="B27" s="6" t="s">
        <v>21</v>
      </c>
    </row>
    <row r="28" spans="2:2" x14ac:dyDescent="0.25">
      <c r="B28" s="6" t="s">
        <v>7</v>
      </c>
    </row>
    <row r="29" spans="2:2" x14ac:dyDescent="0.25">
      <c r="B29" s="4" t="s">
        <v>22</v>
      </c>
    </row>
    <row r="30" spans="2:2" x14ac:dyDescent="0.25">
      <c r="B30" s="6" t="s">
        <v>23</v>
      </c>
    </row>
    <row r="31" spans="2:2" x14ac:dyDescent="0.25">
      <c r="B31" s="6" t="s">
        <v>24</v>
      </c>
    </row>
    <row r="32" spans="2:2" x14ac:dyDescent="0.25">
      <c r="B32" s="6" t="s">
        <v>25</v>
      </c>
    </row>
    <row r="33" spans="2:2" x14ac:dyDescent="0.25">
      <c r="B33" s="6" t="s">
        <v>26</v>
      </c>
    </row>
    <row r="34" spans="2:2" x14ac:dyDescent="0.25">
      <c r="B34" s="6" t="s">
        <v>7</v>
      </c>
    </row>
    <row r="35" spans="2:2" x14ac:dyDescent="0.25">
      <c r="B35" s="4" t="s">
        <v>27</v>
      </c>
    </row>
    <row r="36" spans="2:2" x14ac:dyDescent="0.25">
      <c r="B36" s="6" t="s">
        <v>28</v>
      </c>
    </row>
    <row r="37" spans="2:2" x14ac:dyDescent="0.25">
      <c r="B37" s="6" t="s">
        <v>29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43"/>
  <sheetFormatPr defaultRowHeight="15" outlineLevelRow="0" outlineLevelCol="0" x14ac:dyDescent="55"/>
  <cols>
    <col min="1" max="1" width="4" customWidth="1"/>
    <col min="2" max="3" width="40" customWidth="1"/>
    <col min="4" max="4" width="4" customWidth="1"/>
  </cols>
  <sheetData>
    <row r="3" spans="2:3" x14ac:dyDescent="0.25">
      <c r="B3" s="8" t="s">
        <v>30</v>
      </c>
      <c r="C3" s="8"/>
    </row>
    <row r="5" spans="2:3" x14ac:dyDescent="0.25">
      <c r="B5" s="9" t="s">
        <v>31</v>
      </c>
      <c r="C5" s="9"/>
    </row>
    <row r="8" spans="2:3" x14ac:dyDescent="0.25">
      <c r="B8" s="10" t="s">
        <v>32</v>
      </c>
      <c r="C8" s="11" t="s">
        <v>1</v>
      </c>
    </row>
    <row r="9" spans="2:3" x14ac:dyDescent="0.25">
      <c r="B9" s="10" t="s">
        <v>33</v>
      </c>
      <c r="C9" s="11" t="s">
        <v>34</v>
      </c>
    </row>
    <row r="10" spans="2:3" x14ac:dyDescent="0.25">
      <c r="B10" s="10" t="s">
        <v>35</v>
      </c>
      <c r="C10" s="11" t="s">
        <v>36</v>
      </c>
    </row>
    <row r="11" spans="2:3" x14ac:dyDescent="0.25">
      <c r="B11" s="10" t="s">
        <v>37</v>
      </c>
      <c r="C11" s="11" t="s">
        <v>38</v>
      </c>
    </row>
    <row r="12" spans="2:3" x14ac:dyDescent="0.25">
      <c r="B12" s="10" t="s">
        <v>39</v>
      </c>
      <c r="C12" s="11" t="s">
        <v>40</v>
      </c>
    </row>
    <row r="13" spans="2:3" x14ac:dyDescent="0.25">
      <c r="B13" s="10" t="s">
        <v>41</v>
      </c>
      <c r="C13" s="11" t="s">
        <v>42</v>
      </c>
    </row>
    <row r="14" spans="2:3" x14ac:dyDescent="0.25">
      <c r="B14" s="10" t="s">
        <v>43</v>
      </c>
      <c r="C14" s="11" t="s">
        <v>44</v>
      </c>
    </row>
    <row r="15" spans="2:3" x14ac:dyDescent="0.25">
      <c r="B15" s="10" t="s">
        <v>45</v>
      </c>
      <c r="C15" s="11" t="s">
        <v>46</v>
      </c>
    </row>
    <row r="18" spans="2:3" x14ac:dyDescent="0.25">
      <c r="B18" s="12" t="s">
        <v>47</v>
      </c>
      <c r="C18" s="12"/>
    </row>
    <row r="19" spans="2:3" x14ac:dyDescent="0.25">
      <c r="B19" s="6" t="s">
        <v>48</v>
      </c>
      <c r="C19" s="13" t="s">
        <v>49</v>
      </c>
    </row>
    <row r="20" spans="2:3" x14ac:dyDescent="0.25">
      <c r="B20" s="6" t="s">
        <v>50</v>
      </c>
      <c r="C20" s="13" t="s">
        <v>51</v>
      </c>
    </row>
    <row r="21" spans="2:3" x14ac:dyDescent="0.25">
      <c r="B21" s="6" t="s">
        <v>52</v>
      </c>
      <c r="C21" s="13" t="s">
        <v>53</v>
      </c>
    </row>
    <row r="22" spans="2:3" x14ac:dyDescent="0.25">
      <c r="B22" s="6" t="s">
        <v>54</v>
      </c>
      <c r="C22" s="13" t="s">
        <v>55</v>
      </c>
    </row>
    <row r="23" spans="2:3" x14ac:dyDescent="0.25">
      <c r="B23" s="6" t="s">
        <v>56</v>
      </c>
      <c r="C23" s="13" t="s">
        <v>57</v>
      </c>
    </row>
    <row r="24" spans="2:3" x14ac:dyDescent="0.25">
      <c r="B24" s="6" t="s">
        <v>58</v>
      </c>
      <c r="C24" s="13" t="s">
        <v>59</v>
      </c>
    </row>
    <row r="25" spans="2:3" x14ac:dyDescent="0.25">
      <c r="B25" s="6" t="s">
        <v>60</v>
      </c>
      <c r="C25" s="13" t="s">
        <v>61</v>
      </c>
    </row>
    <row r="26" spans="2:3" x14ac:dyDescent="0.25">
      <c r="B26" s="6" t="s">
        <v>62</v>
      </c>
      <c r="C26" s="13" t="s">
        <v>63</v>
      </c>
    </row>
    <row r="27" spans="2:3" x14ac:dyDescent="0.25">
      <c r="B27" s="6" t="s">
        <v>64</v>
      </c>
      <c r="C27" s="13" t="s">
        <v>65</v>
      </c>
    </row>
    <row r="28" spans="2:3" x14ac:dyDescent="0.25">
      <c r="B28" s="6" t="s">
        <v>66</v>
      </c>
      <c r="C28" s="13" t="s">
        <v>67</v>
      </c>
    </row>
    <row r="29" spans="2:3" x14ac:dyDescent="0.25">
      <c r="B29" s="6" t="s">
        <v>68</v>
      </c>
      <c r="C29" s="13" t="s">
        <v>69</v>
      </c>
    </row>
    <row r="30" spans="2:3" x14ac:dyDescent="0.25">
      <c r="B30" s="6" t="s">
        <v>70</v>
      </c>
      <c r="C30" s="13" t="s">
        <v>71</v>
      </c>
    </row>
    <row r="31" spans="2:3" x14ac:dyDescent="0.25">
      <c r="B31" s="6" t="s">
        <v>72</v>
      </c>
      <c r="C31" s="13" t="s">
        <v>73</v>
      </c>
    </row>
    <row r="32" spans="2:3" x14ac:dyDescent="0.25">
      <c r="B32" s="6" t="s">
        <v>74</v>
      </c>
      <c r="C32" s="13" t="s">
        <v>75</v>
      </c>
    </row>
    <row r="33" spans="2:3" x14ac:dyDescent="0.25">
      <c r="B33" s="6" t="s">
        <v>76</v>
      </c>
      <c r="C33" s="13" t="s">
        <v>77</v>
      </c>
    </row>
    <row r="34" spans="2:3" x14ac:dyDescent="0.25">
      <c r="B34" s="6" t="s">
        <v>78</v>
      </c>
      <c r="C34" s="13" t="s">
        <v>79</v>
      </c>
    </row>
    <row r="35" spans="2:3" x14ac:dyDescent="0.25">
      <c r="B35" s="6" t="s">
        <v>80</v>
      </c>
      <c r="C35" s="13" t="s">
        <v>81</v>
      </c>
    </row>
    <row r="36" spans="2:3" x14ac:dyDescent="0.25">
      <c r="B36" s="6" t="s">
        <v>82</v>
      </c>
      <c r="C36" s="13" t="s">
        <v>83</v>
      </c>
    </row>
    <row r="37" spans="2:3" x14ac:dyDescent="0.25">
      <c r="B37" s="6" t="s">
        <v>84</v>
      </c>
      <c r="C37" s="13" t="s">
        <v>85</v>
      </c>
    </row>
    <row r="38" spans="2:3" x14ac:dyDescent="0.25">
      <c r="B38" s="6" t="s">
        <v>86</v>
      </c>
      <c r="C38" s="13" t="s">
        <v>87</v>
      </c>
    </row>
    <row r="39" spans="2:3" x14ac:dyDescent="0.25">
      <c r="B39" s="6" t="s">
        <v>88</v>
      </c>
      <c r="C39" s="13" t="s">
        <v>89</v>
      </c>
    </row>
    <row r="40" spans="2:3" x14ac:dyDescent="0.25">
      <c r="B40" s="6" t="s">
        <v>90</v>
      </c>
      <c r="C40" s="13" t="s">
        <v>91</v>
      </c>
    </row>
    <row r="43" spans="2:3" x14ac:dyDescent="0.25">
      <c r="B43" s="14" t="s">
        <v>92</v>
      </c>
      <c r="C43" s="14"/>
    </row>
  </sheetData>
  <mergeCells count="4">
    <mergeCell ref="B3:C3"/>
    <mergeCell ref="B5:C5"/>
    <mergeCell ref="B18:C18"/>
    <mergeCell ref="B43:C43"/>
  </mergeCells>
  <hyperlinks>
    <hyperlink ref="C19" r:id="rId1" location="#'Instructions'!A1"/>
    <hyperlink ref="C20" r:id="rId2" location="#'Cover'!A1"/>
    <hyperlink ref="C21" r:id="rId3" location="#'Assumptions'!A1"/>
    <hyperlink ref="C22" r:id="rId4" location="#'Program Profile'!A1"/>
    <hyperlink ref="C23" r:id="rId5" location="#'Enrollment Drivers'!A1"/>
    <hyperlink ref="C24" r:id="rId6" location="#'Tuition &amp; Funding'!A1"/>
    <hyperlink ref="C25" r:id="rId7" location="#'Staffing Drivers'!A1"/>
    <hyperlink ref="C26" r:id="rId8" location="#'OpEx Drivers'!A1"/>
    <hyperlink ref="C27" r:id="rId9" location="#'Capital Stack'!A1"/>
    <hyperlink ref="C28" r:id="rId10" location="#'Enrollment Tuition Fcst'!A1"/>
    <hyperlink ref="C29" r:id="rId11" location="#'Staffing Costs Fcst'!A1"/>
    <hyperlink ref="C30" r:id="rId12" location="#'Budget Detail'!A1"/>
    <hyperlink ref="C31" r:id="rId13" location="#'Budget Summary'!A1"/>
    <hyperlink ref="C32" r:id="rId14" location="#'Monthly Cash Flow Y1'!A1"/>
    <hyperlink ref="C33" r:id="rId15" location="#'5-Year Operating Stmt'!A1"/>
    <hyperlink ref="C34" r:id="rId16" location="#'Debt Schedule'!A1"/>
    <hyperlink ref="C35" r:id="rId17" location="#'Balance Sheet'!A1"/>
    <hyperlink ref="C36" r:id="rId18" location="#'DSCR &amp; Covenants'!A1"/>
    <hyperlink ref="C37" r:id="rId19" location="#'Sources &amp; Uses'!A1"/>
    <hyperlink ref="C38" r:id="rId20" location="#'Scenarios'!A1"/>
    <hyperlink ref="C39" r:id="rId21" location="#'Underwriting Snapshot'!A1"/>
    <hyperlink ref="C40" r:id="rId22" location="#'Financial Health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FormatPr defaultRowHeight="15" outlineLevelRow="0" outlineLevelCol="0" x14ac:dyDescent="55"/>
  <cols>
    <col min="1" max="1" width="36" customWidth="1"/>
    <col min="2" max="2" width="18" customWidth="1"/>
    <col min="3" max="7" width="16" customWidth="1"/>
  </cols>
  <sheetData>
    <row r="1" ht="32" customHeight="1" spans="1:7" x14ac:dyDescent="0.25">
      <c r="A1" s="15" t="s">
        <v>93</v>
      </c>
      <c r="B1" s="15"/>
      <c r="C1" s="15"/>
      <c r="D1" s="15"/>
      <c r="E1" s="15"/>
      <c r="F1" s="15"/>
      <c r="G1" s="15"/>
    </row>
    <row r="2" spans="1:5" x14ac:dyDescent="0.25">
      <c r="A2" s="16" t="s">
        <v>7</v>
      </c>
      <c r="B2" s="17" t="s">
        <v>94</v>
      </c>
      <c r="D2" s="18" t="s">
        <v>7</v>
      </c>
      <c r="E2" s="17" t="s">
        <v>95</v>
      </c>
    </row>
    <row r="4" ht="24" customHeight="1" spans="1:7" x14ac:dyDescent="0.25">
      <c r="A4" s="19" t="s">
        <v>96</v>
      </c>
      <c r="B4" s="19"/>
      <c r="C4" s="19"/>
      <c r="D4" s="19"/>
      <c r="E4" s="19"/>
      <c r="F4" s="19"/>
      <c r="G4" s="19"/>
    </row>
    <row r="5" spans="1:2" x14ac:dyDescent="0.25">
      <c r="A5" s="11" t="s">
        <v>32</v>
      </c>
      <c r="B5" s="20" t="s">
        <v>1</v>
      </c>
    </row>
    <row r="6" spans="1:2" x14ac:dyDescent="0.25">
      <c r="A6" s="11" t="s">
        <v>33</v>
      </c>
      <c r="B6" s="20" t="s">
        <v>34</v>
      </c>
    </row>
    <row r="7" spans="1:2" x14ac:dyDescent="0.25">
      <c r="A7" s="11" t="s">
        <v>35</v>
      </c>
      <c r="B7" s="20" t="s">
        <v>36</v>
      </c>
    </row>
    <row r="8" spans="1:2" x14ac:dyDescent="0.25">
      <c r="A8" s="11" t="s">
        <v>37</v>
      </c>
      <c r="B8" s="20" t="s">
        <v>38</v>
      </c>
    </row>
    <row r="9" spans="1:2" x14ac:dyDescent="0.25">
      <c r="A9" s="11" t="s">
        <v>97</v>
      </c>
      <c r="B9" s="20" t="s">
        <v>98</v>
      </c>
    </row>
    <row r="10" spans="1:2" x14ac:dyDescent="0.25">
      <c r="A10" s="11" t="s">
        <v>43</v>
      </c>
      <c r="B10" s="20" t="s">
        <v>44</v>
      </c>
    </row>
    <row r="11" spans="1:2" x14ac:dyDescent="0.25">
      <c r="A11" s="11" t="s">
        <v>45</v>
      </c>
      <c r="B11" s="20" t="s">
        <v>46</v>
      </c>
    </row>
    <row r="12" spans="1:2" x14ac:dyDescent="0.25">
      <c r="A12" s="11" t="s">
        <v>99</v>
      </c>
      <c r="B12" s="20">
        <v>7</v>
      </c>
    </row>
    <row r="13" spans="1:2" x14ac:dyDescent="0.25">
      <c r="A13" s="11" t="s">
        <v>100</v>
      </c>
      <c r="B13" s="20">
        <v>40</v>
      </c>
    </row>
    <row r="15" ht="24" customHeight="1" spans="1:7" x14ac:dyDescent="0.25">
      <c r="A15" s="19" t="s">
        <v>101</v>
      </c>
      <c r="B15" s="19"/>
      <c r="C15" s="19"/>
      <c r="D15" s="19"/>
      <c r="E15" s="19"/>
      <c r="F15" s="19"/>
      <c r="G15" s="19"/>
    </row>
    <row r="16" ht="28" customHeight="1" spans="1:6" x14ac:dyDescent="0.25">
      <c r="A16" s="21" t="s">
        <v>7</v>
      </c>
      <c r="B16" s="21" t="s">
        <v>102</v>
      </c>
      <c r="C16" s="21" t="s">
        <v>103</v>
      </c>
      <c r="D16" s="21" t="s">
        <v>104</v>
      </c>
      <c r="E16" s="21" t="s">
        <v>105</v>
      </c>
      <c r="F16" s="21" t="s">
        <v>106</v>
      </c>
    </row>
    <row r="17" spans="1:6" x14ac:dyDescent="0.25">
      <c r="A17" s="11" t="s">
        <v>107</v>
      </c>
      <c r="B17" s="22">
        <v>15</v>
      </c>
      <c r="C17" s="22">
        <v>22</v>
      </c>
      <c r="D17" s="22">
        <v>30</v>
      </c>
      <c r="E17" s="22">
        <v>36</v>
      </c>
      <c r="F17" s="22">
        <v>40</v>
      </c>
    </row>
    <row r="19" ht="24" customHeight="1" spans="1:7" x14ac:dyDescent="0.25">
      <c r="A19" s="19" t="s">
        <v>108</v>
      </c>
      <c r="B19" s="19"/>
      <c r="C19" s="19"/>
      <c r="D19" s="19"/>
      <c r="E19" s="19"/>
      <c r="F19" s="19"/>
      <c r="G19" s="19"/>
    </row>
    <row r="20" ht="28" customHeight="1" spans="1:5" x14ac:dyDescent="0.25">
      <c r="A20" s="21" t="s">
        <v>109</v>
      </c>
      <c r="B20" s="21" t="s">
        <v>110</v>
      </c>
      <c r="C20" s="21" t="s">
        <v>111</v>
      </c>
      <c r="D20" s="21" t="s">
        <v>112</v>
      </c>
      <c r="E20" s="21" t="s">
        <v>113</v>
      </c>
    </row>
    <row r="21" spans="1:5" x14ac:dyDescent="0.25">
      <c r="A21" s="11" t="s">
        <v>114</v>
      </c>
      <c r="B21" s="11" t="s">
        <v>115</v>
      </c>
      <c r="C21" s="11" t="s">
        <v>116</v>
      </c>
      <c r="D21" s="23">
        <v>6000</v>
      </c>
      <c r="E21" s="24">
        <v>0</v>
      </c>
    </row>
    <row r="22" spans="1:5" x14ac:dyDescent="0.25">
      <c r="A22" s="11" t="s">
        <v>117</v>
      </c>
      <c r="B22" s="11" t="s">
        <v>115</v>
      </c>
      <c r="C22" s="11" t="s">
        <v>116</v>
      </c>
      <c r="D22" s="23">
        <v>200</v>
      </c>
      <c r="E22" s="24">
        <v>0</v>
      </c>
    </row>
    <row r="23" spans="1:5" x14ac:dyDescent="0.25">
      <c r="A23" s="11" t="s">
        <v>118</v>
      </c>
      <c r="B23" s="11" t="s">
        <v>119</v>
      </c>
      <c r="C23" s="11" t="s">
        <v>116</v>
      </c>
      <c r="D23" s="23">
        <v>7000</v>
      </c>
      <c r="E23" s="24">
        <v>0</v>
      </c>
    </row>
    <row r="24" spans="1:5" x14ac:dyDescent="0.25">
      <c r="A24" s="11" t="s">
        <v>120</v>
      </c>
      <c r="B24" s="11" t="s">
        <v>121</v>
      </c>
      <c r="C24" s="11" t="s">
        <v>122</v>
      </c>
      <c r="D24" s="23">
        <v>3000</v>
      </c>
      <c r="E24" s="24">
        <v>0</v>
      </c>
    </row>
    <row r="26" ht="24" customHeight="1" spans="1:7" x14ac:dyDescent="0.25">
      <c r="A26" s="19" t="s">
        <v>123</v>
      </c>
      <c r="B26" s="19"/>
      <c r="C26" s="19"/>
      <c r="D26" s="19"/>
      <c r="E26" s="19"/>
      <c r="F26" s="19"/>
      <c r="G26" s="19"/>
    </row>
    <row r="27" ht="28" customHeight="1" spans="1:7" x14ac:dyDescent="0.25">
      <c r="A27" s="21" t="s">
        <v>124</v>
      </c>
      <c r="B27" s="21" t="s">
        <v>110</v>
      </c>
      <c r="C27" s="21" t="s">
        <v>125</v>
      </c>
      <c r="D27" s="21" t="s">
        <v>126</v>
      </c>
      <c r="E27" s="21" t="s">
        <v>127</v>
      </c>
      <c r="F27" s="21" t="s">
        <v>128</v>
      </c>
      <c r="G27" s="21" t="s">
        <v>129</v>
      </c>
    </row>
    <row r="28" spans="1:7" x14ac:dyDescent="0.25">
      <c r="A28" s="11" t="s">
        <v>130</v>
      </c>
      <c r="B28" s="11" t="s">
        <v>131</v>
      </c>
      <c r="C28" s="11" t="s">
        <v>132</v>
      </c>
      <c r="D28" s="25">
        <v>1</v>
      </c>
      <c r="E28" s="23">
        <v>48000</v>
      </c>
      <c r="F28" s="24">
        <v>0.2</v>
      </c>
      <c r="G28" s="24">
        <v>0.0765</v>
      </c>
    </row>
    <row r="29" spans="1:7" x14ac:dyDescent="0.25">
      <c r="A29" s="11" t="s">
        <v>133</v>
      </c>
      <c r="B29" s="11" t="s">
        <v>134</v>
      </c>
      <c r="C29" s="11" t="s">
        <v>135</v>
      </c>
      <c r="D29" s="25">
        <v>0.5</v>
      </c>
      <c r="E29" s="23">
        <v>30000</v>
      </c>
      <c r="F29" s="24">
        <v>0</v>
      </c>
      <c r="G29" s="24">
        <v>0.0765</v>
      </c>
    </row>
    <row r="31" ht="24" customHeight="1" spans="1:7" x14ac:dyDescent="0.25">
      <c r="A31" s="19" t="s">
        <v>136</v>
      </c>
      <c r="B31" s="19"/>
      <c r="C31" s="19"/>
      <c r="D31" s="19"/>
      <c r="E31" s="19"/>
      <c r="F31" s="19"/>
      <c r="G31" s="19"/>
    </row>
    <row r="32" ht="28" customHeight="1" spans="1:5" x14ac:dyDescent="0.25">
      <c r="A32" s="21" t="s">
        <v>109</v>
      </c>
      <c r="B32" s="21" t="s">
        <v>110</v>
      </c>
      <c r="C32" s="21" t="s">
        <v>111</v>
      </c>
      <c r="D32" s="21" t="s">
        <v>112</v>
      </c>
      <c r="E32" s="21" t="s">
        <v>113</v>
      </c>
    </row>
    <row r="33" spans="1:5" x14ac:dyDescent="0.25">
      <c r="A33" s="11" t="s">
        <v>137</v>
      </c>
      <c r="B33" s="11" t="s">
        <v>138</v>
      </c>
      <c r="C33" s="11" t="s">
        <v>139</v>
      </c>
      <c r="D33" s="23">
        <v>1800</v>
      </c>
      <c r="E33" s="24">
        <v>0.03</v>
      </c>
    </row>
    <row r="34" spans="1:5" x14ac:dyDescent="0.25">
      <c r="A34" s="11" t="s">
        <v>140</v>
      </c>
      <c r="B34" s="11" t="s">
        <v>138</v>
      </c>
      <c r="C34" s="11" t="s">
        <v>139</v>
      </c>
      <c r="D34" s="23">
        <v>200</v>
      </c>
      <c r="E34" s="24">
        <v>0</v>
      </c>
    </row>
    <row r="35" spans="1:5" x14ac:dyDescent="0.25">
      <c r="A35" s="11" t="s">
        <v>141</v>
      </c>
      <c r="B35" s="11" t="s">
        <v>138</v>
      </c>
      <c r="C35" s="11" t="s">
        <v>122</v>
      </c>
      <c r="D35" s="23">
        <v>1800</v>
      </c>
      <c r="E35" s="24">
        <v>0</v>
      </c>
    </row>
    <row r="36" spans="1:5" x14ac:dyDescent="0.25">
      <c r="A36" s="11" t="s">
        <v>142</v>
      </c>
      <c r="B36" s="11" t="s">
        <v>143</v>
      </c>
      <c r="C36" s="11" t="s">
        <v>116</v>
      </c>
      <c r="D36" s="23">
        <v>400</v>
      </c>
      <c r="E36" s="24">
        <v>0</v>
      </c>
    </row>
    <row r="37" spans="1:5" x14ac:dyDescent="0.25">
      <c r="A37" s="11" t="s">
        <v>144</v>
      </c>
      <c r="B37" s="11" t="s">
        <v>144</v>
      </c>
      <c r="C37" s="11" t="s">
        <v>116</v>
      </c>
      <c r="D37" s="23">
        <v>250</v>
      </c>
      <c r="E37" s="24">
        <v>0</v>
      </c>
    </row>
    <row r="39" ht="24" customHeight="1" spans="1:7" x14ac:dyDescent="0.25">
      <c r="A39" s="19" t="s">
        <v>145</v>
      </c>
      <c r="B39" s="19"/>
      <c r="C39" s="19"/>
      <c r="D39" s="19"/>
      <c r="E39" s="19"/>
      <c r="F39" s="19"/>
      <c r="G39" s="19"/>
    </row>
    <row r="40" ht="28" customHeight="1" spans="1:5" x14ac:dyDescent="0.25">
      <c r="A40" s="21" t="s">
        <v>146</v>
      </c>
      <c r="B40" s="21" t="s">
        <v>125</v>
      </c>
      <c r="C40" s="21" t="s">
        <v>147</v>
      </c>
      <c r="D40" s="21" t="s">
        <v>127</v>
      </c>
      <c r="E40" s="21" t="s">
        <v>148</v>
      </c>
    </row>
    <row r="42" ht="24" customHeight="1" spans="1:7" x14ac:dyDescent="0.25">
      <c r="A42" s="19" t="s">
        <v>149</v>
      </c>
      <c r="B42" s="19"/>
      <c r="C42" s="19"/>
      <c r="D42" s="19"/>
      <c r="E42" s="19"/>
      <c r="F42" s="19"/>
      <c r="G42" s="19"/>
    </row>
    <row r="43" spans="1:3" x14ac:dyDescent="0.25">
      <c r="A43" s="11" t="s">
        <v>150</v>
      </c>
      <c r="B43" s="24">
        <v>0.03</v>
      </c>
      <c r="C43" s="26" t="s">
        <v>151</v>
      </c>
    </row>
    <row r="44" spans="1:3" x14ac:dyDescent="0.25">
      <c r="A44" s="11" t="s">
        <v>152</v>
      </c>
      <c r="B44" s="24">
        <v>0.03</v>
      </c>
      <c r="C44" s="26" t="s">
        <v>153</v>
      </c>
    </row>
    <row r="45" spans="1:2" x14ac:dyDescent="0.25">
      <c r="A45" s="11" t="s">
        <v>154</v>
      </c>
      <c r="B45" s="25">
        <v>0.8333333333333334</v>
      </c>
    </row>
    <row r="46" spans="1:2" x14ac:dyDescent="0.25">
      <c r="A46" s="11" t="s">
        <v>155</v>
      </c>
      <c r="B46" s="23">
        <v>0</v>
      </c>
    </row>
    <row r="47" spans="1:2" x14ac:dyDescent="0.25">
      <c r="A47" s="11" t="s">
        <v>156</v>
      </c>
      <c r="B47" s="20" t="s">
        <v>157</v>
      </c>
    </row>
    <row r="49" ht="24" customHeight="1" spans="1:7" x14ac:dyDescent="0.25">
      <c r="A49" s="19" t="s">
        <v>158</v>
      </c>
      <c r="B49" s="19"/>
      <c r="C49" s="19"/>
      <c r="D49" s="19"/>
      <c r="E49" s="19"/>
      <c r="F49" s="19"/>
      <c r="G49" s="19"/>
    </row>
    <row r="50" ht="28" customHeight="1" spans="1:6" x14ac:dyDescent="0.25">
      <c r="A50" s="21" t="s">
        <v>159</v>
      </c>
      <c r="B50" s="21" t="s">
        <v>102</v>
      </c>
      <c r="C50" s="21" t="s">
        <v>103</v>
      </c>
      <c r="D50" s="21" t="s">
        <v>104</v>
      </c>
      <c r="E50" s="21" t="s">
        <v>105</v>
      </c>
      <c r="F50" s="21" t="s">
        <v>106</v>
      </c>
    </row>
    <row r="51" spans="1:6" x14ac:dyDescent="0.25">
      <c r="A51" s="11" t="s">
        <v>160</v>
      </c>
      <c r="B51" s="22">
        <v>3</v>
      </c>
      <c r="C51" s="22">
        <v>4</v>
      </c>
      <c r="D51" s="22">
        <v>5</v>
      </c>
      <c r="E51" s="22">
        <v>6</v>
      </c>
      <c r="F51" s="22">
        <v>6</v>
      </c>
    </row>
    <row r="52" spans="1:6" x14ac:dyDescent="0.25">
      <c r="A52" s="11" t="s">
        <v>161</v>
      </c>
      <c r="B52" s="22">
        <v>2</v>
      </c>
      <c r="C52" s="22">
        <v>3</v>
      </c>
      <c r="D52" s="22">
        <v>4</v>
      </c>
      <c r="E52" s="22">
        <v>5</v>
      </c>
      <c r="F52" s="22">
        <v>5</v>
      </c>
    </row>
    <row r="53" spans="1:6" x14ac:dyDescent="0.25">
      <c r="A53" s="11" t="s">
        <v>162</v>
      </c>
      <c r="B53" s="22">
        <v>5</v>
      </c>
      <c r="C53" s="22">
        <v>7</v>
      </c>
      <c r="D53" s="22">
        <v>9</v>
      </c>
      <c r="E53" s="22">
        <v>10</v>
      </c>
      <c r="F53" s="22">
        <v>12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FormatPr defaultRowHeight="15" outlineLevelRow="0" outlineLevelCol="0" x14ac:dyDescent="55"/>
  <cols>
    <col min="1" max="1" width="36" customWidth="1"/>
    <col min="2" max="2" width="30" customWidth="1"/>
  </cols>
  <sheetData>
    <row r="1" spans="1:2" x14ac:dyDescent="0.25">
      <c r="A1" s="15" t="s">
        <v>55</v>
      </c>
      <c r="B1" s="15"/>
    </row>
    <row r="3" spans="1:2" x14ac:dyDescent="0.25">
      <c r="A3" s="10" t="s">
        <v>163</v>
      </c>
      <c r="B3" s="11" t="s">
        <v>164</v>
      </c>
    </row>
    <row r="4" spans="1:2" x14ac:dyDescent="0.25">
      <c r="A4" s="10" t="s">
        <v>33</v>
      </c>
      <c r="B4" s="11" t="s">
        <v>34</v>
      </c>
    </row>
    <row r="5" spans="1:2" x14ac:dyDescent="0.25">
      <c r="A5" s="10" t="s">
        <v>35</v>
      </c>
      <c r="B5" s="11" t="s">
        <v>36</v>
      </c>
    </row>
    <row r="6" spans="1:2" x14ac:dyDescent="0.25">
      <c r="A6" s="10" t="s">
        <v>165</v>
      </c>
      <c r="B6" s="11" t="s">
        <v>166</v>
      </c>
    </row>
    <row r="7" spans="1:2" x14ac:dyDescent="0.25">
      <c r="A7" s="10" t="s">
        <v>43</v>
      </c>
      <c r="B7" s="11" t="s">
        <v>44</v>
      </c>
    </row>
    <row r="8" spans="1:2" x14ac:dyDescent="0.25">
      <c r="A8" s="10" t="s">
        <v>167</v>
      </c>
      <c r="B8" s="11" t="s">
        <v>46</v>
      </c>
    </row>
    <row r="9" spans="1:2" x14ac:dyDescent="0.25">
      <c r="A9" s="10" t="s">
        <v>99</v>
      </c>
      <c r="B9" s="11" t="s">
        <v>168</v>
      </c>
    </row>
    <row r="10" spans="1:2" x14ac:dyDescent="0.25">
      <c r="A10" s="10" t="s">
        <v>169</v>
      </c>
      <c r="B10" s="11" t="s">
        <v>170</v>
      </c>
    </row>
    <row r="11" spans="1:2" x14ac:dyDescent="0.25">
      <c r="A11" s="10" t="s">
        <v>171</v>
      </c>
      <c r="B11" s="11" t="s">
        <v>172</v>
      </c>
    </row>
    <row r="12" spans="1:2" x14ac:dyDescent="0.25">
      <c r="A12" s="10" t="s">
        <v>156</v>
      </c>
      <c r="B12" s="11" t="s">
        <v>157</v>
      </c>
    </row>
    <row r="13" spans="1:2" x14ac:dyDescent="0.25">
      <c r="A13" s="10" t="s">
        <v>100</v>
      </c>
      <c r="B13" s="11" t="s">
        <v>173</v>
      </c>
    </row>
    <row r="14" spans="1:2" x14ac:dyDescent="0.25">
      <c r="A14" s="10" t="s">
        <v>174</v>
      </c>
      <c r="B14" s="11" t="s">
        <v>157</v>
      </c>
    </row>
    <row r="15" spans="1:2" x14ac:dyDescent="0.25">
      <c r="A15" s="10" t="s">
        <v>175</v>
      </c>
      <c r="B15" s="11" t="s">
        <v>176</v>
      </c>
    </row>
    <row r="16" spans="1:2" x14ac:dyDescent="0.25">
      <c r="A16" s="10" t="s">
        <v>177</v>
      </c>
      <c r="B16" s="11" t="s">
        <v>178</v>
      </c>
    </row>
  </sheetData>
  <mergeCells count="1">
    <mergeCell ref="A1:B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FormatPr defaultRowHeight="15" outlineLevelRow="0" outlineLevelCol="0" x14ac:dyDescent="55"/>
  <cols>
    <col min="1" max="1" width="32" customWidth="1"/>
    <col min="2" max="8" width="14" customWidth="1"/>
  </cols>
  <sheetData>
    <row r="1" spans="1:7" x14ac:dyDescent="0.25">
      <c r="A1" s="15" t="s">
        <v>57</v>
      </c>
      <c r="B1" s="15"/>
      <c r="C1" s="15"/>
      <c r="D1" s="15"/>
      <c r="E1" s="15"/>
      <c r="F1" s="15"/>
      <c r="G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5" ht="24" customHeight="1" spans="1:6" x14ac:dyDescent="0.25">
      <c r="A5" s="19" t="s">
        <v>179</v>
      </c>
      <c r="B5" s="19"/>
      <c r="C5" s="19"/>
      <c r="D5" s="19"/>
      <c r="E5" s="19"/>
      <c r="F5" s="19"/>
    </row>
    <row r="6" spans="1:6" x14ac:dyDescent="0.25">
      <c r="A6" s="10" t="s">
        <v>107</v>
      </c>
      <c r="B6" s="27">
        <v>15</v>
      </c>
      <c r="C6" s="27">
        <v>22</v>
      </c>
      <c r="D6" s="27">
        <v>30</v>
      </c>
      <c r="E6" s="27">
        <v>36</v>
      </c>
      <c r="F6" s="27">
        <v>40</v>
      </c>
    </row>
    <row r="7" spans="1:2" x14ac:dyDescent="0.25">
      <c r="A7" s="11" t="s">
        <v>100</v>
      </c>
      <c r="B7" s="22">
        <v>40</v>
      </c>
    </row>
    <row r="8" spans="1:6" x14ac:dyDescent="0.25">
      <c r="A8" s="11" t="s">
        <v>180</v>
      </c>
      <c r="B8" s="28">
        <f>B6/$B$7</f>
        <v>0.375</v>
      </c>
      <c r="C8" s="28">
        <f>C6/$B$7</f>
        <v>0.55</v>
      </c>
      <c r="D8" s="28">
        <f>D6/$B$7</f>
        <v>0.75</v>
      </c>
      <c r="E8" s="28">
        <f>E6/$B$7</f>
        <v>0.9</v>
      </c>
      <c r="F8" s="28">
        <f>F6/$B$7</f>
        <v>1</v>
      </c>
    </row>
    <row r="10" spans="1:6" x14ac:dyDescent="0.25">
      <c r="A10" s="11" t="s">
        <v>181</v>
      </c>
      <c r="B10" s="11" t="s">
        <v>182</v>
      </c>
      <c r="C10" s="29">
        <f>IF(B6=0,0,(C6-B6)/B6)</f>
        <v>0.46666667</v>
      </c>
      <c r="D10" s="29">
        <f>IF(C6=0,0,(D6-C6)/C6)</f>
        <v>0.36363636</v>
      </c>
      <c r="E10" s="29">
        <f>IF(D6=0,0,(E6-D6)/D6)</f>
        <v>0.2</v>
      </c>
      <c r="F10" s="29">
        <f>IF(E6=0,0,(F6-E6)/E6)</f>
        <v>0.11111111</v>
      </c>
    </row>
    <row r="12" ht="24" customHeight="1" spans="1:6" x14ac:dyDescent="0.25">
      <c r="A12" s="19" t="s">
        <v>158</v>
      </c>
      <c r="B12" s="19"/>
      <c r="C12" s="19"/>
      <c r="D12" s="19"/>
      <c r="E12" s="19"/>
      <c r="F12" s="19"/>
    </row>
    <row r="14" spans="1:6" x14ac:dyDescent="0.25">
      <c r="A14" s="11" t="s">
        <v>160</v>
      </c>
      <c r="B14" s="30">
        <f>Assumptions!B51</f>
        <v>3</v>
      </c>
      <c r="C14" s="30">
        <f>Assumptions!C51</f>
        <v>4</v>
      </c>
      <c r="D14" s="30">
        <f>Assumptions!D51</f>
        <v>5</v>
      </c>
      <c r="E14" s="30">
        <f>Assumptions!E51</f>
        <v>6</v>
      </c>
      <c r="F14" s="30">
        <f>Assumptions!F51</f>
        <v>6</v>
      </c>
    </row>
    <row r="15" spans="1:6" x14ac:dyDescent="0.25">
      <c r="A15" s="11" t="s">
        <v>161</v>
      </c>
      <c r="B15" s="30">
        <f>Assumptions!B52</f>
        <v>2</v>
      </c>
      <c r="C15" s="30">
        <f>Assumptions!C52</f>
        <v>3</v>
      </c>
      <c r="D15" s="30">
        <f>Assumptions!D52</f>
        <v>4</v>
      </c>
      <c r="E15" s="30">
        <f>Assumptions!E52</f>
        <v>5</v>
      </c>
      <c r="F15" s="30">
        <f>Assumptions!F52</f>
        <v>5</v>
      </c>
    </row>
    <row r="16" spans="1:6" x14ac:dyDescent="0.25">
      <c r="A16" s="11" t="s">
        <v>162</v>
      </c>
      <c r="B16" s="30">
        <f>Assumptions!B53</f>
        <v>5</v>
      </c>
      <c r="C16" s="30">
        <f>Assumptions!C53</f>
        <v>7</v>
      </c>
      <c r="D16" s="30">
        <f>Assumptions!D53</f>
        <v>9</v>
      </c>
      <c r="E16" s="30">
        <f>Assumptions!E53</f>
        <v>10</v>
      </c>
      <c r="F16" s="30">
        <f>Assumptions!F53</f>
        <v>12</v>
      </c>
    </row>
    <row r="17" spans="1:6" x14ac:dyDescent="0.25">
      <c r="A17" s="10" t="s">
        <v>183</v>
      </c>
      <c r="B17" s="27">
        <f>B14+B15+B16</f>
        <v>10</v>
      </c>
      <c r="C17" s="27">
        <f>C14+C15+C16</f>
        <v>14</v>
      </c>
      <c r="D17" s="27">
        <f>D14+D15+D16</f>
        <v>18</v>
      </c>
      <c r="E17" s="27">
        <f>E14+E15+E16</f>
        <v>21</v>
      </c>
      <c r="F17" s="27">
        <f>F14+F15+F16</f>
        <v>23</v>
      </c>
    </row>
    <row r="18" spans="1:6" x14ac:dyDescent="0.25">
      <c r="A18" s="11" t="s">
        <v>184</v>
      </c>
      <c r="B18" s="28">
        <f>IF(B6=0,0,B17/B6)</f>
        <v>0.66666667</v>
      </c>
      <c r="C18" s="28">
        <f>IF(C6=0,0,C17/C6)</f>
        <v>0.63636364</v>
      </c>
      <c r="D18" s="28">
        <f>IF(D6=0,0,D17/D6)</f>
        <v>0.6</v>
      </c>
      <c r="E18" s="28">
        <f>IF(E6=0,0,E17/E6)</f>
        <v>0.58333333</v>
      </c>
      <c r="F18" s="28">
        <f>IF(F6=0,0,F17/F6)</f>
        <v>0.575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7" width="16" customWidth="1"/>
  </cols>
  <sheetData>
    <row r="1" spans="1:6" x14ac:dyDescent="0.25">
      <c r="A1" s="15" t="s">
        <v>185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186</v>
      </c>
      <c r="B4" s="19"/>
      <c r="C4" s="19"/>
      <c r="D4" s="19"/>
      <c r="E4" s="19"/>
      <c r="F4" s="19"/>
    </row>
    <row r="5" spans="1:6" x14ac:dyDescent="0.25">
      <c r="A5" s="11" t="s">
        <v>114</v>
      </c>
      <c r="B5" s="31">
        <v>90000</v>
      </c>
      <c r="C5" s="31">
        <v>135960</v>
      </c>
      <c r="D5" s="31">
        <v>190962</v>
      </c>
      <c r="E5" s="31">
        <v>236029</v>
      </c>
      <c r="F5" s="31">
        <v>270122</v>
      </c>
    </row>
    <row r="6" spans="1:6" x14ac:dyDescent="0.25">
      <c r="A6" s="11" t="s">
        <v>117</v>
      </c>
      <c r="B6" s="31">
        <v>3000</v>
      </c>
      <c r="C6" s="31">
        <v>4532</v>
      </c>
      <c r="D6" s="31">
        <v>6365</v>
      </c>
      <c r="E6" s="31">
        <v>7868</v>
      </c>
      <c r="F6" s="31">
        <v>9004</v>
      </c>
    </row>
    <row r="7" spans="1:6" x14ac:dyDescent="0.25">
      <c r="A7" s="10" t="s">
        <v>187</v>
      </c>
      <c r="B7" s="32">
        <f>SUM(B5,B6)</f>
        <v>93000</v>
      </c>
      <c r="C7" s="32">
        <f>SUM(C5,C6)</f>
        <v>140492</v>
      </c>
      <c r="D7" s="32">
        <f>SUM(D5,D6)</f>
        <v>197327</v>
      </c>
      <c r="E7" s="32">
        <f>SUM(E5,E6)</f>
        <v>243897</v>
      </c>
      <c r="F7" s="32">
        <f>SUM(F5,F6)</f>
        <v>279126</v>
      </c>
    </row>
    <row r="8" ht="24" customHeight="1" spans="1:6" x14ac:dyDescent="0.25">
      <c r="A8" s="19" t="s">
        <v>188</v>
      </c>
      <c r="B8" s="19"/>
      <c r="C8" s="19"/>
      <c r="D8" s="19"/>
      <c r="E8" s="19"/>
      <c r="F8" s="19"/>
    </row>
    <row r="9" spans="1:6" x14ac:dyDescent="0.25">
      <c r="A9" s="11" t="s">
        <v>118</v>
      </c>
      <c r="B9" s="31">
        <v>105000</v>
      </c>
      <c r="C9" s="31">
        <v>158620</v>
      </c>
      <c r="D9" s="31">
        <v>222789</v>
      </c>
      <c r="E9" s="31">
        <v>275367</v>
      </c>
      <c r="F9" s="31">
        <v>315142</v>
      </c>
    </row>
    <row r="10" spans="1:6" x14ac:dyDescent="0.25">
      <c r="A10" s="10" t="s">
        <v>189</v>
      </c>
      <c r="B10" s="32">
        <f>SUM(B9)</f>
        <v>105000</v>
      </c>
      <c r="C10" s="32">
        <f>SUM(C9)</f>
        <v>158620</v>
      </c>
      <c r="D10" s="32">
        <f>SUM(D9)</f>
        <v>222789</v>
      </c>
      <c r="E10" s="32">
        <f>SUM(E9)</f>
        <v>275367</v>
      </c>
      <c r="F10" s="32">
        <f>SUM(F9)</f>
        <v>315142</v>
      </c>
    </row>
    <row r="11" ht="24" customHeight="1" spans="1:6" x14ac:dyDescent="0.25">
      <c r="A11" s="19" t="s">
        <v>190</v>
      </c>
      <c r="B11" s="19"/>
      <c r="C11" s="19"/>
      <c r="D11" s="19"/>
      <c r="E11" s="19"/>
      <c r="F11" s="19"/>
    </row>
    <row r="12" spans="1:6" x14ac:dyDescent="0.25">
      <c r="A12" s="11" t="s">
        <v>120</v>
      </c>
      <c r="B12" s="23">
        <v>3000</v>
      </c>
      <c r="C12" s="31">
        <v>3090</v>
      </c>
      <c r="D12" s="31">
        <v>3183</v>
      </c>
      <c r="E12" s="31">
        <v>3278</v>
      </c>
      <c r="F12" s="31">
        <v>3377</v>
      </c>
    </row>
    <row r="13" spans="1:6" x14ac:dyDescent="0.25">
      <c r="A13" s="10" t="s">
        <v>191</v>
      </c>
      <c r="B13" s="32">
        <f>SUM(B12)</f>
        <v>3000</v>
      </c>
      <c r="C13" s="32">
        <f>SUM(C12)</f>
        <v>3090</v>
      </c>
      <c r="D13" s="32">
        <f>SUM(D12)</f>
        <v>3183</v>
      </c>
      <c r="E13" s="32">
        <f>SUM(E12)</f>
        <v>3278</v>
      </c>
      <c r="F13" s="32">
        <f>SUM(F12)</f>
        <v>3377</v>
      </c>
    </row>
    <row r="15" ht="24" customHeight="1" spans="1:6" x14ac:dyDescent="0.25">
      <c r="A15" s="19" t="s">
        <v>192</v>
      </c>
      <c r="B15" s="33">
        <f>SUM(B7,B10,B13)</f>
        <v>201000</v>
      </c>
      <c r="C15" s="33">
        <f>SUM(C7,C10,C13)</f>
        <v>302202</v>
      </c>
      <c r="D15" s="33">
        <f>SUM(D7,D10,D13)</f>
        <v>423299</v>
      </c>
      <c r="E15" s="33">
        <f>SUM(E7,E10,E13)</f>
        <v>522542</v>
      </c>
      <c r="F15" s="33">
        <f>SUM(F7,F10,F13)</f>
        <v>597645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FormatPr defaultRowHeight="15" outlineLevelRow="0" outlineLevelCol="0" x14ac:dyDescent="55"/>
  <cols>
    <col min="1" max="1" width="28" customWidth="1"/>
    <col min="2" max="2" width="16" customWidth="1"/>
    <col min="3" max="3" width="10" customWidth="1"/>
    <col min="4" max="4" width="14" customWidth="1"/>
    <col min="5" max="6" width="12" customWidth="1"/>
    <col min="7" max="7" width="14" customWidth="1"/>
  </cols>
  <sheetData>
    <row r="1" spans="1:7" x14ac:dyDescent="0.25">
      <c r="A1" s="15" t="s">
        <v>61</v>
      </c>
      <c r="B1" s="15"/>
      <c r="C1" s="15"/>
      <c r="D1" s="15"/>
      <c r="E1" s="15"/>
      <c r="F1" s="15"/>
      <c r="G1" s="15"/>
    </row>
    <row r="3" ht="28" customHeight="1" spans="1:7" x14ac:dyDescent="0.25">
      <c r="A3" s="21" t="s">
        <v>124</v>
      </c>
      <c r="B3" s="21" t="s">
        <v>110</v>
      </c>
      <c r="C3" s="21" t="s">
        <v>126</v>
      </c>
      <c r="D3" s="21" t="s">
        <v>193</v>
      </c>
      <c r="E3" s="21" t="s">
        <v>128</v>
      </c>
      <c r="F3" s="21" t="s">
        <v>129</v>
      </c>
      <c r="G3" s="21" t="s">
        <v>194</v>
      </c>
    </row>
    <row r="4" spans="1:7" x14ac:dyDescent="0.25">
      <c r="A4" s="11" t="s">
        <v>130</v>
      </c>
      <c r="B4" s="11" t="s">
        <v>131</v>
      </c>
      <c r="C4" s="25">
        <v>1</v>
      </c>
      <c r="D4" s="23">
        <v>48000</v>
      </c>
      <c r="E4" s="24">
        <v>0.2</v>
      </c>
      <c r="F4" s="24">
        <v>0.0765</v>
      </c>
      <c r="G4" s="34">
        <v>61272</v>
      </c>
    </row>
    <row r="5" spans="1:7" x14ac:dyDescent="0.25">
      <c r="A5" s="11" t="s">
        <v>133</v>
      </c>
      <c r="B5" s="11" t="s">
        <v>134</v>
      </c>
      <c r="C5" s="25">
        <v>0.5</v>
      </c>
      <c r="D5" s="23">
        <v>30000</v>
      </c>
      <c r="E5" s="24">
        <v>0</v>
      </c>
      <c r="F5" s="24">
        <v>0.0765</v>
      </c>
      <c r="G5" s="34">
        <v>16148</v>
      </c>
    </row>
    <row r="7" ht="24" customHeight="1" spans="1:7" x14ac:dyDescent="0.25">
      <c r="A7" s="19" t="s">
        <v>195</v>
      </c>
      <c r="B7" s="19"/>
      <c r="C7" s="19"/>
      <c r="D7" s="19"/>
      <c r="E7" s="19"/>
      <c r="F7" s="19"/>
      <c r="G7" s="19"/>
    </row>
    <row r="8" ht="28" customHeight="1" spans="1:6" x14ac:dyDescent="0.25">
      <c r="A8" s="21" t="s">
        <v>7</v>
      </c>
      <c r="B8" s="21" t="s">
        <v>102</v>
      </c>
      <c r="C8" s="21" t="s">
        <v>103</v>
      </c>
      <c r="D8" s="21" t="s">
        <v>104</v>
      </c>
      <c r="E8" s="21" t="s">
        <v>105</v>
      </c>
      <c r="F8" s="21" t="s">
        <v>106</v>
      </c>
    </row>
    <row r="9" spans="1:6" x14ac:dyDescent="0.25">
      <c r="A9" s="10" t="s">
        <v>196</v>
      </c>
      <c r="B9" s="33">
        <v>64516</v>
      </c>
      <c r="C9" s="33">
        <v>79742</v>
      </c>
      <c r="D9" s="33">
        <v>82134</v>
      </c>
      <c r="E9" s="33">
        <v>84598</v>
      </c>
      <c r="F9" s="33">
        <v>87136</v>
      </c>
    </row>
    <row r="10" spans="1:6" x14ac:dyDescent="0.25">
      <c r="A10" s="11" t="s">
        <v>197</v>
      </c>
      <c r="B10" s="29">
        <v>0.320976368159204</v>
      </c>
      <c r="C10" s="29">
        <v>0.26387014314928425</v>
      </c>
      <c r="D10" s="29">
        <v>0.19403383458646614</v>
      </c>
      <c r="E10" s="29">
        <v>0.1618977415307403</v>
      </c>
      <c r="F10" s="29">
        <v>0.14579943502824858</v>
      </c>
    </row>
    <row r="11" spans="1:6" x14ac:dyDescent="0.25">
      <c r="A11" s="11" t="s">
        <v>198</v>
      </c>
      <c r="B11" s="35">
        <v>10</v>
      </c>
      <c r="C11" s="35">
        <v>14.7</v>
      </c>
      <c r="D11" s="35">
        <v>20</v>
      </c>
      <c r="E11" s="35">
        <v>24</v>
      </c>
      <c r="F11" s="35">
        <v>26.7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5" t="s">
        <v>199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143</v>
      </c>
      <c r="B4" s="19"/>
      <c r="C4" s="19"/>
      <c r="D4" s="19"/>
      <c r="E4" s="19"/>
      <c r="F4" s="19"/>
    </row>
    <row r="5" spans="1:6" x14ac:dyDescent="0.25">
      <c r="A5" s="11" t="s">
        <v>200</v>
      </c>
      <c r="B5" s="31">
        <v>6000</v>
      </c>
      <c r="C5" s="31">
        <v>9064</v>
      </c>
      <c r="D5" s="31">
        <v>12731</v>
      </c>
      <c r="E5" s="31">
        <v>15735</v>
      </c>
      <c r="F5" s="31">
        <v>18008</v>
      </c>
    </row>
    <row r="6" spans="1:6" x14ac:dyDescent="0.25">
      <c r="A6" s="10" t="s">
        <v>201</v>
      </c>
      <c r="B6" s="32">
        <f>SUM(B5:B5)</f>
        <v>6000</v>
      </c>
      <c r="C6" s="32">
        <f>SUM(C5:C5)</f>
        <v>9064</v>
      </c>
      <c r="D6" s="32">
        <f>SUM(D5:D5)</f>
        <v>12731</v>
      </c>
      <c r="E6" s="32">
        <f>SUM(E5:E5)</f>
        <v>15735</v>
      </c>
      <c r="F6" s="32">
        <f>SUM(F5:F5)</f>
        <v>18008</v>
      </c>
    </row>
    <row r="7" ht="24" customHeight="1" spans="1:6" x14ac:dyDescent="0.25">
      <c r="A7" s="19" t="s">
        <v>144</v>
      </c>
      <c r="B7" s="19"/>
      <c r="C7" s="19"/>
      <c r="D7" s="19"/>
      <c r="E7" s="19"/>
      <c r="F7" s="19"/>
    </row>
    <row r="8" spans="1:6" x14ac:dyDescent="0.25">
      <c r="A8" s="11" t="s">
        <v>202</v>
      </c>
      <c r="B8" s="31">
        <v>3750</v>
      </c>
      <c r="C8" s="31">
        <v>5665</v>
      </c>
      <c r="D8" s="31">
        <v>7957</v>
      </c>
      <c r="E8" s="31">
        <v>9835</v>
      </c>
      <c r="F8" s="31">
        <v>11255</v>
      </c>
    </row>
    <row r="9" spans="1:6" x14ac:dyDescent="0.25">
      <c r="A9" s="10" t="s">
        <v>203</v>
      </c>
      <c r="B9" s="32">
        <f>SUM(B8:B8)</f>
        <v>3750</v>
      </c>
      <c r="C9" s="32">
        <f>SUM(C8:C8)</f>
        <v>5665</v>
      </c>
      <c r="D9" s="32">
        <f>SUM(D8:D8)</f>
        <v>7957</v>
      </c>
      <c r="E9" s="32">
        <f>SUM(E8:E8)</f>
        <v>9835</v>
      </c>
      <c r="F9" s="32">
        <f>SUM(F8:F8)</f>
        <v>11255</v>
      </c>
    </row>
    <row r="10" ht="24" customHeight="1" spans="1:6" x14ac:dyDescent="0.25">
      <c r="A10" s="19" t="s">
        <v>138</v>
      </c>
      <c r="B10" s="19"/>
      <c r="C10" s="19"/>
      <c r="D10" s="19"/>
      <c r="E10" s="19"/>
      <c r="F10" s="19"/>
    </row>
    <row r="11" spans="1:6" x14ac:dyDescent="0.25">
      <c r="A11" s="11" t="s">
        <v>204</v>
      </c>
      <c r="B11" s="31">
        <v>21600</v>
      </c>
      <c r="C11" s="31">
        <v>22248</v>
      </c>
      <c r="D11" s="31">
        <v>22915</v>
      </c>
      <c r="E11" s="31">
        <v>23603</v>
      </c>
      <c r="F11" s="31">
        <v>24311</v>
      </c>
    </row>
    <row r="12" spans="1:6" x14ac:dyDescent="0.25">
      <c r="A12" s="11" t="s">
        <v>205</v>
      </c>
      <c r="B12" s="31">
        <v>2400</v>
      </c>
      <c r="C12" s="31">
        <v>2472</v>
      </c>
      <c r="D12" s="31">
        <v>2546</v>
      </c>
      <c r="E12" s="31">
        <v>2623</v>
      </c>
      <c r="F12" s="31">
        <v>2701</v>
      </c>
    </row>
    <row r="13" spans="1:6" x14ac:dyDescent="0.25">
      <c r="A13" s="11" t="s">
        <v>206</v>
      </c>
      <c r="B13" s="31">
        <v>1800</v>
      </c>
      <c r="C13" s="31">
        <v>1854</v>
      </c>
      <c r="D13" s="31">
        <v>1910</v>
      </c>
      <c r="E13" s="31">
        <v>1967</v>
      </c>
      <c r="F13" s="31">
        <v>2026</v>
      </c>
    </row>
    <row r="14" spans="1:6" x14ac:dyDescent="0.25">
      <c r="A14" s="10" t="s">
        <v>207</v>
      </c>
      <c r="B14" s="32">
        <f>SUM(B11:B13)</f>
        <v>25800</v>
      </c>
      <c r="C14" s="32">
        <f>SUM(C11:C13)</f>
        <v>26574</v>
      </c>
      <c r="D14" s="32">
        <f>SUM(D11:D13)</f>
        <v>27371</v>
      </c>
      <c r="E14" s="32">
        <f>SUM(E11:E13)</f>
        <v>28192</v>
      </c>
      <c r="F14" s="32">
        <f>SUM(F11:F13)</f>
        <v>29038</v>
      </c>
    </row>
    <row r="16" ht="24" customHeight="1" spans="1:6" x14ac:dyDescent="0.25">
      <c r="A16" s="19" t="s">
        <v>208</v>
      </c>
      <c r="B16" s="33">
        <f>B6+B9+B14</f>
        <v>35550</v>
      </c>
      <c r="C16" s="33">
        <f>C6+C9+C14</f>
        <v>41303</v>
      </c>
      <c r="D16" s="33">
        <f>D6+D9+D14</f>
        <v>48059</v>
      </c>
      <c r="E16" s="33">
        <f>E6+E9+E14</f>
        <v>53762</v>
      </c>
      <c r="F16" s="33">
        <f>F6+F9+F14</f>
        <v>58301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FormatPr defaultRowHeight="15" outlineLevelRow="0" outlineLevelCol="0" x14ac:dyDescent="55"/>
  <cols>
    <col min="1" max="1" width="28" customWidth="1"/>
    <col min="2" max="4" width="14" customWidth="1"/>
    <col min="5" max="6" width="16" customWidth="1"/>
  </cols>
  <sheetData>
    <row r="1" spans="1:6" x14ac:dyDescent="0.25">
      <c r="A1" s="15" t="s">
        <v>209</v>
      </c>
      <c r="B1" s="15"/>
      <c r="C1" s="15"/>
      <c r="D1" s="15"/>
      <c r="E1" s="15"/>
      <c r="F1" s="15"/>
    </row>
    <row r="3" ht="28" customHeight="1" spans="1:6" x14ac:dyDescent="0.25">
      <c r="A3" s="21" t="s">
        <v>146</v>
      </c>
      <c r="B3" s="21" t="s">
        <v>125</v>
      </c>
      <c r="C3" s="21" t="s">
        <v>147</v>
      </c>
      <c r="D3" s="21" t="s">
        <v>127</v>
      </c>
      <c r="E3" s="21" t="s">
        <v>148</v>
      </c>
      <c r="F3" s="21" t="s">
        <v>210</v>
      </c>
    </row>
    <row r="5" spans="1:6" x14ac:dyDescent="0.25">
      <c r="A5" s="10" t="s">
        <v>211</v>
      </c>
      <c r="F5" s="33">
        <v>0</v>
      </c>
    </row>
    <row r="6" spans="1:6" x14ac:dyDescent="0.25">
      <c r="A6" s="10" t="s">
        <v>212</v>
      </c>
      <c r="F6" s="32"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213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spans="1:6" x14ac:dyDescent="0.25">
      <c r="A4" s="10" t="s">
        <v>107</v>
      </c>
      <c r="B4" s="36">
        <v>15</v>
      </c>
      <c r="C4" s="36">
        <v>22</v>
      </c>
      <c r="D4" s="36">
        <v>30</v>
      </c>
      <c r="E4" s="36">
        <v>36</v>
      </c>
      <c r="F4" s="36">
        <v>40</v>
      </c>
    </row>
    <row r="6" ht="24" customHeight="1" spans="1:6" x14ac:dyDescent="0.25">
      <c r="A6" s="19" t="s">
        <v>214</v>
      </c>
      <c r="B6" s="19"/>
      <c r="C6" s="19"/>
      <c r="D6" s="19"/>
      <c r="E6" s="19"/>
      <c r="F6" s="19"/>
    </row>
    <row r="7" spans="1:6" x14ac:dyDescent="0.25">
      <c r="A7" s="11" t="s">
        <v>114</v>
      </c>
      <c r="B7" s="31">
        <v>90000</v>
      </c>
      <c r="C7" s="31">
        <v>135960</v>
      </c>
      <c r="D7" s="31">
        <v>190962</v>
      </c>
      <c r="E7" s="31">
        <v>236029</v>
      </c>
      <c r="F7" s="31">
        <v>270122</v>
      </c>
    </row>
    <row r="8" spans="1:6" x14ac:dyDescent="0.25">
      <c r="A8" s="11" t="s">
        <v>117</v>
      </c>
      <c r="B8" s="31">
        <v>3000</v>
      </c>
      <c r="C8" s="31">
        <v>4532</v>
      </c>
      <c r="D8" s="31">
        <v>6365</v>
      </c>
      <c r="E8" s="31">
        <v>7868</v>
      </c>
      <c r="F8" s="31">
        <v>9004</v>
      </c>
    </row>
    <row r="9" spans="1:6" x14ac:dyDescent="0.25">
      <c r="A9" s="11" t="s">
        <v>118</v>
      </c>
      <c r="B9" s="31">
        <v>105000</v>
      </c>
      <c r="C9" s="31">
        <v>158620</v>
      </c>
      <c r="D9" s="31">
        <v>222789</v>
      </c>
      <c r="E9" s="31">
        <v>275367</v>
      </c>
      <c r="F9" s="31">
        <v>315142</v>
      </c>
    </row>
    <row r="10" spans="1:6" x14ac:dyDescent="0.25">
      <c r="A10" s="11" t="s">
        <v>120</v>
      </c>
      <c r="B10" s="31">
        <v>3000</v>
      </c>
      <c r="C10" s="31">
        <v>3090</v>
      </c>
      <c r="D10" s="31">
        <v>3183</v>
      </c>
      <c r="E10" s="31">
        <v>3278</v>
      </c>
      <c r="F10" s="31">
        <v>3377</v>
      </c>
    </row>
    <row r="11" ht="24" customHeight="1" spans="1:6" x14ac:dyDescent="0.25">
      <c r="A11" s="19" t="s">
        <v>215</v>
      </c>
      <c r="B11" s="33">
        <f>SUM(B7:B10)</f>
        <v>201000</v>
      </c>
      <c r="C11" s="33">
        <f>SUM(C7:C10)</f>
        <v>302202</v>
      </c>
      <c r="D11" s="33">
        <f>SUM(D7:D10)</f>
        <v>423299</v>
      </c>
      <c r="E11" s="33">
        <f>SUM(E7:E10)</f>
        <v>522542</v>
      </c>
      <c r="F11" s="33">
        <f>SUM(F7:F10)</f>
        <v>597645</v>
      </c>
    </row>
    <row r="13" spans="1:6" x14ac:dyDescent="0.25">
      <c r="A13" s="11" t="s">
        <v>216</v>
      </c>
      <c r="B13" s="31">
        <v>13400</v>
      </c>
      <c r="C13" s="31">
        <v>13736</v>
      </c>
      <c r="D13" s="31">
        <v>14110</v>
      </c>
      <c r="E13" s="31">
        <v>14515</v>
      </c>
      <c r="F13" s="31">
        <v>14941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FormatPr defaultRowHeight="15" outlineLevelRow="0" outlineLevelCol="0" x14ac:dyDescent="55"/>
  <cols>
    <col min="1" max="1" width="30" customWidth="1"/>
    <col min="2" max="6" width="16" customWidth="1"/>
  </cols>
  <sheetData>
    <row r="1" spans="1:6" x14ac:dyDescent="0.25">
      <c r="A1" s="15" t="s">
        <v>217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134</v>
      </c>
      <c r="B4" s="19"/>
      <c r="C4" s="19"/>
      <c r="D4" s="19"/>
      <c r="E4" s="19"/>
      <c r="F4" s="19"/>
    </row>
    <row r="5" spans="1:6" x14ac:dyDescent="0.25">
      <c r="A5" s="11" t="s">
        <v>218</v>
      </c>
      <c r="B5" s="31">
        <v>13456</v>
      </c>
      <c r="C5" s="31">
        <v>16632</v>
      </c>
      <c r="D5" s="31">
        <v>17131</v>
      </c>
      <c r="E5" s="31">
        <v>17645</v>
      </c>
      <c r="F5" s="31">
        <v>18174</v>
      </c>
    </row>
    <row r="6" spans="1:6" x14ac:dyDescent="0.25">
      <c r="A6" s="10" t="s">
        <v>219</v>
      </c>
      <c r="B6" s="32">
        <f>SUM(B5:B5)</f>
        <v>13456</v>
      </c>
      <c r="C6" s="32">
        <f>SUM(C5:C5)</f>
        <v>16632</v>
      </c>
      <c r="D6" s="32">
        <f>SUM(D5:D5)</f>
        <v>17131</v>
      </c>
      <c r="E6" s="32">
        <f>SUM(E5:E5)</f>
        <v>17645</v>
      </c>
      <c r="F6" s="32">
        <f>SUM(F5:F5)</f>
        <v>18174</v>
      </c>
    </row>
    <row r="7" ht="24" customHeight="1" spans="1:6" x14ac:dyDescent="0.25">
      <c r="A7" s="19" t="s">
        <v>131</v>
      </c>
      <c r="B7" s="19"/>
      <c r="C7" s="19"/>
      <c r="D7" s="19"/>
      <c r="E7" s="19"/>
      <c r="F7" s="19"/>
    </row>
    <row r="8" spans="1:6" x14ac:dyDescent="0.25">
      <c r="A8" s="11" t="s">
        <v>220</v>
      </c>
      <c r="B8" s="31">
        <v>51060</v>
      </c>
      <c r="C8" s="31">
        <v>63110</v>
      </c>
      <c r="D8" s="31">
        <v>65003</v>
      </c>
      <c r="E8" s="31">
        <v>66954</v>
      </c>
      <c r="F8" s="31">
        <v>68962</v>
      </c>
    </row>
    <row r="9" spans="1:6" x14ac:dyDescent="0.25">
      <c r="A9" s="10" t="s">
        <v>221</v>
      </c>
      <c r="B9" s="32">
        <f>SUM(B8:B8)</f>
        <v>51060</v>
      </c>
      <c r="C9" s="32">
        <f>SUM(C8:C8)</f>
        <v>63110</v>
      </c>
      <c r="D9" s="32">
        <f>SUM(D8:D8)</f>
        <v>65003</v>
      </c>
      <c r="E9" s="32">
        <f>SUM(E8:E8)</f>
        <v>66954</v>
      </c>
      <c r="F9" s="32">
        <f>SUM(F8:F8)</f>
        <v>68962</v>
      </c>
    </row>
    <row r="11" ht="24" customHeight="1" spans="1:6" x14ac:dyDescent="0.25">
      <c r="A11" s="19" t="s">
        <v>222</v>
      </c>
      <c r="B11" s="33">
        <f>B6+B9</f>
        <v>64516</v>
      </c>
      <c r="C11" s="33">
        <f>C6+C9</f>
        <v>79742</v>
      </c>
      <c r="D11" s="33">
        <f>D6+D9</f>
        <v>82134</v>
      </c>
      <c r="E11" s="33">
        <f>E6+E9</f>
        <v>84598</v>
      </c>
      <c r="F11" s="33">
        <f>F6+F9</f>
        <v>87136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223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224</v>
      </c>
      <c r="B4" s="19"/>
      <c r="C4" s="19"/>
      <c r="D4" s="19"/>
      <c r="E4" s="19"/>
      <c r="F4" s="19"/>
    </row>
    <row r="5" spans="1:6" x14ac:dyDescent="0.25">
      <c r="A5" s="11" t="s">
        <v>225</v>
      </c>
      <c r="B5" s="31">
        <v>75000</v>
      </c>
      <c r="C5" s="31">
        <v>135960</v>
      </c>
      <c r="D5" s="31">
        <v>190962</v>
      </c>
      <c r="E5" s="31">
        <v>236029</v>
      </c>
      <c r="F5" s="31">
        <v>270122</v>
      </c>
    </row>
    <row r="6" spans="1:6" x14ac:dyDescent="0.25">
      <c r="A6" s="11" t="s">
        <v>226</v>
      </c>
      <c r="B6" s="31">
        <v>2500</v>
      </c>
      <c r="C6" s="31">
        <v>4532</v>
      </c>
      <c r="D6" s="31">
        <v>6365</v>
      </c>
      <c r="E6" s="31">
        <v>7868</v>
      </c>
      <c r="F6" s="31">
        <v>9004</v>
      </c>
    </row>
    <row r="7" spans="1:6" x14ac:dyDescent="0.25">
      <c r="A7" s="11" t="s">
        <v>227</v>
      </c>
      <c r="B7" s="31">
        <v>87500</v>
      </c>
      <c r="C7" s="31">
        <v>158620</v>
      </c>
      <c r="D7" s="31">
        <v>222789</v>
      </c>
      <c r="E7" s="31">
        <v>275367</v>
      </c>
      <c r="F7" s="31">
        <v>315142</v>
      </c>
    </row>
    <row r="8" spans="1:6" x14ac:dyDescent="0.25">
      <c r="A8" s="11" t="s">
        <v>228</v>
      </c>
      <c r="B8" s="31">
        <v>2500</v>
      </c>
      <c r="C8" s="31">
        <v>3090</v>
      </c>
      <c r="D8" s="31">
        <v>3183</v>
      </c>
      <c r="E8" s="31">
        <v>3278</v>
      </c>
      <c r="F8" s="31">
        <v>3377</v>
      </c>
    </row>
    <row r="9" spans="1:6" x14ac:dyDescent="0.25">
      <c r="A9" s="10" t="s">
        <v>229</v>
      </c>
      <c r="B9" s="32">
        <f>SUM(B5:B8)</f>
        <v>167500</v>
      </c>
      <c r="C9" s="32">
        <f>SUM(C5:C8)</f>
        <v>302202</v>
      </c>
      <c r="D9" s="32">
        <f>SUM(D5:D8)</f>
        <v>423299</v>
      </c>
      <c r="E9" s="32">
        <f>SUM(E5:E8)</f>
        <v>522542</v>
      </c>
      <c r="F9" s="32">
        <f>SUM(F5:F8)</f>
        <v>597645</v>
      </c>
    </row>
    <row r="11" ht="24" customHeight="1" spans="1:6" x14ac:dyDescent="0.25">
      <c r="A11" s="19" t="s">
        <v>230</v>
      </c>
      <c r="B11" s="19"/>
      <c r="C11" s="19"/>
      <c r="D11" s="19"/>
      <c r="E11" s="19"/>
      <c r="F11" s="19"/>
    </row>
    <row r="12" spans="1:6" x14ac:dyDescent="0.25">
      <c r="A12" s="11" t="s">
        <v>220</v>
      </c>
      <c r="B12" s="31">
        <v>51060</v>
      </c>
      <c r="C12" s="31">
        <v>63110</v>
      </c>
      <c r="D12" s="31">
        <v>65003</v>
      </c>
      <c r="E12" s="31">
        <v>66954</v>
      </c>
      <c r="F12" s="31">
        <v>68962</v>
      </c>
    </row>
    <row r="13" spans="1:6" x14ac:dyDescent="0.25">
      <c r="A13" s="11" t="s">
        <v>218</v>
      </c>
      <c r="B13" s="31">
        <v>13456</v>
      </c>
      <c r="C13" s="31">
        <v>16632</v>
      </c>
      <c r="D13" s="31">
        <v>17131</v>
      </c>
      <c r="E13" s="31">
        <v>17645</v>
      </c>
      <c r="F13" s="31">
        <v>18174</v>
      </c>
    </row>
    <row r="14" spans="1:6" x14ac:dyDescent="0.25">
      <c r="A14" s="10" t="s">
        <v>196</v>
      </c>
      <c r="B14" s="32">
        <f>SUM(B12:B13)</f>
        <v>64516</v>
      </c>
      <c r="C14" s="32">
        <f>SUM(C12:C13)</f>
        <v>79742</v>
      </c>
      <c r="D14" s="32">
        <f>SUM(D12:D13)</f>
        <v>82134</v>
      </c>
      <c r="E14" s="32">
        <f>SUM(E12:E13)</f>
        <v>84598</v>
      </c>
      <c r="F14" s="32">
        <f>SUM(F12:F13)</f>
        <v>87136</v>
      </c>
    </row>
    <row r="16" ht="24" customHeight="1" spans="1:6" x14ac:dyDescent="0.25">
      <c r="A16" s="19" t="s">
        <v>136</v>
      </c>
      <c r="B16" s="19"/>
      <c r="C16" s="19"/>
      <c r="D16" s="19"/>
      <c r="E16" s="19"/>
      <c r="F16" s="19"/>
    </row>
    <row r="17" spans="1:1" x14ac:dyDescent="0.25">
      <c r="A17" s="37" t="s">
        <v>143</v>
      </c>
    </row>
    <row r="18" spans="1:6" x14ac:dyDescent="0.25">
      <c r="A18" s="11" t="s">
        <v>231</v>
      </c>
      <c r="B18" s="31">
        <v>5000</v>
      </c>
      <c r="C18" s="31">
        <v>9064</v>
      </c>
      <c r="D18" s="31">
        <v>12731</v>
      </c>
      <c r="E18" s="31">
        <v>15735</v>
      </c>
      <c r="F18" s="31">
        <v>18008</v>
      </c>
    </row>
    <row r="19" spans="1:1" x14ac:dyDescent="0.25">
      <c r="A19" s="37" t="s">
        <v>144</v>
      </c>
    </row>
    <row r="20" spans="1:6" x14ac:dyDescent="0.25">
      <c r="A20" s="11" t="s">
        <v>232</v>
      </c>
      <c r="B20" s="31">
        <v>3125</v>
      </c>
      <c r="C20" s="31">
        <v>5665</v>
      </c>
      <c r="D20" s="31">
        <v>7957</v>
      </c>
      <c r="E20" s="31">
        <v>9835</v>
      </c>
      <c r="F20" s="31">
        <v>11255</v>
      </c>
    </row>
    <row r="21" spans="1:1" x14ac:dyDescent="0.25">
      <c r="A21" s="37" t="s">
        <v>138</v>
      </c>
    </row>
    <row r="22" spans="1:6" x14ac:dyDescent="0.25">
      <c r="A22" s="11" t="s">
        <v>233</v>
      </c>
      <c r="B22" s="31">
        <v>18000</v>
      </c>
      <c r="C22" s="31">
        <v>22248</v>
      </c>
      <c r="D22" s="31">
        <v>22915</v>
      </c>
      <c r="E22" s="31">
        <v>23603</v>
      </c>
      <c r="F22" s="31">
        <v>24311</v>
      </c>
    </row>
    <row r="23" spans="1:6" x14ac:dyDescent="0.25">
      <c r="A23" s="11" t="s">
        <v>234</v>
      </c>
      <c r="B23" s="31">
        <v>2000</v>
      </c>
      <c r="C23" s="31">
        <v>2472</v>
      </c>
      <c r="D23" s="31">
        <v>2546</v>
      </c>
      <c r="E23" s="31">
        <v>2623</v>
      </c>
      <c r="F23" s="31">
        <v>2701</v>
      </c>
    </row>
    <row r="24" spans="1:6" x14ac:dyDescent="0.25">
      <c r="A24" s="11" t="s">
        <v>235</v>
      </c>
      <c r="B24" s="31">
        <v>1500</v>
      </c>
      <c r="C24" s="31">
        <v>1854</v>
      </c>
      <c r="D24" s="31">
        <v>1910</v>
      </c>
      <c r="E24" s="31">
        <v>1967</v>
      </c>
      <c r="F24" s="31">
        <v>2026</v>
      </c>
    </row>
    <row r="25" spans="1:6" x14ac:dyDescent="0.25">
      <c r="A25" s="10" t="s">
        <v>236</v>
      </c>
      <c r="B25" s="32">
        <f>SUM(B22:B24)</f>
        <v>21500</v>
      </c>
      <c r="C25" s="32">
        <f>SUM(C22:C24)</f>
        <v>26574</v>
      </c>
      <c r="D25" s="32">
        <f>SUM(D22:D24)</f>
        <v>27371</v>
      </c>
      <c r="E25" s="32">
        <f>SUM(E22:E24)</f>
        <v>28192</v>
      </c>
      <c r="F25" s="32">
        <f>SUM(F22:F24)</f>
        <v>29038</v>
      </c>
    </row>
    <row r="26" spans="1:6" x14ac:dyDescent="0.25">
      <c r="A26" s="10" t="s">
        <v>237</v>
      </c>
      <c r="B26" s="32">
        <f>B18+B20+B25</f>
        <v>29625</v>
      </c>
      <c r="C26" s="32">
        <f>C18+C20+C25</f>
        <v>41303</v>
      </c>
      <c r="D26" s="32">
        <f>D18+D20+D25</f>
        <v>48059</v>
      </c>
      <c r="E26" s="32">
        <f>E18+E20+E25</f>
        <v>53762</v>
      </c>
      <c r="F26" s="32">
        <f>F18+F20+F25</f>
        <v>58301</v>
      </c>
    </row>
    <row r="28" ht="24" customHeight="1" spans="1:6" x14ac:dyDescent="0.25">
      <c r="A28" s="19" t="s">
        <v>238</v>
      </c>
      <c r="B28" s="19"/>
      <c r="C28" s="19"/>
      <c r="D28" s="19"/>
      <c r="E28" s="19"/>
      <c r="F28" s="19"/>
    </row>
    <row r="29" spans="1:6" x14ac:dyDescent="0.25">
      <c r="A29" s="10" t="s">
        <v>239</v>
      </c>
      <c r="B29" s="32" t="str">
        <f>SUM(B29:B28)</f>
        <v>0</v>
      </c>
      <c r="C29" s="32" t="str">
        <f>SUM(C29:C28)</f>
        <v>0</v>
      </c>
      <c r="D29" s="32" t="str">
        <f>SUM(D29:D28)</f>
        <v>0</v>
      </c>
      <c r="E29" s="32" t="str">
        <f>SUM(E29:E28)</f>
        <v>0</v>
      </c>
      <c r="F29" s="32" t="str">
        <f>SUM(F29:F28)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240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spans="1:6" x14ac:dyDescent="0.25">
      <c r="A4" s="10" t="s">
        <v>229</v>
      </c>
      <c r="B4" s="34">
        <f>'Budget Detail'!B9</f>
        <v>167500</v>
      </c>
      <c r="C4" s="34">
        <f>'Budget Detail'!C9</f>
        <v>302202</v>
      </c>
      <c r="D4" s="34">
        <f>'Budget Detail'!D9</f>
        <v>423299</v>
      </c>
      <c r="E4" s="34">
        <f>'Budget Detail'!E9</f>
        <v>522542</v>
      </c>
      <c r="F4" s="34">
        <f>'Budget Detail'!F9</f>
        <v>597645</v>
      </c>
    </row>
    <row r="5" spans="1:6" x14ac:dyDescent="0.25">
      <c r="A5" s="10" t="s">
        <v>196</v>
      </c>
      <c r="B5" s="34">
        <f>'Budget Detail'!B14</f>
        <v>64516</v>
      </c>
      <c r="C5" s="34">
        <f>'Budget Detail'!C14</f>
        <v>79742</v>
      </c>
      <c r="D5" s="34">
        <f>'Budget Detail'!D14</f>
        <v>82134</v>
      </c>
      <c r="E5" s="34">
        <f>'Budget Detail'!E14</f>
        <v>84598</v>
      </c>
      <c r="F5" s="34">
        <f>'Budget Detail'!F14</f>
        <v>87136</v>
      </c>
    </row>
    <row r="6" spans="1:6" x14ac:dyDescent="0.25">
      <c r="A6" s="10" t="s">
        <v>237</v>
      </c>
      <c r="B6" s="34">
        <f>'Budget Detail'!B26</f>
        <v>29625</v>
      </c>
      <c r="C6" s="34">
        <f>'Budget Detail'!C26</f>
        <v>41303</v>
      </c>
      <c r="D6" s="34">
        <f>'Budget Detail'!D26</f>
        <v>48059</v>
      </c>
      <c r="E6" s="34">
        <f>'Budget Detail'!E26</f>
        <v>53762</v>
      </c>
      <c r="F6" s="34">
        <f>'Budget Detail'!F26</f>
        <v>58301</v>
      </c>
    </row>
    <row r="7" spans="1:6" x14ac:dyDescent="0.25">
      <c r="A7" s="10" t="s">
        <v>241</v>
      </c>
      <c r="B7" s="34" t="str">
        <f>'Budget Detail'!B29</f>
        <v>0</v>
      </c>
      <c r="C7" s="34" t="str">
        <f>'Budget Detail'!C29</f>
        <v>0</v>
      </c>
      <c r="D7" s="34" t="str">
        <f>'Budget Detail'!D29</f>
        <v>0</v>
      </c>
      <c r="E7" s="34" t="str">
        <f>'Budget Detail'!E29</f>
        <v>0</v>
      </c>
      <c r="F7" s="34" t="str">
        <f>'Budget Detail'!F29</f>
        <v>0</v>
      </c>
    </row>
    <row r="8" spans="1:6" x14ac:dyDescent="0.25">
      <c r="A8" s="10" t="s">
        <v>242</v>
      </c>
      <c r="B8" s="32">
        <f>SUM(B5:B7)</f>
        <v>94141</v>
      </c>
      <c r="C8" s="32">
        <f>SUM(C5:C7)</f>
        <v>121045</v>
      </c>
      <c r="D8" s="32">
        <f>SUM(D5:D7)</f>
        <v>130193</v>
      </c>
      <c r="E8" s="32">
        <f>SUM(E5:E7)</f>
        <v>138361</v>
      </c>
      <c r="F8" s="32">
        <f>SUM(F5:F7)</f>
        <v>145438</v>
      </c>
    </row>
    <row r="10" ht="24" customHeight="1" spans="1:6" x14ac:dyDescent="0.25">
      <c r="A10" s="19" t="s">
        <v>243</v>
      </c>
      <c r="B10" s="19"/>
      <c r="C10" s="19"/>
      <c r="D10" s="19"/>
      <c r="E10" s="19"/>
      <c r="F10" s="19"/>
    </row>
    <row r="11" spans="1:6" x14ac:dyDescent="0.25">
      <c r="A11" s="10" t="s">
        <v>244</v>
      </c>
      <c r="B11" s="33">
        <f>B4-B8</f>
        <v>73359</v>
      </c>
      <c r="C11" s="33">
        <f>C4-C8</f>
        <v>181157</v>
      </c>
      <c r="D11" s="33">
        <f>D4-D8</f>
        <v>293106</v>
      </c>
      <c r="E11" s="33">
        <f>E4-E8</f>
        <v>384182</v>
      </c>
      <c r="F11" s="33">
        <f>F4-F8</f>
        <v>452207</v>
      </c>
    </row>
    <row r="12" spans="1:6" x14ac:dyDescent="0.25">
      <c r="A12" s="11" t="s">
        <v>245</v>
      </c>
      <c r="B12" s="29">
        <f>IF(B4=0,0,B11/B4)</f>
        <v>0.43796269</v>
      </c>
      <c r="C12" s="29">
        <f>IF(C4=0,0,C11/C4)</f>
        <v>0.59945637</v>
      </c>
      <c r="D12" s="29">
        <f>IF(D4=0,0,D11/D4)</f>
        <v>0.69243233</v>
      </c>
      <c r="E12" s="29">
        <f>IF(E4=0,0,E11/E4)</f>
        <v>0.73521644</v>
      </c>
      <c r="F12" s="29">
        <f>IF(F4=0,0,F11/F4)</f>
        <v>0.75664878</v>
      </c>
    </row>
    <row r="13" spans="1:6" x14ac:dyDescent="0.25">
      <c r="A13" s="11" t="s">
        <v>246</v>
      </c>
      <c r="B13" s="31">
        <v>73359</v>
      </c>
      <c r="C13" s="31">
        <v>254516</v>
      </c>
      <c r="D13" s="31">
        <v>547622</v>
      </c>
      <c r="E13" s="31">
        <v>931803</v>
      </c>
      <c r="F13" s="31">
        <v>1384011</v>
      </c>
    </row>
    <row r="14" spans="1:6" x14ac:dyDescent="0.25">
      <c r="A14" s="11" t="s">
        <v>216</v>
      </c>
      <c r="B14" s="31">
        <v>11167</v>
      </c>
      <c r="C14" s="31">
        <v>13736</v>
      </c>
      <c r="D14" s="31">
        <v>14110</v>
      </c>
      <c r="E14" s="31">
        <v>14515</v>
      </c>
      <c r="F14" s="31">
        <v>14941</v>
      </c>
    </row>
    <row r="15" spans="1:6" x14ac:dyDescent="0.25">
      <c r="A15" s="11" t="s">
        <v>247</v>
      </c>
      <c r="B15" s="31">
        <v>6276</v>
      </c>
      <c r="C15" s="31">
        <v>5502</v>
      </c>
      <c r="D15" s="31">
        <v>4340</v>
      </c>
      <c r="E15" s="31">
        <v>3843</v>
      </c>
      <c r="F15" s="31">
        <v>3636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FormatPr defaultRowHeight="15" outlineLevelRow="0" outlineLevelCol="0" x14ac:dyDescent="55"/>
  <cols>
    <col min="1" max="1" width="28" customWidth="1"/>
    <col min="2" max="13" width="14" customWidth="1"/>
    <col min="14" max="14" width="16" customWidth="1"/>
  </cols>
  <sheetData>
    <row r="1" spans="1:14" x14ac:dyDescent="0.25">
      <c r="A1" s="15" t="s">
        <v>248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ht="28" customHeight="1" spans="1:14" x14ac:dyDescent="0.25">
      <c r="A2" s="21" t="s">
        <v>7</v>
      </c>
      <c r="B2" s="21" t="s">
        <v>249</v>
      </c>
      <c r="C2" s="21" t="s">
        <v>250</v>
      </c>
      <c r="D2" s="21" t="s">
        <v>251</v>
      </c>
      <c r="E2" s="21" t="s">
        <v>252</v>
      </c>
      <c r="F2" s="21" t="s">
        <v>253</v>
      </c>
      <c r="G2" s="21" t="s">
        <v>254</v>
      </c>
      <c r="H2" s="21" t="s">
        <v>255</v>
      </c>
      <c r="I2" s="21" t="s">
        <v>256</v>
      </c>
      <c r="J2" s="21" t="s">
        <v>257</v>
      </c>
      <c r="K2" s="21" t="s">
        <v>258</v>
      </c>
      <c r="L2" s="21" t="s">
        <v>259</v>
      </c>
      <c r="M2" s="21" t="s">
        <v>260</v>
      </c>
      <c r="N2" s="21" t="s">
        <v>261</v>
      </c>
    </row>
    <row r="3" ht="24" customHeight="1" spans="1:14" x14ac:dyDescent="0.25">
      <c r="A3" s="19" t="s">
        <v>224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x14ac:dyDescent="0.25">
      <c r="A4" s="10" t="s">
        <v>229</v>
      </c>
      <c r="B4" s="32">
        <v>11050</v>
      </c>
      <c r="C4" s="32">
        <v>20050</v>
      </c>
      <c r="D4" s="32">
        <v>20050</v>
      </c>
      <c r="E4" s="32">
        <v>20050</v>
      </c>
      <c r="F4" s="32">
        <v>20050</v>
      </c>
      <c r="G4" s="32">
        <v>20050</v>
      </c>
      <c r="H4" s="32">
        <v>20050</v>
      </c>
      <c r="I4" s="32">
        <v>20050</v>
      </c>
      <c r="J4" s="32">
        <v>20050</v>
      </c>
      <c r="K4" s="32">
        <v>20050</v>
      </c>
      <c r="L4" s="32">
        <v>9250</v>
      </c>
      <c r="M4" s="32">
        <v>250</v>
      </c>
      <c r="N4" s="32">
        <f>SUM(B4:M4)</f>
        <v>201000</v>
      </c>
    </row>
    <row r="6" ht="24" customHeight="1" spans="1:14" x14ac:dyDescent="0.25">
      <c r="A6" s="19" t="s">
        <v>262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x14ac:dyDescent="0.25">
      <c r="A7" s="11" t="s">
        <v>263</v>
      </c>
      <c r="B7" s="31">
        <v>6452</v>
      </c>
      <c r="C7" s="31">
        <v>6452</v>
      </c>
      <c r="D7" s="31">
        <v>6452</v>
      </c>
      <c r="E7" s="31">
        <v>6452</v>
      </c>
      <c r="F7" s="31">
        <v>6452</v>
      </c>
      <c r="G7" s="31">
        <v>6452</v>
      </c>
      <c r="H7" s="31">
        <v>6452</v>
      </c>
      <c r="I7" s="31">
        <v>6452</v>
      </c>
      <c r="J7" s="31">
        <v>6452</v>
      </c>
      <c r="K7" s="31">
        <v>6452</v>
      </c>
      <c r="L7" s="31">
        <v>0</v>
      </c>
      <c r="M7" s="31">
        <v>0</v>
      </c>
      <c r="N7" s="31">
        <f>SUM(B7:M7)</f>
        <v>64516</v>
      </c>
    </row>
    <row r="8" spans="1:14" x14ac:dyDescent="0.25">
      <c r="A8" s="11" t="s">
        <v>264</v>
      </c>
      <c r="B8" s="31">
        <v>2963</v>
      </c>
      <c r="C8" s="31">
        <v>2963</v>
      </c>
      <c r="D8" s="31">
        <v>2963</v>
      </c>
      <c r="E8" s="31">
        <v>2963</v>
      </c>
      <c r="F8" s="31">
        <v>2963</v>
      </c>
      <c r="G8" s="31">
        <v>2963</v>
      </c>
      <c r="H8" s="31">
        <v>2963</v>
      </c>
      <c r="I8" s="31">
        <v>2963</v>
      </c>
      <c r="J8" s="31">
        <v>2963</v>
      </c>
      <c r="K8" s="31">
        <v>2963</v>
      </c>
      <c r="L8" s="31">
        <v>0</v>
      </c>
      <c r="M8" s="31">
        <v>0</v>
      </c>
      <c r="N8" s="31">
        <f>SUM(B8:M8)</f>
        <v>29625</v>
      </c>
    </row>
    <row r="9" spans="1:14" x14ac:dyDescent="0.25">
      <c r="A9" s="11" t="s">
        <v>265</v>
      </c>
      <c r="B9" s="31">
        <v>0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 t="str">
        <f>SUM(B9:M9)</f>
        <v>0</v>
      </c>
    </row>
    <row r="11" ht="24" customHeight="1" spans="1:14" x14ac:dyDescent="0.25">
      <c r="A11" s="19" t="s">
        <v>266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x14ac:dyDescent="0.25">
      <c r="A12" s="10" t="s">
        <v>242</v>
      </c>
      <c r="B12" s="34">
        <f>B7+B8+B9</f>
        <v>9415</v>
      </c>
      <c r="C12" s="34">
        <f>C7+C8+C9</f>
        <v>9415</v>
      </c>
      <c r="D12" s="34">
        <f>D7+D8+D9</f>
        <v>9415</v>
      </c>
      <c r="E12" s="34">
        <f>E7+E8+E9</f>
        <v>9415</v>
      </c>
      <c r="F12" s="34">
        <f>F7+F8+F9</f>
        <v>9415</v>
      </c>
      <c r="G12" s="34">
        <f>G7+G8+G9</f>
        <v>9415</v>
      </c>
      <c r="H12" s="34">
        <f>H7+H8+H9</f>
        <v>9415</v>
      </c>
      <c r="I12" s="34">
        <f>I7+I8+I9</f>
        <v>9415</v>
      </c>
      <c r="J12" s="34">
        <f>J7+J8+J9</f>
        <v>9415</v>
      </c>
      <c r="K12" s="34">
        <f>K7+K8+K9</f>
        <v>9415</v>
      </c>
      <c r="L12" s="34" t="str">
        <f>L7+L8+L9</f>
        <v>0</v>
      </c>
      <c r="M12" s="34" t="str">
        <f>M7+M8+M9</f>
        <v>0</v>
      </c>
      <c r="N12" s="34">
        <f>SUM(B12:M12)</f>
        <v>94150</v>
      </c>
    </row>
    <row r="13" spans="1:14" x14ac:dyDescent="0.25">
      <c r="A13" s="10" t="s">
        <v>267</v>
      </c>
      <c r="B13" s="34">
        <f>B4-B12</f>
        <v>1635</v>
      </c>
      <c r="C13" s="34">
        <f>C4-C12</f>
        <v>10635</v>
      </c>
      <c r="D13" s="34">
        <f>D4-D12</f>
        <v>10635</v>
      </c>
      <c r="E13" s="34">
        <f>E4-E12</f>
        <v>10635</v>
      </c>
      <c r="F13" s="34">
        <f>F4-F12</f>
        <v>10635</v>
      </c>
      <c r="G13" s="34">
        <f>G4-G12</f>
        <v>10635</v>
      </c>
      <c r="H13" s="34">
        <f>H4-H12</f>
        <v>10635</v>
      </c>
      <c r="I13" s="34">
        <f>I4-I12</f>
        <v>10635</v>
      </c>
      <c r="J13" s="34">
        <f>J4-J12</f>
        <v>10635</v>
      </c>
      <c r="K13" s="34">
        <f>K4-K12</f>
        <v>10635</v>
      </c>
      <c r="L13" s="34">
        <f>L4-L12</f>
        <v>9250</v>
      </c>
      <c r="M13" s="34">
        <f>M4-M12</f>
        <v>250</v>
      </c>
      <c r="N13" s="34">
        <f>SUM(B13:M13)</f>
        <v>106850</v>
      </c>
    </row>
    <row r="14" spans="1:14" x14ac:dyDescent="0.25">
      <c r="A14" s="10" t="s">
        <v>268</v>
      </c>
      <c r="B14" s="38">
        <f>B17+B13</f>
        <v>1635</v>
      </c>
      <c r="C14" s="38">
        <f>B14+C13</f>
        <v>12270</v>
      </c>
      <c r="D14" s="38">
        <f>C14+D13</f>
        <v>22905</v>
      </c>
      <c r="E14" s="38">
        <f>D14+E13</f>
        <v>33540</v>
      </c>
      <c r="F14" s="38">
        <f>E14+F13</f>
        <v>44175</v>
      </c>
      <c r="G14" s="38">
        <f>F14+G13</f>
        <v>54810</v>
      </c>
      <c r="H14" s="38">
        <f>G14+H13</f>
        <v>65445</v>
      </c>
      <c r="I14" s="38">
        <f>H14+I13</f>
        <v>76080</v>
      </c>
      <c r="J14" s="38">
        <f>I14+J13</f>
        <v>86715</v>
      </c>
      <c r="K14" s="38">
        <f>J14+K13</f>
        <v>97350</v>
      </c>
      <c r="L14" s="38">
        <f>K14+L13</f>
        <v>106600</v>
      </c>
      <c r="M14" s="38">
        <f>L14+M13</f>
        <v>106850</v>
      </c>
      <c r="N14" s="33">
        <f>M14</f>
        <v>106850</v>
      </c>
    </row>
    <row r="16" ht="24" customHeight="1" spans="1:3" x14ac:dyDescent="0.25">
      <c r="A16" s="19" t="s">
        <v>269</v>
      </c>
      <c r="B16" s="19"/>
      <c r="C16" s="19"/>
    </row>
    <row r="17" spans="1:2" x14ac:dyDescent="0.25">
      <c r="A17" s="11" t="s">
        <v>155</v>
      </c>
      <c r="B17" s="23">
        <v>0</v>
      </c>
    </row>
    <row r="18" spans="1:2" x14ac:dyDescent="0.25">
      <c r="A18" s="11" t="s">
        <v>270</v>
      </c>
      <c r="B18" s="38">
        <f>M14</f>
        <v>106850</v>
      </c>
    </row>
    <row r="19" spans="1:2" x14ac:dyDescent="0.25">
      <c r="A19" s="11" t="s">
        <v>271</v>
      </c>
      <c r="B19" s="31">
        <f>MIN(B14:M14)</f>
        <v>1635</v>
      </c>
    </row>
  </sheetData>
  <mergeCells count="1">
    <mergeCell ref="A1:N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272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224</v>
      </c>
      <c r="B4" s="19"/>
      <c r="C4" s="19"/>
      <c r="D4" s="19"/>
      <c r="E4" s="19"/>
      <c r="F4" s="19"/>
    </row>
    <row r="5" spans="1:6" x14ac:dyDescent="0.25">
      <c r="A5" s="39" t="s">
        <v>229</v>
      </c>
      <c r="B5" s="32">
        <v>167500</v>
      </c>
      <c r="C5" s="32">
        <v>302202</v>
      </c>
      <c r="D5" s="32">
        <v>423299</v>
      </c>
      <c r="E5" s="32">
        <v>522542</v>
      </c>
      <c r="F5" s="32">
        <v>597645</v>
      </c>
    </row>
    <row r="7" ht="24" customHeight="1" spans="1:6" x14ac:dyDescent="0.25">
      <c r="A7" s="19" t="s">
        <v>262</v>
      </c>
      <c r="B7" s="19"/>
      <c r="C7" s="19"/>
      <c r="D7" s="19"/>
      <c r="E7" s="19"/>
      <c r="F7" s="19"/>
    </row>
    <row r="8" spans="1:6" x14ac:dyDescent="0.25">
      <c r="A8" s="10" t="s">
        <v>263</v>
      </c>
      <c r="B8" s="34">
        <v>64516</v>
      </c>
      <c r="C8" s="34">
        <v>79742</v>
      </c>
      <c r="D8" s="34">
        <v>82134</v>
      </c>
      <c r="E8" s="34">
        <v>84598</v>
      </c>
      <c r="F8" s="34">
        <v>87136</v>
      </c>
    </row>
    <row r="9" spans="1:6" x14ac:dyDescent="0.25">
      <c r="A9" s="10" t="s">
        <v>264</v>
      </c>
      <c r="B9" s="34">
        <v>29625</v>
      </c>
      <c r="C9" s="34">
        <v>41303</v>
      </c>
      <c r="D9" s="34">
        <v>48059</v>
      </c>
      <c r="E9" s="34">
        <v>53762</v>
      </c>
      <c r="F9" s="34">
        <v>58301</v>
      </c>
    </row>
    <row r="10" spans="1:6" x14ac:dyDescent="0.25">
      <c r="A10" s="10" t="s">
        <v>273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</row>
    <row r="11" spans="1:6" x14ac:dyDescent="0.25">
      <c r="A11" s="39" t="s">
        <v>242</v>
      </c>
      <c r="B11" s="32">
        <f>SUM(B8:B10)</f>
        <v>94141</v>
      </c>
      <c r="C11" s="32">
        <f>SUM(C8:C10)</f>
        <v>121045</v>
      </c>
      <c r="D11" s="32">
        <f>SUM(D8:D10)</f>
        <v>130193</v>
      </c>
      <c r="E11" s="32">
        <f>SUM(E8:E10)</f>
        <v>138361</v>
      </c>
      <c r="F11" s="32">
        <f>SUM(F8:F10)</f>
        <v>145438</v>
      </c>
    </row>
    <row r="13" ht="24" customHeight="1" spans="1:6" x14ac:dyDescent="0.25">
      <c r="A13" s="19" t="s">
        <v>274</v>
      </c>
      <c r="B13" s="19"/>
      <c r="C13" s="19"/>
      <c r="D13" s="19"/>
      <c r="E13" s="19"/>
      <c r="F13" s="19"/>
    </row>
    <row r="14" spans="1:6" x14ac:dyDescent="0.25">
      <c r="A14" s="39" t="s">
        <v>244</v>
      </c>
      <c r="B14" s="33">
        <f>B5-B11</f>
        <v>73359</v>
      </c>
      <c r="C14" s="33">
        <f>C5-C11</f>
        <v>181157</v>
      </c>
      <c r="D14" s="33">
        <f>D5-D11</f>
        <v>293106</v>
      </c>
      <c r="E14" s="33">
        <f>E5-E11</f>
        <v>384182</v>
      </c>
      <c r="F14" s="33">
        <f>F5-F11</f>
        <v>452207</v>
      </c>
    </row>
    <row r="15" spans="1:6" x14ac:dyDescent="0.25">
      <c r="A15" s="11" t="s">
        <v>245</v>
      </c>
      <c r="B15" s="29">
        <f>IF(B5=0,0,B14/B5)</f>
        <v>0.43796269</v>
      </c>
      <c r="C15" s="29">
        <f>IF(C5=0,0,C14/C5)</f>
        <v>0.59945637</v>
      </c>
      <c r="D15" s="29">
        <f>IF(D5=0,0,D14/D5)</f>
        <v>0.69243233</v>
      </c>
      <c r="E15" s="29">
        <f>IF(E5=0,0,E14/E5)</f>
        <v>0.73521644</v>
      </c>
      <c r="F15" s="29">
        <f>IF(F5=0,0,F14/F5)</f>
        <v>0.75664878</v>
      </c>
    </row>
    <row r="16" spans="1:6" x14ac:dyDescent="0.25">
      <c r="A16" s="10" t="s">
        <v>246</v>
      </c>
      <c r="B16" s="34">
        <f>B14</f>
        <v>73359</v>
      </c>
      <c r="C16" s="34">
        <f>B16+C14</f>
        <v>254516</v>
      </c>
      <c r="D16" s="34">
        <f>C16+D14</f>
        <v>547622</v>
      </c>
      <c r="E16" s="34">
        <f>D16+E14</f>
        <v>931803</v>
      </c>
      <c r="F16" s="34">
        <f>E16+F14</f>
        <v>1384011</v>
      </c>
    </row>
    <row r="17" spans="1:6" x14ac:dyDescent="0.25">
      <c r="A17" s="10" t="s">
        <v>275</v>
      </c>
      <c r="B17" s="40" t="s">
        <v>276</v>
      </c>
      <c r="C17" s="41" t="s">
        <v>7</v>
      </c>
      <c r="D17" s="41" t="s">
        <v>7</v>
      </c>
      <c r="E17" s="41" t="s">
        <v>7</v>
      </c>
      <c r="F17" s="41" t="s">
        <v>7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5" t="s">
        <v>79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277</v>
      </c>
      <c r="B4" s="19"/>
      <c r="C4" s="19"/>
      <c r="D4" s="19"/>
      <c r="E4" s="19"/>
      <c r="F4" s="19"/>
    </row>
    <row r="5" spans="1:5" x14ac:dyDescent="0.25">
      <c r="A5" s="42" t="s">
        <v>278</v>
      </c>
      <c r="B5" s="43" t="s">
        <v>147</v>
      </c>
      <c r="C5" s="44" t="s">
        <v>279</v>
      </c>
      <c r="D5" s="42" t="s">
        <v>280</v>
      </c>
      <c r="E5" s="43" t="s">
        <v>210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281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282</v>
      </c>
      <c r="B4" s="19"/>
      <c r="C4" s="19"/>
      <c r="D4" s="19"/>
      <c r="E4" s="19"/>
      <c r="F4" s="19"/>
    </row>
    <row r="5" spans="1:6" x14ac:dyDescent="0.25">
      <c r="A5" s="11" t="s">
        <v>283</v>
      </c>
      <c r="B5" s="45">
        <f>'Monthly Cash Flow Y1'!M14</f>
        <v>106850</v>
      </c>
      <c r="C5" s="45">
        <f>B5+'5-Year Operating Stmt'!C14</f>
        <v>288007</v>
      </c>
      <c r="D5" s="45">
        <f>B5+'5-Year Operating Stmt'!C14+'5-Year Operating Stmt'!D14</f>
        <v>581113</v>
      </c>
      <c r="E5" s="45">
        <f>B5+'5-Year Operating Stmt'!C14+'5-Year Operating Stmt'!D14+'5-Year Operating Stmt'!E14</f>
        <v>965294</v>
      </c>
      <c r="F5" s="45">
        <f>B5+'5-Year Operating Stmt'!C14+'5-Year Operating Stmt'!D14+'5-Year Operating Stmt'!E14+'5-Year Operating Stmt'!F14</f>
        <v>1417502</v>
      </c>
    </row>
    <row r="6" spans="1:6" x14ac:dyDescent="0.25">
      <c r="A6" s="11" t="s">
        <v>284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</row>
    <row r="7" spans="1:6" x14ac:dyDescent="0.25">
      <c r="A7" s="11" t="s">
        <v>285</v>
      </c>
      <c r="B7" s="31">
        <v>2000</v>
      </c>
      <c r="C7" s="31">
        <v>2000</v>
      </c>
      <c r="D7" s="31">
        <v>2000</v>
      </c>
      <c r="E7" s="31">
        <v>2000</v>
      </c>
      <c r="F7" s="31">
        <v>2000</v>
      </c>
    </row>
    <row r="8" spans="1:6" x14ac:dyDescent="0.25">
      <c r="A8" s="11" t="s">
        <v>286</v>
      </c>
      <c r="B8" s="31">
        <v>0</v>
      </c>
      <c r="C8" s="31">
        <v>0</v>
      </c>
      <c r="D8" s="31">
        <v>0</v>
      </c>
      <c r="E8" s="31">
        <v>0</v>
      </c>
      <c r="F8" s="31">
        <v>0</v>
      </c>
    </row>
    <row r="9" spans="1:6" x14ac:dyDescent="0.25">
      <c r="A9" s="10" t="s">
        <v>287</v>
      </c>
      <c r="B9" s="32">
        <f>SUM(B5:B8)</f>
        <v>108850</v>
      </c>
      <c r="C9" s="32">
        <f>SUM(C5:C8)</f>
        <v>290007</v>
      </c>
      <c r="D9" s="32">
        <f>SUM(D5:D8)</f>
        <v>583113</v>
      </c>
      <c r="E9" s="32">
        <f>SUM(E5:E8)</f>
        <v>967294</v>
      </c>
      <c r="F9" s="32">
        <f>SUM(F5:F8)</f>
        <v>1419502</v>
      </c>
    </row>
    <row r="11" ht="24" customHeight="1" spans="1:6" x14ac:dyDescent="0.25">
      <c r="A11" s="19" t="s">
        <v>288</v>
      </c>
      <c r="B11" s="19"/>
      <c r="C11" s="19"/>
      <c r="D11" s="19"/>
      <c r="E11" s="19"/>
      <c r="F11" s="19"/>
    </row>
    <row r="12" spans="1:6" x14ac:dyDescent="0.25">
      <c r="A12" s="11" t="s">
        <v>289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</row>
    <row r="13" spans="1:6" x14ac:dyDescent="0.25">
      <c r="A13" s="11" t="s">
        <v>290</v>
      </c>
      <c r="B13" s="31">
        <v>0</v>
      </c>
      <c r="C13" s="31">
        <v>0</v>
      </c>
      <c r="D13" s="31">
        <v>0</v>
      </c>
      <c r="E13" s="31">
        <v>0</v>
      </c>
      <c r="F13" s="31">
        <v>0</v>
      </c>
    </row>
    <row r="14" spans="1:6" x14ac:dyDescent="0.25">
      <c r="A14" s="10" t="s">
        <v>291</v>
      </c>
      <c r="B14" s="32" t="str">
        <f>SUM(B12:B13)</f>
        <v>0</v>
      </c>
      <c r="C14" s="32" t="str">
        <f>SUM(C12:C13)</f>
        <v>0</v>
      </c>
      <c r="D14" s="32" t="str">
        <f>SUM(D12:D13)</f>
        <v>0</v>
      </c>
      <c r="E14" s="32" t="str">
        <f>SUM(E12:E13)</f>
        <v>0</v>
      </c>
      <c r="F14" s="32" t="str">
        <f>SUM(F12:F13)</f>
        <v>0</v>
      </c>
    </row>
    <row r="16" ht="24" customHeight="1" spans="1:6" x14ac:dyDescent="0.25">
      <c r="A16" s="19" t="s">
        <v>292</v>
      </c>
      <c r="B16" s="19"/>
      <c r="C16" s="19"/>
      <c r="D16" s="19"/>
      <c r="E16" s="19"/>
      <c r="F16" s="19"/>
    </row>
    <row r="17" spans="1:6" x14ac:dyDescent="0.25">
      <c r="A17" s="10" t="s">
        <v>293</v>
      </c>
      <c r="B17" s="33">
        <f>B9-B14</f>
        <v>108850</v>
      </c>
      <c r="C17" s="33">
        <f>C9-C14</f>
        <v>290007</v>
      </c>
      <c r="D17" s="33">
        <f>D9-D14</f>
        <v>583113</v>
      </c>
      <c r="E17" s="33">
        <f>E9-E14</f>
        <v>967294</v>
      </c>
      <c r="F17" s="33">
        <f>F9-F14</f>
        <v>1419502</v>
      </c>
    </row>
    <row r="19" spans="1:6" x14ac:dyDescent="0.25">
      <c r="A19" s="10" t="s">
        <v>294</v>
      </c>
      <c r="B19" s="46" t="str">
        <f>B9-B14-B17</f>
        <v>0</v>
      </c>
      <c r="C19" s="46" t="str">
        <f>C9-C14-C17</f>
        <v>0</v>
      </c>
      <c r="D19" s="46" t="str">
        <f>D9-D14-D17</f>
        <v>0</v>
      </c>
      <c r="E19" s="46" t="str">
        <f>E9-E14-E17</f>
        <v>0</v>
      </c>
      <c r="F19" s="46" t="str">
        <f>F9-F14-F17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5" t="s">
        <v>295</v>
      </c>
      <c r="B1" s="15"/>
      <c r="C1" s="15"/>
      <c r="D1" s="15"/>
      <c r="E1" s="15"/>
      <c r="F1" s="15"/>
    </row>
    <row r="3" ht="28" customHeight="1" spans="1:6" x14ac:dyDescent="0.25">
      <c r="A3" s="21" t="s">
        <v>7</v>
      </c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</row>
    <row r="4" ht="24" customHeight="1" spans="1:6" x14ac:dyDescent="0.25">
      <c r="A4" s="19" t="s">
        <v>296</v>
      </c>
      <c r="B4" s="19"/>
      <c r="C4" s="19"/>
      <c r="D4" s="19"/>
      <c r="E4" s="19"/>
      <c r="F4" s="19"/>
    </row>
    <row r="5" spans="1:6" x14ac:dyDescent="0.25">
      <c r="A5" s="11" t="s">
        <v>297</v>
      </c>
      <c r="B5" s="31">
        <v>167500</v>
      </c>
      <c r="C5" s="31">
        <v>302202</v>
      </c>
      <c r="D5" s="31">
        <v>423299</v>
      </c>
      <c r="E5" s="31">
        <v>522542</v>
      </c>
      <c r="F5" s="31">
        <v>597645</v>
      </c>
    </row>
    <row r="6" spans="1:6" x14ac:dyDescent="0.25">
      <c r="A6" s="11" t="s">
        <v>263</v>
      </c>
      <c r="B6" s="31">
        <v>64516</v>
      </c>
      <c r="C6" s="31">
        <v>79742</v>
      </c>
      <c r="D6" s="31">
        <v>82134</v>
      </c>
      <c r="E6" s="31">
        <v>84598</v>
      </c>
      <c r="F6" s="31">
        <v>87136</v>
      </c>
    </row>
    <row r="7" spans="1:6" x14ac:dyDescent="0.25">
      <c r="A7" s="11" t="s">
        <v>264</v>
      </c>
      <c r="B7" s="31">
        <v>29625</v>
      </c>
      <c r="C7" s="31">
        <v>41303</v>
      </c>
      <c r="D7" s="31">
        <v>48059</v>
      </c>
      <c r="E7" s="31">
        <v>53762</v>
      </c>
      <c r="F7" s="31">
        <v>58301</v>
      </c>
    </row>
    <row r="8" spans="1:6" x14ac:dyDescent="0.25">
      <c r="A8" s="10" t="s">
        <v>298</v>
      </c>
      <c r="B8" s="34">
        <f>B5-B6-B7</f>
        <v>73359</v>
      </c>
      <c r="C8" s="34">
        <f>C5-C6-C7</f>
        <v>181157</v>
      </c>
      <c r="D8" s="34">
        <f>D5-D6-D7</f>
        <v>293106</v>
      </c>
      <c r="E8" s="34">
        <f>E5-E6-E7</f>
        <v>384182</v>
      </c>
      <c r="F8" s="34">
        <f>F5-F6-F7</f>
        <v>452207</v>
      </c>
    </row>
    <row r="9" spans="1:6" x14ac:dyDescent="0.25">
      <c r="A9" s="11" t="s">
        <v>265</v>
      </c>
      <c r="B9" s="31">
        <v>0</v>
      </c>
      <c r="C9" s="31">
        <v>0</v>
      </c>
      <c r="D9" s="31">
        <v>0</v>
      </c>
      <c r="E9" s="31">
        <v>0</v>
      </c>
      <c r="F9" s="31">
        <v>0</v>
      </c>
    </row>
    <row r="10" spans="1:6" x14ac:dyDescent="0.25">
      <c r="A10" s="10" t="s">
        <v>299</v>
      </c>
      <c r="B10" s="47" t="s">
        <v>300</v>
      </c>
      <c r="C10" s="47" t="s">
        <v>300</v>
      </c>
      <c r="D10" s="47" t="s">
        <v>300</v>
      </c>
      <c r="E10" s="47" t="s">
        <v>300</v>
      </c>
      <c r="F10" s="47" t="s">
        <v>300</v>
      </c>
    </row>
    <row r="12" ht="24" customHeight="1" spans="1:6" x14ac:dyDescent="0.25">
      <c r="A12" s="19" t="s">
        <v>301</v>
      </c>
      <c r="B12" s="19"/>
      <c r="C12" s="19"/>
      <c r="D12" s="19"/>
      <c r="E12" s="19"/>
      <c r="F12" s="19"/>
    </row>
    <row r="13" spans="1:6" x14ac:dyDescent="0.25">
      <c r="A13" s="11" t="s">
        <v>302</v>
      </c>
      <c r="B13" s="31">
        <v>106850</v>
      </c>
      <c r="C13" s="31">
        <v>288007</v>
      </c>
      <c r="D13" s="31">
        <v>581113</v>
      </c>
      <c r="E13" s="31">
        <v>965294</v>
      </c>
      <c r="F13" s="31">
        <v>1417502</v>
      </c>
    </row>
    <row r="14" spans="1:6" x14ac:dyDescent="0.25">
      <c r="A14" s="11" t="s">
        <v>303</v>
      </c>
      <c r="B14" s="48">
        <f>IF((B6+B7+B9)=0,0,(B13/(B6+B7+B9))*365)</f>
        <v>414</v>
      </c>
      <c r="C14" s="48">
        <f>IF((C6+C7+C9)=0,0,(C13/(C6+C7+C9))*365)</f>
        <v>868</v>
      </c>
      <c r="D14" s="48">
        <f>IF((D6+D7+D9)=0,0,(D13/(D6+D7+D9))*365)</f>
        <v>1629</v>
      </c>
      <c r="E14" s="48">
        <f>IF((E6+E7+E9)=0,0,(E13/(E6+E7+E9))*365)</f>
        <v>2546</v>
      </c>
      <c r="F14" s="48">
        <f>IF((F6+F7+F9)=0,0,(F13/(F6+F7+F9))*365)</f>
        <v>3557</v>
      </c>
    </row>
    <row r="15" spans="1:6" x14ac:dyDescent="0.25">
      <c r="A15" s="11" t="s">
        <v>304</v>
      </c>
      <c r="B15" s="35">
        <f>IF((B6+B7+B9)=0,0,B13/((B6+B7+B9)/12))</f>
        <v>13.6</v>
      </c>
      <c r="C15" s="35">
        <f>IF((C6+C7+C9)=0,0,C13/((C6+C7+C9)/12))</f>
        <v>28.6</v>
      </c>
      <c r="D15" s="35">
        <f>IF((D6+D7+D9)=0,0,D13/((D6+D7+D9)/12))</f>
        <v>53.6</v>
      </c>
      <c r="E15" s="35">
        <f>IF((E6+E7+E9)=0,0,E13/((E6+E7+E9)/12))</f>
        <v>83.7</v>
      </c>
      <c r="F15" s="35">
        <f>IF((F6+F7+F9)=0,0,F13/((F6+F7+F9)/12))</f>
        <v>117</v>
      </c>
    </row>
    <row r="16" spans="1:6" x14ac:dyDescent="0.25">
      <c r="A16" s="11" t="s">
        <v>180</v>
      </c>
      <c r="B16" s="29">
        <v>0.375</v>
      </c>
      <c r="C16" s="29">
        <v>0.55</v>
      </c>
      <c r="D16" s="29">
        <v>0.75</v>
      </c>
      <c r="E16" s="29">
        <v>0.9</v>
      </c>
      <c r="F16" s="29">
        <v>1</v>
      </c>
    </row>
    <row r="18" ht="24" customHeight="1" spans="1:6" x14ac:dyDescent="0.25">
      <c r="A18" s="19" t="s">
        <v>305</v>
      </c>
      <c r="B18" s="19"/>
      <c r="C18" s="19"/>
      <c r="D18" s="19"/>
      <c r="E18" s="19"/>
      <c r="F18" s="19"/>
    </row>
    <row r="19" spans="1:6" x14ac:dyDescent="0.25">
      <c r="A19" s="11" t="s">
        <v>216</v>
      </c>
      <c r="B19" s="31">
        <v>11167</v>
      </c>
      <c r="C19" s="31">
        <v>13736</v>
      </c>
      <c r="D19" s="31">
        <v>14110</v>
      </c>
      <c r="E19" s="31">
        <v>14515</v>
      </c>
      <c r="F19" s="31">
        <v>14941</v>
      </c>
    </row>
    <row r="20" spans="1:6" x14ac:dyDescent="0.25">
      <c r="A20" s="11" t="s">
        <v>306</v>
      </c>
      <c r="B20" s="31">
        <v>64516</v>
      </c>
      <c r="C20" s="31">
        <v>79742</v>
      </c>
      <c r="D20" s="31">
        <v>82134</v>
      </c>
      <c r="E20" s="31">
        <v>84598</v>
      </c>
      <c r="F20" s="31">
        <v>87136</v>
      </c>
    </row>
    <row r="21" spans="1:6" x14ac:dyDescent="0.25">
      <c r="A21" s="11" t="s">
        <v>307</v>
      </c>
      <c r="B21" s="31">
        <v>1975</v>
      </c>
      <c r="C21" s="31">
        <v>1877</v>
      </c>
      <c r="D21" s="31">
        <v>1602</v>
      </c>
      <c r="E21" s="31">
        <v>1493</v>
      </c>
      <c r="F21" s="31">
        <v>1458</v>
      </c>
    </row>
    <row r="22" spans="1:6" x14ac:dyDescent="0.25">
      <c r="A22" s="10" t="s">
        <v>308</v>
      </c>
      <c r="B22" s="49">
        <v>8</v>
      </c>
      <c r="C22" s="49">
        <v>7</v>
      </c>
      <c r="D22" s="49">
        <v>7</v>
      </c>
      <c r="E22" s="49">
        <v>7</v>
      </c>
      <c r="F22" s="49">
        <v>7</v>
      </c>
    </row>
    <row r="24" ht="24" customHeight="1" spans="1:6" x14ac:dyDescent="0.25">
      <c r="A24" s="19" t="s">
        <v>309</v>
      </c>
      <c r="B24" s="19"/>
      <c r="C24" s="19"/>
      <c r="D24" s="19"/>
      <c r="E24" s="19"/>
      <c r="F24" s="19"/>
    </row>
    <row r="25" spans="1:6" x14ac:dyDescent="0.25">
      <c r="A25" s="11" t="s">
        <v>310</v>
      </c>
      <c r="B25" s="50" t="s">
        <v>300</v>
      </c>
      <c r="C25" s="50" t="s">
        <v>300</v>
      </c>
      <c r="D25" s="50" t="s">
        <v>300</v>
      </c>
      <c r="E25" s="50" t="s">
        <v>300</v>
      </c>
      <c r="F25" s="50" t="s">
        <v>300</v>
      </c>
    </row>
    <row r="26" spans="1:6" x14ac:dyDescent="0.25">
      <c r="A26" s="11" t="s">
        <v>311</v>
      </c>
      <c r="B26" s="51" t="s">
        <v>312</v>
      </c>
      <c r="C26" s="51" t="s">
        <v>312</v>
      </c>
      <c r="D26" s="51" t="s">
        <v>312</v>
      </c>
      <c r="E26" s="51" t="s">
        <v>312</v>
      </c>
      <c r="F26" s="51" t="s">
        <v>312</v>
      </c>
    </row>
    <row r="27" spans="1:6" x14ac:dyDescent="0.25">
      <c r="A27" s="11" t="s">
        <v>313</v>
      </c>
      <c r="B27" s="52" t="s">
        <v>314</v>
      </c>
      <c r="C27" s="52" t="s">
        <v>314</v>
      </c>
      <c r="D27" s="51" t="s">
        <v>312</v>
      </c>
      <c r="E27" s="51" t="s">
        <v>312</v>
      </c>
      <c r="F27" s="51" t="s">
        <v>312</v>
      </c>
    </row>
    <row r="28" spans="1:6" x14ac:dyDescent="0.25">
      <c r="A28" s="11" t="s">
        <v>315</v>
      </c>
      <c r="B28" s="51" t="s">
        <v>312</v>
      </c>
      <c r="C28" s="51" t="s">
        <v>312</v>
      </c>
      <c r="D28" s="51" t="s">
        <v>312</v>
      </c>
      <c r="E28" s="51" t="s">
        <v>312</v>
      </c>
      <c r="F28" s="51" t="s">
        <v>312</v>
      </c>
    </row>
    <row r="29" spans="1:6" x14ac:dyDescent="0.25">
      <c r="A29" s="11" t="s">
        <v>316</v>
      </c>
      <c r="B29" s="51" t="s">
        <v>312</v>
      </c>
      <c r="C29" s="51" t="s">
        <v>312</v>
      </c>
      <c r="D29" s="51" t="s">
        <v>312</v>
      </c>
      <c r="E29" s="51" t="s">
        <v>312</v>
      </c>
      <c r="F29" s="51" t="s">
        <v>312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FormatPr defaultRowHeight="15" outlineLevelRow="0" outlineLevelCol="0" x14ac:dyDescent="55"/>
  <cols>
    <col min="1" max="1" width="36" customWidth="1"/>
    <col min="2" max="2" width="20" customWidth="1"/>
    <col min="3" max="3" width="8" customWidth="1"/>
    <col min="4" max="4" width="36" customWidth="1"/>
    <col min="5" max="5" width="20" customWidth="1"/>
  </cols>
  <sheetData>
    <row r="1" spans="1:5" x14ac:dyDescent="0.25">
      <c r="A1" s="15" t="s">
        <v>85</v>
      </c>
      <c r="B1" s="15"/>
      <c r="C1" s="15"/>
      <c r="D1" s="15"/>
      <c r="E1" s="15"/>
    </row>
    <row r="3" spans="1:5" x14ac:dyDescent="0.25">
      <c r="A3" s="53" t="s">
        <v>317</v>
      </c>
      <c r="B3" s="53" t="s">
        <v>112</v>
      </c>
      <c r="D3" s="53" t="s">
        <v>318</v>
      </c>
      <c r="E3" s="53" t="s">
        <v>112</v>
      </c>
    </row>
    <row r="4" spans="1:5" x14ac:dyDescent="0.25">
      <c r="A4" s="11" t="s">
        <v>319</v>
      </c>
      <c r="B4" s="31">
        <v>12000</v>
      </c>
      <c r="D4" s="11" t="s">
        <v>320</v>
      </c>
      <c r="E4" s="31">
        <v>12000</v>
      </c>
    </row>
    <row r="6" spans="1:5" x14ac:dyDescent="0.25">
      <c r="A6" s="10" t="s">
        <v>321</v>
      </c>
      <c r="B6" s="33">
        <v>12000</v>
      </c>
      <c r="D6" s="10" t="s">
        <v>322</v>
      </c>
      <c r="E6" s="33">
        <v>12000</v>
      </c>
    </row>
    <row r="7" spans="1:2" x14ac:dyDescent="0.25">
      <c r="A7" s="10" t="s">
        <v>323</v>
      </c>
      <c r="B7" s="46">
        <v>0</v>
      </c>
    </row>
  </sheetData>
  <mergeCells count="1">
    <mergeCell ref="A1:E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5" t="s">
        <v>324</v>
      </c>
      <c r="B1" s="15"/>
      <c r="C1" s="15"/>
      <c r="D1" s="15"/>
      <c r="E1" s="15"/>
      <c r="F1" s="15"/>
    </row>
    <row r="3" ht="24" customHeight="1" spans="1:6" x14ac:dyDescent="0.25">
      <c r="A3" s="19" t="s">
        <v>325</v>
      </c>
      <c r="B3" s="19"/>
      <c r="C3" s="19"/>
      <c r="D3" s="19"/>
      <c r="E3" s="19"/>
      <c r="F3" s="19"/>
    </row>
    <row r="4" spans="1:1" x14ac:dyDescent="0.25">
      <c r="A4" s="17" t="s">
        <v>326</v>
      </c>
    </row>
    <row r="5" ht="28" customHeight="1" spans="1:6" x14ac:dyDescent="0.25">
      <c r="A5" s="21" t="s">
        <v>7</v>
      </c>
      <c r="B5" s="21" t="s">
        <v>102</v>
      </c>
      <c r="C5" s="21" t="s">
        <v>103</v>
      </c>
      <c r="D5" s="21" t="s">
        <v>104</v>
      </c>
      <c r="E5" s="21" t="s">
        <v>105</v>
      </c>
      <c r="F5" s="21" t="s">
        <v>106</v>
      </c>
    </row>
    <row r="6" spans="1:6" x14ac:dyDescent="0.25">
      <c r="A6" s="11" t="s">
        <v>297</v>
      </c>
      <c r="B6" s="31">
        <v>167500</v>
      </c>
      <c r="C6" s="31">
        <v>302202</v>
      </c>
      <c r="D6" s="31">
        <v>423299</v>
      </c>
      <c r="E6" s="31">
        <v>522542</v>
      </c>
      <c r="F6" s="31">
        <v>597645</v>
      </c>
    </row>
    <row r="7" spans="1:6" x14ac:dyDescent="0.25">
      <c r="A7" s="11" t="s">
        <v>242</v>
      </c>
      <c r="B7" s="31">
        <v>94141</v>
      </c>
      <c r="C7" s="31">
        <v>121045</v>
      </c>
      <c r="D7" s="31">
        <v>130193</v>
      </c>
      <c r="E7" s="31">
        <v>138361</v>
      </c>
      <c r="F7" s="31">
        <v>145438</v>
      </c>
    </row>
    <row r="8" spans="1:6" x14ac:dyDescent="0.25">
      <c r="A8" s="10" t="s">
        <v>244</v>
      </c>
      <c r="B8" s="33">
        <v>73359</v>
      </c>
      <c r="C8" s="33">
        <v>181157</v>
      </c>
      <c r="D8" s="33">
        <v>293106</v>
      </c>
      <c r="E8" s="33">
        <v>384182</v>
      </c>
      <c r="F8" s="33">
        <v>452207</v>
      </c>
    </row>
    <row r="9" spans="1:6" x14ac:dyDescent="0.25">
      <c r="A9" s="11" t="s">
        <v>245</v>
      </c>
      <c r="B9" s="29">
        <v>0.4379626865671642</v>
      </c>
      <c r="C9" s="29">
        <v>0.5994563735514655</v>
      </c>
      <c r="D9" s="29">
        <v>0.6924323308270677</v>
      </c>
      <c r="E9" s="29">
        <v>0.7352164366373901</v>
      </c>
      <c r="F9" s="29">
        <v>0.7566487758945386</v>
      </c>
    </row>
    <row r="10" spans="1:6" x14ac:dyDescent="0.25">
      <c r="A10" s="11" t="s">
        <v>299</v>
      </c>
      <c r="B10" s="54" t="s">
        <v>300</v>
      </c>
      <c r="C10" s="54" t="s">
        <v>300</v>
      </c>
      <c r="D10" s="54" t="s">
        <v>300</v>
      </c>
      <c r="E10" s="54" t="s">
        <v>300</v>
      </c>
      <c r="F10" s="54" t="s">
        <v>300</v>
      </c>
    </row>
    <row r="11" spans="1:6" x14ac:dyDescent="0.25">
      <c r="A11" s="11" t="s">
        <v>308</v>
      </c>
      <c r="B11" s="48">
        <v>8</v>
      </c>
      <c r="C11" s="48">
        <v>7</v>
      </c>
      <c r="D11" s="48">
        <v>7</v>
      </c>
      <c r="E11" s="48">
        <v>7</v>
      </c>
      <c r="F11" s="48">
        <v>7</v>
      </c>
    </row>
    <row r="13" ht="24" customHeight="1" spans="1:6" x14ac:dyDescent="0.25">
      <c r="A13" s="19" t="s">
        <v>327</v>
      </c>
      <c r="B13" s="19"/>
      <c r="C13" s="19"/>
      <c r="D13" s="19"/>
      <c r="E13" s="19"/>
      <c r="F13" s="19"/>
    </row>
    <row r="14" spans="1:1" x14ac:dyDescent="0.25">
      <c r="A14" s="17" t="s">
        <v>328</v>
      </c>
    </row>
    <row r="15" ht="28" customHeight="1" spans="1:6" x14ac:dyDescent="0.25">
      <c r="A15" s="21" t="s">
        <v>7</v>
      </c>
      <c r="B15" s="21" t="s">
        <v>102</v>
      </c>
      <c r="C15" s="21" t="s">
        <v>103</v>
      </c>
      <c r="D15" s="21" t="s">
        <v>104</v>
      </c>
      <c r="E15" s="21" t="s">
        <v>105</v>
      </c>
      <c r="F15" s="21" t="s">
        <v>106</v>
      </c>
    </row>
    <row r="16" spans="1:6" x14ac:dyDescent="0.25">
      <c r="A16" s="11" t="s">
        <v>297</v>
      </c>
      <c r="B16" s="31">
        <v>125625</v>
      </c>
      <c r="C16" s="31">
        <v>226652</v>
      </c>
      <c r="D16" s="31">
        <v>317474</v>
      </c>
      <c r="E16" s="31">
        <v>391907</v>
      </c>
      <c r="F16" s="31">
        <v>448234</v>
      </c>
    </row>
    <row r="17" spans="1:6" x14ac:dyDescent="0.25">
      <c r="A17" s="11" t="s">
        <v>242</v>
      </c>
      <c r="B17" s="31">
        <v>94141</v>
      </c>
      <c r="C17" s="31">
        <v>121045</v>
      </c>
      <c r="D17" s="31">
        <v>130193</v>
      </c>
      <c r="E17" s="31">
        <v>138361</v>
      </c>
      <c r="F17" s="31">
        <v>145438</v>
      </c>
    </row>
    <row r="18" spans="1:6" x14ac:dyDescent="0.25">
      <c r="A18" s="10" t="s">
        <v>244</v>
      </c>
      <c r="B18" s="33">
        <v>31484</v>
      </c>
      <c r="C18" s="33">
        <v>105606</v>
      </c>
      <c r="D18" s="33">
        <v>187281</v>
      </c>
      <c r="E18" s="33">
        <v>253546</v>
      </c>
      <c r="F18" s="33">
        <v>302796</v>
      </c>
    </row>
    <row r="19" spans="1:6" x14ac:dyDescent="0.25">
      <c r="A19" s="11" t="s">
        <v>245</v>
      </c>
      <c r="B19" s="29">
        <v>0.25061691542288556</v>
      </c>
      <c r="C19" s="29">
        <v>0.46594183140195405</v>
      </c>
      <c r="D19" s="29">
        <v>0.5899097744360902</v>
      </c>
      <c r="E19" s="29">
        <v>0.6469552488498536</v>
      </c>
      <c r="F19" s="29">
        <v>0.6755317011927182</v>
      </c>
    </row>
    <row r="20" spans="1:6" x14ac:dyDescent="0.25">
      <c r="A20" s="11" t="s">
        <v>299</v>
      </c>
      <c r="B20" s="54" t="s">
        <v>300</v>
      </c>
      <c r="C20" s="54" t="s">
        <v>300</v>
      </c>
      <c r="D20" s="54" t="s">
        <v>300</v>
      </c>
      <c r="E20" s="54" t="s">
        <v>300</v>
      </c>
      <c r="F20" s="54" t="s">
        <v>300</v>
      </c>
    </row>
    <row r="21" spans="1:6" x14ac:dyDescent="0.25">
      <c r="A21" s="11" t="s">
        <v>308</v>
      </c>
      <c r="B21" s="48">
        <v>8</v>
      </c>
      <c r="C21" s="48">
        <v>8</v>
      </c>
      <c r="D21" s="48">
        <v>8</v>
      </c>
      <c r="E21" s="48">
        <v>7</v>
      </c>
      <c r="F21" s="48">
        <v>7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FormatPr defaultRowHeight="15" outlineLevelRow="0" outlineLevelCol="0" x14ac:dyDescent="55"/>
  <cols>
    <col min="1" max="1" width="28" customWidth="1"/>
    <col min="2" max="2" width="30" customWidth="1"/>
    <col min="3" max="3" width="4" customWidth="1"/>
    <col min="4" max="8" width="14" customWidth="1"/>
  </cols>
  <sheetData>
    <row r="1" spans="1:8" x14ac:dyDescent="0.25">
      <c r="A1" s="15" t="s">
        <v>329</v>
      </c>
      <c r="B1" s="15"/>
      <c r="C1" s="15"/>
      <c r="D1" s="15"/>
      <c r="E1" s="15"/>
      <c r="F1" s="15"/>
      <c r="G1" s="15"/>
      <c r="H1" s="15"/>
    </row>
    <row r="3" ht="24" customHeight="1" spans="1:2" x14ac:dyDescent="0.25">
      <c r="A3" s="19" t="s">
        <v>96</v>
      </c>
      <c r="B3" s="19"/>
    </row>
    <row r="4" spans="1:2" x14ac:dyDescent="0.25">
      <c r="A4" s="11" t="s">
        <v>32</v>
      </c>
      <c r="B4" s="11" t="s">
        <v>1</v>
      </c>
    </row>
    <row r="5" spans="1:2" x14ac:dyDescent="0.25">
      <c r="A5" s="11" t="s">
        <v>125</v>
      </c>
      <c r="B5" s="11" t="s">
        <v>34</v>
      </c>
    </row>
    <row r="6" spans="1:2" x14ac:dyDescent="0.25">
      <c r="A6" s="11" t="s">
        <v>330</v>
      </c>
      <c r="B6" s="11" t="s">
        <v>36</v>
      </c>
    </row>
    <row r="7" spans="1:2" x14ac:dyDescent="0.25">
      <c r="A7" s="11" t="s">
        <v>43</v>
      </c>
      <c r="B7" s="11" t="s">
        <v>44</v>
      </c>
    </row>
    <row r="8" spans="1:2" x14ac:dyDescent="0.25">
      <c r="A8" s="11" t="s">
        <v>37</v>
      </c>
      <c r="B8" s="11" t="s">
        <v>38</v>
      </c>
    </row>
    <row r="9" spans="1:2" x14ac:dyDescent="0.25">
      <c r="A9" s="11" t="s">
        <v>331</v>
      </c>
      <c r="B9" s="11" t="s">
        <v>46</v>
      </c>
    </row>
    <row r="11" ht="24" customHeight="1" spans="1:8" x14ac:dyDescent="0.25">
      <c r="A11" s="19" t="s">
        <v>332</v>
      </c>
      <c r="B11" s="19"/>
      <c r="C11" s="19"/>
      <c r="D11" s="19"/>
      <c r="E11" s="19"/>
      <c r="F11" s="19"/>
      <c r="G11" s="19"/>
      <c r="H11" s="19"/>
    </row>
    <row r="12" spans="1:8" x14ac:dyDescent="0.25">
      <c r="A12" t="s">
        <v>7</v>
      </c>
      <c r="B12" t="s">
        <v>7</v>
      </c>
      <c r="C12" t="s">
        <v>7</v>
      </c>
      <c r="D12" s="55" t="s">
        <v>102</v>
      </c>
      <c r="E12" s="55" t="s">
        <v>103</v>
      </c>
      <c r="F12" s="55" t="s">
        <v>104</v>
      </c>
      <c r="G12" s="55" t="s">
        <v>105</v>
      </c>
      <c r="H12" s="55" t="s">
        <v>106</v>
      </c>
    </row>
    <row r="13" spans="1:8" x14ac:dyDescent="0.25">
      <c r="A13" s="11" t="s">
        <v>297</v>
      </c>
      <c r="D13" s="31">
        <v>167500</v>
      </c>
      <c r="E13" s="31">
        <v>302202</v>
      </c>
      <c r="F13" s="31">
        <v>423299</v>
      </c>
      <c r="G13" s="31">
        <v>522542</v>
      </c>
      <c r="H13" s="31">
        <v>597645</v>
      </c>
    </row>
    <row r="14" spans="1:8" x14ac:dyDescent="0.25">
      <c r="A14" s="11" t="s">
        <v>242</v>
      </c>
      <c r="D14" s="31">
        <v>94141</v>
      </c>
      <c r="E14" s="31">
        <v>121045</v>
      </c>
      <c r="F14" s="31">
        <v>130193</v>
      </c>
      <c r="G14" s="31">
        <v>138361</v>
      </c>
      <c r="H14" s="31">
        <v>145438</v>
      </c>
    </row>
    <row r="15" spans="1:8" x14ac:dyDescent="0.25">
      <c r="A15" s="11" t="s">
        <v>244</v>
      </c>
      <c r="D15" s="31">
        <v>73359</v>
      </c>
      <c r="E15" s="31">
        <v>181157</v>
      </c>
      <c r="F15" s="31">
        <v>293106</v>
      </c>
      <c r="G15" s="31">
        <v>384182</v>
      </c>
      <c r="H15" s="31">
        <v>452207</v>
      </c>
    </row>
    <row r="16" spans="1:8" x14ac:dyDescent="0.25">
      <c r="A16" s="11" t="s">
        <v>333</v>
      </c>
      <c r="D16" s="31">
        <v>106850</v>
      </c>
      <c r="E16" s="31">
        <v>288007</v>
      </c>
      <c r="F16" s="31">
        <v>581113</v>
      </c>
      <c r="G16" s="31">
        <v>965294</v>
      </c>
      <c r="H16" s="31">
        <v>1417502</v>
      </c>
    </row>
    <row r="17" spans="1:8" x14ac:dyDescent="0.25">
      <c r="A17" s="11" t="s">
        <v>334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</row>
    <row r="19" ht="24" customHeight="1" spans="1:8" x14ac:dyDescent="0.25">
      <c r="A19" s="19" t="s">
        <v>335</v>
      </c>
      <c r="B19" s="19"/>
      <c r="C19" s="19"/>
      <c r="D19" s="19"/>
      <c r="E19" s="19"/>
      <c r="F19" s="19"/>
      <c r="G19" s="19"/>
      <c r="H19" s="19"/>
    </row>
    <row r="20" spans="1:8" x14ac:dyDescent="0.25">
      <c r="A20" t="s">
        <v>7</v>
      </c>
      <c r="B20" t="s">
        <v>7</v>
      </c>
      <c r="C20" t="s">
        <v>7</v>
      </c>
      <c r="D20" s="55" t="s">
        <v>102</v>
      </c>
      <c r="E20" s="55" t="s">
        <v>103</v>
      </c>
      <c r="F20" s="55" t="s">
        <v>104</v>
      </c>
      <c r="G20" s="55" t="s">
        <v>105</v>
      </c>
      <c r="H20" s="55" t="s">
        <v>106</v>
      </c>
    </row>
    <row r="21" spans="1:8" x14ac:dyDescent="0.25">
      <c r="A21" s="11" t="s">
        <v>336</v>
      </c>
      <c r="D21" s="29">
        <v>0.4379626865671642</v>
      </c>
      <c r="E21" s="29">
        <v>0.5994563735514655</v>
      </c>
      <c r="F21" s="29">
        <v>0.6924323308270677</v>
      </c>
      <c r="G21" s="29">
        <v>0.7352164366373902</v>
      </c>
      <c r="H21" s="29">
        <v>0.7566487758945385</v>
      </c>
    </row>
    <row r="22" spans="1:8" x14ac:dyDescent="0.25">
      <c r="A22" s="11" t="s">
        <v>299</v>
      </c>
      <c r="D22" s="54" t="s">
        <v>300</v>
      </c>
      <c r="E22" s="54" t="s">
        <v>300</v>
      </c>
      <c r="F22" s="54" t="s">
        <v>300</v>
      </c>
      <c r="G22" s="54" t="s">
        <v>300</v>
      </c>
      <c r="H22" s="54" t="s">
        <v>300</v>
      </c>
    </row>
    <row r="23" spans="1:8" x14ac:dyDescent="0.25">
      <c r="A23" s="11" t="s">
        <v>180</v>
      </c>
      <c r="D23" s="29">
        <v>0.375</v>
      </c>
      <c r="E23" s="29">
        <v>0.55</v>
      </c>
      <c r="F23" s="29">
        <v>0.75</v>
      </c>
      <c r="G23" s="29">
        <v>0.9</v>
      </c>
      <c r="H23" s="29">
        <v>1</v>
      </c>
    </row>
    <row r="24" spans="1:8" x14ac:dyDescent="0.25">
      <c r="A24" s="11" t="s">
        <v>337</v>
      </c>
      <c r="D24" s="48">
        <v>15</v>
      </c>
      <c r="E24" s="48">
        <v>22</v>
      </c>
      <c r="F24" s="48">
        <v>30</v>
      </c>
      <c r="G24" s="48">
        <v>36</v>
      </c>
      <c r="H24" s="48">
        <v>40</v>
      </c>
    </row>
    <row r="26" spans="1:8" x14ac:dyDescent="0.25">
      <c r="A26" s="14" t="s">
        <v>338</v>
      </c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6:H26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34"/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1" t="s">
        <v>339</v>
      </c>
      <c r="C2" s="1"/>
      <c r="D2" s="1"/>
      <c r="E2" s="1"/>
      <c r="F2" s="1"/>
      <c r="G2" s="1"/>
      <c r="H2" s="1"/>
    </row>
    <row r="3" spans="2:8" x14ac:dyDescent="0.25">
      <c r="B3" s="56" t="s">
        <v>340</v>
      </c>
      <c r="C3" s="56"/>
      <c r="D3" s="56"/>
      <c r="E3" s="56"/>
      <c r="F3" s="56"/>
      <c r="G3" s="56"/>
      <c r="H3" s="56"/>
    </row>
    <row r="4" spans="2:6" x14ac:dyDescent="0.25">
      <c r="B4" s="57" t="s">
        <v>341</v>
      </c>
      <c r="D4" s="58" t="s">
        <v>342</v>
      </c>
      <c r="F4" s="59" t="s">
        <v>343</v>
      </c>
    </row>
    <row r="6" ht="24" customHeight="1" spans="2:8" x14ac:dyDescent="0.25">
      <c r="B6" s="19" t="s">
        <v>344</v>
      </c>
      <c r="C6" s="60" t="s">
        <v>345</v>
      </c>
      <c r="D6" s="60" t="s">
        <v>346</v>
      </c>
      <c r="E6" s="60" t="s">
        <v>347</v>
      </c>
      <c r="F6" s="60" t="s">
        <v>348</v>
      </c>
      <c r="G6" s="60" t="s">
        <v>349</v>
      </c>
      <c r="H6" s="60" t="s">
        <v>350</v>
      </c>
    </row>
    <row r="7" spans="2:7" x14ac:dyDescent="0.25">
      <c r="B7" s="11" t="s">
        <v>337</v>
      </c>
      <c r="C7" s="61">
        <v>15</v>
      </c>
      <c r="D7" s="61">
        <v>22</v>
      </c>
      <c r="E7" s="61">
        <v>30</v>
      </c>
      <c r="F7" s="61">
        <v>36</v>
      </c>
      <c r="G7" s="61">
        <v>40</v>
      </c>
    </row>
    <row r="8" spans="2:7" x14ac:dyDescent="0.25">
      <c r="B8" s="11" t="s">
        <v>297</v>
      </c>
      <c r="C8" s="62">
        <v>167500</v>
      </c>
      <c r="D8" s="62">
        <v>302202</v>
      </c>
      <c r="E8" s="62">
        <v>423299.1</v>
      </c>
      <c r="F8" s="62">
        <v>522542.0514</v>
      </c>
      <c r="G8" s="62">
        <v>597645.1781100001</v>
      </c>
    </row>
    <row r="9" spans="2:7" x14ac:dyDescent="0.25">
      <c r="B9" s="11" t="s">
        <v>263</v>
      </c>
      <c r="C9" s="62">
        <v>64516.25</v>
      </c>
      <c r="D9" s="62">
        <v>79742.085</v>
      </c>
      <c r="E9" s="62">
        <v>82134.34754999999</v>
      </c>
      <c r="F9" s="62">
        <v>84598.3779765</v>
      </c>
      <c r="G9" s="62">
        <v>87136.32931579501</v>
      </c>
    </row>
    <row r="10" spans="2:7" x14ac:dyDescent="0.25">
      <c r="B10" s="11" t="s">
        <v>264</v>
      </c>
      <c r="C10" s="62">
        <v>29625</v>
      </c>
      <c r="D10" s="62">
        <v>41303</v>
      </c>
      <c r="E10" s="62">
        <v>48058.77</v>
      </c>
      <c r="F10" s="62">
        <v>53762.168399999995</v>
      </c>
      <c r="G10" s="62">
        <v>58301.35635800001</v>
      </c>
    </row>
    <row r="11" spans="2:7" x14ac:dyDescent="0.25">
      <c r="B11" s="11" t="s">
        <v>265</v>
      </c>
      <c r="C11" s="62">
        <v>0</v>
      </c>
      <c r="D11" s="62">
        <v>0</v>
      </c>
      <c r="E11" s="62">
        <v>0</v>
      </c>
      <c r="F11" s="62">
        <v>0</v>
      </c>
      <c r="G11" s="62">
        <v>0</v>
      </c>
    </row>
    <row r="12" spans="2:7" x14ac:dyDescent="0.25">
      <c r="B12" s="10" t="s">
        <v>244</v>
      </c>
      <c r="C12" s="63">
        <v>73358.75</v>
      </c>
      <c r="D12" s="63">
        <v>181156.91499999998</v>
      </c>
      <c r="E12" s="63">
        <v>293105.98245</v>
      </c>
      <c r="F12" s="63">
        <v>384181.5050235</v>
      </c>
      <c r="G12" s="63">
        <v>452207.49243620504</v>
      </c>
    </row>
    <row r="13" spans="2:7" x14ac:dyDescent="0.25">
      <c r="B13" s="10" t="s">
        <v>302</v>
      </c>
      <c r="C13" s="63">
        <v>106850</v>
      </c>
      <c r="D13" s="63">
        <v>288006.915</v>
      </c>
      <c r="E13" s="63">
        <v>581112.89745</v>
      </c>
      <c r="F13" s="63">
        <v>965294.4024735</v>
      </c>
      <c r="G13" s="63">
        <v>1417501.894909705</v>
      </c>
    </row>
    <row r="14" spans="2:7" x14ac:dyDescent="0.25">
      <c r="B14" s="10" t="s">
        <v>336</v>
      </c>
      <c r="C14" s="64">
        <v>0.4379626865671642</v>
      </c>
      <c r="D14" s="64">
        <v>0.5994563735514655</v>
      </c>
      <c r="E14" s="64">
        <v>0.6924323308270677</v>
      </c>
      <c r="F14" s="64">
        <v>0.7352164366373902</v>
      </c>
      <c r="G14" s="64">
        <v>0.7566487758945385</v>
      </c>
    </row>
    <row r="15" spans="2:8" x14ac:dyDescent="0.25">
      <c r="B15" s="10" t="s">
        <v>216</v>
      </c>
      <c r="C15" s="65">
        <v>11166.666666666666</v>
      </c>
      <c r="D15" s="65">
        <v>13736.454545454546</v>
      </c>
      <c r="E15" s="65">
        <v>14109.97</v>
      </c>
      <c r="F15" s="65">
        <v>14515.056983333334</v>
      </c>
      <c r="G15" s="65">
        <v>14941.129452750003</v>
      </c>
      <c r="H15" s="66" t="s">
        <v>351</v>
      </c>
    </row>
    <row r="16" spans="2:8" x14ac:dyDescent="0.25">
      <c r="B16" s="10" t="s">
        <v>352</v>
      </c>
      <c r="C16" s="64">
        <v>0.3851716417910448</v>
      </c>
      <c r="D16" s="64">
        <v>0.26387014314928425</v>
      </c>
      <c r="E16" s="64">
        <v>0.19403383458646614</v>
      </c>
      <c r="F16" s="64">
        <v>0.1618977415307403</v>
      </c>
      <c r="G16" s="64">
        <v>0.14579943502824858</v>
      </c>
      <c r="H16" s="66" t="s">
        <v>353</v>
      </c>
    </row>
    <row r="17" spans="2:8" x14ac:dyDescent="0.25">
      <c r="B17" s="10" t="s">
        <v>354</v>
      </c>
      <c r="C17" s="67">
        <v>0.15402985074626865</v>
      </c>
      <c r="D17" s="64">
        <v>0.08793456032719836</v>
      </c>
      <c r="E17" s="64">
        <v>0.06466165413533834</v>
      </c>
      <c r="F17" s="64">
        <v>0.053952321204516936</v>
      </c>
      <c r="G17" s="64">
        <v>0.04858757062146892</v>
      </c>
      <c r="H17" s="66" t="s">
        <v>355</v>
      </c>
    </row>
    <row r="18" spans="2:8" x14ac:dyDescent="0.25">
      <c r="B18" s="10" t="s">
        <v>356</v>
      </c>
      <c r="C18" s="64">
        <v>0.4379626865671642</v>
      </c>
      <c r="D18" s="64">
        <v>0.5994563735514655</v>
      </c>
      <c r="E18" s="64">
        <v>0.6924323308270676</v>
      </c>
      <c r="F18" s="64">
        <v>0.7352164366373901</v>
      </c>
      <c r="G18" s="64">
        <v>0.7566487758945386</v>
      </c>
      <c r="H18" s="66" t="s">
        <v>357</v>
      </c>
    </row>
    <row r="19" spans="2:8" x14ac:dyDescent="0.25">
      <c r="B19" s="10" t="s">
        <v>358</v>
      </c>
      <c r="C19" s="68">
        <v>3</v>
      </c>
      <c r="D19" s="68">
        <v>3</v>
      </c>
      <c r="E19" s="68">
        <v>3</v>
      </c>
      <c r="F19" s="68">
        <v>3</v>
      </c>
      <c r="G19" s="68">
        <v>3</v>
      </c>
      <c r="H19" s="66" t="s">
        <v>359</v>
      </c>
    </row>
    <row r="20" spans="2:8" x14ac:dyDescent="0.25">
      <c r="B20" s="10" t="s">
        <v>299</v>
      </c>
      <c r="C20" s="69" t="s">
        <v>300</v>
      </c>
      <c r="D20" s="69" t="s">
        <v>300</v>
      </c>
      <c r="E20" s="69" t="s">
        <v>300</v>
      </c>
      <c r="F20" s="69" t="s">
        <v>300</v>
      </c>
      <c r="G20" s="69" t="s">
        <v>300</v>
      </c>
      <c r="H20" s="66" t="s">
        <v>300</v>
      </c>
    </row>
    <row r="21" spans="2:8" x14ac:dyDescent="0.25">
      <c r="B21" s="10" t="s">
        <v>360</v>
      </c>
      <c r="C21" s="40" t="str">
        <f>IF('5-Year Operating Stmt'!B16&gt;=0,"✓ Break-even","")</f>
        <v>✓ Break-even</v>
      </c>
      <c r="D21" s="70" t="str">
        <f>IF(AND('5-Year Operating Stmt'!C16&gt;=0,'5-Year Operating Stmt'!B16&lt;0),"✓ Break-even","")</f>
        <v>0</v>
      </c>
      <c r="E21" s="70" t="str">
        <f>IF(AND('5-Year Operating Stmt'!D16&gt;=0,'5-Year Operating Stmt'!C16&lt;0),"✓ Break-even","")</f>
        <v>0</v>
      </c>
      <c r="F21" s="70" t="str">
        <f>IF(AND('5-Year Operating Stmt'!E16&gt;=0,'5-Year Operating Stmt'!D16&lt;0),"✓ Break-even","")</f>
        <v>0</v>
      </c>
      <c r="G21" s="70" t="str">
        <f>IF(AND('5-Year Operating Stmt'!F16&gt;=0,'5-Year Operating Stmt'!E16&lt;0),"✓ Break-even","")</f>
        <v>0</v>
      </c>
      <c r="H21" s="66" t="s">
        <v>345</v>
      </c>
    </row>
    <row r="22" spans="2:8" x14ac:dyDescent="0.25">
      <c r="B22" s="10" t="s">
        <v>361</v>
      </c>
      <c r="C22" s="71">
        <v>14</v>
      </c>
      <c r="D22" s="68">
        <v>29</v>
      </c>
      <c r="E22" s="68">
        <v>54</v>
      </c>
      <c r="F22" s="72" t="s">
        <v>362</v>
      </c>
      <c r="G22" s="72" t="s">
        <v>362</v>
      </c>
      <c r="H22" s="66" t="s">
        <v>363</v>
      </c>
    </row>
    <row r="24" ht="24" customHeight="1" spans="2:8" x14ac:dyDescent="0.25">
      <c r="B24" s="19" t="s">
        <v>364</v>
      </c>
      <c r="C24" s="19" t="s">
        <v>365</v>
      </c>
      <c r="D24" s="19" t="s">
        <v>366</v>
      </c>
      <c r="E24" s="19"/>
      <c r="F24" s="19" t="s">
        <v>367</v>
      </c>
      <c r="G24" s="19"/>
      <c r="H24" s="19"/>
    </row>
    <row r="25" ht="45" customHeight="1" spans="2:8" x14ac:dyDescent="0.25">
      <c r="B25" s="42" t="s">
        <v>368</v>
      </c>
      <c r="C25" s="40" t="s">
        <v>369</v>
      </c>
      <c r="D25" s="73" t="s">
        <v>370</v>
      </c>
      <c r="E25" s="73"/>
      <c r="F25" s="74" t="s">
        <v>371</v>
      </c>
      <c r="G25" s="74"/>
      <c r="H25" s="74"/>
    </row>
    <row r="26" ht="45" customHeight="1" spans="2:8" x14ac:dyDescent="0.25">
      <c r="B26" s="42" t="s">
        <v>372</v>
      </c>
      <c r="C26" s="40" t="s">
        <v>369</v>
      </c>
      <c r="D26" s="73" t="s">
        <v>373</v>
      </c>
      <c r="E26" s="73"/>
      <c r="F26" s="74" t="s">
        <v>374</v>
      </c>
      <c r="G26" s="74"/>
      <c r="H26" s="74"/>
    </row>
    <row r="27" ht="45" customHeight="1" spans="2:8" x14ac:dyDescent="0.25">
      <c r="B27" s="42" t="s">
        <v>375</v>
      </c>
      <c r="C27" s="40" t="s">
        <v>369</v>
      </c>
      <c r="D27" s="73" t="s">
        <v>376</v>
      </c>
      <c r="E27" s="73"/>
      <c r="F27" s="74" t="s">
        <v>377</v>
      </c>
      <c r="G27" s="74"/>
      <c r="H27" s="74"/>
    </row>
    <row r="28" ht="45" customHeight="1" spans="2:8" x14ac:dyDescent="0.25">
      <c r="B28" s="42" t="s">
        <v>378</v>
      </c>
      <c r="C28" s="40" t="s">
        <v>369</v>
      </c>
      <c r="D28" s="73" t="s">
        <v>379</v>
      </c>
      <c r="E28" s="73"/>
      <c r="F28" s="74" t="s">
        <v>380</v>
      </c>
      <c r="G28" s="74"/>
      <c r="H28" s="74"/>
    </row>
    <row r="29" ht="45" customHeight="1" spans="2:8" x14ac:dyDescent="0.25">
      <c r="B29" s="42" t="s">
        <v>381</v>
      </c>
      <c r="C29" s="40" t="s">
        <v>369</v>
      </c>
      <c r="D29" s="73" t="s">
        <v>382</v>
      </c>
      <c r="E29" s="73"/>
      <c r="F29" s="74" t="s">
        <v>383</v>
      </c>
      <c r="G29" s="74"/>
      <c r="H29" s="74"/>
    </row>
    <row r="30" ht="45" customHeight="1" spans="2:8" x14ac:dyDescent="0.25">
      <c r="B30" s="42" t="s">
        <v>384</v>
      </c>
      <c r="C30" s="40" t="s">
        <v>369</v>
      </c>
      <c r="D30" s="73" t="s">
        <v>385</v>
      </c>
      <c r="E30" s="73"/>
      <c r="F30" s="74" t="s">
        <v>386</v>
      </c>
      <c r="G30" s="74"/>
      <c r="H30" s="74"/>
    </row>
    <row r="32" spans="2:6" x14ac:dyDescent="0.25">
      <c r="B32" s="42" t="s">
        <v>387</v>
      </c>
      <c r="C32" s="10" t="s">
        <v>388</v>
      </c>
      <c r="D32" s="10"/>
      <c r="E32" s="10"/>
      <c r="F32" s="10"/>
    </row>
    <row r="34" spans="2:8" x14ac:dyDescent="0.25">
      <c r="B34" s="75" t="s">
        <v>389</v>
      </c>
      <c r="C34" s="75"/>
      <c r="D34" s="75"/>
      <c r="E34" s="75"/>
      <c r="F34" s="75"/>
      <c r="G34" s="75"/>
      <c r="H34" s="75"/>
    </row>
  </sheetData>
  <mergeCells count="18">
    <mergeCell ref="B2:H2"/>
    <mergeCell ref="B3:H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C32:F32"/>
    <mergeCell ref="B34:H34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16:G16">
    <cfRule type="expression" dxfId="12" priority="1">
      <formula>C16&lt;=0.55</formula>
    </cfRule>
    <cfRule type="expression" dxfId="13" priority="2">
      <formula>C16&lt;=0.65</formula>
    </cfRule>
    <cfRule type="expression" dxfId="14" priority="3">
      <formula>C16&gt;0.65</formula>
    </cfRule>
  </conditionalFormatting>
  <conditionalFormatting sqref="C17:G17">
    <cfRule type="expression" dxfId="15" priority="1">
      <formula>C17&lt;=0.15</formula>
    </cfRule>
    <cfRule type="expression" dxfId="16" priority="2">
      <formula>C17&lt;=0.22</formula>
    </cfRule>
    <cfRule type="expression" dxfId="17" priority="3">
      <formula>C17&gt;0.22</formula>
    </cfRule>
  </conditionalFormatting>
  <conditionalFormatting sqref="C18:G18">
    <cfRule type="expression" dxfId="18" priority="1">
      <formula>C18&gt;=0.10</formula>
    </cfRule>
    <cfRule type="expression" dxfId="19" priority="2">
      <formula>C18&gt;=0</formula>
    </cfRule>
    <cfRule type="expression" dxfId="20" priority="3">
      <formula>C18&lt;0</formula>
    </cfRule>
  </conditionalFormatting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Instructions</vt:lpstr>
      <vt:lpstr>Cover</vt:lpstr>
      <vt:lpstr>Assumptions</vt:lpstr>
      <vt:lpstr>Program Profile</vt:lpstr>
      <vt:lpstr>Enrollment Drivers</vt:lpstr>
      <vt:lpstr>Tuition &amp; Funding</vt:lpstr>
      <vt:lpstr>Staffing Drivers</vt:lpstr>
      <vt:lpstr>OpEx Drivers</vt:lpstr>
      <vt:lpstr>Capital Stack</vt:lpstr>
      <vt:lpstr>Enrollment Tuition Fcst</vt:lpstr>
      <vt:lpstr>Staffing Costs Fcst</vt:lpstr>
      <vt:lpstr>Budget Detail</vt:lpstr>
      <vt:lpstr>Budget Summary</vt:lpstr>
      <vt:lpstr>Monthly Cash Flow Y1</vt:lpstr>
      <vt:lpstr>5-Year Operating Stmt</vt:lpstr>
      <vt:lpstr>Debt Schedule</vt:lpstr>
      <vt:lpstr>Balance Sheet</vt:lpstr>
      <vt:lpstr>DSCR &amp; Covenants</vt:lpstr>
      <vt:lpstr>Sources &amp; Uses</vt:lpstr>
      <vt:lpstr>Scenarios</vt:lpstr>
      <vt:lpstr>Underwriting Snapshot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2026-03-27T01:14:14Z</dcterms:created>
  <dcterms:modified xsi:type="dcterms:W3CDTF">2026-03-27T01:14:14Z</dcterms:modified>
</cp:coreProperties>
</file>