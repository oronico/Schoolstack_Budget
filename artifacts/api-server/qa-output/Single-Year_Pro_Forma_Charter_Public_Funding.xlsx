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<sst xmlns="http://schemas.openxmlformats.org/spreadsheetml/2006/main" count="103" uniqueCount="60">
  <si>
    <t>Year 1 Budget Assumptions</t>
  </si>
  <si>
    <t/>
  </si>
  <si>
    <t>Editable assumption — change this value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</si>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</sst>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3" xfId="0" applyNumberFormat="1" applyFont="1" applyFill="1" applyBorder="1"/>
    <xf numFmtId="166" fontId="6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4" spans="1:2" x14ac:dyDescent="0.25">
      <c r="A4" s="4" t="s">
        <v>3</v>
      </c>
      <c r="B4" t="s">
        <v>4</v>
      </c>
    </row>
    <row r="5" spans="1:2" x14ac:dyDescent="0.25">
      <c r="A5" s="4" t="s">
        <v>5</v>
      </c>
      <c r="B5" t="s">
        <v>6</v>
      </c>
    </row>
    <row r="7" ht="24" customHeight="1" spans="1:2" x14ac:dyDescent="0.25">
      <c r="A7" s="1" t="s">
        <v>7</v>
      </c>
      <c r="B7" s="1"/>
    </row>
    <row r="8" spans="1:2" x14ac:dyDescent="0.25">
      <c r="A8" s="4" t="s">
        <v>8</v>
      </c>
      <c r="B8" s="5">
        <v>120</v>
      </c>
    </row>
    <row r="9" spans="1:2" x14ac:dyDescent="0.25">
      <c r="A9" s="4" t="s">
        <v>9</v>
      </c>
      <c r="B9" s="6">
        <v>0</v>
      </c>
    </row>
    <row r="10" spans="1:2" x14ac:dyDescent="0.25">
      <c r="A10" s="4" t="s">
        <v>10</v>
      </c>
      <c r="B10" s="6">
        <v>0</v>
      </c>
    </row>
    <row r="11" spans="1:2" x14ac:dyDescent="0.25">
      <c r="A11" s="4" t="s">
        <v>11</v>
      </c>
      <c r="B11" s="7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25</v>
      </c>
      <c r="B2" s="9">
        <v>114000</v>
      </c>
      <c r="C2" s="9">
        <v>114000</v>
      </c>
      <c r="D2" s="9">
        <v>114000</v>
      </c>
      <c r="E2" s="9">
        <v>114000</v>
      </c>
      <c r="F2" s="9">
        <v>114000</v>
      </c>
      <c r="G2" s="9">
        <v>114000</v>
      </c>
      <c r="H2" s="9">
        <v>114000</v>
      </c>
      <c r="I2" s="9">
        <v>114000</v>
      </c>
      <c r="J2" s="9">
        <v>114000</v>
      </c>
      <c r="K2" s="9">
        <v>114000</v>
      </c>
      <c r="L2" s="9">
        <v>0</v>
      </c>
      <c r="M2" s="9">
        <v>0</v>
      </c>
      <c r="N2" s="9">
        <f>SUM(B2:M2)</f>
        <v>950000</v>
      </c>
    </row>
    <row r="3" spans="1:14" x14ac:dyDescent="0.25">
      <c r="A3" s="4" t="s">
        <v>26</v>
      </c>
      <c r="B3" s="9">
        <v>9600</v>
      </c>
      <c r="C3" s="9">
        <v>9600</v>
      </c>
      <c r="D3" s="9">
        <v>9600</v>
      </c>
      <c r="E3" s="9">
        <v>9600</v>
      </c>
      <c r="F3" s="9">
        <v>9600</v>
      </c>
      <c r="G3" s="9">
        <v>9600</v>
      </c>
      <c r="H3" s="9">
        <v>9600</v>
      </c>
      <c r="I3" s="9">
        <v>9600</v>
      </c>
      <c r="J3" s="9">
        <v>9600</v>
      </c>
      <c r="K3" s="9">
        <v>9600</v>
      </c>
      <c r="L3" s="9">
        <v>0</v>
      </c>
      <c r="M3" s="9">
        <v>0</v>
      </c>
      <c r="N3" s="9">
        <f>SUM(B3:M3)</f>
        <v>80000</v>
      </c>
    </row>
    <row r="4" spans="1:14" x14ac:dyDescent="0.25">
      <c r="A4" s="4" t="s">
        <v>27</v>
      </c>
      <c r="B4" s="9">
        <v>14400</v>
      </c>
      <c r="C4" s="9">
        <v>14400</v>
      </c>
      <c r="D4" s="9">
        <v>14400</v>
      </c>
      <c r="E4" s="9">
        <v>14400</v>
      </c>
      <c r="F4" s="9">
        <v>14400</v>
      </c>
      <c r="G4" s="9">
        <v>14400</v>
      </c>
      <c r="H4" s="9">
        <v>14400</v>
      </c>
      <c r="I4" s="9">
        <v>14400</v>
      </c>
      <c r="J4" s="9">
        <v>14400</v>
      </c>
      <c r="K4" s="9">
        <v>14400</v>
      </c>
      <c r="L4" s="9">
        <v>0</v>
      </c>
      <c r="M4" s="9">
        <v>0</v>
      </c>
      <c r="N4" s="9">
        <f>SUM(B4:M4)</f>
        <v>120000</v>
      </c>
    </row>
    <row r="5" spans="1:14" x14ac:dyDescent="0.25">
      <c r="A5" s="4" t="s">
        <v>28</v>
      </c>
      <c r="B5" s="9">
        <v>10000</v>
      </c>
      <c r="C5" s="9">
        <v>10000</v>
      </c>
      <c r="D5" s="9">
        <v>10000</v>
      </c>
      <c r="E5" s="9">
        <v>10000</v>
      </c>
      <c r="F5" s="9">
        <v>10000</v>
      </c>
      <c r="G5" s="9">
        <v>10000</v>
      </c>
      <c r="H5" s="9">
        <v>10000</v>
      </c>
      <c r="I5" s="9">
        <v>10000</v>
      </c>
      <c r="J5" s="9">
        <v>10000</v>
      </c>
      <c r="K5" s="9">
        <v>10000</v>
      </c>
      <c r="L5" s="9">
        <v>0</v>
      </c>
      <c r="M5" s="9">
        <v>0</v>
      </c>
      <c r="N5" s="9">
        <f>SUM(B5:M5)</f>
        <v>83333</v>
      </c>
    </row>
    <row r="6" spans="1:14" x14ac:dyDescent="0.25">
      <c r="A6" s="4" t="s">
        <v>29</v>
      </c>
      <c r="B6" s="9">
        <v>3000</v>
      </c>
      <c r="C6" s="9">
        <v>3000</v>
      </c>
      <c r="D6" s="9">
        <v>3000</v>
      </c>
      <c r="E6" s="9">
        <v>3000</v>
      </c>
      <c r="F6" s="9">
        <v>3000</v>
      </c>
      <c r="G6" s="9">
        <v>3000</v>
      </c>
      <c r="H6" s="9">
        <v>3000</v>
      </c>
      <c r="I6" s="9">
        <v>3000</v>
      </c>
      <c r="J6" s="9">
        <v>3000</v>
      </c>
      <c r="K6" s="9">
        <v>3000</v>
      </c>
      <c r="L6" s="9">
        <v>0</v>
      </c>
      <c r="M6" s="9">
        <v>0</v>
      </c>
      <c r="N6" s="9">
        <f>SUM(B6:M6)</f>
        <v>25000</v>
      </c>
    </row>
    <row r="7" spans="1:14" x14ac:dyDescent="0.25">
      <c r="A7" s="4" t="s">
        <v>30</v>
      </c>
      <c r="B7" s="9">
        <v>3600</v>
      </c>
      <c r="C7" s="9">
        <v>3600</v>
      </c>
      <c r="D7" s="9">
        <v>3600</v>
      </c>
      <c r="E7" s="9">
        <v>3600</v>
      </c>
      <c r="F7" s="9">
        <v>3600</v>
      </c>
      <c r="G7" s="9">
        <v>3600</v>
      </c>
      <c r="H7" s="9">
        <v>3600</v>
      </c>
      <c r="I7" s="9">
        <v>3600</v>
      </c>
      <c r="J7" s="9">
        <v>3600</v>
      </c>
      <c r="K7" s="9">
        <v>3600</v>
      </c>
      <c r="L7" s="9">
        <v>0</v>
      </c>
      <c r="M7" s="9">
        <v>0</v>
      </c>
      <c r="N7" s="9">
        <f>SUM(B7:M7)</f>
        <v>30000</v>
      </c>
    </row>
    <row r="8" ht="24" customHeight="1" spans="1:14" x14ac:dyDescent="0.25">
      <c r="A8" s="1" t="s">
        <v>31</v>
      </c>
      <c r="B8" s="10">
        <f>SUM(B2:B7)</f>
        <v>154600</v>
      </c>
      <c r="C8" s="10">
        <f>SUM(C2:C7)</f>
        <v>154600</v>
      </c>
      <c r="D8" s="10">
        <f>SUM(D2:D7)</f>
        <v>154600</v>
      </c>
      <c r="E8" s="10">
        <f>SUM(E2:E7)</f>
        <v>154600</v>
      </c>
      <c r="F8" s="10">
        <f>SUM(F2:F7)</f>
        <v>154600</v>
      </c>
      <c r="G8" s="10">
        <f>SUM(G2:G7)</f>
        <v>154600</v>
      </c>
      <c r="H8" s="10">
        <f>SUM(H2:H7)</f>
        <v>154600</v>
      </c>
      <c r="I8" s="10">
        <f>SUM(I2:I7)</f>
        <v>154600</v>
      </c>
      <c r="J8" s="10">
        <f>SUM(J2:J7)</f>
        <v>154600</v>
      </c>
      <c r="K8" s="10">
        <f>SUM(K2:K7)</f>
        <v>154600</v>
      </c>
      <c r="L8" s="10" t="str">
        <f>SUM(L2:L7)</f>
        <v>0</v>
      </c>
      <c r="M8" s="10" t="str">
        <f>SUM(M2:M7)</f>
        <v>0</v>
      </c>
      <c r="N8" s="10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32</v>
      </c>
      <c r="B2" s="9">
        <v>335958</v>
      </c>
      <c r="C2" s="9">
        <v>335958</v>
      </c>
      <c r="D2" s="9">
        <v>335958</v>
      </c>
      <c r="E2" s="9">
        <v>335958</v>
      </c>
      <c r="F2" s="9">
        <v>335958</v>
      </c>
      <c r="G2" s="9">
        <v>335958</v>
      </c>
      <c r="H2" s="9">
        <v>335958</v>
      </c>
      <c r="I2" s="9">
        <v>335958</v>
      </c>
      <c r="J2" s="9">
        <v>335958</v>
      </c>
      <c r="K2" s="9">
        <v>335958</v>
      </c>
      <c r="L2" s="9">
        <v>0</v>
      </c>
      <c r="M2" s="9">
        <v>0</v>
      </c>
      <c r="N2" s="9">
        <f>SUM(B2:M2)</f>
        <v>3359583</v>
      </c>
    </row>
    <row r="3" spans="1:14" x14ac:dyDescent="0.25">
      <c r="A3" s="4" t="s">
        <v>33</v>
      </c>
      <c r="B3" s="9">
        <v>274875</v>
      </c>
      <c r="C3" s="9">
        <v>274875</v>
      </c>
      <c r="D3" s="9">
        <v>274875</v>
      </c>
      <c r="E3" s="9">
        <v>274875</v>
      </c>
      <c r="F3" s="9">
        <v>274875</v>
      </c>
      <c r="G3" s="9">
        <v>274875</v>
      </c>
      <c r="H3" s="9">
        <v>274875</v>
      </c>
      <c r="I3" s="9">
        <v>274875</v>
      </c>
      <c r="J3" s="9">
        <v>274875</v>
      </c>
      <c r="K3" s="9">
        <v>274875</v>
      </c>
      <c r="L3" s="9">
        <v>0</v>
      </c>
      <c r="M3" s="9">
        <v>0</v>
      </c>
      <c r="N3" s="9">
        <f>SUM(B3:M3)</f>
        <v>2748750</v>
      </c>
    </row>
    <row r="4" spans="1:14" x14ac:dyDescent="0.25">
      <c r="A4" s="4" t="s">
        <v>34</v>
      </c>
      <c r="B4" s="9">
        <v>219900</v>
      </c>
      <c r="C4" s="9">
        <v>219900</v>
      </c>
      <c r="D4" s="9">
        <v>219900</v>
      </c>
      <c r="E4" s="9">
        <v>219900</v>
      </c>
      <c r="F4" s="9">
        <v>219900</v>
      </c>
      <c r="G4" s="9">
        <v>219900</v>
      </c>
      <c r="H4" s="9">
        <v>219900</v>
      </c>
      <c r="I4" s="9">
        <v>219900</v>
      </c>
      <c r="J4" s="9">
        <v>219900</v>
      </c>
      <c r="K4" s="9">
        <v>219900</v>
      </c>
      <c r="L4" s="9">
        <v>0</v>
      </c>
      <c r="M4" s="9">
        <v>0</v>
      </c>
      <c r="N4" s="9">
        <f>SUM(B4:M4)</f>
        <v>2199000</v>
      </c>
    </row>
    <row r="5" spans="1:14" x14ac:dyDescent="0.25">
      <c r="A5" s="4" t="s">
        <v>35</v>
      </c>
      <c r="B5" s="9">
        <v>952900</v>
      </c>
      <c r="C5" s="9">
        <v>952900</v>
      </c>
      <c r="D5" s="9">
        <v>952900</v>
      </c>
      <c r="E5" s="9">
        <v>952900</v>
      </c>
      <c r="F5" s="9">
        <v>952900</v>
      </c>
      <c r="G5" s="9">
        <v>952900</v>
      </c>
      <c r="H5" s="9">
        <v>952900</v>
      </c>
      <c r="I5" s="9">
        <v>952900</v>
      </c>
      <c r="J5" s="9">
        <v>952900</v>
      </c>
      <c r="K5" s="9">
        <v>952900</v>
      </c>
      <c r="L5" s="9">
        <v>0</v>
      </c>
      <c r="M5" s="9">
        <v>0</v>
      </c>
      <c r="N5" s="9">
        <f>SUM(B5:M5)</f>
        <v>9529000</v>
      </c>
    </row>
    <row r="6" spans="1:14" x14ac:dyDescent="0.25">
      <c r="A6" s="4" t="s">
        <v>36</v>
      </c>
      <c r="B6" s="9">
        <v>167979</v>
      </c>
      <c r="C6" s="9">
        <v>167979</v>
      </c>
      <c r="D6" s="9">
        <v>167979</v>
      </c>
      <c r="E6" s="9">
        <v>167979</v>
      </c>
      <c r="F6" s="9">
        <v>167979</v>
      </c>
      <c r="G6" s="9">
        <v>167979</v>
      </c>
      <c r="H6" s="9">
        <v>167979</v>
      </c>
      <c r="I6" s="9">
        <v>167979</v>
      </c>
      <c r="J6" s="9">
        <v>167979</v>
      </c>
      <c r="K6" s="9">
        <v>167979</v>
      </c>
      <c r="L6" s="9">
        <v>0</v>
      </c>
      <c r="M6" s="9">
        <v>0</v>
      </c>
      <c r="N6" s="9">
        <f>SUM(B6:M6)</f>
        <v>1679792</v>
      </c>
    </row>
    <row r="7" spans="1:14" x14ac:dyDescent="0.25">
      <c r="A7" s="4" t="s">
        <v>37</v>
      </c>
      <c r="B7" s="9">
        <v>214875</v>
      </c>
      <c r="C7" s="9">
        <v>214875</v>
      </c>
      <c r="D7" s="9">
        <v>214875</v>
      </c>
      <c r="E7" s="9">
        <v>214875</v>
      </c>
      <c r="F7" s="9">
        <v>214875</v>
      </c>
      <c r="G7" s="9">
        <v>214875</v>
      </c>
      <c r="H7" s="9">
        <v>214875</v>
      </c>
      <c r="I7" s="9">
        <v>214875</v>
      </c>
      <c r="J7" s="9">
        <v>214875</v>
      </c>
      <c r="K7" s="9">
        <v>214875</v>
      </c>
      <c r="L7" s="9">
        <v>0</v>
      </c>
      <c r="M7" s="9">
        <v>0</v>
      </c>
      <c r="N7" s="9">
        <f>SUM(B7:M7)</f>
        <v>2148750</v>
      </c>
    </row>
    <row r="8" spans="1:14" x14ac:dyDescent="0.25">
      <c r="A8" s="4" t="s">
        <v>38</v>
      </c>
      <c r="B8" s="9">
        <v>167979</v>
      </c>
      <c r="C8" s="9">
        <v>167979</v>
      </c>
      <c r="D8" s="9">
        <v>167979</v>
      </c>
      <c r="E8" s="9">
        <v>167979</v>
      </c>
      <c r="F8" s="9">
        <v>167979</v>
      </c>
      <c r="G8" s="9">
        <v>167979</v>
      </c>
      <c r="H8" s="9">
        <v>167979</v>
      </c>
      <c r="I8" s="9">
        <v>167979</v>
      </c>
      <c r="J8" s="9">
        <v>167979</v>
      </c>
      <c r="K8" s="9">
        <v>167979</v>
      </c>
      <c r="L8" s="9">
        <v>0</v>
      </c>
      <c r="M8" s="9">
        <v>0</v>
      </c>
      <c r="N8" s="9">
        <f>SUM(B8:M8)</f>
        <v>1679792</v>
      </c>
    </row>
    <row r="9" spans="1:14" x14ac:dyDescent="0.25">
      <c r="A9" s="4" t="s">
        <v>39</v>
      </c>
      <c r="B9" s="9">
        <v>213117</v>
      </c>
      <c r="C9" s="9">
        <v>213117</v>
      </c>
      <c r="D9" s="9">
        <v>213117</v>
      </c>
      <c r="E9" s="9">
        <v>213117</v>
      </c>
      <c r="F9" s="9">
        <v>213117</v>
      </c>
      <c r="G9" s="9">
        <v>213117</v>
      </c>
      <c r="H9" s="9">
        <v>213117</v>
      </c>
      <c r="I9" s="9">
        <v>213117</v>
      </c>
      <c r="J9" s="9">
        <v>213117</v>
      </c>
      <c r="K9" s="9">
        <v>213117</v>
      </c>
      <c r="L9" s="9">
        <v>0</v>
      </c>
      <c r="M9" s="9">
        <v>0</v>
      </c>
      <c r="N9" s="9">
        <f>SUM(B9:M9)</f>
        <v>2131167</v>
      </c>
    </row>
    <row r="10" spans="1:14" x14ac:dyDescent="0.25">
      <c r="A10" s="4" t="s">
        <v>40</v>
      </c>
      <c r="B10" s="9">
        <v>167979</v>
      </c>
      <c r="C10" s="9">
        <v>167979</v>
      </c>
      <c r="D10" s="9">
        <v>167979</v>
      </c>
      <c r="E10" s="9">
        <v>167979</v>
      </c>
      <c r="F10" s="9">
        <v>167979</v>
      </c>
      <c r="G10" s="9">
        <v>167979</v>
      </c>
      <c r="H10" s="9">
        <v>167979</v>
      </c>
      <c r="I10" s="9">
        <v>167979</v>
      </c>
      <c r="J10" s="9">
        <v>167979</v>
      </c>
      <c r="K10" s="9">
        <v>167979</v>
      </c>
      <c r="L10" s="9">
        <v>0</v>
      </c>
      <c r="M10" s="9">
        <v>0</v>
      </c>
      <c r="N10" s="9">
        <f>SUM(B10:M10)</f>
        <v>1679792</v>
      </c>
    </row>
    <row r="11" ht="24" customHeight="1" spans="1:14" x14ac:dyDescent="0.25">
      <c r="A11" s="1" t="s">
        <v>41</v>
      </c>
      <c r="B11" s="10" t="str">
        <f>SUM(B2:B10)</f>
        <v>0</v>
      </c>
      <c r="C11" s="10" t="str">
        <f>SUM(C2:C10)</f>
        <v>0</v>
      </c>
      <c r="D11" s="10" t="str">
        <f>SUM(D2:D10)</f>
        <v>0</v>
      </c>
      <c r="E11" s="10" t="str">
        <f>SUM(E2:E10)</f>
        <v>0</v>
      </c>
      <c r="F11" s="10" t="str">
        <f>SUM(F2:F10)</f>
        <v>0</v>
      </c>
      <c r="G11" s="10" t="str">
        <f>SUM(G2:G10)</f>
        <v>0</v>
      </c>
      <c r="H11" s="10" t="str">
        <f>SUM(H2:H10)</f>
        <v>0</v>
      </c>
      <c r="I11" s="10" t="str">
        <f>SUM(I2:I10)</f>
        <v>0</v>
      </c>
      <c r="J11" s="10" t="str">
        <f>SUM(J2:J10)</f>
        <v>0</v>
      </c>
      <c r="K11" s="10" t="str">
        <f>SUM(K2:K10)</f>
        <v>0</v>
      </c>
      <c r="L11" s="10" t="str">
        <f>SUM(L2:L10)</f>
        <v>0</v>
      </c>
      <c r="M11" s="10" t="str">
        <f>SUM(M2:M10)</f>
        <v>0</v>
      </c>
      <c r="N11" s="10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42</v>
      </c>
      <c r="B2" s="9">
        <v>18000</v>
      </c>
      <c r="C2" s="9">
        <v>18000</v>
      </c>
      <c r="D2" s="9">
        <v>18000</v>
      </c>
      <c r="E2" s="9">
        <v>18000</v>
      </c>
      <c r="F2" s="9">
        <v>18000</v>
      </c>
      <c r="G2" s="9">
        <v>18000</v>
      </c>
      <c r="H2" s="9">
        <v>18000</v>
      </c>
      <c r="I2" s="9">
        <v>18000</v>
      </c>
      <c r="J2" s="9">
        <v>18000</v>
      </c>
      <c r="K2" s="9">
        <v>18000</v>
      </c>
      <c r="L2" s="9">
        <v>0</v>
      </c>
      <c r="M2" s="9">
        <v>0</v>
      </c>
      <c r="N2" s="9">
        <f>SUM(B2:M2)</f>
        <v>180000</v>
      </c>
    </row>
    <row r="3" spans="1:14" x14ac:dyDescent="0.25">
      <c r="A3" s="4" t="s">
        <v>43</v>
      </c>
      <c r="B3" s="9">
        <v>2500</v>
      </c>
      <c r="C3" s="9">
        <v>2500</v>
      </c>
      <c r="D3" s="9">
        <v>2500</v>
      </c>
      <c r="E3" s="9">
        <v>2500</v>
      </c>
      <c r="F3" s="9">
        <v>2500</v>
      </c>
      <c r="G3" s="9">
        <v>2500</v>
      </c>
      <c r="H3" s="9">
        <v>2500</v>
      </c>
      <c r="I3" s="9">
        <v>2500</v>
      </c>
      <c r="J3" s="9">
        <v>2500</v>
      </c>
      <c r="K3" s="9">
        <v>2500</v>
      </c>
      <c r="L3" s="9">
        <v>0</v>
      </c>
      <c r="M3" s="9">
        <v>0</v>
      </c>
      <c r="N3" s="9">
        <f>SUM(B3:M3)</f>
        <v>25000</v>
      </c>
    </row>
    <row r="4" spans="1:14" x14ac:dyDescent="0.25">
      <c r="A4" s="4" t="s">
        <v>44</v>
      </c>
      <c r="B4" s="9">
        <v>1500</v>
      </c>
      <c r="C4" s="9">
        <v>1500</v>
      </c>
      <c r="D4" s="9">
        <v>1500</v>
      </c>
      <c r="E4" s="9">
        <v>1500</v>
      </c>
      <c r="F4" s="9">
        <v>1500</v>
      </c>
      <c r="G4" s="9">
        <v>1500</v>
      </c>
      <c r="H4" s="9">
        <v>1500</v>
      </c>
      <c r="I4" s="9">
        <v>1500</v>
      </c>
      <c r="J4" s="9">
        <v>1500</v>
      </c>
      <c r="K4" s="9">
        <v>1500</v>
      </c>
      <c r="L4" s="9">
        <v>0</v>
      </c>
      <c r="M4" s="9">
        <v>0</v>
      </c>
      <c r="N4" s="9">
        <f>SUM(B4:M4)</f>
        <v>15000</v>
      </c>
    </row>
    <row r="5" spans="1:14" x14ac:dyDescent="0.25">
      <c r="A5" s="4" t="s">
        <v>45</v>
      </c>
      <c r="B5" s="9">
        <v>1500</v>
      </c>
      <c r="C5" s="9">
        <v>1500</v>
      </c>
      <c r="D5" s="9">
        <v>1500</v>
      </c>
      <c r="E5" s="9">
        <v>1500</v>
      </c>
      <c r="F5" s="9">
        <v>1500</v>
      </c>
      <c r="G5" s="9">
        <v>1500</v>
      </c>
      <c r="H5" s="9">
        <v>1500</v>
      </c>
      <c r="I5" s="9">
        <v>1500</v>
      </c>
      <c r="J5" s="9">
        <v>1500</v>
      </c>
      <c r="K5" s="9">
        <v>1500</v>
      </c>
      <c r="L5" s="9">
        <v>0</v>
      </c>
      <c r="M5" s="9">
        <v>0</v>
      </c>
      <c r="N5" s="9">
        <f>SUM(B5:M5)</f>
        <v>15000</v>
      </c>
    </row>
    <row r="6" spans="1:14" x14ac:dyDescent="0.25">
      <c r="A6" s="4" t="s">
        <v>46</v>
      </c>
      <c r="B6" s="9">
        <v>7000</v>
      </c>
      <c r="C6" s="9">
        <v>7000</v>
      </c>
      <c r="D6" s="9">
        <v>7000</v>
      </c>
      <c r="E6" s="9">
        <v>7000</v>
      </c>
      <c r="F6" s="9">
        <v>7000</v>
      </c>
      <c r="G6" s="9">
        <v>7000</v>
      </c>
      <c r="H6" s="9">
        <v>7000</v>
      </c>
      <c r="I6" s="9">
        <v>7000</v>
      </c>
      <c r="J6" s="9">
        <v>7000</v>
      </c>
      <c r="K6" s="9">
        <v>7000</v>
      </c>
      <c r="L6" s="9">
        <v>0</v>
      </c>
      <c r="M6" s="9">
        <v>0</v>
      </c>
      <c r="N6" s="9">
        <f>SUM(B6:M6)</f>
        <v>70000</v>
      </c>
    </row>
    <row r="7" spans="1:14" x14ac:dyDescent="0.25">
      <c r="A7" s="4" t="s">
        <v>47</v>
      </c>
      <c r="B7" s="9">
        <v>5000</v>
      </c>
      <c r="C7" s="9">
        <v>5000</v>
      </c>
      <c r="D7" s="9">
        <v>5000</v>
      </c>
      <c r="E7" s="9">
        <v>5000</v>
      </c>
      <c r="F7" s="9">
        <v>5000</v>
      </c>
      <c r="G7" s="9">
        <v>5000</v>
      </c>
      <c r="H7" s="9">
        <v>5000</v>
      </c>
      <c r="I7" s="9">
        <v>5000</v>
      </c>
      <c r="J7" s="9">
        <v>5000</v>
      </c>
      <c r="K7" s="9">
        <v>5000</v>
      </c>
      <c r="L7" s="9">
        <v>0</v>
      </c>
      <c r="M7" s="9">
        <v>0</v>
      </c>
      <c r="N7" s="9">
        <f>SUM(B7:M7)</f>
        <v>50000</v>
      </c>
    </row>
    <row r="8" spans="1:14" x14ac:dyDescent="0.25">
      <c r="A8" s="4" t="s">
        <v>48</v>
      </c>
      <c r="B8" s="9">
        <v>2083</v>
      </c>
      <c r="C8" s="9">
        <v>2083</v>
      </c>
      <c r="D8" s="9">
        <v>2083</v>
      </c>
      <c r="E8" s="9">
        <v>2083</v>
      </c>
      <c r="F8" s="9">
        <v>2083</v>
      </c>
      <c r="G8" s="9">
        <v>2083</v>
      </c>
      <c r="H8" s="9">
        <v>2083</v>
      </c>
      <c r="I8" s="9">
        <v>2083</v>
      </c>
      <c r="J8" s="9">
        <v>2083</v>
      </c>
      <c r="K8" s="9">
        <v>2083</v>
      </c>
      <c r="L8" s="9">
        <v>0</v>
      </c>
      <c r="M8" s="9">
        <v>0</v>
      </c>
      <c r="N8" s="9">
        <f>SUM(B8:M8)</f>
        <v>20833</v>
      </c>
    </row>
    <row r="9" spans="1:14" x14ac:dyDescent="0.25">
      <c r="A9" s="4" t="s">
        <v>49</v>
      </c>
      <c r="B9" s="9">
        <v>1250</v>
      </c>
      <c r="C9" s="9">
        <v>1250</v>
      </c>
      <c r="D9" s="9">
        <v>1250</v>
      </c>
      <c r="E9" s="9">
        <v>1250</v>
      </c>
      <c r="F9" s="9">
        <v>1250</v>
      </c>
      <c r="G9" s="9">
        <v>1250</v>
      </c>
      <c r="H9" s="9">
        <v>1250</v>
      </c>
      <c r="I9" s="9">
        <v>1250</v>
      </c>
      <c r="J9" s="9">
        <v>1250</v>
      </c>
      <c r="K9" s="9">
        <v>1250</v>
      </c>
      <c r="L9" s="9">
        <v>0</v>
      </c>
      <c r="M9" s="9">
        <v>0</v>
      </c>
      <c r="N9" s="9">
        <f>SUM(B9:M9)</f>
        <v>12500</v>
      </c>
    </row>
    <row r="10" spans="1:14" x14ac:dyDescent="0.25">
      <c r="A10" s="4" t="s">
        <v>50</v>
      </c>
      <c r="B10" s="9">
        <v>1667</v>
      </c>
      <c r="C10" s="9">
        <v>1667</v>
      </c>
      <c r="D10" s="9">
        <v>1667</v>
      </c>
      <c r="E10" s="9">
        <v>1667</v>
      </c>
      <c r="F10" s="9">
        <v>1667</v>
      </c>
      <c r="G10" s="9">
        <v>1667</v>
      </c>
      <c r="H10" s="9">
        <v>1667</v>
      </c>
      <c r="I10" s="9">
        <v>1667</v>
      </c>
      <c r="J10" s="9">
        <v>1667</v>
      </c>
      <c r="K10" s="9">
        <v>1667</v>
      </c>
      <c r="L10" s="9">
        <v>0</v>
      </c>
      <c r="M10" s="9">
        <v>0</v>
      </c>
      <c r="N10" s="9">
        <f>SUM(B10:M10)</f>
        <v>16667</v>
      </c>
    </row>
    <row r="11" spans="1:14" x14ac:dyDescent="0.25">
      <c r="A11" s="4" t="s">
        <v>51</v>
      </c>
      <c r="B11" s="9">
        <v>8000</v>
      </c>
      <c r="C11" s="9">
        <v>8000</v>
      </c>
      <c r="D11" s="9">
        <v>8000</v>
      </c>
      <c r="E11" s="9">
        <v>8000</v>
      </c>
      <c r="F11" s="9">
        <v>8000</v>
      </c>
      <c r="G11" s="9">
        <v>8000</v>
      </c>
      <c r="H11" s="9">
        <v>8000</v>
      </c>
      <c r="I11" s="9">
        <v>8000</v>
      </c>
      <c r="J11" s="9">
        <v>8000</v>
      </c>
      <c r="K11" s="9">
        <v>8000</v>
      </c>
      <c r="L11" s="9">
        <v>0</v>
      </c>
      <c r="M11" s="9">
        <v>0</v>
      </c>
      <c r="N11" s="9">
        <f>SUM(B11:M11)</f>
        <v>80000</v>
      </c>
    </row>
    <row r="12" spans="1:14" x14ac:dyDescent="0.25">
      <c r="A12" s="4" t="s">
        <v>52</v>
      </c>
      <c r="B12" s="9">
        <v>6000</v>
      </c>
      <c r="C12" s="9">
        <v>6000</v>
      </c>
      <c r="D12" s="9">
        <v>6000</v>
      </c>
      <c r="E12" s="9">
        <v>6000</v>
      </c>
      <c r="F12" s="9">
        <v>6000</v>
      </c>
      <c r="G12" s="9">
        <v>6000</v>
      </c>
      <c r="H12" s="9">
        <v>6000</v>
      </c>
      <c r="I12" s="9">
        <v>6000</v>
      </c>
      <c r="J12" s="9">
        <v>6000</v>
      </c>
      <c r="K12" s="9">
        <v>6000</v>
      </c>
      <c r="L12" s="9">
        <v>0</v>
      </c>
      <c r="M12" s="9">
        <v>0</v>
      </c>
      <c r="N12" s="9">
        <f>SUM(B12:M12)</f>
        <v>60000</v>
      </c>
    </row>
    <row r="13" ht="24" customHeight="1" spans="1:14" x14ac:dyDescent="0.25">
      <c r="A13" s="1" t="s">
        <v>53</v>
      </c>
      <c r="B13" s="10" t="str">
        <f>SUM(B2:B12)</f>
        <v>0</v>
      </c>
      <c r="C13" s="10" t="str">
        <f>SUM(C2:C12)</f>
        <v>0</v>
      </c>
      <c r="D13" s="10" t="str">
        <f>SUM(D2:D12)</f>
        <v>0</v>
      </c>
      <c r="E13" s="10" t="str">
        <f>SUM(E2:E12)</f>
        <v>0</v>
      </c>
      <c r="F13" s="10" t="str">
        <f>SUM(F2:F12)</f>
        <v>0</v>
      </c>
      <c r="G13" s="10" t="str">
        <f>SUM(G2:G12)</f>
        <v>0</v>
      </c>
      <c r="H13" s="10" t="str">
        <f>SUM(H2:H12)</f>
        <v>0</v>
      </c>
      <c r="I13" s="10" t="str">
        <f>SUM(I2:I12)</f>
        <v>0</v>
      </c>
      <c r="J13" s="10" t="str">
        <f>SUM(J2:J12)</f>
        <v>0</v>
      </c>
      <c r="K13" s="10" t="str">
        <f>SUM(K2:K12)</f>
        <v>0</v>
      </c>
      <c r="L13" s="10" t="str">
        <f>SUM(L2:L12)</f>
        <v>0</v>
      </c>
      <c r="M13" s="10" t="str">
        <f>SUM(M2:M12)</f>
        <v>0</v>
      </c>
      <c r="N13" s="10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11" t="s">
        <v>54</v>
      </c>
      <c r="B2" s="12">
        <f>Revenue!B8</f>
        <v>154600</v>
      </c>
      <c r="C2" s="12">
        <f>Revenue!C8</f>
        <v>154600</v>
      </c>
      <c r="D2" s="12">
        <f>Revenue!D8</f>
        <v>154600</v>
      </c>
      <c r="E2" s="12">
        <f>Revenue!E8</f>
        <v>154600</v>
      </c>
      <c r="F2" s="12">
        <f>Revenue!F8</f>
        <v>154600</v>
      </c>
      <c r="G2" s="12">
        <f>Revenue!G8</f>
        <v>154600</v>
      </c>
      <c r="H2" s="12">
        <f>Revenue!H8</f>
        <v>154600</v>
      </c>
      <c r="I2" s="12">
        <f>Revenue!I8</f>
        <v>154600</v>
      </c>
      <c r="J2" s="12">
        <f>Revenue!J8</f>
        <v>154600</v>
      </c>
      <c r="K2" s="12">
        <f>Revenue!K8</f>
        <v>154600</v>
      </c>
      <c r="L2" s="12" t="str">
        <f>Revenue!L8</f>
        <v>0</v>
      </c>
      <c r="M2" s="12" t="str">
        <f>Revenue!M8</f>
        <v>0</v>
      </c>
      <c r="N2" s="12">
        <f>SUM(B2:M2)</f>
        <v>1546000</v>
      </c>
    </row>
    <row r="3" spans="1:14" x14ac:dyDescent="0.25">
      <c r="A3" s="4" t="s">
        <v>55</v>
      </c>
      <c r="B3" s="9">
        <f>Personnel!B11</f>
        <v>102643</v>
      </c>
      <c r="C3" s="9">
        <f>Personnel!C11</f>
        <v>102643</v>
      </c>
      <c r="D3" s="9">
        <f>Personnel!D11</f>
        <v>102643</v>
      </c>
      <c r="E3" s="9">
        <f>Personnel!E11</f>
        <v>102643</v>
      </c>
      <c r="F3" s="9">
        <f>Personnel!F11</f>
        <v>102643</v>
      </c>
      <c r="G3" s="9">
        <f>Personnel!G11</f>
        <v>102643</v>
      </c>
      <c r="H3" s="9">
        <f>Personnel!H11</f>
        <v>102643</v>
      </c>
      <c r="I3" s="9">
        <f>Personnel!I11</f>
        <v>102643</v>
      </c>
      <c r="J3" s="9">
        <f>Personnel!J11</f>
        <v>102643</v>
      </c>
      <c r="K3" s="9">
        <f>Personnel!K11</f>
        <v>102643</v>
      </c>
      <c r="L3" s="9" t="str">
        <f>Personnel!L11</f>
        <v>0</v>
      </c>
      <c r="M3" s="9" t="str">
        <f>Personnel!M11</f>
        <v>0</v>
      </c>
      <c r="N3" s="9">
        <f>SUM(B3:M3)</f>
        <v>1026431</v>
      </c>
    </row>
    <row r="4" spans="1:14" x14ac:dyDescent="0.25">
      <c r="A4" s="4" t="s">
        <v>56</v>
      </c>
      <c r="B4" s="9">
        <f>'Operating Expenses'!B13</f>
        <v>54500</v>
      </c>
      <c r="C4" s="9">
        <f>'Operating Expenses'!C13</f>
        <v>54500</v>
      </c>
      <c r="D4" s="9">
        <f>'Operating Expenses'!D13</f>
        <v>54500</v>
      </c>
      <c r="E4" s="9">
        <f>'Operating Expenses'!E13</f>
        <v>54500</v>
      </c>
      <c r="F4" s="9">
        <f>'Operating Expenses'!F13</f>
        <v>54500</v>
      </c>
      <c r="G4" s="9">
        <f>'Operating Expenses'!G13</f>
        <v>54500</v>
      </c>
      <c r="H4" s="9">
        <f>'Operating Expenses'!H13</f>
        <v>54500</v>
      </c>
      <c r="I4" s="9">
        <f>'Operating Expenses'!I13</f>
        <v>54500</v>
      </c>
      <c r="J4" s="9">
        <f>'Operating Expenses'!J13</f>
        <v>54500</v>
      </c>
      <c r="K4" s="9">
        <f>'Operating Expenses'!K13</f>
        <v>54500</v>
      </c>
      <c r="L4" s="9" t="str">
        <f>'Operating Expenses'!L13</f>
        <v>0</v>
      </c>
      <c r="M4" s="9" t="str">
        <f>'Operating Expenses'!M13</f>
        <v>0</v>
      </c>
      <c r="N4" s="9">
        <f>SUM(B4:M4)</f>
        <v>545000</v>
      </c>
    </row>
    <row r="5" spans="1:14" x14ac:dyDescent="0.25">
      <c r="A5" s="4" t="s">
        <v>57</v>
      </c>
      <c r="B5" s="9">
        <v>13735</v>
      </c>
      <c r="C5" s="9">
        <v>13735</v>
      </c>
      <c r="D5" s="9">
        <v>13735</v>
      </c>
      <c r="E5" s="9">
        <v>13735</v>
      </c>
      <c r="F5" s="9">
        <v>13735</v>
      </c>
      <c r="G5" s="9">
        <v>13735</v>
      </c>
      <c r="H5" s="9">
        <v>13735</v>
      </c>
      <c r="I5" s="9">
        <v>13735</v>
      </c>
      <c r="J5" s="9">
        <v>13735</v>
      </c>
      <c r="K5" s="9">
        <v>13735</v>
      </c>
      <c r="L5" s="9">
        <v>13735</v>
      </c>
      <c r="M5" s="9">
        <v>13735</v>
      </c>
      <c r="N5" s="9">
        <f>SUM(B5:M5)</f>
        <v>164825</v>
      </c>
    </row>
    <row r="6" ht="24" customHeight="1" spans="1:14" x14ac:dyDescent="0.25">
      <c r="A6" s="1" t="s">
        <v>58</v>
      </c>
      <c r="B6" s="13" t="str">
        <f>SUM(B3:B5)</f>
        <v>0</v>
      </c>
      <c r="C6" s="13" t="str">
        <f>SUM(C3:C5)</f>
        <v>0</v>
      </c>
      <c r="D6" s="13" t="str">
        <f>SUM(D3:D5)</f>
        <v>0</v>
      </c>
      <c r="E6" s="13" t="str">
        <f>SUM(E3:E5)</f>
        <v>0</v>
      </c>
      <c r="F6" s="13" t="str">
        <f>SUM(F3:F5)</f>
        <v>0</v>
      </c>
      <c r="G6" s="13" t="str">
        <f>SUM(G3:G5)</f>
        <v>0</v>
      </c>
      <c r="H6" s="13" t="str">
        <f>SUM(H3:H5)</f>
        <v>0</v>
      </c>
      <c r="I6" s="13" t="str">
        <f>SUM(I3:I5)</f>
        <v>0</v>
      </c>
      <c r="J6" s="13" t="str">
        <f>SUM(J3:J5)</f>
        <v>0</v>
      </c>
      <c r="K6" s="13" t="str">
        <f>SUM(K3:K5)</f>
        <v>0</v>
      </c>
      <c r="L6" s="13" t="str">
        <f>SUM(L3:L5)</f>
        <v>0</v>
      </c>
      <c r="M6" s="13" t="str">
        <f>SUM(M3:M5)</f>
        <v>0</v>
      </c>
      <c r="N6" s="13">
        <f>SUM(B6:M6)</f>
        <v>1736256</v>
      </c>
    </row>
    <row r="7" spans="1:14" x14ac:dyDescent="0.25">
      <c r="A7" s="11" t="s">
        <v>59</v>
      </c>
      <c r="B7" s="14" t="str">
        <f>B2-B6</f>
        <v>0</v>
      </c>
      <c r="C7" s="14" t="str">
        <f>C2-C6</f>
        <v>0</v>
      </c>
      <c r="D7" s="14" t="str">
        <f>D2-D6</f>
        <v>0</v>
      </c>
      <c r="E7" s="14" t="str">
        <f>E2-E6</f>
        <v>0</v>
      </c>
      <c r="F7" s="14" t="str">
        <f>F2-F6</f>
        <v>0</v>
      </c>
      <c r="G7" s="14" t="str">
        <f>G2-G6</f>
        <v>0</v>
      </c>
      <c r="H7" s="14" t="str">
        <f>H2-H6</f>
        <v>0</v>
      </c>
      <c r="I7" s="14" t="str">
        <f>I2-I6</f>
        <v>0</v>
      </c>
      <c r="J7" s="14" t="str">
        <f>J2-J6</f>
        <v>0</v>
      </c>
      <c r="K7" s="14" t="str">
        <f>K2-K6</f>
        <v>0</v>
      </c>
      <c r="L7" s="14" t="str">
        <f>L2-L6</f>
        <v>0</v>
      </c>
      <c r="M7" s="14" t="str">
        <f>M2-M6</f>
        <v>0</v>
      </c>
      <c r="N7" s="14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