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'Revenue'!$A1:$N8</definedName>
    <definedName name="_xlnm.Print_Titles" localSheetId="1">'Revenue'!$1:$1</definedName>
    <definedName name="_xlnm.Print_Area" localSheetId="2">'Personnel'!$A1:$N11</definedName>
    <definedName name="_xlnm.Print_Titles" localSheetId="2">'Personnel'!$1:$1</definedName>
    <definedName name="_xlnm.Print_Area" localSheetId="3">'Operating Expenses'!$A1:$N13</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<sst xmlns="http://schemas.openxmlformats.org/spreadsheetml/2006/main" count="108" uniqueCount="64">
  <si>
    <t>Year 1 Budget Assumptions</t>
  </si>
  <si>
    <t/>
  </si>
  <si>
    <t>Editable assumption — change this value</t>
  </si>
  <si>
    <t>Calculated — driven by formula</t>
  </si>
  <si>
    <t>School Name</t>
  </si>
  <si>
    <t>Civic Scholars Charter</t>
  </si>
  <si>
    <t>School Type</t>
  </si>
  <si>
    <t>charter_school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</si>
  <si>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</si>
  <si>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</si>
  <si>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</si>
  <si>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</si>
  <si>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</si>
  <si>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</si>
  <si>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</si>
  <si>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</si>
  <si>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</si>
  <si>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</si>
  <si>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</si>
  <si>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</si>
  <si>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</si>
  <si>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</si>
  <si>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</si>
  <si>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</si>
  <si>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</si>
  <si>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</si>
  <si>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State Per-Pupil Funding</t>
  </si>
  <si>
    <t>Federal Title I</t>
  </si>
  <si>
    <t>Special Education Funding</t>
  </si>
  <si>
    <t>CSP Startup Grant</t>
  </si>
  <si>
    <t>Annual Fundraising</t>
  </si>
  <si>
    <t>Food Service Revenue</t>
  </si>
  <si>
    <t>TOTAL REVENUE</t>
  </si>
  <si>
    <t>Executive Director</t>
  </si>
  <si>
    <t>Principal</t>
  </si>
  <si>
    <t>Dean of Students</t>
  </si>
  <si>
    <t>Core Teachers</t>
  </si>
  <si>
    <t>Special Education Teacher</t>
  </si>
  <si>
    <t>Instructional Aides</t>
  </si>
  <si>
    <t>Operations Manager</t>
  </si>
  <si>
    <t>Office Staff</t>
  </si>
  <si>
    <t>School Counselor</t>
  </si>
  <si>
    <t>TOTAL PERSONNEL</t>
  </si>
  <si>
    <t>Facility Lease</t>
  </si>
  <si>
    <t>Utilities</t>
  </si>
  <si>
    <t>Insurance</t>
  </si>
  <si>
    <t>Janitorial</t>
  </si>
  <si>
    <t>Curriculum &amp; Textbooks</t>
  </si>
  <si>
    <t>Technology &amp; Devices</t>
  </si>
  <si>
    <t>Marketing &amp; Recruitment</t>
  </si>
  <si>
    <t>Professional Development</t>
  </si>
  <si>
    <t>Legal &amp; Compliance</t>
  </si>
  <si>
    <t>Food Service</t>
  </si>
  <si>
    <t>Transportation</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</si>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</sst>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120</v>
      </c>
    </row>
    <row r="9" spans="1:2" x14ac:dyDescent="0.25">
      <c r="A9" s="5" t="s">
        <v>10</v>
      </c>
      <c r="B9" s="7">
        <v>0</v>
      </c>
    </row>
    <row r="10" spans="1:2" x14ac:dyDescent="0.25">
      <c r="A10" s="5" t="s">
        <v>11</v>
      </c>
      <c r="B10" s="7">
        <v>0</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114000</v>
      </c>
      <c r="C2" s="10">
        <v>114000</v>
      </c>
      <c r="D2" s="10">
        <v>114000</v>
      </c>
      <c r="E2" s="10">
        <v>114000</v>
      </c>
      <c r="F2" s="10">
        <v>114000</v>
      </c>
      <c r="G2" s="10">
        <v>114000</v>
      </c>
      <c r="H2" s="10">
        <v>114000</v>
      </c>
      <c r="I2" s="10">
        <v>114000</v>
      </c>
      <c r="J2" s="10">
        <v>114000</v>
      </c>
      <c r="K2" s="10">
        <v>114000</v>
      </c>
      <c r="L2" s="10">
        <v>0</v>
      </c>
      <c r="M2" s="10">
        <v>0</v>
      </c>
      <c r="N2" s="10">
        <f>SUM(B2:M2)</f>
        <v>950000</v>
      </c>
    </row>
    <row r="3" spans="1:14" x14ac:dyDescent="0.25">
      <c r="A3" s="5" t="s">
        <v>27</v>
      </c>
      <c r="B3" s="10">
        <v>9600</v>
      </c>
      <c r="C3" s="10">
        <v>9600</v>
      </c>
      <c r="D3" s="10">
        <v>9600</v>
      </c>
      <c r="E3" s="10">
        <v>9600</v>
      </c>
      <c r="F3" s="10">
        <v>9600</v>
      </c>
      <c r="G3" s="10">
        <v>9600</v>
      </c>
      <c r="H3" s="10">
        <v>9600</v>
      </c>
      <c r="I3" s="10">
        <v>9600</v>
      </c>
      <c r="J3" s="10">
        <v>9600</v>
      </c>
      <c r="K3" s="10">
        <v>9600</v>
      </c>
      <c r="L3" s="10">
        <v>0</v>
      </c>
      <c r="M3" s="10">
        <v>0</v>
      </c>
      <c r="N3" s="10">
        <f>SUM(B3:M3)</f>
        <v>80000</v>
      </c>
    </row>
    <row r="4" spans="1:14" x14ac:dyDescent="0.25">
      <c r="A4" s="5" t="s">
        <v>28</v>
      </c>
      <c r="B4" s="10">
        <v>14400</v>
      </c>
      <c r="C4" s="10">
        <v>14400</v>
      </c>
      <c r="D4" s="10">
        <v>14400</v>
      </c>
      <c r="E4" s="10">
        <v>14400</v>
      </c>
      <c r="F4" s="10">
        <v>14400</v>
      </c>
      <c r="G4" s="10">
        <v>14400</v>
      </c>
      <c r="H4" s="10">
        <v>14400</v>
      </c>
      <c r="I4" s="10">
        <v>14400</v>
      </c>
      <c r="J4" s="10">
        <v>14400</v>
      </c>
      <c r="K4" s="10">
        <v>14400</v>
      </c>
      <c r="L4" s="10">
        <v>0</v>
      </c>
      <c r="M4" s="10">
        <v>0</v>
      </c>
      <c r="N4" s="10">
        <f>SUM(B4:M4)</f>
        <v>120000</v>
      </c>
    </row>
    <row r="5" spans="1:14" x14ac:dyDescent="0.25">
      <c r="A5" s="5" t="s">
        <v>29</v>
      </c>
      <c r="B5" s="10">
        <v>10000</v>
      </c>
      <c r="C5" s="10">
        <v>10000</v>
      </c>
      <c r="D5" s="10">
        <v>10000</v>
      </c>
      <c r="E5" s="10">
        <v>10000</v>
      </c>
      <c r="F5" s="10">
        <v>10000</v>
      </c>
      <c r="G5" s="10">
        <v>10000</v>
      </c>
      <c r="H5" s="10">
        <v>10000</v>
      </c>
      <c r="I5" s="10">
        <v>10000</v>
      </c>
      <c r="J5" s="10">
        <v>10000</v>
      </c>
      <c r="K5" s="10">
        <v>10000</v>
      </c>
      <c r="L5" s="10">
        <v>0</v>
      </c>
      <c r="M5" s="10">
        <v>0</v>
      </c>
      <c r="N5" s="10">
        <f>SUM(B5:M5)</f>
        <v>83333</v>
      </c>
    </row>
    <row r="6" spans="1:14" x14ac:dyDescent="0.25">
      <c r="A6" s="5" t="s">
        <v>30</v>
      </c>
      <c r="B6" s="10">
        <v>3000</v>
      </c>
      <c r="C6" s="10">
        <v>3000</v>
      </c>
      <c r="D6" s="10">
        <v>3000</v>
      </c>
      <c r="E6" s="10">
        <v>3000</v>
      </c>
      <c r="F6" s="10">
        <v>3000</v>
      </c>
      <c r="G6" s="10">
        <v>3000</v>
      </c>
      <c r="H6" s="10">
        <v>3000</v>
      </c>
      <c r="I6" s="10">
        <v>3000</v>
      </c>
      <c r="J6" s="10">
        <v>3000</v>
      </c>
      <c r="K6" s="10">
        <v>3000</v>
      </c>
      <c r="L6" s="10">
        <v>0</v>
      </c>
      <c r="M6" s="10">
        <v>0</v>
      </c>
      <c r="N6" s="10">
        <f>SUM(B6:M6)</f>
        <v>25000</v>
      </c>
    </row>
    <row r="7" spans="1:14" x14ac:dyDescent="0.25">
      <c r="A7" s="5" t="s">
        <v>31</v>
      </c>
      <c r="B7" s="10">
        <v>3600</v>
      </c>
      <c r="C7" s="10">
        <v>3600</v>
      </c>
      <c r="D7" s="10">
        <v>3600</v>
      </c>
      <c r="E7" s="10">
        <v>3600</v>
      </c>
      <c r="F7" s="10">
        <v>3600</v>
      </c>
      <c r="G7" s="10">
        <v>3600</v>
      </c>
      <c r="H7" s="10">
        <v>3600</v>
      </c>
      <c r="I7" s="10">
        <v>3600</v>
      </c>
      <c r="J7" s="10">
        <v>3600</v>
      </c>
      <c r="K7" s="10">
        <v>3600</v>
      </c>
      <c r="L7" s="10">
        <v>0</v>
      </c>
      <c r="M7" s="10">
        <v>0</v>
      </c>
      <c r="N7" s="10">
        <f>SUM(B7:M7)</f>
        <v>30000</v>
      </c>
    </row>
    <row r="8" ht="24" customHeight="1" spans="1:14" x14ac:dyDescent="0.25">
      <c r="A8" s="1" t="s">
        <v>32</v>
      </c>
      <c r="B8" s="11">
        <f>SUM(B2:B7)</f>
        <v>154600</v>
      </c>
      <c r="C8" s="11">
        <f>SUM(C2:C7)</f>
        <v>154600</v>
      </c>
      <c r="D8" s="11">
        <f>SUM(D2:D7)</f>
        <v>154600</v>
      </c>
      <c r="E8" s="11">
        <f>SUM(E2:E7)</f>
        <v>154600</v>
      </c>
      <c r="F8" s="11">
        <f>SUM(F2:F7)</f>
        <v>154600</v>
      </c>
      <c r="G8" s="11">
        <f>SUM(G2:G7)</f>
        <v>154600</v>
      </c>
      <c r="H8" s="11">
        <f>SUM(H2:H7)</f>
        <v>154600</v>
      </c>
      <c r="I8" s="11">
        <f>SUM(I2:I7)</f>
        <v>154600</v>
      </c>
      <c r="J8" s="11">
        <f>SUM(J2:J7)</f>
        <v>154600</v>
      </c>
      <c r="K8" s="11">
        <f>SUM(K2:K7)</f>
        <v>154600</v>
      </c>
      <c r="L8" s="11" t="str">
        <f>SUM(L2:L7)</f>
        <v>0</v>
      </c>
      <c r="M8" s="11" t="str">
        <f>SUM(M2:M7)</f>
        <v>0</v>
      </c>
      <c r="N8" s="11">
        <f>SUM(B8:M8)</f>
        <v>1546000</v>
      </c>
    </row>
  </sheetData>
  <pageMargins left="0.7" right="0.7" top="0.75" bottom="0.75" header="0.3" footer="0.3"/>
  <pageSetup paperSize="1" orientation="portrait" horizontalDpi="4294967295" verticalDpi="4294967295" scale="100" fitToWidth="1" fitToHeight="0"/>
  <headerFooter>
    <oddHeader>&amp;L&amp;10&amp;BCivic Scholars Charter&amp;R&amp;8&amp;IRevenue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33</v>
      </c>
      <c r="B2" s="10">
        <v>335958</v>
      </c>
      <c r="C2" s="10">
        <v>335958</v>
      </c>
      <c r="D2" s="10">
        <v>335958</v>
      </c>
      <c r="E2" s="10">
        <v>335958</v>
      </c>
      <c r="F2" s="10">
        <v>335958</v>
      </c>
      <c r="G2" s="10">
        <v>335958</v>
      </c>
      <c r="H2" s="10">
        <v>335958</v>
      </c>
      <c r="I2" s="10">
        <v>335958</v>
      </c>
      <c r="J2" s="10">
        <v>335958</v>
      </c>
      <c r="K2" s="10">
        <v>335958</v>
      </c>
      <c r="L2" s="10">
        <v>0</v>
      </c>
      <c r="M2" s="10">
        <v>0</v>
      </c>
      <c r="N2" s="10">
        <f>SUM(B2:M2)</f>
        <v>3359583</v>
      </c>
    </row>
    <row r="3" spans="1:14" x14ac:dyDescent="0.25">
      <c r="A3" s="5" t="s">
        <v>34</v>
      </c>
      <c r="B3" s="10">
        <v>274875</v>
      </c>
      <c r="C3" s="10">
        <v>274875</v>
      </c>
      <c r="D3" s="10">
        <v>274875</v>
      </c>
      <c r="E3" s="10">
        <v>274875</v>
      </c>
      <c r="F3" s="10">
        <v>274875</v>
      </c>
      <c r="G3" s="10">
        <v>274875</v>
      </c>
      <c r="H3" s="10">
        <v>274875</v>
      </c>
      <c r="I3" s="10">
        <v>274875</v>
      </c>
      <c r="J3" s="10">
        <v>274875</v>
      </c>
      <c r="K3" s="10">
        <v>274875</v>
      </c>
      <c r="L3" s="10">
        <v>0</v>
      </c>
      <c r="M3" s="10">
        <v>0</v>
      </c>
      <c r="N3" s="10">
        <f>SUM(B3:M3)</f>
        <v>2748750</v>
      </c>
    </row>
    <row r="4" spans="1:14" x14ac:dyDescent="0.25">
      <c r="A4" s="5" t="s">
        <v>35</v>
      </c>
      <c r="B4" s="10">
        <v>219900</v>
      </c>
      <c r="C4" s="10">
        <v>219900</v>
      </c>
      <c r="D4" s="10">
        <v>219900</v>
      </c>
      <c r="E4" s="10">
        <v>219900</v>
      </c>
      <c r="F4" s="10">
        <v>219900</v>
      </c>
      <c r="G4" s="10">
        <v>219900</v>
      </c>
      <c r="H4" s="10">
        <v>219900</v>
      </c>
      <c r="I4" s="10">
        <v>219900</v>
      </c>
      <c r="J4" s="10">
        <v>219900</v>
      </c>
      <c r="K4" s="10">
        <v>219900</v>
      </c>
      <c r="L4" s="10">
        <v>0</v>
      </c>
      <c r="M4" s="10">
        <v>0</v>
      </c>
      <c r="N4" s="10">
        <f>SUM(B4:M4)</f>
        <v>2199000</v>
      </c>
    </row>
    <row r="5" spans="1:14" x14ac:dyDescent="0.25">
      <c r="A5" s="5" t="s">
        <v>36</v>
      </c>
      <c r="B5" s="10">
        <v>952900</v>
      </c>
      <c r="C5" s="10">
        <v>952900</v>
      </c>
      <c r="D5" s="10">
        <v>952900</v>
      </c>
      <c r="E5" s="10">
        <v>952900</v>
      </c>
      <c r="F5" s="10">
        <v>952900</v>
      </c>
      <c r="G5" s="10">
        <v>952900</v>
      </c>
      <c r="H5" s="10">
        <v>952900</v>
      </c>
      <c r="I5" s="10">
        <v>952900</v>
      </c>
      <c r="J5" s="10">
        <v>952900</v>
      </c>
      <c r="K5" s="10">
        <v>952900</v>
      </c>
      <c r="L5" s="10">
        <v>0</v>
      </c>
      <c r="M5" s="10">
        <v>0</v>
      </c>
      <c r="N5" s="10">
        <f>SUM(B5:M5)</f>
        <v>9529000</v>
      </c>
    </row>
    <row r="6" spans="1:14" x14ac:dyDescent="0.25">
      <c r="A6" s="5" t="s">
        <v>37</v>
      </c>
      <c r="B6" s="10">
        <v>167979</v>
      </c>
      <c r="C6" s="10">
        <v>167979</v>
      </c>
      <c r="D6" s="10">
        <v>167979</v>
      </c>
      <c r="E6" s="10">
        <v>167979</v>
      </c>
      <c r="F6" s="10">
        <v>167979</v>
      </c>
      <c r="G6" s="10">
        <v>167979</v>
      </c>
      <c r="H6" s="10">
        <v>167979</v>
      </c>
      <c r="I6" s="10">
        <v>167979</v>
      </c>
      <c r="J6" s="10">
        <v>167979</v>
      </c>
      <c r="K6" s="10">
        <v>167979</v>
      </c>
      <c r="L6" s="10">
        <v>0</v>
      </c>
      <c r="M6" s="10">
        <v>0</v>
      </c>
      <c r="N6" s="10">
        <f>SUM(B6:M6)</f>
        <v>1679792</v>
      </c>
    </row>
    <row r="7" spans="1:14" x14ac:dyDescent="0.25">
      <c r="A7" s="5" t="s">
        <v>38</v>
      </c>
      <c r="B7" s="10">
        <v>214875</v>
      </c>
      <c r="C7" s="10">
        <v>214875</v>
      </c>
      <c r="D7" s="10">
        <v>214875</v>
      </c>
      <c r="E7" s="10">
        <v>214875</v>
      </c>
      <c r="F7" s="10">
        <v>214875</v>
      </c>
      <c r="G7" s="10">
        <v>214875</v>
      </c>
      <c r="H7" s="10">
        <v>214875</v>
      </c>
      <c r="I7" s="10">
        <v>214875</v>
      </c>
      <c r="J7" s="10">
        <v>214875</v>
      </c>
      <c r="K7" s="10">
        <v>214875</v>
      </c>
      <c r="L7" s="10">
        <v>0</v>
      </c>
      <c r="M7" s="10">
        <v>0</v>
      </c>
      <c r="N7" s="10">
        <f>SUM(B7:M7)</f>
        <v>2148750</v>
      </c>
    </row>
    <row r="8" spans="1:14" x14ac:dyDescent="0.25">
      <c r="A8" s="5" t="s">
        <v>39</v>
      </c>
      <c r="B8" s="10">
        <v>167979</v>
      </c>
      <c r="C8" s="10">
        <v>167979</v>
      </c>
      <c r="D8" s="10">
        <v>167979</v>
      </c>
      <c r="E8" s="10">
        <v>167979</v>
      </c>
      <c r="F8" s="10">
        <v>167979</v>
      </c>
      <c r="G8" s="10">
        <v>167979</v>
      </c>
      <c r="H8" s="10">
        <v>167979</v>
      </c>
      <c r="I8" s="10">
        <v>167979</v>
      </c>
      <c r="J8" s="10">
        <v>167979</v>
      </c>
      <c r="K8" s="10">
        <v>167979</v>
      </c>
      <c r="L8" s="10">
        <v>0</v>
      </c>
      <c r="M8" s="10">
        <v>0</v>
      </c>
      <c r="N8" s="10">
        <f>SUM(B8:M8)</f>
        <v>1679792</v>
      </c>
    </row>
    <row r="9" spans="1:14" x14ac:dyDescent="0.25">
      <c r="A9" s="5" t="s">
        <v>40</v>
      </c>
      <c r="B9" s="10">
        <v>213117</v>
      </c>
      <c r="C9" s="10">
        <v>213117</v>
      </c>
      <c r="D9" s="10">
        <v>213117</v>
      </c>
      <c r="E9" s="10">
        <v>213117</v>
      </c>
      <c r="F9" s="10">
        <v>213117</v>
      </c>
      <c r="G9" s="10">
        <v>213117</v>
      </c>
      <c r="H9" s="10">
        <v>213117</v>
      </c>
      <c r="I9" s="10">
        <v>213117</v>
      </c>
      <c r="J9" s="10">
        <v>213117</v>
      </c>
      <c r="K9" s="10">
        <v>213117</v>
      </c>
      <c r="L9" s="10">
        <v>0</v>
      </c>
      <c r="M9" s="10">
        <v>0</v>
      </c>
      <c r="N9" s="10">
        <f>SUM(B9:M9)</f>
        <v>2131167</v>
      </c>
    </row>
    <row r="10" spans="1:14" x14ac:dyDescent="0.25">
      <c r="A10" s="5" t="s">
        <v>41</v>
      </c>
      <c r="B10" s="10">
        <v>167979</v>
      </c>
      <c r="C10" s="10">
        <v>167979</v>
      </c>
      <c r="D10" s="10">
        <v>167979</v>
      </c>
      <c r="E10" s="10">
        <v>167979</v>
      </c>
      <c r="F10" s="10">
        <v>167979</v>
      </c>
      <c r="G10" s="10">
        <v>167979</v>
      </c>
      <c r="H10" s="10">
        <v>167979</v>
      </c>
      <c r="I10" s="10">
        <v>167979</v>
      </c>
      <c r="J10" s="10">
        <v>167979</v>
      </c>
      <c r="K10" s="10">
        <v>167979</v>
      </c>
      <c r="L10" s="10">
        <v>0</v>
      </c>
      <c r="M10" s="10">
        <v>0</v>
      </c>
      <c r="N10" s="10">
        <f>SUM(B10:M10)</f>
        <v>1679792</v>
      </c>
    </row>
    <row r="11" ht="24" customHeight="1" spans="1:14" x14ac:dyDescent="0.25">
      <c r="A11" s="1" t="s">
        <v>42</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&amp;L&amp;10&amp;BCivic Scholars Charter&amp;R&amp;8&amp;IPersonnel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43</v>
      </c>
      <c r="B2" s="10">
        <v>18000</v>
      </c>
      <c r="C2" s="10">
        <v>18000</v>
      </c>
      <c r="D2" s="10">
        <v>18000</v>
      </c>
      <c r="E2" s="10">
        <v>18000</v>
      </c>
      <c r="F2" s="10">
        <v>18000</v>
      </c>
      <c r="G2" s="10">
        <v>18000</v>
      </c>
      <c r="H2" s="10">
        <v>18000</v>
      </c>
      <c r="I2" s="10">
        <v>18000</v>
      </c>
      <c r="J2" s="10">
        <v>18000</v>
      </c>
      <c r="K2" s="10">
        <v>18000</v>
      </c>
      <c r="L2" s="10">
        <v>0</v>
      </c>
      <c r="M2" s="10">
        <v>0</v>
      </c>
      <c r="N2" s="10">
        <f>SUM(B2:M2)</f>
        <v>180000</v>
      </c>
    </row>
    <row r="3" spans="1:14" x14ac:dyDescent="0.25">
      <c r="A3" s="5" t="s">
        <v>44</v>
      </c>
      <c r="B3" s="10">
        <v>2500</v>
      </c>
      <c r="C3" s="10">
        <v>2500</v>
      </c>
      <c r="D3" s="10">
        <v>2500</v>
      </c>
      <c r="E3" s="10">
        <v>2500</v>
      </c>
      <c r="F3" s="10">
        <v>2500</v>
      </c>
      <c r="G3" s="10">
        <v>2500</v>
      </c>
      <c r="H3" s="10">
        <v>2500</v>
      </c>
      <c r="I3" s="10">
        <v>2500</v>
      </c>
      <c r="J3" s="10">
        <v>2500</v>
      </c>
      <c r="K3" s="10">
        <v>2500</v>
      </c>
      <c r="L3" s="10">
        <v>0</v>
      </c>
      <c r="M3" s="10">
        <v>0</v>
      </c>
      <c r="N3" s="10">
        <f>SUM(B3:M3)</f>
        <v>25000</v>
      </c>
    </row>
    <row r="4" spans="1:14" x14ac:dyDescent="0.25">
      <c r="A4" s="5" t="s">
        <v>45</v>
      </c>
      <c r="B4" s="10">
        <v>1500</v>
      </c>
      <c r="C4" s="10">
        <v>1500</v>
      </c>
      <c r="D4" s="10">
        <v>1500</v>
      </c>
      <c r="E4" s="10">
        <v>1500</v>
      </c>
      <c r="F4" s="10">
        <v>1500</v>
      </c>
      <c r="G4" s="10">
        <v>1500</v>
      </c>
      <c r="H4" s="10">
        <v>1500</v>
      </c>
      <c r="I4" s="10">
        <v>1500</v>
      </c>
      <c r="J4" s="10">
        <v>1500</v>
      </c>
      <c r="K4" s="10">
        <v>1500</v>
      </c>
      <c r="L4" s="10">
        <v>0</v>
      </c>
      <c r="M4" s="10">
        <v>0</v>
      </c>
      <c r="N4" s="10">
        <f>SUM(B4:M4)</f>
        <v>15000</v>
      </c>
    </row>
    <row r="5" spans="1:14" x14ac:dyDescent="0.25">
      <c r="A5" s="5" t="s">
        <v>46</v>
      </c>
      <c r="B5" s="10">
        <v>1500</v>
      </c>
      <c r="C5" s="10">
        <v>1500</v>
      </c>
      <c r="D5" s="10">
        <v>1500</v>
      </c>
      <c r="E5" s="10">
        <v>1500</v>
      </c>
      <c r="F5" s="10">
        <v>1500</v>
      </c>
      <c r="G5" s="10">
        <v>1500</v>
      </c>
      <c r="H5" s="10">
        <v>1500</v>
      </c>
      <c r="I5" s="10">
        <v>1500</v>
      </c>
      <c r="J5" s="10">
        <v>1500</v>
      </c>
      <c r="K5" s="10">
        <v>1500</v>
      </c>
      <c r="L5" s="10">
        <v>0</v>
      </c>
      <c r="M5" s="10">
        <v>0</v>
      </c>
      <c r="N5" s="10">
        <f>SUM(B5:M5)</f>
        <v>15000</v>
      </c>
    </row>
    <row r="6" spans="1:14" x14ac:dyDescent="0.25">
      <c r="A6" s="5" t="s">
        <v>47</v>
      </c>
      <c r="B6" s="10">
        <v>7000</v>
      </c>
      <c r="C6" s="10">
        <v>7000</v>
      </c>
      <c r="D6" s="10">
        <v>7000</v>
      </c>
      <c r="E6" s="10">
        <v>7000</v>
      </c>
      <c r="F6" s="10">
        <v>7000</v>
      </c>
      <c r="G6" s="10">
        <v>7000</v>
      </c>
      <c r="H6" s="10">
        <v>7000</v>
      </c>
      <c r="I6" s="10">
        <v>7000</v>
      </c>
      <c r="J6" s="10">
        <v>7000</v>
      </c>
      <c r="K6" s="10">
        <v>7000</v>
      </c>
      <c r="L6" s="10">
        <v>0</v>
      </c>
      <c r="M6" s="10">
        <v>0</v>
      </c>
      <c r="N6" s="10">
        <f>SUM(B6:M6)</f>
        <v>70000</v>
      </c>
    </row>
    <row r="7" spans="1:14" x14ac:dyDescent="0.25">
      <c r="A7" s="5" t="s">
        <v>48</v>
      </c>
      <c r="B7" s="10">
        <v>5000</v>
      </c>
      <c r="C7" s="10">
        <v>5000</v>
      </c>
      <c r="D7" s="10">
        <v>5000</v>
      </c>
      <c r="E7" s="10">
        <v>5000</v>
      </c>
      <c r="F7" s="10">
        <v>5000</v>
      </c>
      <c r="G7" s="10">
        <v>5000</v>
      </c>
      <c r="H7" s="10">
        <v>5000</v>
      </c>
      <c r="I7" s="10">
        <v>5000</v>
      </c>
      <c r="J7" s="10">
        <v>5000</v>
      </c>
      <c r="K7" s="10">
        <v>5000</v>
      </c>
      <c r="L7" s="10">
        <v>0</v>
      </c>
      <c r="M7" s="10">
        <v>0</v>
      </c>
      <c r="N7" s="10">
        <f>SUM(B7:M7)</f>
        <v>50000</v>
      </c>
    </row>
    <row r="8" spans="1:14" x14ac:dyDescent="0.25">
      <c r="A8" s="5" t="s">
        <v>49</v>
      </c>
      <c r="B8" s="10">
        <v>2083</v>
      </c>
      <c r="C8" s="10">
        <v>2083</v>
      </c>
      <c r="D8" s="10">
        <v>2083</v>
      </c>
      <c r="E8" s="10">
        <v>2083</v>
      </c>
      <c r="F8" s="10">
        <v>2083</v>
      </c>
      <c r="G8" s="10">
        <v>2083</v>
      </c>
      <c r="H8" s="10">
        <v>2083</v>
      </c>
      <c r="I8" s="10">
        <v>2083</v>
      </c>
      <c r="J8" s="10">
        <v>2083</v>
      </c>
      <c r="K8" s="10">
        <v>2083</v>
      </c>
      <c r="L8" s="10">
        <v>0</v>
      </c>
      <c r="M8" s="10">
        <v>0</v>
      </c>
      <c r="N8" s="10">
        <f>SUM(B8:M8)</f>
        <v>20833</v>
      </c>
    </row>
    <row r="9" spans="1:14" x14ac:dyDescent="0.25">
      <c r="A9" s="5" t="s">
        <v>50</v>
      </c>
      <c r="B9" s="10">
        <v>1250</v>
      </c>
      <c r="C9" s="10">
        <v>1250</v>
      </c>
      <c r="D9" s="10">
        <v>1250</v>
      </c>
      <c r="E9" s="10">
        <v>1250</v>
      </c>
      <c r="F9" s="10">
        <v>1250</v>
      </c>
      <c r="G9" s="10">
        <v>1250</v>
      </c>
      <c r="H9" s="10">
        <v>1250</v>
      </c>
      <c r="I9" s="10">
        <v>1250</v>
      </c>
      <c r="J9" s="10">
        <v>1250</v>
      </c>
      <c r="K9" s="10">
        <v>1250</v>
      </c>
      <c r="L9" s="10">
        <v>0</v>
      </c>
      <c r="M9" s="10">
        <v>0</v>
      </c>
      <c r="N9" s="10">
        <f>SUM(B9:M9)</f>
        <v>12500</v>
      </c>
    </row>
    <row r="10" spans="1:14" x14ac:dyDescent="0.25">
      <c r="A10" s="5" t="s">
        <v>51</v>
      </c>
      <c r="B10" s="10">
        <v>1667</v>
      </c>
      <c r="C10" s="10">
        <v>1667</v>
      </c>
      <c r="D10" s="10">
        <v>1667</v>
      </c>
      <c r="E10" s="10">
        <v>1667</v>
      </c>
      <c r="F10" s="10">
        <v>1667</v>
      </c>
      <c r="G10" s="10">
        <v>1667</v>
      </c>
      <c r="H10" s="10">
        <v>1667</v>
      </c>
      <c r="I10" s="10">
        <v>1667</v>
      </c>
      <c r="J10" s="10">
        <v>1667</v>
      </c>
      <c r="K10" s="10">
        <v>1667</v>
      </c>
      <c r="L10" s="10">
        <v>0</v>
      </c>
      <c r="M10" s="10">
        <v>0</v>
      </c>
      <c r="N10" s="10">
        <f>SUM(B10:M10)</f>
        <v>16667</v>
      </c>
    </row>
    <row r="11" spans="1:14" x14ac:dyDescent="0.25">
      <c r="A11" s="5" t="s">
        <v>52</v>
      </c>
      <c r="B11" s="10">
        <v>8000</v>
      </c>
      <c r="C11" s="10">
        <v>8000</v>
      </c>
      <c r="D11" s="10">
        <v>8000</v>
      </c>
      <c r="E11" s="10">
        <v>8000</v>
      </c>
      <c r="F11" s="10">
        <v>8000</v>
      </c>
      <c r="G11" s="10">
        <v>8000</v>
      </c>
      <c r="H11" s="10">
        <v>8000</v>
      </c>
      <c r="I11" s="10">
        <v>8000</v>
      </c>
      <c r="J11" s="10">
        <v>8000</v>
      </c>
      <c r="K11" s="10">
        <v>8000</v>
      </c>
      <c r="L11" s="10">
        <v>0</v>
      </c>
      <c r="M11" s="10">
        <v>0</v>
      </c>
      <c r="N11" s="10">
        <f>SUM(B11:M11)</f>
        <v>80000</v>
      </c>
    </row>
    <row r="12" spans="1:14" x14ac:dyDescent="0.25">
      <c r="A12" s="5" t="s">
        <v>53</v>
      </c>
      <c r="B12" s="10">
        <v>6000</v>
      </c>
      <c r="C12" s="10">
        <v>6000</v>
      </c>
      <c r="D12" s="10">
        <v>6000</v>
      </c>
      <c r="E12" s="10">
        <v>6000</v>
      </c>
      <c r="F12" s="10">
        <v>6000</v>
      </c>
      <c r="G12" s="10">
        <v>6000</v>
      </c>
      <c r="H12" s="10">
        <v>6000</v>
      </c>
      <c r="I12" s="10">
        <v>6000</v>
      </c>
      <c r="J12" s="10">
        <v>6000</v>
      </c>
      <c r="K12" s="10">
        <v>6000</v>
      </c>
      <c r="L12" s="10">
        <v>0</v>
      </c>
      <c r="M12" s="10">
        <v>0</v>
      </c>
      <c r="N12" s="10">
        <f>SUM(B12:M12)</f>
        <v>60000</v>
      </c>
    </row>
    <row r="13" ht="24" customHeight="1" spans="1:14" x14ac:dyDescent="0.25">
      <c r="A13" s="1" t="s">
        <v>54</v>
      </c>
      <c r="B13" s="11" t="str">
        <f>SUM(B2:B12)</f>
        <v>0</v>
      </c>
      <c r="C13" s="11" t="str">
        <f>SUM(C2:C12)</f>
        <v>0</v>
      </c>
      <c r="D13" s="11" t="str">
        <f>SUM(D2:D12)</f>
        <v>0</v>
      </c>
      <c r="E13" s="11" t="str">
        <f>SUM(E2:E12)</f>
        <v>0</v>
      </c>
      <c r="F13" s="11" t="str">
        <f>SUM(F2:F12)</f>
        <v>0</v>
      </c>
      <c r="G13" s="11" t="str">
        <f>SUM(G2:G12)</f>
        <v>0</v>
      </c>
      <c r="H13" s="11" t="str">
        <f>SUM(H2:H12)</f>
        <v>0</v>
      </c>
      <c r="I13" s="11" t="str">
        <f>SUM(I2:I12)</f>
        <v>0</v>
      </c>
      <c r="J13" s="11" t="str">
        <f>SUM(J2:J12)</f>
        <v>0</v>
      </c>
      <c r="K13" s="11" t="str">
        <f>SUM(K2:K12)</f>
        <v>0</v>
      </c>
      <c r="L13" s="11" t="str">
        <f>SUM(L2:L12)</f>
        <v>0</v>
      </c>
      <c r="M13" s="11" t="str">
        <f>SUM(M2:M12)</f>
        <v>0</v>
      </c>
      <c r="N13" s="11" t="str">
        <f>SUM(B13:M13)</f>
        <v>0</v>
      </c>
    </row>
  </sheetData>
  <pageMargins left="0.7" right="0.7" top="0.75" bottom="0.75" header="0.3" footer="0.3"/>
  <pageSetup paperSize="1" orientation="portrait" horizontalDpi="4294967295" verticalDpi="4294967295" scale="100" fitToWidth="1" fitToHeight="0"/>
  <headerFooter>
    <oddHeader>&amp;L&amp;10&amp;BCivic Scholars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55</v>
      </c>
      <c r="B2" s="13">
        <f>Revenue!B8</f>
        <v>154600</v>
      </c>
      <c r="C2" s="13">
        <f>Revenue!C8</f>
        <v>154600</v>
      </c>
      <c r="D2" s="13">
        <f>Revenue!D8</f>
        <v>154600</v>
      </c>
      <c r="E2" s="13">
        <f>Revenue!E8</f>
        <v>154600</v>
      </c>
      <c r="F2" s="13">
        <f>Revenue!F8</f>
        <v>154600</v>
      </c>
      <c r="G2" s="13">
        <f>Revenue!G8</f>
        <v>154600</v>
      </c>
      <c r="H2" s="13">
        <f>Revenue!H8</f>
        <v>154600</v>
      </c>
      <c r="I2" s="13">
        <f>Revenue!I8</f>
        <v>154600</v>
      </c>
      <c r="J2" s="13">
        <f>Revenue!J8</f>
        <v>154600</v>
      </c>
      <c r="K2" s="13">
        <f>Revenue!K8</f>
        <v>154600</v>
      </c>
      <c r="L2" s="13" t="str">
        <f>Revenue!L8</f>
        <v>0</v>
      </c>
      <c r="M2" s="13" t="str">
        <f>Revenue!M8</f>
        <v>0</v>
      </c>
      <c r="N2" s="13">
        <f>SUM(B2:M2)</f>
        <v>1546000</v>
      </c>
    </row>
    <row r="3" spans="1:14" x14ac:dyDescent="0.25">
      <c r="A3" s="5" t="s">
        <v>56</v>
      </c>
      <c r="B3" s="10">
        <f>Personnel!B11</f>
        <v>99704</v>
      </c>
      <c r="C3" s="10">
        <f>Personnel!C11</f>
        <v>99704</v>
      </c>
      <c r="D3" s="10">
        <f>Personnel!D11</f>
        <v>99704</v>
      </c>
      <c r="E3" s="10">
        <f>Personnel!E11</f>
        <v>99704</v>
      </c>
      <c r="F3" s="10">
        <f>Personnel!F11</f>
        <v>99704</v>
      </c>
      <c r="G3" s="10">
        <f>Personnel!G11</f>
        <v>99704</v>
      </c>
      <c r="H3" s="10">
        <f>Personnel!H11</f>
        <v>99704</v>
      </c>
      <c r="I3" s="10">
        <f>Personnel!I11</f>
        <v>99704</v>
      </c>
      <c r="J3" s="10">
        <f>Personnel!J11</f>
        <v>99704</v>
      </c>
      <c r="K3" s="10">
        <f>Personnel!K11</f>
        <v>99704</v>
      </c>
      <c r="L3" s="10" t="str">
        <f>Personnel!L11</f>
        <v>0</v>
      </c>
      <c r="M3" s="10" t="str">
        <f>Personnel!M11</f>
        <v>0</v>
      </c>
      <c r="N3" s="10">
        <f>SUM(B3:M3)</f>
        <v>997040</v>
      </c>
    </row>
    <row r="4" spans="1:14" x14ac:dyDescent="0.25">
      <c r="A4" s="5" t="s">
        <v>57</v>
      </c>
      <c r="B4" s="10">
        <f>'Operating Expenses'!B13</f>
        <v>54500</v>
      </c>
      <c r="C4" s="10">
        <f>'Operating Expenses'!C13</f>
        <v>54500</v>
      </c>
      <c r="D4" s="10">
        <f>'Operating Expenses'!D13</f>
        <v>54500</v>
      </c>
      <c r="E4" s="10">
        <f>'Operating Expenses'!E13</f>
        <v>54500</v>
      </c>
      <c r="F4" s="10">
        <f>'Operating Expenses'!F13</f>
        <v>54500</v>
      </c>
      <c r="G4" s="10">
        <f>'Operating Expenses'!G13</f>
        <v>54500</v>
      </c>
      <c r="H4" s="10">
        <f>'Operating Expenses'!H13</f>
        <v>54500</v>
      </c>
      <c r="I4" s="10">
        <f>'Operating Expenses'!I13</f>
        <v>54500</v>
      </c>
      <c r="J4" s="10">
        <f>'Operating Expenses'!J13</f>
        <v>54500</v>
      </c>
      <c r="K4" s="10">
        <f>'Operating Expenses'!K13</f>
        <v>54500</v>
      </c>
      <c r="L4" s="10" t="str">
        <f>'Operating Expenses'!L13</f>
        <v>0</v>
      </c>
      <c r="M4" s="10" t="str">
        <f>'Operating Expenses'!M13</f>
        <v>0</v>
      </c>
      <c r="N4" s="10">
        <f>SUM(B4:M4)</f>
        <v>545000</v>
      </c>
    </row>
    <row r="5" spans="1:14" x14ac:dyDescent="0.25">
      <c r="A5" s="5" t="s">
        <v>58</v>
      </c>
      <c r="B5" s="10">
        <v>13735</v>
      </c>
      <c r="C5" s="10">
        <v>13735</v>
      </c>
      <c r="D5" s="10">
        <v>13735</v>
      </c>
      <c r="E5" s="10">
        <v>13735</v>
      </c>
      <c r="F5" s="10">
        <v>13735</v>
      </c>
      <c r="G5" s="10">
        <v>13735</v>
      </c>
      <c r="H5" s="10">
        <v>13735</v>
      </c>
      <c r="I5" s="10">
        <v>13735</v>
      </c>
      <c r="J5" s="10">
        <v>13735</v>
      </c>
      <c r="K5" s="10">
        <v>13735</v>
      </c>
      <c r="L5" s="10">
        <v>13735</v>
      </c>
      <c r="M5" s="10">
        <v>13735</v>
      </c>
      <c r="N5" s="10">
        <f>SUM(B5:M5)</f>
        <v>164825</v>
      </c>
    </row>
    <row r="6" ht="24" customHeight="1" spans="1:14" x14ac:dyDescent="0.25">
      <c r="A6" s="1" t="s">
        <v>59</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1706865</v>
      </c>
    </row>
    <row r="7" spans="1:14" x14ac:dyDescent="0.25">
      <c r="A7" s="12" t="s">
        <v>60</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-418532</v>
      </c>
    </row>
  </sheetData>
  <pageMargins left="0.7" right="0.7" top="0.75" bottom="0.75" header="0.3" footer="0.3"/>
  <pageSetup paperSize="1" orientation="portrait" horizontalDpi="4294967295" verticalDpi="4294967295" scale="100" fitToWidth="1" fitToHeight="0"/>
  <headerFooter>
    <oddHeader>&amp;L&amp;10&amp;BCivic Scholars Charter&amp;R&amp;8&amp;IP&amp;L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61</v>
      </c>
      <c r="C1" s="16"/>
      <c r="D1" s="16"/>
      <c r="E1" s="16"/>
      <c r="F1" s="16"/>
      <c r="G1" s="16"/>
      <c r="H1" s="16"/>
    </row>
    <row r="2" ht="60" customHeight="1" spans="2:8" x14ac:dyDescent="0.25">
      <c r="B2" s="17" t="s">
        <v>62</v>
      </c>
      <c r="C2" s="17"/>
      <c r="D2" s="17"/>
      <c r="E2" s="17"/>
      <c r="F2" s="17"/>
      <c r="G2" s="17"/>
      <c r="H2" s="17"/>
    </row>
    <row r="4" ht="30" customHeight="1" spans="2:8" x14ac:dyDescent="0.25">
      <c r="B4" s="18" t="s">
        <v>63</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2026-04-29T12:25:07Z</dcterms:created>
  <dcterms:modified xsi:type="dcterms:W3CDTF">2026-04-29T12:25:07Z</dcterms:modified>
</cp:coreProperties>
</file>