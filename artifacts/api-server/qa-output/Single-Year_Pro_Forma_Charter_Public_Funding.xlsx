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Assumptions" state="visible" r:id="rId4"/>
    <sheet sheetId="2" name="Revenue" state="visible" r:id="rId5"/>
    <sheet sheetId="3" name="Personnel" state="visible" r:id="rId6"/>
    <sheet sheetId="4" name="Operating Expenses" state="visible" r:id="rId7"/>
    <sheet sheetId="5" name="P&amp;L Summary" state="visible" r:id="rId8"/>
    <sheet sheetId="6" name="Decision History" state="visible" r:id="rId9"/>
  </sheets>
  <definedNames>
    <definedName name="_xlnm.Print_Area" localSheetId="0">'Assumptions'!$A1:$E11</definedName>
    <definedName name="_xlnm.Print_Titles" localSheetId="0">'Assumptions'!$1:$1</definedName>
    <definedName name="_xlnm.Print_Area" localSheetId="1">'Revenue'!$A1:$N8</definedName>
    <definedName name="_xlnm.Print_Titles" localSheetId="1">'Revenue'!$1:$1</definedName>
    <definedName name="_xlnm.Print_Area" localSheetId="2">'Personnel'!$A1:$N11</definedName>
    <definedName name="_xlnm.Print_Titles" localSheetId="2">'Personnel'!$1:$1</definedName>
    <definedName name="_xlnm.Print_Area" localSheetId="3">'Operating Expenses'!$A1:$N13</definedName>
    <definedName name="_xlnm.Print_Titles" localSheetId="3">'Operating Expenses'!$1:$1</definedName>
    <definedName name="_xlnm.Print_Area" localSheetId="4">'P&amp;L Summary'!$A1:$N7</definedName>
    <definedName name="_xlnm.Print_Titles" localSheetId="4">'P&amp;L Summary'!$1:$1</definedName>
    <definedName name="_xlnm.Print_Area" localSheetId="5">'Decision History'!$A1:$H4</definedName>
    <definedName name="_xlnm.Print_Titles" localSheetId="5">'Decision History'!$1:$1</definedName>
  </definedNames>
  <calcPr calcId="171027"/>
</workbook>
</file>

<file path=xl/sharedStrings.xml><?xml version="1.0" encoding="utf-8"?>
<sst xmlns="http://schemas.openxmlformats.org/spreadsheetml/2006/main" count="108" uniqueCount="64">
  <si>
    <t>Year 1 Budget Assumptions</t>
  </si>
  <si>
    <t/>
  </si>
  <si>
    <t>Editable assumption — change this value</t>
  </si>
  <si>
    <t>Calculated — driven by formula</t>
  </si>
  <si>
    <t>School Name</t>
  </si>
  <si>
    <t>Civic Scholars Charter</t>
  </si>
  <si>
    <t>School Type</t>
  </si>
  <si>
    <t>charter_school</t>
  </si>
  <si>
    <t>KEY ASSUMPTIONS</t>
  </si>
  <si>
    <t>Enrollment</t>
  </si>
  <si>
    <t>Salary Escalation</t>
  </si>
  <si>
    <t>Cost Inflation</t>
  </si>
  <si>
    <t>Year 1 Proration Factor</t>
  </si>
  <si>
    <t>July</t>
  </si>
  <si>
    <t>August</t>
  </si>
  <si>
    <t>September</t>
  </si>
  <si>
    <t>October</t>
  </si>
  <si>
    <t>November</t>
  </si>
  <si>
    <t>December</t>
  </si>
  <si>
    <t>January</t>
  </si>
  <si>
    <t>February</t>
  </si>
  <si>
    <t>March</t>
  </si>
  <si>
    <t>April</t>
  </si>
  <si>
    <t>May</t>
  </si>
  <si>
    <t>June</t>
  </si>
  <si>
    <t>Year 1 Total</t>
  </si>
  <si>
    <t>State Per-Pupil Funding</t>
  </si>
  <si>
    <t>Federal Title I</t>
  </si>
  <si>
    <t>Special Education Funding</t>
  </si>
  <si>
    <t>CSP Startup Grant</t>
  </si>
  <si>
    <t>Annual Fundraising</t>
  </si>
  <si>
    <t>Food Service Revenue</t>
  </si>
  <si>
    <t>TOTAL REVENUE</t>
  </si>
  <si>
    <t>Executive Director</t>
  </si>
  <si>
    <t>Principal</t>
  </si>
  <si>
    <t>Dean of Students</t>
  </si>
  <si>
    <t>Core Teachers</t>
  </si>
  <si>
    <t>Special Education Teacher</t>
  </si>
  <si>
    <t>Instructional Aides</t>
  </si>
  <si>
    <t>Operations Manager</t>
  </si>
  <si>
    <t>Office Staff</t>
  </si>
  <si>
    <t>School Counselor</t>
  </si>
  <si>
    <t>TOTAL PERSONNEL</t>
  </si>
  <si>
    <t>Facility Lease</t>
  </si>
  <si>
    <t>Utilities</t>
  </si>
  <si>
    <t>Insurance</t>
  </si>
  <si>
    <t>Janitorial</t>
  </si>
  <si>
    <t>Curriculum &amp; Textbooks</t>
  </si>
  <si>
    <t>Technology &amp; Devices</t>
  </si>
  <si>
    <t>Marketing &amp; Recruitment</t>
  </si>
  <si>
    <t>Professional Development</t>
  </si>
  <si>
    <t>Legal &amp; Compliance</t>
  </si>
  <si>
    <t>Food Service</t>
  </si>
  <si>
    <t>Transportation</t>
  </si>
  <si>
    <t>TOTAL OPERATING EXPENSES</t>
  </si>
  <si>
    <t>Total Revenue</t>
  </si>
  <si>
    <t>Personnel</t>
  </si>
  <si>
    <t>Operating Expenses</t>
  </si>
  <si>
    <t>Capital &amp; Debt</t>
  </si>
  <si>
    <t>Total Expenses</t>
  </si>
  <si>
    <t>Net Income</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</si>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</sst>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0;#,##0;&quot;-&quot;"/>
    <numFmt numFmtId="165" formatCode="0.0%"/>
    <numFmt numFmtId="166" formatCode="_(&quot;$&quot;* #,##0_);_(&quot;$&quot;* (#,##0);_(&quot;$&quot;* &quot;-&quot;??_);_(@_)"/>
  </numFmts>
  <fonts count="10" x14ac:knownFonts="1">
    <font>
      <color theme="1"/>
      <family val="2"/>
      <scheme val="minor"/>
      <sz val="11"/>
      <name val="Calibri"/>
    </font>
    <font>
      <b/>
      <color rgb="FF1E293B"/>
      <sz val="11"/>
      <name val="Calibri"/>
    </font>
    <font>
      <i/>
      <color rgb="FF666666"/>
      <sz val="11"/>
      <name val="Calibri"/>
    </font>
    <font>
      <sz val="11"/>
      <name val="Calibri"/>
    </font>
    <font>
      <color rgb="FF1E3A5F"/>
      <sz val="11"/>
      <name val="Calibri"/>
    </font>
    <font>
      <b/>
      <color rgb="FFFFFFFF"/>
      <sz val="11"/>
      <name val="Calibri"/>
    </font>
    <font>
      <b/>
      <sz val="11"/>
      <name val="Calibri"/>
    </font>
    <font>
      <b/>
      <color rgb="FF1E293B"/>
      <sz val="14"/>
      <name val="Calibri"/>
    </font>
    <font>
      <i/>
      <color rgb="FF6B7280"/>
      <sz val="11"/>
      <name val="Calibri"/>
    </font>
    <font>
      <i/>
      <color rgb="FF6B7280"/>
      <sz val="10"/>
      <name val="Calibri"/>
    </font>
  </fonts>
  <fills count="7">
    <fill>
      <patternFill patternType="none"/>
    </fill>
    <fill>
      <patternFill patternType="gray125"/>
    </fill>
    <fill>
      <patternFill patternType="solid">
        <fgColor rgb="FFE8EDF2"/>
      </patternFill>
    </fill>
    <fill>
      <patternFill patternType="solid">
        <fgColor rgb="FFDBEAFE"/>
      </patternFill>
    </fill>
    <fill>
      <patternFill patternType="solid">
        <fgColor rgb="FFFFFFFF"/>
      </patternFill>
    </fill>
    <fill>
      <patternFill patternType="solid">
        <fgColor rgb="FF1E293B"/>
      </patternFill>
    </fill>
    <fill>
      <patternFill patternType="solid">
        <fgColor rgb="FFFCE4EC"/>
      </patternFill>
    </fill>
  </fills>
  <borders count="5">
    <border>
      <left/>
      <right/>
      <top/>
      <bottom/>
      <diagonal/>
    </border>
    <border>
      <left style="thin">
        <color rgb="FFD0D0D0"/>
      </left>
      <right style="thin">
        <color rgb="FFD0D0D0"/>
      </right>
      <top style="thin">
        <color rgb="FFD0D0D0"/>
      </top>
      <bottom style="thin">
        <color rgb="FFD0D0D0"/>
      </bottom>
      <diagonal/>
    </border>
    <border>
      <left/>
      <right/>
      <top/>
      <bottom style="thin">
        <color rgb="FF93C5FD"/>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19">
    <xf numFmtId="0" fontId="0" fillId="0" borderId="0" xfId="0"/>
    <xf numFmtId="0" fontId="1" fillId="2" borderId="1" xfId="0" applyFont="1" applyFill="1" applyBorder="1"/>
    <xf numFmtId="0" fontId="0" fillId="3" borderId="2" xfId="0" applyFill="1" applyBorder="1"/>
    <xf numFmtId="0" fontId="2" fillId="0" borderId="0" xfId="0" applyFont="1"/>
    <xf numFmtId="0" fontId="0" fillId="4" borderId="3" xfId="0" applyFill="1" applyBorder="1"/>
    <xf numFmtId="0" fontId="3" fillId="0" borderId="0" xfId="0" applyFont="1"/>
    <xf numFmtId="164" fontId="4" fillId="3" borderId="2" xfId="0" applyNumberFormat="1" applyFont="1" applyFill="1" applyBorder="1"/>
    <xf numFmtId="165" fontId="4" fillId="3" borderId="2" xfId="0" applyNumberFormat="1" applyFont="1" applyFill="1" applyBorder="1"/>
    <xf numFmtId="2" fontId="4" fillId="3" borderId="2" xfId="0" applyNumberFormat="1" applyFont="1" applyFill="1" applyBorder="1"/>
    <xf numFmtId="0" fontId="5" fillId="5" borderId="1" xfId="0" applyFont="1" applyFill="1" applyBorder="1" applyAlignment="1">
      <alignment horizontal="center" vertical="center"/>
    </xf>
    <xf numFmtId="166" fontId="3" fillId="0" borderId="1" xfId="0" applyNumberFormat="1" applyFont="1" applyBorder="1"/>
    <xf numFmtId="166" fontId="6" fillId="2" borderId="1" xfId="0" applyNumberFormat="1" applyFont="1" applyFill="1" applyBorder="1"/>
    <xf numFmtId="0" fontId="6" fillId="0" borderId="0" xfId="0" applyFont="1"/>
    <xf numFmtId="166" fontId="6" fillId="0" borderId="1" xfId="0" applyNumberFormat="1" applyFont="1" applyBorder="1"/>
    <xf numFmtId="166" fontId="6" fillId="2" borderId="4" xfId="0" applyNumberFormat="1" applyFont="1" applyFill="1" applyBorder="1"/>
    <xf numFmtId="166" fontId="6" fillId="6" borderId="4" xfId="0" applyNumberFormat="1" applyFont="1" applyFill="1" applyBorder="1"/>
    <xf numFmtId="0" fontId="7" fillId="0" borderId="0" xfId="0" applyFont="1"/>
    <xf numFmtId="0" fontId="8" fillId="0" borderId="0" xfId="0" applyFont="1" applyAlignment="1">
      <alignment vertical="top" wrapText="1"/>
    </xf>
    <xf numFmtId="0" fontId="9" fillId="0" borderId="0" xfId="0"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1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0" customWidth="1"/>
  </cols>
  <sheetData>
    <row r="1" ht="24" customHeight="1" spans="1:2" x14ac:dyDescent="0.25">
      <c r="A1" s="1" t="s">
        <v>0</v>
      </c>
      <c r="B1" s="1"/>
    </row>
    <row r="2" spans="1:5" x14ac:dyDescent="0.25">
      <c r="A2" s="2" t="s">
        <v>1</v>
      </c>
      <c r="B2" s="3" t="s">
        <v>2</v>
      </c>
      <c r="D2" s="4" t="s">
        <v>1</v>
      </c>
      <c r="E2" s="3" t="s">
        <v>3</v>
      </c>
    </row>
    <row r="4" spans="1:2" x14ac:dyDescent="0.25">
      <c r="A4" s="5" t="s">
        <v>4</v>
      </c>
      <c r="B4" t="s">
        <v>5</v>
      </c>
    </row>
    <row r="5" spans="1:2" x14ac:dyDescent="0.25">
      <c r="A5" s="5" t="s">
        <v>6</v>
      </c>
      <c r="B5" t="s">
        <v>7</v>
      </c>
    </row>
    <row r="7" ht="24" customHeight="1" spans="1:2" x14ac:dyDescent="0.25">
      <c r="A7" s="1" t="s">
        <v>8</v>
      </c>
      <c r="B7" s="1"/>
    </row>
    <row r="8" spans="1:2" x14ac:dyDescent="0.25">
      <c r="A8" s="5" t="s">
        <v>9</v>
      </c>
      <c r="B8" s="6">
        <v>120</v>
      </c>
    </row>
    <row r="9" spans="1:2" x14ac:dyDescent="0.25">
      <c r="A9" s="5" t="s">
        <v>10</v>
      </c>
      <c r="B9" s="7">
        <v>0</v>
      </c>
    </row>
    <row r="10" spans="1:2" x14ac:dyDescent="0.25">
      <c r="A10" s="5" t="s">
        <v>11</v>
      </c>
      <c r="B10" s="7">
        <v>0</v>
      </c>
    </row>
    <row r="11" spans="1:2" x14ac:dyDescent="0.25">
      <c r="A11" s="5" t="s">
        <v>12</v>
      </c>
      <c r="B11" s="8">
        <v>0.8333333333333334</v>
      </c>
    </row>
  </sheetData>
  <pageMargins left="0.7" right="0.7" top="0.75" bottom="0.75" header="0.3" footer="0.3"/>
  <pageSetup paperSize="1" orientation="portrait" horizontalDpi="4294967295" verticalDpi="4294967295" scale="100" fitToWidth="1" fitToHeight="0"/>
  <headerFooter>
    <oddHeader>&amp;L&amp;10&amp;BCivic Scholars Charter&amp;R&amp;8&amp;IAssumptions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26</v>
      </c>
      <c r="B2" s="10">
        <v>114000</v>
      </c>
      <c r="C2" s="10">
        <v>114000</v>
      </c>
      <c r="D2" s="10">
        <v>114000</v>
      </c>
      <c r="E2" s="10">
        <v>114000</v>
      </c>
      <c r="F2" s="10">
        <v>114000</v>
      </c>
      <c r="G2" s="10">
        <v>114000</v>
      </c>
      <c r="H2" s="10">
        <v>114000</v>
      </c>
      <c r="I2" s="10">
        <v>114000</v>
      </c>
      <c r="J2" s="10">
        <v>114000</v>
      </c>
      <c r="K2" s="10">
        <v>114000</v>
      </c>
      <c r="L2" s="10">
        <v>0</v>
      </c>
      <c r="M2" s="10">
        <v>0</v>
      </c>
      <c r="N2" s="10">
        <f>SUM(B2:M2)</f>
        <v>950000</v>
      </c>
    </row>
    <row r="3" spans="1:14" x14ac:dyDescent="0.25">
      <c r="A3" s="5" t="s">
        <v>27</v>
      </c>
      <c r="B3" s="10">
        <v>9600</v>
      </c>
      <c r="C3" s="10">
        <v>9600</v>
      </c>
      <c r="D3" s="10">
        <v>9600</v>
      </c>
      <c r="E3" s="10">
        <v>9600</v>
      </c>
      <c r="F3" s="10">
        <v>9600</v>
      </c>
      <c r="G3" s="10">
        <v>9600</v>
      </c>
      <c r="H3" s="10">
        <v>9600</v>
      </c>
      <c r="I3" s="10">
        <v>9600</v>
      </c>
      <c r="J3" s="10">
        <v>9600</v>
      </c>
      <c r="K3" s="10">
        <v>9600</v>
      </c>
      <c r="L3" s="10">
        <v>0</v>
      </c>
      <c r="M3" s="10">
        <v>0</v>
      </c>
      <c r="N3" s="10">
        <f>SUM(B3:M3)</f>
        <v>80000</v>
      </c>
    </row>
    <row r="4" spans="1:14" x14ac:dyDescent="0.25">
      <c r="A4" s="5" t="s">
        <v>28</v>
      </c>
      <c r="B4" s="10">
        <v>14400</v>
      </c>
      <c r="C4" s="10">
        <v>14400</v>
      </c>
      <c r="D4" s="10">
        <v>14400</v>
      </c>
      <c r="E4" s="10">
        <v>14400</v>
      </c>
      <c r="F4" s="10">
        <v>14400</v>
      </c>
      <c r="G4" s="10">
        <v>14400</v>
      </c>
      <c r="H4" s="10">
        <v>14400</v>
      </c>
      <c r="I4" s="10">
        <v>14400</v>
      </c>
      <c r="J4" s="10">
        <v>14400</v>
      </c>
      <c r="K4" s="10">
        <v>14400</v>
      </c>
      <c r="L4" s="10">
        <v>0</v>
      </c>
      <c r="M4" s="10">
        <v>0</v>
      </c>
      <c r="N4" s="10">
        <f>SUM(B4:M4)</f>
        <v>120000</v>
      </c>
    </row>
    <row r="5" spans="1:14" x14ac:dyDescent="0.25">
      <c r="A5" s="5" t="s">
        <v>29</v>
      </c>
      <c r="B5" s="10">
        <v>10000</v>
      </c>
      <c r="C5" s="10">
        <v>10000</v>
      </c>
      <c r="D5" s="10">
        <v>10000</v>
      </c>
      <c r="E5" s="10">
        <v>10000</v>
      </c>
      <c r="F5" s="10">
        <v>10000</v>
      </c>
      <c r="G5" s="10">
        <v>10000</v>
      </c>
      <c r="H5" s="10">
        <v>10000</v>
      </c>
      <c r="I5" s="10">
        <v>10000</v>
      </c>
      <c r="J5" s="10">
        <v>10000</v>
      </c>
      <c r="K5" s="10">
        <v>10000</v>
      </c>
      <c r="L5" s="10">
        <v>0</v>
      </c>
      <c r="M5" s="10">
        <v>0</v>
      </c>
      <c r="N5" s="10">
        <f>SUM(B5:M5)</f>
        <v>83333</v>
      </c>
    </row>
    <row r="6" spans="1:14" x14ac:dyDescent="0.25">
      <c r="A6" s="5" t="s">
        <v>30</v>
      </c>
      <c r="B6" s="10">
        <v>3000</v>
      </c>
      <c r="C6" s="10">
        <v>3000</v>
      </c>
      <c r="D6" s="10">
        <v>3000</v>
      </c>
      <c r="E6" s="10">
        <v>3000</v>
      </c>
      <c r="F6" s="10">
        <v>3000</v>
      </c>
      <c r="G6" s="10">
        <v>3000</v>
      </c>
      <c r="H6" s="10">
        <v>3000</v>
      </c>
      <c r="I6" s="10">
        <v>3000</v>
      </c>
      <c r="J6" s="10">
        <v>3000</v>
      </c>
      <c r="K6" s="10">
        <v>3000</v>
      </c>
      <c r="L6" s="10">
        <v>0</v>
      </c>
      <c r="M6" s="10">
        <v>0</v>
      </c>
      <c r="N6" s="10">
        <f>SUM(B6:M6)</f>
        <v>25000</v>
      </c>
    </row>
    <row r="7" spans="1:14" x14ac:dyDescent="0.25">
      <c r="A7" s="5" t="s">
        <v>31</v>
      </c>
      <c r="B7" s="10">
        <v>3600</v>
      </c>
      <c r="C7" s="10">
        <v>3600</v>
      </c>
      <c r="D7" s="10">
        <v>3600</v>
      </c>
      <c r="E7" s="10">
        <v>3600</v>
      </c>
      <c r="F7" s="10">
        <v>3600</v>
      </c>
      <c r="G7" s="10">
        <v>3600</v>
      </c>
      <c r="H7" s="10">
        <v>3600</v>
      </c>
      <c r="I7" s="10">
        <v>3600</v>
      </c>
      <c r="J7" s="10">
        <v>3600</v>
      </c>
      <c r="K7" s="10">
        <v>3600</v>
      </c>
      <c r="L7" s="10">
        <v>0</v>
      </c>
      <c r="M7" s="10">
        <v>0</v>
      </c>
      <c r="N7" s="10">
        <f>SUM(B7:M7)</f>
        <v>30000</v>
      </c>
    </row>
    <row r="8" ht="24" customHeight="1" spans="1:14" x14ac:dyDescent="0.25">
      <c r="A8" s="1" t="s">
        <v>32</v>
      </c>
      <c r="B8" s="11">
        <f>SUM(B2:B7)</f>
        <v>154600</v>
      </c>
      <c r="C8" s="11">
        <f>SUM(C2:C7)</f>
        <v>154600</v>
      </c>
      <c r="D8" s="11">
        <f>SUM(D2:D7)</f>
        <v>154600</v>
      </c>
      <c r="E8" s="11">
        <f>SUM(E2:E7)</f>
        <v>154600</v>
      </c>
      <c r="F8" s="11">
        <f>SUM(F2:F7)</f>
        <v>154600</v>
      </c>
      <c r="G8" s="11">
        <f>SUM(G2:G7)</f>
        <v>154600</v>
      </c>
      <c r="H8" s="11">
        <f>SUM(H2:H7)</f>
        <v>154600</v>
      </c>
      <c r="I8" s="11">
        <f>SUM(I2:I7)</f>
        <v>154600</v>
      </c>
      <c r="J8" s="11">
        <f>SUM(J2:J7)</f>
        <v>154600</v>
      </c>
      <c r="K8" s="11">
        <f>SUM(K2:K7)</f>
        <v>154600</v>
      </c>
      <c r="L8" s="11" t="str">
        <f>SUM(L2:L7)</f>
        <v>0</v>
      </c>
      <c r="M8" s="11" t="str">
        <f>SUM(M2:M7)</f>
        <v>0</v>
      </c>
      <c r="N8" s="11">
        <f>SUM(B8:M8)</f>
        <v>1546000</v>
      </c>
    </row>
  </sheetData>
  <pageMargins left="0.7" right="0.7" top="0.75" bottom="0.75" header="0.3" footer="0.3"/>
  <pageSetup paperSize="1" orientation="portrait" horizontalDpi="4294967295" verticalDpi="4294967295" scale="100" fitToWidth="1" fitToHeight="0"/>
  <headerFooter>
    <oddHeader>&amp;L&amp;10&amp;BCivic Scholars Charter&amp;R&amp;8&amp;IRevenue</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1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33</v>
      </c>
      <c r="B2" s="10">
        <v>335958</v>
      </c>
      <c r="C2" s="10">
        <v>335958</v>
      </c>
      <c r="D2" s="10">
        <v>335958</v>
      </c>
      <c r="E2" s="10">
        <v>335958</v>
      </c>
      <c r="F2" s="10">
        <v>335958</v>
      </c>
      <c r="G2" s="10">
        <v>335958</v>
      </c>
      <c r="H2" s="10">
        <v>335958</v>
      </c>
      <c r="I2" s="10">
        <v>335958</v>
      </c>
      <c r="J2" s="10">
        <v>335958</v>
      </c>
      <c r="K2" s="10">
        <v>335958</v>
      </c>
      <c r="L2" s="10">
        <v>0</v>
      </c>
      <c r="M2" s="10">
        <v>0</v>
      </c>
      <c r="N2" s="10">
        <f>SUM(B2:M2)</f>
        <v>3359583</v>
      </c>
    </row>
    <row r="3" spans="1:14" x14ac:dyDescent="0.25">
      <c r="A3" s="5" t="s">
        <v>34</v>
      </c>
      <c r="B3" s="10">
        <v>274875</v>
      </c>
      <c r="C3" s="10">
        <v>274875</v>
      </c>
      <c r="D3" s="10">
        <v>274875</v>
      </c>
      <c r="E3" s="10">
        <v>274875</v>
      </c>
      <c r="F3" s="10">
        <v>274875</v>
      </c>
      <c r="G3" s="10">
        <v>274875</v>
      </c>
      <c r="H3" s="10">
        <v>274875</v>
      </c>
      <c r="I3" s="10">
        <v>274875</v>
      </c>
      <c r="J3" s="10">
        <v>274875</v>
      </c>
      <c r="K3" s="10">
        <v>274875</v>
      </c>
      <c r="L3" s="10">
        <v>0</v>
      </c>
      <c r="M3" s="10">
        <v>0</v>
      </c>
      <c r="N3" s="10">
        <f>SUM(B3:M3)</f>
        <v>2748750</v>
      </c>
    </row>
    <row r="4" spans="1:14" x14ac:dyDescent="0.25">
      <c r="A4" s="5" t="s">
        <v>35</v>
      </c>
      <c r="B4" s="10">
        <v>219900</v>
      </c>
      <c r="C4" s="10">
        <v>219900</v>
      </c>
      <c r="D4" s="10">
        <v>219900</v>
      </c>
      <c r="E4" s="10">
        <v>219900</v>
      </c>
      <c r="F4" s="10">
        <v>219900</v>
      </c>
      <c r="G4" s="10">
        <v>219900</v>
      </c>
      <c r="H4" s="10">
        <v>219900</v>
      </c>
      <c r="I4" s="10">
        <v>219900</v>
      </c>
      <c r="J4" s="10">
        <v>219900</v>
      </c>
      <c r="K4" s="10">
        <v>219900</v>
      </c>
      <c r="L4" s="10">
        <v>0</v>
      </c>
      <c r="M4" s="10">
        <v>0</v>
      </c>
      <c r="N4" s="10">
        <f>SUM(B4:M4)</f>
        <v>2199000</v>
      </c>
    </row>
    <row r="5" spans="1:14" x14ac:dyDescent="0.25">
      <c r="A5" s="5" t="s">
        <v>36</v>
      </c>
      <c r="B5" s="10">
        <v>952900</v>
      </c>
      <c r="C5" s="10">
        <v>952900</v>
      </c>
      <c r="D5" s="10">
        <v>952900</v>
      </c>
      <c r="E5" s="10">
        <v>952900</v>
      </c>
      <c r="F5" s="10">
        <v>952900</v>
      </c>
      <c r="G5" s="10">
        <v>952900</v>
      </c>
      <c r="H5" s="10">
        <v>952900</v>
      </c>
      <c r="I5" s="10">
        <v>952900</v>
      </c>
      <c r="J5" s="10">
        <v>952900</v>
      </c>
      <c r="K5" s="10">
        <v>952900</v>
      </c>
      <c r="L5" s="10">
        <v>0</v>
      </c>
      <c r="M5" s="10">
        <v>0</v>
      </c>
      <c r="N5" s="10">
        <f>SUM(B5:M5)</f>
        <v>9529000</v>
      </c>
    </row>
    <row r="6" spans="1:14" x14ac:dyDescent="0.25">
      <c r="A6" s="5" t="s">
        <v>37</v>
      </c>
      <c r="B6" s="10">
        <v>167979</v>
      </c>
      <c r="C6" s="10">
        <v>167979</v>
      </c>
      <c r="D6" s="10">
        <v>167979</v>
      </c>
      <c r="E6" s="10">
        <v>167979</v>
      </c>
      <c r="F6" s="10">
        <v>167979</v>
      </c>
      <c r="G6" s="10">
        <v>167979</v>
      </c>
      <c r="H6" s="10">
        <v>167979</v>
      </c>
      <c r="I6" s="10">
        <v>167979</v>
      </c>
      <c r="J6" s="10">
        <v>167979</v>
      </c>
      <c r="K6" s="10">
        <v>167979</v>
      </c>
      <c r="L6" s="10">
        <v>0</v>
      </c>
      <c r="M6" s="10">
        <v>0</v>
      </c>
      <c r="N6" s="10">
        <f>SUM(B6:M6)</f>
        <v>1679792</v>
      </c>
    </row>
    <row r="7" spans="1:14" x14ac:dyDescent="0.25">
      <c r="A7" s="5" t="s">
        <v>38</v>
      </c>
      <c r="B7" s="10">
        <v>214875</v>
      </c>
      <c r="C7" s="10">
        <v>214875</v>
      </c>
      <c r="D7" s="10">
        <v>214875</v>
      </c>
      <c r="E7" s="10">
        <v>214875</v>
      </c>
      <c r="F7" s="10">
        <v>214875</v>
      </c>
      <c r="G7" s="10">
        <v>214875</v>
      </c>
      <c r="H7" s="10">
        <v>214875</v>
      </c>
      <c r="I7" s="10">
        <v>214875</v>
      </c>
      <c r="J7" s="10">
        <v>214875</v>
      </c>
      <c r="K7" s="10">
        <v>214875</v>
      </c>
      <c r="L7" s="10">
        <v>0</v>
      </c>
      <c r="M7" s="10">
        <v>0</v>
      </c>
      <c r="N7" s="10">
        <f>SUM(B7:M7)</f>
        <v>2148750</v>
      </c>
    </row>
    <row r="8" spans="1:14" x14ac:dyDescent="0.25">
      <c r="A8" s="5" t="s">
        <v>39</v>
      </c>
      <c r="B8" s="10">
        <v>167979</v>
      </c>
      <c r="C8" s="10">
        <v>167979</v>
      </c>
      <c r="D8" s="10">
        <v>167979</v>
      </c>
      <c r="E8" s="10">
        <v>167979</v>
      </c>
      <c r="F8" s="10">
        <v>167979</v>
      </c>
      <c r="G8" s="10">
        <v>167979</v>
      </c>
      <c r="H8" s="10">
        <v>167979</v>
      </c>
      <c r="I8" s="10">
        <v>167979</v>
      </c>
      <c r="J8" s="10">
        <v>167979</v>
      </c>
      <c r="K8" s="10">
        <v>167979</v>
      </c>
      <c r="L8" s="10">
        <v>0</v>
      </c>
      <c r="M8" s="10">
        <v>0</v>
      </c>
      <c r="N8" s="10">
        <f>SUM(B8:M8)</f>
        <v>1679792</v>
      </c>
    </row>
    <row r="9" spans="1:14" x14ac:dyDescent="0.25">
      <c r="A9" s="5" t="s">
        <v>40</v>
      </c>
      <c r="B9" s="10">
        <v>213117</v>
      </c>
      <c r="C9" s="10">
        <v>213117</v>
      </c>
      <c r="D9" s="10">
        <v>213117</v>
      </c>
      <c r="E9" s="10">
        <v>213117</v>
      </c>
      <c r="F9" s="10">
        <v>213117</v>
      </c>
      <c r="G9" s="10">
        <v>213117</v>
      </c>
      <c r="H9" s="10">
        <v>213117</v>
      </c>
      <c r="I9" s="10">
        <v>213117</v>
      </c>
      <c r="J9" s="10">
        <v>213117</v>
      </c>
      <c r="K9" s="10">
        <v>213117</v>
      </c>
      <c r="L9" s="10">
        <v>0</v>
      </c>
      <c r="M9" s="10">
        <v>0</v>
      </c>
      <c r="N9" s="10">
        <f>SUM(B9:M9)</f>
        <v>2131167</v>
      </c>
    </row>
    <row r="10" spans="1:14" x14ac:dyDescent="0.25">
      <c r="A10" s="5" t="s">
        <v>41</v>
      </c>
      <c r="B10" s="10">
        <v>167979</v>
      </c>
      <c r="C10" s="10">
        <v>167979</v>
      </c>
      <c r="D10" s="10">
        <v>167979</v>
      </c>
      <c r="E10" s="10">
        <v>167979</v>
      </c>
      <c r="F10" s="10">
        <v>167979</v>
      </c>
      <c r="G10" s="10">
        <v>167979</v>
      </c>
      <c r="H10" s="10">
        <v>167979</v>
      </c>
      <c r="I10" s="10">
        <v>167979</v>
      </c>
      <c r="J10" s="10">
        <v>167979</v>
      </c>
      <c r="K10" s="10">
        <v>167979</v>
      </c>
      <c r="L10" s="10">
        <v>0</v>
      </c>
      <c r="M10" s="10">
        <v>0</v>
      </c>
      <c r="N10" s="10">
        <f>SUM(B10:M10)</f>
        <v>1679792</v>
      </c>
    </row>
    <row r="11" ht="24" customHeight="1" spans="1:14" x14ac:dyDescent="0.25">
      <c r="A11" s="1" t="s">
        <v>42</v>
      </c>
      <c r="B11" s="11" t="str">
        <f>SUM(B2:B10)</f>
        <v>0</v>
      </c>
      <c r="C11" s="11" t="str">
        <f>SUM(C2:C10)</f>
        <v>0</v>
      </c>
      <c r="D11" s="11" t="str">
        <f>SUM(D2:D10)</f>
        <v>0</v>
      </c>
      <c r="E11" s="11" t="str">
        <f>SUM(E2:E10)</f>
        <v>0</v>
      </c>
      <c r="F11" s="11" t="str">
        <f>SUM(F2:F10)</f>
        <v>0</v>
      </c>
      <c r="G11" s="11" t="str">
        <f>SUM(G2:G10)</f>
        <v>0</v>
      </c>
      <c r="H11" s="11" t="str">
        <f>SUM(H2:H10)</f>
        <v>0</v>
      </c>
      <c r="I11" s="11" t="str">
        <f>SUM(I2:I10)</f>
        <v>0</v>
      </c>
      <c r="J11" s="11" t="str">
        <f>SUM(J2:J10)</f>
        <v>0</v>
      </c>
      <c r="K11" s="11" t="str">
        <f>SUM(K2:K10)</f>
        <v>0</v>
      </c>
      <c r="L11" s="11" t="str">
        <f>SUM(L2:L10)</f>
        <v>0</v>
      </c>
      <c r="M11" s="11" t="str">
        <f>SUM(M2:M10)</f>
        <v>0</v>
      </c>
      <c r="N11" s="11" t="str">
        <f>SUM(B11:M11)</f>
        <v>0</v>
      </c>
    </row>
  </sheetData>
  <pageMargins left="0.7" right="0.7" top="0.75" bottom="0.75" header="0.3" footer="0.3"/>
  <pageSetup paperSize="1" orientation="portrait" horizontalDpi="4294967295" verticalDpi="4294967295" scale="100" fitToWidth="1" fitToHeight="0"/>
  <headerFooter>
    <oddHeader>&amp;L&amp;10&amp;BCivic Scholars Charter&amp;R&amp;8&amp;IPersonnel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13"/>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43</v>
      </c>
      <c r="B2" s="10">
        <v>18000</v>
      </c>
      <c r="C2" s="10">
        <v>18000</v>
      </c>
      <c r="D2" s="10">
        <v>18000</v>
      </c>
      <c r="E2" s="10">
        <v>18000</v>
      </c>
      <c r="F2" s="10">
        <v>18000</v>
      </c>
      <c r="G2" s="10">
        <v>18000</v>
      </c>
      <c r="H2" s="10">
        <v>18000</v>
      </c>
      <c r="I2" s="10">
        <v>18000</v>
      </c>
      <c r="J2" s="10">
        <v>18000</v>
      </c>
      <c r="K2" s="10">
        <v>18000</v>
      </c>
      <c r="L2" s="10">
        <v>0</v>
      </c>
      <c r="M2" s="10">
        <v>0</v>
      </c>
      <c r="N2" s="10">
        <f>SUM(B2:M2)</f>
        <v>180000</v>
      </c>
    </row>
    <row r="3" spans="1:14" x14ac:dyDescent="0.25">
      <c r="A3" s="5" t="s">
        <v>44</v>
      </c>
      <c r="B3" s="10">
        <v>2500</v>
      </c>
      <c r="C3" s="10">
        <v>2500</v>
      </c>
      <c r="D3" s="10">
        <v>2500</v>
      </c>
      <c r="E3" s="10">
        <v>2500</v>
      </c>
      <c r="F3" s="10">
        <v>2500</v>
      </c>
      <c r="G3" s="10">
        <v>2500</v>
      </c>
      <c r="H3" s="10">
        <v>2500</v>
      </c>
      <c r="I3" s="10">
        <v>2500</v>
      </c>
      <c r="J3" s="10">
        <v>2500</v>
      </c>
      <c r="K3" s="10">
        <v>2500</v>
      </c>
      <c r="L3" s="10">
        <v>0</v>
      </c>
      <c r="M3" s="10">
        <v>0</v>
      </c>
      <c r="N3" s="10">
        <f>SUM(B3:M3)</f>
        <v>25000</v>
      </c>
    </row>
    <row r="4" spans="1:14" x14ac:dyDescent="0.25">
      <c r="A4" s="5" t="s">
        <v>45</v>
      </c>
      <c r="B4" s="10">
        <v>1500</v>
      </c>
      <c r="C4" s="10">
        <v>1500</v>
      </c>
      <c r="D4" s="10">
        <v>1500</v>
      </c>
      <c r="E4" s="10">
        <v>1500</v>
      </c>
      <c r="F4" s="10">
        <v>1500</v>
      </c>
      <c r="G4" s="10">
        <v>1500</v>
      </c>
      <c r="H4" s="10">
        <v>1500</v>
      </c>
      <c r="I4" s="10">
        <v>1500</v>
      </c>
      <c r="J4" s="10">
        <v>1500</v>
      </c>
      <c r="K4" s="10">
        <v>1500</v>
      </c>
      <c r="L4" s="10">
        <v>0</v>
      </c>
      <c r="M4" s="10">
        <v>0</v>
      </c>
      <c r="N4" s="10">
        <f>SUM(B4:M4)</f>
        <v>15000</v>
      </c>
    </row>
    <row r="5" spans="1:14" x14ac:dyDescent="0.25">
      <c r="A5" s="5" t="s">
        <v>46</v>
      </c>
      <c r="B5" s="10">
        <v>1500</v>
      </c>
      <c r="C5" s="10">
        <v>1500</v>
      </c>
      <c r="D5" s="10">
        <v>1500</v>
      </c>
      <c r="E5" s="10">
        <v>1500</v>
      </c>
      <c r="F5" s="10">
        <v>1500</v>
      </c>
      <c r="G5" s="10">
        <v>1500</v>
      </c>
      <c r="H5" s="10">
        <v>1500</v>
      </c>
      <c r="I5" s="10">
        <v>1500</v>
      </c>
      <c r="J5" s="10">
        <v>1500</v>
      </c>
      <c r="K5" s="10">
        <v>1500</v>
      </c>
      <c r="L5" s="10">
        <v>0</v>
      </c>
      <c r="M5" s="10">
        <v>0</v>
      </c>
      <c r="N5" s="10">
        <f>SUM(B5:M5)</f>
        <v>15000</v>
      </c>
    </row>
    <row r="6" spans="1:14" x14ac:dyDescent="0.25">
      <c r="A6" s="5" t="s">
        <v>47</v>
      </c>
      <c r="B6" s="10">
        <v>7000</v>
      </c>
      <c r="C6" s="10">
        <v>7000</v>
      </c>
      <c r="D6" s="10">
        <v>7000</v>
      </c>
      <c r="E6" s="10">
        <v>7000</v>
      </c>
      <c r="F6" s="10">
        <v>7000</v>
      </c>
      <c r="G6" s="10">
        <v>7000</v>
      </c>
      <c r="H6" s="10">
        <v>7000</v>
      </c>
      <c r="I6" s="10">
        <v>7000</v>
      </c>
      <c r="J6" s="10">
        <v>7000</v>
      </c>
      <c r="K6" s="10">
        <v>7000</v>
      </c>
      <c r="L6" s="10">
        <v>0</v>
      </c>
      <c r="M6" s="10">
        <v>0</v>
      </c>
      <c r="N6" s="10">
        <f>SUM(B6:M6)</f>
        <v>70000</v>
      </c>
    </row>
    <row r="7" spans="1:14" x14ac:dyDescent="0.25">
      <c r="A7" s="5" t="s">
        <v>48</v>
      </c>
      <c r="B7" s="10">
        <v>5000</v>
      </c>
      <c r="C7" s="10">
        <v>5000</v>
      </c>
      <c r="D7" s="10">
        <v>5000</v>
      </c>
      <c r="E7" s="10">
        <v>5000</v>
      </c>
      <c r="F7" s="10">
        <v>5000</v>
      </c>
      <c r="G7" s="10">
        <v>5000</v>
      </c>
      <c r="H7" s="10">
        <v>5000</v>
      </c>
      <c r="I7" s="10">
        <v>5000</v>
      </c>
      <c r="J7" s="10">
        <v>5000</v>
      </c>
      <c r="K7" s="10">
        <v>5000</v>
      </c>
      <c r="L7" s="10">
        <v>0</v>
      </c>
      <c r="M7" s="10">
        <v>0</v>
      </c>
      <c r="N7" s="10">
        <f>SUM(B7:M7)</f>
        <v>50000</v>
      </c>
    </row>
    <row r="8" spans="1:14" x14ac:dyDescent="0.25">
      <c r="A8" s="5" t="s">
        <v>49</v>
      </c>
      <c r="B8" s="10">
        <v>2083</v>
      </c>
      <c r="C8" s="10">
        <v>2083</v>
      </c>
      <c r="D8" s="10">
        <v>2083</v>
      </c>
      <c r="E8" s="10">
        <v>2083</v>
      </c>
      <c r="F8" s="10">
        <v>2083</v>
      </c>
      <c r="G8" s="10">
        <v>2083</v>
      </c>
      <c r="H8" s="10">
        <v>2083</v>
      </c>
      <c r="I8" s="10">
        <v>2083</v>
      </c>
      <c r="J8" s="10">
        <v>2083</v>
      </c>
      <c r="K8" s="10">
        <v>2083</v>
      </c>
      <c r="L8" s="10">
        <v>0</v>
      </c>
      <c r="M8" s="10">
        <v>0</v>
      </c>
      <c r="N8" s="10">
        <f>SUM(B8:M8)</f>
        <v>20833</v>
      </c>
    </row>
    <row r="9" spans="1:14" x14ac:dyDescent="0.25">
      <c r="A9" s="5" t="s">
        <v>50</v>
      </c>
      <c r="B9" s="10">
        <v>1250</v>
      </c>
      <c r="C9" s="10">
        <v>1250</v>
      </c>
      <c r="D9" s="10">
        <v>1250</v>
      </c>
      <c r="E9" s="10">
        <v>1250</v>
      </c>
      <c r="F9" s="10">
        <v>1250</v>
      </c>
      <c r="G9" s="10">
        <v>1250</v>
      </c>
      <c r="H9" s="10">
        <v>1250</v>
      </c>
      <c r="I9" s="10">
        <v>1250</v>
      </c>
      <c r="J9" s="10">
        <v>1250</v>
      </c>
      <c r="K9" s="10">
        <v>1250</v>
      </c>
      <c r="L9" s="10">
        <v>0</v>
      </c>
      <c r="M9" s="10">
        <v>0</v>
      </c>
      <c r="N9" s="10">
        <f>SUM(B9:M9)</f>
        <v>12500</v>
      </c>
    </row>
    <row r="10" spans="1:14" x14ac:dyDescent="0.25">
      <c r="A10" s="5" t="s">
        <v>51</v>
      </c>
      <c r="B10" s="10">
        <v>1667</v>
      </c>
      <c r="C10" s="10">
        <v>1667</v>
      </c>
      <c r="D10" s="10">
        <v>1667</v>
      </c>
      <c r="E10" s="10">
        <v>1667</v>
      </c>
      <c r="F10" s="10">
        <v>1667</v>
      </c>
      <c r="G10" s="10">
        <v>1667</v>
      </c>
      <c r="H10" s="10">
        <v>1667</v>
      </c>
      <c r="I10" s="10">
        <v>1667</v>
      </c>
      <c r="J10" s="10">
        <v>1667</v>
      </c>
      <c r="K10" s="10">
        <v>1667</v>
      </c>
      <c r="L10" s="10">
        <v>0</v>
      </c>
      <c r="M10" s="10">
        <v>0</v>
      </c>
      <c r="N10" s="10">
        <f>SUM(B10:M10)</f>
        <v>16667</v>
      </c>
    </row>
    <row r="11" spans="1:14" x14ac:dyDescent="0.25">
      <c r="A11" s="5" t="s">
        <v>52</v>
      </c>
      <c r="B11" s="10">
        <v>8000</v>
      </c>
      <c r="C11" s="10">
        <v>8000</v>
      </c>
      <c r="D11" s="10">
        <v>8000</v>
      </c>
      <c r="E11" s="10">
        <v>8000</v>
      </c>
      <c r="F11" s="10">
        <v>8000</v>
      </c>
      <c r="G11" s="10">
        <v>8000</v>
      </c>
      <c r="H11" s="10">
        <v>8000</v>
      </c>
      <c r="I11" s="10">
        <v>8000</v>
      </c>
      <c r="J11" s="10">
        <v>8000</v>
      </c>
      <c r="K11" s="10">
        <v>8000</v>
      </c>
      <c r="L11" s="10">
        <v>0</v>
      </c>
      <c r="M11" s="10">
        <v>0</v>
      </c>
      <c r="N11" s="10">
        <f>SUM(B11:M11)</f>
        <v>80000</v>
      </c>
    </row>
    <row r="12" spans="1:14" x14ac:dyDescent="0.25">
      <c r="A12" s="5" t="s">
        <v>53</v>
      </c>
      <c r="B12" s="10">
        <v>6000</v>
      </c>
      <c r="C12" s="10">
        <v>6000</v>
      </c>
      <c r="D12" s="10">
        <v>6000</v>
      </c>
      <c r="E12" s="10">
        <v>6000</v>
      </c>
      <c r="F12" s="10">
        <v>6000</v>
      </c>
      <c r="G12" s="10">
        <v>6000</v>
      </c>
      <c r="H12" s="10">
        <v>6000</v>
      </c>
      <c r="I12" s="10">
        <v>6000</v>
      </c>
      <c r="J12" s="10">
        <v>6000</v>
      </c>
      <c r="K12" s="10">
        <v>6000</v>
      </c>
      <c r="L12" s="10">
        <v>0</v>
      </c>
      <c r="M12" s="10">
        <v>0</v>
      </c>
      <c r="N12" s="10">
        <f>SUM(B12:M12)</f>
        <v>60000</v>
      </c>
    </row>
    <row r="13" ht="24" customHeight="1" spans="1:14" x14ac:dyDescent="0.25">
      <c r="A13" s="1" t="s">
        <v>54</v>
      </c>
      <c r="B13" s="11" t="str">
        <f>SUM(B2:B12)</f>
        <v>0</v>
      </c>
      <c r="C13" s="11" t="str">
        <f>SUM(C2:C12)</f>
        <v>0</v>
      </c>
      <c r="D13" s="11" t="str">
        <f>SUM(D2:D12)</f>
        <v>0</v>
      </c>
      <c r="E13" s="11" t="str">
        <f>SUM(E2:E12)</f>
        <v>0</v>
      </c>
      <c r="F13" s="11" t="str">
        <f>SUM(F2:F12)</f>
        <v>0</v>
      </c>
      <c r="G13" s="11" t="str">
        <f>SUM(G2:G12)</f>
        <v>0</v>
      </c>
      <c r="H13" s="11" t="str">
        <f>SUM(H2:H12)</f>
        <v>0</v>
      </c>
      <c r="I13" s="11" t="str">
        <f>SUM(I2:I12)</f>
        <v>0</v>
      </c>
      <c r="J13" s="11" t="str">
        <f>SUM(J2:J12)</f>
        <v>0</v>
      </c>
      <c r="K13" s="11" t="str">
        <f>SUM(K2:K12)</f>
        <v>0</v>
      </c>
      <c r="L13" s="11" t="str">
        <f>SUM(L2:L12)</f>
        <v>0</v>
      </c>
      <c r="M13" s="11" t="str">
        <f>SUM(M2:M12)</f>
        <v>0</v>
      </c>
      <c r="N13" s="11" t="str">
        <f>SUM(B13:M13)</f>
        <v>0</v>
      </c>
    </row>
  </sheetData>
  <pageMargins left="0.7" right="0.7" top="0.75" bottom="0.75" header="0.3" footer="0.3"/>
  <pageSetup paperSize="1" orientation="portrait" horizontalDpi="4294967295" verticalDpi="4294967295" scale="100" fitToWidth="1" fitToHeight="0"/>
  <headerFooter>
    <oddHeader>&amp;L&amp;10&amp;BCivic Scholars Charter&amp;R&amp;8&amp;IOperating Expenses</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7"/>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12" t="s">
        <v>55</v>
      </c>
      <c r="B2" s="13">
        <f>Revenue!B8</f>
        <v>154600</v>
      </c>
      <c r="C2" s="13">
        <f>Revenue!C8</f>
        <v>154600</v>
      </c>
      <c r="D2" s="13">
        <f>Revenue!D8</f>
        <v>154600</v>
      </c>
      <c r="E2" s="13">
        <f>Revenue!E8</f>
        <v>154600</v>
      </c>
      <c r="F2" s="13">
        <f>Revenue!F8</f>
        <v>154600</v>
      </c>
      <c r="G2" s="13">
        <f>Revenue!G8</f>
        <v>154600</v>
      </c>
      <c r="H2" s="13">
        <f>Revenue!H8</f>
        <v>154600</v>
      </c>
      <c r="I2" s="13">
        <f>Revenue!I8</f>
        <v>154600</v>
      </c>
      <c r="J2" s="13">
        <f>Revenue!J8</f>
        <v>154600</v>
      </c>
      <c r="K2" s="13">
        <f>Revenue!K8</f>
        <v>154600</v>
      </c>
      <c r="L2" s="13" t="str">
        <f>Revenue!L8</f>
        <v>0</v>
      </c>
      <c r="M2" s="13" t="str">
        <f>Revenue!M8</f>
        <v>0</v>
      </c>
      <c r="N2" s="13">
        <f>SUM(B2:M2)</f>
        <v>1546000</v>
      </c>
    </row>
    <row r="3" spans="1:14" x14ac:dyDescent="0.25">
      <c r="A3" s="5" t="s">
        <v>56</v>
      </c>
      <c r="B3" s="10">
        <f>Personnel!B11</f>
        <v>99704</v>
      </c>
      <c r="C3" s="10">
        <f>Personnel!C11</f>
        <v>99704</v>
      </c>
      <c r="D3" s="10">
        <f>Personnel!D11</f>
        <v>99704</v>
      </c>
      <c r="E3" s="10">
        <f>Personnel!E11</f>
        <v>99704</v>
      </c>
      <c r="F3" s="10">
        <f>Personnel!F11</f>
        <v>99704</v>
      </c>
      <c r="G3" s="10">
        <f>Personnel!G11</f>
        <v>99704</v>
      </c>
      <c r="H3" s="10">
        <f>Personnel!H11</f>
        <v>99704</v>
      </c>
      <c r="I3" s="10">
        <f>Personnel!I11</f>
        <v>99704</v>
      </c>
      <c r="J3" s="10">
        <f>Personnel!J11</f>
        <v>99704</v>
      </c>
      <c r="K3" s="10">
        <f>Personnel!K11</f>
        <v>99704</v>
      </c>
      <c r="L3" s="10" t="str">
        <f>Personnel!L11</f>
        <v>0</v>
      </c>
      <c r="M3" s="10" t="str">
        <f>Personnel!M11</f>
        <v>0</v>
      </c>
      <c r="N3" s="10">
        <f>SUM(B3:M3)</f>
        <v>997040</v>
      </c>
    </row>
    <row r="4" spans="1:14" x14ac:dyDescent="0.25">
      <c r="A4" s="5" t="s">
        <v>57</v>
      </c>
      <c r="B4" s="10">
        <f>'Operating Expenses'!B13</f>
        <v>54500</v>
      </c>
      <c r="C4" s="10">
        <f>'Operating Expenses'!C13</f>
        <v>54500</v>
      </c>
      <c r="D4" s="10">
        <f>'Operating Expenses'!D13</f>
        <v>54500</v>
      </c>
      <c r="E4" s="10">
        <f>'Operating Expenses'!E13</f>
        <v>54500</v>
      </c>
      <c r="F4" s="10">
        <f>'Operating Expenses'!F13</f>
        <v>54500</v>
      </c>
      <c r="G4" s="10">
        <f>'Operating Expenses'!G13</f>
        <v>54500</v>
      </c>
      <c r="H4" s="10">
        <f>'Operating Expenses'!H13</f>
        <v>54500</v>
      </c>
      <c r="I4" s="10">
        <f>'Operating Expenses'!I13</f>
        <v>54500</v>
      </c>
      <c r="J4" s="10">
        <f>'Operating Expenses'!J13</f>
        <v>54500</v>
      </c>
      <c r="K4" s="10">
        <f>'Operating Expenses'!K13</f>
        <v>54500</v>
      </c>
      <c r="L4" s="10" t="str">
        <f>'Operating Expenses'!L13</f>
        <v>0</v>
      </c>
      <c r="M4" s="10" t="str">
        <f>'Operating Expenses'!M13</f>
        <v>0</v>
      </c>
      <c r="N4" s="10">
        <f>SUM(B4:M4)</f>
        <v>545000</v>
      </c>
    </row>
    <row r="5" spans="1:14" x14ac:dyDescent="0.25">
      <c r="A5" s="5" t="s">
        <v>58</v>
      </c>
      <c r="B5" s="10">
        <v>13735</v>
      </c>
      <c r="C5" s="10">
        <v>13735</v>
      </c>
      <c r="D5" s="10">
        <v>13735</v>
      </c>
      <c r="E5" s="10">
        <v>13735</v>
      </c>
      <c r="F5" s="10">
        <v>13735</v>
      </c>
      <c r="G5" s="10">
        <v>13735</v>
      </c>
      <c r="H5" s="10">
        <v>13735</v>
      </c>
      <c r="I5" s="10">
        <v>13735</v>
      </c>
      <c r="J5" s="10">
        <v>13735</v>
      </c>
      <c r="K5" s="10">
        <v>13735</v>
      </c>
      <c r="L5" s="10">
        <v>13735</v>
      </c>
      <c r="M5" s="10">
        <v>13735</v>
      </c>
      <c r="N5" s="10">
        <f>SUM(B5:M5)</f>
        <v>164825</v>
      </c>
    </row>
    <row r="6" ht="24" customHeight="1" spans="1:14" x14ac:dyDescent="0.25">
      <c r="A6" s="1" t="s">
        <v>59</v>
      </c>
      <c r="B6" s="14" t="str">
        <f>SUM(B3:B5)</f>
        <v>0</v>
      </c>
      <c r="C6" s="14" t="str">
        <f>SUM(C3:C5)</f>
        <v>0</v>
      </c>
      <c r="D6" s="14" t="str">
        <f>SUM(D3:D5)</f>
        <v>0</v>
      </c>
      <c r="E6" s="14" t="str">
        <f>SUM(E3:E5)</f>
        <v>0</v>
      </c>
      <c r="F6" s="14" t="str">
        <f>SUM(F3:F5)</f>
        <v>0</v>
      </c>
      <c r="G6" s="14" t="str">
        <f>SUM(G3:G5)</f>
        <v>0</v>
      </c>
      <c r="H6" s="14" t="str">
        <f>SUM(H3:H5)</f>
        <v>0</v>
      </c>
      <c r="I6" s="14" t="str">
        <f>SUM(I3:I5)</f>
        <v>0</v>
      </c>
      <c r="J6" s="14" t="str">
        <f>SUM(J3:J5)</f>
        <v>0</v>
      </c>
      <c r="K6" s="14" t="str">
        <f>SUM(K3:K5)</f>
        <v>0</v>
      </c>
      <c r="L6" s="14" t="str">
        <f>SUM(L3:L5)</f>
        <v>0</v>
      </c>
      <c r="M6" s="14" t="str">
        <f>SUM(M3:M5)</f>
        <v>0</v>
      </c>
      <c r="N6" s="14">
        <f>SUM(B6:M6)</f>
        <v>1706865</v>
      </c>
    </row>
    <row r="7" spans="1:14" x14ac:dyDescent="0.25">
      <c r="A7" s="12" t="s">
        <v>60</v>
      </c>
      <c r="B7" s="15" t="str">
        <f>B2-B6</f>
        <v>0</v>
      </c>
      <c r="C7" s="15" t="str">
        <f>C2-C6</f>
        <v>0</v>
      </c>
      <c r="D7" s="15" t="str">
        <f>D2-D6</f>
        <v>0</v>
      </c>
      <c r="E7" s="15" t="str">
        <f>E2-E6</f>
        <v>0</v>
      </c>
      <c r="F7" s="15" t="str">
        <f>F2-F6</f>
        <v>0</v>
      </c>
      <c r="G7" s="15" t="str">
        <f>G2-G6</f>
        <v>0</v>
      </c>
      <c r="H7" s="15" t="str">
        <f>H2-H6</f>
        <v>0</v>
      </c>
      <c r="I7" s="15" t="str">
        <f>I2-I6</f>
        <v>0</v>
      </c>
      <c r="J7" s="15" t="str">
        <f>J2-J6</f>
        <v>0</v>
      </c>
      <c r="K7" s="15" t="str">
        <f>K2-K6</f>
        <v>0</v>
      </c>
      <c r="L7" s="15" t="str">
        <f>L2-L6</f>
        <v>0</v>
      </c>
      <c r="M7" s="15" t="str">
        <f>M2-M6</f>
        <v>0</v>
      </c>
      <c r="N7" s="15">
        <f>N2-N6</f>
        <v>-418532</v>
      </c>
    </row>
  </sheetData>
  <pageMargins left="0.7" right="0.7" top="0.75" bottom="0.75" header="0.3" footer="0.3"/>
  <pageSetup paperSize="1" orientation="portrait" horizontalDpi="4294967295" verticalDpi="4294967295" scale="100" fitToWidth="1" fitToHeight="0"/>
  <headerFooter>
    <oddHeader>&amp;L&amp;10&amp;BCivic Scholars Charter&amp;R&amp;8&amp;IP&amp;L Summary</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6" t="s">
        <v>61</v>
      </c>
      <c r="C1" s="16"/>
      <c r="D1" s="16"/>
      <c r="E1" s="16"/>
      <c r="F1" s="16"/>
      <c r="G1" s="16"/>
      <c r="H1" s="16"/>
    </row>
    <row r="2" ht="60" customHeight="1" spans="2:8" x14ac:dyDescent="0.25">
      <c r="B2" s="17" t="s">
        <v>62</v>
      </c>
      <c r="C2" s="17"/>
      <c r="D2" s="17"/>
      <c r="E2" s="17"/>
      <c r="F2" s="17"/>
      <c r="G2" s="17"/>
      <c r="H2" s="17"/>
    </row>
    <row r="4" ht="30" customHeight="1" spans="2:8" x14ac:dyDescent="0.25">
      <c r="B4" s="18" t="s">
        <v>63</v>
      </c>
      <c r="C4" s="18"/>
      <c r="D4" s="18"/>
      <c r="E4" s="18"/>
      <c r="F4" s="18"/>
      <c r="G4" s="18"/>
      <c r="H4" s="18"/>
    </row>
  </sheetData>
  <mergeCells count="3">
    <mergeCell ref="B1:H1"/>
    <mergeCell ref="B2:H2"/>
    <mergeCell ref="B4:H4"/>
  </mergeCells>
  <pageMargins left="0.5" right="0.5" top="0.75" bottom="0.75" header="0.3" footer="0.3"/>
  <pageSetup paperSize="1" orientation="landscape" fitToWidth="1" fitToHeight="0"/>
  <headerFooter>
    <oddHeader>&amp;L&amp;10&amp;BCivic Scholars Charter&amp;R&amp;8&amp;IDecision History</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Assumptions</vt:lpstr>
      <vt:lpstr>Revenue</vt:lpstr>
      <vt:lpstr>Personnel</vt:lpstr>
      <vt:lpstr>Operating Expenses</vt:lpstr>
      <vt:lpstr>P&amp;L Summary</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2026-04-29T13:01:10Z</dcterms:created>
  <dcterms:modified xsi:type="dcterms:W3CDTF">2026-04-29T13:01:10Z</dcterms:modified>
</cp:coreProperties>
</file>