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'Assumptions'!$A1:$J80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<sst xmlns="http://schemas.openxmlformats.org/spreadsheetml/2006/main" count="348" uniqueCount="213">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</sst>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10" fontId="4" fillId="0" borderId="1" xfId="0" applyNumberFormat="1" applyFont="1" applyBorder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0" spans="1:2" x14ac:dyDescent="0.25">
      <c r="A70" s="4" t="s">
        <v>116</v>
      </c>
      <c r="B70" s="15">
        <v>0.95</v>
      </c>
    </row>
    <row r="72" ht="28" customHeight="1" spans="1:4" x14ac:dyDescent="0.25">
      <c r="A72" s="16" t="s">
        <v>117</v>
      </c>
      <c r="B72" s="16" t="s">
        <v>118</v>
      </c>
      <c r="C72" s="16" t="s">
        <v>119</v>
      </c>
      <c r="D72" s="16" t="s">
        <v>120</v>
      </c>
    </row>
    <row r="73" spans="1:4" x14ac:dyDescent="0.25">
      <c r="A73" s="4" t="s">
        <v>121</v>
      </c>
      <c r="B73" s="9">
        <v>8200</v>
      </c>
      <c r="C73" s="9">
        <v>9100</v>
      </c>
      <c r="D73" s="9">
        <v>10500</v>
      </c>
    </row>
    <row r="75" ht="28" customHeight="1" spans="1:6" x14ac:dyDescent="0.25">
      <c r="A75" s="16" t="s">
        <v>122</v>
      </c>
      <c r="B75" s="16" t="s">
        <v>23</v>
      </c>
      <c r="C75" s="16" t="s">
        <v>24</v>
      </c>
      <c r="D75" s="16" t="s">
        <v>25</v>
      </c>
      <c r="E75" s="16" t="s">
        <v>26</v>
      </c>
      <c r="F75" s="16" t="s">
        <v>27</v>
      </c>
    </row>
    <row r="76" spans="1:6" x14ac:dyDescent="0.25">
      <c r="A76" s="4" t="s">
        <v>123</v>
      </c>
      <c r="B76" s="6">
        <v>80</v>
      </c>
      <c r="C76" s="6">
        <v>130</v>
      </c>
      <c r="D76" s="6">
        <v>180</v>
      </c>
      <c r="E76" s="6">
        <v>230</v>
      </c>
      <c r="F76" s="6">
        <v>260</v>
      </c>
    </row>
    <row r="77" spans="1:6" x14ac:dyDescent="0.25">
      <c r="A77" s="4" t="s">
        <v>124</v>
      </c>
      <c r="B77" s="6">
        <v>40</v>
      </c>
      <c r="C77" s="6">
        <v>70</v>
      </c>
      <c r="D77" s="6">
        <v>100</v>
      </c>
      <c r="E77" s="6">
        <v>120</v>
      </c>
      <c r="F77" s="6">
        <v>140</v>
      </c>
    </row>
    <row r="78" spans="1:6" x14ac:dyDescent="0.25">
      <c r="A78" s="4" t="s">
        <v>125</v>
      </c>
      <c r="B78" s="6">
        <v>0</v>
      </c>
      <c r="C78" s="6">
        <v>0</v>
      </c>
      <c r="D78" s="6">
        <v>20</v>
      </c>
      <c r="E78" s="6">
        <v>50</v>
      </c>
      <c r="F78" s="6">
        <v>100</v>
      </c>
    </row>
    <row r="80" spans="1:7" x14ac:dyDescent="0.25">
      <c r="A80" s="17" t="s">
        <v>126</v>
      </c>
      <c r="B80" s="17"/>
      <c r="C80" s="17"/>
      <c r="D80" s="17"/>
      <c r="E80" s="17"/>
      <c r="F80" s="17"/>
      <c r="G80" s="17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127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8" t="s">
        <v>28</v>
      </c>
      <c r="B3" s="19">
        <f>Assumptions!B17</f>
        <v>120</v>
      </c>
      <c r="C3" s="19">
        <f>Assumptions!C17</f>
        <v>200</v>
      </c>
      <c r="D3" s="19">
        <f>Assumptions!D17</f>
        <v>300</v>
      </c>
      <c r="E3" s="19">
        <f>Assumptions!E17</f>
        <v>400</v>
      </c>
      <c r="F3" s="19">
        <f>Assumptions!F17</f>
        <v>500</v>
      </c>
    </row>
    <row r="5" ht="24" customHeight="1" spans="1:6" x14ac:dyDescent="0.25">
      <c r="A5" s="3" t="s">
        <v>128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129</v>
      </c>
      <c r="B12" s="20">
        <f>SUM(B6:B11)</f>
        <v>1178333</v>
      </c>
      <c r="C12" s="20">
        <f>SUM(C6:C11)</f>
        <v>2212650</v>
      </c>
      <c r="D12" s="20">
        <f>SUM(D6:D11)</f>
        <v>3265600</v>
      </c>
      <c r="E12" s="20">
        <f>SUM(E6:E11)</f>
        <v>4342850</v>
      </c>
      <c r="F12" s="20">
        <f>SUM(F6:F11)</f>
        <v>5524700</v>
      </c>
    </row>
    <row r="14" ht="24" customHeight="1" spans="1:6" x14ac:dyDescent="0.25">
      <c r="A14" s="3" t="s">
        <v>130</v>
      </c>
      <c r="B14" s="3"/>
      <c r="C14" s="3"/>
      <c r="D14" s="3"/>
      <c r="E14" s="3"/>
      <c r="F14" s="3"/>
    </row>
    <row r="15" spans="1:6" x14ac:dyDescent="0.25">
      <c r="A15" s="4" t="s">
        <v>131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132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133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134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135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136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137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138</v>
      </c>
      <c r="B22" s="20">
        <f>SUM(B15:B21)</f>
        <v>780535</v>
      </c>
      <c r="C22" s="20">
        <f>SUM(C15:C21)</f>
        <v>936642</v>
      </c>
      <c r="D22" s="20">
        <f>SUM(D15:D21)</f>
        <v>936642</v>
      </c>
      <c r="E22" s="20">
        <f>SUM(E15:E21)</f>
        <v>936642</v>
      </c>
      <c r="F22" s="20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139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1" t="s">
        <v>140</v>
      </c>
      <c r="B27" s="22">
        <v>65000</v>
      </c>
      <c r="C27" s="22">
        <v>134000</v>
      </c>
      <c r="D27" s="22">
        <v>207000</v>
      </c>
      <c r="E27" s="22">
        <v>284000</v>
      </c>
      <c r="F27" s="22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141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1" t="s">
        <v>142</v>
      </c>
      <c r="B30" s="22">
        <v>45000</v>
      </c>
      <c r="C30" s="22">
        <v>92800</v>
      </c>
      <c r="D30" s="22">
        <v>143400</v>
      </c>
      <c r="E30" s="22">
        <v>196800</v>
      </c>
      <c r="F30" s="22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143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144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145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1" t="s">
        <v>146</v>
      </c>
      <c r="B35" s="22">
        <v>268333</v>
      </c>
      <c r="C35" s="22">
        <v>331660</v>
      </c>
      <c r="D35" s="22">
        <v>341614</v>
      </c>
      <c r="E35" s="22">
        <v>351856</v>
      </c>
      <c r="F35" s="22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147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148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149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150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1" t="s">
        <v>151</v>
      </c>
      <c r="B41" s="22">
        <v>125000</v>
      </c>
      <c r="C41" s="22">
        <v>216400</v>
      </c>
      <c r="D41" s="22">
        <v>302454</v>
      </c>
      <c r="E41" s="22">
        <v>393564</v>
      </c>
      <c r="F41" s="22">
        <v>490030</v>
      </c>
    </row>
    <row r="42" ht="24" customHeight="1" spans="1:6" x14ac:dyDescent="0.25">
      <c r="A42" s="3" t="s">
        <v>152</v>
      </c>
      <c r="B42" s="20">
        <f>B27+B30+B35+B41</f>
        <v>503333</v>
      </c>
      <c r="C42" s="20">
        <f>C27+C30+C35+C41</f>
        <v>774860</v>
      </c>
      <c r="D42" s="20">
        <f>D27+D30+D35+D41</f>
        <v>994468</v>
      </c>
      <c r="E42" s="20">
        <f>E27+E30+E35+E41</f>
        <v>1226220</v>
      </c>
      <c r="F42" s="20">
        <f>F27+F30+F35+F41</f>
        <v>1471949</v>
      </c>
    </row>
    <row r="44" ht="24" customHeight="1" spans="1:6" x14ac:dyDescent="0.25">
      <c r="A44" s="3" t="s">
        <v>153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154</v>
      </c>
      <c r="B47" s="20">
        <f>SUM(B45:B46)</f>
        <v>106629</v>
      </c>
      <c r="C47" s="20">
        <f>SUM(C45:C46)</f>
        <v>66629</v>
      </c>
      <c r="D47" s="20">
        <f>SUM(D45:D46)</f>
        <v>71629</v>
      </c>
      <c r="E47" s="20">
        <f>SUM(E45:E46)</f>
        <v>56629</v>
      </c>
      <c r="F47" s="20">
        <f>SUM(F45:F46)</f>
        <v>56629</v>
      </c>
    </row>
    <row r="49" ht="24" customHeight="1" spans="1:6" x14ac:dyDescent="0.25">
      <c r="A49" s="3" t="s">
        <v>155</v>
      </c>
      <c r="B49" s="3"/>
      <c r="C49" s="3"/>
      <c r="D49" s="3"/>
      <c r="E49" s="3"/>
      <c r="F49" s="3"/>
    </row>
    <row r="50" spans="1:6" x14ac:dyDescent="0.25">
      <c r="A50" s="18" t="s">
        <v>156</v>
      </c>
      <c r="B50" s="22">
        <f>B12</f>
        <v>1178333</v>
      </c>
      <c r="C50" s="22">
        <f>C12</f>
        <v>2212650</v>
      </c>
      <c r="D50" s="22">
        <f>D12</f>
        <v>3265600</v>
      </c>
      <c r="E50" s="22">
        <f>E12</f>
        <v>4342850</v>
      </c>
      <c r="F50" s="22">
        <f>F12</f>
        <v>5524700</v>
      </c>
    </row>
    <row r="51" spans="1:6" x14ac:dyDescent="0.25">
      <c r="A51" s="4" t="s">
        <v>157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158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159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8" t="s">
        <v>160</v>
      </c>
      <c r="B54" s="22">
        <f>B51+B52+B53</f>
        <v>1390497</v>
      </c>
      <c r="C54" s="22">
        <f>C51+C52+C53</f>
        <v>1778131</v>
      </c>
      <c r="D54" s="22">
        <f>D51+D52+D53</f>
        <v>2002739</v>
      </c>
      <c r="E54" s="22">
        <f>E51+E52+E53</f>
        <v>2219491</v>
      </c>
      <c r="F54" s="22">
        <f>F51+F52+F53</f>
        <v>2465220</v>
      </c>
    </row>
    <row r="55" spans="1:1" x14ac:dyDescent="0.25">
      <c r="A55" t="s">
        <v>40</v>
      </c>
    </row>
    <row r="56" spans="1:6" x14ac:dyDescent="0.25">
      <c r="A56" s="23" t="s">
        <v>161</v>
      </c>
      <c r="B56" s="24">
        <f>B50-B54</f>
        <v>-212164</v>
      </c>
      <c r="C56" s="25">
        <f>C50-C54</f>
        <v>434519</v>
      </c>
      <c r="D56" s="25">
        <f>D50-D54</f>
        <v>1262861</v>
      </c>
      <c r="E56" s="25">
        <f>E50-E54</f>
        <v>2123359</v>
      </c>
      <c r="F56" s="25">
        <f>F50-F54</f>
        <v>3059480</v>
      </c>
    </row>
    <row r="57" spans="1:6" x14ac:dyDescent="0.25">
      <c r="A57" s="4" t="s">
        <v>162</v>
      </c>
      <c r="B57" s="26">
        <f>IF(B50=0,"",B56/B50)</f>
        <v>-0.18</v>
      </c>
      <c r="C57" s="26">
        <f>IF(C50=0,"",C56/C50)</f>
        <v>0.2</v>
      </c>
      <c r="D57" s="26">
        <f>IF(D50=0,"",D56/D50)</f>
        <v>0.39</v>
      </c>
      <c r="E57" s="26">
        <f>IF(E50=0,"",E56/E50)</f>
        <v>0.49</v>
      </c>
      <c r="F57" s="26">
        <f>IF(F50=0,"",F56/F50)</f>
        <v>0.55</v>
      </c>
    </row>
    <row r="58" spans="1:6" x14ac:dyDescent="0.25">
      <c r="A58" s="4" t="s">
        <v>163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164</v>
      </c>
      <c r="B60" s="3"/>
      <c r="C60" s="3"/>
      <c r="D60" s="3"/>
      <c r="E60" s="3"/>
      <c r="F60" s="3"/>
    </row>
    <row r="61" spans="1:6" x14ac:dyDescent="0.25">
      <c r="A61" s="18" t="s">
        <v>165</v>
      </c>
      <c r="B61" s="22">
        <f>B50-B51-B52</f>
        <v>-105535</v>
      </c>
      <c r="C61" s="22">
        <f>C50-C51-C52</f>
        <v>501148</v>
      </c>
      <c r="D61" s="22">
        <f>D50-D51-D52</f>
        <v>1334490</v>
      </c>
      <c r="E61" s="22">
        <f>E50-E51-E52</f>
        <v>2179988</v>
      </c>
      <c r="F61" s="22">
        <f>F50-F51-F52</f>
        <v>3116109</v>
      </c>
    </row>
    <row r="62" spans="1:6" x14ac:dyDescent="0.25">
      <c r="A62" s="4" t="s">
        <v>166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8" t="s">
        <v>167</v>
      </c>
      <c r="B63" s="27">
        <f>IF(B62=0,"N/A",B61/B62)</f>
        <v>-0.99</v>
      </c>
      <c r="C63" s="27">
        <f>IF(C62=0,"N/A",C61/C62)</f>
        <v>7.52</v>
      </c>
      <c r="D63" s="27">
        <f>IF(D62=0,"N/A",D61/D62)</f>
        <v>18.63</v>
      </c>
      <c r="E63" s="27">
        <f>IF(E62=0,"N/A",E61/E62)</f>
        <v>38.5</v>
      </c>
      <c r="F63" s="27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8" t="s">
        <v>168</v>
      </c>
      <c r="B65" s="22">
        <f>B64+B56</f>
        <v>-212164</v>
      </c>
      <c r="C65" s="22">
        <f>C64+C56</f>
        <v>222355</v>
      </c>
      <c r="D65" s="22">
        <f>D64+D56</f>
        <v>1485216</v>
      </c>
      <c r="E65" s="22">
        <f>E64+E56</f>
        <v>3608575</v>
      </c>
      <c r="F65" s="22">
        <f>F64+F56</f>
        <v>6668055</v>
      </c>
    </row>
    <row r="66" spans="1:6" x14ac:dyDescent="0.25">
      <c r="A66" s="4" t="s">
        <v>169</v>
      </c>
      <c r="B66" s="28">
        <f>IF(B54=0,"",B65/B54*365)</f>
        <v>-56</v>
      </c>
      <c r="C66" s="28">
        <f>IF(C54=0,"",C65/C54*365)</f>
        <v>46</v>
      </c>
      <c r="D66" s="28">
        <f>IF(D54=0,"",D65/D54*365)</f>
        <v>271</v>
      </c>
      <c r="E66" s="28">
        <f>IF(E54=0,"",E65/E54*365)</f>
        <v>593</v>
      </c>
      <c r="F66" s="28">
        <f>IF(F54=0,"",F65/F54*365)</f>
        <v>987</v>
      </c>
    </row>
    <row r="67" spans="1:6" x14ac:dyDescent="0.25">
      <c r="A67" s="4" t="s">
        <v>170</v>
      </c>
      <c r="B67" s="29">
        <f>IF(B54=0,"",B65/(B54/12))</f>
        <v>-1.8</v>
      </c>
      <c r="C67" s="29">
        <f>IF(C54=0,"",C65/(C54/12))</f>
        <v>1.5</v>
      </c>
      <c r="D67" s="29">
        <f>IF(D54=0,"",D65/(D54/12))</f>
        <v>8.9</v>
      </c>
      <c r="E67" s="29">
        <f>IF(E54=0,"",E65/(E54/12))</f>
        <v>19.5</v>
      </c>
      <c r="F67" s="29">
        <f>IF(F54=0,"",F65/(F54/12))</f>
        <v>32.5</v>
      </c>
    </row>
    <row r="68" spans="1:6" x14ac:dyDescent="0.25">
      <c r="A68" s="4" t="s">
        <v>171</v>
      </c>
      <c r="B68" s="26">
        <f>IF(Assumptions!B12=0,"",B3/Assumptions!B12)</f>
        <v>0.2</v>
      </c>
      <c r="C68" s="26">
        <f>IF(Assumptions!B12=0,"",C3/Assumptions!B12)</f>
        <v>0.33</v>
      </c>
      <c r="D68" s="26">
        <f>IF(Assumptions!B12=0,"",D3/Assumptions!B12)</f>
        <v>0.5</v>
      </c>
      <c r="E68" s="26">
        <f>IF(Assumptions!B12=0,"",E3/Assumptions!B12)</f>
        <v>0.67</v>
      </c>
      <c r="F68" s="26">
        <f>IF(Assumptions!B12=0,"",F3/Assumptions!B12)</f>
        <v>0.83</v>
      </c>
    </row>
    <row r="70" ht="24" customHeight="1" spans="1:6" x14ac:dyDescent="0.25">
      <c r="A70" s="3" t="s">
        <v>172</v>
      </c>
      <c r="B70" s="3"/>
      <c r="C70" s="3"/>
      <c r="D70" s="3"/>
      <c r="E70" s="3"/>
      <c r="F70" s="3"/>
    </row>
    <row r="71" spans="1:6" x14ac:dyDescent="0.25">
      <c r="A71" s="4" t="s">
        <v>173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174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175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176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177</v>
      </c>
      <c r="B76" s="3"/>
      <c r="C76" s="3"/>
      <c r="D76" s="3"/>
      <c r="E76" s="3"/>
      <c r="F76" s="3"/>
    </row>
    <row r="77" spans="1:6" x14ac:dyDescent="0.25">
      <c r="A77" s="4" t="s">
        <v>178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179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180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181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182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30" t="s">
        <v>183</v>
      </c>
      <c r="B82" s="31">
        <f>IF(B81&lt;=0,"N/A",ROUNDUP(B79/B81,0))</f>
        <v>158</v>
      </c>
      <c r="C82" s="31">
        <f>IF(C81&lt;=0,"N/A",ROUNDUP(C79/C81,0))</f>
        <v>140</v>
      </c>
      <c r="D82" s="31">
        <f>IF(D81&lt;=0,"N/A",ROUNDUP(D79/D81,0))</f>
        <v>134</v>
      </c>
      <c r="E82" s="31">
        <f>IF(E81&lt;=0,"N/A",ROUNDUP(E79/E81,0))</f>
        <v>128</v>
      </c>
      <c r="F82" s="31">
        <f>IF(F81&lt;=0,"N/A",ROUNDUP(F79/F81,0))</f>
        <v>123</v>
      </c>
    </row>
    <row r="84" spans="1:6" x14ac:dyDescent="0.25">
      <c r="A84" s="17" t="s">
        <v>126</v>
      </c>
      <c r="B84" s="17"/>
      <c r="C84" s="17"/>
      <c r="D84" s="17"/>
      <c r="E84" s="17"/>
      <c r="F84" s="17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185</v>
      </c>
      <c r="D2" s="16" t="s">
        <v>186</v>
      </c>
      <c r="E2" s="16" t="s">
        <v>187</v>
      </c>
      <c r="F2" s="16" t="s">
        <v>188</v>
      </c>
      <c r="G2" s="16" t="s">
        <v>189</v>
      </c>
      <c r="H2" s="16" t="s">
        <v>190</v>
      </c>
      <c r="I2" s="16" t="s">
        <v>191</v>
      </c>
      <c r="J2" s="16" t="s">
        <v>192</v>
      </c>
      <c r="K2" s="16" t="s">
        <v>193</v>
      </c>
      <c r="L2" s="16" t="s">
        <v>194</v>
      </c>
      <c r="M2" s="16" t="s">
        <v>195</v>
      </c>
      <c r="N2" s="16" t="s">
        <v>196</v>
      </c>
    </row>
    <row r="3" ht="24" customHeight="1" spans="1:14" x14ac:dyDescent="0.25">
      <c r="A3" s="3" t="s">
        <v>128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129</v>
      </c>
      <c r="B10" s="20">
        <f>SUM(B4:B9)</f>
        <v>146500</v>
      </c>
      <c r="C10" s="20">
        <f>SUM(C4:C9)</f>
        <v>146500</v>
      </c>
      <c r="D10" s="20">
        <f>SUM(D4:D9)</f>
        <v>146500</v>
      </c>
      <c r="E10" s="20">
        <f>SUM(E4:E9)</f>
        <v>146500</v>
      </c>
      <c r="F10" s="20">
        <f>SUM(F4:F9)</f>
        <v>146500</v>
      </c>
      <c r="G10" s="20">
        <f>SUM(G4:G9)</f>
        <v>146500</v>
      </c>
      <c r="H10" s="20">
        <f>SUM(H4:H9)</f>
        <v>146500</v>
      </c>
      <c r="I10" s="20">
        <f>SUM(I4:I9)</f>
        <v>146500</v>
      </c>
      <c r="J10" s="20">
        <f>SUM(J4:J9)</f>
        <v>146500</v>
      </c>
      <c r="K10" s="20">
        <f>SUM(K4:K9)</f>
        <v>146500</v>
      </c>
      <c r="L10" s="20" t="str">
        <f>SUM(L4:L9)</f>
        <v>0</v>
      </c>
      <c r="M10" s="20" t="str">
        <f>SUM(M4:M9)</f>
        <v>0</v>
      </c>
      <c r="N10" s="20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130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138</v>
      </c>
      <c r="B20" s="20">
        <f>SUM(B13:B19)</f>
        <v>78054</v>
      </c>
      <c r="C20" s="20">
        <f>SUM(C13:C19)</f>
        <v>78054</v>
      </c>
      <c r="D20" s="20">
        <f>SUM(D13:D19)</f>
        <v>78054</v>
      </c>
      <c r="E20" s="20">
        <f>SUM(E13:E19)</f>
        <v>78054</v>
      </c>
      <c r="F20" s="20">
        <f>SUM(F13:F19)</f>
        <v>78054</v>
      </c>
      <c r="G20" s="20">
        <f>SUM(G13:G19)</f>
        <v>78054</v>
      </c>
      <c r="H20" s="20">
        <f>SUM(H13:H19)</f>
        <v>78054</v>
      </c>
      <c r="I20" s="20">
        <f>SUM(I13:I19)</f>
        <v>78054</v>
      </c>
      <c r="J20" s="20">
        <f>SUM(J13:J19)</f>
        <v>78054</v>
      </c>
      <c r="K20" s="20">
        <f>SUM(K13:K19)</f>
        <v>78054</v>
      </c>
      <c r="L20" s="20" t="str">
        <f>SUM(L13:L19)</f>
        <v>0</v>
      </c>
      <c r="M20" s="20" t="str">
        <f>SUM(M13:M19)</f>
        <v>0</v>
      </c>
      <c r="N20" s="20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197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1" t="s">
        <v>140</v>
      </c>
      <c r="B25" s="22">
        <v>6500</v>
      </c>
      <c r="C25" s="22">
        <v>6500</v>
      </c>
      <c r="D25" s="22">
        <v>6500</v>
      </c>
      <c r="E25" s="22">
        <v>6500</v>
      </c>
      <c r="F25" s="22">
        <v>6500</v>
      </c>
      <c r="G25" s="22">
        <v>6500</v>
      </c>
      <c r="H25" s="22">
        <v>6500</v>
      </c>
      <c r="I25" s="22">
        <v>6500</v>
      </c>
      <c r="J25" s="22">
        <v>6500</v>
      </c>
      <c r="K25" s="22">
        <v>6500</v>
      </c>
      <c r="L25" s="22">
        <v>0</v>
      </c>
      <c r="M25" s="22">
        <v>0</v>
      </c>
      <c r="N25" s="22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198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1" t="s">
        <v>142</v>
      </c>
      <c r="B28" s="22">
        <v>4500</v>
      </c>
      <c r="C28" s="22">
        <v>4500</v>
      </c>
      <c r="D28" s="22">
        <v>4500</v>
      </c>
      <c r="E28" s="22">
        <v>4500</v>
      </c>
      <c r="F28" s="22">
        <v>4500</v>
      </c>
      <c r="G28" s="22">
        <v>4500</v>
      </c>
      <c r="H28" s="22">
        <v>4500</v>
      </c>
      <c r="I28" s="22">
        <v>4500</v>
      </c>
      <c r="J28" s="22">
        <v>4500</v>
      </c>
      <c r="K28" s="22">
        <v>4500</v>
      </c>
      <c r="L28" s="22">
        <v>0</v>
      </c>
      <c r="M28" s="22">
        <v>0</v>
      </c>
      <c r="N28" s="22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199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200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201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1" t="s">
        <v>146</v>
      </c>
      <c r="B33" s="22">
        <v>26833</v>
      </c>
      <c r="C33" s="22">
        <v>26833</v>
      </c>
      <c r="D33" s="22">
        <v>26833</v>
      </c>
      <c r="E33" s="22">
        <v>26833</v>
      </c>
      <c r="F33" s="22">
        <v>26833</v>
      </c>
      <c r="G33" s="22">
        <v>26833</v>
      </c>
      <c r="H33" s="22">
        <v>26833</v>
      </c>
      <c r="I33" s="22">
        <v>26833</v>
      </c>
      <c r="J33" s="22">
        <v>26833</v>
      </c>
      <c r="K33" s="22">
        <v>26833</v>
      </c>
      <c r="L33" s="22">
        <v>0</v>
      </c>
      <c r="M33" s="22">
        <v>0</v>
      </c>
      <c r="N33" s="22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202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203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204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205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1" t="s">
        <v>151</v>
      </c>
      <c r="B39" s="22">
        <v>12500</v>
      </c>
      <c r="C39" s="22">
        <v>12500</v>
      </c>
      <c r="D39" s="22">
        <v>12500</v>
      </c>
      <c r="E39" s="22">
        <v>12500</v>
      </c>
      <c r="F39" s="22">
        <v>12500</v>
      </c>
      <c r="G39" s="22">
        <v>12500</v>
      </c>
      <c r="H39" s="22">
        <v>12500</v>
      </c>
      <c r="I39" s="22">
        <v>12500</v>
      </c>
      <c r="J39" s="22">
        <v>12500</v>
      </c>
      <c r="K39" s="22">
        <v>12500</v>
      </c>
      <c r="L39" s="22">
        <v>0</v>
      </c>
      <c r="M39" s="22">
        <v>0</v>
      </c>
      <c r="N39" s="22">
        <f>SUM(B39:M39)</f>
        <v>125000</v>
      </c>
    </row>
    <row r="40" ht="24" customHeight="1" spans="1:14" x14ac:dyDescent="0.25">
      <c r="A40" s="3" t="s">
        <v>152</v>
      </c>
      <c r="B40" s="20">
        <f>B25+B28+B33+B39</f>
        <v>50333</v>
      </c>
      <c r="C40" s="20">
        <f>C25+C28+C33+C39</f>
        <v>50333</v>
      </c>
      <c r="D40" s="20">
        <f>D25+D28+D33+D39</f>
        <v>50333</v>
      </c>
      <c r="E40" s="20">
        <f>E25+E28+E33+E39</f>
        <v>50333</v>
      </c>
      <c r="F40" s="20">
        <f>F25+F28+F33+F39</f>
        <v>50333</v>
      </c>
      <c r="G40" s="20">
        <f>G25+G28+G33+G39</f>
        <v>50333</v>
      </c>
      <c r="H40" s="20">
        <f>H25+H28+H33+H39</f>
        <v>50333</v>
      </c>
      <c r="I40" s="20">
        <f>I25+I28+I33+I39</f>
        <v>50333</v>
      </c>
      <c r="J40" s="20">
        <f>J25+J28+J33+J39</f>
        <v>50333</v>
      </c>
      <c r="K40" s="20">
        <f>K25+K28+K33+K39</f>
        <v>50333</v>
      </c>
      <c r="L40" s="20" t="str">
        <f>L25+L28+L33+L39</f>
        <v>0</v>
      </c>
      <c r="M40" s="20" t="str">
        <f>M25+M28+M33+M39</f>
        <v>0</v>
      </c>
      <c r="N40" s="20">
        <f>SUM(B40:M40)</f>
        <v>503333</v>
      </c>
    </row>
    <row r="41" spans="1:1" x14ac:dyDescent="0.25">
      <c r="A41" t="s">
        <v>40</v>
      </c>
    </row>
    <row r="42" spans="1:14" x14ac:dyDescent="0.25">
      <c r="A42" s="18" t="s">
        <v>206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8" t="s">
        <v>160</v>
      </c>
      <c r="B45" s="22">
        <f>B20+B40+B42</f>
        <v>137273</v>
      </c>
      <c r="C45" s="22">
        <f>C20+C40+C42</f>
        <v>137273</v>
      </c>
      <c r="D45" s="22">
        <f>D20+D40+D42</f>
        <v>137273</v>
      </c>
      <c r="E45" s="22">
        <f>E20+E40+E42</f>
        <v>137273</v>
      </c>
      <c r="F45" s="22">
        <f>F20+F40+F42</f>
        <v>137273</v>
      </c>
      <c r="G45" s="22">
        <f>G20+G40+G42</f>
        <v>137273</v>
      </c>
      <c r="H45" s="22">
        <f>H20+H40+H42</f>
        <v>137273</v>
      </c>
      <c r="I45" s="22">
        <f>I20+I40+I42</f>
        <v>137273</v>
      </c>
      <c r="J45" s="22">
        <f>J20+J40+J42</f>
        <v>137273</v>
      </c>
      <c r="K45" s="22">
        <f>K20+K40+K42</f>
        <v>137273</v>
      </c>
      <c r="L45" s="22">
        <f>L20+L40+L42</f>
        <v>8886</v>
      </c>
      <c r="M45" s="22">
        <f>M20+M40+M42</f>
        <v>8886</v>
      </c>
      <c r="N45" s="22">
        <f>SUM(B45:M45)</f>
        <v>1390502</v>
      </c>
    </row>
    <row r="46" spans="1:14" x14ac:dyDescent="0.25">
      <c r="A46" s="18" t="s">
        <v>208</v>
      </c>
      <c r="B46" s="22">
        <f>B10-B45</f>
        <v>9227</v>
      </c>
      <c r="C46" s="22">
        <f>C10-C45</f>
        <v>9227</v>
      </c>
      <c r="D46" s="22">
        <f>D10-D45</f>
        <v>9227</v>
      </c>
      <c r="E46" s="22">
        <f>E10-E45</f>
        <v>9227</v>
      </c>
      <c r="F46" s="22">
        <f>F10-F45</f>
        <v>9227</v>
      </c>
      <c r="G46" s="22">
        <f>G10-G45</f>
        <v>9227</v>
      </c>
      <c r="H46" s="22">
        <f>H10-H45</f>
        <v>9227</v>
      </c>
      <c r="I46" s="22">
        <f>I10-I45</f>
        <v>9227</v>
      </c>
      <c r="J46" s="22">
        <f>J10-J45</f>
        <v>9227</v>
      </c>
      <c r="K46" s="22">
        <f>K10-K45</f>
        <v>9227</v>
      </c>
      <c r="L46" s="22">
        <f>L10-L45</f>
        <v>-8886</v>
      </c>
      <c r="M46" s="22">
        <f>M10-M45</f>
        <v>-8886</v>
      </c>
      <c r="N46" s="22">
        <f>SUM(B46:M46)</f>
        <v>74498</v>
      </c>
    </row>
    <row r="47" spans="1:14" x14ac:dyDescent="0.25">
      <c r="A47" s="18" t="s">
        <v>209</v>
      </c>
      <c r="B47" s="22">
        <f>0+B46</f>
        <v>9227</v>
      </c>
      <c r="C47" s="22">
        <f>B47+C46</f>
        <v>18454</v>
      </c>
      <c r="D47" s="22">
        <f>C47+D46</f>
        <v>27681</v>
      </c>
      <c r="E47" s="22">
        <f>D47+E46</f>
        <v>36908</v>
      </c>
      <c r="F47" s="22">
        <f>E47+F46</f>
        <v>46135</v>
      </c>
      <c r="G47" s="22">
        <f>F47+G46</f>
        <v>55362</v>
      </c>
      <c r="H47" s="22">
        <f>G47+H46</f>
        <v>64589</v>
      </c>
      <c r="I47" s="22">
        <f>H47+I46</f>
        <v>73816</v>
      </c>
      <c r="J47" s="22">
        <f>I47+J46</f>
        <v>83043</v>
      </c>
      <c r="K47" s="22">
        <f>J47+K46</f>
        <v>92270</v>
      </c>
      <c r="L47" s="22">
        <f>K47+L46</f>
        <v>83384</v>
      </c>
      <c r="M47" s="22">
        <f>L47+M46</f>
        <v>74498</v>
      </c>
      <c r="N47" s="22">
        <f>M47</f>
        <v>74498</v>
      </c>
    </row>
    <row r="49" ht="24" customHeight="1" spans="1:3" x14ac:dyDescent="0.25">
      <c r="A49" s="3" t="s">
        <v>210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211</v>
      </c>
      <c r="B51" s="22">
        <f>M47</f>
        <v>74498</v>
      </c>
    </row>
    <row r="52" spans="1:2" x14ac:dyDescent="0.25">
      <c r="A52" s="4" t="s">
        <v>212</v>
      </c>
      <c r="B52" s="12">
        <f>MIN(B47:M47)</f>
        <v>9227</v>
      </c>
    </row>
    <row r="54" spans="1:14" x14ac:dyDescent="0.25">
      <c r="A54" s="17" t="s">
        <v>126</v>
      </c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