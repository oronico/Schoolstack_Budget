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Model'!$A1:$F86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<sst xmlns="http://schemas.openxmlformats.org/spreadsheetml/2006/main" count="471" uniqueCount="311">
  <si>
    <t>How to Use This Workbook</t>
  </si>
  <si>
    <t>Heritage Academy Charter</t>
  </si>
  <si>
    <t>Generated April 29,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</si>
  <si>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</si>
  <si>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</si>
  <si>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</si>
  <si>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</si>
  <si>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</si>
  <si>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</si>
  <si>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</si>
  <si>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</si>
  <si>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</si>
  <si>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</si>
  <si>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</si>
  <si>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</si>
  <si>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</si>
  <si>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</si>
  <si>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</si>
  <si>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</si>
  <si>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</si>
  <si>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</si>
  <si>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</si>
  <si>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</si>
  <si>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</si>
  <si>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</si>
  <si>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</si>
  <si>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</si>
  <si>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</si>
  <si>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</si>
  <si>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</si>
  <si>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</si>
  <si>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</si>
  <si>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</si>
  <si>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</si>
  <si>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</si>
  <si>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</si>
  <si>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</si>
  <si>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</si>
  <si>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</si>
  <si>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</si>
  <si>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</si>
  <si>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</si>
  <si>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</si>
  <si>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</si>
  <si>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</si>
  <si>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</si>
  <si>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</si>
  <si>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</si>
  <si>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</si>
  <si>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</si>
  <si>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</si>
  <si>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</si>
  <si>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</si>
  <si>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</si>
  <si>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</si>
  <si>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</si>
  <si>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</si>
  <si>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</si>
  <si>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</si>
  <si>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</si>
  <si>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</si>
  <si>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</si>
  <si>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</si>
  <si>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</si>
  <si>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</si>
  <si>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</si>
  <si>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</si>
  <si>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</si>
  <si>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</si>
  <si>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</si>
  <si>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</si>
  <si>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</si>
  <si>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</si>
  <si>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</si>
  <si>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</si>
  <si>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</si>
  <si>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</si>
  <si>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</si>
  <si>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</si>
  <si>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</si>
  <si>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</si>
  <si>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</si>
  <si>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</si>
  <si>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</si>
  <si>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</si>
  <si>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</si>
  <si>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</si>
  <si>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</si>
  <si>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</si>
  <si>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</si>
  <si>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</si>
  <si>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</si>
  <si>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</si>
  <si>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</si>
  <si>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</si>
  <si>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</si>
  <si>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</si>
  <si>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</si>
  <si>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</si>
  <si>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</si>
  <si>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</si>
  <si>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</si>
  <si>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</si>
  <si>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</si>
  <si>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</si>
  <si>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</si>
  <si>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</si>
  <si>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</si>
  <si>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</si>
  <si>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</si>
  <si>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</si>
  <si>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</si>
  <si>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</si>
  <si>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</si>
  <si>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</si>
  <si>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</si>
  <si>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</si>
  <si>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</si>
  <si>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</si>
  <si>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</si>
  <si>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</si>
  <si>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</si>
  <si>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</si>
  <si>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</si>
  <si>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</si>
  <si>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</si>
  <si>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</si>
  <si>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</si>
  <si>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</si>
  <si>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</si>
  <si>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</si>
  <si>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</si>
  <si>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</si>
  <si>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</si>
  <si>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</si>
  <si>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</si>
  <si>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</si>
  <si>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</si>
  <si>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</si>
  <si>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</si>
  <si>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</si>
  <si>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</si>
  <si>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</si>
  <si>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</si>
  <si>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</si>
  <si>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</si>
  <si>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</si>
  <si>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</si>
  <si>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</si>
  <si>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</si>
  <si>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</si>
  <si>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</si>
  <si>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</si>
  <si>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</si>
  <si>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</si>
  <si>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</si>
  <si>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</si>
  <si>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Projections prepared on an accrual basis. School currently keeps books on a undetermined basis.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</si>
  <si>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</si>
  <si>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</si>
  <si>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</si>
  <si>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</si>
  <si>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</si>
  <si>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</si>
  <si>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</si>
  <si>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</si>
  <si>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</si>
  <si>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</si>
  <si>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</si>
  <si>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</si>
  <si>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</si>
  <si>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</si>
  <si>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</si>
  <si>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</si>
  <si>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</si>
  <si>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</si>
  <si>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</si>
  <si>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</si>
  <si>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</si>
  <si>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</si>
  <si>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</si>
  <si>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</si>
  <si>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</si>
  <si>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</si>
  <si>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</si>
  <si>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</si>
  <si>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</si>
  <si>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</si>
  <si>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</si>
  <si>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</si>
  <si>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</si>
  <si>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</si>
  <si>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</si>
  <si>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</si>
  <si>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</si>
  <si>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</si>
  <si>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</si>
  <si>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</si>
  <si>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</si>
  <si>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</si>
  <si>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</si>
  <si>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</si>
  <si>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</si>
  <si>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</si>
  <si>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</si>
  <si>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1.25x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</si>
  <si>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</si>
  <si>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</si>
  <si>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</si>
  <si>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</si>
  <si>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</si>
  <si>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</si>
  <si>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</si>
  <si>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</si>
  <si>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</si>
  <si>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</si>
  <si>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</si>
  <si>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</si>
  <si>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</si>
  <si>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</si>
  <si>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</si>
  <si>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</si>
  <si>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</si>
  <si>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</si>
  <si>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</si>
  <si>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</si>
  <si>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</si>
  <si>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</si>
  <si>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</si>
  <si>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</si>
  <si>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</si>
  <si>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</si>
  <si>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</si>
  <si>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</si>
  <si>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</si>
  <si>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</si>
  <si>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</si>
  <si>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</si>
  <si>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</si>
  <si>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</si>
  <si>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</si>
  <si>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</si>
  <si>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</si>
  <si>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</si>
  <si>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</si>
  <si>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</si>
  <si>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</si>
  <si>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</si>
  <si>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</si>
  <si>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</si>
  <si>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</si>
  <si>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</si>
  <si>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</si>
  <si>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</si>
  <si>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</si>
  <si>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</si>
  <si>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</si>
  <si>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</si>
  <si>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</si>
  <si>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</si>
  <si>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</si>
  <si>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</si>
  <si>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</si>
  <si>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</si>
  <si>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</si>
  <si>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</si>
  <si>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</si>
  <si>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</si>
  <si>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</si>
  <si>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</si>
  <si>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</si>
  <si>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</si>
  <si>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</si>
  <si>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</si>
  <si>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</si>
  <si>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</si>
  <si>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</si>
  <si>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</si>
  <si>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</si>
  <si>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</si>
  <si>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</si>
  <si>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</si>
  <si>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</si>
  <si>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</si>
  <si>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</si>
  <si>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</si>
  <si>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</si>
  <si>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</si>
  <si>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</si>
  <si>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</si>
  <si>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</si>
  <si>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</si>
  <si>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</si>
  <si>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</si>
  <si>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</si>
  <si>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</si>
  <si>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</si>
  <si>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</si>
  <si>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</si>
  <si>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</si>
  <si>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Debt Affordability</t>
  </si>
  <si>
    <t>DSCR of 68.23x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</si>
  <si>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</si>
  <si>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</si>
  <si>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</si>
  <si>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</si>
  <si>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</si>
  <si>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36.6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</si>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</sst>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i/>
      <color rgb="FF64748B"/>
      <sz val="10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2" xfId="0" applyFont="1" applyBorder="1"/>
    <xf numFmtId="164" fontId="13" fillId="0" borderId="2" xfId="0" applyNumberFormat="1" applyFont="1" applyBorder="1"/>
    <xf numFmtId="165" fontId="13" fillId="5" borderId="3" xfId="0" applyNumberFormat="1" applyFont="1" applyFill="1" applyBorder="1"/>
    <xf numFmtId="0" fontId="13" fillId="0" borderId="0" xfId="0" applyFont="1"/>
    <xf numFmtId="165" fontId="13" fillId="0" borderId="2" xfId="0" applyNumberFormat="1" applyFont="1" applyBorder="1"/>
    <xf numFmtId="0" fontId="14" fillId="0" borderId="0" xfId="0" applyFont="1"/>
    <xf numFmtId="165" fontId="15" fillId="0" borderId="3" xfId="0" applyNumberFormat="1" applyFont="1" applyBorder="1"/>
    <xf numFmtId="165" fontId="13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6" fillId="0" borderId="2" xfId="0" applyFont="1" applyBorder="1" applyAlignment="1">
      <alignment horizontal="center"/>
    </xf>
    <xf numFmtId="167" fontId="13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4" fillId="0" borderId="2" xfId="0" applyFont="1" applyBorder="1"/>
    <xf numFmtId="164" fontId="13" fillId="0" borderId="3" xfId="0" applyNumberFormat="1" applyFont="1" applyBorder="1"/>
    <xf numFmtId="0" fontId="17" fillId="0" borderId="0" xfId="0" applyFont="1"/>
    <xf numFmtId="0" fontId="16" fillId="0" borderId="0" xfId="0" applyFont="1"/>
    <xf numFmtId="0" fontId="18" fillId="0" borderId="0" xfId="0" applyFont="1"/>
    <xf numFmtId="0" fontId="15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3" fillId="3" borderId="3" xfId="0" applyNumberFormat="1" applyFont="1" applyFill="1" applyBorder="1" applyAlignment="1">
      <alignment horizontal="right"/>
    </xf>
    <xf numFmtId="166" fontId="13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7" fillId="0" borderId="2" xfId="0" applyFont="1" applyBorder="1"/>
    <xf numFmtId="165" fontId="13" fillId="0" borderId="2" xfId="0" applyNumberFormat="1" applyFont="1" applyBorder="1" applyAlignment="1">
      <alignment horizontal="right"/>
    </xf>
    <xf numFmtId="165" fontId="13" fillId="3" borderId="2" xfId="0" applyNumberFormat="1" applyFont="1" applyFill="1" applyBorder="1" applyAlignment="1">
      <alignment horizontal="right"/>
    </xf>
    <xf numFmtId="166" fontId="13" fillId="7" borderId="3" xfId="0" applyNumberFormat="1" applyFont="1" applyFill="1" applyBorder="1" applyAlignment="1">
      <alignment horizontal="right"/>
    </xf>
    <xf numFmtId="164" fontId="13" fillId="3" borderId="3" xfId="0" applyNumberFormat="1" applyFont="1" applyFill="1" applyBorder="1" applyAlignment="1">
      <alignment horizontal="right"/>
    </xf>
    <xf numFmtId="167" fontId="13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3" fillId="8" borderId="3" xfId="0" applyNumberFormat="1" applyFont="1" applyFill="1" applyBorder="1" applyAlignment="1">
      <alignment horizontal="right"/>
    </xf>
    <xf numFmtId="164" fontId="13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7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spans="1:6" x14ac:dyDescent="0.25">
      <c r="A2" s="27" t="s">
        <v>157</v>
      </c>
      <c r="B2" s="27"/>
      <c r="C2" s="27"/>
      <c r="D2" s="27"/>
      <c r="E2" s="27"/>
      <c r="F2" s="27"/>
    </row>
    <row r="3" ht="28" customHeight="1" spans="1:6" x14ac:dyDescent="0.25">
      <c r="A3" s="25" t="s">
        <v>7</v>
      </c>
      <c r="B3" s="25" t="s">
        <v>53</v>
      </c>
      <c r="C3" s="25" t="s">
        <v>54</v>
      </c>
      <c r="D3" s="25" t="s">
        <v>55</v>
      </c>
      <c r="E3" s="25" t="s">
        <v>56</v>
      </c>
      <c r="F3" s="25" t="s">
        <v>57</v>
      </c>
    </row>
    <row r="4" spans="1:6" x14ac:dyDescent="0.25">
      <c r="A4" s="28" t="s">
        <v>58</v>
      </c>
      <c r="B4" s="29">
        <f>Assumptions!B17</f>
        <v>120</v>
      </c>
      <c r="C4" s="29">
        <f>Assumptions!C17</f>
        <v>200</v>
      </c>
      <c r="D4" s="29">
        <f>Assumptions!D17</f>
        <v>300</v>
      </c>
      <c r="E4" s="29">
        <f>Assumptions!E17</f>
        <v>400</v>
      </c>
      <c r="F4" s="29">
        <f>Assumptions!F17</f>
        <v>500</v>
      </c>
    </row>
    <row r="6" ht="24" customHeight="1" spans="1:6" x14ac:dyDescent="0.25">
      <c r="A6" s="12" t="s">
        <v>158</v>
      </c>
      <c r="B6" s="12"/>
      <c r="C6" s="12"/>
      <c r="D6" s="12"/>
      <c r="E6" s="12"/>
      <c r="F6" s="12"/>
    </row>
    <row r="7" spans="1:6" x14ac:dyDescent="0.25">
      <c r="A7" s="13" t="s">
        <v>67</v>
      </c>
      <c r="B7" s="21">
        <v>807500</v>
      </c>
      <c r="C7" s="21">
        <v>1617850</v>
      </c>
      <c r="D7" s="21">
        <v>2466200</v>
      </c>
      <c r="E7" s="21">
        <v>3327850</v>
      </c>
      <c r="F7" s="21">
        <v>4233200</v>
      </c>
    </row>
    <row r="8" spans="1:6" x14ac:dyDescent="0.25">
      <c r="A8" s="13" t="s">
        <v>70</v>
      </c>
      <c r="B8" s="21">
        <v>75000</v>
      </c>
      <c r="C8" s="21">
        <v>153000</v>
      </c>
      <c r="D8" s="21">
        <v>234000</v>
      </c>
      <c r="E8" s="21">
        <v>318400</v>
      </c>
      <c r="F8" s="21">
        <v>406000</v>
      </c>
    </row>
    <row r="9" spans="1:6" x14ac:dyDescent="0.25">
      <c r="A9" s="13" t="s">
        <v>71</v>
      </c>
      <c r="B9" s="21">
        <v>110000</v>
      </c>
      <c r="C9" s="21">
        <v>224400</v>
      </c>
      <c r="D9" s="21">
        <v>343200</v>
      </c>
      <c r="E9" s="21">
        <v>466800</v>
      </c>
      <c r="F9" s="21">
        <v>595500</v>
      </c>
    </row>
    <row r="10" spans="1:6" x14ac:dyDescent="0.25">
      <c r="A10" s="13" t="s">
        <v>72</v>
      </c>
      <c r="B10" s="21">
        <v>125000</v>
      </c>
      <c r="C10" s="21">
        <v>100000</v>
      </c>
      <c r="D10" s="21">
        <v>50000</v>
      </c>
      <c r="E10" s="21">
        <v>0</v>
      </c>
      <c r="F10" s="21">
        <v>0</v>
      </c>
    </row>
    <row r="11" spans="1:6" x14ac:dyDescent="0.25">
      <c r="A11" s="13" t="s">
        <v>75</v>
      </c>
      <c r="B11" s="21">
        <v>20833</v>
      </c>
      <c r="C11" s="21">
        <v>35000</v>
      </c>
      <c r="D11" s="21">
        <v>45000</v>
      </c>
      <c r="E11" s="21">
        <v>55000</v>
      </c>
      <c r="F11" s="21">
        <v>65000</v>
      </c>
    </row>
    <row r="12" spans="1:6" x14ac:dyDescent="0.25">
      <c r="A12" s="13" t="s">
        <v>76</v>
      </c>
      <c r="B12" s="21">
        <v>40000</v>
      </c>
      <c r="C12" s="21">
        <v>82400</v>
      </c>
      <c r="D12" s="21">
        <v>127200</v>
      </c>
      <c r="E12" s="21">
        <v>174800</v>
      </c>
      <c r="F12" s="21">
        <v>225000</v>
      </c>
    </row>
    <row r="13" ht="24" customHeight="1" spans="1:6" x14ac:dyDescent="0.25">
      <c r="A13" s="12" t="s">
        <v>159</v>
      </c>
      <c r="B13" s="30">
        <f>SUM(B7:B12)</f>
        <v>1178333</v>
      </c>
      <c r="C13" s="30">
        <f>SUM(C7:C12)</f>
        <v>2212650</v>
      </c>
      <c r="D13" s="30">
        <f>SUM(D7:D12)</f>
        <v>3265600</v>
      </c>
      <c r="E13" s="30">
        <f>SUM(E7:E12)</f>
        <v>4342850</v>
      </c>
      <c r="F13" s="30">
        <f>SUM(F7:F12)</f>
        <v>5524700</v>
      </c>
    </row>
    <row r="15" ht="24" customHeight="1" spans="1:6" x14ac:dyDescent="0.25">
      <c r="A15" s="12" t="s">
        <v>160</v>
      </c>
      <c r="B15" s="12"/>
      <c r="C15" s="12"/>
      <c r="D15" s="12"/>
      <c r="E15" s="12"/>
      <c r="F15" s="12"/>
    </row>
    <row r="16" spans="1:6" x14ac:dyDescent="0.25">
      <c r="A16" s="13" t="s">
        <v>161</v>
      </c>
      <c r="B16" s="21">
        <v>116944</v>
      </c>
      <c r="C16" s="21">
        <v>140333</v>
      </c>
      <c r="D16" s="21">
        <v>140333</v>
      </c>
      <c r="E16" s="21">
        <v>140333</v>
      </c>
      <c r="F16" s="21">
        <v>140333</v>
      </c>
    </row>
    <row r="17" spans="1:6" x14ac:dyDescent="0.25">
      <c r="A17" s="13" t="s">
        <v>162</v>
      </c>
      <c r="B17" s="21">
        <v>91328</v>
      </c>
      <c r="C17" s="21">
        <v>109593</v>
      </c>
      <c r="D17" s="21">
        <v>109593</v>
      </c>
      <c r="E17" s="21">
        <v>109593</v>
      </c>
      <c r="F17" s="21">
        <v>109593</v>
      </c>
    </row>
    <row r="18" spans="1:6" x14ac:dyDescent="0.25">
      <c r="A18" s="13" t="s">
        <v>163</v>
      </c>
      <c r="B18" s="21">
        <v>278438</v>
      </c>
      <c r="C18" s="21">
        <v>334125</v>
      </c>
      <c r="D18" s="21">
        <v>334125</v>
      </c>
      <c r="E18" s="21">
        <v>334125</v>
      </c>
      <c r="F18" s="21">
        <v>334125</v>
      </c>
    </row>
    <row r="19" spans="1:6" x14ac:dyDescent="0.25">
      <c r="A19" s="13" t="s">
        <v>164</v>
      </c>
      <c r="B19" s="21">
        <v>59029</v>
      </c>
      <c r="C19" s="21">
        <v>70835</v>
      </c>
      <c r="D19" s="21">
        <v>70835</v>
      </c>
      <c r="E19" s="21">
        <v>70835</v>
      </c>
      <c r="F19" s="21">
        <v>70835</v>
      </c>
    </row>
    <row r="20" spans="1:6" x14ac:dyDescent="0.25">
      <c r="A20" s="13" t="s">
        <v>165</v>
      </c>
      <c r="B20" s="21">
        <v>87955</v>
      </c>
      <c r="C20" s="21">
        <v>105546</v>
      </c>
      <c r="D20" s="21">
        <v>105546</v>
      </c>
      <c r="E20" s="21">
        <v>105546</v>
      </c>
      <c r="F20" s="21">
        <v>105546</v>
      </c>
    </row>
    <row r="21" spans="1:6" x14ac:dyDescent="0.25">
      <c r="A21" s="13" t="s">
        <v>166</v>
      </c>
      <c r="B21" s="21">
        <v>69053</v>
      </c>
      <c r="C21" s="21">
        <v>82863</v>
      </c>
      <c r="D21" s="21">
        <v>82863</v>
      </c>
      <c r="E21" s="21">
        <v>82863</v>
      </c>
      <c r="F21" s="21">
        <v>82863</v>
      </c>
    </row>
    <row r="22" spans="1:6" x14ac:dyDescent="0.25">
      <c r="A22" s="13" t="s">
        <v>167</v>
      </c>
      <c r="B22" s="21">
        <v>77790</v>
      </c>
      <c r="C22" s="21">
        <v>93348</v>
      </c>
      <c r="D22" s="21">
        <v>93348</v>
      </c>
      <c r="E22" s="21">
        <v>93348</v>
      </c>
      <c r="F22" s="21">
        <v>93348</v>
      </c>
    </row>
    <row r="23" ht="24" customHeight="1" spans="1:6" x14ac:dyDescent="0.25">
      <c r="A23" s="12" t="s">
        <v>168</v>
      </c>
      <c r="B23" s="30">
        <f>SUM(B16:B22)</f>
        <v>780535</v>
      </c>
      <c r="C23" s="30">
        <f>SUM(C16:C22)</f>
        <v>936642</v>
      </c>
      <c r="D23" s="30">
        <f>SUM(D16:D22)</f>
        <v>936642</v>
      </c>
      <c r="E23" s="30">
        <f>SUM(E16:E22)</f>
        <v>936642</v>
      </c>
      <c r="F23" s="30">
        <f>SUM(F16:F22)</f>
        <v>936642</v>
      </c>
    </row>
    <row r="25" ht="24" customHeight="1" spans="1:6" x14ac:dyDescent="0.25">
      <c r="A25" s="12" t="s">
        <v>108</v>
      </c>
      <c r="B25" s="12"/>
      <c r="C25" s="12"/>
      <c r="D25" s="12"/>
      <c r="E25" s="12"/>
      <c r="F25" s="12"/>
    </row>
    <row r="26" spans="1:6" x14ac:dyDescent="0.25">
      <c r="A26" s="13" t="s">
        <v>114</v>
      </c>
      <c r="B26" s="13"/>
      <c r="C26" s="13"/>
      <c r="D26" s="13"/>
      <c r="E26" s="13"/>
      <c r="F26" s="13"/>
    </row>
    <row r="27" spans="1:6" x14ac:dyDescent="0.25">
      <c r="A27" s="13" t="s">
        <v>169</v>
      </c>
      <c r="B27" s="21">
        <v>65000</v>
      </c>
      <c r="C27" s="21">
        <v>134000</v>
      </c>
      <c r="D27" s="21">
        <v>207000</v>
      </c>
      <c r="E27" s="21">
        <v>284000</v>
      </c>
      <c r="F27" s="21">
        <v>366000</v>
      </c>
    </row>
    <row r="28" spans="1:6" x14ac:dyDescent="0.25">
      <c r="A28" s="31" t="s">
        <v>170</v>
      </c>
      <c r="B28" s="32">
        <v>65000</v>
      </c>
      <c r="C28" s="32">
        <v>134000</v>
      </c>
      <c r="D28" s="32">
        <v>207000</v>
      </c>
      <c r="E28" s="32">
        <v>284000</v>
      </c>
      <c r="F28" s="32">
        <v>366000</v>
      </c>
    </row>
    <row r="29" spans="1:6" x14ac:dyDescent="0.25">
      <c r="A29" s="13" t="s">
        <v>116</v>
      </c>
      <c r="B29" s="13"/>
      <c r="C29" s="13"/>
      <c r="D29" s="13"/>
      <c r="E29" s="13"/>
      <c r="F29" s="13"/>
    </row>
    <row r="30" spans="1:6" x14ac:dyDescent="0.25">
      <c r="A30" s="13" t="s">
        <v>171</v>
      </c>
      <c r="B30" s="21">
        <v>45000</v>
      </c>
      <c r="C30" s="21">
        <v>92800</v>
      </c>
      <c r="D30" s="21">
        <v>143400</v>
      </c>
      <c r="E30" s="21">
        <v>196800</v>
      </c>
      <c r="F30" s="21">
        <v>253500</v>
      </c>
    </row>
    <row r="31" spans="1:6" x14ac:dyDescent="0.25">
      <c r="A31" s="31" t="s">
        <v>172</v>
      </c>
      <c r="B31" s="32">
        <v>45000</v>
      </c>
      <c r="C31" s="32">
        <v>92800</v>
      </c>
      <c r="D31" s="32">
        <v>143400</v>
      </c>
      <c r="E31" s="32">
        <v>196800</v>
      </c>
      <c r="F31" s="32">
        <v>253500</v>
      </c>
    </row>
    <row r="32" spans="1:6" x14ac:dyDescent="0.25">
      <c r="A32" s="13" t="s">
        <v>110</v>
      </c>
      <c r="B32" s="13"/>
      <c r="C32" s="13"/>
      <c r="D32" s="13"/>
      <c r="E32" s="13"/>
      <c r="F32" s="13"/>
    </row>
    <row r="33" spans="1:6" x14ac:dyDescent="0.25">
      <c r="A33" s="13" t="s">
        <v>173</v>
      </c>
      <c r="B33" s="21">
        <v>220000</v>
      </c>
      <c r="C33" s="21">
        <v>271920</v>
      </c>
      <c r="D33" s="21">
        <v>280078</v>
      </c>
      <c r="E33" s="21">
        <v>288480</v>
      </c>
      <c r="F33" s="21">
        <v>297134</v>
      </c>
    </row>
    <row r="34" spans="1:6" x14ac:dyDescent="0.25">
      <c r="A34" s="13" t="s">
        <v>174</v>
      </c>
      <c r="B34" s="21">
        <v>30000</v>
      </c>
      <c r="C34" s="21">
        <v>37080</v>
      </c>
      <c r="D34" s="21">
        <v>38196</v>
      </c>
      <c r="E34" s="21">
        <v>39336</v>
      </c>
      <c r="F34" s="21">
        <v>40524</v>
      </c>
    </row>
    <row r="35" spans="1:6" x14ac:dyDescent="0.25">
      <c r="A35" s="13" t="s">
        <v>175</v>
      </c>
      <c r="B35" s="21">
        <v>18333</v>
      </c>
      <c r="C35" s="21">
        <v>22660</v>
      </c>
      <c r="D35" s="21">
        <v>23340</v>
      </c>
      <c r="E35" s="21">
        <v>24040</v>
      </c>
      <c r="F35" s="21">
        <v>24761</v>
      </c>
    </row>
    <row r="36" spans="1:6" x14ac:dyDescent="0.25">
      <c r="A36" s="31" t="s">
        <v>176</v>
      </c>
      <c r="B36" s="32">
        <v>268333</v>
      </c>
      <c r="C36" s="32">
        <v>331660</v>
      </c>
      <c r="D36" s="32">
        <v>341614</v>
      </c>
      <c r="E36" s="32">
        <v>351856</v>
      </c>
      <c r="F36" s="32">
        <v>362419</v>
      </c>
    </row>
    <row r="37" spans="1:6" x14ac:dyDescent="0.25">
      <c r="A37" s="13" t="s">
        <v>118</v>
      </c>
      <c r="B37" s="13"/>
      <c r="C37" s="13"/>
      <c r="D37" s="13"/>
      <c r="E37" s="13"/>
      <c r="F37" s="13"/>
    </row>
    <row r="38" spans="1:6" x14ac:dyDescent="0.25">
      <c r="A38" s="13" t="s">
        <v>177</v>
      </c>
      <c r="B38" s="21">
        <v>25000</v>
      </c>
      <c r="C38" s="21">
        <v>30900</v>
      </c>
      <c r="D38" s="21">
        <v>31827</v>
      </c>
      <c r="E38" s="21">
        <v>32782</v>
      </c>
      <c r="F38" s="21">
        <v>33765</v>
      </c>
    </row>
    <row r="39" spans="1:6" x14ac:dyDescent="0.25">
      <c r="A39" s="13" t="s">
        <v>178</v>
      </c>
      <c r="B39" s="21">
        <v>10000</v>
      </c>
      <c r="C39" s="21">
        <v>12360</v>
      </c>
      <c r="D39" s="21">
        <v>12731</v>
      </c>
      <c r="E39" s="21">
        <v>13113</v>
      </c>
      <c r="F39" s="21">
        <v>13506</v>
      </c>
    </row>
    <row r="40" spans="1:6" x14ac:dyDescent="0.25">
      <c r="A40" s="13" t="s">
        <v>179</v>
      </c>
      <c r="B40" s="21">
        <v>15000</v>
      </c>
      <c r="C40" s="21">
        <v>18540</v>
      </c>
      <c r="D40" s="21">
        <v>19096</v>
      </c>
      <c r="E40" s="21">
        <v>19669</v>
      </c>
      <c r="F40" s="21">
        <v>20259</v>
      </c>
    </row>
    <row r="41" spans="1:6" x14ac:dyDescent="0.25">
      <c r="A41" s="13" t="s">
        <v>180</v>
      </c>
      <c r="B41" s="21">
        <v>75000</v>
      </c>
      <c r="C41" s="21">
        <v>154600</v>
      </c>
      <c r="D41" s="21">
        <v>238800</v>
      </c>
      <c r="E41" s="21">
        <v>328000</v>
      </c>
      <c r="F41" s="21">
        <v>422500</v>
      </c>
    </row>
    <row r="42" spans="1:6" x14ac:dyDescent="0.25">
      <c r="A42" s="31" t="s">
        <v>181</v>
      </c>
      <c r="B42" s="32">
        <v>125000</v>
      </c>
      <c r="C42" s="32">
        <v>216400</v>
      </c>
      <c r="D42" s="32">
        <v>302454</v>
      </c>
      <c r="E42" s="32">
        <v>393564</v>
      </c>
      <c r="F42" s="32">
        <v>490030</v>
      </c>
    </row>
    <row r="43" ht="24" customHeight="1" spans="1:6" x14ac:dyDescent="0.25">
      <c r="A43" s="12" t="s">
        <v>182</v>
      </c>
      <c r="B43" s="30">
        <f>B28+B31+B36+B42</f>
        <v>503333</v>
      </c>
      <c r="C43" s="30">
        <f>C28+C31+C36+C42</f>
        <v>774860</v>
      </c>
      <c r="D43" s="30">
        <f>D28+D31+D36+D42</f>
        <v>994468</v>
      </c>
      <c r="E43" s="30">
        <f>E28+E31+E36+E42</f>
        <v>1226220</v>
      </c>
      <c r="F43" s="30">
        <f>F28+F31+F36+F42</f>
        <v>1471949</v>
      </c>
    </row>
    <row r="45" ht="24" customHeight="1" spans="1:6" x14ac:dyDescent="0.25">
      <c r="A45" s="12" t="s">
        <v>183</v>
      </c>
      <c r="B45" s="12"/>
      <c r="C45" s="12"/>
      <c r="D45" s="12"/>
      <c r="E45" s="12"/>
      <c r="F45" s="12"/>
    </row>
    <row r="46" spans="1:6" x14ac:dyDescent="0.25">
      <c r="A46" s="13" t="s">
        <v>128</v>
      </c>
      <c r="B46" s="21">
        <v>46629</v>
      </c>
      <c r="C46" s="21">
        <v>46629</v>
      </c>
      <c r="D46" s="21">
        <v>46629</v>
      </c>
      <c r="E46" s="21">
        <v>46629</v>
      </c>
      <c r="F46" s="21">
        <v>46629</v>
      </c>
    </row>
    <row r="47" spans="1:6" x14ac:dyDescent="0.25">
      <c r="A47" s="13" t="s">
        <v>129</v>
      </c>
      <c r="B47" s="21">
        <v>60000</v>
      </c>
      <c r="C47" s="21">
        <v>20000</v>
      </c>
      <c r="D47" s="21">
        <v>25000</v>
      </c>
      <c r="E47" s="21">
        <v>10000</v>
      </c>
      <c r="F47" s="21">
        <v>10000</v>
      </c>
    </row>
    <row r="48" ht="24" customHeight="1" spans="1:6" x14ac:dyDescent="0.25">
      <c r="A48" s="12" t="s">
        <v>184</v>
      </c>
      <c r="B48" s="30">
        <f>SUM(B46:B47)</f>
        <v>106629</v>
      </c>
      <c r="C48" s="30">
        <f>SUM(C46:C47)</f>
        <v>66629</v>
      </c>
      <c r="D48" s="30">
        <f>SUM(D46:D47)</f>
        <v>71629</v>
      </c>
      <c r="E48" s="30">
        <f>SUM(E46:E47)</f>
        <v>56629</v>
      </c>
      <c r="F48" s="30">
        <f>SUM(F46:F47)</f>
        <v>56629</v>
      </c>
    </row>
    <row r="50" ht="24" customHeight="1" spans="1:6" x14ac:dyDescent="0.25">
      <c r="A50" s="12" t="s">
        <v>185</v>
      </c>
      <c r="B50" s="12"/>
      <c r="C50" s="12"/>
      <c r="D50" s="12"/>
      <c r="E50" s="12"/>
      <c r="F50" s="12"/>
    </row>
    <row r="51" spans="1:6" x14ac:dyDescent="0.25">
      <c r="A51" s="28" t="s">
        <v>186</v>
      </c>
      <c r="B51" s="32">
        <f>B13</f>
        <v>1178333</v>
      </c>
      <c r="C51" s="32">
        <f>C13</f>
        <v>2212650</v>
      </c>
      <c r="D51" s="32">
        <f>D13</f>
        <v>3265600</v>
      </c>
      <c r="E51" s="32">
        <f>E13</f>
        <v>4342850</v>
      </c>
      <c r="F51" s="32">
        <f>F13</f>
        <v>5524700</v>
      </c>
    </row>
    <row r="52" spans="1:6" x14ac:dyDescent="0.25">
      <c r="A52" s="13" t="s">
        <v>187</v>
      </c>
      <c r="B52" s="21">
        <f>B23</f>
        <v>780535</v>
      </c>
      <c r="C52" s="21">
        <f>C23</f>
        <v>936642</v>
      </c>
      <c r="D52" s="21">
        <f>D23</f>
        <v>936642</v>
      </c>
      <c r="E52" s="21">
        <f>E23</f>
        <v>936642</v>
      </c>
      <c r="F52" s="21">
        <f>F23</f>
        <v>936642</v>
      </c>
    </row>
    <row r="53" spans="1:6" x14ac:dyDescent="0.25">
      <c r="A53" s="13" t="s">
        <v>188</v>
      </c>
      <c r="B53" s="21">
        <f>B43</f>
        <v>503333</v>
      </c>
      <c r="C53" s="21">
        <f>C43</f>
        <v>774860</v>
      </c>
      <c r="D53" s="21">
        <f>D43</f>
        <v>994468</v>
      </c>
      <c r="E53" s="21">
        <f>E43</f>
        <v>1226220</v>
      </c>
      <c r="F53" s="21">
        <f>F43</f>
        <v>1471949</v>
      </c>
    </row>
    <row r="54" spans="1:6" x14ac:dyDescent="0.25">
      <c r="A54" s="13" t="s">
        <v>189</v>
      </c>
      <c r="B54" s="21">
        <f>B48</f>
        <v>106629</v>
      </c>
      <c r="C54" s="21">
        <f>C48</f>
        <v>66629</v>
      </c>
      <c r="D54" s="21">
        <f>D48</f>
        <v>71629</v>
      </c>
      <c r="E54" s="21">
        <f>E48</f>
        <v>56629</v>
      </c>
      <c r="F54" s="21">
        <f>F48</f>
        <v>56629</v>
      </c>
    </row>
    <row r="55" spans="1:6" x14ac:dyDescent="0.25">
      <c r="A55" s="28" t="s">
        <v>190</v>
      </c>
      <c r="B55" s="32">
        <f>B52+B53+B54</f>
        <v>1390497</v>
      </c>
      <c r="C55" s="32">
        <f>C52+C53+C54</f>
        <v>1778131</v>
      </c>
      <c r="D55" s="32">
        <f>D52+D53+D54</f>
        <v>2002739</v>
      </c>
      <c r="E55" s="32">
        <f>E52+E53+E54</f>
        <v>2219491</v>
      </c>
      <c r="F55" s="32">
        <f>F52+F53+F54</f>
        <v>2465220</v>
      </c>
    </row>
    <row r="56" spans="1:1" x14ac:dyDescent="0.25">
      <c r="A56" t="s">
        <v>7</v>
      </c>
    </row>
    <row r="57" spans="1:6" x14ac:dyDescent="0.25">
      <c r="A57" s="33" t="s">
        <v>191</v>
      </c>
      <c r="B57" s="34">
        <f>B51-B55</f>
        <v>-212164</v>
      </c>
      <c r="C57" s="35">
        <f>C51-C55</f>
        <v>434519</v>
      </c>
      <c r="D57" s="35">
        <f>D51-D55</f>
        <v>1262861</v>
      </c>
      <c r="E57" s="35">
        <f>E51-E55</f>
        <v>2123359</v>
      </c>
      <c r="F57" s="35">
        <f>F51-F55</f>
        <v>3059480</v>
      </c>
    </row>
    <row r="58" spans="1:6" x14ac:dyDescent="0.25">
      <c r="A58" s="13" t="s">
        <v>192</v>
      </c>
      <c r="B58" s="36">
        <f>IF(B51=0,"",B57/B51)</f>
        <v>-0.18005436</v>
      </c>
      <c r="C58" s="36">
        <f>IF(C51=0,"",C57/C51)</f>
        <v>0.19637945</v>
      </c>
      <c r="D58" s="36">
        <f>IF(D51=0,"",D57/D51)</f>
        <v>0.38671638</v>
      </c>
      <c r="E58" s="36">
        <f>IF(E51=0,"",E57/E51)</f>
        <v>0.48893215</v>
      </c>
      <c r="F58" s="36">
        <f>IF(F51=0,"",F57/F51)</f>
        <v>0.55378211</v>
      </c>
    </row>
    <row r="59" spans="1:6" x14ac:dyDescent="0.25">
      <c r="A59" s="13" t="s">
        <v>193</v>
      </c>
      <c r="B59" s="21">
        <f>B57</f>
        <v>-212164</v>
      </c>
      <c r="C59" s="21">
        <f>B59+C57</f>
        <v>222355</v>
      </c>
      <c r="D59" s="21">
        <f>C59+D57</f>
        <v>1485216</v>
      </c>
      <c r="E59" s="21">
        <f>D59+E57</f>
        <v>3608575</v>
      </c>
      <c r="F59" s="21">
        <f>E59+F57</f>
        <v>6668055</v>
      </c>
    </row>
    <row r="60" spans="1:6" x14ac:dyDescent="0.25">
      <c r="A60" s="31" t="s">
        <v>194</v>
      </c>
      <c r="B60" s="37" t="s">
        <v>7</v>
      </c>
      <c r="C60" s="38" t="s">
        <v>195</v>
      </c>
      <c r="D60" s="37" t="s">
        <v>7</v>
      </c>
      <c r="E60" s="37" t="s">
        <v>7</v>
      </c>
      <c r="F60" s="37" t="s">
        <v>7</v>
      </c>
    </row>
    <row r="62" ht="24" customHeight="1" spans="1:6" x14ac:dyDescent="0.25">
      <c r="A62" s="12" t="s">
        <v>196</v>
      </c>
      <c r="B62" s="12"/>
      <c r="C62" s="12"/>
      <c r="D62" s="12"/>
      <c r="E62" s="12"/>
      <c r="F62" s="12"/>
    </row>
    <row r="63" spans="1:6" x14ac:dyDescent="0.25">
      <c r="A63" s="28" t="s">
        <v>197</v>
      </c>
      <c r="B63" s="32">
        <f>B51-B52-B53</f>
        <v>-105535</v>
      </c>
      <c r="C63" s="32">
        <f>C51-C52-C53</f>
        <v>501148</v>
      </c>
      <c r="D63" s="32">
        <f>D51-D52-D53</f>
        <v>1334490</v>
      </c>
      <c r="E63" s="32">
        <f>E51-E52-E53</f>
        <v>2179988</v>
      </c>
      <c r="F63" s="32">
        <f>F51-F52-F53</f>
        <v>3116109</v>
      </c>
    </row>
    <row r="64" spans="1:6" x14ac:dyDescent="0.25">
      <c r="A64" s="13" t="s">
        <v>198</v>
      </c>
      <c r="B64" s="21">
        <f>B54</f>
        <v>106629</v>
      </c>
      <c r="C64" s="21">
        <f>C54</f>
        <v>66629</v>
      </c>
      <c r="D64" s="21">
        <f>D54</f>
        <v>71629</v>
      </c>
      <c r="E64" s="21">
        <f>E54</f>
        <v>56629</v>
      </c>
      <c r="F64" s="21">
        <f>F54</f>
        <v>56629</v>
      </c>
    </row>
    <row r="65" spans="1:6" x14ac:dyDescent="0.25">
      <c r="A65" s="28" t="s">
        <v>199</v>
      </c>
      <c r="B65" s="39">
        <f>IF(B64=0,"N/A",B63/B64)</f>
        <v>-0.99</v>
      </c>
      <c r="C65" s="39">
        <f>IF(C64=0,"N/A",C63/C64)</f>
        <v>7.52</v>
      </c>
      <c r="D65" s="39">
        <f>IF(D64=0,"N/A",D63/D64)</f>
        <v>18.63</v>
      </c>
      <c r="E65" s="39">
        <f>IF(E64=0,"N/A",E63/E64)</f>
        <v>38.5</v>
      </c>
      <c r="F65" s="39">
        <f>IF(F64=0,"N/A",F63/F64)</f>
        <v>55.03</v>
      </c>
    </row>
    <row r="66" spans="1:6" x14ac:dyDescent="0.25">
      <c r="A66" s="13" t="s">
        <v>138</v>
      </c>
      <c r="B66" s="21" t="str">
        <f>Assumptions!B63</f>
        <v>0</v>
      </c>
      <c r="C66" s="21">
        <f>B67</f>
        <v>-212164</v>
      </c>
      <c r="D66" s="21">
        <f>C67</f>
        <v>222355</v>
      </c>
      <c r="E66" s="21">
        <f>D67</f>
        <v>1485216</v>
      </c>
      <c r="F66" s="21">
        <f>E67</f>
        <v>3608575</v>
      </c>
    </row>
    <row r="67" spans="1:6" x14ac:dyDescent="0.25">
      <c r="A67" s="28" t="s">
        <v>200</v>
      </c>
      <c r="B67" s="32">
        <f>B66+B57</f>
        <v>-212164</v>
      </c>
      <c r="C67" s="32">
        <f>C66+C57</f>
        <v>222355</v>
      </c>
      <c r="D67" s="32">
        <f>D66+D57</f>
        <v>1485216</v>
      </c>
      <c r="E67" s="32">
        <f>E66+E57</f>
        <v>3608575</v>
      </c>
      <c r="F67" s="32">
        <f>F66+F57</f>
        <v>6668055</v>
      </c>
    </row>
    <row r="68" spans="1:6" x14ac:dyDescent="0.25">
      <c r="A68" s="13" t="s">
        <v>201</v>
      </c>
      <c r="B68" s="40">
        <f>IF(B55=0,"",B67/B55*365)</f>
        <v>-56</v>
      </c>
      <c r="C68" s="40">
        <f>IF(C55=0,"",C67/C55*365)</f>
        <v>46</v>
      </c>
      <c r="D68" s="40">
        <f>IF(D55=0,"",D67/D55*365)</f>
        <v>271</v>
      </c>
      <c r="E68" s="40">
        <f>IF(E55=0,"",E67/E55*365)</f>
        <v>593</v>
      </c>
      <c r="F68" s="40">
        <f>IF(F55=0,"",F67/F55*365)</f>
        <v>987</v>
      </c>
    </row>
    <row r="69" spans="1:6" x14ac:dyDescent="0.25">
      <c r="A69" s="13" t="s">
        <v>202</v>
      </c>
      <c r="B69" s="41">
        <f>IF(B55=0,"",B67/(B55/12))</f>
        <v>-1.8</v>
      </c>
      <c r="C69" s="41">
        <f>IF(C55=0,"",C67/(C55/12))</f>
        <v>1.5</v>
      </c>
      <c r="D69" s="41">
        <f>IF(D55=0,"",D67/(D55/12))</f>
        <v>8.9</v>
      </c>
      <c r="E69" s="41">
        <f>IF(E55=0,"",E67/(E55/12))</f>
        <v>19.5</v>
      </c>
      <c r="F69" s="41">
        <f>IF(F55=0,"",F67/(F55/12))</f>
        <v>32.5</v>
      </c>
    </row>
    <row r="70" spans="1:6" x14ac:dyDescent="0.25">
      <c r="A70" s="13" t="s">
        <v>203</v>
      </c>
      <c r="B70" s="36">
        <f>IF(Assumptions!B12=0,"",B4/Assumptions!B12)</f>
        <v>0.2</v>
      </c>
      <c r="C70" s="36">
        <f>IF(Assumptions!B12=0,"",C4/Assumptions!B12)</f>
        <v>0.33333333</v>
      </c>
      <c r="D70" s="36">
        <f>IF(Assumptions!B12=0,"",D4/Assumptions!B12)</f>
        <v>0.5</v>
      </c>
      <c r="E70" s="36">
        <f>IF(Assumptions!B12=0,"",E4/Assumptions!B12)</f>
        <v>0.66666667</v>
      </c>
      <c r="F70" s="36">
        <f>IF(Assumptions!B12=0,"",F4/Assumptions!B12)</f>
        <v>0.83333333</v>
      </c>
    </row>
    <row r="72" ht="24" customHeight="1" spans="1:6" x14ac:dyDescent="0.25">
      <c r="A72" s="12" t="s">
        <v>204</v>
      </c>
      <c r="B72" s="12"/>
      <c r="C72" s="12"/>
      <c r="D72" s="12"/>
      <c r="E72" s="12"/>
      <c r="F72" s="12"/>
    </row>
    <row r="73" spans="1:6" x14ac:dyDescent="0.25">
      <c r="A73" s="13" t="s">
        <v>205</v>
      </c>
      <c r="B73" s="13" t="str">
        <f>IF(B64=0,"N/A",IF(B65&gt;=1.25,"PASS","FAIL"))</f>
        <v>FAIL</v>
      </c>
      <c r="C73" s="13" t="str">
        <f>IF(C64=0,"N/A",IF(C65&gt;=1.25,"PASS","FAIL"))</f>
        <v>PASS</v>
      </c>
      <c r="D73" s="13" t="str">
        <f>IF(D64=0,"N/A",IF(D65&gt;=1.25,"PASS","FAIL"))</f>
        <v>PASS</v>
      </c>
      <c r="E73" s="13" t="str">
        <f>IF(E64=0,"N/A",IF(E65&gt;=1.25,"PASS","FAIL"))</f>
        <v>PASS</v>
      </c>
      <c r="F73" s="13" t="str">
        <f>IF(F64=0,"N/A",IF(F65&gt;=1.25,"PASS","FAIL"))</f>
        <v>PASS</v>
      </c>
    </row>
    <row r="74" spans="1:6" x14ac:dyDescent="0.25">
      <c r="A74" s="13" t="s">
        <v>206</v>
      </c>
      <c r="B74" s="13" t="str">
        <f>IF(B57&gt;0,"PASS","FAIL")</f>
        <v>FAIL</v>
      </c>
      <c r="C74" s="13" t="str">
        <f>IF(C57&gt;0,"PASS","FAIL")</f>
        <v>PASS</v>
      </c>
      <c r="D74" s="13" t="str">
        <f>IF(D57&gt;0,"PASS","FAIL")</f>
        <v>PASS</v>
      </c>
      <c r="E74" s="13" t="str">
        <f>IF(E57&gt;0,"PASS","FAIL")</f>
        <v>PASS</v>
      </c>
      <c r="F74" s="13" t="str">
        <f>IF(F57&gt;0,"PASS","FAIL")</f>
        <v>PASS</v>
      </c>
    </row>
    <row r="75" spans="1:6" x14ac:dyDescent="0.25">
      <c r="A75" s="13" t="s">
        <v>207</v>
      </c>
      <c r="B75" s="13" t="str">
        <f>IF(Assumptions!B12=0,"N/A",IF(B4/Assumptions!B12&gt;=0.7,"PASS","FAIL"))</f>
        <v>FAIL</v>
      </c>
      <c r="C75" s="13" t="str">
        <f>IF(Assumptions!B12=0,"N/A",IF(C4/Assumptions!B12&gt;=0.7,"PASS","FAIL"))</f>
        <v>FAIL</v>
      </c>
      <c r="D75" s="13" t="str">
        <f>IF(Assumptions!B12=0,"N/A",IF(D4/Assumptions!B12&gt;=0.7,"PASS","FAIL"))</f>
        <v>FAIL</v>
      </c>
      <c r="E75" s="13" t="str">
        <f>IF(Assumptions!B12=0,"N/A",IF(E4/Assumptions!B12&gt;=0.7,"PASS","FAIL"))</f>
        <v>FAIL</v>
      </c>
      <c r="F75" s="13" t="str">
        <f>IF(Assumptions!B12=0,"N/A",IF(F4/Assumptions!B12&gt;=0.7,"PASS","FAIL"))</f>
        <v>PASS</v>
      </c>
    </row>
    <row r="76" spans="1:6" x14ac:dyDescent="0.25">
      <c r="A76" s="13" t="s">
        <v>208</v>
      </c>
      <c r="B76" s="13" t="str">
        <f>IF(B55=0,"N/A",IF(B67/(B55/12)&gt;=2,"PASS","FAIL"))</f>
        <v>FAIL</v>
      </c>
      <c r="C76" s="13" t="str">
        <f>IF(C55=0,"N/A",IF(C67/(C55/12)&gt;=2,"PASS","FAIL"))</f>
        <v>FAIL</v>
      </c>
      <c r="D76" s="13" t="str">
        <f>IF(D55=0,"N/A",IF(D67/(D55/12)&gt;=2,"PASS","FAIL"))</f>
        <v>PASS</v>
      </c>
      <c r="E76" s="13" t="str">
        <f>IF(E55=0,"N/A",IF(E67/(E55/12)&gt;=2,"PASS","FAIL"))</f>
        <v>PASS</v>
      </c>
      <c r="F76" s="13" t="str">
        <f>IF(F55=0,"N/A",IF(F67/(F55/12)&gt;=2,"PASS","FAIL"))</f>
        <v>PASS</v>
      </c>
    </row>
    <row r="78" ht="24" customHeight="1" spans="1:6" x14ac:dyDescent="0.25">
      <c r="A78" s="12" t="s">
        <v>209</v>
      </c>
      <c r="B78" s="12"/>
      <c r="C78" s="12"/>
      <c r="D78" s="12"/>
      <c r="E78" s="12"/>
      <c r="F78" s="12"/>
    </row>
    <row r="79" spans="1:6" x14ac:dyDescent="0.25">
      <c r="A79" s="13" t="s">
        <v>210</v>
      </c>
      <c r="B79" s="21">
        <f>IF(B4=0,"",B13/B4)</f>
        <v>9819</v>
      </c>
      <c r="C79" s="21">
        <f>IF(C4=0,"",C13/C4)</f>
        <v>11063</v>
      </c>
      <c r="D79" s="21">
        <f>IF(D4=0,"",D13/D4)</f>
        <v>10885</v>
      </c>
      <c r="E79" s="21">
        <f>IF(E4=0,"",E13/E4)</f>
        <v>10857</v>
      </c>
      <c r="F79" s="21">
        <f>IF(F4=0,"",F13/F4)</f>
        <v>11049</v>
      </c>
    </row>
    <row r="80" spans="1:6" x14ac:dyDescent="0.25">
      <c r="A80" s="13" t="s">
        <v>211</v>
      </c>
      <c r="B80" s="21">
        <f>IF(B4=0,"",B55/B4)</f>
        <v>11587</v>
      </c>
      <c r="C80" s="21">
        <f>IF(C4=0,"",C55/C4)</f>
        <v>8891</v>
      </c>
      <c r="D80" s="21">
        <f>IF(D4=0,"",D55/D4)</f>
        <v>6676</v>
      </c>
      <c r="E80" s="21">
        <f>IF(E4=0,"",E55/E4)</f>
        <v>5549</v>
      </c>
      <c r="F80" s="21">
        <f>IF(F4=0,"",F55/F4)</f>
        <v>4930</v>
      </c>
    </row>
    <row r="81" spans="1:6" x14ac:dyDescent="0.25">
      <c r="A81" s="13" t="s">
        <v>212</v>
      </c>
      <c r="B81" s="21">
        <f>B52+B54</f>
        <v>887164</v>
      </c>
      <c r="C81" s="21">
        <f>C52+C54</f>
        <v>1003271</v>
      </c>
      <c r="D81" s="21">
        <f>D52+D54</f>
        <v>1008271</v>
      </c>
      <c r="E81" s="21">
        <f>E52+E54</f>
        <v>993271</v>
      </c>
      <c r="F81" s="21">
        <f>F52+F54</f>
        <v>993271</v>
      </c>
    </row>
    <row r="82" spans="1:6" x14ac:dyDescent="0.25">
      <c r="A82" s="13" t="s">
        <v>213</v>
      </c>
      <c r="B82" s="21">
        <f>IF(B4=0,"",B53/B4)</f>
        <v>4194</v>
      </c>
      <c r="C82" s="21">
        <f>IF(C4=0,"",C53/C4)</f>
        <v>3874</v>
      </c>
      <c r="D82" s="21">
        <f>IF(D4=0,"",D53/D4)</f>
        <v>3315</v>
      </c>
      <c r="E82" s="21">
        <f>IF(E4=0,"",E53/E4)</f>
        <v>3066</v>
      </c>
      <c r="F82" s="21">
        <f>IF(F4=0,"",F53/F4)</f>
        <v>2944</v>
      </c>
    </row>
    <row r="83" spans="1:6" x14ac:dyDescent="0.25">
      <c r="A83" s="13" t="s">
        <v>214</v>
      </c>
      <c r="B83" s="21">
        <f>IF(B4=0,"",B79-B82)</f>
        <v>5625</v>
      </c>
      <c r="C83" s="21">
        <f>IF(C4=0,"",C79-C82)</f>
        <v>7189</v>
      </c>
      <c r="D83" s="21">
        <f>IF(D4=0,"",D79-D82)</f>
        <v>7570</v>
      </c>
      <c r="E83" s="21">
        <f>IF(E4=0,"",E79-E82)</f>
        <v>7792</v>
      </c>
      <c r="F83" s="21">
        <f>IF(F4=0,"",F79-F82)</f>
        <v>8106</v>
      </c>
    </row>
    <row r="84" spans="1:6" x14ac:dyDescent="0.25">
      <c r="A84" s="42" t="s">
        <v>215</v>
      </c>
      <c r="B84" s="43">
        <f>IF(B83&lt;=0,"N/A",ROUNDUP(B81/B83,0))</f>
        <v>158</v>
      </c>
      <c r="C84" s="43">
        <f>IF(C83&lt;=0,"N/A",ROUNDUP(C81/C83,0))</f>
        <v>140</v>
      </c>
      <c r="D84" s="43">
        <f>IF(D83&lt;=0,"N/A",ROUNDUP(D81/D83,0))</f>
        <v>134</v>
      </c>
      <c r="E84" s="43">
        <f>IF(E83&lt;=0,"N/A",ROUNDUP(E81/E83,0))</f>
        <v>128</v>
      </c>
      <c r="F84" s="43">
        <f>IF(F83&lt;=0,"N/A",ROUNDUP(F81/F83,0))</f>
        <v>123</v>
      </c>
    </row>
    <row r="86" spans="1:6" x14ac:dyDescent="0.25">
      <c r="A86" s="26" t="s">
        <v>155</v>
      </c>
      <c r="B86" s="26"/>
      <c r="C86" s="26"/>
      <c r="D86" s="26"/>
      <c r="E86" s="26"/>
      <c r="F86" s="26"/>
    </row>
  </sheetData>
  <mergeCells count="3">
    <mergeCell ref="A1:F1"/>
    <mergeCell ref="A2:F2"/>
    <mergeCell ref="A86:F8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217</v>
      </c>
      <c r="D2" s="25" t="s">
        <v>218</v>
      </c>
      <c r="E2" s="25" t="s">
        <v>219</v>
      </c>
      <c r="F2" s="25" t="s">
        <v>220</v>
      </c>
      <c r="G2" s="25" t="s">
        <v>221</v>
      </c>
      <c r="H2" s="25" t="s">
        <v>222</v>
      </c>
      <c r="I2" s="25" t="s">
        <v>223</v>
      </c>
      <c r="J2" s="25" t="s">
        <v>224</v>
      </c>
      <c r="K2" s="25" t="s">
        <v>225</v>
      </c>
      <c r="L2" s="25" t="s">
        <v>226</v>
      </c>
      <c r="M2" s="25" t="s">
        <v>227</v>
      </c>
      <c r="N2" s="25" t="s">
        <v>228</v>
      </c>
    </row>
    <row r="3" ht="24" customHeight="1" spans="1:14" x14ac:dyDescent="0.25">
      <c r="A3" s="12" t="s">
        <v>158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159</v>
      </c>
      <c r="B10" s="30">
        <f>SUM(B4:B9)</f>
        <v>146500</v>
      </c>
      <c r="C10" s="30">
        <f>SUM(C4:C9)</f>
        <v>146500</v>
      </c>
      <c r="D10" s="30">
        <f>SUM(D4:D9)</f>
        <v>146500</v>
      </c>
      <c r="E10" s="30">
        <f>SUM(E4:E9)</f>
        <v>146500</v>
      </c>
      <c r="F10" s="30">
        <f>SUM(F4:F9)</f>
        <v>146500</v>
      </c>
      <c r="G10" s="30">
        <f>SUM(G4:G9)</f>
        <v>146500</v>
      </c>
      <c r="H10" s="30">
        <f>SUM(H4:H9)</f>
        <v>146500</v>
      </c>
      <c r="I10" s="30">
        <f>SUM(I4:I9)</f>
        <v>146500</v>
      </c>
      <c r="J10" s="30">
        <f>SUM(J4:J9)</f>
        <v>146500</v>
      </c>
      <c r="K10" s="30">
        <f>SUM(K4:K9)</f>
        <v>146500</v>
      </c>
      <c r="L10" s="30" t="str">
        <f>SUM(L4:L9)</f>
        <v>0</v>
      </c>
      <c r="M10" s="30" t="str">
        <f>SUM(M4:M9)</f>
        <v>0</v>
      </c>
      <c r="N10" s="30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160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168</v>
      </c>
      <c r="B20" s="30">
        <f>SUM(B13:B19)</f>
        <v>78054</v>
      </c>
      <c r="C20" s="30">
        <f>SUM(C13:C19)</f>
        <v>78054</v>
      </c>
      <c r="D20" s="30">
        <f>SUM(D13:D19)</f>
        <v>78054</v>
      </c>
      <c r="E20" s="30">
        <f>SUM(E13:E19)</f>
        <v>78054</v>
      </c>
      <c r="F20" s="30">
        <f>SUM(F13:F19)</f>
        <v>78054</v>
      </c>
      <c r="G20" s="30">
        <f>SUM(G13:G19)</f>
        <v>78054</v>
      </c>
      <c r="H20" s="30">
        <f>SUM(H13:H19)</f>
        <v>78054</v>
      </c>
      <c r="I20" s="30">
        <f>SUM(I13:I19)</f>
        <v>78054</v>
      </c>
      <c r="J20" s="30">
        <f>SUM(J13:J19)</f>
        <v>78054</v>
      </c>
      <c r="K20" s="30">
        <f>SUM(K13:K19)</f>
        <v>78054</v>
      </c>
      <c r="L20" s="30" t="str">
        <f>SUM(L13:L19)</f>
        <v>0</v>
      </c>
      <c r="M20" s="30" t="str">
        <f>SUM(M13:M19)</f>
        <v>0</v>
      </c>
      <c r="N20" s="30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229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1" t="s">
        <v>170</v>
      </c>
      <c r="B25" s="32">
        <v>6500</v>
      </c>
      <c r="C25" s="32">
        <v>6500</v>
      </c>
      <c r="D25" s="32">
        <v>6500</v>
      </c>
      <c r="E25" s="32">
        <v>6500</v>
      </c>
      <c r="F25" s="32">
        <v>6500</v>
      </c>
      <c r="G25" s="32">
        <v>6500</v>
      </c>
      <c r="H25" s="32">
        <v>6500</v>
      </c>
      <c r="I25" s="32">
        <v>6500</v>
      </c>
      <c r="J25" s="32">
        <v>6500</v>
      </c>
      <c r="K25" s="32">
        <v>6500</v>
      </c>
      <c r="L25" s="32">
        <v>0</v>
      </c>
      <c r="M25" s="32">
        <v>0</v>
      </c>
      <c r="N25" s="32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230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1" t="s">
        <v>172</v>
      </c>
      <c r="B28" s="32">
        <v>4500</v>
      </c>
      <c r="C28" s="32">
        <v>4500</v>
      </c>
      <c r="D28" s="32">
        <v>4500</v>
      </c>
      <c r="E28" s="32">
        <v>4500</v>
      </c>
      <c r="F28" s="32">
        <v>4500</v>
      </c>
      <c r="G28" s="32">
        <v>4500</v>
      </c>
      <c r="H28" s="32">
        <v>4500</v>
      </c>
      <c r="I28" s="32">
        <v>4500</v>
      </c>
      <c r="J28" s="32">
        <v>4500</v>
      </c>
      <c r="K28" s="32">
        <v>4500</v>
      </c>
      <c r="L28" s="32">
        <v>0</v>
      </c>
      <c r="M28" s="32">
        <v>0</v>
      </c>
      <c r="N28" s="32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231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232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233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1" t="s">
        <v>176</v>
      </c>
      <c r="B33" s="32">
        <v>26833</v>
      </c>
      <c r="C33" s="32">
        <v>26833</v>
      </c>
      <c r="D33" s="32">
        <v>26833</v>
      </c>
      <c r="E33" s="32">
        <v>26833</v>
      </c>
      <c r="F33" s="32">
        <v>26833</v>
      </c>
      <c r="G33" s="32">
        <v>26833</v>
      </c>
      <c r="H33" s="32">
        <v>26833</v>
      </c>
      <c r="I33" s="32">
        <v>26833</v>
      </c>
      <c r="J33" s="32">
        <v>26833</v>
      </c>
      <c r="K33" s="32">
        <v>26833</v>
      </c>
      <c r="L33" s="32">
        <v>0</v>
      </c>
      <c r="M33" s="32">
        <v>0</v>
      </c>
      <c r="N33" s="32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234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235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236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237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1" t="s">
        <v>181</v>
      </c>
      <c r="B39" s="32">
        <v>12500</v>
      </c>
      <c r="C39" s="32">
        <v>12500</v>
      </c>
      <c r="D39" s="32">
        <v>12500</v>
      </c>
      <c r="E39" s="32">
        <v>12500</v>
      </c>
      <c r="F39" s="32">
        <v>12500</v>
      </c>
      <c r="G39" s="32">
        <v>12500</v>
      </c>
      <c r="H39" s="32">
        <v>12500</v>
      </c>
      <c r="I39" s="32">
        <v>12500</v>
      </c>
      <c r="J39" s="32">
        <v>12500</v>
      </c>
      <c r="K39" s="32">
        <v>12500</v>
      </c>
      <c r="L39" s="32">
        <v>0</v>
      </c>
      <c r="M39" s="32">
        <v>0</v>
      </c>
      <c r="N39" s="32">
        <f>SUM(B39:M39)</f>
        <v>125000</v>
      </c>
    </row>
    <row r="40" ht="24" customHeight="1" spans="1:14" x14ac:dyDescent="0.25">
      <c r="A40" s="12" t="s">
        <v>182</v>
      </c>
      <c r="B40" s="30">
        <f>B25+B28+B33+B39</f>
        <v>50333</v>
      </c>
      <c r="C40" s="30">
        <f>C25+C28+C33+C39</f>
        <v>50333</v>
      </c>
      <c r="D40" s="30">
        <f>D25+D28+D33+D39</f>
        <v>50333</v>
      </c>
      <c r="E40" s="30">
        <f>E25+E28+E33+E39</f>
        <v>50333</v>
      </c>
      <c r="F40" s="30">
        <f>F25+F28+F33+F39</f>
        <v>50333</v>
      </c>
      <c r="G40" s="30">
        <f>G25+G28+G33+G39</f>
        <v>50333</v>
      </c>
      <c r="H40" s="30">
        <f>H25+H28+H33+H39</f>
        <v>50333</v>
      </c>
      <c r="I40" s="30">
        <f>I25+I28+I33+I39</f>
        <v>50333</v>
      </c>
      <c r="J40" s="30">
        <f>J25+J28+J33+J39</f>
        <v>50333</v>
      </c>
      <c r="K40" s="30">
        <f>K25+K28+K33+K39</f>
        <v>50333</v>
      </c>
      <c r="L40" s="30" t="str">
        <f>L25+L28+L33+L39</f>
        <v>0</v>
      </c>
      <c r="M40" s="30" t="str">
        <f>M25+M28+M33+M39</f>
        <v>0</v>
      </c>
      <c r="N40" s="30">
        <f>SUM(B40:M40)</f>
        <v>503333</v>
      </c>
    </row>
    <row r="41" spans="1:1" x14ac:dyDescent="0.25">
      <c r="A41" t="s">
        <v>7</v>
      </c>
    </row>
    <row r="42" spans="1:14" x14ac:dyDescent="0.25">
      <c r="A42" s="28" t="s">
        <v>238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239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8" t="s">
        <v>190</v>
      </c>
      <c r="B45" s="32">
        <f>B20+B40+B42</f>
        <v>137273</v>
      </c>
      <c r="C45" s="32">
        <f>C20+C40+C42</f>
        <v>137273</v>
      </c>
      <c r="D45" s="32">
        <f>D20+D40+D42</f>
        <v>137273</v>
      </c>
      <c r="E45" s="32">
        <f>E20+E40+E42</f>
        <v>137273</v>
      </c>
      <c r="F45" s="32">
        <f>F20+F40+F42</f>
        <v>137273</v>
      </c>
      <c r="G45" s="32">
        <f>G20+G40+G42</f>
        <v>137273</v>
      </c>
      <c r="H45" s="32">
        <f>H20+H40+H42</f>
        <v>137273</v>
      </c>
      <c r="I45" s="32">
        <f>I20+I40+I42</f>
        <v>137273</v>
      </c>
      <c r="J45" s="32">
        <f>J20+J40+J42</f>
        <v>137273</v>
      </c>
      <c r="K45" s="32">
        <f>K20+K40+K42</f>
        <v>137273</v>
      </c>
      <c r="L45" s="32">
        <f>L20+L40+L42</f>
        <v>8886</v>
      </c>
      <c r="M45" s="32">
        <f>M20+M40+M42</f>
        <v>8886</v>
      </c>
      <c r="N45" s="32">
        <f>SUM(B45:M45)</f>
        <v>1390502</v>
      </c>
    </row>
    <row r="46" spans="1:14" x14ac:dyDescent="0.25">
      <c r="A46" s="28" t="s">
        <v>240</v>
      </c>
      <c r="B46" s="32">
        <f>B10-B45</f>
        <v>9227</v>
      </c>
      <c r="C46" s="32">
        <f>C10-C45</f>
        <v>9227</v>
      </c>
      <c r="D46" s="32">
        <f>D10-D45</f>
        <v>9227</v>
      </c>
      <c r="E46" s="32">
        <f>E10-E45</f>
        <v>9227</v>
      </c>
      <c r="F46" s="32">
        <f>F10-F45</f>
        <v>9227</v>
      </c>
      <c r="G46" s="32">
        <f>G10-G45</f>
        <v>9227</v>
      </c>
      <c r="H46" s="32">
        <f>H10-H45</f>
        <v>9227</v>
      </c>
      <c r="I46" s="32">
        <f>I10-I45</f>
        <v>9227</v>
      </c>
      <c r="J46" s="32">
        <f>J10-J45</f>
        <v>9227</v>
      </c>
      <c r="K46" s="32">
        <f>K10-K45</f>
        <v>9227</v>
      </c>
      <c r="L46" s="32">
        <f>L10-L45</f>
        <v>-8886</v>
      </c>
      <c r="M46" s="32">
        <f>M10-M45</f>
        <v>-8886</v>
      </c>
      <c r="N46" s="32">
        <f>SUM(B46:M46)</f>
        <v>74498</v>
      </c>
    </row>
    <row r="47" spans="1:14" x14ac:dyDescent="0.25">
      <c r="A47" s="28" t="s">
        <v>241</v>
      </c>
      <c r="B47" s="32">
        <f>0+B46</f>
        <v>9227</v>
      </c>
      <c r="C47" s="32">
        <f>B47+C46</f>
        <v>18454</v>
      </c>
      <c r="D47" s="32">
        <f>C47+D46</f>
        <v>27681</v>
      </c>
      <c r="E47" s="32">
        <f>D47+E46</f>
        <v>36908</v>
      </c>
      <c r="F47" s="32">
        <f>E47+F46</f>
        <v>46135</v>
      </c>
      <c r="G47" s="32">
        <f>F47+G46</f>
        <v>55362</v>
      </c>
      <c r="H47" s="32">
        <f>G47+H46</f>
        <v>64589</v>
      </c>
      <c r="I47" s="32">
        <f>H47+I46</f>
        <v>73816</v>
      </c>
      <c r="J47" s="32">
        <f>I47+J46</f>
        <v>83043</v>
      </c>
      <c r="K47" s="32">
        <f>J47+K46</f>
        <v>92270</v>
      </c>
      <c r="L47" s="32">
        <f>K47+L46</f>
        <v>83384</v>
      </c>
      <c r="M47" s="32">
        <f>L47+M46</f>
        <v>74498</v>
      </c>
      <c r="N47" s="32">
        <f>M47</f>
        <v>74498</v>
      </c>
    </row>
    <row r="49" ht="24" customHeight="1" spans="1:3" x14ac:dyDescent="0.25">
      <c r="A49" s="12" t="s">
        <v>242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243</v>
      </c>
      <c r="B51" s="32">
        <f>M47</f>
        <v>74498</v>
      </c>
    </row>
    <row r="52" spans="1:2" x14ac:dyDescent="0.25">
      <c r="A52" s="13" t="s">
        <v>244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245</v>
      </c>
      <c r="C2" s="1"/>
      <c r="D2" s="1"/>
      <c r="E2" s="1"/>
      <c r="F2" s="1"/>
      <c r="G2" s="1"/>
      <c r="H2" s="1"/>
    </row>
    <row r="3" spans="2:8" x14ac:dyDescent="0.25">
      <c r="B3" s="44" t="s">
        <v>246</v>
      </c>
      <c r="C3" s="44"/>
      <c r="D3" s="44"/>
      <c r="E3" s="44"/>
      <c r="F3" s="44"/>
      <c r="G3" s="44"/>
      <c r="H3" s="44"/>
    </row>
    <row r="4" spans="2:6" x14ac:dyDescent="0.25">
      <c r="B4" s="45" t="s">
        <v>247</v>
      </c>
      <c r="D4" s="46" t="s">
        <v>248</v>
      </c>
      <c r="F4" s="47" t="s">
        <v>249</v>
      </c>
    </row>
    <row r="6" ht="24" customHeight="1" spans="2:8" x14ac:dyDescent="0.25">
      <c r="B6" s="12" t="s">
        <v>250</v>
      </c>
      <c r="C6" s="16" t="s">
        <v>251</v>
      </c>
      <c r="D6" s="16" t="s">
        <v>252</v>
      </c>
      <c r="E6" s="16" t="s">
        <v>253</v>
      </c>
      <c r="F6" s="16" t="s">
        <v>254</v>
      </c>
      <c r="G6" s="16" t="s">
        <v>255</v>
      </c>
      <c r="H6" s="16" t="s">
        <v>256</v>
      </c>
    </row>
    <row r="7" spans="2:7" x14ac:dyDescent="0.25">
      <c r="B7" s="13" t="s">
        <v>257</v>
      </c>
      <c r="C7" s="48">
        <v>120</v>
      </c>
      <c r="D7" s="48">
        <v>200</v>
      </c>
      <c r="E7" s="48">
        <v>300</v>
      </c>
      <c r="F7" s="48">
        <v>400</v>
      </c>
      <c r="G7" s="48">
        <v>500</v>
      </c>
    </row>
    <row r="8" spans="2:7" x14ac:dyDescent="0.25">
      <c r="B8" s="13" t="s">
        <v>258</v>
      </c>
      <c r="C8" s="49">
        <v>1414000</v>
      </c>
      <c r="D8" s="49">
        <v>2212650</v>
      </c>
      <c r="E8" s="49">
        <v>3265600</v>
      </c>
      <c r="F8" s="49">
        <v>4342850</v>
      </c>
      <c r="G8" s="49">
        <v>5524700</v>
      </c>
    </row>
    <row r="9" spans="2:7" x14ac:dyDescent="0.25">
      <c r="B9" s="13" t="s">
        <v>259</v>
      </c>
      <c r="C9" s="49">
        <v>780535</v>
      </c>
      <c r="D9" s="49">
        <v>936642</v>
      </c>
      <c r="E9" s="49">
        <v>936642</v>
      </c>
      <c r="F9" s="49">
        <v>936642</v>
      </c>
      <c r="G9" s="49">
        <v>936642</v>
      </c>
    </row>
    <row r="10" spans="2:7" x14ac:dyDescent="0.25">
      <c r="B10" s="13" t="s">
        <v>260</v>
      </c>
      <c r="C10" s="49">
        <v>502000</v>
      </c>
      <c r="D10" s="49">
        <v>715120</v>
      </c>
      <c r="E10" s="49">
        <v>932931.6</v>
      </c>
      <c r="F10" s="49">
        <v>1162843.928</v>
      </c>
      <c r="G10" s="49">
        <v>1406664.32584</v>
      </c>
    </row>
    <row r="11" spans="2:7" x14ac:dyDescent="0.25">
      <c r="B11" s="13" t="s">
        <v>198</v>
      </c>
      <c r="C11" s="49">
        <v>46628.6108154935</v>
      </c>
      <c r="D11" s="49">
        <v>46628.6108154935</v>
      </c>
      <c r="E11" s="49">
        <v>46628.6108154935</v>
      </c>
      <c r="F11" s="49">
        <v>46628.6108154935</v>
      </c>
      <c r="G11" s="49">
        <v>46628.6108154935</v>
      </c>
    </row>
    <row r="12" spans="2:7" x14ac:dyDescent="0.25">
      <c r="B12" s="28" t="s">
        <v>191</v>
      </c>
      <c r="C12" s="50">
        <v>84836.3891845065</v>
      </c>
      <c r="D12" s="50">
        <v>514259.3891845065</v>
      </c>
      <c r="E12" s="50">
        <v>1349397.7891845065</v>
      </c>
      <c r="F12" s="50">
        <v>2196735.4611845063</v>
      </c>
      <c r="G12" s="50">
        <v>3134765.0633445065</v>
      </c>
    </row>
    <row r="13" spans="2:7" x14ac:dyDescent="0.25">
      <c r="B13" s="28" t="s">
        <v>200</v>
      </c>
      <c r="C13" s="50">
        <v>84836.3891845065</v>
      </c>
      <c r="D13" s="50">
        <v>599095.778369013</v>
      </c>
      <c r="E13" s="50">
        <v>1948493.5675535195</v>
      </c>
      <c r="F13" s="50">
        <v>4145229.0287380256</v>
      </c>
      <c r="G13" s="50">
        <v>7279994.092082532</v>
      </c>
    </row>
    <row r="14" spans="2:7" x14ac:dyDescent="0.25">
      <c r="B14" s="28" t="s">
        <v>261</v>
      </c>
      <c r="C14" s="51">
        <v>0.05999744638225353</v>
      </c>
      <c r="D14" s="51">
        <v>0.2324178650868897</v>
      </c>
      <c r="E14" s="51">
        <v>0.4132158835082394</v>
      </c>
      <c r="F14" s="51">
        <v>0.5058280763057684</v>
      </c>
      <c r="G14" s="51">
        <v>0.5674091015520312</v>
      </c>
    </row>
    <row r="15" spans="2:8" x14ac:dyDescent="0.25">
      <c r="B15" s="28" t="s">
        <v>262</v>
      </c>
      <c r="C15" s="52">
        <v>11783.333333333334</v>
      </c>
      <c r="D15" s="52">
        <v>11063.25</v>
      </c>
      <c r="E15" s="52">
        <v>10885.333333333334</v>
      </c>
      <c r="F15" s="52">
        <v>10857.125</v>
      </c>
      <c r="G15" s="52">
        <v>11049.4</v>
      </c>
      <c r="H15" s="53" t="s">
        <v>263</v>
      </c>
    </row>
    <row r="16" spans="2:7" x14ac:dyDescent="0.25">
      <c r="B16" s="28" t="s">
        <v>264</v>
      </c>
      <c r="C16" s="54">
        <v>11076.363423462444</v>
      </c>
      <c r="D16" s="54">
        <v>8491.953054077467</v>
      </c>
      <c r="E16" s="54">
        <v>6387.340702718312</v>
      </c>
      <c r="F16" s="54">
        <v>5365.286347038735</v>
      </c>
      <c r="G16" s="54">
        <v>4779.869873310987</v>
      </c>
    </row>
    <row r="17" spans="2:7" x14ac:dyDescent="0.25">
      <c r="B17" s="13" t="s">
        <v>265</v>
      </c>
      <c r="C17" s="49">
        <v>650</v>
      </c>
      <c r="D17" s="49">
        <v>670</v>
      </c>
      <c r="E17" s="49">
        <v>690</v>
      </c>
      <c r="F17" s="49">
        <v>710</v>
      </c>
      <c r="G17" s="49">
        <v>732</v>
      </c>
    </row>
    <row r="18" spans="2:8" x14ac:dyDescent="0.25">
      <c r="B18" s="13" t="s">
        <v>266</v>
      </c>
      <c r="C18" s="52">
        <v>1833.3333333333333</v>
      </c>
      <c r="D18" s="52">
        <v>1359.6</v>
      </c>
      <c r="E18" s="52">
        <v>933.5919999999999</v>
      </c>
      <c r="F18" s="52">
        <v>721.19982</v>
      </c>
      <c r="G18" s="52">
        <v>594.2686516800002</v>
      </c>
      <c r="H18" s="53" t="s">
        <v>267</v>
      </c>
    </row>
    <row r="19" spans="2:7" x14ac:dyDescent="0.25">
      <c r="B19" s="28" t="s">
        <v>268</v>
      </c>
      <c r="C19" s="55">
        <v>706.9699098708875</v>
      </c>
      <c r="D19" s="55">
        <v>2571.2969459225324</v>
      </c>
      <c r="E19" s="55">
        <v>4497.992630615022</v>
      </c>
      <c r="F19" s="55">
        <v>5491.838652961265</v>
      </c>
      <c r="G19" s="55">
        <v>6269.530126689013</v>
      </c>
    </row>
    <row r="20" spans="2:8" x14ac:dyDescent="0.25">
      <c r="B20" s="28" t="s">
        <v>269</v>
      </c>
      <c r="C20" s="56">
        <v>0.5520049504950495</v>
      </c>
      <c r="D20" s="51">
        <v>0.4233123178089621</v>
      </c>
      <c r="E20" s="51">
        <v>0.2868207986281235</v>
      </c>
      <c r="F20" s="51">
        <v>0.21567449946463726</v>
      </c>
      <c r="G20" s="51">
        <v>0.16953716943906458</v>
      </c>
      <c r="H20" s="53" t="s">
        <v>270</v>
      </c>
    </row>
    <row r="21" spans="2:8" x14ac:dyDescent="0.25">
      <c r="B21" s="28" t="s">
        <v>271</v>
      </c>
      <c r="C21" s="56">
        <v>0.15558698727015557</v>
      </c>
      <c r="D21" s="51">
        <v>0.12289336316181954</v>
      </c>
      <c r="E21" s="51">
        <v>0.08576604605585497</v>
      </c>
      <c r="F21" s="51">
        <v>0.06642640846448761</v>
      </c>
      <c r="G21" s="51">
        <v>0.053782888815682314</v>
      </c>
      <c r="H21" s="53" t="s">
        <v>272</v>
      </c>
    </row>
    <row r="22" spans="2:8" x14ac:dyDescent="0.25">
      <c r="B22" s="28" t="s">
        <v>273</v>
      </c>
      <c r="C22" s="56">
        <v>0.09297383309759548</v>
      </c>
      <c r="D22" s="51">
        <v>0.2534915146995684</v>
      </c>
      <c r="E22" s="51">
        <v>0.4274946104850563</v>
      </c>
      <c r="F22" s="51">
        <v>0.5165649451397123</v>
      </c>
      <c r="G22" s="51">
        <v>0.5758491274023929</v>
      </c>
      <c r="H22" s="53" t="s">
        <v>274</v>
      </c>
    </row>
    <row r="23" spans="2:8" x14ac:dyDescent="0.25">
      <c r="B23" s="28" t="s">
        <v>275</v>
      </c>
      <c r="C23" s="57">
        <v>3</v>
      </c>
      <c r="D23" s="57">
        <v>3</v>
      </c>
      <c r="E23" s="57">
        <v>3</v>
      </c>
      <c r="F23" s="57">
        <v>3</v>
      </c>
      <c r="G23" s="57">
        <v>3</v>
      </c>
      <c r="H23" s="53" t="s">
        <v>276</v>
      </c>
    </row>
    <row r="24" spans="2:8" x14ac:dyDescent="0.25">
      <c r="B24" s="28" t="s">
        <v>277</v>
      </c>
      <c r="C24" s="58">
        <v>2.819406319441915</v>
      </c>
      <c r="D24" s="58">
        <v>12.028837878516235</v>
      </c>
      <c r="E24" s="58">
        <v>29.939266377117455</v>
      </c>
      <c r="F24" s="58">
        <v>48.11132119884187</v>
      </c>
      <c r="G24" s="58">
        <v>68.2283606249514</v>
      </c>
      <c r="H24" s="53" t="s">
        <v>278</v>
      </c>
    </row>
    <row r="25" spans="2:8" x14ac:dyDescent="0.25">
      <c r="B25" s="28" t="s">
        <v>279</v>
      </c>
      <c r="C25" s="38" t="str">
        <f>IF('5-Year Model'!B59&gt;=0,"✓ Break-even","")</f>
        <v>✓ Break-even</v>
      </c>
      <c r="D25" s="59" t="str">
        <f>IF(AND('5-Year Model'!C59&gt;=0,'5-Year Model'!B59&lt;0),"✓ Break-even","")</f>
        <v>0</v>
      </c>
      <c r="E25" s="59" t="str">
        <f>IF(AND('5-Year Model'!D59&gt;=0,'5-Year Model'!C59&lt;0),"✓ Break-even","")</f>
        <v>0</v>
      </c>
      <c r="F25" s="59" t="str">
        <f>IF(AND('5-Year Model'!E59&gt;=0,'5-Year Model'!D59&lt;0),"✓ Break-even","")</f>
        <v>0</v>
      </c>
      <c r="G25" s="59" t="str">
        <f>IF(AND('5-Year Model'!F59&gt;=0,'5-Year Model'!E59&lt;0),"✓ Break-even","")</f>
        <v>0</v>
      </c>
      <c r="H25" s="53" t="s">
        <v>251</v>
      </c>
    </row>
    <row r="26" spans="2:8" x14ac:dyDescent="0.25">
      <c r="B26" s="28" t="s">
        <v>280</v>
      </c>
      <c r="C26" s="60">
        <v>1</v>
      </c>
      <c r="D26" s="60">
        <v>4</v>
      </c>
      <c r="E26" s="61">
        <v>12</v>
      </c>
      <c r="F26" s="61">
        <v>23</v>
      </c>
      <c r="G26" s="57">
        <v>37</v>
      </c>
      <c r="H26" s="53" t="s">
        <v>281</v>
      </c>
    </row>
    <row r="27" spans="2:8" x14ac:dyDescent="0.25">
      <c r="B27" s="28" t="s">
        <v>201</v>
      </c>
      <c r="C27" s="60">
        <v>23</v>
      </c>
      <c r="D27" s="57">
        <v>129</v>
      </c>
      <c r="E27" s="57">
        <v>371</v>
      </c>
      <c r="F27" s="57">
        <v>705</v>
      </c>
      <c r="G27" s="57">
        <v>1112</v>
      </c>
      <c r="H27" s="53" t="s">
        <v>282</v>
      </c>
    </row>
    <row r="29" ht="24" customHeight="1" spans="2:8" x14ac:dyDescent="0.25">
      <c r="B29" s="12" t="s">
        <v>283</v>
      </c>
      <c r="C29" s="12" t="s">
        <v>284</v>
      </c>
      <c r="D29" s="12" t="s">
        <v>285</v>
      </c>
      <c r="E29" s="12"/>
      <c r="F29" s="12" t="s">
        <v>286</v>
      </c>
      <c r="G29" s="12"/>
      <c r="H29" s="12"/>
    </row>
    <row r="30" ht="45" customHeight="1" spans="2:8" x14ac:dyDescent="0.25">
      <c r="B30" s="62" t="s">
        <v>287</v>
      </c>
      <c r="C30" s="38" t="s">
        <v>288</v>
      </c>
      <c r="D30" s="63" t="s">
        <v>289</v>
      </c>
      <c r="E30" s="63"/>
      <c r="F30" s="64" t="s">
        <v>290</v>
      </c>
      <c r="G30" s="64"/>
      <c r="H30" s="64"/>
    </row>
    <row r="31" ht="45" customHeight="1" spans="2:8" x14ac:dyDescent="0.25">
      <c r="B31" s="62" t="s">
        <v>291</v>
      </c>
      <c r="C31" s="38" t="s">
        <v>288</v>
      </c>
      <c r="D31" s="63" t="s">
        <v>292</v>
      </c>
      <c r="E31" s="63"/>
      <c r="F31" s="64" t="s">
        <v>293</v>
      </c>
      <c r="G31" s="64"/>
      <c r="H31" s="64"/>
    </row>
    <row r="32" ht="45" customHeight="1" spans="2:8" x14ac:dyDescent="0.25">
      <c r="B32" s="62" t="s">
        <v>294</v>
      </c>
      <c r="C32" s="38" t="s">
        <v>288</v>
      </c>
      <c r="D32" s="63" t="s">
        <v>295</v>
      </c>
      <c r="E32" s="63"/>
      <c r="F32" s="64" t="s">
        <v>296</v>
      </c>
      <c r="G32" s="64"/>
      <c r="H32" s="64"/>
    </row>
    <row r="33" ht="45" customHeight="1" spans="2:8" x14ac:dyDescent="0.25">
      <c r="B33" s="62" t="s">
        <v>297</v>
      </c>
      <c r="C33" s="38" t="s">
        <v>288</v>
      </c>
      <c r="D33" s="63" t="s">
        <v>298</v>
      </c>
      <c r="E33" s="63"/>
      <c r="F33" s="64" t="s">
        <v>299</v>
      </c>
      <c r="G33" s="64"/>
      <c r="H33" s="64"/>
    </row>
    <row r="34" ht="45" customHeight="1" spans="2:8" x14ac:dyDescent="0.25">
      <c r="B34" s="62" t="s">
        <v>300</v>
      </c>
      <c r="C34" s="38" t="s">
        <v>288</v>
      </c>
      <c r="D34" s="63" t="s">
        <v>301</v>
      </c>
      <c r="E34" s="63"/>
      <c r="F34" s="64" t="s">
        <v>302</v>
      </c>
      <c r="G34" s="64"/>
      <c r="H34" s="64"/>
    </row>
    <row r="35" ht="45" customHeight="1" spans="2:8" x14ac:dyDescent="0.25">
      <c r="B35" s="62" t="s">
        <v>303</v>
      </c>
      <c r="C35" s="38" t="s">
        <v>288</v>
      </c>
      <c r="D35" s="63" t="s">
        <v>304</v>
      </c>
      <c r="E35" s="63"/>
      <c r="F35" s="64" t="s">
        <v>305</v>
      </c>
      <c r="G35" s="64"/>
      <c r="H35" s="64"/>
    </row>
    <row r="36" ht="45" customHeight="1" spans="2:8" x14ac:dyDescent="0.25">
      <c r="B36" s="62" t="s">
        <v>306</v>
      </c>
      <c r="C36" s="38" t="s">
        <v>288</v>
      </c>
      <c r="D36" s="63" t="s">
        <v>307</v>
      </c>
      <c r="E36" s="63"/>
      <c r="F36" s="64" t="s">
        <v>308</v>
      </c>
      <c r="G36" s="64"/>
      <c r="H36" s="64"/>
    </row>
    <row r="38" spans="2:6" x14ac:dyDescent="0.25">
      <c r="B38" s="62" t="s">
        <v>309</v>
      </c>
      <c r="C38" s="28" t="s">
        <v>310</v>
      </c>
      <c r="D38" s="28"/>
      <c r="E38" s="28"/>
      <c r="F38" s="28"/>
    </row>
    <row r="40" spans="2:8" x14ac:dyDescent="0.25">
      <c r="B40" s="65" t="s">
        <v>155</v>
      </c>
      <c r="C40" s="65"/>
      <c r="D40" s="65"/>
      <c r="E40" s="65"/>
      <c r="F40" s="65"/>
      <c r="G40" s="65"/>
      <c r="H40" s="65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2026-04-29T01:01:50Z</dcterms:created>
  <dcterms:modified xsi:type="dcterms:W3CDTF">2026-04-29T01:01:50Z</dcterms:modified>
</cp:coreProperties>
</file>