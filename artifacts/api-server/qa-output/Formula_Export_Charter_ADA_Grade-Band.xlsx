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<sst xmlns="http://schemas.openxmlformats.org/spreadsheetml/2006/main" count="470" uniqueCount="311">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</sst>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8" borderId="2" xfId="0" applyNumberFormat="1" applyFont="1" applyFill="1" applyBorder="1" applyAlignment="1">
      <alignment horizontal="right"/>
    </xf>
    <xf numFmtId="165" fontId="12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59" spans="1:6" x14ac:dyDescent="0.25">
      <c r="A59" s="30" t="s">
        <v>193</v>
      </c>
      <c r="B59" s="36" t="s">
        <v>7</v>
      </c>
      <c r="C59" s="37" t="s">
        <v>194</v>
      </c>
      <c r="D59" s="36" t="s">
        <v>7</v>
      </c>
      <c r="E59" s="36" t="s">
        <v>7</v>
      </c>
      <c r="F59" s="36" t="s">
        <v>7</v>
      </c>
    </row>
    <row r="61" ht="24" customHeight="1" spans="1:6" x14ac:dyDescent="0.25">
      <c r="A61" s="12" t="s">
        <v>195</v>
      </c>
      <c r="B61" s="12"/>
      <c r="C61" s="12"/>
      <c r="D61" s="12"/>
      <c r="E61" s="12"/>
      <c r="F61" s="12"/>
    </row>
    <row r="62" spans="1:6" x14ac:dyDescent="0.25">
      <c r="A62" s="27" t="s">
        <v>196</v>
      </c>
      <c r="B62" s="31">
        <f>B50-B51-B52</f>
        <v>-105535</v>
      </c>
      <c r="C62" s="31">
        <f>C50-C51-C52</f>
        <v>501148</v>
      </c>
      <c r="D62" s="31">
        <f>D50-D51-D52</f>
        <v>1334490</v>
      </c>
      <c r="E62" s="31">
        <f>E50-E51-E52</f>
        <v>2179988</v>
      </c>
      <c r="F62" s="31">
        <f>F50-F51-F52</f>
        <v>3116109</v>
      </c>
    </row>
    <row r="63" spans="1:6" x14ac:dyDescent="0.25">
      <c r="A63" s="13" t="s">
        <v>197</v>
      </c>
      <c r="B63" s="21">
        <f>B53</f>
        <v>106629</v>
      </c>
      <c r="C63" s="21">
        <f>C53</f>
        <v>66629</v>
      </c>
      <c r="D63" s="21">
        <f>D53</f>
        <v>71629</v>
      </c>
      <c r="E63" s="21">
        <f>E53</f>
        <v>56629</v>
      </c>
      <c r="F63" s="21">
        <f>F53</f>
        <v>56629</v>
      </c>
    </row>
    <row r="64" spans="1:6" x14ac:dyDescent="0.25">
      <c r="A64" s="27" t="s">
        <v>198</v>
      </c>
      <c r="B64" s="38">
        <f>IF(B63=0,"N/A",B62/B63)</f>
        <v>-0.99</v>
      </c>
      <c r="C64" s="38">
        <f>IF(C63=0,"N/A",C62/C63)</f>
        <v>7.52</v>
      </c>
      <c r="D64" s="38">
        <f>IF(D63=0,"N/A",D62/D63)</f>
        <v>18.63</v>
      </c>
      <c r="E64" s="38">
        <f>IF(E63=0,"N/A",E62/E63)</f>
        <v>38.5</v>
      </c>
      <c r="F64" s="38">
        <f>IF(F63=0,"N/A",F62/F63)</f>
        <v>55.03</v>
      </c>
    </row>
    <row r="65" spans="1:6" x14ac:dyDescent="0.25">
      <c r="A65" s="13" t="s">
        <v>138</v>
      </c>
      <c r="B65" s="21" t="str">
        <f>Assumptions!B63</f>
        <v>0</v>
      </c>
      <c r="C65" s="21">
        <f>B66</f>
        <v>-212164</v>
      </c>
      <c r="D65" s="21">
        <f>C66</f>
        <v>222355</v>
      </c>
      <c r="E65" s="21">
        <f>D66</f>
        <v>1485216</v>
      </c>
      <c r="F65" s="21">
        <f>E66</f>
        <v>3608575</v>
      </c>
    </row>
    <row r="66" spans="1:6" x14ac:dyDescent="0.25">
      <c r="A66" s="27" t="s">
        <v>199</v>
      </c>
      <c r="B66" s="31">
        <f>B65+B56</f>
        <v>-212164</v>
      </c>
      <c r="C66" s="31">
        <f>C65+C56</f>
        <v>222355</v>
      </c>
      <c r="D66" s="31">
        <f>D65+D56</f>
        <v>1485216</v>
      </c>
      <c r="E66" s="31">
        <f>E65+E56</f>
        <v>3608575</v>
      </c>
      <c r="F66" s="31">
        <f>F65+F56</f>
        <v>6668055</v>
      </c>
    </row>
    <row r="67" spans="1:6" x14ac:dyDescent="0.25">
      <c r="A67" s="13" t="s">
        <v>200</v>
      </c>
      <c r="B67" s="39">
        <f>IF(B54=0,"",B66/B54*365)</f>
        <v>-56</v>
      </c>
      <c r="C67" s="39">
        <f>IF(C54=0,"",C66/C54*365)</f>
        <v>46</v>
      </c>
      <c r="D67" s="39">
        <f>IF(D54=0,"",D66/D54*365)</f>
        <v>271</v>
      </c>
      <c r="E67" s="39">
        <f>IF(E54=0,"",E66/E54*365)</f>
        <v>593</v>
      </c>
      <c r="F67" s="39">
        <f>IF(F54=0,"",F66/F54*365)</f>
        <v>987</v>
      </c>
    </row>
    <row r="68" spans="1:6" x14ac:dyDescent="0.25">
      <c r="A68" s="13" t="s">
        <v>201</v>
      </c>
      <c r="B68" s="40">
        <f>IF(B54=0,"",B66/(B54/12))</f>
        <v>-1.8</v>
      </c>
      <c r="C68" s="40">
        <f>IF(C54=0,"",C66/(C54/12))</f>
        <v>1.5</v>
      </c>
      <c r="D68" s="40">
        <f>IF(D54=0,"",D66/(D54/12))</f>
        <v>8.9</v>
      </c>
      <c r="E68" s="40">
        <f>IF(E54=0,"",E66/(E54/12))</f>
        <v>19.5</v>
      </c>
      <c r="F68" s="40">
        <f>IF(F54=0,"",F66/(F54/12))</f>
        <v>32.5</v>
      </c>
    </row>
    <row r="69" spans="1:6" x14ac:dyDescent="0.25">
      <c r="A69" s="13" t="s">
        <v>202</v>
      </c>
      <c r="B69" s="35">
        <f>IF(Assumptions!B12=0,"",B3/Assumptions!B12)</f>
        <v>0.2</v>
      </c>
      <c r="C69" s="35">
        <f>IF(Assumptions!B12=0,"",C3/Assumptions!B12)</f>
        <v>0.33</v>
      </c>
      <c r="D69" s="35">
        <f>IF(Assumptions!B12=0,"",D3/Assumptions!B12)</f>
        <v>0.5</v>
      </c>
      <c r="E69" s="35">
        <f>IF(Assumptions!B12=0,"",E3/Assumptions!B12)</f>
        <v>0.67</v>
      </c>
      <c r="F69" s="35">
        <f>IF(Assumptions!B12=0,"",F3/Assumptions!B12)</f>
        <v>0.83</v>
      </c>
    </row>
    <row r="71" ht="24" customHeight="1" spans="1:6" x14ac:dyDescent="0.25">
      <c r="A71" s="12" t="s">
        <v>203</v>
      </c>
      <c r="B71" s="12"/>
      <c r="C71" s="12"/>
      <c r="D71" s="12"/>
      <c r="E71" s="12"/>
      <c r="F71" s="12"/>
    </row>
    <row r="72" spans="1:6" x14ac:dyDescent="0.25">
      <c r="A72" s="13" t="s">
        <v>204</v>
      </c>
      <c r="B72" s="13" t="str">
        <f>IF(B63=0,"N/A",IF(B64&gt;=1.2,"PASS","FAIL"))</f>
        <v>FAIL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205</v>
      </c>
      <c r="B73" s="13" t="str">
        <f>IF(B56&gt;0,"PASS","FAIL")</f>
        <v>FAIL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206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FAIL</v>
      </c>
      <c r="E74" s="13" t="str">
        <f>IF(Assumptions!B12=0,"N/A",IF(E3/Assumptions!B12&gt;=0.7,"PASS","FAIL"))</f>
        <v>FAIL</v>
      </c>
      <c r="F74" s="13" t="str">
        <f>IF(Assumptions!B12=0,"N/A",IF(F3/Assumptions!B12&gt;=0.7,"PASS","FAIL"))</f>
        <v>PASS</v>
      </c>
    </row>
    <row r="75" spans="1:6" x14ac:dyDescent="0.25">
      <c r="A75" s="13" t="s">
        <v>207</v>
      </c>
      <c r="B75" s="13" t="str">
        <f>IF(B54=0,"N/A",IF(B66/(B54/12)&gt;=2,"PASS","FAIL"))</f>
        <v>FAIL</v>
      </c>
      <c r="C75" s="13" t="str">
        <f>IF(C54=0,"N/A",IF(C66/(C54/12)&gt;=2,"PASS","FAIL"))</f>
        <v>FAIL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208</v>
      </c>
      <c r="B77" s="12"/>
      <c r="C77" s="12"/>
      <c r="D77" s="12"/>
      <c r="E77" s="12"/>
      <c r="F77" s="12"/>
    </row>
    <row r="78" spans="1:6" x14ac:dyDescent="0.25">
      <c r="A78" s="13" t="s">
        <v>209</v>
      </c>
      <c r="B78" s="21">
        <f>IF(B3=0,"",B12/B3)</f>
        <v>9819</v>
      </c>
      <c r="C78" s="21">
        <f>IF(C3=0,"",C12/C3)</f>
        <v>11063</v>
      </c>
      <c r="D78" s="21">
        <f>IF(D3=0,"",D12/D3)</f>
        <v>10885</v>
      </c>
      <c r="E78" s="21">
        <f>IF(E3=0,"",E12/E3)</f>
        <v>10857</v>
      </c>
      <c r="F78" s="21">
        <f>IF(F3=0,"",F12/F3)</f>
        <v>11049</v>
      </c>
    </row>
    <row r="79" spans="1:6" x14ac:dyDescent="0.25">
      <c r="A79" s="13" t="s">
        <v>210</v>
      </c>
      <c r="B79" s="21">
        <f>IF(B3=0,"",B54/B3)</f>
        <v>11587</v>
      </c>
      <c r="C79" s="21">
        <f>IF(C3=0,"",C54/C3)</f>
        <v>8891</v>
      </c>
      <c r="D79" s="21">
        <f>IF(D3=0,"",D54/D3)</f>
        <v>6676</v>
      </c>
      <c r="E79" s="21">
        <f>IF(E3=0,"",E54/E3)</f>
        <v>5549</v>
      </c>
      <c r="F79" s="21">
        <f>IF(F3=0,"",F54/F3)</f>
        <v>4930</v>
      </c>
    </row>
    <row r="80" spans="1:6" x14ac:dyDescent="0.25">
      <c r="A80" s="13" t="s">
        <v>211</v>
      </c>
      <c r="B80" s="21">
        <f>B51+B53</f>
        <v>887164</v>
      </c>
      <c r="C80" s="21">
        <f>C51+C53</f>
        <v>1003271</v>
      </c>
      <c r="D80" s="21">
        <f>D51+D53</f>
        <v>1008271</v>
      </c>
      <c r="E80" s="21">
        <f>E51+E53</f>
        <v>993271</v>
      </c>
      <c r="F80" s="21">
        <f>F51+F53</f>
        <v>993271</v>
      </c>
    </row>
    <row r="81" spans="1:6" x14ac:dyDescent="0.25">
      <c r="A81" s="13" t="s">
        <v>212</v>
      </c>
      <c r="B81" s="21">
        <f>IF(B3=0,"",B52/B3)</f>
        <v>4194</v>
      </c>
      <c r="C81" s="21">
        <f>IF(C3=0,"",C52/C3)</f>
        <v>3874</v>
      </c>
      <c r="D81" s="21">
        <f>IF(D3=0,"",D52/D3)</f>
        <v>3315</v>
      </c>
      <c r="E81" s="21">
        <f>IF(E3=0,"",E52/E3)</f>
        <v>3066</v>
      </c>
      <c r="F81" s="21">
        <f>IF(F3=0,"",F52/F3)</f>
        <v>2944</v>
      </c>
    </row>
    <row r="82" spans="1:6" x14ac:dyDescent="0.25">
      <c r="A82" s="13" t="s">
        <v>213</v>
      </c>
      <c r="B82" s="21">
        <f>IF(B3=0,"",B78-B81)</f>
        <v>5625</v>
      </c>
      <c r="C82" s="21">
        <f>IF(C3=0,"",C78-C81)</f>
        <v>7189</v>
      </c>
      <c r="D82" s="21">
        <f>IF(D3=0,"",D78-D81)</f>
        <v>7570</v>
      </c>
      <c r="E82" s="21">
        <f>IF(E3=0,"",E78-E81)</f>
        <v>7792</v>
      </c>
      <c r="F82" s="21">
        <f>IF(F3=0,"",F78-F81)</f>
        <v>8106</v>
      </c>
    </row>
    <row r="83" spans="1:6" x14ac:dyDescent="0.25">
      <c r="A83" s="41" t="s">
        <v>214</v>
      </c>
      <c r="B83" s="42">
        <f>IF(B82&lt;=0,"N/A",ROUNDUP(B80/B82,0))</f>
        <v>158</v>
      </c>
      <c r="C83" s="42">
        <f>IF(C82&lt;=0,"N/A",ROUNDUP(C80/C82,0))</f>
        <v>140</v>
      </c>
      <c r="D83" s="42">
        <f>IF(D82&lt;=0,"N/A",ROUNDUP(D80/D82,0))</f>
        <v>134</v>
      </c>
      <c r="E83" s="42">
        <f>IF(E82&lt;=0,"N/A",ROUNDUP(E80/E82,0))</f>
        <v>128</v>
      </c>
      <c r="F83" s="42">
        <f>IF(F82&lt;=0,"N/A",ROUNDUP(F80/F82,0))</f>
        <v>123</v>
      </c>
    </row>
    <row r="85" spans="1:6" x14ac:dyDescent="0.25">
      <c r="A85" s="26" t="s">
        <v>155</v>
      </c>
      <c r="B85" s="26"/>
      <c r="C85" s="26"/>
      <c r="D85" s="26"/>
      <c r="E85" s="26"/>
      <c r="F85" s="26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216</v>
      </c>
      <c r="D2" s="25" t="s">
        <v>217</v>
      </c>
      <c r="E2" s="25" t="s">
        <v>218</v>
      </c>
      <c r="F2" s="25" t="s">
        <v>219</v>
      </c>
      <c r="G2" s="25" t="s">
        <v>220</v>
      </c>
      <c r="H2" s="25" t="s">
        <v>221</v>
      </c>
      <c r="I2" s="25" t="s">
        <v>222</v>
      </c>
      <c r="J2" s="25" t="s">
        <v>223</v>
      </c>
      <c r="K2" s="25" t="s">
        <v>224</v>
      </c>
      <c r="L2" s="25" t="s">
        <v>225</v>
      </c>
      <c r="M2" s="25" t="s">
        <v>226</v>
      </c>
      <c r="N2" s="25" t="s">
        <v>227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228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229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230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231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232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233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234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235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236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237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238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239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240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241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242</v>
      </c>
      <c r="B51" s="31">
        <f>M47</f>
        <v>74498</v>
      </c>
    </row>
    <row r="52" spans="1:2" x14ac:dyDescent="0.25">
      <c r="A52" s="13" t="s">
        <v>243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244</v>
      </c>
      <c r="C2" s="1"/>
      <c r="D2" s="1"/>
      <c r="E2" s="1"/>
      <c r="F2" s="1"/>
      <c r="G2" s="1"/>
      <c r="H2" s="1"/>
    </row>
    <row r="3" spans="2:8" x14ac:dyDescent="0.25">
      <c r="B3" s="43" t="s">
        <v>245</v>
      </c>
      <c r="C3" s="43"/>
      <c r="D3" s="43"/>
      <c r="E3" s="43"/>
      <c r="F3" s="43"/>
      <c r="G3" s="43"/>
      <c r="H3" s="43"/>
    </row>
    <row r="4" spans="2:6" x14ac:dyDescent="0.25">
      <c r="B4" s="44" t="s">
        <v>246</v>
      </c>
      <c r="D4" s="45" t="s">
        <v>247</v>
      </c>
      <c r="F4" s="46" t="s">
        <v>248</v>
      </c>
    </row>
    <row r="6" ht="24" customHeight="1" spans="2:8" x14ac:dyDescent="0.25">
      <c r="B6" s="12" t="s">
        <v>249</v>
      </c>
      <c r="C6" s="16" t="s">
        <v>250</v>
      </c>
      <c r="D6" s="16" t="s">
        <v>251</v>
      </c>
      <c r="E6" s="16" t="s">
        <v>252</v>
      </c>
      <c r="F6" s="16" t="s">
        <v>253</v>
      </c>
      <c r="G6" s="16" t="s">
        <v>254</v>
      </c>
      <c r="H6" s="16" t="s">
        <v>255</v>
      </c>
    </row>
    <row r="7" spans="2:7" x14ac:dyDescent="0.25">
      <c r="B7" s="13" t="s">
        <v>256</v>
      </c>
      <c r="C7" s="47">
        <v>120</v>
      </c>
      <c r="D7" s="47">
        <v>200</v>
      </c>
      <c r="E7" s="47">
        <v>300</v>
      </c>
      <c r="F7" s="47">
        <v>400</v>
      </c>
      <c r="G7" s="47">
        <v>500</v>
      </c>
    </row>
    <row r="8" spans="2:7" x14ac:dyDescent="0.25">
      <c r="B8" s="13" t="s">
        <v>257</v>
      </c>
      <c r="C8" s="48">
        <v>1414000</v>
      </c>
      <c r="D8" s="48">
        <v>2212650</v>
      </c>
      <c r="E8" s="48">
        <v>3265600</v>
      </c>
      <c r="F8" s="48">
        <v>4342850</v>
      </c>
      <c r="G8" s="48">
        <v>5524700</v>
      </c>
    </row>
    <row r="9" spans="2:7" x14ac:dyDescent="0.25">
      <c r="B9" s="13" t="s">
        <v>258</v>
      </c>
      <c r="C9" s="48">
        <v>780535</v>
      </c>
      <c r="D9" s="48">
        <v>936642</v>
      </c>
      <c r="E9" s="48">
        <v>936642</v>
      </c>
      <c r="F9" s="48">
        <v>936642</v>
      </c>
      <c r="G9" s="48">
        <v>936642</v>
      </c>
    </row>
    <row r="10" spans="2:7" x14ac:dyDescent="0.25">
      <c r="B10" s="13" t="s">
        <v>259</v>
      </c>
      <c r="C10" s="48">
        <v>604000</v>
      </c>
      <c r="D10" s="48">
        <v>774860</v>
      </c>
      <c r="E10" s="48">
        <v>994467.6</v>
      </c>
      <c r="F10" s="48">
        <v>1226219.9279999998</v>
      </c>
      <c r="G10" s="48">
        <v>1471949.32584</v>
      </c>
    </row>
    <row r="11" spans="2:7" x14ac:dyDescent="0.25">
      <c r="B11" s="13" t="s">
        <v>197</v>
      </c>
      <c r="C11" s="48">
        <v>46628.6108154935</v>
      </c>
      <c r="D11" s="48">
        <v>46628.6108154935</v>
      </c>
      <c r="E11" s="48">
        <v>46628.6108154935</v>
      </c>
      <c r="F11" s="48">
        <v>46628.6108154935</v>
      </c>
      <c r="G11" s="48">
        <v>46628.6108154935</v>
      </c>
    </row>
    <row r="12" spans="2:7" x14ac:dyDescent="0.25">
      <c r="B12" s="27" t="s">
        <v>190</v>
      </c>
      <c r="C12" s="49">
        <v>-17163.6108154935</v>
      </c>
      <c r="D12" s="50">
        <v>454519.3891845065</v>
      </c>
      <c r="E12" s="50">
        <v>1287861.7891845065</v>
      </c>
      <c r="F12" s="50">
        <v>2133359.461184507</v>
      </c>
      <c r="G12" s="50">
        <v>3069480.0633445065</v>
      </c>
    </row>
    <row r="13" spans="2:7" x14ac:dyDescent="0.25">
      <c r="B13" s="27" t="s">
        <v>199</v>
      </c>
      <c r="C13" s="49">
        <v>-17163.6108154935</v>
      </c>
      <c r="D13" s="50">
        <v>437355.778369013</v>
      </c>
      <c r="E13" s="50">
        <v>1725217.5675535195</v>
      </c>
      <c r="F13" s="50">
        <v>3858577.0287380265</v>
      </c>
      <c r="G13" s="50">
        <v>6928057.092082533</v>
      </c>
    </row>
    <row r="14" spans="2:7" x14ac:dyDescent="0.25">
      <c r="B14" s="27" t="s">
        <v>260</v>
      </c>
      <c r="C14" s="51">
        <v>-0.0121383386248186</v>
      </c>
      <c r="D14" s="52">
        <v>0.20541856560436875</v>
      </c>
      <c r="E14" s="52">
        <v>0.39437217944160535</v>
      </c>
      <c r="F14" s="52">
        <v>0.49123489440908774</v>
      </c>
      <c r="G14" s="52">
        <v>0.555592170315946</v>
      </c>
    </row>
    <row r="15" spans="2:8" x14ac:dyDescent="0.25">
      <c r="B15" s="27" t="s">
        <v>261</v>
      </c>
      <c r="C15" s="53">
        <v>11783.333333333334</v>
      </c>
      <c r="D15" s="53">
        <v>11063.25</v>
      </c>
      <c r="E15" s="53">
        <v>10885.333333333334</v>
      </c>
      <c r="F15" s="53">
        <v>10857.125</v>
      </c>
      <c r="G15" s="53">
        <v>11049.4</v>
      </c>
      <c r="H15" s="54" t="s">
        <v>262</v>
      </c>
    </row>
    <row r="16" spans="2:7" x14ac:dyDescent="0.25">
      <c r="B16" s="27" t="s">
        <v>263</v>
      </c>
      <c r="C16" s="55">
        <v>11926.363423462444</v>
      </c>
      <c r="D16" s="55">
        <v>8790.653054077467</v>
      </c>
      <c r="E16" s="55">
        <v>6592.460702718312</v>
      </c>
      <c r="F16" s="55">
        <v>5523.726347038733</v>
      </c>
      <c r="G16" s="55">
        <v>4910.4398733109865</v>
      </c>
    </row>
    <row r="17" spans="2:7" x14ac:dyDescent="0.25">
      <c r="B17" s="13" t="s">
        <v>264</v>
      </c>
      <c r="C17" s="48">
        <v>650</v>
      </c>
      <c r="D17" s="48">
        <v>670</v>
      </c>
      <c r="E17" s="48">
        <v>690</v>
      </c>
      <c r="F17" s="48">
        <v>710</v>
      </c>
      <c r="G17" s="48">
        <v>732</v>
      </c>
    </row>
    <row r="18" spans="2:8" x14ac:dyDescent="0.25">
      <c r="B18" s="13" t="s">
        <v>265</v>
      </c>
      <c r="C18" s="56">
        <v>2683.3333333333335</v>
      </c>
      <c r="D18" s="53">
        <v>1658.3</v>
      </c>
      <c r="E18" s="53">
        <v>1138.712</v>
      </c>
      <c r="F18" s="53">
        <v>879.6398199999999</v>
      </c>
      <c r="G18" s="53">
        <v>724.8386516800001</v>
      </c>
      <c r="H18" s="54" t="s">
        <v>266</v>
      </c>
    </row>
    <row r="19" spans="2:7" x14ac:dyDescent="0.25">
      <c r="B19" s="27" t="s">
        <v>267</v>
      </c>
      <c r="C19" s="57">
        <v>-143.0300901291125</v>
      </c>
      <c r="D19" s="58">
        <v>2272.5969459225325</v>
      </c>
      <c r="E19" s="58">
        <v>4292.872630615022</v>
      </c>
      <c r="F19" s="58">
        <v>5333.398652961267</v>
      </c>
      <c r="G19" s="58">
        <v>6138.960126689013</v>
      </c>
    </row>
    <row r="20" spans="2:8" x14ac:dyDescent="0.25">
      <c r="B20" s="27" t="s">
        <v>268</v>
      </c>
      <c r="C20" s="59">
        <v>0.5520049504950495</v>
      </c>
      <c r="D20" s="52">
        <v>0.4233123178089621</v>
      </c>
      <c r="E20" s="52">
        <v>0.2868207986281235</v>
      </c>
      <c r="F20" s="52">
        <v>0.21567449946463726</v>
      </c>
      <c r="G20" s="52">
        <v>0.16953716943906458</v>
      </c>
      <c r="H20" s="54" t="s">
        <v>269</v>
      </c>
    </row>
    <row r="21" spans="2:8" x14ac:dyDescent="0.25">
      <c r="B21" s="27" t="s">
        <v>270</v>
      </c>
      <c r="C21" s="51">
        <v>0.22772277227722773</v>
      </c>
      <c r="D21" s="52">
        <v>0.1498926626443405</v>
      </c>
      <c r="E21" s="52">
        <v>0.10460975012248896</v>
      </c>
      <c r="F21" s="52">
        <v>0.08101959036116835</v>
      </c>
      <c r="G21" s="52">
        <v>0.06559982005176752</v>
      </c>
      <c r="H21" s="54" t="s">
        <v>271</v>
      </c>
    </row>
    <row r="22" spans="2:8" x14ac:dyDescent="0.25">
      <c r="B22" s="27" t="s">
        <v>272</v>
      </c>
      <c r="C22" s="59">
        <v>0.020838048090523337</v>
      </c>
      <c r="D22" s="52">
        <v>0.22649221521704743</v>
      </c>
      <c r="E22" s="52">
        <v>0.40865090641842233</v>
      </c>
      <c r="F22" s="52">
        <v>0.5019717632430317</v>
      </c>
      <c r="G22" s="52">
        <v>0.5640321961663076</v>
      </c>
      <c r="H22" s="54" t="s">
        <v>273</v>
      </c>
    </row>
    <row r="23" spans="2:8" x14ac:dyDescent="0.25">
      <c r="B23" s="27" t="s">
        <v>274</v>
      </c>
      <c r="C23" s="60">
        <v>3</v>
      </c>
      <c r="D23" s="60">
        <v>3</v>
      </c>
      <c r="E23" s="60">
        <v>3</v>
      </c>
      <c r="F23" s="60">
        <v>3</v>
      </c>
      <c r="G23" s="60">
        <v>3</v>
      </c>
      <c r="H23" s="54" t="s">
        <v>275</v>
      </c>
    </row>
    <row r="24" spans="2:8" x14ac:dyDescent="0.25">
      <c r="B24" s="27" t="s">
        <v>276</v>
      </c>
      <c r="C24" s="61">
        <v>0.6319081672107103</v>
      </c>
      <c r="D24" s="62">
        <v>10.747650235238861</v>
      </c>
      <c r="E24" s="62">
        <v>28.61956160951256</v>
      </c>
      <c r="F24" s="62">
        <v>46.752155680255555</v>
      </c>
      <c r="G24" s="62">
        <v>66.82825457722186</v>
      </c>
      <c r="H24" s="54" t="s">
        <v>277</v>
      </c>
    </row>
    <row r="25" spans="2:8" x14ac:dyDescent="0.25">
      <c r="B25" s="27" t="s">
        <v>278</v>
      </c>
      <c r="C25" s="63" t="str">
        <f>IF('5-Year Model'!B58&gt;=0,"✓ Break-even","")</f>
        <v>0</v>
      </c>
      <c r="D25" s="37" t="str">
        <f>IF(AND('5-Year Model'!C58&gt;=0,'5-Year Model'!B58&lt;0),"✓ Break-even","")</f>
        <v>✓ Break-even</v>
      </c>
      <c r="E25" s="63" t="str">
        <f>IF(AND('5-Year Model'!D58&gt;=0,'5-Year Model'!C58&lt;0),"✓ Break-even","")</f>
        <v>0</v>
      </c>
      <c r="F25" s="63" t="str">
        <f>IF(AND('5-Year Model'!E58&gt;=0,'5-Year Model'!D58&lt;0),"✓ Break-even","")</f>
        <v>0</v>
      </c>
      <c r="G25" s="63" t="str">
        <f>IF(AND('5-Year Model'!F58&gt;=0,'5-Year Model'!E58&lt;0),"✓ Break-even","")</f>
        <v>0</v>
      </c>
      <c r="H25" s="54" t="s">
        <v>250</v>
      </c>
    </row>
    <row r="26" spans="2:8" x14ac:dyDescent="0.25">
      <c r="B26" s="27" t="s">
        <v>279</v>
      </c>
      <c r="C26" s="64">
        <v>0</v>
      </c>
      <c r="D26" s="64">
        <v>3</v>
      </c>
      <c r="E26" s="64">
        <v>10</v>
      </c>
      <c r="F26" s="65">
        <v>21</v>
      </c>
      <c r="G26" s="60">
        <v>34</v>
      </c>
      <c r="H26" s="54" t="s">
        <v>280</v>
      </c>
    </row>
    <row r="27" spans="2:8" x14ac:dyDescent="0.25">
      <c r="B27" s="27" t="s">
        <v>200</v>
      </c>
      <c r="C27" s="64">
        <v>0</v>
      </c>
      <c r="D27" s="60">
        <v>91</v>
      </c>
      <c r="E27" s="60">
        <v>318</v>
      </c>
      <c r="F27" s="60">
        <v>637</v>
      </c>
      <c r="G27" s="60">
        <v>1030</v>
      </c>
      <c r="H27" s="54" t="s">
        <v>281</v>
      </c>
    </row>
    <row r="29" ht="24" customHeight="1" spans="2:8" x14ac:dyDescent="0.25">
      <c r="B29" s="12" t="s">
        <v>282</v>
      </c>
      <c r="C29" s="12" t="s">
        <v>283</v>
      </c>
      <c r="D29" s="12" t="s">
        <v>284</v>
      </c>
      <c r="E29" s="12"/>
      <c r="F29" s="12" t="s">
        <v>285</v>
      </c>
      <c r="G29" s="12"/>
      <c r="H29" s="12"/>
    </row>
    <row r="30" ht="45" customHeight="1" spans="2:8" x14ac:dyDescent="0.25">
      <c r="B30" s="66" t="s">
        <v>286</v>
      </c>
      <c r="C30" s="37" t="s">
        <v>287</v>
      </c>
      <c r="D30" s="67" t="s">
        <v>288</v>
      </c>
      <c r="E30" s="67"/>
      <c r="F30" s="68" t="s">
        <v>289</v>
      </c>
      <c r="G30" s="68"/>
      <c r="H30" s="68"/>
    </row>
    <row r="31" ht="45" customHeight="1" spans="2:8" x14ac:dyDescent="0.25">
      <c r="B31" s="66" t="s">
        <v>290</v>
      </c>
      <c r="C31" s="69" t="s">
        <v>291</v>
      </c>
      <c r="D31" s="67" t="s">
        <v>292</v>
      </c>
      <c r="E31" s="67"/>
      <c r="F31" s="68" t="s">
        <v>293</v>
      </c>
      <c r="G31" s="68"/>
      <c r="H31" s="68"/>
    </row>
    <row r="32" ht="45" customHeight="1" spans="2:8" x14ac:dyDescent="0.25">
      <c r="B32" s="66" t="s">
        <v>294</v>
      </c>
      <c r="C32" s="37" t="s">
        <v>287</v>
      </c>
      <c r="D32" s="67" t="s">
        <v>295</v>
      </c>
      <c r="E32" s="67"/>
      <c r="F32" s="68" t="s">
        <v>296</v>
      </c>
      <c r="G32" s="68"/>
      <c r="H32" s="68"/>
    </row>
    <row r="33" ht="45" customHeight="1" spans="2:8" x14ac:dyDescent="0.25">
      <c r="B33" s="66" t="s">
        <v>297</v>
      </c>
      <c r="C33" s="37" t="s">
        <v>287</v>
      </c>
      <c r="D33" s="67" t="s">
        <v>298</v>
      </c>
      <c r="E33" s="67"/>
      <c r="F33" s="68" t="s">
        <v>299</v>
      </c>
      <c r="G33" s="68"/>
      <c r="H33" s="68"/>
    </row>
    <row r="34" ht="45" customHeight="1" spans="2:8" x14ac:dyDescent="0.25">
      <c r="B34" s="66" t="s">
        <v>300</v>
      </c>
      <c r="C34" s="37" t="s">
        <v>287</v>
      </c>
      <c r="D34" s="67" t="s">
        <v>301</v>
      </c>
      <c r="E34" s="67"/>
      <c r="F34" s="68" t="s">
        <v>302</v>
      </c>
      <c r="G34" s="68"/>
      <c r="H34" s="68"/>
    </row>
    <row r="35" ht="45" customHeight="1" spans="2:8" x14ac:dyDescent="0.25">
      <c r="B35" s="66" t="s">
        <v>303</v>
      </c>
      <c r="C35" s="37" t="s">
        <v>287</v>
      </c>
      <c r="D35" s="67" t="s">
        <v>304</v>
      </c>
      <c r="E35" s="67"/>
      <c r="F35" s="68" t="s">
        <v>305</v>
      </c>
      <c r="G35" s="68"/>
      <c r="H35" s="68"/>
    </row>
    <row r="36" ht="45" customHeight="1" spans="2:8" x14ac:dyDescent="0.25">
      <c r="B36" s="66" t="s">
        <v>306</v>
      </c>
      <c r="C36" s="37" t="s">
        <v>287</v>
      </c>
      <c r="D36" s="67" t="s">
        <v>307</v>
      </c>
      <c r="E36" s="67"/>
      <c r="F36" s="68" t="s">
        <v>308</v>
      </c>
      <c r="G36" s="68"/>
      <c r="H36" s="68"/>
    </row>
    <row r="38" spans="2:6" x14ac:dyDescent="0.25">
      <c r="B38" s="66" t="s">
        <v>309</v>
      </c>
      <c r="C38" s="27" t="s">
        <v>310</v>
      </c>
      <c r="D38" s="27"/>
      <c r="E38" s="27"/>
      <c r="F38" s="27"/>
    </row>
    <row r="40" spans="2:8" x14ac:dyDescent="0.25">
      <c r="B40" s="70" t="s">
        <v>155</v>
      </c>
      <c r="C40" s="70"/>
      <c r="D40" s="70"/>
      <c r="E40" s="70"/>
      <c r="F40" s="70"/>
      <c r="G40" s="70"/>
      <c r="H40" s="7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2026-03-27T03:49:36Z</dcterms:created>
  <dcterms:modified xsi:type="dcterms:W3CDTF">2026-03-27T03:49:36Z</dcterms:modified>
</cp:coreProperties>
</file>