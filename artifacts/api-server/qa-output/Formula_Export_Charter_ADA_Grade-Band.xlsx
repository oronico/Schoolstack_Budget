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Assumptions" state="visible" r:id="rId5"/>
    <sheet sheetId="3" name="5-Year Model" state="visible" r:id="rId6"/>
    <sheet sheetId="4" name="Year 1 Pro Forma" state="visible" r:id="rId7"/>
    <sheet sheetId="5" name="Financial Health" state="visible" r:id="rId8"/>
  </sheets>
  <definedNames>
    <definedName name="_xlnm.Print_Area" localSheetId="0">'Instructions'!$A1:$B37</definedName>
    <definedName name="_xlnm.Print_Titles" localSheetId="0">'Instructions'!$1:$2</definedName>
    <definedName name="_xlnm.Print_Area" localSheetId="1">'Assumptions'!$A1:$J80</definedName>
    <definedName name="_xlnm.Print_Titles" localSheetId="1">'Assumptions'!$1:$3</definedName>
    <definedName name="_xlnm.Print_Area" localSheetId="2">'5-Year Model'!$A1:$F85</definedName>
    <definedName name="_xlnm.Print_Titles" localSheetId="2">'5-Year Model'!$1:$2</definedName>
    <definedName name="_xlnm.Print_Area" localSheetId="3">'Year 1 Pro Forma'!$A1:$N54</definedName>
    <definedName name="_xlnm.Print_Titles" localSheetId="3">'Year 1 Pro Forma'!$1:$2</definedName>
    <definedName name="_xlnm.Print_Area" localSheetId="4">'Financial Health'!$A1:$H35</definedName>
    <definedName name="_xlnm.Print_Titles" localSheetId="4">'Financial Health'!$1:$2</definedName>
  </definedNames>
  <calcPr calcId="171027" fullCalcOnLoad="1"/>
</workbook>
</file>

<file path=xl/sharedStrings.xml><?xml version="1.0" encoding="utf-8"?>
<sst xmlns="http://schemas.openxmlformats.org/spreadsheetml/2006/main" count="463" uniqueCount="305">
  <si>
    <t>How to Use This Workbook</t>
  </si>
  <si>
    <t>Heritage Academy Charter</t>
  </si>
  <si>
    <t>Generated March 27, 2026 · nonprofit_501c3</t>
  </si>
  <si>
    <t>Cell Color Legend</t>
  </si>
  <si>
    <t xml:space="preserve">  Blue cells are editable inputs — change these to update your model.</t>
  </si>
  <si>
    <t xml:space="preserve">  White cells contain formulas — do not edit (they recalculate automatically).</t>
  </si>
  <si>
    <t xml:space="preserve">  Green cells are key outputs and summary metrics.</t>
  </si>
  <si>
    <t/>
  </si>
  <si>
    <t>Navigation</t>
  </si>
  <si>
    <t>The Assumptions tab is the central control panel — all other tabs reference it.</t>
  </si>
  <si>
    <t>Structure</t>
  </si>
  <si>
    <t>5-Year Model: Detailed revenue, expense, and cash projections</t>
  </si>
  <si>
    <t>Pro Forma: Consolidated income statement</t>
  </si>
  <si>
    <t>Actuals vs Projections: Variance tracking</t>
  </si>
  <si>
    <t>Financial Health: Key metrics dashboard</t>
  </si>
  <si>
    <t>Debt Service Convention</t>
  </si>
  <si>
    <t>operating expense on the Operating Statement. This is a standard</t>
  </si>
  <si>
    <t>simplification used in school financial underwriting that ensures internal</t>
  </si>
  <si>
    <t>consistency across all tabs.</t>
  </si>
  <si>
    <t>Tips</t>
  </si>
  <si>
    <t>Check the Financial Health dashboard for an at-a-glance assessment.</t>
  </si>
  <si>
    <t>Review key metrics: net margin, cash runway, and DSCR.</t>
  </si>
  <si>
    <t>Next Steps</t>
  </si>
  <si>
    <t>2. Verify enrollment and revenue projections match your plan.</t>
  </si>
  <si>
    <t>3. Check the Financial Health dashboard for risk signals.</t>
  </si>
  <si>
    <t>4. Share this workbook with your lender or financial advisor.</t>
  </si>
  <si>
    <t>5. Update inputs as your school's plan evolves.</t>
  </si>
  <si>
    <t>Disclaimer</t>
  </si>
  <si>
    <t>a loan commitment, or a guarantee of funding. All projections are based on</t>
  </si>
  <si>
    <t>user-provided assumptions and should be independently verified.</t>
  </si>
  <si>
    <t>Heritage Academy Charter - Financial Model Assumptions</t>
  </si>
  <si>
    <t>Editable assumption — change this value</t>
  </si>
  <si>
    <t>Calculated — driven by formula</t>
  </si>
  <si>
    <t>SCHOOL PROFILE</t>
  </si>
  <si>
    <t>School Name</t>
  </si>
  <si>
    <t>State</t>
  </si>
  <si>
    <t>AZ</t>
  </si>
  <si>
    <t>School Type</t>
  </si>
  <si>
    <t>Charter School</t>
  </si>
  <si>
    <t>Legal Entity</t>
  </si>
  <si>
    <t>501(c)(3) Nonprofit</t>
  </si>
  <si>
    <t>EIN</t>
  </si>
  <si>
    <t>86-4441234</t>
  </si>
  <si>
    <t>Website</t>
  </si>
  <si>
    <t>N/A</t>
  </si>
  <si>
    <t>Fiscal Year Start</t>
  </si>
  <si>
    <t>July</t>
  </si>
  <si>
    <t>Maximum Capacity</t>
  </si>
  <si>
    <t>School Stage</t>
  </si>
  <si>
    <t>New School</t>
  </si>
  <si>
    <t>Location</t>
  </si>
  <si>
    <t>1200 N Central Ave, Phoenix, AZ, 85004</t>
  </si>
  <si>
    <t>ENROLLMENT</t>
  </si>
  <si>
    <t>2026-27</t>
  </si>
  <si>
    <t>2027-28</t>
  </si>
  <si>
    <t>2028-29</t>
  </si>
  <si>
    <t>2029-30</t>
  </si>
  <si>
    <t>2030-31</t>
  </si>
  <si>
    <t>Students Enrolled</t>
  </si>
  <si>
    <t>REVENUE SOURCES</t>
  </si>
  <si>
    <t>Category</t>
  </si>
  <si>
    <t>Driver</t>
  </si>
  <si>
    <t>Yr 1 Amount</t>
  </si>
  <si>
    <t>Escalation %</t>
  </si>
  <si>
    <t>Billing Mo.</t>
  </si>
  <si>
    <t>Collection %</t>
  </si>
  <si>
    <t>Note</t>
  </si>
  <si>
    <t>State Per-Pupil Funding</t>
  </si>
  <si>
    <t>Public Funding</t>
  </si>
  <si>
    <t>Per Student</t>
  </si>
  <si>
    <t>Federal Title I</t>
  </si>
  <si>
    <t>IDEA Special Ed</t>
  </si>
  <si>
    <t>CSP Startup Grant</t>
  </si>
  <si>
    <t>Philanthropy</t>
  </si>
  <si>
    <t>Annual Fixed</t>
  </si>
  <si>
    <t>Annual Fundraising</t>
  </si>
  <si>
    <t>Before/After Care</t>
  </si>
  <si>
    <t>Other Revenue</t>
  </si>
  <si>
    <t>STAFFING ROSTER</t>
  </si>
  <si>
    <t>Function</t>
  </si>
  <si>
    <t>Type</t>
  </si>
  <si>
    <t>FTE</t>
  </si>
  <si>
    <t>Annual Rate</t>
  </si>
  <si>
    <t>Benefits %</t>
  </si>
  <si>
    <t>Payroll Tax %</t>
  </si>
  <si>
    <t>Benefits Elig.</t>
  </si>
  <si>
    <t>Notes</t>
  </si>
  <si>
    <t>Head of School</t>
  </si>
  <si>
    <t>School Leadership</t>
  </si>
  <si>
    <t>FT</t>
  </si>
  <si>
    <t>Yes</t>
  </si>
  <si>
    <t>Assistant Principal</t>
  </si>
  <si>
    <t>Lead Teachers</t>
  </si>
  <si>
    <t>Instructional</t>
  </si>
  <si>
    <t>SPED Teacher</t>
  </si>
  <si>
    <t>Instructional Aides</t>
  </si>
  <si>
    <t>Business Manager</t>
  </si>
  <si>
    <t>Operations</t>
  </si>
  <si>
    <t>Front Office</t>
  </si>
  <si>
    <t>Administrative</t>
  </si>
  <si>
    <t>FACILITIES &amp; OCCUPANCY</t>
  </si>
  <si>
    <t>Amount</t>
  </si>
  <si>
    <t>Frequency</t>
  </si>
  <si>
    <t>Ownership Type</t>
  </si>
  <si>
    <t>Rent</t>
  </si>
  <si>
    <t>Monthly Rent</t>
  </si>
  <si>
    <t>Monthly</t>
  </si>
  <si>
    <t>Annual Rent Escalation</t>
  </si>
  <si>
    <t>OPERATING EXPENSES</t>
  </si>
  <si>
    <t>Facility Lease</t>
  </si>
  <si>
    <t>Occupancy / Facility</t>
  </si>
  <si>
    <t>Utilities</t>
  </si>
  <si>
    <t>Property Insurance</t>
  </si>
  <si>
    <t>Curriculum</t>
  </si>
  <si>
    <t>Instructional / Program</t>
  </si>
  <si>
    <t>Devices &amp; Software</t>
  </si>
  <si>
    <t>Technology</t>
  </si>
  <si>
    <t>Marketing</t>
  </si>
  <si>
    <t>Administrative / General</t>
  </si>
  <si>
    <t>Professional Development</t>
  </si>
  <si>
    <t>Legal &amp; Audit</t>
  </si>
  <si>
    <t>Food Service</t>
  </si>
  <si>
    <t>CAPITAL &amp; DEBT</t>
  </si>
  <si>
    <t>Is Loan?</t>
  </si>
  <si>
    <t>Principal</t>
  </si>
  <si>
    <t>Interest Rate</t>
  </si>
  <si>
    <t>Term (Yrs)</t>
  </si>
  <si>
    <t>Annual Payment</t>
  </si>
  <si>
    <t>Startup Loan</t>
  </si>
  <si>
    <t>FF&amp;E</t>
  </si>
  <si>
    <t>No</t>
  </si>
  <si>
    <t>GROWTH &amp; TIMING ASSUMPTIONS</t>
  </si>
  <si>
    <t>Annual Salary Escalation</t>
  </si>
  <si>
    <t>General Cost Inflation</t>
  </si>
  <si>
    <t>Year 1 Proration Factor</t>
  </si>
  <si>
    <t>(10 of 12 months)</t>
  </si>
  <si>
    <t>Tuition Escalation Rate</t>
  </si>
  <si>
    <t>Management Fee %</t>
  </si>
  <si>
    <t>Starting Cash</t>
  </si>
  <si>
    <t>CHARTER FUNDING DETAILS</t>
  </si>
  <si>
    <t>Enrollment Revenue Method</t>
  </si>
  <si>
    <t>ADA (Avg Daily Attendance)</t>
  </si>
  <si>
    <t>Charter Deposit Timing</t>
  </si>
  <si>
    <t>Prior-Year ADM</t>
  </si>
  <si>
    <t>Prior-Year ADA</t>
  </si>
  <si>
    <t>Attendance Ratio (ADA ÷ ADM)</t>
  </si>
  <si>
    <t>Per-Pupil Rate</t>
  </si>
  <si>
    <t>K-5</t>
  </si>
  <si>
    <t>6-8</t>
  </si>
  <si>
    <t>9-12</t>
  </si>
  <si>
    <t>Rate per Student</t>
  </si>
  <si>
    <t>Grade-Band Enrollment</t>
  </si>
  <si>
    <t xml:space="preserve">  K-5</t>
  </si>
  <si>
    <t xml:space="preserve">  6-8</t>
  </si>
  <si>
    <t xml:space="preserve">  9-12</t>
  </si>
  <si>
    <t>Built by SchoolStack Budget  •  budget.schoolstack.ai</t>
  </si>
  <si>
    <t>Heritage Academy Charter - 5-Year Financial Model</t>
  </si>
  <si>
    <t>REVENUE</t>
  </si>
  <si>
    <t>TOTAL REVENUE</t>
  </si>
  <si>
    <t>PERSONNEL</t>
  </si>
  <si>
    <t>Head of School (School Leadership)</t>
  </si>
  <si>
    <t>Assistant Principal (School Leadership)</t>
  </si>
  <si>
    <t>Lead Teachers (Instructional)</t>
  </si>
  <si>
    <t>SPED Teacher (Instructional)</t>
  </si>
  <si>
    <t>Instructional Aides (Instructional)</t>
  </si>
  <si>
    <t>Business Manager (Operations)</t>
  </si>
  <si>
    <t>Front Office (Administrative)</t>
  </si>
  <si>
    <t>TOTAL PERSONNEL</t>
  </si>
  <si>
    <t xml:space="preserve">  Curriculum (Per Student)</t>
  </si>
  <si>
    <t>Total Instructional / Program</t>
  </si>
  <si>
    <t xml:space="preserve">  Devices &amp; Software (Per Student)</t>
  </si>
  <si>
    <t>Total Technology</t>
  </si>
  <si>
    <t xml:space="preserve">  Facility Lease (Monthly)</t>
  </si>
  <si>
    <t xml:space="preserve">  Utilities (Monthly)</t>
  </si>
  <si>
    <t xml:space="preserve">  Property Insurance (Annual Fixed)</t>
  </si>
  <si>
    <t>Total Occupancy / Facility</t>
  </si>
  <si>
    <t xml:space="preserve">  Marketing (Annual Fixed)</t>
  </si>
  <si>
    <t xml:space="preserve">  Professional Development (Annual Fixed)</t>
  </si>
  <si>
    <t xml:space="preserve">  Legal &amp; Audit (Annual Fixed)</t>
  </si>
  <si>
    <t xml:space="preserve">  Food Service (Per Student)</t>
  </si>
  <si>
    <t>Total Administrative / General</t>
  </si>
  <si>
    <t>TOTAL OPERATING EXPENSES</t>
  </si>
  <si>
    <t>CAPITAL &amp; DEBT SERVICE</t>
  </si>
  <si>
    <t>TOTAL CAPITAL &amp; DEBT SERVICE</t>
  </si>
  <si>
    <t>INCOME STATEMENT SUMMARY</t>
  </si>
  <si>
    <t>Total Revenue</t>
  </si>
  <si>
    <t>Total Personnel</t>
  </si>
  <si>
    <t>Total Operating Expenses</t>
  </si>
  <si>
    <t>Total Capital &amp; Debt Service</t>
  </si>
  <si>
    <t>Total Expenses</t>
  </si>
  <si>
    <t>Net Income</t>
  </si>
  <si>
    <t>Net Margin %</t>
  </si>
  <si>
    <t>Cumulative Net Income</t>
  </si>
  <si>
    <t>Break-even</t>
  </si>
  <si>
    <t>✓ Break-even</t>
  </si>
  <si>
    <t>CASH FLOW &amp; DEBT COVERAGE</t>
  </si>
  <si>
    <t>CFADS (Cash Flow Available for Debt Service)</t>
  </si>
  <si>
    <t>Debt Service</t>
  </si>
  <si>
    <t>DSCR (Debt Service Coverage Ratio)</t>
  </si>
  <si>
    <t>Ending Cash</t>
  </si>
  <si>
    <t>Days Cash on Hand</t>
  </si>
  <si>
    <t>Months of Runway</t>
  </si>
  <si>
    <t>Capacity Utilization %</t>
  </si>
  <si>
    <t>COVENANT &amp; HEALTH CHECKS</t>
  </si>
  <si>
    <t>DSCR ≥ 1.20x</t>
  </si>
  <si>
    <t>Positive Net Income</t>
  </si>
  <si>
    <t>Enrollment ≥ 70% Capacity</t>
  </si>
  <si>
    <t>Cash Reserve ≥ 2 Months</t>
  </si>
  <si>
    <t>BREAK-EVEN ANALYSIS</t>
  </si>
  <si>
    <t>Revenue Per Student</t>
  </si>
  <si>
    <t>Cost Per Student</t>
  </si>
  <si>
    <t>Fixed Costs (Personnel + Debt)</t>
  </si>
  <si>
    <t>Variable Cost Per Student</t>
  </si>
  <si>
    <t>Contribution Margin Per Student</t>
  </si>
  <si>
    <t>Break-Even Enrollment</t>
  </si>
  <si>
    <t>Heritage Academy Charter - 2026-27 Pro Forma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</si>
  <si>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</si>
  <si>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</si>
  <si>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</si>
  <si>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</si>
  <si>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</si>
  <si>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</si>
  <si>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</si>
  <si>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</si>
  <si>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</si>
  <si>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</si>
  <si>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</si>
  <si>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2026-27 Total</t>
  </si>
  <si>
    <t xml:space="preserve">  Curriculum</t>
  </si>
  <si>
    <t xml:space="preserve">  Devices &amp; Software</t>
  </si>
  <si>
    <t xml:space="preserve">  Facility Lease</t>
  </si>
  <si>
    <t xml:space="preserve">  Utilities</t>
  </si>
  <si>
    <t xml:space="preserve">  Property Insurance</t>
  </si>
  <si>
    <t xml:space="preserve">  Marketing</t>
  </si>
  <si>
    <t xml:space="preserve">  Professional Development</t>
  </si>
  <si>
    <t xml:space="preserve">  Legal &amp; Audit</t>
  </si>
  <si>
    <t xml:space="preserve">  Food Service</t>
  </si>
  <si>
    <t>Capital &amp; Debt Service</t>
  </si>
  <si>
    <t>MONTHLY CASH FLOW</t>
  </si>
  <si>
    <t>Net Cash Flow</t>
  </si>
  <si>
    <t>Cumulative Cash</t>
  </si>
  <si>
    <t>CASH FLOW METRICS</t>
  </si>
  <si>
    <t>Ending Cash (Month 12)</t>
  </si>
  <si>
    <t>Minimum Cash Month</t>
  </si>
  <si>
    <t>Heritage Academy Charter — Financial Health Dashboard</t>
  </si>
  <si>
    <t>Generated March 27, 2026</t>
  </si>
  <si>
    <t>● Green = healthy</t>
  </si>
  <si>
    <t>◐ Yellow = monitor</t>
  </si>
  <si>
    <t>○ Red = action needed</t>
  </si>
  <si>
    <t>Metric</t>
  </si>
  <si>
    <t>Year 1</t>
  </si>
  <si>
    <t>Year 2</t>
  </si>
  <si>
    <t>Year 3</t>
  </si>
  <si>
    <t>Year 4</t>
  </si>
  <si>
    <t>Year 5</t>
  </si>
  <si>
    <t>Benchmark</t>
  </si>
  <si>
    <t>Enrollment</t>
  </si>
  <si>
    <t>Revenue</t>
  </si>
  <si>
    <t>Personnel</t>
  </si>
  <si>
    <t>Operating Expenses</t>
  </si>
  <si>
    <t>Net Margin</t>
  </si>
  <si>
    <t>Revenue per Student</t>
  </si>
  <si>
    <t>≥ $10,000</t>
  </si>
  <si>
    <t>Payroll %</t>
  </si>
  <si>
    <t>≤ 55%</t>
  </si>
  <si>
    <t>Facility %</t>
  </si>
  <si>
    <t>≤ 15%</t>
  </si>
  <si>
    <t>Operating Margin</t>
  </si>
  <si>
    <t>≥ 10%</t>
  </si>
  <si>
    <t>Revenue Sources</t>
  </si>
  <si>
    <t>≥ 3 sources</t>
  </si>
  <si>
    <t>DSCR</t>
  </si>
  <si>
    <t>≥ 1.25x</t>
  </si>
  <si>
    <t>Break-even Year</t>
  </si>
  <si>
    <t>Cash Runway (Months)</t>
  </si>
  <si>
    <t>≥ 24 months</t>
  </si>
  <si>
    <t>FINANCIAL HEALTH SIGNALS</t>
  </si>
  <si>
    <t>Status</t>
  </si>
  <si>
    <t>Assessment</t>
  </si>
  <si>
    <t>Watch Item</t>
  </si>
  <si>
    <t>Viability</t>
  </si>
  <si>
    <t>● Healthy</t>
  </si>
  <si>
    <t>The model reaches net income early and sustains strong margins through Year 5.</t>
  </si>
  <si>
    <t>Monitor enrollment actuals vs. projections in Year 1.</t>
  </si>
  <si>
    <t>Liquidity</t>
  </si>
  <si>
    <t>○ Needs attention</t>
  </si>
  <si>
    <t>Cash goes negative in month 0. The school will need outside funding to continue operating.</t>
  </si>
  <si>
    <t>Secure a line of credit or bridge funding before operations begin.</t>
  </si>
  <si>
    <t>Staffing Burden</t>
  </si>
  <si>
    <t>Staffing at 17% of revenue leaves room for facilities, programs, and reserves.</t>
  </si>
  <si>
    <t>As you add staff, ensure staffing stays below 60% of revenue.</t>
  </si>
  <si>
    <t>Facility Burden</t>
  </si>
  <si>
    <t>Facility costs at 7% of revenue are well-managed and leave budget for programs.</t>
  </si>
  <si>
    <t>Watch for rent escalation clauses that could push this higher over time.</t>
  </si>
  <si>
    <t>Debt Affordability</t>
  </si>
  <si>
    <t>DSCR of 66.83x provides comfortable coverage of debt payments with room to spare.</t>
  </si>
  <si>
    <t>Maintain this ratio as you take on any additional debt.</t>
  </si>
  <si>
    <t>Revenue Concentration</t>
  </si>
  <si>
    <t>Revenue is anchored to enrollment-driven income — the strongest foundation for a school model. A focused revenue stream is a strength when backed by dependable demand.</t>
  </si>
  <si>
    <t>Continue to pressure-test enrollment assumptions: recruitment pipeline, waitlist depth, retention rates, and collection reliability.</t>
  </si>
  <si>
    <t>Reserve Strength</t>
  </si>
  <si>
    <t>33.9 months of reserves by Year 5 — a strong buffer for unexpected costs.</t>
  </si>
  <si>
    <t>Continue growing reserves toward 6 months for best-in-class financial health.</t>
  </si>
  <si>
    <t>Summary</t>
  </si>
  <si>
    <t>6 Healthy  |  0 Watch  |  1 Needs Attention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</si>
</sst>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;#,##0;&quot;-&quot;"/>
    <numFmt numFmtId="165" formatCode="_(&quot;$&quot;* #,##0_);_(&quot;$&quot;* (#,##0);_(&quot;$&quot;* &quot;-&quot;??_);_(@_)"/>
    <numFmt numFmtId="166" formatCode="0.0%;[Red](0.0%);&quot;-&quot;"/>
    <numFmt numFmtId="167" formatCode="0.00x"/>
    <numFmt numFmtId="168" formatCode="0.0"/>
  </numFmts>
  <fonts count="18" x14ac:knownFonts="1">
    <font>
      <color theme="1"/>
      <family val="2"/>
      <scheme val="minor"/>
      <sz val="11"/>
      <name val="Calibri"/>
    </font>
    <font>
      <b/>
      <color rgb="FF1E293B"/>
      <sz val="16"/>
      <name val="Calibri"/>
    </font>
    <font>
      <color rgb="FF1E293B"/>
      <sz val="12"/>
      <name val="Calibri"/>
    </font>
    <font>
      <i/>
      <color rgb="FF6B7280"/>
      <sz val="10"/>
      <name val="Calibri"/>
    </font>
    <font>
      <b/>
      <color rgb="FF1E293B"/>
      <sz val="11"/>
      <name val="Calibri"/>
    </font>
    <font>
      <color rgb="FF1E3A5F"/>
      <sz val="11"/>
      <name val="Calibri"/>
    </font>
    <font>
      <sz val="11"/>
      <name val="Calibri"/>
    </font>
    <font>
      <b/>
      <color rgb="FF1E293B"/>
      <sz val="14"/>
      <name val="Calibri"/>
    </font>
    <font>
      <i/>
      <color rgb="FF666666"/>
      <sz val="11"/>
      <name val="Calibri"/>
    </font>
    <font>
      <i/>
      <color rgb="FF888888"/>
      <sz val="11"/>
      <name val="Calibri"/>
    </font>
    <font>
      <b/>
      <color rgb="FFFFFFFF"/>
      <sz val="11"/>
      <name val="Calibri"/>
    </font>
    <font>
      <i/>
      <color rgb="FF9CA3AF"/>
      <sz val="11"/>
      <name val="Calibri"/>
    </font>
    <font>
      <b/>
      <sz val="11"/>
      <name val="Calibri"/>
    </font>
    <font>
      <b/>
      <color rgb="FF1E293B"/>
      <sz val="12"/>
      <name val="Calibri"/>
    </font>
    <font>
      <b/>
      <color rgb="FFDC2626"/>
      <sz val="11"/>
      <name val="Calibri"/>
    </font>
    <font>
      <b/>
      <color rgb="FF16A34A"/>
      <sz val="11"/>
      <name val="Calibri"/>
    </font>
    <font>
      <i/>
      <color rgb="FF6B7280"/>
      <sz val="11"/>
      <name val="Calibri"/>
    </font>
    <font>
      <b/>
      <color rgb="FFD97706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E8EDF2"/>
      </patternFill>
    </fill>
    <fill>
      <patternFill patternType="solid">
        <fgColor rgb="FF1E293B"/>
      </patternFill>
    </fill>
    <fill>
      <patternFill patternType="solid">
        <fgColor rgb="FFFCE4EC"/>
      </patternFill>
    </fill>
    <fill>
      <patternFill patternType="solid">
        <fgColor rgb="FFFFF8E1"/>
      </patternFill>
    </fill>
  </fills>
  <borders count="4">
    <border>
      <left/>
      <right/>
      <top/>
      <bottom/>
      <diagonal/>
    </border>
    <border>
      <left/>
      <right/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0" borderId="0" xfId="0" applyFont="1"/>
    <xf numFmtId="0" fontId="6" fillId="3" borderId="0" xfId="0" applyFont="1" applyFill="1"/>
    <xf numFmtId="0" fontId="7" fillId="0" borderId="0" xfId="0" applyFont="1" applyAlignment="1">
      <alignment horizontal="left" vertical="center"/>
    </xf>
    <xf numFmtId="0" fontId="0" fillId="2" borderId="0" xfId="0" applyFill="1"/>
    <xf numFmtId="0" fontId="8" fillId="0" borderId="0" xfId="0" applyFont="1"/>
    <xf numFmtId="0" fontId="0" fillId="4" borderId="1" xfId="0" applyFill="1" applyBorder="1"/>
    <xf numFmtId="0" fontId="4" fillId="5" borderId="2" xfId="0" applyFont="1" applyFill="1" applyBorder="1"/>
    <xf numFmtId="0" fontId="6" fillId="0" borderId="2" xfId="0" applyFont="1" applyBorder="1"/>
    <xf numFmtId="0" fontId="5" fillId="2" borderId="2" xfId="0" applyFont="1" applyFill="1" applyBorder="1"/>
    <xf numFmtId="164" fontId="5" fillId="2" borderId="2" xfId="0" applyNumberFormat="1" applyFont="1" applyFill="1" applyBorder="1"/>
    <xf numFmtId="0" fontId="4" fillId="5" borderId="2" xfId="0" applyFont="1" applyFill="1" applyBorder="1" applyAlignment="1">
      <alignment horizontal="center"/>
    </xf>
    <xf numFmtId="164" fontId="5" fillId="2" borderId="2" xfId="0" applyNumberFormat="1" applyFont="1" applyFill="1" applyBorder="1" applyAlignment="1">
      <alignment horizontal="center"/>
    </xf>
    <xf numFmtId="165" fontId="5" fillId="2" borderId="2" xfId="0" applyNumberFormat="1" applyFont="1" applyFill="1" applyBorder="1"/>
    <xf numFmtId="166" fontId="5" fillId="2" borderId="2" xfId="0" applyNumberFormat="1" applyFont="1" applyFill="1" applyBorder="1"/>
    <xf numFmtId="2" fontId="5" fillId="2" borderId="2" xfId="0" applyNumberFormat="1" applyFont="1" applyFill="1" applyBorder="1"/>
    <xf numFmtId="165" fontId="6" fillId="0" borderId="2" xfId="0" applyNumberFormat="1" applyFont="1" applyBorder="1"/>
    <xf numFmtId="10" fontId="5" fillId="2" borderId="2" xfId="0" applyNumberFormat="1" applyFont="1" applyFill="1" applyBorder="1"/>
    <xf numFmtId="0" fontId="9" fillId="0" borderId="0" xfId="0" applyFont="1"/>
    <xf numFmtId="10" fontId="6" fillId="0" borderId="2" xfId="0" applyNumberFormat="1" applyFont="1" applyBorder="1"/>
    <xf numFmtId="0" fontId="10" fillId="6" borderId="2" xfId="0" applyFont="1" applyFill="1" applyBorder="1" applyAlignment="1">
      <alignment horizontal="center" vertical="center"/>
    </xf>
    <xf numFmtId="0" fontId="11" fillId="0" borderId="0" xfId="0" applyFont="1"/>
    <xf numFmtId="0" fontId="12" fillId="0" borderId="2" xfId="0" applyFont="1" applyBorder="1"/>
    <xf numFmtId="164" fontId="12" fillId="0" borderId="2" xfId="0" applyNumberFormat="1" applyFont="1" applyBorder="1"/>
    <xf numFmtId="165" fontId="12" fillId="5" borderId="3" xfId="0" applyNumberFormat="1" applyFont="1" applyFill="1" applyBorder="1"/>
    <xf numFmtId="0" fontId="12" fillId="0" borderId="0" xfId="0" applyFont="1"/>
    <xf numFmtId="165" fontId="12" fillId="0" borderId="2" xfId="0" applyNumberFormat="1" applyFont="1" applyBorder="1"/>
    <xf numFmtId="0" fontId="13" fillId="0" borderId="0" xfId="0" applyFont="1"/>
    <xf numFmtId="165" fontId="14" fillId="0" borderId="3" xfId="0" applyNumberFormat="1" applyFont="1" applyBorder="1"/>
    <xf numFmtId="165" fontId="12" fillId="0" borderId="3" xfId="0" applyNumberFormat="1" applyFont="1" applyBorder="1"/>
    <xf numFmtId="166" fontId="6" fillId="0" borderId="2" xfId="0" applyNumberFormat="1" applyFont="1" applyBorder="1"/>
    <xf numFmtId="0" fontId="0" fillId="0" borderId="2" xfId="0" applyBorder="1" applyAlignment="1">
      <alignment horizontal="center"/>
    </xf>
    <xf numFmtId="0" fontId="15" fillId="0" borderId="2" xfId="0" applyFont="1" applyBorder="1" applyAlignment="1">
      <alignment horizontal="center"/>
    </xf>
    <xf numFmtId="167" fontId="12" fillId="0" borderId="2" xfId="0" applyNumberFormat="1" applyFont="1" applyBorder="1"/>
    <xf numFmtId="164" fontId="6" fillId="0" borderId="2" xfId="0" applyNumberFormat="1" applyFont="1" applyBorder="1"/>
    <xf numFmtId="168" fontId="6" fillId="0" borderId="2" xfId="0" applyNumberFormat="1" applyFont="1" applyBorder="1"/>
    <xf numFmtId="0" fontId="13" fillId="0" borderId="2" xfId="0" applyFont="1" applyBorder="1"/>
    <xf numFmtId="164" fontId="12" fillId="0" borderId="3" xfId="0" applyNumberFormat="1" applyFont="1" applyBorder="1"/>
    <xf numFmtId="0" fontId="16" fillId="0" borderId="0" xfId="0" applyFont="1"/>
    <xf numFmtId="0" fontId="15" fillId="0" borderId="0" xfId="0" applyFont="1"/>
    <xf numFmtId="0" fontId="17" fillId="0" borderId="0" xfId="0" applyFont="1"/>
    <xf numFmtId="0" fontId="14" fillId="0" borderId="0" xfId="0" applyFont="1"/>
    <xf numFmtId="164" fontId="6" fillId="0" borderId="2" xfId="0" applyNumberFormat="1" applyFont="1" applyBorder="1" applyAlignment="1">
      <alignment horizontal="right"/>
    </xf>
    <xf numFmtId="165" fontId="6" fillId="0" borderId="2" xfId="0" applyNumberFormat="1" applyFont="1" applyBorder="1" applyAlignment="1">
      <alignment horizontal="right"/>
    </xf>
    <xf numFmtId="165" fontId="12" fillId="7" borderId="3" xfId="0" applyNumberFormat="1" applyFont="1" applyFill="1" applyBorder="1" applyAlignment="1">
      <alignment horizontal="right"/>
    </xf>
    <xf numFmtId="165" fontId="12" fillId="3" borderId="3" xfId="0" applyNumberFormat="1" applyFont="1" applyFill="1" applyBorder="1" applyAlignment="1">
      <alignment horizontal="right"/>
    </xf>
    <xf numFmtId="166" fontId="12" fillId="7" borderId="3" xfId="0" applyNumberFormat="1" applyFont="1" applyFill="1" applyBorder="1" applyAlignment="1">
      <alignment horizontal="right"/>
    </xf>
    <xf numFmtId="166" fontId="12" fillId="3" borderId="3" xfId="0" applyNumberFormat="1" applyFont="1" applyFill="1" applyBorder="1" applyAlignment="1">
      <alignment horizontal="right"/>
    </xf>
    <xf numFmtId="165" fontId="6" fillId="3" borderId="2" xfId="0" applyNumberFormat="1" applyFont="1" applyFill="1" applyBorder="1" applyAlignment="1">
      <alignment horizontal="right"/>
    </xf>
    <xf numFmtId="0" fontId="16" fillId="0" borderId="2" xfId="0" applyFont="1" applyBorder="1"/>
    <xf numFmtId="166" fontId="12" fillId="8" borderId="3" xfId="0" applyNumberFormat="1" applyFont="1" applyFill="1" applyBorder="1" applyAlignment="1">
      <alignment horizontal="right"/>
    </xf>
    <xf numFmtId="164" fontId="12" fillId="3" borderId="3" xfId="0" applyNumberFormat="1" applyFont="1" applyFill="1" applyBorder="1" applyAlignment="1">
      <alignment horizontal="right"/>
    </xf>
    <xf numFmtId="167" fontId="12" fillId="7" borderId="3" xfId="0" applyNumberFormat="1" applyFont="1" applyFill="1" applyBorder="1" applyAlignment="1">
      <alignment horizontal="right"/>
    </xf>
    <xf numFmtId="167" fontId="12" fillId="3" borderId="3" xfId="0" applyNumberFormat="1" applyFont="1" applyFill="1" applyBorder="1" applyAlignment="1">
      <alignment horizontal="right"/>
    </xf>
    <xf numFmtId="0" fontId="6" fillId="0" borderId="2" xfId="0" applyFont="1" applyBorder="1" applyAlignment="1">
      <alignment horizontal="center"/>
    </xf>
    <xf numFmtId="164" fontId="12" fillId="7" borderId="3" xfId="0" applyNumberFormat="1" applyFont="1" applyFill="1" applyBorder="1" applyAlignment="1">
      <alignment horizontal="right"/>
    </xf>
    <xf numFmtId="164" fontId="12" fillId="8" borderId="3" xfId="0" applyNumberFormat="1" applyFont="1" applyFill="1" applyBorder="1" applyAlignment="1">
      <alignment horizontal="right"/>
    </xf>
    <xf numFmtId="0" fontId="4" fillId="0" borderId="2" xfId="0" applyFont="1" applyBorder="1"/>
    <xf numFmtId="0" fontId="6" fillId="0" borderId="2" xfId="0" applyFont="1" applyBorder="1" applyAlignment="1">
      <alignment wrapText="1"/>
    </xf>
    <xf numFmtId="0" fontId="16" fillId="0" borderId="2" xfId="0" applyFont="1" applyBorder="1" applyAlignment="1">
      <alignment wrapText="1"/>
    </xf>
    <xf numFmtId="0" fontId="14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24"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28555"/>
    <pageSetUpPr fitToPage="1"/>
  </sheetPr>
  <dimension ref="B2:B37"/>
  <sheetFormatPr defaultRowHeight="15" outlineLevelRow="0" outlineLevelCol="0" x14ac:dyDescent="55"/>
  <cols>
    <col min="1" max="1" width="4" customWidth="1"/>
    <col min="2" max="2" width="8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4" spans="2:2" x14ac:dyDescent="0.25">
      <c r="B4" s="3" t="s">
        <v>2</v>
      </c>
    </row>
    <row r="6" spans="2:2" x14ac:dyDescent="0.25">
      <c r="B6" s="4" t="s">
        <v>3</v>
      </c>
    </row>
    <row r="7" spans="2:2" x14ac:dyDescent="0.25">
      <c r="B7" s="5" t="s">
        <v>4</v>
      </c>
    </row>
    <row r="8" spans="2:2" x14ac:dyDescent="0.25">
      <c r="B8" s="6" t="s">
        <v>5</v>
      </c>
    </row>
    <row r="9" spans="2:2" x14ac:dyDescent="0.25">
      <c r="B9" s="7" t="s">
        <v>6</v>
      </c>
    </row>
    <row r="10" spans="2:2" x14ac:dyDescent="0.25">
      <c r="B10" s="6" t="s">
        <v>7</v>
      </c>
    </row>
    <row r="11" spans="2:2" x14ac:dyDescent="0.25">
      <c r="B11" s="4" t="s">
        <v>8</v>
      </c>
    </row>
    <row r="12" spans="2:2" x14ac:dyDescent="0.25">
      <c r="B12" s="6" t="s">
        <v>9</v>
      </c>
    </row>
    <row r="13" spans="2:2" x14ac:dyDescent="0.25">
      <c r="B13" s="6" t="s">
        <v>7</v>
      </c>
    </row>
    <row r="14" spans="2:2" x14ac:dyDescent="0.25">
      <c r="B14" s="4" t="s">
        <v>10</v>
      </c>
    </row>
    <row r="15" spans="2:2" x14ac:dyDescent="0.25">
      <c r="B15" s="6" t="s">
        <v>11</v>
      </c>
    </row>
    <row r="16" spans="2:2" x14ac:dyDescent="0.25">
      <c r="B16" s="6" t="s">
        <v>12</v>
      </c>
    </row>
    <row r="17" spans="2:2" x14ac:dyDescent="0.25">
      <c r="B17" s="6" t="s">
        <v>13</v>
      </c>
    </row>
    <row r="18" spans="2:2" x14ac:dyDescent="0.25">
      <c r="B18" s="6" t="s">
        <v>14</v>
      </c>
    </row>
    <row r="19" spans="2:2" x14ac:dyDescent="0.25">
      <c r="B19" s="6" t="s">
        <v>7</v>
      </c>
    </row>
    <row r="20" spans="2:2" x14ac:dyDescent="0.25">
      <c r="B20" s="4" t="s">
        <v>15</v>
      </c>
    </row>
    <row r="21" spans="2:2" x14ac:dyDescent="0.25">
      <c r="B21" s="6" t="s">
        <v>16</v>
      </c>
    </row>
    <row r="22" spans="2:2" x14ac:dyDescent="0.25">
      <c r="B22" s="6" t="s">
        <v>17</v>
      </c>
    </row>
    <row r="23" spans="2:2" x14ac:dyDescent="0.25">
      <c r="B23" s="6" t="s">
        <v>18</v>
      </c>
    </row>
    <row r="24" spans="2:2" x14ac:dyDescent="0.25">
      <c r="B24" s="6" t="s">
        <v>7</v>
      </c>
    </row>
    <row r="25" spans="2:2" x14ac:dyDescent="0.25">
      <c r="B25" s="4" t="s">
        <v>19</v>
      </c>
    </row>
    <row r="26" spans="2:2" x14ac:dyDescent="0.25">
      <c r="B26" s="6" t="s">
        <v>20</v>
      </c>
    </row>
    <row r="27" spans="2:2" x14ac:dyDescent="0.25">
      <c r="B27" s="6" t="s">
        <v>21</v>
      </c>
    </row>
    <row r="28" spans="2:2" x14ac:dyDescent="0.25">
      <c r="B28" s="6" t="s">
        <v>7</v>
      </c>
    </row>
    <row r="29" spans="2:2" x14ac:dyDescent="0.25">
      <c r="B29" s="4" t="s">
        <v>22</v>
      </c>
    </row>
    <row r="30" spans="2:2" x14ac:dyDescent="0.25">
      <c r="B30" s="6" t="s">
        <v>23</v>
      </c>
    </row>
    <row r="31" spans="2:2" x14ac:dyDescent="0.25">
      <c r="B31" s="6" t="s">
        <v>24</v>
      </c>
    </row>
    <row r="32" spans="2:2" x14ac:dyDescent="0.25">
      <c r="B32" s="6" t="s">
        <v>25</v>
      </c>
    </row>
    <row r="33" spans="2:2" x14ac:dyDescent="0.25">
      <c r="B33" s="6" t="s">
        <v>26</v>
      </c>
    </row>
    <row r="34" spans="2:2" x14ac:dyDescent="0.25">
      <c r="B34" s="6" t="s">
        <v>7</v>
      </c>
    </row>
    <row r="35" spans="2:2" x14ac:dyDescent="0.25">
      <c r="B35" s="4" t="s">
        <v>27</v>
      </c>
    </row>
    <row r="36" spans="2:2" x14ac:dyDescent="0.25">
      <c r="B36" s="6" t="s">
        <v>28</v>
      </c>
    </row>
    <row r="37" spans="2:2" x14ac:dyDescent="0.25">
      <c r="B37" s="6" t="s">
        <v>29</v>
      </c>
    </row>
  </sheetData>
  <pageMargins left="0.25" right="0.25" top="0.5" bottom="0.5" header="0.3" footer="0.3"/>
  <pageSetup paperSize="1" orientation="portrait" fitToWidth="1" fitToHeight="0"/>
  <headerFooter>
    <oddHeader>&amp;L&amp;10&amp;BHeritage Academy Charter&amp;R&amp;8&amp;IInstructions</oddHeader>
    <oddFooter>&amp;L&amp;8Built by SchoolStack Budget  •  budget.schoolstack.ai&amp;C&amp;8Page &amp;P of &amp;N&amp;R&amp;8&amp;D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80"/>
  <sheetViews>
    <sheetView workbookViewId="0">
      <pane xSplit="1" ySplit="3" topLeftCell="B4" activePane="bottomRight" state="frozen"/>
      <selection pane="bottomRight" activeCell="B4" sqref="B4"/>
    </sheetView>
  </sheetViews>
  <sheetFormatPr defaultRowHeight="15" outlineLevelRow="0" outlineLevelCol="0" x14ac:dyDescent="55"/>
  <cols>
    <col min="1" max="1" width="38" customWidth="1"/>
    <col min="2" max="2" width="18" customWidth="1"/>
    <col min="3" max="10" width="16" customWidth="1"/>
    <col min="11" max="11" width="18" customWidth="1"/>
  </cols>
  <sheetData>
    <row r="1" ht="32" customHeight="1" spans="1:7" x14ac:dyDescent="0.25">
      <c r="A1" s="8" t="s">
        <v>30</v>
      </c>
      <c r="B1" s="8"/>
      <c r="C1" s="8"/>
      <c r="D1" s="8"/>
      <c r="E1" s="8"/>
      <c r="F1" s="8"/>
      <c r="G1" s="8"/>
    </row>
    <row r="2" spans="1:5" x14ac:dyDescent="0.25">
      <c r="A2" s="9" t="s">
        <v>7</v>
      </c>
      <c r="B2" s="10" t="s">
        <v>31</v>
      </c>
      <c r="D2" s="11" t="s">
        <v>7</v>
      </c>
      <c r="E2" s="10" t="s">
        <v>32</v>
      </c>
    </row>
    <row r="4" ht="24" customHeight="1" spans="1:7" x14ac:dyDescent="0.25">
      <c r="A4" s="12" t="s">
        <v>33</v>
      </c>
      <c r="B4" s="12"/>
      <c r="C4" s="12"/>
      <c r="D4" s="12"/>
      <c r="E4" s="12"/>
      <c r="F4" s="12"/>
      <c r="G4" s="12"/>
    </row>
    <row r="5" spans="1:4" x14ac:dyDescent="0.25">
      <c r="A5" s="13" t="s">
        <v>34</v>
      </c>
      <c r="B5" s="14" t="s">
        <v>1</v>
      </c>
      <c r="C5" s="14"/>
      <c r="D5" s="14"/>
    </row>
    <row r="6" spans="1:2" x14ac:dyDescent="0.25">
      <c r="A6" s="13" t="s">
        <v>35</v>
      </c>
      <c r="B6" s="14" t="s">
        <v>36</v>
      </c>
    </row>
    <row r="7" spans="1:2" x14ac:dyDescent="0.25">
      <c r="A7" s="13" t="s">
        <v>37</v>
      </c>
      <c r="B7" s="14" t="s">
        <v>38</v>
      </c>
    </row>
    <row r="8" spans="1:2" x14ac:dyDescent="0.25">
      <c r="A8" s="13" t="s">
        <v>39</v>
      </c>
      <c r="B8" s="14" t="s">
        <v>40</v>
      </c>
    </row>
    <row r="9" spans="1:2" x14ac:dyDescent="0.25">
      <c r="A9" s="13" t="s">
        <v>41</v>
      </c>
      <c r="B9" s="14" t="s">
        <v>42</v>
      </c>
    </row>
    <row r="10" spans="1:4" x14ac:dyDescent="0.25">
      <c r="A10" s="13" t="s">
        <v>43</v>
      </c>
      <c r="B10" s="14" t="s">
        <v>44</v>
      </c>
      <c r="C10" s="14"/>
      <c r="D10" s="14"/>
    </row>
    <row r="11" spans="1:2" x14ac:dyDescent="0.25">
      <c r="A11" s="13" t="s">
        <v>45</v>
      </c>
      <c r="B11" s="14" t="s">
        <v>46</v>
      </c>
    </row>
    <row r="12" spans="1:2" x14ac:dyDescent="0.25">
      <c r="A12" s="13" t="s">
        <v>47</v>
      </c>
      <c r="B12" s="15">
        <v>600</v>
      </c>
    </row>
    <row r="13" spans="1:2" x14ac:dyDescent="0.25">
      <c r="A13" s="13" t="s">
        <v>48</v>
      </c>
      <c r="B13" s="13" t="s">
        <v>49</v>
      </c>
    </row>
    <row r="14" spans="1:2" x14ac:dyDescent="0.25">
      <c r="A14" s="13" t="s">
        <v>50</v>
      </c>
      <c r="B14" s="13" t="s">
        <v>51</v>
      </c>
    </row>
    <row r="16" ht="24" customHeight="1" spans="1:7" x14ac:dyDescent="0.25">
      <c r="A16" s="12" t="s">
        <v>52</v>
      </c>
      <c r="B16" s="16" t="s">
        <v>53</v>
      </c>
      <c r="C16" s="16" t="s">
        <v>54</v>
      </c>
      <c r="D16" s="16" t="s">
        <v>55</v>
      </c>
      <c r="E16" s="16" t="s">
        <v>56</v>
      </c>
      <c r="F16" s="16" t="s">
        <v>57</v>
      </c>
      <c r="G16" s="12"/>
    </row>
    <row r="17" spans="1:6" x14ac:dyDescent="0.25">
      <c r="A17" s="13" t="s">
        <v>58</v>
      </c>
      <c r="B17" s="17">
        <v>120</v>
      </c>
      <c r="C17" s="17">
        <v>200</v>
      </c>
      <c r="D17" s="17">
        <v>300</v>
      </c>
      <c r="E17" s="17">
        <v>400</v>
      </c>
      <c r="F17" s="17">
        <v>500</v>
      </c>
    </row>
    <row r="19" ht="24" customHeight="1" spans="1:10" x14ac:dyDescent="0.25">
      <c r="A19" s="12" t="s">
        <v>59</v>
      </c>
      <c r="B19" s="12" t="s">
        <v>60</v>
      </c>
      <c r="C19" s="12" t="s">
        <v>61</v>
      </c>
      <c r="D19" s="12" t="s">
        <v>62</v>
      </c>
      <c r="E19" s="12" t="s">
        <v>63</v>
      </c>
      <c r="F19" s="12" t="s">
        <v>64</v>
      </c>
      <c r="G19" s="12" t="s">
        <v>65</v>
      </c>
      <c r="H19" s="12" t="s">
        <v>66</v>
      </c>
      <c r="I19" s="12"/>
      <c r="J19" s="12"/>
    </row>
    <row r="20" spans="1:8" x14ac:dyDescent="0.25">
      <c r="A20" s="13" t="s">
        <v>67</v>
      </c>
      <c r="B20" s="13" t="s">
        <v>68</v>
      </c>
      <c r="C20" s="13" t="s">
        <v>69</v>
      </c>
      <c r="D20" s="18">
        <v>8500</v>
      </c>
      <c r="E20" s="19">
        <v>0</v>
      </c>
      <c r="F20" s="15">
        <v>12</v>
      </c>
      <c r="G20" s="19">
        <v>1</v>
      </c>
      <c r="H20" s="13" t="s">
        <v>7</v>
      </c>
    </row>
    <row r="21" spans="1:8" x14ac:dyDescent="0.25">
      <c r="A21" s="13" t="s">
        <v>70</v>
      </c>
      <c r="B21" s="13" t="s">
        <v>68</v>
      </c>
      <c r="C21" s="13" t="s">
        <v>69</v>
      </c>
      <c r="D21" s="18">
        <v>750</v>
      </c>
      <c r="E21" s="19">
        <v>0</v>
      </c>
      <c r="F21" s="15">
        <v>12</v>
      </c>
      <c r="G21" s="19">
        <v>1</v>
      </c>
      <c r="H21" s="13" t="s">
        <v>7</v>
      </c>
    </row>
    <row r="22" spans="1:8" x14ac:dyDescent="0.25">
      <c r="A22" s="13" t="s">
        <v>71</v>
      </c>
      <c r="B22" s="13" t="s">
        <v>68</v>
      </c>
      <c r="C22" s="13" t="s">
        <v>69</v>
      </c>
      <c r="D22" s="18">
        <v>1100</v>
      </c>
      <c r="E22" s="19">
        <v>0</v>
      </c>
      <c r="F22" s="15">
        <v>12</v>
      </c>
      <c r="G22" s="19">
        <v>1</v>
      </c>
      <c r="H22" s="13" t="s">
        <v>7</v>
      </c>
    </row>
    <row r="23" spans="1:8" x14ac:dyDescent="0.25">
      <c r="A23" s="13" t="s">
        <v>72</v>
      </c>
      <c r="B23" s="13" t="s">
        <v>73</v>
      </c>
      <c r="C23" s="13" t="s">
        <v>74</v>
      </c>
      <c r="D23" s="18">
        <v>150000</v>
      </c>
      <c r="E23" s="19">
        <v>0</v>
      </c>
      <c r="F23" s="15">
        <v>12</v>
      </c>
      <c r="G23" s="19">
        <v>1</v>
      </c>
      <c r="H23" s="13" t="s">
        <v>7</v>
      </c>
    </row>
    <row r="24" spans="1:8" x14ac:dyDescent="0.25">
      <c r="A24" s="13" t="s">
        <v>75</v>
      </c>
      <c r="B24" s="13" t="s">
        <v>73</v>
      </c>
      <c r="C24" s="13" t="s">
        <v>74</v>
      </c>
      <c r="D24" s="18">
        <v>25000</v>
      </c>
      <c r="E24" s="19">
        <v>0</v>
      </c>
      <c r="F24" s="15">
        <v>12</v>
      </c>
      <c r="G24" s="19">
        <v>1</v>
      </c>
      <c r="H24" s="13" t="s">
        <v>7</v>
      </c>
    </row>
    <row r="25" spans="1:8" x14ac:dyDescent="0.25">
      <c r="A25" s="13" t="s">
        <v>76</v>
      </c>
      <c r="B25" s="13" t="s">
        <v>77</v>
      </c>
      <c r="C25" s="13" t="s">
        <v>69</v>
      </c>
      <c r="D25" s="18">
        <v>400</v>
      </c>
      <c r="E25" s="19">
        <v>0</v>
      </c>
      <c r="F25" s="15">
        <v>12</v>
      </c>
      <c r="G25" s="19">
        <v>1</v>
      </c>
      <c r="H25" s="13" t="s">
        <v>7</v>
      </c>
    </row>
    <row r="28" ht="24" customHeight="1" spans="1:9" x14ac:dyDescent="0.25">
      <c r="A28" s="12" t="s">
        <v>78</v>
      </c>
      <c r="B28" s="12" t="s">
        <v>79</v>
      </c>
      <c r="C28" s="12" t="s">
        <v>80</v>
      </c>
      <c r="D28" s="12" t="s">
        <v>81</v>
      </c>
      <c r="E28" s="12" t="s">
        <v>82</v>
      </c>
      <c r="F28" s="12" t="s">
        <v>83</v>
      </c>
      <c r="G28" s="12" t="s">
        <v>84</v>
      </c>
      <c r="H28" s="12" t="s">
        <v>85</v>
      </c>
      <c r="I28" s="12" t="s">
        <v>86</v>
      </c>
    </row>
    <row r="29" spans="1:9" x14ac:dyDescent="0.25">
      <c r="A29" s="13" t="s">
        <v>87</v>
      </c>
      <c r="B29" s="13" t="s">
        <v>88</v>
      </c>
      <c r="C29" s="13" t="s">
        <v>89</v>
      </c>
      <c r="D29" s="20">
        <v>1</v>
      </c>
      <c r="E29" s="18">
        <v>105000</v>
      </c>
      <c r="F29" s="19">
        <v>0.26</v>
      </c>
      <c r="G29" s="19">
        <v>0.0765</v>
      </c>
      <c r="H29" s="13" t="s">
        <v>90</v>
      </c>
      <c r="I29" s="13" t="s">
        <v>7</v>
      </c>
    </row>
    <row r="30" spans="1:9" x14ac:dyDescent="0.25">
      <c r="A30" s="13" t="s">
        <v>91</v>
      </c>
      <c r="B30" s="13" t="s">
        <v>88</v>
      </c>
      <c r="C30" s="13" t="s">
        <v>89</v>
      </c>
      <c r="D30" s="20">
        <v>1</v>
      </c>
      <c r="E30" s="18">
        <v>82000</v>
      </c>
      <c r="F30" s="19">
        <v>0.26</v>
      </c>
      <c r="G30" s="19">
        <v>0.0765</v>
      </c>
      <c r="H30" s="13" t="s">
        <v>90</v>
      </c>
      <c r="I30" s="13" t="s">
        <v>7</v>
      </c>
    </row>
    <row r="31" spans="1:9" x14ac:dyDescent="0.25">
      <c r="A31" s="13" t="s">
        <v>92</v>
      </c>
      <c r="B31" s="13" t="s">
        <v>93</v>
      </c>
      <c r="C31" s="13" t="s">
        <v>89</v>
      </c>
      <c r="D31" s="20">
        <v>5</v>
      </c>
      <c r="E31" s="18">
        <v>50000</v>
      </c>
      <c r="F31" s="19">
        <v>0.26</v>
      </c>
      <c r="G31" s="19">
        <v>0.0765</v>
      </c>
      <c r="H31" s="13" t="s">
        <v>90</v>
      </c>
      <c r="I31" s="13" t="s">
        <v>7</v>
      </c>
    </row>
    <row r="32" spans="1:9" x14ac:dyDescent="0.25">
      <c r="A32" s="13" t="s">
        <v>94</v>
      </c>
      <c r="B32" s="13" t="s">
        <v>93</v>
      </c>
      <c r="C32" s="13" t="s">
        <v>89</v>
      </c>
      <c r="D32" s="20">
        <v>1</v>
      </c>
      <c r="E32" s="18">
        <v>53000</v>
      </c>
      <c r="F32" s="19">
        <v>0.26</v>
      </c>
      <c r="G32" s="19">
        <v>0.0765</v>
      </c>
      <c r="H32" s="13" t="s">
        <v>90</v>
      </c>
      <c r="I32" s="13" t="s">
        <v>7</v>
      </c>
    </row>
    <row r="33" spans="1:9" x14ac:dyDescent="0.25">
      <c r="A33" s="13" t="s">
        <v>95</v>
      </c>
      <c r="B33" s="13" t="s">
        <v>93</v>
      </c>
      <c r="C33" s="13" t="s">
        <v>89</v>
      </c>
      <c r="D33" s="20">
        <v>3</v>
      </c>
      <c r="E33" s="18">
        <v>28000</v>
      </c>
      <c r="F33" s="19">
        <v>0.18</v>
      </c>
      <c r="G33" s="19">
        <v>0.0765</v>
      </c>
      <c r="H33" s="13" t="s">
        <v>90</v>
      </c>
      <c r="I33" s="13" t="s">
        <v>7</v>
      </c>
    </row>
    <row r="34" spans="1:9" x14ac:dyDescent="0.25">
      <c r="A34" s="13" t="s">
        <v>96</v>
      </c>
      <c r="B34" s="13" t="s">
        <v>97</v>
      </c>
      <c r="C34" s="13" t="s">
        <v>89</v>
      </c>
      <c r="D34" s="20">
        <v>1</v>
      </c>
      <c r="E34" s="18">
        <v>62000</v>
      </c>
      <c r="F34" s="19">
        <v>0.26</v>
      </c>
      <c r="G34" s="19">
        <v>0.0765</v>
      </c>
      <c r="H34" s="13" t="s">
        <v>90</v>
      </c>
      <c r="I34" s="13" t="s">
        <v>7</v>
      </c>
    </row>
    <row r="35" spans="1:9" x14ac:dyDescent="0.25">
      <c r="A35" s="13" t="s">
        <v>98</v>
      </c>
      <c r="B35" s="13" t="s">
        <v>99</v>
      </c>
      <c r="C35" s="13" t="s">
        <v>89</v>
      </c>
      <c r="D35" s="20">
        <v>2</v>
      </c>
      <c r="E35" s="18">
        <v>36000</v>
      </c>
      <c r="F35" s="19">
        <v>0.22</v>
      </c>
      <c r="G35" s="19">
        <v>0.0765</v>
      </c>
      <c r="H35" s="13" t="s">
        <v>90</v>
      </c>
      <c r="I35" s="13" t="s">
        <v>7</v>
      </c>
    </row>
    <row r="37" ht="24" customHeight="1" spans="1:4" x14ac:dyDescent="0.25">
      <c r="A37" s="12" t="s">
        <v>100</v>
      </c>
      <c r="B37" s="12" t="s">
        <v>101</v>
      </c>
      <c r="C37" s="12" t="s">
        <v>102</v>
      </c>
      <c r="D37" s="12"/>
    </row>
    <row r="38" spans="1:2" x14ac:dyDescent="0.25">
      <c r="A38" s="13" t="s">
        <v>103</v>
      </c>
      <c r="B38" s="14" t="s">
        <v>104</v>
      </c>
    </row>
    <row r="39" spans="1:3" x14ac:dyDescent="0.25">
      <c r="A39" s="13" t="s">
        <v>105</v>
      </c>
      <c r="B39" s="18">
        <v>22000</v>
      </c>
      <c r="C39" s="13" t="s">
        <v>106</v>
      </c>
    </row>
    <row r="40" spans="1:2" x14ac:dyDescent="0.25">
      <c r="A40" s="13" t="s">
        <v>107</v>
      </c>
      <c r="B40" s="19">
        <v>0.03</v>
      </c>
    </row>
    <row r="42" ht="24" customHeight="1" spans="1:7" x14ac:dyDescent="0.25">
      <c r="A42" s="12" t="s">
        <v>108</v>
      </c>
      <c r="B42" s="12" t="s">
        <v>60</v>
      </c>
      <c r="C42" s="12" t="s">
        <v>61</v>
      </c>
      <c r="D42" s="12" t="s">
        <v>62</v>
      </c>
      <c r="E42" s="12" t="s">
        <v>63</v>
      </c>
      <c r="F42" s="12" t="s">
        <v>66</v>
      </c>
      <c r="G42" s="12"/>
    </row>
    <row r="43" spans="1:6" x14ac:dyDescent="0.25">
      <c r="A43" s="13" t="s">
        <v>109</v>
      </c>
      <c r="B43" s="13" t="s">
        <v>110</v>
      </c>
      <c r="C43" s="13" t="s">
        <v>106</v>
      </c>
      <c r="D43" s="18">
        <v>22000</v>
      </c>
      <c r="E43" s="19">
        <v>0.03</v>
      </c>
      <c r="F43" s="13" t="s">
        <v>7</v>
      </c>
    </row>
    <row r="44" spans="1:6" x14ac:dyDescent="0.25">
      <c r="A44" s="13" t="s">
        <v>111</v>
      </c>
      <c r="B44" s="13" t="s">
        <v>110</v>
      </c>
      <c r="C44" s="13" t="s">
        <v>106</v>
      </c>
      <c r="D44" s="18">
        <v>3000</v>
      </c>
      <c r="E44" s="19">
        <v>0</v>
      </c>
      <c r="F44" s="13" t="s">
        <v>7</v>
      </c>
    </row>
    <row r="45" spans="1:6" x14ac:dyDescent="0.25">
      <c r="A45" s="13" t="s">
        <v>112</v>
      </c>
      <c r="B45" s="13" t="s">
        <v>110</v>
      </c>
      <c r="C45" s="13" t="s">
        <v>74</v>
      </c>
      <c r="D45" s="18">
        <v>22000</v>
      </c>
      <c r="E45" s="19">
        <v>0</v>
      </c>
      <c r="F45" s="13" t="s">
        <v>7</v>
      </c>
    </row>
    <row r="46" spans="1:6" x14ac:dyDescent="0.25">
      <c r="A46" s="13" t="s">
        <v>113</v>
      </c>
      <c r="B46" s="13" t="s">
        <v>114</v>
      </c>
      <c r="C46" s="13" t="s">
        <v>69</v>
      </c>
      <c r="D46" s="18">
        <v>650</v>
      </c>
      <c r="E46" s="19">
        <v>0</v>
      </c>
      <c r="F46" s="13" t="s">
        <v>7</v>
      </c>
    </row>
    <row r="47" spans="1:6" x14ac:dyDescent="0.25">
      <c r="A47" s="13" t="s">
        <v>115</v>
      </c>
      <c r="B47" s="13" t="s">
        <v>116</v>
      </c>
      <c r="C47" s="13" t="s">
        <v>69</v>
      </c>
      <c r="D47" s="18">
        <v>450</v>
      </c>
      <c r="E47" s="19">
        <v>0</v>
      </c>
      <c r="F47" s="13" t="s">
        <v>7</v>
      </c>
    </row>
    <row r="48" spans="1:6" x14ac:dyDescent="0.25">
      <c r="A48" s="13" t="s">
        <v>117</v>
      </c>
      <c r="B48" s="13" t="s">
        <v>118</v>
      </c>
      <c r="C48" s="13" t="s">
        <v>74</v>
      </c>
      <c r="D48" s="18">
        <v>30000</v>
      </c>
      <c r="E48" s="19">
        <v>0</v>
      </c>
      <c r="F48" s="13" t="s">
        <v>7</v>
      </c>
    </row>
    <row r="49" spans="1:6" x14ac:dyDescent="0.25">
      <c r="A49" s="13" t="s">
        <v>119</v>
      </c>
      <c r="B49" s="13" t="s">
        <v>118</v>
      </c>
      <c r="C49" s="13" t="s">
        <v>74</v>
      </c>
      <c r="D49" s="18">
        <v>12000</v>
      </c>
      <c r="E49" s="19">
        <v>0</v>
      </c>
      <c r="F49" s="13" t="s">
        <v>7</v>
      </c>
    </row>
    <row r="50" spans="1:6" x14ac:dyDescent="0.25">
      <c r="A50" s="13" t="s">
        <v>120</v>
      </c>
      <c r="B50" s="13" t="s">
        <v>118</v>
      </c>
      <c r="C50" s="13" t="s">
        <v>74</v>
      </c>
      <c r="D50" s="18">
        <v>18000</v>
      </c>
      <c r="E50" s="19">
        <v>0</v>
      </c>
      <c r="F50" s="13" t="s">
        <v>7</v>
      </c>
    </row>
    <row r="51" spans="1:6" x14ac:dyDescent="0.25">
      <c r="A51" s="13" t="s">
        <v>121</v>
      </c>
      <c r="B51" s="13" t="s">
        <v>118</v>
      </c>
      <c r="C51" s="13" t="s">
        <v>69</v>
      </c>
      <c r="D51" s="18">
        <v>750</v>
      </c>
      <c r="E51" s="19">
        <v>0</v>
      </c>
      <c r="F51" s="13" t="s">
        <v>7</v>
      </c>
    </row>
    <row r="53" ht="24" customHeight="1" spans="1:8" x14ac:dyDescent="0.25">
      <c r="A53" s="12" t="s">
        <v>122</v>
      </c>
      <c r="B53" s="12" t="s">
        <v>123</v>
      </c>
      <c r="C53" s="12" t="s">
        <v>62</v>
      </c>
      <c r="D53" s="12" t="s">
        <v>124</v>
      </c>
      <c r="E53" s="12" t="s">
        <v>125</v>
      </c>
      <c r="F53" s="12" t="s">
        <v>126</v>
      </c>
      <c r="G53" s="12" t="s">
        <v>127</v>
      </c>
      <c r="H53" s="12" t="s">
        <v>66</v>
      </c>
    </row>
    <row r="54" spans="1:8" x14ac:dyDescent="0.25">
      <c r="A54" s="13" t="s">
        <v>128</v>
      </c>
      <c r="B54" s="13" t="s">
        <v>90</v>
      </c>
      <c r="C54" s="21">
        <v>0</v>
      </c>
      <c r="D54" s="18">
        <v>350000</v>
      </c>
      <c r="E54" s="22">
        <v>0.06</v>
      </c>
      <c r="F54" s="15">
        <v>10</v>
      </c>
      <c r="G54" s="21">
        <v>46629</v>
      </c>
      <c r="H54" s="13" t="s">
        <v>7</v>
      </c>
    </row>
    <row r="55" spans="1:8" x14ac:dyDescent="0.25">
      <c r="A55" s="13" t="s">
        <v>129</v>
      </c>
      <c r="B55" s="13" t="s">
        <v>130</v>
      </c>
      <c r="C55" s="18">
        <v>60000</v>
      </c>
      <c r="D55" s="13">
        <v>0</v>
      </c>
      <c r="E55" s="13" t="s">
        <v>7</v>
      </c>
      <c r="F55" s="13" t="s">
        <v>7</v>
      </c>
      <c r="G55" s="13" t="s">
        <v>7</v>
      </c>
      <c r="H55" s="13" t="s">
        <v>7</v>
      </c>
    </row>
    <row r="57" ht="24" customHeight="1" spans="1:3" x14ac:dyDescent="0.25">
      <c r="A57" s="12" t="s">
        <v>131</v>
      </c>
      <c r="B57" s="12"/>
      <c r="C57" s="12"/>
    </row>
    <row r="58" spans="1:2" x14ac:dyDescent="0.25">
      <c r="A58" s="13" t="s">
        <v>132</v>
      </c>
      <c r="B58" s="19">
        <v>0</v>
      </c>
    </row>
    <row r="59" spans="1:2" x14ac:dyDescent="0.25">
      <c r="A59" s="13" t="s">
        <v>133</v>
      </c>
      <c r="B59" s="19">
        <v>0</v>
      </c>
    </row>
    <row r="60" spans="1:3" x14ac:dyDescent="0.25">
      <c r="A60" s="13" t="s">
        <v>134</v>
      </c>
      <c r="B60" s="20">
        <v>0.8333333333333334</v>
      </c>
      <c r="C60" s="23" t="s">
        <v>135</v>
      </c>
    </row>
    <row r="61" spans="1:2" x14ac:dyDescent="0.25">
      <c r="A61" s="13" t="s">
        <v>136</v>
      </c>
      <c r="B61" s="19">
        <v>0.03</v>
      </c>
    </row>
    <row r="62" spans="1:2" x14ac:dyDescent="0.25">
      <c r="A62" s="13" t="s">
        <v>137</v>
      </c>
      <c r="B62" s="19">
        <v>0</v>
      </c>
    </row>
    <row r="63" spans="1:2" x14ac:dyDescent="0.25">
      <c r="A63" s="13" t="s">
        <v>138</v>
      </c>
      <c r="B63" s="18">
        <v>0</v>
      </c>
    </row>
    <row r="65" ht="24" customHeight="1" spans="1:7" x14ac:dyDescent="0.25">
      <c r="A65" s="12" t="s">
        <v>139</v>
      </c>
      <c r="B65" s="12"/>
      <c r="C65" s="12"/>
      <c r="D65" s="12"/>
      <c r="E65" s="12"/>
      <c r="F65" s="12"/>
      <c r="G65" s="12"/>
    </row>
    <row r="66" spans="1:2" x14ac:dyDescent="0.25">
      <c r="A66" s="13" t="s">
        <v>140</v>
      </c>
      <c r="B66" s="14" t="s">
        <v>141</v>
      </c>
    </row>
    <row r="67" spans="1:2" x14ac:dyDescent="0.25">
      <c r="A67" s="13" t="s">
        <v>142</v>
      </c>
      <c r="B67" s="14" t="s">
        <v>106</v>
      </c>
    </row>
    <row r="68" spans="1:2" x14ac:dyDescent="0.25">
      <c r="A68" s="13" t="s">
        <v>143</v>
      </c>
      <c r="B68" s="15">
        <v>0</v>
      </c>
    </row>
    <row r="69" spans="1:2" x14ac:dyDescent="0.25">
      <c r="A69" s="13" t="s">
        <v>144</v>
      </c>
      <c r="B69" s="15">
        <v>0</v>
      </c>
    </row>
    <row r="70" spans="1:2" x14ac:dyDescent="0.25">
      <c r="A70" s="13" t="s">
        <v>145</v>
      </c>
      <c r="B70" s="24">
        <v>0.95</v>
      </c>
    </row>
    <row r="72" ht="28" customHeight="1" spans="1:4" x14ac:dyDescent="0.25">
      <c r="A72" s="25" t="s">
        <v>146</v>
      </c>
      <c r="B72" s="25" t="s">
        <v>147</v>
      </c>
      <c r="C72" s="25" t="s">
        <v>148</v>
      </c>
      <c r="D72" s="25" t="s">
        <v>149</v>
      </c>
    </row>
    <row r="73" spans="1:4" x14ac:dyDescent="0.25">
      <c r="A73" s="13" t="s">
        <v>150</v>
      </c>
      <c r="B73" s="18">
        <v>8200</v>
      </c>
      <c r="C73" s="18">
        <v>9100</v>
      </c>
      <c r="D73" s="18">
        <v>10500</v>
      </c>
    </row>
    <row r="75" ht="28" customHeight="1" spans="1:6" x14ac:dyDescent="0.25">
      <c r="A75" s="25" t="s">
        <v>151</v>
      </c>
      <c r="B75" s="25" t="s">
        <v>53</v>
      </c>
      <c r="C75" s="25" t="s">
        <v>54</v>
      </c>
      <c r="D75" s="25" t="s">
        <v>55</v>
      </c>
      <c r="E75" s="25" t="s">
        <v>56</v>
      </c>
      <c r="F75" s="25" t="s">
        <v>57</v>
      </c>
    </row>
    <row r="76" spans="1:6" x14ac:dyDescent="0.25">
      <c r="A76" s="13" t="s">
        <v>152</v>
      </c>
      <c r="B76" s="15">
        <v>80</v>
      </c>
      <c r="C76" s="15">
        <v>130</v>
      </c>
      <c r="D76" s="15">
        <v>180</v>
      </c>
      <c r="E76" s="15">
        <v>230</v>
      </c>
      <c r="F76" s="15">
        <v>260</v>
      </c>
    </row>
    <row r="77" spans="1:6" x14ac:dyDescent="0.25">
      <c r="A77" s="13" t="s">
        <v>153</v>
      </c>
      <c r="B77" s="15">
        <v>40</v>
      </c>
      <c r="C77" s="15">
        <v>70</v>
      </c>
      <c r="D77" s="15">
        <v>100</v>
      </c>
      <c r="E77" s="15">
        <v>120</v>
      </c>
      <c r="F77" s="15">
        <v>140</v>
      </c>
    </row>
    <row r="78" spans="1:6" x14ac:dyDescent="0.25">
      <c r="A78" s="13" t="s">
        <v>154</v>
      </c>
      <c r="B78" s="15">
        <v>0</v>
      </c>
      <c r="C78" s="15">
        <v>0</v>
      </c>
      <c r="D78" s="15">
        <v>20</v>
      </c>
      <c r="E78" s="15">
        <v>50</v>
      </c>
      <c r="F78" s="15">
        <v>100</v>
      </c>
    </row>
    <row r="80" spans="1:7" x14ac:dyDescent="0.25">
      <c r="A80" s="26" t="s">
        <v>155</v>
      </c>
      <c r="B80" s="26"/>
      <c r="C80" s="26"/>
      <c r="D80" s="26"/>
      <c r="E80" s="26"/>
      <c r="F80" s="26"/>
      <c r="G80" s="26"/>
    </row>
  </sheetData>
  <mergeCells count="4">
    <mergeCell ref="A1:G1"/>
    <mergeCell ref="B5:D5"/>
    <mergeCell ref="B10:D10"/>
    <mergeCell ref="A80:G80"/>
  </mergeCells>
  <pageMargins left="0.25" right="0.25" top="0.5" bottom="0.5" header="0.3" footer="0.3"/>
  <pageSetup paperSize="1" orientation="landscape" horizontalDpi="4294967295" verticalDpi="4294967295" scale="100" fitToWidth="1" fitToHeight="0"/>
  <headerFooter>
    <oddHeader>&amp;L&amp;10&amp;BHeritage Academy Charter&amp;R&amp;8&amp;IAssumptions</oddHeader>
    <oddFooter>&amp;L&amp;8Built by SchoolStack Budget  •  budget.schoolstack.ai&amp;C&amp;8Page &amp;P of &amp;N&amp;R&amp;8&amp;D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5"/>
  <sheetViews>
    <sheetView workbookViewId="0">
      <pane xSplit="1" ySplit="2" topLeftCell="B3" activePane="bottomRight" state="frozen"/>
      <selection pane="bottomRight" activeCell="B3" sqref="B3"/>
    </sheetView>
  </sheetViews>
  <sheetFormatPr defaultRowHeight="15" outlineLevelRow="0" outlineLevelCol="0" x14ac:dyDescent="55"/>
  <cols>
    <col min="1" max="1" width="38" customWidth="1"/>
    <col min="2" max="6" width="16" customWidth="1"/>
  </cols>
  <sheetData>
    <row r="1" ht="32" customHeight="1" spans="1:6" x14ac:dyDescent="0.25">
      <c r="A1" s="8" t="s">
        <v>156</v>
      </c>
      <c r="B1" s="8"/>
      <c r="C1" s="8"/>
      <c r="D1" s="8"/>
      <c r="E1" s="8"/>
      <c r="F1" s="8"/>
    </row>
    <row r="2" ht="28" customHeight="1" spans="1:6" x14ac:dyDescent="0.25">
      <c r="A2" s="25" t="s">
        <v>7</v>
      </c>
      <c r="B2" s="25" t="s">
        <v>53</v>
      </c>
      <c r="C2" s="25" t="s">
        <v>54</v>
      </c>
      <c r="D2" s="25" t="s">
        <v>55</v>
      </c>
      <c r="E2" s="25" t="s">
        <v>56</v>
      </c>
      <c r="F2" s="25" t="s">
        <v>57</v>
      </c>
    </row>
    <row r="3" spans="1:6" x14ac:dyDescent="0.25">
      <c r="A3" s="27" t="s">
        <v>58</v>
      </c>
      <c r="B3" s="28">
        <f>Assumptions!B17</f>
        <v>120</v>
      </c>
      <c r="C3" s="28">
        <f>Assumptions!C17</f>
        <v>200</v>
      </c>
      <c r="D3" s="28">
        <f>Assumptions!D17</f>
        <v>300</v>
      </c>
      <c r="E3" s="28">
        <f>Assumptions!E17</f>
        <v>400</v>
      </c>
      <c r="F3" s="28">
        <f>Assumptions!F17</f>
        <v>500</v>
      </c>
    </row>
    <row r="5" ht="24" customHeight="1" spans="1:6" x14ac:dyDescent="0.25">
      <c r="A5" s="12" t="s">
        <v>157</v>
      </c>
      <c r="B5" s="12"/>
      <c r="C5" s="12"/>
      <c r="D5" s="12"/>
      <c r="E5" s="12"/>
      <c r="F5" s="12"/>
    </row>
    <row r="6" spans="1:6" x14ac:dyDescent="0.25">
      <c r="A6" s="13" t="s">
        <v>67</v>
      </c>
      <c r="B6" s="21">
        <v>807500</v>
      </c>
      <c r="C6" s="21">
        <v>1617850</v>
      </c>
      <c r="D6" s="21">
        <v>2466200</v>
      </c>
      <c r="E6" s="21">
        <v>3327850</v>
      </c>
      <c r="F6" s="21">
        <v>4233200</v>
      </c>
    </row>
    <row r="7" spans="1:6" x14ac:dyDescent="0.25">
      <c r="A7" s="13" t="s">
        <v>70</v>
      </c>
      <c r="B7" s="21">
        <v>75000</v>
      </c>
      <c r="C7" s="21">
        <v>153000</v>
      </c>
      <c r="D7" s="21">
        <v>234000</v>
      </c>
      <c r="E7" s="21">
        <v>318400</v>
      </c>
      <c r="F7" s="21">
        <v>406000</v>
      </c>
    </row>
    <row r="8" spans="1:6" x14ac:dyDescent="0.25">
      <c r="A8" s="13" t="s">
        <v>71</v>
      </c>
      <c r="B8" s="21">
        <v>110000</v>
      </c>
      <c r="C8" s="21">
        <v>224400</v>
      </c>
      <c r="D8" s="21">
        <v>343200</v>
      </c>
      <c r="E8" s="21">
        <v>466800</v>
      </c>
      <c r="F8" s="21">
        <v>595500</v>
      </c>
    </row>
    <row r="9" spans="1:6" x14ac:dyDescent="0.25">
      <c r="A9" s="13" t="s">
        <v>72</v>
      </c>
      <c r="B9" s="21">
        <v>125000</v>
      </c>
      <c r="C9" s="21">
        <v>100000</v>
      </c>
      <c r="D9" s="21">
        <v>50000</v>
      </c>
      <c r="E9" s="21">
        <v>0</v>
      </c>
      <c r="F9" s="21">
        <v>0</v>
      </c>
    </row>
    <row r="10" spans="1:6" x14ac:dyDescent="0.25">
      <c r="A10" s="13" t="s">
        <v>75</v>
      </c>
      <c r="B10" s="21">
        <v>20833</v>
      </c>
      <c r="C10" s="21">
        <v>35000</v>
      </c>
      <c r="D10" s="21">
        <v>45000</v>
      </c>
      <c r="E10" s="21">
        <v>55000</v>
      </c>
      <c r="F10" s="21">
        <v>65000</v>
      </c>
    </row>
    <row r="11" spans="1:6" x14ac:dyDescent="0.25">
      <c r="A11" s="13" t="s">
        <v>76</v>
      </c>
      <c r="B11" s="21">
        <v>40000</v>
      </c>
      <c r="C11" s="21">
        <v>82400</v>
      </c>
      <c r="D11" s="21">
        <v>127200</v>
      </c>
      <c r="E11" s="21">
        <v>174800</v>
      </c>
      <c r="F11" s="21">
        <v>225000</v>
      </c>
    </row>
    <row r="12" ht="24" customHeight="1" spans="1:6" x14ac:dyDescent="0.25">
      <c r="A12" s="12" t="s">
        <v>158</v>
      </c>
      <c r="B12" s="29">
        <f>SUM(B6:B11)</f>
        <v>1178333</v>
      </c>
      <c r="C12" s="29">
        <f>SUM(C6:C11)</f>
        <v>2212650</v>
      </c>
      <c r="D12" s="29">
        <f>SUM(D6:D11)</f>
        <v>3265600</v>
      </c>
      <c r="E12" s="29">
        <f>SUM(E6:E11)</f>
        <v>4342850</v>
      </c>
      <c r="F12" s="29">
        <f>SUM(F6:F11)</f>
        <v>5524700</v>
      </c>
    </row>
    <row r="14" ht="24" customHeight="1" spans="1:6" x14ac:dyDescent="0.25">
      <c r="A14" s="12" t="s">
        <v>159</v>
      </c>
      <c r="B14" s="12"/>
      <c r="C14" s="12"/>
      <c r="D14" s="12"/>
      <c r="E14" s="12"/>
      <c r="F14" s="12"/>
    </row>
    <row r="15" spans="1:6" x14ac:dyDescent="0.25">
      <c r="A15" s="13" t="s">
        <v>160</v>
      </c>
      <c r="B15" s="21">
        <v>116944</v>
      </c>
      <c r="C15" s="21">
        <v>140333</v>
      </c>
      <c r="D15" s="21">
        <v>140333</v>
      </c>
      <c r="E15" s="21">
        <v>140333</v>
      </c>
      <c r="F15" s="21">
        <v>140333</v>
      </c>
    </row>
    <row r="16" spans="1:6" x14ac:dyDescent="0.25">
      <c r="A16" s="13" t="s">
        <v>161</v>
      </c>
      <c r="B16" s="21">
        <v>91328</v>
      </c>
      <c r="C16" s="21">
        <v>109593</v>
      </c>
      <c r="D16" s="21">
        <v>109593</v>
      </c>
      <c r="E16" s="21">
        <v>109593</v>
      </c>
      <c r="F16" s="21">
        <v>109593</v>
      </c>
    </row>
    <row r="17" spans="1:6" x14ac:dyDescent="0.25">
      <c r="A17" s="13" t="s">
        <v>162</v>
      </c>
      <c r="B17" s="21">
        <v>278438</v>
      </c>
      <c r="C17" s="21">
        <v>334125</v>
      </c>
      <c r="D17" s="21">
        <v>334125</v>
      </c>
      <c r="E17" s="21">
        <v>334125</v>
      </c>
      <c r="F17" s="21">
        <v>334125</v>
      </c>
    </row>
    <row r="18" spans="1:6" x14ac:dyDescent="0.25">
      <c r="A18" s="13" t="s">
        <v>163</v>
      </c>
      <c r="B18" s="21">
        <v>59029</v>
      </c>
      <c r="C18" s="21">
        <v>70835</v>
      </c>
      <c r="D18" s="21">
        <v>70835</v>
      </c>
      <c r="E18" s="21">
        <v>70835</v>
      </c>
      <c r="F18" s="21">
        <v>70835</v>
      </c>
    </row>
    <row r="19" spans="1:6" x14ac:dyDescent="0.25">
      <c r="A19" s="13" t="s">
        <v>164</v>
      </c>
      <c r="B19" s="21">
        <v>87955</v>
      </c>
      <c r="C19" s="21">
        <v>105546</v>
      </c>
      <c r="D19" s="21">
        <v>105546</v>
      </c>
      <c r="E19" s="21">
        <v>105546</v>
      </c>
      <c r="F19" s="21">
        <v>105546</v>
      </c>
    </row>
    <row r="20" spans="1:6" x14ac:dyDescent="0.25">
      <c r="A20" s="13" t="s">
        <v>165</v>
      </c>
      <c r="B20" s="21">
        <v>69053</v>
      </c>
      <c r="C20" s="21">
        <v>82863</v>
      </c>
      <c r="D20" s="21">
        <v>82863</v>
      </c>
      <c r="E20" s="21">
        <v>82863</v>
      </c>
      <c r="F20" s="21">
        <v>82863</v>
      </c>
    </row>
    <row r="21" spans="1:6" x14ac:dyDescent="0.25">
      <c r="A21" s="13" t="s">
        <v>166</v>
      </c>
      <c r="B21" s="21">
        <v>77790</v>
      </c>
      <c r="C21" s="21">
        <v>93348</v>
      </c>
      <c r="D21" s="21">
        <v>93348</v>
      </c>
      <c r="E21" s="21">
        <v>93348</v>
      </c>
      <c r="F21" s="21">
        <v>93348</v>
      </c>
    </row>
    <row r="22" ht="24" customHeight="1" spans="1:6" x14ac:dyDescent="0.25">
      <c r="A22" s="12" t="s">
        <v>167</v>
      </c>
      <c r="B22" s="29">
        <f>SUM(B15:B21)</f>
        <v>780535</v>
      </c>
      <c r="C22" s="29">
        <f>SUM(C15:C21)</f>
        <v>936642</v>
      </c>
      <c r="D22" s="29">
        <f>SUM(D15:D21)</f>
        <v>936642</v>
      </c>
      <c r="E22" s="29">
        <f>SUM(E15:E21)</f>
        <v>936642</v>
      </c>
      <c r="F22" s="29">
        <f>SUM(F15:F21)</f>
        <v>936642</v>
      </c>
    </row>
    <row r="24" ht="24" customHeight="1" spans="1:6" x14ac:dyDescent="0.25">
      <c r="A24" s="12" t="s">
        <v>108</v>
      </c>
      <c r="B24" s="12"/>
      <c r="C24" s="12"/>
      <c r="D24" s="12"/>
      <c r="E24" s="12"/>
      <c r="F24" s="12"/>
    </row>
    <row r="25" spans="1:6" x14ac:dyDescent="0.25">
      <c r="A25" s="13" t="s">
        <v>114</v>
      </c>
      <c r="B25" s="13"/>
      <c r="C25" s="13"/>
      <c r="D25" s="13"/>
      <c r="E25" s="13"/>
      <c r="F25" s="13"/>
    </row>
    <row r="26" spans="1:6" x14ac:dyDescent="0.25">
      <c r="A26" s="13" t="s">
        <v>168</v>
      </c>
      <c r="B26" s="21">
        <v>65000</v>
      </c>
      <c r="C26" s="21">
        <v>134000</v>
      </c>
      <c r="D26" s="21">
        <v>207000</v>
      </c>
      <c r="E26" s="21">
        <v>284000</v>
      </c>
      <c r="F26" s="21">
        <v>366000</v>
      </c>
    </row>
    <row r="27" spans="1:6" x14ac:dyDescent="0.25">
      <c r="A27" s="30" t="s">
        <v>169</v>
      </c>
      <c r="B27" s="31">
        <v>65000</v>
      </c>
      <c r="C27" s="31">
        <v>134000</v>
      </c>
      <c r="D27" s="31">
        <v>207000</v>
      </c>
      <c r="E27" s="31">
        <v>284000</v>
      </c>
      <c r="F27" s="31">
        <v>366000</v>
      </c>
    </row>
    <row r="28" spans="1:6" x14ac:dyDescent="0.25">
      <c r="A28" s="13" t="s">
        <v>116</v>
      </c>
      <c r="B28" s="13"/>
      <c r="C28" s="13"/>
      <c r="D28" s="13"/>
      <c r="E28" s="13"/>
      <c r="F28" s="13"/>
    </row>
    <row r="29" spans="1:6" x14ac:dyDescent="0.25">
      <c r="A29" s="13" t="s">
        <v>170</v>
      </c>
      <c r="B29" s="21">
        <v>45000</v>
      </c>
      <c r="C29" s="21">
        <v>92800</v>
      </c>
      <c r="D29" s="21">
        <v>143400</v>
      </c>
      <c r="E29" s="21">
        <v>196800</v>
      </c>
      <c r="F29" s="21">
        <v>253500</v>
      </c>
    </row>
    <row r="30" spans="1:6" x14ac:dyDescent="0.25">
      <c r="A30" s="30" t="s">
        <v>171</v>
      </c>
      <c r="B30" s="31">
        <v>45000</v>
      </c>
      <c r="C30" s="31">
        <v>92800</v>
      </c>
      <c r="D30" s="31">
        <v>143400</v>
      </c>
      <c r="E30" s="31">
        <v>196800</v>
      </c>
      <c r="F30" s="31">
        <v>253500</v>
      </c>
    </row>
    <row r="31" spans="1:6" x14ac:dyDescent="0.25">
      <c r="A31" s="13" t="s">
        <v>110</v>
      </c>
      <c r="B31" s="13"/>
      <c r="C31" s="13"/>
      <c r="D31" s="13"/>
      <c r="E31" s="13"/>
      <c r="F31" s="13"/>
    </row>
    <row r="32" spans="1:6" x14ac:dyDescent="0.25">
      <c r="A32" s="13" t="s">
        <v>172</v>
      </c>
      <c r="B32" s="21">
        <v>220000</v>
      </c>
      <c r="C32" s="21">
        <v>271920</v>
      </c>
      <c r="D32" s="21">
        <v>280078</v>
      </c>
      <c r="E32" s="21">
        <v>288480</v>
      </c>
      <c r="F32" s="21">
        <v>297134</v>
      </c>
    </row>
    <row r="33" spans="1:6" x14ac:dyDescent="0.25">
      <c r="A33" s="13" t="s">
        <v>173</v>
      </c>
      <c r="B33" s="21">
        <v>30000</v>
      </c>
      <c r="C33" s="21">
        <v>37080</v>
      </c>
      <c r="D33" s="21">
        <v>38196</v>
      </c>
      <c r="E33" s="21">
        <v>39336</v>
      </c>
      <c r="F33" s="21">
        <v>40524</v>
      </c>
    </row>
    <row r="34" spans="1:6" x14ac:dyDescent="0.25">
      <c r="A34" s="13" t="s">
        <v>174</v>
      </c>
      <c r="B34" s="21">
        <v>18333</v>
      </c>
      <c r="C34" s="21">
        <v>22660</v>
      </c>
      <c r="D34" s="21">
        <v>23340</v>
      </c>
      <c r="E34" s="21">
        <v>24040</v>
      </c>
      <c r="F34" s="21">
        <v>24761</v>
      </c>
    </row>
    <row r="35" spans="1:6" x14ac:dyDescent="0.25">
      <c r="A35" s="30" t="s">
        <v>175</v>
      </c>
      <c r="B35" s="31">
        <v>268333</v>
      </c>
      <c r="C35" s="31">
        <v>331660</v>
      </c>
      <c r="D35" s="31">
        <v>341614</v>
      </c>
      <c r="E35" s="31">
        <v>351856</v>
      </c>
      <c r="F35" s="31">
        <v>362419</v>
      </c>
    </row>
    <row r="36" spans="1:6" x14ac:dyDescent="0.25">
      <c r="A36" s="13" t="s">
        <v>118</v>
      </c>
      <c r="B36" s="13"/>
      <c r="C36" s="13"/>
      <c r="D36" s="13"/>
      <c r="E36" s="13"/>
      <c r="F36" s="13"/>
    </row>
    <row r="37" spans="1:6" x14ac:dyDescent="0.25">
      <c r="A37" s="13" t="s">
        <v>176</v>
      </c>
      <c r="B37" s="21">
        <v>25000</v>
      </c>
      <c r="C37" s="21">
        <v>30900</v>
      </c>
      <c r="D37" s="21">
        <v>31827</v>
      </c>
      <c r="E37" s="21">
        <v>32782</v>
      </c>
      <c r="F37" s="21">
        <v>33765</v>
      </c>
    </row>
    <row r="38" spans="1:6" x14ac:dyDescent="0.25">
      <c r="A38" s="13" t="s">
        <v>177</v>
      </c>
      <c r="B38" s="21">
        <v>10000</v>
      </c>
      <c r="C38" s="21">
        <v>12360</v>
      </c>
      <c r="D38" s="21">
        <v>12731</v>
      </c>
      <c r="E38" s="21">
        <v>13113</v>
      </c>
      <c r="F38" s="21">
        <v>13506</v>
      </c>
    </row>
    <row r="39" spans="1:6" x14ac:dyDescent="0.25">
      <c r="A39" s="13" t="s">
        <v>178</v>
      </c>
      <c r="B39" s="21">
        <v>15000</v>
      </c>
      <c r="C39" s="21">
        <v>18540</v>
      </c>
      <c r="D39" s="21">
        <v>19096</v>
      </c>
      <c r="E39" s="21">
        <v>19669</v>
      </c>
      <c r="F39" s="21">
        <v>20259</v>
      </c>
    </row>
    <row r="40" spans="1:6" x14ac:dyDescent="0.25">
      <c r="A40" s="13" t="s">
        <v>179</v>
      </c>
      <c r="B40" s="21">
        <v>75000</v>
      </c>
      <c r="C40" s="21">
        <v>154600</v>
      </c>
      <c r="D40" s="21">
        <v>238800</v>
      </c>
      <c r="E40" s="21">
        <v>328000</v>
      </c>
      <c r="F40" s="21">
        <v>422500</v>
      </c>
    </row>
    <row r="41" spans="1:6" x14ac:dyDescent="0.25">
      <c r="A41" s="30" t="s">
        <v>180</v>
      </c>
      <c r="B41" s="31">
        <v>125000</v>
      </c>
      <c r="C41" s="31">
        <v>216400</v>
      </c>
      <c r="D41" s="31">
        <v>302454</v>
      </c>
      <c r="E41" s="31">
        <v>393564</v>
      </c>
      <c r="F41" s="31">
        <v>490030</v>
      </c>
    </row>
    <row r="42" ht="24" customHeight="1" spans="1:6" x14ac:dyDescent="0.25">
      <c r="A42" s="12" t="s">
        <v>181</v>
      </c>
      <c r="B42" s="29">
        <f>B27+B30+B35+B41</f>
        <v>503333</v>
      </c>
      <c r="C42" s="29">
        <f>C27+C30+C35+C41</f>
        <v>774860</v>
      </c>
      <c r="D42" s="29">
        <f>D27+D30+D35+D41</f>
        <v>994468</v>
      </c>
      <c r="E42" s="29">
        <f>E27+E30+E35+E41</f>
        <v>1226220</v>
      </c>
      <c r="F42" s="29">
        <f>F27+F30+F35+F41</f>
        <v>1471949</v>
      </c>
    </row>
    <row r="44" ht="24" customHeight="1" spans="1:6" x14ac:dyDescent="0.25">
      <c r="A44" s="12" t="s">
        <v>182</v>
      </c>
      <c r="B44" s="12"/>
      <c r="C44" s="12"/>
      <c r="D44" s="12"/>
      <c r="E44" s="12"/>
      <c r="F44" s="12"/>
    </row>
    <row r="45" spans="1:6" x14ac:dyDescent="0.25">
      <c r="A45" s="13" t="s">
        <v>128</v>
      </c>
      <c r="B45" s="21">
        <v>46629</v>
      </c>
      <c r="C45" s="21">
        <v>46629</v>
      </c>
      <c r="D45" s="21">
        <v>46629</v>
      </c>
      <c r="E45" s="21">
        <v>46629</v>
      </c>
      <c r="F45" s="21">
        <v>46629</v>
      </c>
    </row>
    <row r="46" spans="1:6" x14ac:dyDescent="0.25">
      <c r="A46" s="13" t="s">
        <v>129</v>
      </c>
      <c r="B46" s="21">
        <v>60000</v>
      </c>
      <c r="C46" s="21">
        <v>20000</v>
      </c>
      <c r="D46" s="21">
        <v>25000</v>
      </c>
      <c r="E46" s="21">
        <v>10000</v>
      </c>
      <c r="F46" s="21">
        <v>10000</v>
      </c>
    </row>
    <row r="47" ht="24" customHeight="1" spans="1:6" x14ac:dyDescent="0.25">
      <c r="A47" s="12" t="s">
        <v>183</v>
      </c>
      <c r="B47" s="29">
        <f>SUM(B45:B46)</f>
        <v>106629</v>
      </c>
      <c r="C47" s="29">
        <f>SUM(C45:C46)</f>
        <v>66629</v>
      </c>
      <c r="D47" s="29">
        <f>SUM(D45:D46)</f>
        <v>71629</v>
      </c>
      <c r="E47" s="29">
        <f>SUM(E45:E46)</f>
        <v>56629</v>
      </c>
      <c r="F47" s="29">
        <f>SUM(F45:F46)</f>
        <v>56629</v>
      </c>
    </row>
    <row r="49" ht="24" customHeight="1" spans="1:6" x14ac:dyDescent="0.25">
      <c r="A49" s="12" t="s">
        <v>184</v>
      </c>
      <c r="B49" s="12"/>
      <c r="C49" s="12"/>
      <c r="D49" s="12"/>
      <c r="E49" s="12"/>
      <c r="F49" s="12"/>
    </row>
    <row r="50" spans="1:6" x14ac:dyDescent="0.25">
      <c r="A50" s="27" t="s">
        <v>185</v>
      </c>
      <c r="B50" s="31">
        <f>B12</f>
        <v>1178333</v>
      </c>
      <c r="C50" s="31">
        <f>C12</f>
        <v>2212650</v>
      </c>
      <c r="D50" s="31">
        <f>D12</f>
        <v>3265600</v>
      </c>
      <c r="E50" s="31">
        <f>E12</f>
        <v>4342850</v>
      </c>
      <c r="F50" s="31">
        <f>F12</f>
        <v>5524700</v>
      </c>
    </row>
    <row r="51" spans="1:6" x14ac:dyDescent="0.25">
      <c r="A51" s="13" t="s">
        <v>186</v>
      </c>
      <c r="B51" s="21">
        <f>B22</f>
        <v>780535</v>
      </c>
      <c r="C51" s="21">
        <f>C22</f>
        <v>936642</v>
      </c>
      <c r="D51" s="21">
        <f>D22</f>
        <v>936642</v>
      </c>
      <c r="E51" s="21">
        <f>E22</f>
        <v>936642</v>
      </c>
      <c r="F51" s="21">
        <f>F22</f>
        <v>936642</v>
      </c>
    </row>
    <row r="52" spans="1:6" x14ac:dyDescent="0.25">
      <c r="A52" s="13" t="s">
        <v>187</v>
      </c>
      <c r="B52" s="21">
        <f>B42</f>
        <v>503333</v>
      </c>
      <c r="C52" s="21">
        <f>C42</f>
        <v>774860</v>
      </c>
      <c r="D52" s="21">
        <f>D42</f>
        <v>994468</v>
      </c>
      <c r="E52" s="21">
        <f>E42</f>
        <v>1226220</v>
      </c>
      <c r="F52" s="21">
        <f>F42</f>
        <v>1471949</v>
      </c>
    </row>
    <row r="53" spans="1:6" x14ac:dyDescent="0.25">
      <c r="A53" s="13" t="s">
        <v>188</v>
      </c>
      <c r="B53" s="21">
        <f>B47</f>
        <v>106629</v>
      </c>
      <c r="C53" s="21">
        <f>C47</f>
        <v>66629</v>
      </c>
      <c r="D53" s="21">
        <f>D47</f>
        <v>71629</v>
      </c>
      <c r="E53" s="21">
        <f>E47</f>
        <v>56629</v>
      </c>
      <c r="F53" s="21">
        <f>F47</f>
        <v>56629</v>
      </c>
    </row>
    <row r="54" spans="1:6" x14ac:dyDescent="0.25">
      <c r="A54" s="27" t="s">
        <v>189</v>
      </c>
      <c r="B54" s="31">
        <f>B51+B52+B53</f>
        <v>1390497</v>
      </c>
      <c r="C54" s="31">
        <f>C51+C52+C53</f>
        <v>1778131</v>
      </c>
      <c r="D54" s="31">
        <f>D51+D52+D53</f>
        <v>2002739</v>
      </c>
      <c r="E54" s="31">
        <f>E51+E52+E53</f>
        <v>2219491</v>
      </c>
      <c r="F54" s="31">
        <f>F51+F52+F53</f>
        <v>2465220</v>
      </c>
    </row>
    <row r="55" spans="1:1" x14ac:dyDescent="0.25">
      <c r="A55" t="s">
        <v>7</v>
      </c>
    </row>
    <row r="56" spans="1:6" x14ac:dyDescent="0.25">
      <c r="A56" s="32" t="s">
        <v>190</v>
      </c>
      <c r="B56" s="33">
        <f>B50-B54</f>
        <v>-212164</v>
      </c>
      <c r="C56" s="34">
        <f>C50-C54</f>
        <v>434519</v>
      </c>
      <c r="D56" s="34">
        <f>D50-D54</f>
        <v>1262861</v>
      </c>
      <c r="E56" s="34">
        <f>E50-E54</f>
        <v>2123359</v>
      </c>
      <c r="F56" s="34">
        <f>F50-F54</f>
        <v>3059480</v>
      </c>
    </row>
    <row r="57" spans="1:6" x14ac:dyDescent="0.25">
      <c r="A57" s="13" t="s">
        <v>191</v>
      </c>
      <c r="B57" s="35">
        <f>IF(B50=0,"",B56/B50)</f>
        <v>-0.18</v>
      </c>
      <c r="C57" s="35">
        <f>IF(C50=0,"",C56/C50)</f>
        <v>0.2</v>
      </c>
      <c r="D57" s="35">
        <f>IF(D50=0,"",D56/D50)</f>
        <v>0.39</v>
      </c>
      <c r="E57" s="35">
        <f>IF(E50=0,"",E56/E50)</f>
        <v>0.49</v>
      </c>
      <c r="F57" s="35">
        <f>IF(F50=0,"",F56/F50)</f>
        <v>0.55</v>
      </c>
    </row>
    <row r="58" spans="1:6" x14ac:dyDescent="0.25">
      <c r="A58" s="13" t="s">
        <v>192</v>
      </c>
      <c r="B58" s="21">
        <f>B56</f>
        <v>-212164</v>
      </c>
      <c r="C58" s="21">
        <f>B58+C56</f>
        <v>222355</v>
      </c>
      <c r="D58" s="21">
        <f>C58+D56</f>
        <v>1485216</v>
      </c>
      <c r="E58" s="21">
        <f>D58+E56</f>
        <v>3608575</v>
      </c>
      <c r="F58" s="21">
        <f>E58+F56</f>
        <v>6668055</v>
      </c>
    </row>
    <row r="59" spans="1:6" x14ac:dyDescent="0.25">
      <c r="A59" s="30" t="s">
        <v>193</v>
      </c>
      <c r="B59" s="36" t="s">
        <v>7</v>
      </c>
      <c r="C59" s="37" t="s">
        <v>194</v>
      </c>
      <c r="D59" s="36" t="s">
        <v>7</v>
      </c>
      <c r="E59" s="36" t="s">
        <v>7</v>
      </c>
      <c r="F59" s="36" t="s">
        <v>7</v>
      </c>
    </row>
    <row r="61" ht="24" customHeight="1" spans="1:6" x14ac:dyDescent="0.25">
      <c r="A61" s="12" t="s">
        <v>195</v>
      </c>
      <c r="B61" s="12"/>
      <c r="C61" s="12"/>
      <c r="D61" s="12"/>
      <c r="E61" s="12"/>
      <c r="F61" s="12"/>
    </row>
    <row r="62" spans="1:6" x14ac:dyDescent="0.25">
      <c r="A62" s="27" t="s">
        <v>196</v>
      </c>
      <c r="B62" s="31">
        <f>B50-B51-B52</f>
        <v>-105535</v>
      </c>
      <c r="C62" s="31">
        <f>C50-C51-C52</f>
        <v>501148</v>
      </c>
      <c r="D62" s="31">
        <f>D50-D51-D52</f>
        <v>1334490</v>
      </c>
      <c r="E62" s="31">
        <f>E50-E51-E52</f>
        <v>2179988</v>
      </c>
      <c r="F62" s="31">
        <f>F50-F51-F52</f>
        <v>3116109</v>
      </c>
    </row>
    <row r="63" spans="1:6" x14ac:dyDescent="0.25">
      <c r="A63" s="13" t="s">
        <v>197</v>
      </c>
      <c r="B63" s="21">
        <f>B53</f>
        <v>106629</v>
      </c>
      <c r="C63" s="21">
        <f>C53</f>
        <v>66629</v>
      </c>
      <c r="D63" s="21">
        <f>D53</f>
        <v>71629</v>
      </c>
      <c r="E63" s="21">
        <f>E53</f>
        <v>56629</v>
      </c>
      <c r="F63" s="21">
        <f>F53</f>
        <v>56629</v>
      </c>
    </row>
    <row r="64" spans="1:6" x14ac:dyDescent="0.25">
      <c r="A64" s="27" t="s">
        <v>198</v>
      </c>
      <c r="B64" s="38">
        <f>IF(B63=0,"N/A",B62/B63)</f>
        <v>-0.99</v>
      </c>
      <c r="C64" s="38">
        <f>IF(C63=0,"N/A",C62/C63)</f>
        <v>7.52</v>
      </c>
      <c r="D64" s="38">
        <f>IF(D63=0,"N/A",D62/D63)</f>
        <v>18.63</v>
      </c>
      <c r="E64" s="38">
        <f>IF(E63=0,"N/A",E62/E63)</f>
        <v>38.5</v>
      </c>
      <c r="F64" s="38">
        <f>IF(F63=0,"N/A",F62/F63)</f>
        <v>55.03</v>
      </c>
    </row>
    <row r="65" spans="1:6" x14ac:dyDescent="0.25">
      <c r="A65" s="13" t="s">
        <v>138</v>
      </c>
      <c r="B65" s="21" t="str">
        <f>Assumptions!B63</f>
        <v>0</v>
      </c>
      <c r="C65" s="21">
        <f>B66</f>
        <v>-212164</v>
      </c>
      <c r="D65" s="21">
        <f>C66</f>
        <v>222355</v>
      </c>
      <c r="E65" s="21">
        <f>D66</f>
        <v>1485216</v>
      </c>
      <c r="F65" s="21">
        <f>E66</f>
        <v>3608575</v>
      </c>
    </row>
    <row r="66" spans="1:6" x14ac:dyDescent="0.25">
      <c r="A66" s="27" t="s">
        <v>199</v>
      </c>
      <c r="B66" s="31">
        <f>B65+B56</f>
        <v>-212164</v>
      </c>
      <c r="C66" s="31">
        <f>C65+C56</f>
        <v>222355</v>
      </c>
      <c r="D66" s="31">
        <f>D65+D56</f>
        <v>1485216</v>
      </c>
      <c r="E66" s="31">
        <f>E65+E56</f>
        <v>3608575</v>
      </c>
      <c r="F66" s="31">
        <f>F65+F56</f>
        <v>6668055</v>
      </c>
    </row>
    <row r="67" spans="1:6" x14ac:dyDescent="0.25">
      <c r="A67" s="13" t="s">
        <v>200</v>
      </c>
      <c r="B67" s="39">
        <f>IF(B54=0,"",B66/B54*365)</f>
        <v>-56</v>
      </c>
      <c r="C67" s="39">
        <f>IF(C54=0,"",C66/C54*365)</f>
        <v>46</v>
      </c>
      <c r="D67" s="39">
        <f>IF(D54=0,"",D66/D54*365)</f>
        <v>271</v>
      </c>
      <c r="E67" s="39">
        <f>IF(E54=0,"",E66/E54*365)</f>
        <v>593</v>
      </c>
      <c r="F67" s="39">
        <f>IF(F54=0,"",F66/F54*365)</f>
        <v>987</v>
      </c>
    </row>
    <row r="68" spans="1:6" x14ac:dyDescent="0.25">
      <c r="A68" s="13" t="s">
        <v>201</v>
      </c>
      <c r="B68" s="40">
        <f>IF(B54=0,"",B66/(B54/12))</f>
        <v>-1.8</v>
      </c>
      <c r="C68" s="40">
        <f>IF(C54=0,"",C66/(C54/12))</f>
        <v>1.5</v>
      </c>
      <c r="D68" s="40">
        <f>IF(D54=0,"",D66/(D54/12))</f>
        <v>8.9</v>
      </c>
      <c r="E68" s="40">
        <f>IF(E54=0,"",E66/(E54/12))</f>
        <v>19.5</v>
      </c>
      <c r="F68" s="40">
        <f>IF(F54=0,"",F66/(F54/12))</f>
        <v>32.5</v>
      </c>
    </row>
    <row r="69" spans="1:6" x14ac:dyDescent="0.25">
      <c r="A69" s="13" t="s">
        <v>202</v>
      </c>
      <c r="B69" s="35">
        <f>IF(Assumptions!B12=0,"",B3/Assumptions!B12)</f>
        <v>0.2</v>
      </c>
      <c r="C69" s="35">
        <f>IF(Assumptions!B12=0,"",C3/Assumptions!B12)</f>
        <v>0.33</v>
      </c>
      <c r="D69" s="35">
        <f>IF(Assumptions!B12=0,"",D3/Assumptions!B12)</f>
        <v>0.5</v>
      </c>
      <c r="E69" s="35">
        <f>IF(Assumptions!B12=0,"",E3/Assumptions!B12)</f>
        <v>0.67</v>
      </c>
      <c r="F69" s="35">
        <f>IF(Assumptions!B12=0,"",F3/Assumptions!B12)</f>
        <v>0.83</v>
      </c>
    </row>
    <row r="71" ht="24" customHeight="1" spans="1:6" x14ac:dyDescent="0.25">
      <c r="A71" s="12" t="s">
        <v>203</v>
      </c>
      <c r="B71" s="12"/>
      <c r="C71" s="12"/>
      <c r="D71" s="12"/>
      <c r="E71" s="12"/>
      <c r="F71" s="12"/>
    </row>
    <row r="72" spans="1:6" x14ac:dyDescent="0.25">
      <c r="A72" s="13" t="s">
        <v>204</v>
      </c>
      <c r="B72" s="13" t="str">
        <f>IF(B63=0,"N/A",IF(B64&gt;=1.2,"PASS","FAIL"))</f>
        <v>FAIL</v>
      </c>
      <c r="C72" s="13" t="str">
        <f>IF(C63=0,"N/A",IF(C64&gt;=1.2,"PASS","FAIL"))</f>
        <v>PASS</v>
      </c>
      <c r="D72" s="13" t="str">
        <f>IF(D63=0,"N/A",IF(D64&gt;=1.2,"PASS","FAIL"))</f>
        <v>PASS</v>
      </c>
      <c r="E72" s="13" t="str">
        <f>IF(E63=0,"N/A",IF(E64&gt;=1.2,"PASS","FAIL"))</f>
        <v>PASS</v>
      </c>
      <c r="F72" s="13" t="str">
        <f>IF(F63=0,"N/A",IF(F64&gt;=1.2,"PASS","FAIL"))</f>
        <v>PASS</v>
      </c>
    </row>
    <row r="73" spans="1:6" x14ac:dyDescent="0.25">
      <c r="A73" s="13" t="s">
        <v>205</v>
      </c>
      <c r="B73" s="13" t="str">
        <f>IF(B56&gt;0,"PASS","FAIL")</f>
        <v>FAIL</v>
      </c>
      <c r="C73" s="13" t="str">
        <f>IF(C56&gt;0,"PASS","FAIL")</f>
        <v>PASS</v>
      </c>
      <c r="D73" s="13" t="str">
        <f>IF(D56&gt;0,"PASS","FAIL")</f>
        <v>PASS</v>
      </c>
      <c r="E73" s="13" t="str">
        <f>IF(E56&gt;0,"PASS","FAIL")</f>
        <v>PASS</v>
      </c>
      <c r="F73" s="13" t="str">
        <f>IF(F56&gt;0,"PASS","FAIL")</f>
        <v>PASS</v>
      </c>
    </row>
    <row r="74" spans="1:6" x14ac:dyDescent="0.25">
      <c r="A74" s="13" t="s">
        <v>206</v>
      </c>
      <c r="B74" s="13" t="str">
        <f>IF(Assumptions!B12=0,"N/A",IF(B3/Assumptions!B12&gt;=0.7,"PASS","FAIL"))</f>
        <v>FAIL</v>
      </c>
      <c r="C74" s="13" t="str">
        <f>IF(Assumptions!B12=0,"N/A",IF(C3/Assumptions!B12&gt;=0.7,"PASS","FAIL"))</f>
        <v>FAIL</v>
      </c>
      <c r="D74" s="13" t="str">
        <f>IF(Assumptions!B12=0,"N/A",IF(D3/Assumptions!B12&gt;=0.7,"PASS","FAIL"))</f>
        <v>FAIL</v>
      </c>
      <c r="E74" s="13" t="str">
        <f>IF(Assumptions!B12=0,"N/A",IF(E3/Assumptions!B12&gt;=0.7,"PASS","FAIL"))</f>
        <v>FAIL</v>
      </c>
      <c r="F74" s="13" t="str">
        <f>IF(Assumptions!B12=0,"N/A",IF(F3/Assumptions!B12&gt;=0.7,"PASS","FAIL"))</f>
        <v>PASS</v>
      </c>
    </row>
    <row r="75" spans="1:6" x14ac:dyDescent="0.25">
      <c r="A75" s="13" t="s">
        <v>207</v>
      </c>
      <c r="B75" s="13" t="str">
        <f>IF(B54=0,"N/A",IF(B66/(B54/12)&gt;=2,"PASS","FAIL"))</f>
        <v>FAIL</v>
      </c>
      <c r="C75" s="13" t="str">
        <f>IF(C54=0,"N/A",IF(C66/(C54/12)&gt;=2,"PASS","FAIL"))</f>
        <v>FAIL</v>
      </c>
      <c r="D75" s="13" t="str">
        <f>IF(D54=0,"N/A",IF(D66/(D54/12)&gt;=2,"PASS","FAIL"))</f>
        <v>PASS</v>
      </c>
      <c r="E75" s="13" t="str">
        <f>IF(E54=0,"N/A",IF(E66/(E54/12)&gt;=2,"PASS","FAIL"))</f>
        <v>PASS</v>
      </c>
      <c r="F75" s="13" t="str">
        <f>IF(F54=0,"N/A",IF(F66/(F54/12)&gt;=2,"PASS","FAIL"))</f>
        <v>PASS</v>
      </c>
    </row>
    <row r="77" ht="24" customHeight="1" spans="1:6" x14ac:dyDescent="0.25">
      <c r="A77" s="12" t="s">
        <v>208</v>
      </c>
      <c r="B77" s="12"/>
      <c r="C77" s="12"/>
      <c r="D77" s="12"/>
      <c r="E77" s="12"/>
      <c r="F77" s="12"/>
    </row>
    <row r="78" spans="1:6" x14ac:dyDescent="0.25">
      <c r="A78" s="13" t="s">
        <v>209</v>
      </c>
      <c r="B78" s="21">
        <f>IF(B3=0,"",B12/B3)</f>
        <v>9819</v>
      </c>
      <c r="C78" s="21">
        <f>IF(C3=0,"",C12/C3)</f>
        <v>11063</v>
      </c>
      <c r="D78" s="21">
        <f>IF(D3=0,"",D12/D3)</f>
        <v>10885</v>
      </c>
      <c r="E78" s="21">
        <f>IF(E3=0,"",E12/E3)</f>
        <v>10857</v>
      </c>
      <c r="F78" s="21">
        <f>IF(F3=0,"",F12/F3)</f>
        <v>11049</v>
      </c>
    </row>
    <row r="79" spans="1:6" x14ac:dyDescent="0.25">
      <c r="A79" s="13" t="s">
        <v>210</v>
      </c>
      <c r="B79" s="21">
        <f>IF(B3=0,"",B54/B3)</f>
        <v>11587</v>
      </c>
      <c r="C79" s="21">
        <f>IF(C3=0,"",C54/C3)</f>
        <v>8891</v>
      </c>
      <c r="D79" s="21">
        <f>IF(D3=0,"",D54/D3)</f>
        <v>6676</v>
      </c>
      <c r="E79" s="21">
        <f>IF(E3=0,"",E54/E3)</f>
        <v>5549</v>
      </c>
      <c r="F79" s="21">
        <f>IF(F3=0,"",F54/F3)</f>
        <v>4930</v>
      </c>
    </row>
    <row r="80" spans="1:6" x14ac:dyDescent="0.25">
      <c r="A80" s="13" t="s">
        <v>211</v>
      </c>
      <c r="B80" s="21">
        <f>B51+B53</f>
        <v>887164</v>
      </c>
      <c r="C80" s="21">
        <f>C51+C53</f>
        <v>1003271</v>
      </c>
      <c r="D80" s="21">
        <f>D51+D53</f>
        <v>1008271</v>
      </c>
      <c r="E80" s="21">
        <f>E51+E53</f>
        <v>993271</v>
      </c>
      <c r="F80" s="21">
        <f>F51+F53</f>
        <v>993271</v>
      </c>
    </row>
    <row r="81" spans="1:6" x14ac:dyDescent="0.25">
      <c r="A81" s="13" t="s">
        <v>212</v>
      </c>
      <c r="B81" s="21">
        <f>IF(B3=0,"",B52/B3)</f>
        <v>4194</v>
      </c>
      <c r="C81" s="21">
        <f>IF(C3=0,"",C52/C3)</f>
        <v>3874</v>
      </c>
      <c r="D81" s="21">
        <f>IF(D3=0,"",D52/D3)</f>
        <v>3315</v>
      </c>
      <c r="E81" s="21">
        <f>IF(E3=0,"",E52/E3)</f>
        <v>3066</v>
      </c>
      <c r="F81" s="21">
        <f>IF(F3=0,"",F52/F3)</f>
        <v>2944</v>
      </c>
    </row>
    <row r="82" spans="1:6" x14ac:dyDescent="0.25">
      <c r="A82" s="13" t="s">
        <v>213</v>
      </c>
      <c r="B82" s="21">
        <f>IF(B3=0,"",B78-B81)</f>
        <v>5625</v>
      </c>
      <c r="C82" s="21">
        <f>IF(C3=0,"",C78-C81)</f>
        <v>7189</v>
      </c>
      <c r="D82" s="21">
        <f>IF(D3=0,"",D78-D81)</f>
        <v>7570</v>
      </c>
      <c r="E82" s="21">
        <f>IF(E3=0,"",E78-E81)</f>
        <v>7792</v>
      </c>
      <c r="F82" s="21">
        <f>IF(F3=0,"",F78-F81)</f>
        <v>8106</v>
      </c>
    </row>
    <row r="83" spans="1:6" x14ac:dyDescent="0.25">
      <c r="A83" s="41" t="s">
        <v>214</v>
      </c>
      <c r="B83" s="42">
        <f>IF(B82&lt;=0,"N/A",ROUNDUP(B80/B82,0))</f>
        <v>158</v>
      </c>
      <c r="C83" s="42">
        <f>IF(C82&lt;=0,"N/A",ROUNDUP(C80/C82,0))</f>
        <v>140</v>
      </c>
      <c r="D83" s="42">
        <f>IF(D82&lt;=0,"N/A",ROUNDUP(D80/D82,0))</f>
        <v>134</v>
      </c>
      <c r="E83" s="42">
        <f>IF(E82&lt;=0,"N/A",ROUNDUP(E80/E82,0))</f>
        <v>128</v>
      </c>
      <c r="F83" s="42">
        <f>IF(F82&lt;=0,"N/A",ROUNDUP(F80/F82,0))</f>
        <v>123</v>
      </c>
    </row>
    <row r="85" spans="1:6" x14ac:dyDescent="0.25">
      <c r="A85" s="26" t="s">
        <v>155</v>
      </c>
      <c r="B85" s="26"/>
      <c r="C85" s="26"/>
      <c r="D85" s="26"/>
      <c r="E85" s="26"/>
      <c r="F85" s="26"/>
    </row>
  </sheetData>
  <mergeCells count="2">
    <mergeCell ref="A1:F1"/>
    <mergeCell ref="A85:F85"/>
  </mergeCells>
  <pageMargins left="0.25" right="0.25" top="0.5" bottom="0.5" header="0.3" footer="0.3"/>
  <pageSetup paperSize="1" orientation="portrait" horizontalDpi="4294967295" verticalDpi="4294967295" scale="100" fitToWidth="1" fitToHeight="0"/>
  <headerFooter>
    <oddHeader>&amp;L&amp;10&amp;BHeritage Academy Charter&amp;R&amp;8&amp;I5-Year Model</oddHeader>
    <oddFooter>&amp;L&amp;8Built by SchoolStack Budget  •  budget.schoolstack.ai&amp;C&amp;8Page &amp;P of &amp;N&amp;R&amp;8&amp;D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4"/>
  <sheetViews>
    <sheetView workbookViewId="0">
      <pane xSplit="1" ySplit="2" topLeftCell="B3" activePane="bottomRight" state="frozen"/>
      <selection pane="bottomRight" activeCell="B3" sqref="B3"/>
    </sheetView>
  </sheetViews>
  <sheetFormatPr defaultRowHeight="15" outlineLevelRow="0" outlineLevelCol="0" x14ac:dyDescent="55"/>
  <cols>
    <col min="1" max="1" width="36" customWidth="1"/>
    <col min="2" max="13" width="14" customWidth="1"/>
    <col min="14" max="14" width="16" customWidth="1"/>
  </cols>
  <sheetData>
    <row r="1" ht="32" customHeight="1" spans="1:14" x14ac:dyDescent="0.25">
      <c r="A1" s="8" t="s">
        <v>215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28" customHeight="1" spans="1:14" x14ac:dyDescent="0.25">
      <c r="A2" s="25" t="s">
        <v>7</v>
      </c>
      <c r="B2" s="25" t="s">
        <v>46</v>
      </c>
      <c r="C2" s="25" t="s">
        <v>216</v>
      </c>
      <c r="D2" s="25" t="s">
        <v>217</v>
      </c>
      <c r="E2" s="25" t="s">
        <v>218</v>
      </c>
      <c r="F2" s="25" t="s">
        <v>219</v>
      </c>
      <c r="G2" s="25" t="s">
        <v>220</v>
      </c>
      <c r="H2" s="25" t="s">
        <v>221</v>
      </c>
      <c r="I2" s="25" t="s">
        <v>222</v>
      </c>
      <c r="J2" s="25" t="s">
        <v>223</v>
      </c>
      <c r="K2" s="25" t="s">
        <v>224</v>
      </c>
      <c r="L2" s="25" t="s">
        <v>225</v>
      </c>
      <c r="M2" s="25" t="s">
        <v>226</v>
      </c>
      <c r="N2" s="25" t="s">
        <v>227</v>
      </c>
    </row>
    <row r="3" ht="24" customHeight="1" spans="1:14" x14ac:dyDescent="0.25">
      <c r="A3" s="12" t="s">
        <v>157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1:14" x14ac:dyDescent="0.25">
      <c r="A4" s="13" t="s">
        <v>67</v>
      </c>
      <c r="B4" s="21">
        <v>96900</v>
      </c>
      <c r="C4" s="21">
        <v>96900</v>
      </c>
      <c r="D4" s="21">
        <v>96900</v>
      </c>
      <c r="E4" s="21">
        <v>96900</v>
      </c>
      <c r="F4" s="21">
        <v>96900</v>
      </c>
      <c r="G4" s="21">
        <v>96900</v>
      </c>
      <c r="H4" s="21">
        <v>96900</v>
      </c>
      <c r="I4" s="21">
        <v>96900</v>
      </c>
      <c r="J4" s="21">
        <v>96900</v>
      </c>
      <c r="K4" s="21">
        <v>96900</v>
      </c>
      <c r="L4" s="21">
        <v>0</v>
      </c>
      <c r="M4" s="21">
        <v>0</v>
      </c>
      <c r="N4" s="21">
        <f>SUM(B4:M4)</f>
        <v>807500</v>
      </c>
    </row>
    <row r="5" spans="1:14" x14ac:dyDescent="0.25">
      <c r="A5" s="13" t="s">
        <v>70</v>
      </c>
      <c r="B5" s="21">
        <v>9000</v>
      </c>
      <c r="C5" s="21">
        <v>9000</v>
      </c>
      <c r="D5" s="21">
        <v>9000</v>
      </c>
      <c r="E5" s="21">
        <v>9000</v>
      </c>
      <c r="F5" s="21">
        <v>9000</v>
      </c>
      <c r="G5" s="21">
        <v>9000</v>
      </c>
      <c r="H5" s="21">
        <v>9000</v>
      </c>
      <c r="I5" s="21">
        <v>9000</v>
      </c>
      <c r="J5" s="21">
        <v>9000</v>
      </c>
      <c r="K5" s="21">
        <v>9000</v>
      </c>
      <c r="L5" s="21">
        <v>0</v>
      </c>
      <c r="M5" s="21">
        <v>0</v>
      </c>
      <c r="N5" s="21">
        <f>SUM(B5:M5)</f>
        <v>75000</v>
      </c>
    </row>
    <row r="6" spans="1:14" x14ac:dyDescent="0.25">
      <c r="A6" s="13" t="s">
        <v>71</v>
      </c>
      <c r="B6" s="21">
        <v>13200</v>
      </c>
      <c r="C6" s="21">
        <v>13200</v>
      </c>
      <c r="D6" s="21">
        <v>13200</v>
      </c>
      <c r="E6" s="21">
        <v>13200</v>
      </c>
      <c r="F6" s="21">
        <v>13200</v>
      </c>
      <c r="G6" s="21">
        <v>13200</v>
      </c>
      <c r="H6" s="21">
        <v>13200</v>
      </c>
      <c r="I6" s="21">
        <v>13200</v>
      </c>
      <c r="J6" s="21">
        <v>13200</v>
      </c>
      <c r="K6" s="21">
        <v>13200</v>
      </c>
      <c r="L6" s="21">
        <v>0</v>
      </c>
      <c r="M6" s="21">
        <v>0</v>
      </c>
      <c r="N6" s="21">
        <f>SUM(B6:M6)</f>
        <v>110000</v>
      </c>
    </row>
    <row r="7" spans="1:14" x14ac:dyDescent="0.25">
      <c r="A7" s="13" t="s">
        <v>72</v>
      </c>
      <c r="B7" s="21">
        <v>15000</v>
      </c>
      <c r="C7" s="21">
        <v>15000</v>
      </c>
      <c r="D7" s="21">
        <v>15000</v>
      </c>
      <c r="E7" s="21">
        <v>15000</v>
      </c>
      <c r="F7" s="21">
        <v>15000</v>
      </c>
      <c r="G7" s="21">
        <v>15000</v>
      </c>
      <c r="H7" s="21">
        <v>15000</v>
      </c>
      <c r="I7" s="21">
        <v>15000</v>
      </c>
      <c r="J7" s="21">
        <v>15000</v>
      </c>
      <c r="K7" s="21">
        <v>15000</v>
      </c>
      <c r="L7" s="21">
        <v>0</v>
      </c>
      <c r="M7" s="21">
        <v>0</v>
      </c>
      <c r="N7" s="21">
        <f>SUM(B7:M7)</f>
        <v>125000</v>
      </c>
    </row>
    <row r="8" spans="1:14" x14ac:dyDescent="0.25">
      <c r="A8" s="13" t="s">
        <v>75</v>
      </c>
      <c r="B8" s="21">
        <v>2500</v>
      </c>
      <c r="C8" s="21">
        <v>2500</v>
      </c>
      <c r="D8" s="21">
        <v>2500</v>
      </c>
      <c r="E8" s="21">
        <v>2500</v>
      </c>
      <c r="F8" s="21">
        <v>2500</v>
      </c>
      <c r="G8" s="21">
        <v>2500</v>
      </c>
      <c r="H8" s="21">
        <v>2500</v>
      </c>
      <c r="I8" s="21">
        <v>2500</v>
      </c>
      <c r="J8" s="21">
        <v>2500</v>
      </c>
      <c r="K8" s="21">
        <v>2500</v>
      </c>
      <c r="L8" s="21">
        <v>0</v>
      </c>
      <c r="M8" s="21">
        <v>0</v>
      </c>
      <c r="N8" s="21">
        <f>SUM(B8:M8)</f>
        <v>20833</v>
      </c>
    </row>
    <row r="9" spans="1:14" x14ac:dyDescent="0.25">
      <c r="A9" s="13" t="s">
        <v>76</v>
      </c>
      <c r="B9" s="21">
        <v>4800</v>
      </c>
      <c r="C9" s="21">
        <v>4800</v>
      </c>
      <c r="D9" s="21">
        <v>4800</v>
      </c>
      <c r="E9" s="21">
        <v>4800</v>
      </c>
      <c r="F9" s="21">
        <v>4800</v>
      </c>
      <c r="G9" s="21">
        <v>4800</v>
      </c>
      <c r="H9" s="21">
        <v>4800</v>
      </c>
      <c r="I9" s="21">
        <v>4800</v>
      </c>
      <c r="J9" s="21">
        <v>4800</v>
      </c>
      <c r="K9" s="21">
        <v>4800</v>
      </c>
      <c r="L9" s="21">
        <v>0</v>
      </c>
      <c r="M9" s="21">
        <v>0</v>
      </c>
      <c r="N9" s="21">
        <f>SUM(B9:M9)</f>
        <v>40000</v>
      </c>
    </row>
    <row r="10" ht="24" customHeight="1" spans="1:14" x14ac:dyDescent="0.25">
      <c r="A10" s="12" t="s">
        <v>158</v>
      </c>
      <c r="B10" s="29">
        <f>SUM(B4:B9)</f>
        <v>146500</v>
      </c>
      <c r="C10" s="29">
        <f>SUM(C4:C9)</f>
        <v>146500</v>
      </c>
      <c r="D10" s="29">
        <f>SUM(D4:D9)</f>
        <v>146500</v>
      </c>
      <c r="E10" s="29">
        <f>SUM(E4:E9)</f>
        <v>146500</v>
      </c>
      <c r="F10" s="29">
        <f>SUM(F4:F9)</f>
        <v>146500</v>
      </c>
      <c r="G10" s="29">
        <f>SUM(G4:G9)</f>
        <v>146500</v>
      </c>
      <c r="H10" s="29">
        <f>SUM(H4:H9)</f>
        <v>146500</v>
      </c>
      <c r="I10" s="29">
        <f>SUM(I4:I9)</f>
        <v>146500</v>
      </c>
      <c r="J10" s="29">
        <f>SUM(J4:J9)</f>
        <v>146500</v>
      </c>
      <c r="K10" s="29">
        <f>SUM(K4:K9)</f>
        <v>146500</v>
      </c>
      <c r="L10" s="29" t="str">
        <f>SUM(L4:L9)</f>
        <v>0</v>
      </c>
      <c r="M10" s="29" t="str">
        <f>SUM(M4:M9)</f>
        <v>0</v>
      </c>
      <c r="N10" s="29">
        <f>SUM(B10:M10)</f>
        <v>1465000</v>
      </c>
    </row>
    <row r="11" spans="1:1" x14ac:dyDescent="0.25">
      <c r="A11" t="s">
        <v>7</v>
      </c>
    </row>
    <row r="12" ht="24" customHeight="1" spans="1:14" x14ac:dyDescent="0.25">
      <c r="A12" s="12" t="s">
        <v>159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spans="1:14" x14ac:dyDescent="0.25">
      <c r="A13" s="13" t="s">
        <v>87</v>
      </c>
      <c r="B13" s="21">
        <v>11694</v>
      </c>
      <c r="C13" s="21">
        <v>11694</v>
      </c>
      <c r="D13" s="21">
        <v>11694</v>
      </c>
      <c r="E13" s="21">
        <v>11694</v>
      </c>
      <c r="F13" s="21">
        <v>11694</v>
      </c>
      <c r="G13" s="21">
        <v>11694</v>
      </c>
      <c r="H13" s="21">
        <v>11694</v>
      </c>
      <c r="I13" s="21">
        <v>11694</v>
      </c>
      <c r="J13" s="21">
        <v>11694</v>
      </c>
      <c r="K13" s="21">
        <v>11694</v>
      </c>
      <c r="L13" s="21">
        <v>0</v>
      </c>
      <c r="M13" s="21">
        <v>0</v>
      </c>
      <c r="N13" s="21">
        <f>SUM(B13:M13)</f>
        <v>116944</v>
      </c>
    </row>
    <row r="14" spans="1:14" x14ac:dyDescent="0.25">
      <c r="A14" s="13" t="s">
        <v>91</v>
      </c>
      <c r="B14" s="21">
        <v>9133</v>
      </c>
      <c r="C14" s="21">
        <v>9133</v>
      </c>
      <c r="D14" s="21">
        <v>9133</v>
      </c>
      <c r="E14" s="21">
        <v>9133</v>
      </c>
      <c r="F14" s="21">
        <v>9133</v>
      </c>
      <c r="G14" s="21">
        <v>9133</v>
      </c>
      <c r="H14" s="21">
        <v>9133</v>
      </c>
      <c r="I14" s="21">
        <v>9133</v>
      </c>
      <c r="J14" s="21">
        <v>9133</v>
      </c>
      <c r="K14" s="21">
        <v>9133</v>
      </c>
      <c r="L14" s="21">
        <v>0</v>
      </c>
      <c r="M14" s="21">
        <v>0</v>
      </c>
      <c r="N14" s="21">
        <f>SUM(B14:M14)</f>
        <v>91328</v>
      </c>
    </row>
    <row r="15" spans="1:14" x14ac:dyDescent="0.25">
      <c r="A15" s="13" t="s">
        <v>92</v>
      </c>
      <c r="B15" s="21">
        <v>27844</v>
      </c>
      <c r="C15" s="21">
        <v>27844</v>
      </c>
      <c r="D15" s="21">
        <v>27844</v>
      </c>
      <c r="E15" s="21">
        <v>27844</v>
      </c>
      <c r="F15" s="21">
        <v>27844</v>
      </c>
      <c r="G15" s="21">
        <v>27844</v>
      </c>
      <c r="H15" s="21">
        <v>27844</v>
      </c>
      <c r="I15" s="21">
        <v>27844</v>
      </c>
      <c r="J15" s="21">
        <v>27844</v>
      </c>
      <c r="K15" s="21">
        <v>27844</v>
      </c>
      <c r="L15" s="21">
        <v>0</v>
      </c>
      <c r="M15" s="21">
        <v>0</v>
      </c>
      <c r="N15" s="21">
        <f>SUM(B15:M15)</f>
        <v>278438</v>
      </c>
    </row>
    <row r="16" spans="1:14" x14ac:dyDescent="0.25">
      <c r="A16" s="13" t="s">
        <v>94</v>
      </c>
      <c r="B16" s="21">
        <v>5903</v>
      </c>
      <c r="C16" s="21">
        <v>5903</v>
      </c>
      <c r="D16" s="21">
        <v>5903</v>
      </c>
      <c r="E16" s="21">
        <v>5903</v>
      </c>
      <c r="F16" s="21">
        <v>5903</v>
      </c>
      <c r="G16" s="21">
        <v>5903</v>
      </c>
      <c r="H16" s="21">
        <v>5903</v>
      </c>
      <c r="I16" s="21">
        <v>5903</v>
      </c>
      <c r="J16" s="21">
        <v>5903</v>
      </c>
      <c r="K16" s="21">
        <v>5903</v>
      </c>
      <c r="L16" s="21">
        <v>0</v>
      </c>
      <c r="M16" s="21">
        <v>0</v>
      </c>
      <c r="N16" s="21">
        <f>SUM(B16:M16)</f>
        <v>59029</v>
      </c>
    </row>
    <row r="17" spans="1:14" x14ac:dyDescent="0.25">
      <c r="A17" s="13" t="s">
        <v>95</v>
      </c>
      <c r="B17" s="21">
        <v>8796</v>
      </c>
      <c r="C17" s="21">
        <v>8796</v>
      </c>
      <c r="D17" s="21">
        <v>8796</v>
      </c>
      <c r="E17" s="21">
        <v>8796</v>
      </c>
      <c r="F17" s="21">
        <v>8796</v>
      </c>
      <c r="G17" s="21">
        <v>8796</v>
      </c>
      <c r="H17" s="21">
        <v>8796</v>
      </c>
      <c r="I17" s="21">
        <v>8796</v>
      </c>
      <c r="J17" s="21">
        <v>8796</v>
      </c>
      <c r="K17" s="21">
        <v>8796</v>
      </c>
      <c r="L17" s="21">
        <v>0</v>
      </c>
      <c r="M17" s="21">
        <v>0</v>
      </c>
      <c r="N17" s="21">
        <f>SUM(B17:M17)</f>
        <v>87955</v>
      </c>
    </row>
    <row r="18" spans="1:14" x14ac:dyDescent="0.25">
      <c r="A18" s="13" t="s">
        <v>96</v>
      </c>
      <c r="B18" s="21">
        <v>6905</v>
      </c>
      <c r="C18" s="21">
        <v>6905</v>
      </c>
      <c r="D18" s="21">
        <v>6905</v>
      </c>
      <c r="E18" s="21">
        <v>6905</v>
      </c>
      <c r="F18" s="21">
        <v>6905</v>
      </c>
      <c r="G18" s="21">
        <v>6905</v>
      </c>
      <c r="H18" s="21">
        <v>6905</v>
      </c>
      <c r="I18" s="21">
        <v>6905</v>
      </c>
      <c r="J18" s="21">
        <v>6905</v>
      </c>
      <c r="K18" s="21">
        <v>6905</v>
      </c>
      <c r="L18" s="21">
        <v>0</v>
      </c>
      <c r="M18" s="21">
        <v>0</v>
      </c>
      <c r="N18" s="21">
        <f>SUM(B18:M18)</f>
        <v>69053</v>
      </c>
    </row>
    <row r="19" spans="1:14" x14ac:dyDescent="0.25">
      <c r="A19" s="13" t="s">
        <v>98</v>
      </c>
      <c r="B19" s="21">
        <v>7779</v>
      </c>
      <c r="C19" s="21">
        <v>7779</v>
      </c>
      <c r="D19" s="21">
        <v>7779</v>
      </c>
      <c r="E19" s="21">
        <v>7779</v>
      </c>
      <c r="F19" s="21">
        <v>7779</v>
      </c>
      <c r="G19" s="21">
        <v>7779</v>
      </c>
      <c r="H19" s="21">
        <v>7779</v>
      </c>
      <c r="I19" s="21">
        <v>7779</v>
      </c>
      <c r="J19" s="21">
        <v>7779</v>
      </c>
      <c r="K19" s="21">
        <v>7779</v>
      </c>
      <c r="L19" s="21">
        <v>0</v>
      </c>
      <c r="M19" s="21">
        <v>0</v>
      </c>
      <c r="N19" s="21">
        <f>SUM(B19:M19)</f>
        <v>77790</v>
      </c>
    </row>
    <row r="20" ht="24" customHeight="1" spans="1:14" x14ac:dyDescent="0.25">
      <c r="A20" s="12" t="s">
        <v>167</v>
      </c>
      <c r="B20" s="29">
        <f>SUM(B13:B19)</f>
        <v>78054</v>
      </c>
      <c r="C20" s="29">
        <f>SUM(C13:C19)</f>
        <v>78054</v>
      </c>
      <c r="D20" s="29">
        <f>SUM(D13:D19)</f>
        <v>78054</v>
      </c>
      <c r="E20" s="29">
        <f>SUM(E13:E19)</f>
        <v>78054</v>
      </c>
      <c r="F20" s="29">
        <f>SUM(F13:F19)</f>
        <v>78054</v>
      </c>
      <c r="G20" s="29">
        <f>SUM(G13:G19)</f>
        <v>78054</v>
      </c>
      <c r="H20" s="29">
        <f>SUM(H13:H19)</f>
        <v>78054</v>
      </c>
      <c r="I20" s="29">
        <f>SUM(I13:I19)</f>
        <v>78054</v>
      </c>
      <c r="J20" s="29">
        <f>SUM(J13:J19)</f>
        <v>78054</v>
      </c>
      <c r="K20" s="29">
        <f>SUM(K13:K19)</f>
        <v>78054</v>
      </c>
      <c r="L20" s="29" t="str">
        <f>SUM(L13:L19)</f>
        <v>0</v>
      </c>
      <c r="M20" s="29" t="str">
        <f>SUM(M13:M19)</f>
        <v>0</v>
      </c>
      <c r="N20" s="29">
        <f>SUM(B20:M20)</f>
        <v>780535</v>
      </c>
    </row>
    <row r="21" spans="1:1" x14ac:dyDescent="0.25">
      <c r="A21" t="s">
        <v>7</v>
      </c>
    </row>
    <row r="22" ht="24" customHeight="1" spans="1:14" x14ac:dyDescent="0.25">
      <c r="A22" s="12" t="s">
        <v>108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  <row r="23" spans="1:14" x14ac:dyDescent="0.25">
      <c r="A23" s="13" t="s">
        <v>114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1:14" x14ac:dyDescent="0.25">
      <c r="A24" s="13" t="s">
        <v>228</v>
      </c>
      <c r="B24" s="21">
        <v>6500</v>
      </c>
      <c r="C24" s="21">
        <v>6500</v>
      </c>
      <c r="D24" s="21">
        <v>6500</v>
      </c>
      <c r="E24" s="21">
        <v>6500</v>
      </c>
      <c r="F24" s="21">
        <v>6500</v>
      </c>
      <c r="G24" s="21">
        <v>6500</v>
      </c>
      <c r="H24" s="21">
        <v>6500</v>
      </c>
      <c r="I24" s="21">
        <v>6500</v>
      </c>
      <c r="J24" s="21">
        <v>6500</v>
      </c>
      <c r="K24" s="21">
        <v>6500</v>
      </c>
      <c r="L24" s="21">
        <v>0</v>
      </c>
      <c r="M24" s="21">
        <v>0</v>
      </c>
      <c r="N24" s="21">
        <f>SUM(B24:M24)</f>
        <v>65000</v>
      </c>
    </row>
    <row r="25" spans="1:14" x14ac:dyDescent="0.25">
      <c r="A25" s="30" t="s">
        <v>169</v>
      </c>
      <c r="B25" s="31">
        <v>6500</v>
      </c>
      <c r="C25" s="31">
        <v>6500</v>
      </c>
      <c r="D25" s="31">
        <v>6500</v>
      </c>
      <c r="E25" s="31">
        <v>6500</v>
      </c>
      <c r="F25" s="31">
        <v>6500</v>
      </c>
      <c r="G25" s="31">
        <v>6500</v>
      </c>
      <c r="H25" s="31">
        <v>6500</v>
      </c>
      <c r="I25" s="31">
        <v>6500</v>
      </c>
      <c r="J25" s="31">
        <v>6500</v>
      </c>
      <c r="K25" s="31">
        <v>6500</v>
      </c>
      <c r="L25" s="31">
        <v>0</v>
      </c>
      <c r="M25" s="31">
        <v>0</v>
      </c>
      <c r="N25" s="31">
        <f>SUM(B25:M25)</f>
        <v>65000</v>
      </c>
    </row>
    <row r="26" spans="1:14" x14ac:dyDescent="0.25">
      <c r="A26" s="13" t="s">
        <v>116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1:14" x14ac:dyDescent="0.25">
      <c r="A27" s="13" t="s">
        <v>229</v>
      </c>
      <c r="B27" s="21">
        <v>4500</v>
      </c>
      <c r="C27" s="21">
        <v>4500</v>
      </c>
      <c r="D27" s="21">
        <v>4500</v>
      </c>
      <c r="E27" s="21">
        <v>4500</v>
      </c>
      <c r="F27" s="21">
        <v>4500</v>
      </c>
      <c r="G27" s="21">
        <v>4500</v>
      </c>
      <c r="H27" s="21">
        <v>4500</v>
      </c>
      <c r="I27" s="21">
        <v>4500</v>
      </c>
      <c r="J27" s="21">
        <v>4500</v>
      </c>
      <c r="K27" s="21">
        <v>4500</v>
      </c>
      <c r="L27" s="21">
        <v>0</v>
      </c>
      <c r="M27" s="21">
        <v>0</v>
      </c>
      <c r="N27" s="21">
        <f>SUM(B27:M27)</f>
        <v>45000</v>
      </c>
    </row>
    <row r="28" spans="1:14" x14ac:dyDescent="0.25">
      <c r="A28" s="30" t="s">
        <v>171</v>
      </c>
      <c r="B28" s="31">
        <v>4500</v>
      </c>
      <c r="C28" s="31">
        <v>4500</v>
      </c>
      <c r="D28" s="31">
        <v>4500</v>
      </c>
      <c r="E28" s="31">
        <v>4500</v>
      </c>
      <c r="F28" s="31">
        <v>4500</v>
      </c>
      <c r="G28" s="31">
        <v>4500</v>
      </c>
      <c r="H28" s="31">
        <v>4500</v>
      </c>
      <c r="I28" s="31">
        <v>4500</v>
      </c>
      <c r="J28" s="31">
        <v>4500</v>
      </c>
      <c r="K28" s="31">
        <v>4500</v>
      </c>
      <c r="L28" s="31">
        <v>0</v>
      </c>
      <c r="M28" s="31">
        <v>0</v>
      </c>
      <c r="N28" s="31">
        <f>SUM(B28:M28)</f>
        <v>45000</v>
      </c>
    </row>
    <row r="29" spans="1:14" x14ac:dyDescent="0.25">
      <c r="A29" s="13" t="s">
        <v>110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1:14" x14ac:dyDescent="0.25">
      <c r="A30" s="13" t="s">
        <v>230</v>
      </c>
      <c r="B30" s="21">
        <v>22000</v>
      </c>
      <c r="C30" s="21">
        <v>22000</v>
      </c>
      <c r="D30" s="21">
        <v>22000</v>
      </c>
      <c r="E30" s="21">
        <v>22000</v>
      </c>
      <c r="F30" s="21">
        <v>22000</v>
      </c>
      <c r="G30" s="21">
        <v>22000</v>
      </c>
      <c r="H30" s="21">
        <v>22000</v>
      </c>
      <c r="I30" s="21">
        <v>22000</v>
      </c>
      <c r="J30" s="21">
        <v>22000</v>
      </c>
      <c r="K30" s="21">
        <v>22000</v>
      </c>
      <c r="L30" s="21">
        <v>0</v>
      </c>
      <c r="M30" s="21">
        <v>0</v>
      </c>
      <c r="N30" s="21">
        <f>SUM(B30:M30)</f>
        <v>220000</v>
      </c>
    </row>
    <row r="31" spans="1:14" x14ac:dyDescent="0.25">
      <c r="A31" s="13" t="s">
        <v>231</v>
      </c>
      <c r="B31" s="21">
        <v>3000</v>
      </c>
      <c r="C31" s="21">
        <v>3000</v>
      </c>
      <c r="D31" s="21">
        <v>3000</v>
      </c>
      <c r="E31" s="21">
        <v>3000</v>
      </c>
      <c r="F31" s="21">
        <v>3000</v>
      </c>
      <c r="G31" s="21">
        <v>3000</v>
      </c>
      <c r="H31" s="21">
        <v>3000</v>
      </c>
      <c r="I31" s="21">
        <v>3000</v>
      </c>
      <c r="J31" s="21">
        <v>3000</v>
      </c>
      <c r="K31" s="21">
        <v>3000</v>
      </c>
      <c r="L31" s="21">
        <v>0</v>
      </c>
      <c r="M31" s="21">
        <v>0</v>
      </c>
      <c r="N31" s="21">
        <f>SUM(B31:M31)</f>
        <v>30000</v>
      </c>
    </row>
    <row r="32" spans="1:14" x14ac:dyDescent="0.25">
      <c r="A32" s="13" t="s">
        <v>232</v>
      </c>
      <c r="B32" s="21">
        <v>1833</v>
      </c>
      <c r="C32" s="21">
        <v>1833</v>
      </c>
      <c r="D32" s="21">
        <v>1833</v>
      </c>
      <c r="E32" s="21">
        <v>1833</v>
      </c>
      <c r="F32" s="21">
        <v>1833</v>
      </c>
      <c r="G32" s="21">
        <v>1833</v>
      </c>
      <c r="H32" s="21">
        <v>1833</v>
      </c>
      <c r="I32" s="21">
        <v>1833</v>
      </c>
      <c r="J32" s="21">
        <v>1833</v>
      </c>
      <c r="K32" s="21">
        <v>1833</v>
      </c>
      <c r="L32" s="21">
        <v>0</v>
      </c>
      <c r="M32" s="21">
        <v>0</v>
      </c>
      <c r="N32" s="21">
        <f>SUM(B32:M32)</f>
        <v>18333</v>
      </c>
    </row>
    <row r="33" spans="1:14" x14ac:dyDescent="0.25">
      <c r="A33" s="30" t="s">
        <v>175</v>
      </c>
      <c r="B33" s="31">
        <v>26833</v>
      </c>
      <c r="C33" s="31">
        <v>26833</v>
      </c>
      <c r="D33" s="31">
        <v>26833</v>
      </c>
      <c r="E33" s="31">
        <v>26833</v>
      </c>
      <c r="F33" s="31">
        <v>26833</v>
      </c>
      <c r="G33" s="31">
        <v>26833</v>
      </c>
      <c r="H33" s="31">
        <v>26833</v>
      </c>
      <c r="I33" s="31">
        <v>26833</v>
      </c>
      <c r="J33" s="31">
        <v>26833</v>
      </c>
      <c r="K33" s="31">
        <v>26833</v>
      </c>
      <c r="L33" s="31">
        <v>0</v>
      </c>
      <c r="M33" s="31">
        <v>0</v>
      </c>
      <c r="N33" s="31">
        <f>SUM(B33:M33)</f>
        <v>268333</v>
      </c>
    </row>
    <row r="34" spans="1:14" x14ac:dyDescent="0.25">
      <c r="A34" s="13" t="s">
        <v>118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1:14" x14ac:dyDescent="0.25">
      <c r="A35" s="13" t="s">
        <v>233</v>
      </c>
      <c r="B35" s="21">
        <v>2500</v>
      </c>
      <c r="C35" s="21">
        <v>2500</v>
      </c>
      <c r="D35" s="21">
        <v>2500</v>
      </c>
      <c r="E35" s="21">
        <v>2500</v>
      </c>
      <c r="F35" s="21">
        <v>2500</v>
      </c>
      <c r="G35" s="21">
        <v>2500</v>
      </c>
      <c r="H35" s="21">
        <v>2500</v>
      </c>
      <c r="I35" s="21">
        <v>2500</v>
      </c>
      <c r="J35" s="21">
        <v>2500</v>
      </c>
      <c r="K35" s="21">
        <v>2500</v>
      </c>
      <c r="L35" s="21">
        <v>0</v>
      </c>
      <c r="M35" s="21">
        <v>0</v>
      </c>
      <c r="N35" s="21">
        <f>SUM(B35:M35)</f>
        <v>25000</v>
      </c>
    </row>
    <row r="36" spans="1:14" x14ac:dyDescent="0.25">
      <c r="A36" s="13" t="s">
        <v>234</v>
      </c>
      <c r="B36" s="21">
        <v>1000</v>
      </c>
      <c r="C36" s="21">
        <v>1000</v>
      </c>
      <c r="D36" s="21">
        <v>1000</v>
      </c>
      <c r="E36" s="21">
        <v>1000</v>
      </c>
      <c r="F36" s="21">
        <v>1000</v>
      </c>
      <c r="G36" s="21">
        <v>1000</v>
      </c>
      <c r="H36" s="21">
        <v>1000</v>
      </c>
      <c r="I36" s="21">
        <v>1000</v>
      </c>
      <c r="J36" s="21">
        <v>1000</v>
      </c>
      <c r="K36" s="21">
        <v>1000</v>
      </c>
      <c r="L36" s="21">
        <v>0</v>
      </c>
      <c r="M36" s="21">
        <v>0</v>
      </c>
      <c r="N36" s="21">
        <f>SUM(B36:M36)</f>
        <v>10000</v>
      </c>
    </row>
    <row r="37" spans="1:14" x14ac:dyDescent="0.25">
      <c r="A37" s="13" t="s">
        <v>235</v>
      </c>
      <c r="B37" s="21">
        <v>1500</v>
      </c>
      <c r="C37" s="21">
        <v>1500</v>
      </c>
      <c r="D37" s="21">
        <v>1500</v>
      </c>
      <c r="E37" s="21">
        <v>1500</v>
      </c>
      <c r="F37" s="21">
        <v>1500</v>
      </c>
      <c r="G37" s="21">
        <v>1500</v>
      </c>
      <c r="H37" s="21">
        <v>1500</v>
      </c>
      <c r="I37" s="21">
        <v>1500</v>
      </c>
      <c r="J37" s="21">
        <v>1500</v>
      </c>
      <c r="K37" s="21">
        <v>1500</v>
      </c>
      <c r="L37" s="21">
        <v>0</v>
      </c>
      <c r="M37" s="21">
        <v>0</v>
      </c>
      <c r="N37" s="21">
        <f>SUM(B37:M37)</f>
        <v>15000</v>
      </c>
    </row>
    <row r="38" spans="1:14" x14ac:dyDescent="0.25">
      <c r="A38" s="13" t="s">
        <v>236</v>
      </c>
      <c r="B38" s="21">
        <v>7500</v>
      </c>
      <c r="C38" s="21">
        <v>7500</v>
      </c>
      <c r="D38" s="21">
        <v>7500</v>
      </c>
      <c r="E38" s="21">
        <v>7500</v>
      </c>
      <c r="F38" s="21">
        <v>7500</v>
      </c>
      <c r="G38" s="21">
        <v>7500</v>
      </c>
      <c r="H38" s="21">
        <v>7500</v>
      </c>
      <c r="I38" s="21">
        <v>7500</v>
      </c>
      <c r="J38" s="21">
        <v>7500</v>
      </c>
      <c r="K38" s="21">
        <v>7500</v>
      </c>
      <c r="L38" s="21">
        <v>0</v>
      </c>
      <c r="M38" s="21">
        <v>0</v>
      </c>
      <c r="N38" s="21">
        <f>SUM(B38:M38)</f>
        <v>75000</v>
      </c>
    </row>
    <row r="39" spans="1:14" x14ac:dyDescent="0.25">
      <c r="A39" s="30" t="s">
        <v>180</v>
      </c>
      <c r="B39" s="31">
        <v>12500</v>
      </c>
      <c r="C39" s="31">
        <v>12500</v>
      </c>
      <c r="D39" s="31">
        <v>12500</v>
      </c>
      <c r="E39" s="31">
        <v>12500</v>
      </c>
      <c r="F39" s="31">
        <v>12500</v>
      </c>
      <c r="G39" s="31">
        <v>12500</v>
      </c>
      <c r="H39" s="31">
        <v>12500</v>
      </c>
      <c r="I39" s="31">
        <v>12500</v>
      </c>
      <c r="J39" s="31">
        <v>12500</v>
      </c>
      <c r="K39" s="31">
        <v>12500</v>
      </c>
      <c r="L39" s="31">
        <v>0</v>
      </c>
      <c r="M39" s="31">
        <v>0</v>
      </c>
      <c r="N39" s="31">
        <f>SUM(B39:M39)</f>
        <v>125000</v>
      </c>
    </row>
    <row r="40" ht="24" customHeight="1" spans="1:14" x14ac:dyDescent="0.25">
      <c r="A40" s="12" t="s">
        <v>181</v>
      </c>
      <c r="B40" s="29">
        <f>B25+B28+B33+B39</f>
        <v>50333</v>
      </c>
      <c r="C40" s="29">
        <f>C25+C28+C33+C39</f>
        <v>50333</v>
      </c>
      <c r="D40" s="29">
        <f>D25+D28+D33+D39</f>
        <v>50333</v>
      </c>
      <c r="E40" s="29">
        <f>E25+E28+E33+E39</f>
        <v>50333</v>
      </c>
      <c r="F40" s="29">
        <f>F25+F28+F33+F39</f>
        <v>50333</v>
      </c>
      <c r="G40" s="29">
        <f>G25+G28+G33+G39</f>
        <v>50333</v>
      </c>
      <c r="H40" s="29">
        <f>H25+H28+H33+H39</f>
        <v>50333</v>
      </c>
      <c r="I40" s="29">
        <f>I25+I28+I33+I39</f>
        <v>50333</v>
      </c>
      <c r="J40" s="29">
        <f>J25+J28+J33+J39</f>
        <v>50333</v>
      </c>
      <c r="K40" s="29">
        <f>K25+K28+K33+K39</f>
        <v>50333</v>
      </c>
      <c r="L40" s="29" t="str">
        <f>L25+L28+L33+L39</f>
        <v>0</v>
      </c>
      <c r="M40" s="29" t="str">
        <f>M25+M28+M33+M39</f>
        <v>0</v>
      </c>
      <c r="N40" s="29">
        <f>SUM(B40:M40)</f>
        <v>503333</v>
      </c>
    </row>
    <row r="41" spans="1:1" x14ac:dyDescent="0.25">
      <c r="A41" t="s">
        <v>7</v>
      </c>
    </row>
    <row r="42" spans="1:14" x14ac:dyDescent="0.25">
      <c r="A42" s="27" t="s">
        <v>237</v>
      </c>
      <c r="B42" s="21">
        <v>8886</v>
      </c>
      <c r="C42" s="21">
        <v>8886</v>
      </c>
      <c r="D42" s="21">
        <v>8886</v>
      </c>
      <c r="E42" s="21">
        <v>8886</v>
      </c>
      <c r="F42" s="21">
        <v>8886</v>
      </c>
      <c r="G42" s="21">
        <v>8886</v>
      </c>
      <c r="H42" s="21">
        <v>8886</v>
      </c>
      <c r="I42" s="21">
        <v>8886</v>
      </c>
      <c r="J42" s="21">
        <v>8886</v>
      </c>
      <c r="K42" s="21">
        <v>8886</v>
      </c>
      <c r="L42" s="21">
        <v>8886</v>
      </c>
      <c r="M42" s="21">
        <v>8886</v>
      </c>
      <c r="N42" s="21">
        <f>SUM(B42:M42)</f>
        <v>106629</v>
      </c>
    </row>
    <row r="43" spans="1:1" x14ac:dyDescent="0.25">
      <c r="A43" t="s">
        <v>7</v>
      </c>
    </row>
    <row r="44" ht="24" customHeight="1" spans="1:14" x14ac:dyDescent="0.25">
      <c r="A44" s="12" t="s">
        <v>238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</row>
    <row r="45" spans="1:14" x14ac:dyDescent="0.25">
      <c r="A45" s="27" t="s">
        <v>189</v>
      </c>
      <c r="B45" s="31">
        <f>B20+B40+B42</f>
        <v>137273</v>
      </c>
      <c r="C45" s="31">
        <f>C20+C40+C42</f>
        <v>137273</v>
      </c>
      <c r="D45" s="31">
        <f>D20+D40+D42</f>
        <v>137273</v>
      </c>
      <c r="E45" s="31">
        <f>E20+E40+E42</f>
        <v>137273</v>
      </c>
      <c r="F45" s="31">
        <f>F20+F40+F42</f>
        <v>137273</v>
      </c>
      <c r="G45" s="31">
        <f>G20+G40+G42</f>
        <v>137273</v>
      </c>
      <c r="H45" s="31">
        <f>H20+H40+H42</f>
        <v>137273</v>
      </c>
      <c r="I45" s="31">
        <f>I20+I40+I42</f>
        <v>137273</v>
      </c>
      <c r="J45" s="31">
        <f>J20+J40+J42</f>
        <v>137273</v>
      </c>
      <c r="K45" s="31">
        <f>K20+K40+K42</f>
        <v>137273</v>
      </c>
      <c r="L45" s="31">
        <f>L20+L40+L42</f>
        <v>8886</v>
      </c>
      <c r="M45" s="31">
        <f>M20+M40+M42</f>
        <v>8886</v>
      </c>
      <c r="N45" s="31">
        <f>SUM(B45:M45)</f>
        <v>1390502</v>
      </c>
    </row>
    <row r="46" spans="1:14" x14ac:dyDescent="0.25">
      <c r="A46" s="27" t="s">
        <v>239</v>
      </c>
      <c r="B46" s="31">
        <f>B10-B45</f>
        <v>9227</v>
      </c>
      <c r="C46" s="31">
        <f>C10-C45</f>
        <v>9227</v>
      </c>
      <c r="D46" s="31">
        <f>D10-D45</f>
        <v>9227</v>
      </c>
      <c r="E46" s="31">
        <f>E10-E45</f>
        <v>9227</v>
      </c>
      <c r="F46" s="31">
        <f>F10-F45</f>
        <v>9227</v>
      </c>
      <c r="G46" s="31">
        <f>G10-G45</f>
        <v>9227</v>
      </c>
      <c r="H46" s="31">
        <f>H10-H45</f>
        <v>9227</v>
      </c>
      <c r="I46" s="31">
        <f>I10-I45</f>
        <v>9227</v>
      </c>
      <c r="J46" s="31">
        <f>J10-J45</f>
        <v>9227</v>
      </c>
      <c r="K46" s="31">
        <f>K10-K45</f>
        <v>9227</v>
      </c>
      <c r="L46" s="31">
        <f>L10-L45</f>
        <v>-8886</v>
      </c>
      <c r="M46" s="31">
        <f>M10-M45</f>
        <v>-8886</v>
      </c>
      <c r="N46" s="31">
        <f>SUM(B46:M46)</f>
        <v>74498</v>
      </c>
    </row>
    <row r="47" spans="1:14" x14ac:dyDescent="0.25">
      <c r="A47" s="27" t="s">
        <v>240</v>
      </c>
      <c r="B47" s="31">
        <f>0+B46</f>
        <v>9227</v>
      </c>
      <c r="C47" s="31">
        <f>B47+C46</f>
        <v>18454</v>
      </c>
      <c r="D47" s="31">
        <f>C47+D46</f>
        <v>27681</v>
      </c>
      <c r="E47" s="31">
        <f>D47+E46</f>
        <v>36908</v>
      </c>
      <c r="F47" s="31">
        <f>E47+F46</f>
        <v>46135</v>
      </c>
      <c r="G47" s="31">
        <f>F47+G46</f>
        <v>55362</v>
      </c>
      <c r="H47" s="31">
        <f>G47+H46</f>
        <v>64589</v>
      </c>
      <c r="I47" s="31">
        <f>H47+I46</f>
        <v>73816</v>
      </c>
      <c r="J47" s="31">
        <f>I47+J46</f>
        <v>83043</v>
      </c>
      <c r="K47" s="31">
        <f>J47+K46</f>
        <v>92270</v>
      </c>
      <c r="L47" s="31">
        <f>K47+L46</f>
        <v>83384</v>
      </c>
      <c r="M47" s="31">
        <f>L47+M46</f>
        <v>74498</v>
      </c>
      <c r="N47" s="31">
        <f>M47</f>
        <v>74498</v>
      </c>
    </row>
    <row r="49" ht="24" customHeight="1" spans="1:3" x14ac:dyDescent="0.25">
      <c r="A49" s="12" t="s">
        <v>241</v>
      </c>
      <c r="B49" s="12"/>
      <c r="C49" s="12"/>
    </row>
    <row r="50" spans="1:2" x14ac:dyDescent="0.25">
      <c r="A50" s="13" t="s">
        <v>138</v>
      </c>
      <c r="B50" s="21">
        <v>0</v>
      </c>
    </row>
    <row r="51" spans="1:2" x14ac:dyDescent="0.25">
      <c r="A51" s="13" t="s">
        <v>242</v>
      </c>
      <c r="B51" s="31">
        <f>M47</f>
        <v>74498</v>
      </c>
    </row>
    <row r="52" spans="1:2" x14ac:dyDescent="0.25">
      <c r="A52" s="13" t="s">
        <v>243</v>
      </c>
      <c r="B52" s="21">
        <f>MIN(B47:M47)</f>
        <v>9227</v>
      </c>
    </row>
    <row r="54" spans="1:14" x14ac:dyDescent="0.25">
      <c r="A54" s="26" t="s">
        <v>155</v>
      </c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</row>
  </sheetData>
  <mergeCells count="2">
    <mergeCell ref="A1:N1"/>
    <mergeCell ref="A54:N54"/>
  </mergeCells>
  <pageMargins left="0.25" right="0.25" top="0.5" bottom="0.5" header="0.3" footer="0.3"/>
  <pageSetup paperSize="1" orientation="landscape" horizontalDpi="4294967295" verticalDpi="4294967295" scale="100" fitToWidth="1" fitToHeight="0"/>
  <headerFooter>
    <oddHeader>&amp;L&amp;10&amp;BHeritage Academy Charter&amp;R&amp;8&amp;IYear 1 Pro Forma</oddHeader>
    <oddFooter>&amp;L&amp;8Built by SchoolStack Budget  •  budget.schoolstack.ai&amp;C&amp;8Page &amp;P of &amp;N&amp;R&amp;8&amp;D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28555"/>
    <pageSetUpPr fitToPage="1"/>
  </sheetPr>
  <dimension ref="B2:H35"/>
  <sheetFormatPr defaultRowHeight="15" outlineLevelRow="0" outlineLevelCol="0" x14ac:dyDescent="55"/>
  <cols>
    <col min="1" max="1" width="4" customWidth="1"/>
    <col min="2" max="2" width="28" customWidth="1"/>
    <col min="3" max="7" width="16" customWidth="1"/>
    <col min="8" max="8" width="20" customWidth="1"/>
    <col min="9" max="9" width="40" customWidth="1"/>
  </cols>
  <sheetData>
    <row r="2" ht="30" customHeight="1" spans="2:8" x14ac:dyDescent="0.25">
      <c r="B2" s="1" t="s">
        <v>244</v>
      </c>
      <c r="C2" s="1"/>
      <c r="D2" s="1"/>
      <c r="E2" s="1"/>
      <c r="F2" s="1"/>
      <c r="G2" s="1"/>
      <c r="H2" s="1"/>
    </row>
    <row r="3" spans="2:8" x14ac:dyDescent="0.25">
      <c r="B3" s="43" t="s">
        <v>245</v>
      </c>
      <c r="C3" s="43"/>
      <c r="D3" s="43"/>
      <c r="E3" s="43"/>
      <c r="F3" s="43"/>
      <c r="G3" s="43"/>
      <c r="H3" s="43"/>
    </row>
    <row r="4" spans="2:6" x14ac:dyDescent="0.25">
      <c r="B4" s="44" t="s">
        <v>246</v>
      </c>
      <c r="D4" s="45" t="s">
        <v>247</v>
      </c>
      <c r="F4" s="46" t="s">
        <v>248</v>
      </c>
    </row>
    <row r="6" ht="24" customHeight="1" spans="2:8" x14ac:dyDescent="0.25">
      <c r="B6" s="12" t="s">
        <v>249</v>
      </c>
      <c r="C6" s="16" t="s">
        <v>250</v>
      </c>
      <c r="D6" s="16" t="s">
        <v>251</v>
      </c>
      <c r="E6" s="16" t="s">
        <v>252</v>
      </c>
      <c r="F6" s="16" t="s">
        <v>253</v>
      </c>
      <c r="G6" s="16" t="s">
        <v>254</v>
      </c>
      <c r="H6" s="16" t="s">
        <v>255</v>
      </c>
    </row>
    <row r="7" spans="2:7" x14ac:dyDescent="0.25">
      <c r="B7" s="13" t="s">
        <v>256</v>
      </c>
      <c r="C7" s="47">
        <v>120</v>
      </c>
      <c r="D7" s="47">
        <v>200</v>
      </c>
      <c r="E7" s="47">
        <v>300</v>
      </c>
      <c r="F7" s="47">
        <v>400</v>
      </c>
      <c r="G7" s="47">
        <v>500</v>
      </c>
    </row>
    <row r="8" spans="2:7" x14ac:dyDescent="0.25">
      <c r="B8" s="13" t="s">
        <v>257</v>
      </c>
      <c r="C8" s="48">
        <v>1414000</v>
      </c>
      <c r="D8" s="48">
        <v>2212650</v>
      </c>
      <c r="E8" s="48">
        <v>3265600</v>
      </c>
      <c r="F8" s="48">
        <v>4342850</v>
      </c>
      <c r="G8" s="48">
        <v>5524700</v>
      </c>
    </row>
    <row r="9" spans="2:7" x14ac:dyDescent="0.25">
      <c r="B9" s="13" t="s">
        <v>258</v>
      </c>
      <c r="C9" s="48">
        <v>780535</v>
      </c>
      <c r="D9" s="48">
        <v>936642</v>
      </c>
      <c r="E9" s="48">
        <v>936642</v>
      </c>
      <c r="F9" s="48">
        <v>936642</v>
      </c>
      <c r="G9" s="48">
        <v>936642</v>
      </c>
    </row>
    <row r="10" spans="2:7" x14ac:dyDescent="0.25">
      <c r="B10" s="13" t="s">
        <v>259</v>
      </c>
      <c r="C10" s="48">
        <v>604000</v>
      </c>
      <c r="D10" s="48">
        <v>774860</v>
      </c>
      <c r="E10" s="48">
        <v>994467.6</v>
      </c>
      <c r="F10" s="48">
        <v>1226219.9279999998</v>
      </c>
      <c r="G10" s="48">
        <v>1471949.32584</v>
      </c>
    </row>
    <row r="11" spans="2:7" x14ac:dyDescent="0.25">
      <c r="B11" s="13" t="s">
        <v>197</v>
      </c>
      <c r="C11" s="48">
        <v>46628.6108154935</v>
      </c>
      <c r="D11" s="48">
        <v>46628.6108154935</v>
      </c>
      <c r="E11" s="48">
        <v>46628.6108154935</v>
      </c>
      <c r="F11" s="48">
        <v>46628.6108154935</v>
      </c>
      <c r="G11" s="48">
        <v>46628.6108154935</v>
      </c>
    </row>
    <row r="12" spans="2:7" x14ac:dyDescent="0.25">
      <c r="B12" s="27" t="s">
        <v>190</v>
      </c>
      <c r="C12" s="49">
        <v>-17163.6108154935</v>
      </c>
      <c r="D12" s="50">
        <v>454519.3891845065</v>
      </c>
      <c r="E12" s="50">
        <v>1287861.7891845065</v>
      </c>
      <c r="F12" s="50">
        <v>2133359.461184507</v>
      </c>
      <c r="G12" s="50">
        <v>3069480.0633445065</v>
      </c>
    </row>
    <row r="13" spans="2:7" x14ac:dyDescent="0.25">
      <c r="B13" s="27" t="s">
        <v>199</v>
      </c>
      <c r="C13" s="49">
        <v>-17163.6108154935</v>
      </c>
      <c r="D13" s="50">
        <v>437355.778369013</v>
      </c>
      <c r="E13" s="50">
        <v>1725217.5675535195</v>
      </c>
      <c r="F13" s="50">
        <v>3858577.0287380265</v>
      </c>
      <c r="G13" s="50">
        <v>6928057.092082533</v>
      </c>
    </row>
    <row r="14" spans="2:7" x14ac:dyDescent="0.25">
      <c r="B14" s="27" t="s">
        <v>260</v>
      </c>
      <c r="C14" s="51">
        <v>-0.0121383386248186</v>
      </c>
      <c r="D14" s="52">
        <v>0.20541856560436875</v>
      </c>
      <c r="E14" s="52">
        <v>0.39437217944160535</v>
      </c>
      <c r="F14" s="52">
        <v>0.49123489440908774</v>
      </c>
      <c r="G14" s="52">
        <v>0.555592170315946</v>
      </c>
    </row>
    <row r="15" spans="2:8" x14ac:dyDescent="0.25">
      <c r="B15" s="27" t="s">
        <v>261</v>
      </c>
      <c r="C15" s="53">
        <v>11783.333333333334</v>
      </c>
      <c r="D15" s="53">
        <v>11063.25</v>
      </c>
      <c r="E15" s="53">
        <v>10885.333333333334</v>
      </c>
      <c r="F15" s="53">
        <v>10857.125</v>
      </c>
      <c r="G15" s="53">
        <v>11049.4</v>
      </c>
      <c r="H15" s="54" t="s">
        <v>262</v>
      </c>
    </row>
    <row r="16" spans="2:8" x14ac:dyDescent="0.25">
      <c r="B16" s="27" t="s">
        <v>263</v>
      </c>
      <c r="C16" s="55">
        <v>0.5520049504950495</v>
      </c>
      <c r="D16" s="52">
        <v>0.4233123178089621</v>
      </c>
      <c r="E16" s="52">
        <v>0.2868207986281235</v>
      </c>
      <c r="F16" s="52">
        <v>0.21567449946463726</v>
      </c>
      <c r="G16" s="52">
        <v>0.16953716943906458</v>
      </c>
      <c r="H16" s="54" t="s">
        <v>264</v>
      </c>
    </row>
    <row r="17" spans="2:8" x14ac:dyDescent="0.25">
      <c r="B17" s="27" t="s">
        <v>265</v>
      </c>
      <c r="C17" s="51">
        <v>0.22772277227722773</v>
      </c>
      <c r="D17" s="52">
        <v>0.1498926626443405</v>
      </c>
      <c r="E17" s="52">
        <v>0.10460975012248896</v>
      </c>
      <c r="F17" s="52">
        <v>0.08101959036116835</v>
      </c>
      <c r="G17" s="52">
        <v>0.06559982005176752</v>
      </c>
      <c r="H17" s="54" t="s">
        <v>266</v>
      </c>
    </row>
    <row r="18" spans="2:8" x14ac:dyDescent="0.25">
      <c r="B18" s="27" t="s">
        <v>267</v>
      </c>
      <c r="C18" s="55">
        <v>0.020838048090523337</v>
      </c>
      <c r="D18" s="52">
        <v>0.22649221521704743</v>
      </c>
      <c r="E18" s="52">
        <v>0.40865090641842233</v>
      </c>
      <c r="F18" s="52">
        <v>0.5019717632430317</v>
      </c>
      <c r="G18" s="52">
        <v>0.5640321961663076</v>
      </c>
      <c r="H18" s="54" t="s">
        <v>268</v>
      </c>
    </row>
    <row r="19" spans="2:8" x14ac:dyDescent="0.25">
      <c r="B19" s="27" t="s">
        <v>269</v>
      </c>
      <c r="C19" s="56">
        <v>3</v>
      </c>
      <c r="D19" s="56">
        <v>3</v>
      </c>
      <c r="E19" s="56">
        <v>3</v>
      </c>
      <c r="F19" s="56">
        <v>3</v>
      </c>
      <c r="G19" s="56">
        <v>3</v>
      </c>
      <c r="H19" s="54" t="s">
        <v>270</v>
      </c>
    </row>
    <row r="20" spans="2:8" x14ac:dyDescent="0.25">
      <c r="B20" s="27" t="s">
        <v>271</v>
      </c>
      <c r="C20" s="57">
        <v>0.6319081672107103</v>
      </c>
      <c r="D20" s="58">
        <v>10.747650235238861</v>
      </c>
      <c r="E20" s="58">
        <v>28.61956160951256</v>
      </c>
      <c r="F20" s="58">
        <v>46.752155680255555</v>
      </c>
      <c r="G20" s="58">
        <v>66.82825457722186</v>
      </c>
      <c r="H20" s="54" t="s">
        <v>272</v>
      </c>
    </row>
    <row r="21" spans="2:8" x14ac:dyDescent="0.25">
      <c r="B21" s="27" t="s">
        <v>273</v>
      </c>
      <c r="C21" s="59" t="str">
        <f>IF('5-Year Model'!B58&gt;=0,"✓ Break-even","")</f>
        <v>0</v>
      </c>
      <c r="D21" s="37" t="str">
        <f>IF(AND('5-Year Model'!C58&gt;=0,'5-Year Model'!B58&lt;0),"✓ Break-even","")</f>
        <v>✓ Break-even</v>
      </c>
      <c r="E21" s="59" t="str">
        <f>IF(AND('5-Year Model'!D58&gt;=0,'5-Year Model'!C58&lt;0),"✓ Break-even","")</f>
        <v>0</v>
      </c>
      <c r="F21" s="59" t="str">
        <f>IF(AND('5-Year Model'!E58&gt;=0,'5-Year Model'!D58&lt;0),"✓ Break-even","")</f>
        <v>0</v>
      </c>
      <c r="G21" s="59" t="str">
        <f>IF(AND('5-Year Model'!F58&gt;=0,'5-Year Model'!E58&lt;0),"✓ Break-even","")</f>
        <v>0</v>
      </c>
      <c r="H21" s="54" t="s">
        <v>250</v>
      </c>
    </row>
    <row r="22" spans="2:8" x14ac:dyDescent="0.25">
      <c r="B22" s="27" t="s">
        <v>274</v>
      </c>
      <c r="C22" s="60">
        <v>0</v>
      </c>
      <c r="D22" s="60">
        <v>3</v>
      </c>
      <c r="E22" s="60">
        <v>10</v>
      </c>
      <c r="F22" s="61">
        <v>21</v>
      </c>
      <c r="G22" s="56">
        <v>34</v>
      </c>
      <c r="H22" s="54" t="s">
        <v>275</v>
      </c>
    </row>
    <row r="24" ht="24" customHeight="1" spans="2:8" x14ac:dyDescent="0.25">
      <c r="B24" s="12" t="s">
        <v>276</v>
      </c>
      <c r="C24" s="12" t="s">
        <v>277</v>
      </c>
      <c r="D24" s="12" t="s">
        <v>278</v>
      </c>
      <c r="E24" s="12"/>
      <c r="F24" s="12" t="s">
        <v>279</v>
      </c>
      <c r="G24" s="12"/>
      <c r="H24" s="12"/>
    </row>
    <row r="25" ht="45" customHeight="1" spans="2:8" x14ac:dyDescent="0.25">
      <c r="B25" s="62" t="s">
        <v>280</v>
      </c>
      <c r="C25" s="37" t="s">
        <v>281</v>
      </c>
      <c r="D25" s="63" t="s">
        <v>282</v>
      </c>
      <c r="E25" s="63"/>
      <c r="F25" s="64" t="s">
        <v>283</v>
      </c>
      <c r="G25" s="64"/>
      <c r="H25" s="64"/>
    </row>
    <row r="26" ht="45" customHeight="1" spans="2:8" x14ac:dyDescent="0.25">
      <c r="B26" s="62" t="s">
        <v>284</v>
      </c>
      <c r="C26" s="65" t="s">
        <v>285</v>
      </c>
      <c r="D26" s="63" t="s">
        <v>286</v>
      </c>
      <c r="E26" s="63"/>
      <c r="F26" s="64" t="s">
        <v>287</v>
      </c>
      <c r="G26" s="64"/>
      <c r="H26" s="64"/>
    </row>
    <row r="27" ht="45" customHeight="1" spans="2:8" x14ac:dyDescent="0.25">
      <c r="B27" s="62" t="s">
        <v>288</v>
      </c>
      <c r="C27" s="37" t="s">
        <v>281</v>
      </c>
      <c r="D27" s="63" t="s">
        <v>289</v>
      </c>
      <c r="E27" s="63"/>
      <c r="F27" s="64" t="s">
        <v>290</v>
      </c>
      <c r="G27" s="64"/>
      <c r="H27" s="64"/>
    </row>
    <row r="28" ht="45" customHeight="1" spans="2:8" x14ac:dyDescent="0.25">
      <c r="B28" s="62" t="s">
        <v>291</v>
      </c>
      <c r="C28" s="37" t="s">
        <v>281</v>
      </c>
      <c r="D28" s="63" t="s">
        <v>292</v>
      </c>
      <c r="E28" s="63"/>
      <c r="F28" s="64" t="s">
        <v>293</v>
      </c>
      <c r="G28" s="64"/>
      <c r="H28" s="64"/>
    </row>
    <row r="29" ht="45" customHeight="1" spans="2:8" x14ac:dyDescent="0.25">
      <c r="B29" s="62" t="s">
        <v>294</v>
      </c>
      <c r="C29" s="37" t="s">
        <v>281</v>
      </c>
      <c r="D29" s="63" t="s">
        <v>295</v>
      </c>
      <c r="E29" s="63"/>
      <c r="F29" s="64" t="s">
        <v>296</v>
      </c>
      <c r="G29" s="64"/>
      <c r="H29" s="64"/>
    </row>
    <row r="30" ht="45" customHeight="1" spans="2:8" x14ac:dyDescent="0.25">
      <c r="B30" s="62" t="s">
        <v>297</v>
      </c>
      <c r="C30" s="37" t="s">
        <v>281</v>
      </c>
      <c r="D30" s="63" t="s">
        <v>298</v>
      </c>
      <c r="E30" s="63"/>
      <c r="F30" s="64" t="s">
        <v>299</v>
      </c>
      <c r="G30" s="64"/>
      <c r="H30" s="64"/>
    </row>
    <row r="31" ht="45" customHeight="1" spans="2:8" x14ac:dyDescent="0.25">
      <c r="B31" s="62" t="s">
        <v>300</v>
      </c>
      <c r="C31" s="37" t="s">
        <v>281</v>
      </c>
      <c r="D31" s="63" t="s">
        <v>301</v>
      </c>
      <c r="E31" s="63"/>
      <c r="F31" s="64" t="s">
        <v>302</v>
      </c>
      <c r="G31" s="64"/>
      <c r="H31" s="64"/>
    </row>
    <row r="33" spans="2:6" x14ac:dyDescent="0.25">
      <c r="B33" s="62" t="s">
        <v>303</v>
      </c>
      <c r="C33" s="27" t="s">
        <v>304</v>
      </c>
      <c r="D33" s="27"/>
      <c r="E33" s="27"/>
      <c r="F33" s="27"/>
    </row>
    <row r="35" spans="2:8" x14ac:dyDescent="0.25">
      <c r="B35" s="66" t="s">
        <v>155</v>
      </c>
      <c r="C35" s="66"/>
      <c r="D35" s="66"/>
      <c r="E35" s="66"/>
      <c r="F35" s="66"/>
      <c r="G35" s="66"/>
      <c r="H35" s="66"/>
    </row>
  </sheetData>
  <mergeCells count="20">
    <mergeCell ref="B2:H2"/>
    <mergeCell ref="B3:H3"/>
    <mergeCell ref="D24:E24"/>
    <mergeCell ref="F24:H24"/>
    <mergeCell ref="D25:E25"/>
    <mergeCell ref="F25:H25"/>
    <mergeCell ref="D26:E26"/>
    <mergeCell ref="F26:H26"/>
    <mergeCell ref="D27:E27"/>
    <mergeCell ref="F27:H27"/>
    <mergeCell ref="D28:E28"/>
    <mergeCell ref="F28:H28"/>
    <mergeCell ref="D29:E29"/>
    <mergeCell ref="F29:H29"/>
    <mergeCell ref="D30:E30"/>
    <mergeCell ref="F30:H30"/>
    <mergeCell ref="D31:E31"/>
    <mergeCell ref="F31:H31"/>
    <mergeCell ref="C33:F33"/>
    <mergeCell ref="B35:H35"/>
  </mergeCells>
  <conditionalFormatting sqref="C12:G12">
    <cfRule type="expression" dxfId="0" priority="1">
      <formula>C12&gt;=0</formula>
    </cfRule>
    <cfRule type="expression" dxfId="1" priority="2">
      <formula>C12&gt;=-1</formula>
    </cfRule>
    <cfRule type="expression" dxfId="2" priority="3">
      <formula>C12&lt;-1</formula>
    </cfRule>
  </conditionalFormatting>
  <conditionalFormatting sqref="C13:G13">
    <cfRule type="expression" dxfId="3" priority="1">
      <formula>C13&gt;=0</formula>
    </cfRule>
    <cfRule type="expression" dxfId="4" priority="2">
      <formula>C13&gt;=-1</formula>
    </cfRule>
    <cfRule type="expression" dxfId="5" priority="3">
      <formula>C13&lt;-1</formula>
    </cfRule>
  </conditionalFormatting>
  <conditionalFormatting sqref="C14:G14">
    <cfRule type="expression" dxfId="6" priority="1">
      <formula>C14&gt;=0.05</formula>
    </cfRule>
    <cfRule type="expression" dxfId="7" priority="2">
      <formula>C14&gt;=0</formula>
    </cfRule>
    <cfRule type="expression" dxfId="8" priority="3">
      <formula>C14&lt;0</formula>
    </cfRule>
  </conditionalFormatting>
  <conditionalFormatting sqref="C15:G15">
    <cfRule type="expression" dxfId="9" priority="1">
      <formula>C15&gt;=10000</formula>
    </cfRule>
    <cfRule type="expression" dxfId="10" priority="2">
      <formula>C15&gt;=7000</formula>
    </cfRule>
    <cfRule type="expression" dxfId="11" priority="3">
      <formula>C15&lt;7000</formula>
    </cfRule>
  </conditionalFormatting>
  <conditionalFormatting sqref="C16:G16">
    <cfRule type="expression" dxfId="12" priority="1">
      <formula>C16&lt;=0.55</formula>
    </cfRule>
    <cfRule type="expression" dxfId="13" priority="2">
      <formula>C16&lt;=0.65</formula>
    </cfRule>
    <cfRule type="expression" dxfId="14" priority="3">
      <formula>C16&gt;0.65</formula>
    </cfRule>
  </conditionalFormatting>
  <conditionalFormatting sqref="C17:G17">
    <cfRule type="expression" dxfId="15" priority="1">
      <formula>C17&lt;=0.15</formula>
    </cfRule>
    <cfRule type="expression" dxfId="16" priority="2">
      <formula>C17&lt;=0.22</formula>
    </cfRule>
    <cfRule type="expression" dxfId="17" priority="3">
      <formula>C17&gt;0.22</formula>
    </cfRule>
  </conditionalFormatting>
  <conditionalFormatting sqref="C18:G18">
    <cfRule type="expression" dxfId="18" priority="1">
      <formula>C18&gt;=0.10</formula>
    </cfRule>
    <cfRule type="expression" dxfId="19" priority="2">
      <formula>C18&gt;=0</formula>
    </cfRule>
    <cfRule type="expression" dxfId="20" priority="3">
      <formula>C18&lt;0</formula>
    </cfRule>
  </conditionalFormatting>
  <conditionalFormatting sqref="C20:G20">
    <cfRule type="expression" dxfId="21" priority="1">
      <formula>C20&gt;=1.25</formula>
    </cfRule>
    <cfRule type="expression" dxfId="22" priority="2">
      <formula>C20&gt;=1</formula>
    </cfRule>
    <cfRule type="expression" dxfId="23" priority="3">
      <formula>C20&lt;1</formula>
    </cfRule>
  </conditionalFormatting>
  <pageMargins left="0.25" right="0.25" top="0.5" bottom="0.5" header="0.3" footer="0.3"/>
  <pageSetup paperSize="1" orientation="landscape" fitToWidth="1" fitToHeight="0"/>
  <headerFooter>
    <oddHeader>&amp;L&amp;10&amp;BHeritage Academy Charter&amp;R&amp;8&amp;IFinancial Health</oddHeader>
    <oddFooter>&amp;L&amp;8Built by SchoolStack Budget  •  budget.schoolstack.ai&amp;C&amp;8Page &amp;P of &amp;N&amp;R&amp;8&amp;D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Assumptions</vt:lpstr>
      <vt:lpstr>5-Year Model</vt:lpstr>
      <vt:lpstr>Year 1 Pro Forma</vt:lpstr>
      <vt:lpstr>Financial Health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SchoolStack Budget - Formula Model</dc:creator>
  <dc:title/>
  <dc:subject/>
  <dc:description/>
  <cp:keywords/>
  <cp:category/>
  <cp:lastModifiedBy>Unknown</cp:lastModifiedBy>
  <dcterms:created xsi:type="dcterms:W3CDTF">2026-03-27T00:37:26Z</dcterms:created>
  <dcterms:modified xsi:type="dcterms:W3CDTF">2026-03-27T00:37:26Z</dcterms:modified>
</cp:coreProperties>
</file>