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Health'!$A1:$H35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<sst xmlns="http://schemas.openxmlformats.org/spreadsheetml/2006/main" count="480" uniqueCount="309">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</sst>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9" borderId="3" xfId="0" applyNumberFormat="1" applyFont="1" applyFill="1" applyBorder="1" applyAlignment="1">
      <alignment horizontal="right"/>
    </xf>
    <xf numFmtId="164" fontId="12" fillId="10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8" x14ac:dyDescent="0.25">
      <c r="B16" s="26" t="s">
        <v>267</v>
      </c>
      <c r="C16" s="53">
        <v>0.4327959493670886</v>
      </c>
      <c r="D16" s="53">
        <v>0.3271641653940222</v>
      </c>
      <c r="E16" s="53">
        <v>0.26006523141330673</v>
      </c>
      <c r="F16" s="53">
        <v>0.21945084145261293</v>
      </c>
      <c r="G16" s="53">
        <v>0.1977265787647467</v>
      </c>
      <c r="H16" s="55" t="s">
        <v>268</v>
      </c>
    </row>
    <row r="17" spans="2:8" x14ac:dyDescent="0.25">
      <c r="B17" s="26" t="s">
        <v>269</v>
      </c>
      <c r="C17" s="53">
        <v>0.0690632911392405</v>
      </c>
      <c r="D17" s="53">
        <v>0.053773342978638713</v>
      </c>
      <c r="E17" s="53">
        <v>0.04402688361790943</v>
      </c>
      <c r="F17" s="53">
        <v>0.038265273616513266</v>
      </c>
      <c r="G17" s="53">
        <v>0.0355105016470044</v>
      </c>
      <c r="H17" s="55" t="s">
        <v>270</v>
      </c>
    </row>
    <row r="18" spans="2:8" x14ac:dyDescent="0.25">
      <c r="B18" s="26" t="s">
        <v>271</v>
      </c>
      <c r="C18" s="53">
        <v>0.42978632911392406</v>
      </c>
      <c r="D18" s="53">
        <v>0.5540140928628567</v>
      </c>
      <c r="E18" s="53">
        <v>0.6329607881317771</v>
      </c>
      <c r="F18" s="53">
        <v>0.6805514296350496</v>
      </c>
      <c r="G18" s="53">
        <v>0.7056033082072635</v>
      </c>
      <c r="H18" s="55" t="s">
        <v>272</v>
      </c>
    </row>
    <row r="19" spans="2:8" x14ac:dyDescent="0.25">
      <c r="B19" s="26" t="s">
        <v>273</v>
      </c>
      <c r="C19" s="56">
        <v>4</v>
      </c>
      <c r="D19" s="56">
        <v>4</v>
      </c>
      <c r="E19" s="56">
        <v>4</v>
      </c>
      <c r="F19" s="56">
        <v>4</v>
      </c>
      <c r="G19" s="56">
        <v>4</v>
      </c>
      <c r="H19" s="55" t="s">
        <v>274</v>
      </c>
    </row>
    <row r="20" spans="2:8" x14ac:dyDescent="0.25">
      <c r="B20" s="26" t="s">
        <v>275</v>
      </c>
      <c r="C20" s="57">
        <v>24.918336160088252</v>
      </c>
      <c r="D20" s="57">
        <v>42.49175944353473</v>
      </c>
      <c r="E20" s="57">
        <v>61.07228124867844</v>
      </c>
      <c r="F20" s="57">
        <v>77.81679342067802</v>
      </c>
      <c r="G20" s="57">
        <v>89.54579306652207</v>
      </c>
      <c r="H20" s="55" t="s">
        <v>276</v>
      </c>
    </row>
    <row r="21" spans="2:8" x14ac:dyDescent="0.25">
      <c r="B21" s="26" t="s">
        <v>277</v>
      </c>
      <c r="C21" s="34" t="str">
        <f>IF('5-Year Model'!B58&gt;=0,"✓ Break-even","")</f>
        <v>✓ Break-even</v>
      </c>
      <c r="D21" s="58" t="str">
        <f>IF(AND('5-Year Model'!C58&gt;=0,'5-Year Model'!B58&lt;0),"✓ Break-even","")</f>
        <v>0</v>
      </c>
      <c r="E21" s="58" t="str">
        <f>IF(AND('5-Year Model'!D58&gt;=0,'5-Year Model'!C58&lt;0),"✓ Break-even","")</f>
        <v>0</v>
      </c>
      <c r="F21" s="58" t="str">
        <f>IF(AND('5-Year Model'!E58&gt;=0,'5-Year Model'!D58&lt;0),"✓ Break-even","")</f>
        <v>0</v>
      </c>
      <c r="G21" s="58" t="str">
        <f>IF(AND('5-Year Model'!F58&gt;=0,'5-Year Model'!E58&lt;0),"✓ Break-even","")</f>
        <v>0</v>
      </c>
      <c r="H21" s="55" t="s">
        <v>255</v>
      </c>
    </row>
    <row r="22" spans="2:8" x14ac:dyDescent="0.25">
      <c r="B22" s="26" t="s">
        <v>278</v>
      </c>
      <c r="C22" s="59">
        <v>9</v>
      </c>
      <c r="D22" s="60">
        <v>23</v>
      </c>
      <c r="E22" s="56">
        <v>42</v>
      </c>
      <c r="F22" s="61" t="s">
        <v>279</v>
      </c>
      <c r="G22" s="61" t="s">
        <v>279</v>
      </c>
      <c r="H22" s="55" t="s">
        <v>280</v>
      </c>
    </row>
    <row r="24" ht="24" customHeight="1" spans="2:8" x14ac:dyDescent="0.25">
      <c r="B24" s="12" t="s">
        <v>281</v>
      </c>
      <c r="C24" s="12" t="s">
        <v>282</v>
      </c>
      <c r="D24" s="12" t="s">
        <v>283</v>
      </c>
      <c r="E24" s="12"/>
      <c r="F24" s="12" t="s">
        <v>284</v>
      </c>
      <c r="G24" s="12"/>
      <c r="H24" s="12"/>
    </row>
    <row r="25" ht="45" customHeight="1" spans="2:8" x14ac:dyDescent="0.25">
      <c r="B25" s="62" t="s">
        <v>285</v>
      </c>
      <c r="C25" s="34" t="s">
        <v>286</v>
      </c>
      <c r="D25" s="63" t="s">
        <v>287</v>
      </c>
      <c r="E25" s="63"/>
      <c r="F25" s="64" t="s">
        <v>288</v>
      </c>
      <c r="G25" s="64"/>
      <c r="H25" s="64"/>
    </row>
    <row r="26" ht="45" customHeight="1" spans="2:8" x14ac:dyDescent="0.25">
      <c r="B26" s="62" t="s">
        <v>289</v>
      </c>
      <c r="C26" s="34" t="s">
        <v>286</v>
      </c>
      <c r="D26" s="63" t="s">
        <v>290</v>
      </c>
      <c r="E26" s="63"/>
      <c r="F26" s="64" t="s">
        <v>291</v>
      </c>
      <c r="G26" s="64"/>
      <c r="H26" s="64"/>
    </row>
    <row r="27" ht="45" customHeight="1" spans="2:8" x14ac:dyDescent="0.25">
      <c r="B27" s="62" t="s">
        <v>292</v>
      </c>
      <c r="C27" s="34" t="s">
        <v>286</v>
      </c>
      <c r="D27" s="63" t="s">
        <v>293</v>
      </c>
      <c r="E27" s="63"/>
      <c r="F27" s="64" t="s">
        <v>294</v>
      </c>
      <c r="G27" s="64"/>
      <c r="H27" s="64"/>
    </row>
    <row r="28" ht="45" customHeight="1" spans="2:8" x14ac:dyDescent="0.25">
      <c r="B28" s="62" t="s">
        <v>295</v>
      </c>
      <c r="C28" s="34" t="s">
        <v>286</v>
      </c>
      <c r="D28" s="63" t="s">
        <v>296</v>
      </c>
      <c r="E28" s="63"/>
      <c r="F28" s="64" t="s">
        <v>297</v>
      </c>
      <c r="G28" s="64"/>
      <c r="H28" s="64"/>
    </row>
    <row r="29" ht="45" customHeight="1" spans="2:8" x14ac:dyDescent="0.25">
      <c r="B29" s="62" t="s">
        <v>298</v>
      </c>
      <c r="C29" s="34" t="s">
        <v>286</v>
      </c>
      <c r="D29" s="63" t="s">
        <v>299</v>
      </c>
      <c r="E29" s="63"/>
      <c r="F29" s="64" t="s">
        <v>300</v>
      </c>
      <c r="G29" s="64"/>
      <c r="H29" s="64"/>
    </row>
    <row r="30" ht="45" customHeight="1" spans="2:8" x14ac:dyDescent="0.25">
      <c r="B30" s="62" t="s">
        <v>301</v>
      </c>
      <c r="C30" s="34" t="s">
        <v>286</v>
      </c>
      <c r="D30" s="63" t="s">
        <v>302</v>
      </c>
      <c r="E30" s="63"/>
      <c r="F30" s="64" t="s">
        <v>303</v>
      </c>
      <c r="G30" s="64"/>
      <c r="H30" s="64"/>
    </row>
    <row r="31" ht="45" customHeight="1" spans="2:8" x14ac:dyDescent="0.25">
      <c r="B31" s="62" t="s">
        <v>304</v>
      </c>
      <c r="C31" s="34" t="s">
        <v>286</v>
      </c>
      <c r="D31" s="63" t="s">
        <v>305</v>
      </c>
      <c r="E31" s="63"/>
      <c r="F31" s="64" t="s">
        <v>306</v>
      </c>
      <c r="G31" s="64"/>
      <c r="H31" s="64"/>
    </row>
    <row r="33" spans="2:6" x14ac:dyDescent="0.25">
      <c r="B33" s="62" t="s">
        <v>307</v>
      </c>
      <c r="C33" s="26" t="s">
        <v>308</v>
      </c>
      <c r="D33" s="26"/>
      <c r="E33" s="26"/>
      <c r="F33" s="26"/>
    </row>
    <row r="35" spans="2:8" x14ac:dyDescent="0.25">
      <c r="B35" s="65" t="s">
        <v>147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2026-03-26T12:59:27Z</dcterms:created>
  <dcterms:modified xsi:type="dcterms:W3CDTF">2026-03-26T12:59:27Z</dcterms:modified>
</cp:coreProperties>
</file>