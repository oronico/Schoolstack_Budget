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<sst xmlns="http://schemas.openxmlformats.org/spreadsheetml/2006/main" count="474" uniqueCount="306">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</sst>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4" fillId="0" borderId="2" xfId="0" applyFont="1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7" fillId="0" borderId="2" xfId="0" applyFont="1" applyBorder="1"/>
    <xf numFmtId="164" fontId="19" fillId="0" borderId="2" xfId="0" applyNumberFormat="1" applyFont="1" applyBorder="1"/>
    <xf numFmtId="167" fontId="12" fillId="3" borderId="3" xfId="0" applyNumberFormat="1" applyFont="1" applyFill="1" applyBorder="1" applyAlignment="1">
      <alignment horizontal="right"/>
    </xf>
    <xf numFmtId="0" fontId="18" fillId="0" borderId="2" xfId="0" applyFont="1" applyBorder="1"/>
    <xf numFmtId="0" fontId="4" fillId="0" borderId="2" xfId="0" applyFont="1" applyBorder="1"/>
    <xf numFmtId="0" fontId="18" fillId="0" borderId="2" xfId="0" applyFont="1" applyBorder="1" applyAlignment="1">
      <alignment horizontal="center"/>
    </xf>
    <xf numFmtId="0" fontId="6" fillId="0" borderId="2" xfId="0" applyFont="1" applyBorder="1" applyAlignment="1">
      <alignment wrapText="1"/>
    </xf>
    <xf numFmtId="0" fontId="17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60" ht="24" customHeight="1" spans="1:6" x14ac:dyDescent="0.25">
      <c r="A60" s="12" t="s">
        <v>181</v>
      </c>
      <c r="B60" s="12"/>
      <c r="C60" s="12"/>
      <c r="D60" s="12"/>
      <c r="E60" s="12"/>
      <c r="F60" s="12"/>
    </row>
    <row r="61" spans="1:6" x14ac:dyDescent="0.25">
      <c r="A61" s="26" t="s">
        <v>182</v>
      </c>
      <c r="B61" s="30">
        <f>B50-B51-B52</f>
        <v>848828</v>
      </c>
      <c r="C61" s="30">
        <f>C50-C51-C52</f>
        <v>1447456</v>
      </c>
      <c r="D61" s="30">
        <f>D50-D51-D52</f>
        <v>2080390</v>
      </c>
      <c r="E61" s="30">
        <f>E50-E51-E52</f>
        <v>2650782</v>
      </c>
      <c r="F61" s="30">
        <f>F50-F51-F52</f>
        <v>3050323</v>
      </c>
    </row>
    <row r="62" spans="1:6" x14ac:dyDescent="0.25">
      <c r="A62" s="13" t="s">
        <v>183</v>
      </c>
      <c r="B62" s="21">
        <f>B53</f>
        <v>59064</v>
      </c>
      <c r="C62" s="21">
        <f>C53</f>
        <v>44064</v>
      </c>
      <c r="D62" s="21">
        <f>D53</f>
        <v>44064</v>
      </c>
      <c r="E62" s="21">
        <f>E53</f>
        <v>39064</v>
      </c>
      <c r="F62" s="21">
        <f>F53</f>
        <v>39064</v>
      </c>
    </row>
    <row r="63" spans="1:6" x14ac:dyDescent="0.25">
      <c r="A63" s="26" t="s">
        <v>184</v>
      </c>
      <c r="B63" s="34">
        <f>IF(B62=0,"N/A",B61/B62)</f>
        <v>14.37</v>
      </c>
      <c r="C63" s="34">
        <f>IF(C62=0,"N/A",C61/C62)</f>
        <v>32.85</v>
      </c>
      <c r="D63" s="34">
        <f>IF(D62=0,"N/A",D61/D62)</f>
        <v>47.21</v>
      </c>
      <c r="E63" s="34">
        <f>IF(E62=0,"N/A",E61/E62)</f>
        <v>67.86</v>
      </c>
      <c r="F63" s="34">
        <f>IF(F62=0,"N/A",F61/F62)</f>
        <v>78.09</v>
      </c>
    </row>
    <row r="64" spans="1:6" x14ac:dyDescent="0.25">
      <c r="A64" s="13" t="s">
        <v>138</v>
      </c>
      <c r="B64" s="21">
        <f>Assumptions!B63</f>
        <v>75000</v>
      </c>
      <c r="C64" s="21">
        <f>B65</f>
        <v>864764</v>
      </c>
      <c r="D64" s="21">
        <f>C65</f>
        <v>2268156</v>
      </c>
      <c r="E64" s="21">
        <f>D65</f>
        <v>4304482</v>
      </c>
      <c r="F64" s="21">
        <f>E65</f>
        <v>6916200</v>
      </c>
    </row>
    <row r="65" spans="1:6" x14ac:dyDescent="0.25">
      <c r="A65" s="26" t="s">
        <v>146</v>
      </c>
      <c r="B65" s="30">
        <f>B64+B56</f>
        <v>864764</v>
      </c>
      <c r="C65" s="30">
        <f>C64+C56</f>
        <v>2268156</v>
      </c>
      <c r="D65" s="30">
        <f>D64+D56</f>
        <v>4304482</v>
      </c>
      <c r="E65" s="30">
        <f>E64+E56</f>
        <v>6916200</v>
      </c>
      <c r="F65" s="30">
        <f>F64+F56</f>
        <v>9927459</v>
      </c>
    </row>
    <row r="66" spans="1:6" x14ac:dyDescent="0.25">
      <c r="A66" s="13" t="s">
        <v>185</v>
      </c>
      <c r="B66" s="35">
        <f>IF(B54=0,"",B65/B54*365)</f>
        <v>266</v>
      </c>
      <c r="C66" s="35">
        <f>IF(C54=0,"",C65/C54*365)</f>
        <v>685</v>
      </c>
      <c r="D66" s="35">
        <f>IF(D54=0,"",D65/D54*365)</f>
        <v>1256</v>
      </c>
      <c r="E66" s="35">
        <f>IF(E54=0,"",E65/E54*365)</f>
        <v>1967</v>
      </c>
      <c r="F66" s="35">
        <f>IF(F54=0,"",F65/F54*365)</f>
        <v>2762</v>
      </c>
    </row>
    <row r="67" spans="1:6" x14ac:dyDescent="0.25">
      <c r="A67" s="13" t="s">
        <v>186</v>
      </c>
      <c r="B67" s="36">
        <f>IF(B54=0,"",B65/(B54/12))</f>
        <v>8.8</v>
      </c>
      <c r="C67" s="36">
        <f>IF(C54=0,"",C65/(C54/12))</f>
        <v>22.5</v>
      </c>
      <c r="D67" s="36">
        <f>IF(D54=0,"",D65/(D54/12))</f>
        <v>41.3</v>
      </c>
      <c r="E67" s="36">
        <f>IF(E54=0,"",E65/(E54/12))</f>
        <v>64.7</v>
      </c>
      <c r="F67" s="36">
        <f>IF(F54=0,"",F65/(F54/12))</f>
        <v>90.8</v>
      </c>
    </row>
    <row r="68" spans="1:6" x14ac:dyDescent="0.25">
      <c r="A68" s="13" t="s">
        <v>187</v>
      </c>
      <c r="B68" s="33">
        <f>IF(Assumptions!B12=0,"",B3/Assumptions!B12)</f>
        <v>0.5</v>
      </c>
      <c r="C68" s="33">
        <f>IF(Assumptions!B12=0,"",C3/Assumptions!B12)</f>
        <v>0.65</v>
      </c>
      <c r="D68" s="33">
        <f>IF(Assumptions!B12=0,"",D3/Assumptions!B12)</f>
        <v>0.8</v>
      </c>
      <c r="E68" s="33">
        <f>IF(Assumptions!B12=0,"",E3/Assumptions!B12)</f>
        <v>0.93</v>
      </c>
      <c r="F68" s="33">
        <f>IF(Assumptions!B12=0,"",F3/Assumptions!B12)</f>
        <v>1</v>
      </c>
    </row>
    <row r="70" ht="24" customHeight="1" spans="1:6" x14ac:dyDescent="0.25">
      <c r="A70" s="12" t="s">
        <v>188</v>
      </c>
      <c r="B70" s="12"/>
      <c r="C70" s="12"/>
      <c r="D70" s="12"/>
      <c r="E70" s="12"/>
      <c r="F70" s="12"/>
    </row>
    <row r="71" spans="1:6" x14ac:dyDescent="0.25">
      <c r="A71" s="13" t="s">
        <v>189</v>
      </c>
      <c r="B71" s="13" t="str">
        <f>IF(B62=0,"N/A",IF(B63&gt;=1.2,"PASS","FAIL"))</f>
        <v>PASS</v>
      </c>
      <c r="C71" s="13" t="str">
        <f>IF(C62=0,"N/A",IF(C63&gt;=1.2,"PASS","FAIL"))</f>
        <v>PASS</v>
      </c>
      <c r="D71" s="13" t="str">
        <f>IF(D62=0,"N/A",IF(D63&gt;=1.2,"PASS","FAIL"))</f>
        <v>PASS</v>
      </c>
      <c r="E71" s="13" t="str">
        <f>IF(E62=0,"N/A",IF(E63&gt;=1.2,"PASS","FAIL"))</f>
        <v>PASS</v>
      </c>
      <c r="F71" s="13" t="str">
        <f>IF(F62=0,"N/A",IF(F63&gt;=1.2,"PASS","FAIL"))</f>
        <v>PASS</v>
      </c>
    </row>
    <row r="72" spans="1:6" x14ac:dyDescent="0.25">
      <c r="A72" s="13" t="s">
        <v>190</v>
      </c>
      <c r="B72" s="13" t="str">
        <f>IF(B56&gt;0,"PASS","FAIL")</f>
        <v>PASS</v>
      </c>
      <c r="C72" s="13" t="str">
        <f>IF(C56&gt;0,"PASS","FAIL")</f>
        <v>PASS</v>
      </c>
      <c r="D72" s="13" t="str">
        <f>IF(D56&gt;0,"PASS","FAIL")</f>
        <v>PASS</v>
      </c>
      <c r="E72" s="13" t="str">
        <f>IF(E56&gt;0,"PASS","FAIL")</f>
        <v>PASS</v>
      </c>
      <c r="F72" s="13" t="str">
        <f>IF(F56&gt;0,"PASS","FAIL")</f>
        <v>PASS</v>
      </c>
    </row>
    <row r="73" spans="1:6" x14ac:dyDescent="0.25">
      <c r="A73" s="13" t="s">
        <v>191</v>
      </c>
      <c r="B73" s="13" t="str">
        <f>IF(Assumptions!B12=0,"N/A",IF(B3/Assumptions!B12&gt;=0.7,"PASS","FAIL"))</f>
        <v>FAIL</v>
      </c>
      <c r="C73" s="13" t="str">
        <f>IF(Assumptions!B12=0,"N/A",IF(C3/Assumptions!B12&gt;=0.7,"PASS","FAIL"))</f>
        <v>FAIL</v>
      </c>
      <c r="D73" s="13" t="str">
        <f>IF(Assumptions!B12=0,"N/A",IF(D3/Assumptions!B12&gt;=0.7,"PASS","FAIL"))</f>
        <v>PASS</v>
      </c>
      <c r="E73" s="13" t="str">
        <f>IF(Assumptions!B12=0,"N/A",IF(E3/Assumptions!B12&gt;=0.7,"PASS","FAIL"))</f>
        <v>PASS</v>
      </c>
      <c r="F73" s="13" t="str">
        <f>IF(Assumptions!B12=0,"N/A",IF(F3/Assumptions!B12&gt;=0.7,"PASS","FAIL"))</f>
        <v>PASS</v>
      </c>
    </row>
    <row r="74" spans="1:6" x14ac:dyDescent="0.25">
      <c r="A74" s="13" t="s">
        <v>192</v>
      </c>
      <c r="B74" s="13" t="str">
        <f>IF(B54=0,"N/A",IF(B65/(B54/12)&gt;=2,"PASS","FAIL"))</f>
        <v>PASS</v>
      </c>
      <c r="C74" s="13" t="str">
        <f>IF(C54=0,"N/A",IF(C65/(C54/12)&gt;=2,"PASS","FAIL"))</f>
        <v>PASS</v>
      </c>
      <c r="D74" s="13" t="str">
        <f>IF(D54=0,"N/A",IF(D65/(D54/12)&gt;=2,"PASS","FAIL"))</f>
        <v>PASS</v>
      </c>
      <c r="E74" s="13" t="str">
        <f>IF(E54=0,"N/A",IF(E65/(E54/12)&gt;=2,"PASS","FAIL"))</f>
        <v>PASS</v>
      </c>
      <c r="F74" s="13" t="str">
        <f>IF(F54=0,"N/A",IF(F65/(F54/12)&gt;=2,"PASS","FAIL"))</f>
        <v>PASS</v>
      </c>
    </row>
    <row r="76" ht="24" customHeight="1" spans="1:6" x14ac:dyDescent="0.25">
      <c r="A76" s="12" t="s">
        <v>193</v>
      </c>
      <c r="B76" s="12"/>
      <c r="C76" s="12"/>
      <c r="D76" s="12"/>
      <c r="E76" s="12"/>
      <c r="F76" s="12"/>
    </row>
    <row r="77" spans="1:6" x14ac:dyDescent="0.25">
      <c r="A77" s="13" t="s">
        <v>194</v>
      </c>
      <c r="B77" s="21">
        <f>IF(B3=0,"",B13/B3)</f>
        <v>19750</v>
      </c>
      <c r="C77" s="21">
        <f>IF(C3=0,"",C13/C3)</f>
        <v>20097</v>
      </c>
      <c r="D77" s="21">
        <f>IF(D3=0,"",D13/D3)</f>
        <v>20542</v>
      </c>
      <c r="E77" s="21">
        <f>IF(E3=0,"",E13/E3)</f>
        <v>21054</v>
      </c>
      <c r="F77" s="21">
        <f>IF(F3=0,"",F13/F3)</f>
        <v>21615</v>
      </c>
    </row>
    <row r="78" spans="1:6" x14ac:dyDescent="0.25">
      <c r="A78" s="13" t="s">
        <v>195</v>
      </c>
      <c r="B78" s="21">
        <f>IF(B3=0,"",B54/B3)</f>
        <v>11852</v>
      </c>
      <c r="C78" s="21">
        <f>IF(C3=0,"",C54/C3)</f>
        <v>9302</v>
      </c>
      <c r="D78" s="21">
        <f>IF(D3=0,"",D54/D3)</f>
        <v>7815</v>
      </c>
      <c r="E78" s="21">
        <f>IF(E3=0,"",E54/E3)</f>
        <v>6937</v>
      </c>
      <c r="F78" s="21">
        <f>IF(F3=0,"",F54/F3)</f>
        <v>6559</v>
      </c>
    </row>
    <row r="79" spans="1:6" x14ac:dyDescent="0.25">
      <c r="A79" s="13" t="s">
        <v>196</v>
      </c>
      <c r="B79" s="21">
        <f>B51+B53</f>
        <v>913836</v>
      </c>
      <c r="C79" s="21">
        <f>C51+C53</f>
        <v>898836</v>
      </c>
      <c r="D79" s="21">
        <f>D51+D53</f>
        <v>898836</v>
      </c>
      <c r="E79" s="21">
        <f>E51+E53</f>
        <v>893836</v>
      </c>
      <c r="F79" s="21">
        <f>F51+F53</f>
        <v>893836</v>
      </c>
    </row>
    <row r="80" spans="1:6" x14ac:dyDescent="0.25">
      <c r="A80" s="13" t="s">
        <v>197</v>
      </c>
      <c r="B80" s="21">
        <f>IF(B3=0,"",B52/B3)</f>
        <v>2714</v>
      </c>
      <c r="C80" s="21">
        <f>IF(C3=0,"",C52/C3)</f>
        <v>2388</v>
      </c>
      <c r="D80" s="21">
        <f>IF(D3=0,"",D52/D3)</f>
        <v>2197</v>
      </c>
      <c r="E80" s="21">
        <f>IF(E3=0,"",E52/E3)</f>
        <v>2105</v>
      </c>
      <c r="F80" s="21">
        <f>IF(F3=0,"",F52/F3)</f>
        <v>2090</v>
      </c>
    </row>
    <row r="81" spans="1:6" x14ac:dyDescent="0.25">
      <c r="A81" s="13" t="s">
        <v>198</v>
      </c>
      <c r="B81" s="21">
        <f>IF(B3=0,"",B77-B80)</f>
        <v>17036</v>
      </c>
      <c r="C81" s="21">
        <f>IF(C3=0,"",C77-C80)</f>
        <v>17709</v>
      </c>
      <c r="D81" s="21">
        <f>IF(D3=0,"",D77-D80)</f>
        <v>18345</v>
      </c>
      <c r="E81" s="21">
        <f>IF(E3=0,"",E77-E80)</f>
        <v>18949</v>
      </c>
      <c r="F81" s="21">
        <f>IF(F3=0,"",F77-F80)</f>
        <v>19525</v>
      </c>
    </row>
    <row r="82" spans="1:6" x14ac:dyDescent="0.25">
      <c r="A82" s="37" t="s">
        <v>199</v>
      </c>
      <c r="B82" s="38">
        <f>IF(B81&lt;=0,"N/A",ROUNDUP(B79/B81,0))</f>
        <v>54</v>
      </c>
      <c r="C82" s="38">
        <f>IF(C81&lt;=0,"N/A",ROUNDUP(C79/C81,0))</f>
        <v>51</v>
      </c>
      <c r="D82" s="38">
        <f>IF(D81&lt;=0,"N/A",ROUNDUP(D79/D81,0))</f>
        <v>49</v>
      </c>
      <c r="E82" s="38">
        <f>IF(E81&lt;=0,"N/A",ROUNDUP(E79/E81,0))</f>
        <v>48</v>
      </c>
      <c r="F82" s="38">
        <f>IF(F81&lt;=0,"N/A",ROUNDUP(F79/F81,0))</f>
        <v>46</v>
      </c>
    </row>
    <row r="84" spans="1:6" x14ac:dyDescent="0.25">
      <c r="A84" s="24" t="s">
        <v>147</v>
      </c>
      <c r="B84" s="24"/>
      <c r="C84" s="24"/>
      <c r="D84" s="24"/>
      <c r="E84" s="24"/>
      <c r="F84" s="24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201</v>
      </c>
      <c r="D2" s="25" t="s">
        <v>202</v>
      </c>
      <c r="E2" s="25" t="s">
        <v>203</v>
      </c>
      <c r="F2" s="25" t="s">
        <v>204</v>
      </c>
      <c r="G2" s="25" t="s">
        <v>205</v>
      </c>
      <c r="H2" s="25" t="s">
        <v>206</v>
      </c>
      <c r="I2" s="25" t="s">
        <v>207</v>
      </c>
      <c r="J2" s="25" t="s">
        <v>208</v>
      </c>
      <c r="K2" s="25" t="s">
        <v>209</v>
      </c>
      <c r="L2" s="25" t="s">
        <v>210</v>
      </c>
      <c r="M2" s="25" t="s">
        <v>211</v>
      </c>
      <c r="N2" s="25" t="s">
        <v>212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213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214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215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216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217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218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219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220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221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222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223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224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225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226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227</v>
      </c>
      <c r="B51" s="30">
        <f>M47</f>
        <v>864764</v>
      </c>
    </row>
    <row r="52" spans="1:2" x14ac:dyDescent="0.25">
      <c r="A52" s="13" t="s">
        <v>228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229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230</v>
      </c>
      <c r="C2" s="25" t="s">
        <v>231</v>
      </c>
      <c r="D2" s="25" t="s">
        <v>232</v>
      </c>
      <c r="E2" s="25" t="s">
        <v>233</v>
      </c>
    </row>
    <row r="3" ht="24" customHeight="1" spans="2:5" x14ac:dyDescent="0.25">
      <c r="A3" s="12" t="s">
        <v>234</v>
      </c>
      <c r="B3" s="12"/>
      <c r="C3" s="12"/>
      <c r="D3" s="12"/>
      <c r="E3" s="12"/>
    </row>
    <row r="4" spans="2:5" x14ac:dyDescent="0.25">
      <c r="A4" s="26" t="s">
        <v>142</v>
      </c>
      <c r="B4" s="35">
        <v>85</v>
      </c>
      <c r="C4" s="35">
        <v>100</v>
      </c>
      <c r="D4" s="35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39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0" t="s">
        <v>235</v>
      </c>
      <c r="B7" s="41">
        <v>50000</v>
      </c>
      <c r="C7" s="41">
        <v>789764</v>
      </c>
      <c r="D7" s="41">
        <v>1403392</v>
      </c>
    </row>
    <row r="8" spans="2:2" x14ac:dyDescent="0.25">
      <c r="A8" s="26" t="s">
        <v>236</v>
      </c>
      <c r="B8" s="21">
        <v>75000</v>
      </c>
    </row>
    <row r="10" ht="24" customHeight="1" spans="2:5" x14ac:dyDescent="0.25">
      <c r="A10" s="12" t="s">
        <v>237</v>
      </c>
      <c r="B10" s="12"/>
      <c r="C10" s="12"/>
      <c r="D10" s="12"/>
      <c r="E10" s="12"/>
    </row>
    <row r="11" spans="2:4" x14ac:dyDescent="0.25">
      <c r="A11" s="26" t="s">
        <v>194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238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239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240</v>
      </c>
      <c r="B16" s="12"/>
      <c r="C16" s="12"/>
      <c r="D16" s="12"/>
      <c r="E16" s="12"/>
    </row>
    <row r="17" spans="3:3" x14ac:dyDescent="0.25">
      <c r="A17" s="42" t="s">
        <v>241</v>
      </c>
      <c r="C17" s="43" t="s">
        <v>242</v>
      </c>
    </row>
    <row r="18" spans="3:3" x14ac:dyDescent="0.25">
      <c r="A18" s="42" t="s">
        <v>243</v>
      </c>
      <c r="C18" s="44" t="s">
        <v>244</v>
      </c>
    </row>
    <row r="19" spans="3:3" x14ac:dyDescent="0.25">
      <c r="A19" s="42" t="s">
        <v>245</v>
      </c>
      <c r="C19" s="43" t="s">
        <v>246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247</v>
      </c>
      <c r="C2" s="1"/>
      <c r="D2" s="1"/>
      <c r="E2" s="1"/>
      <c r="F2" s="1"/>
      <c r="G2" s="1"/>
      <c r="H2" s="1"/>
    </row>
    <row r="3" spans="2:8" x14ac:dyDescent="0.25">
      <c r="B3" s="45" t="s">
        <v>248</v>
      </c>
      <c r="C3" s="45"/>
      <c r="D3" s="45"/>
      <c r="E3" s="45"/>
      <c r="F3" s="45"/>
      <c r="G3" s="45"/>
      <c r="H3" s="45"/>
    </row>
    <row r="4" spans="2:6" x14ac:dyDescent="0.25">
      <c r="B4" s="46" t="s">
        <v>249</v>
      </c>
      <c r="D4" s="44" t="s">
        <v>250</v>
      </c>
      <c r="F4" s="47" t="s">
        <v>251</v>
      </c>
    </row>
    <row r="6" ht="24" customHeight="1" spans="2:8" x14ac:dyDescent="0.25">
      <c r="B6" s="12" t="s">
        <v>252</v>
      </c>
      <c r="C6" s="16" t="s">
        <v>253</v>
      </c>
      <c r="D6" s="16" t="s">
        <v>254</v>
      </c>
      <c r="E6" s="16" t="s">
        <v>255</v>
      </c>
      <c r="F6" s="16" t="s">
        <v>256</v>
      </c>
      <c r="G6" s="16" t="s">
        <v>257</v>
      </c>
      <c r="H6" s="16" t="s">
        <v>258</v>
      </c>
    </row>
    <row r="7" spans="2:7" x14ac:dyDescent="0.25">
      <c r="B7" s="13" t="s">
        <v>142</v>
      </c>
      <c r="C7" s="48">
        <v>100</v>
      </c>
      <c r="D7" s="48">
        <v>130</v>
      </c>
      <c r="E7" s="48">
        <v>160</v>
      </c>
      <c r="F7" s="48">
        <v>185</v>
      </c>
      <c r="G7" s="48">
        <v>200</v>
      </c>
    </row>
    <row r="8" spans="2:7" x14ac:dyDescent="0.25">
      <c r="B8" s="13" t="s">
        <v>259</v>
      </c>
      <c r="C8" s="49">
        <v>1975000</v>
      </c>
      <c r="D8" s="49">
        <v>2612670</v>
      </c>
      <c r="E8" s="49">
        <v>3286760</v>
      </c>
      <c r="F8" s="49">
        <v>3895050</v>
      </c>
      <c r="G8" s="49">
        <v>4323000</v>
      </c>
    </row>
    <row r="9" spans="2:7" x14ac:dyDescent="0.25">
      <c r="B9" s="13" t="s">
        <v>260</v>
      </c>
      <c r="C9" s="49">
        <v>854772</v>
      </c>
      <c r="D9" s="49">
        <v>854772</v>
      </c>
      <c r="E9" s="49">
        <v>854772</v>
      </c>
      <c r="F9" s="49">
        <v>854772</v>
      </c>
      <c r="G9" s="49">
        <v>854772</v>
      </c>
    </row>
    <row r="10" spans="2:7" x14ac:dyDescent="0.25">
      <c r="B10" s="13" t="s">
        <v>261</v>
      </c>
      <c r="C10" s="49">
        <v>271400</v>
      </c>
      <c r="D10" s="49">
        <v>310442</v>
      </c>
      <c r="E10" s="49">
        <v>351597.8</v>
      </c>
      <c r="F10" s="49">
        <v>389496.154</v>
      </c>
      <c r="G10" s="49">
        <v>417904.89862</v>
      </c>
    </row>
    <row r="11" spans="2:7" x14ac:dyDescent="0.25">
      <c r="B11" s="13" t="s">
        <v>183</v>
      </c>
      <c r="C11" s="49">
        <v>34064.39316600799</v>
      </c>
      <c r="D11" s="49">
        <v>34064.39316600799</v>
      </c>
      <c r="E11" s="49">
        <v>34064.39316600799</v>
      </c>
      <c r="F11" s="49">
        <v>34064.39316600799</v>
      </c>
      <c r="G11" s="49">
        <v>34064.39316600799</v>
      </c>
    </row>
    <row r="12" spans="2:7" x14ac:dyDescent="0.25">
      <c r="B12" s="26" t="s">
        <v>145</v>
      </c>
      <c r="C12" s="50">
        <v>814763.6068339921</v>
      </c>
      <c r="D12" s="50">
        <v>1413391.606833992</v>
      </c>
      <c r="E12" s="50">
        <v>2046325.806833992</v>
      </c>
      <c r="F12" s="50">
        <v>2616717.452833992</v>
      </c>
      <c r="G12" s="50">
        <v>3016258.708213992</v>
      </c>
    </row>
    <row r="13" spans="2:7" x14ac:dyDescent="0.25">
      <c r="B13" s="26" t="s">
        <v>146</v>
      </c>
      <c r="C13" s="50">
        <v>889763.6068339921</v>
      </c>
      <c r="D13" s="50">
        <v>2303155.213667984</v>
      </c>
      <c r="E13" s="50">
        <v>4349481.020501976</v>
      </c>
      <c r="F13" s="50">
        <v>6966198.473335968</v>
      </c>
      <c r="G13" s="50">
        <v>9982457.18154996</v>
      </c>
    </row>
    <row r="14" spans="2:7" x14ac:dyDescent="0.25">
      <c r="B14" s="26" t="s">
        <v>262</v>
      </c>
      <c r="C14" s="51">
        <v>0.4125385351058188</v>
      </c>
      <c r="D14" s="51">
        <v>0.5409759391097965</v>
      </c>
      <c r="E14" s="51">
        <v>0.6225966626203289</v>
      </c>
      <c r="F14" s="51">
        <v>0.6718058697151492</v>
      </c>
      <c r="G14" s="51">
        <v>0.6977235040976155</v>
      </c>
    </row>
    <row r="15" spans="2:8" x14ac:dyDescent="0.25">
      <c r="B15" s="26" t="s">
        <v>263</v>
      </c>
      <c r="C15" s="52">
        <v>19750</v>
      </c>
      <c r="D15" s="52">
        <v>20097.46153846154</v>
      </c>
      <c r="E15" s="52">
        <v>20542.25</v>
      </c>
      <c r="F15" s="52">
        <v>21054.324324324323</v>
      </c>
      <c r="G15" s="52">
        <v>21615</v>
      </c>
      <c r="H15" s="53" t="s">
        <v>264</v>
      </c>
    </row>
    <row r="16" spans="2:8" x14ac:dyDescent="0.25">
      <c r="B16" s="26" t="s">
        <v>265</v>
      </c>
      <c r="C16" s="51">
        <v>0.4327959493670886</v>
      </c>
      <c r="D16" s="51">
        <v>0.3271641653940222</v>
      </c>
      <c r="E16" s="51">
        <v>0.26006523141330673</v>
      </c>
      <c r="F16" s="51">
        <v>0.21945084145261293</v>
      </c>
      <c r="G16" s="51">
        <v>0.1977265787647467</v>
      </c>
      <c r="H16" s="53" t="s">
        <v>266</v>
      </c>
    </row>
    <row r="17" spans="2:8" x14ac:dyDescent="0.25">
      <c r="B17" s="26" t="s">
        <v>267</v>
      </c>
      <c r="C17" s="51">
        <v>0.0412253164556962</v>
      </c>
      <c r="D17" s="51">
        <v>0.035646522522936305</v>
      </c>
      <c r="E17" s="51">
        <v>0.03209219413647482</v>
      </c>
      <c r="F17" s="51">
        <v>0.02999931867370123</v>
      </c>
      <c r="G17" s="51">
        <v>0.029001033908396943</v>
      </c>
      <c r="H17" s="53" t="s">
        <v>268</v>
      </c>
    </row>
    <row r="18" spans="2:8" x14ac:dyDescent="0.25">
      <c r="B18" s="26" t="s">
        <v>269</v>
      </c>
      <c r="C18" s="51">
        <v>0.42978632911392406</v>
      </c>
      <c r="D18" s="51">
        <v>0.5540140928628567</v>
      </c>
      <c r="E18" s="51">
        <v>0.6329607881317771</v>
      </c>
      <c r="F18" s="51">
        <v>0.6805514296350496</v>
      </c>
      <c r="G18" s="51">
        <v>0.7056033082072635</v>
      </c>
      <c r="H18" s="53" t="s">
        <v>270</v>
      </c>
    </row>
    <row r="19" spans="2:8" x14ac:dyDescent="0.25">
      <c r="B19" s="26" t="s">
        <v>271</v>
      </c>
      <c r="C19" s="54">
        <v>1</v>
      </c>
      <c r="D19" s="54"/>
      <c r="E19" s="54"/>
      <c r="F19" s="54"/>
      <c r="G19" s="54"/>
      <c r="H19" s="53" t="s">
        <v>272</v>
      </c>
    </row>
    <row r="20" spans="2:8" x14ac:dyDescent="0.25">
      <c r="B20" s="26" t="s">
        <v>273</v>
      </c>
      <c r="C20" s="55">
        <v>24.918336160088252</v>
      </c>
      <c r="D20" s="55">
        <v>42.49175944353473</v>
      </c>
      <c r="E20" s="55">
        <v>61.07228124867844</v>
      </c>
      <c r="F20" s="55">
        <v>77.81679342067802</v>
      </c>
      <c r="G20" s="55">
        <v>89.54579306652207</v>
      </c>
      <c r="H20" s="53" t="s">
        <v>274</v>
      </c>
    </row>
    <row r="21" spans="2:8" x14ac:dyDescent="0.25">
      <c r="B21" s="26" t="s">
        <v>275</v>
      </c>
      <c r="C21" s="56" t="s">
        <v>253</v>
      </c>
      <c r="D21" s="56"/>
      <c r="E21" s="56"/>
      <c r="F21" s="56"/>
      <c r="G21" s="56"/>
      <c r="H21" s="53" t="s">
        <v>253</v>
      </c>
    </row>
    <row r="22" spans="2:8" x14ac:dyDescent="0.25">
      <c r="B22" s="26" t="s">
        <v>276</v>
      </c>
      <c r="C22" s="56" t="s">
        <v>277</v>
      </c>
      <c r="D22" s="56"/>
      <c r="E22" s="56"/>
      <c r="F22" s="56"/>
      <c r="G22" s="56"/>
      <c r="H22" s="53" t="s">
        <v>277</v>
      </c>
    </row>
    <row r="24" ht="24" customHeight="1" spans="2:8" x14ac:dyDescent="0.25">
      <c r="B24" s="12" t="s">
        <v>278</v>
      </c>
      <c r="C24" s="12" t="s">
        <v>279</v>
      </c>
      <c r="D24" s="12" t="s">
        <v>280</v>
      </c>
      <c r="E24" s="12"/>
      <c r="F24" s="12" t="s">
        <v>281</v>
      </c>
      <c r="G24" s="12"/>
      <c r="H24" s="12"/>
    </row>
    <row r="25" ht="45" customHeight="1" spans="2:8" x14ac:dyDescent="0.25">
      <c r="B25" s="57" t="s">
        <v>282</v>
      </c>
      <c r="C25" s="58" t="s">
        <v>283</v>
      </c>
      <c r="D25" s="59" t="s">
        <v>284</v>
      </c>
      <c r="E25" s="59"/>
      <c r="F25" s="60" t="s">
        <v>285</v>
      </c>
      <c r="G25" s="60"/>
      <c r="H25" s="60"/>
    </row>
    <row r="26" ht="45" customHeight="1" spans="2:8" x14ac:dyDescent="0.25">
      <c r="B26" s="57" t="s">
        <v>286</v>
      </c>
      <c r="C26" s="58" t="s">
        <v>283</v>
      </c>
      <c r="D26" s="59" t="s">
        <v>287</v>
      </c>
      <c r="E26" s="59"/>
      <c r="F26" s="60" t="s">
        <v>288</v>
      </c>
      <c r="G26" s="60"/>
      <c r="H26" s="60"/>
    </row>
    <row r="27" ht="45" customHeight="1" spans="2:8" x14ac:dyDescent="0.25">
      <c r="B27" s="57" t="s">
        <v>289</v>
      </c>
      <c r="C27" s="58" t="s">
        <v>283</v>
      </c>
      <c r="D27" s="59" t="s">
        <v>290</v>
      </c>
      <c r="E27" s="59"/>
      <c r="F27" s="60" t="s">
        <v>291</v>
      </c>
      <c r="G27" s="60"/>
      <c r="H27" s="60"/>
    </row>
    <row r="28" ht="45" customHeight="1" spans="2:8" x14ac:dyDescent="0.25">
      <c r="B28" s="57" t="s">
        <v>292</v>
      </c>
      <c r="C28" s="58" t="s">
        <v>283</v>
      </c>
      <c r="D28" s="59" t="s">
        <v>293</v>
      </c>
      <c r="E28" s="59"/>
      <c r="F28" s="60" t="s">
        <v>294</v>
      </c>
      <c r="G28" s="60"/>
      <c r="H28" s="60"/>
    </row>
    <row r="29" ht="45" customHeight="1" spans="2:8" x14ac:dyDescent="0.25">
      <c r="B29" s="57" t="s">
        <v>295</v>
      </c>
      <c r="C29" s="58" t="s">
        <v>283</v>
      </c>
      <c r="D29" s="59" t="s">
        <v>296</v>
      </c>
      <c r="E29" s="59"/>
      <c r="F29" s="60" t="s">
        <v>297</v>
      </c>
      <c r="G29" s="60"/>
      <c r="H29" s="60"/>
    </row>
    <row r="30" ht="45" customHeight="1" spans="2:8" x14ac:dyDescent="0.25">
      <c r="B30" s="57" t="s">
        <v>298</v>
      </c>
      <c r="C30" s="58" t="s">
        <v>283</v>
      </c>
      <c r="D30" s="59" t="s">
        <v>299</v>
      </c>
      <c r="E30" s="59"/>
      <c r="F30" s="60" t="s">
        <v>300</v>
      </c>
      <c r="G30" s="60"/>
      <c r="H30" s="60"/>
    </row>
    <row r="31" ht="45" customHeight="1" spans="2:8" x14ac:dyDescent="0.25">
      <c r="B31" s="57" t="s">
        <v>301</v>
      </c>
      <c r="C31" s="58" t="s">
        <v>283</v>
      </c>
      <c r="D31" s="59" t="s">
        <v>302</v>
      </c>
      <c r="E31" s="59"/>
      <c r="F31" s="60" t="s">
        <v>303</v>
      </c>
      <c r="G31" s="60"/>
      <c r="H31" s="60"/>
    </row>
    <row r="33" spans="2:6" x14ac:dyDescent="0.25">
      <c r="B33" s="57" t="s">
        <v>304</v>
      </c>
      <c r="C33" s="26" t="s">
        <v>305</v>
      </c>
      <c r="D33" s="26"/>
      <c r="E33" s="26"/>
      <c r="F33" s="26"/>
    </row>
    <row r="35" spans="2:8" x14ac:dyDescent="0.25">
      <c r="B35" s="61" t="s">
        <v>147</v>
      </c>
      <c r="C35" s="61"/>
      <c r="D35" s="61"/>
      <c r="E35" s="61"/>
      <c r="F35" s="61"/>
      <c r="G35" s="61"/>
      <c r="H35" s="61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2026-03-26T12:05:37Z</dcterms:created>
  <dcterms:modified xsi:type="dcterms:W3CDTF">2026-03-26T12:05:37Z</dcterms:modified>
</cp:coreProperties>
</file>