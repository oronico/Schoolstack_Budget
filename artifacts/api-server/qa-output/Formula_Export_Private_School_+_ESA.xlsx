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Health'!$A1:$I40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<sst xmlns="http://schemas.openxmlformats.org/spreadsheetml/2006/main" count="491" uniqueCount="319">
  <si>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</si>
  <si>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</si>
  <si>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</si>
  <si>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</si>
  <si>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</si>
  <si>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</si>
  <si>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</si>
  <si>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</si>
  <si>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</si>
  <si>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</si>
  <si>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</si>
  <si>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</si>
  <si>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</si>
  <si>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</si>
  <si>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</si>
  <si>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</si>
  <si>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</si>
  <si>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</si>
  <si>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</si>
  <si>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</si>
  <si>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</si>
  <si>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</si>
  <si>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</si>
  <si>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</si>
  <si>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</si>
  <si>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</si>
  <si>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</si>
  <si>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</si>
  <si>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</si>
  <si>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</si>
  <si>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</si>
  <si>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</si>
  <si>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</si>
  <si>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</si>
  <si>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</si>
  <si>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</si>
  <si>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</si>
  <si>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</si>
  <si>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</si>
  <si>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</si>
  <si>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</si>
  <si>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</si>
  <si>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</si>
  <si>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</si>
  <si>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</si>
  <si>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</si>
  <si>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</si>
  <si>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</si>
  <si>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</si>
  <si>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</si>
  <si>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</si>
  <si>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</si>
  <si>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</si>
  <si>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</si>
  <si>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</si>
  <si>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</si>
  <si>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</si>
  <si>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</si>
  <si>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</si>
  <si>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</si>
  <si>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</si>
  <si>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</si>
  <si>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</si>
  <si>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</si>
  <si>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</si>
  <si>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</si>
  <si>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</si>
  <si>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Gross 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</si>
  <si>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</si>
  <si>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</si>
  <si>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</si>
  <si>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</si>
  <si>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</si>
  <si>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</si>
  <si>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</si>
  <si>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</si>
  <si>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</si>
  <si>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</si>
  <si>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</si>
  <si>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</si>
  <si>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</si>
  <si>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</si>
  <si>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</si>
  <si>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</si>
  <si>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</si>
  <si>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</si>
  <si>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</si>
  <si>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</si>
  <si>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</si>
  <si>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</si>
  <si>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</si>
  <si>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</si>
  <si>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</si>
  <si>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</si>
  <si>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</si>
  <si>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</si>
  <si>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</si>
  <si>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</si>
  <si>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</si>
  <si>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</si>
  <si>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</si>
  <si>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</si>
  <si>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</si>
  <si>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</si>
  <si>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</si>
  <si>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</si>
  <si>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</si>
  <si>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</si>
  <si>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</si>
  <si>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</si>
  <si>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</si>
  <si>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</si>
  <si>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</si>
  <si>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</si>
  <si>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</si>
  <si>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</si>
  <si>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</si>
  <si>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</si>
  <si>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</si>
  <si>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</si>
  <si>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</si>
  <si>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</si>
  <si>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</si>
  <si>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</si>
  <si>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</si>
  <si>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</si>
  <si>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</si>
  <si>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</si>
  <si>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</si>
  <si>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</si>
  <si>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</si>
  <si>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</si>
  <si>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</si>
  <si>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</si>
  <si>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</si>
  <si>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</si>
  <si>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</si>
  <si>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</si>
  <si>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</si>
  <si>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</si>
  <si>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</si>
  <si>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</si>
  <si>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</si>
  <si>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</si>
  <si>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</si>
  <si>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</si>
  <si>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</si>
  <si>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</si>
  <si>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</si>
  <si>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</si>
  <si>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</si>
  <si>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</si>
  <si>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</si>
  <si>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</si>
  <si>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</si>
  <si>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</si>
  <si>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</si>
  <si>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</si>
  <si>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</si>
  <si>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</si>
  <si>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</si>
  <si>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</si>
  <si>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</si>
  <si>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</si>
  <si>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</si>
  <si>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</si>
  <si>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</si>
  <si>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</si>
  <si>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</si>
  <si>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</si>
  <si>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</si>
  <si>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</si>
  <si>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</si>
  <si>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</si>
  <si>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</si>
  <si>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</si>
  <si>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</si>
  <si>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</si>
  <si>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</si>
  <si>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</si>
  <si>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</si>
  <si>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</si>
  <si>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</si>
  <si>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</si>
  <si>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</si>
  <si>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</si>
  <si>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</si>
  <si>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</si>
  <si>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</si>
  <si>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</si>
  <si>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</si>
  <si>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</si>
  <si>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</si>
  <si>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</si>
  <si>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</si>
  <si>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</si>
  <si>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</si>
  <si>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</si>
  <si>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</si>
  <si>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</si>
  <si>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</si>
  <si>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</si>
  <si>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</si>
  <si>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</si>
  <si>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</si>
  <si>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</si>
  <si>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</si>
  <si>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</si>
  <si>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</si>
  <si>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</si>
  <si>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</si>
  <si>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</si>
  <si>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</si>
  <si>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</si>
  <si>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</si>
  <si>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</si>
  <si>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</si>
  <si>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</si>
  <si>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</si>
  <si>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</si>
  <si>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</si>
  <si>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</si>
  <si>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</si>
  <si>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</si>
  <si>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</si>
  <si>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</si>
  <si>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</si>
  <si>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</si>
  <si>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</si>
  <si>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</si>
  <si>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</si>
  <si>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</si>
  <si>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</si>
  <si>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</si>
  <si>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</si>
  <si>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</si>
  <si>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</si>
  <si>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</si>
  <si>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</si>
  <si>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</si>
  <si>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</si>
  <si>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</si>
  <si>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</si>
  <si>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</si>
  <si>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</si>
  <si>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</si>
  <si>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</si>
  <si>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</si>
  <si>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</si>
  <si>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</si>
  <si>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</si>
  <si>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</si>
  <si>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</si>
  <si>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</si>
  <si>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9,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</si>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</sst>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117917</v>
      </c>
      <c r="C11" s="29">
        <f>SUM(C4:C10)</f>
        <v>177417</v>
      </c>
      <c r="D11" s="29">
        <f>SUM(D4:D10)</f>
        <v>177417</v>
      </c>
      <c r="E11" s="29">
        <f>SUM(E4:E10)</f>
        <v>177417</v>
      </c>
      <c r="F11" s="29">
        <f>SUM(F4:F10)</f>
        <v>177417</v>
      </c>
      <c r="G11" s="29">
        <f>SUM(G4:G10)</f>
        <v>177417</v>
      </c>
      <c r="H11" s="29">
        <f>SUM(H4:H10)</f>
        <v>177417</v>
      </c>
      <c r="I11" s="29">
        <f>SUM(I4:I10)</f>
        <v>177417</v>
      </c>
      <c r="J11" s="29">
        <f>SUM(J4:J10)</f>
        <v>177417</v>
      </c>
      <c r="K11" s="29">
        <f>SUM(K4:K10)</f>
        <v>177417</v>
      </c>
      <c r="L11" s="29">
        <f>SUM(L4:L10)</f>
        <v>177417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19147</v>
      </c>
      <c r="C46" s="31">
        <f>C11-C45</f>
        <v>78647</v>
      </c>
      <c r="D46" s="31">
        <f>D11-D45</f>
        <v>78647</v>
      </c>
      <c r="E46" s="31">
        <f>E11-E45</f>
        <v>78647</v>
      </c>
      <c r="F46" s="31">
        <f>F11-F45</f>
        <v>78647</v>
      </c>
      <c r="G46" s="31">
        <f>G11-G45</f>
        <v>78647</v>
      </c>
      <c r="H46" s="31">
        <f>H11-H45</f>
        <v>78647</v>
      </c>
      <c r="I46" s="31">
        <f>I11-I45</f>
        <v>78647</v>
      </c>
      <c r="J46" s="31">
        <f>J11-J45</f>
        <v>78647</v>
      </c>
      <c r="K46" s="31">
        <f>K11-K45</f>
        <v>78647</v>
      </c>
      <c r="L46" s="31">
        <f>L11-L45</f>
        <v>78647</v>
      </c>
      <c r="M46" s="31">
        <f>M11-M45</f>
        <v>-15853</v>
      </c>
      <c r="N46" s="31">
        <f>SUM(B46:M46)</f>
        <v>789764</v>
      </c>
    </row>
    <row r="47" spans="1:14" x14ac:dyDescent="0.25">
      <c r="A47" s="27" t="s">
        <v>228</v>
      </c>
      <c r="B47" s="31">
        <f>75000+B46</f>
        <v>94147</v>
      </c>
      <c r="C47" s="31">
        <f>B47+C46</f>
        <v>172794</v>
      </c>
      <c r="D47" s="31">
        <f>C47+D46</f>
        <v>251441</v>
      </c>
      <c r="E47" s="31">
        <f>D47+E46</f>
        <v>330088</v>
      </c>
      <c r="F47" s="31">
        <f>E47+F46</f>
        <v>408735</v>
      </c>
      <c r="G47" s="31">
        <f>F47+G46</f>
        <v>487382</v>
      </c>
      <c r="H47" s="31">
        <f>G47+H46</f>
        <v>566029</v>
      </c>
      <c r="I47" s="31">
        <f>H47+I46</f>
        <v>644676</v>
      </c>
      <c r="J47" s="31">
        <f>I47+J46</f>
        <v>723323</v>
      </c>
      <c r="K47" s="31">
        <f>J47+K46</f>
        <v>801970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94147</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253</v>
      </c>
      <c r="C2" s="1"/>
      <c r="D2" s="1"/>
      <c r="E2" s="1"/>
      <c r="F2" s="1"/>
      <c r="G2" s="1"/>
      <c r="H2" s="1"/>
      <c r="I2" s="1"/>
    </row>
    <row r="3" spans="2:9" x14ac:dyDescent="0.25">
      <c r="B3" s="51" t="s">
        <v>254</v>
      </c>
      <c r="C3" s="51"/>
      <c r="D3" s="51"/>
      <c r="E3" s="51"/>
      <c r="F3" s="51"/>
      <c r="G3" s="51"/>
      <c r="H3" s="51"/>
      <c r="I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9" x14ac:dyDescent="0.25">
      <c r="B29" s="12" t="s">
        <v>291</v>
      </c>
      <c r="C29" s="12" t="s">
        <v>292</v>
      </c>
      <c r="D29" s="12" t="s">
        <v>293</v>
      </c>
      <c r="E29" s="12"/>
      <c r="F29" s="12" t="s">
        <v>294</v>
      </c>
      <c r="G29" s="12"/>
      <c r="H29" s="12"/>
      <c r="I29" s="12"/>
    </row>
    <row r="30" ht="45" customHeight="1" spans="2:9" x14ac:dyDescent="0.25">
      <c r="B30" s="67" t="s">
        <v>295</v>
      </c>
      <c r="C30" s="35" t="s">
        <v>296</v>
      </c>
      <c r="D30" s="68" t="s">
        <v>297</v>
      </c>
      <c r="E30" s="68"/>
      <c r="F30" s="69" t="s">
        <v>298</v>
      </c>
      <c r="G30" s="69"/>
      <c r="H30" s="69"/>
      <c r="I30" s="69"/>
    </row>
    <row r="31" ht="45" customHeight="1" spans="2:9" x14ac:dyDescent="0.25">
      <c r="B31" s="67" t="s">
        <v>299</v>
      </c>
      <c r="C31" s="35" t="s">
        <v>296</v>
      </c>
      <c r="D31" s="68" t="s">
        <v>300</v>
      </c>
      <c r="E31" s="68"/>
      <c r="F31" s="69" t="s">
        <v>301</v>
      </c>
      <c r="G31" s="69"/>
      <c r="H31" s="69"/>
      <c r="I31" s="69"/>
    </row>
    <row r="32" ht="45" customHeight="1" spans="2:9" x14ac:dyDescent="0.25">
      <c r="B32" s="67" t="s">
        <v>302</v>
      </c>
      <c r="C32" s="35" t="s">
        <v>296</v>
      </c>
      <c r="D32" s="68" t="s">
        <v>303</v>
      </c>
      <c r="E32" s="68"/>
      <c r="F32" s="69" t="s">
        <v>304</v>
      </c>
      <c r="G32" s="69"/>
      <c r="H32" s="69"/>
      <c r="I32" s="69"/>
    </row>
    <row r="33" ht="45" customHeight="1" spans="2:9" x14ac:dyDescent="0.25">
      <c r="B33" s="67" t="s">
        <v>305</v>
      </c>
      <c r="C33" s="35" t="s">
        <v>296</v>
      </c>
      <c r="D33" s="68" t="s">
        <v>306</v>
      </c>
      <c r="E33" s="68"/>
      <c r="F33" s="69" t="s">
        <v>307</v>
      </c>
      <c r="G33" s="69"/>
      <c r="H33" s="69"/>
      <c r="I33" s="69"/>
    </row>
    <row r="34" ht="45" customHeight="1" spans="2:9" x14ac:dyDescent="0.25">
      <c r="B34" s="67" t="s">
        <v>308</v>
      </c>
      <c r="C34" s="35" t="s">
        <v>296</v>
      </c>
      <c r="D34" s="68" t="s">
        <v>309</v>
      </c>
      <c r="E34" s="68"/>
      <c r="F34" s="69" t="s">
        <v>310</v>
      </c>
      <c r="G34" s="69"/>
      <c r="H34" s="69"/>
      <c r="I34" s="69"/>
    </row>
    <row r="35" ht="45" customHeight="1" spans="2:9" x14ac:dyDescent="0.25">
      <c r="B35" s="67" t="s">
        <v>311</v>
      </c>
      <c r="C35" s="35" t="s">
        <v>296</v>
      </c>
      <c r="D35" s="68" t="s">
        <v>312</v>
      </c>
      <c r="E35" s="68"/>
      <c r="F35" s="69" t="s">
        <v>313</v>
      </c>
      <c r="G35" s="69"/>
      <c r="H35" s="69"/>
      <c r="I35" s="69"/>
    </row>
    <row r="36" ht="45" customHeight="1" spans="2:9" x14ac:dyDescent="0.25">
      <c r="B36" s="67" t="s">
        <v>314</v>
      </c>
      <c r="C36" s="35" t="s">
        <v>296</v>
      </c>
      <c r="D36" s="68" t="s">
        <v>315</v>
      </c>
      <c r="E36" s="68"/>
      <c r="F36" s="69" t="s">
        <v>316</v>
      </c>
      <c r="G36" s="69"/>
      <c r="H36" s="69"/>
      <c r="I36" s="69"/>
    </row>
    <row r="38" spans="2:6" x14ac:dyDescent="0.25">
      <c r="B38" s="67" t="s">
        <v>317</v>
      </c>
      <c r="C38" s="27" t="s">
        <v>318</v>
      </c>
      <c r="D38" s="27"/>
      <c r="E38" s="27"/>
      <c r="F38" s="27"/>
    </row>
    <row r="40" spans="2:9" x14ac:dyDescent="0.25">
      <c r="B40" s="70" t="s">
        <v>147</v>
      </c>
      <c r="C40" s="70"/>
      <c r="D40" s="70"/>
      <c r="E40" s="70"/>
      <c r="F40" s="70"/>
      <c r="G40" s="70"/>
      <c r="H40" s="70"/>
      <c r="I40" s="70"/>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2026-05-09T18:17:42Z</dcterms:created>
  <dcterms:modified xsi:type="dcterms:W3CDTF">2026-05-09T18:17:42Z</dcterms:modified>
</cp:coreProperties>
</file>