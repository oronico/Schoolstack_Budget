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5-Year Model" state="visible" r:id="rId5"/>
    <sheet sheetId="3" name="Year 1 Pro Forma" state="visible" r:id="rId6"/>
    <sheet sheetId="4" name="Actuals vs. Projections" state="visible" r:id="rId7"/>
  </sheets>
  <definedNames>
    <definedName name="_xlnm.Print_Area" localSheetId="0">'Assumptions'!$A1:$J72</definedName>
    <definedName name="_xlnm.Print_Titles" localSheetId="0">'Assumptions'!$1:$3</definedName>
    <definedName name="_xlnm.Print_Area" localSheetId="1">'5-Year Model'!$A1:$F84</definedName>
    <definedName name="_xlnm.Print_Titles" localSheetId="1">'5-Year Model'!$1:$2</definedName>
    <definedName name="_xlnm.Print_Area" localSheetId="2">'Year 1 Pro Forma'!$A1:$N54</definedName>
    <definedName name="_xlnm.Print_Titles" localSheetId="2">'Year 1 Pro Forma'!$1:$2</definedName>
    <definedName name="_xlnm.Print_Area" localSheetId="3">'Actuals vs. Projections'!$A1:$E21</definedName>
    <definedName name="_xlnm.Print_Titles" localSheetId="3">'Actuals vs. Projections'!$1:$2</definedName>
  </definedNames>
  <calcPr calcId="171027" fullCalcOnLoad="1"/>
</workbook>
</file>

<file path=xl/sharedStrings.xml><?xml version="1.0" encoding="utf-8"?>
<sst xmlns="http://schemas.openxmlformats.org/spreadsheetml/2006/main" count="363" uniqueCount="218">
  <si>
    <t>Heritage Academy — Financial Model Assumptions</t>
  </si>
  <si>
    <t>Yellow cells are editable inputs. All other cells in this workbook are formulas.</t>
  </si>
  <si>
    <t>SCHOOL PROFILE</t>
  </si>
  <si>
    <t>School Name</t>
  </si>
  <si>
    <t>Heritage Academy</t>
  </si>
  <si>
    <t>State</t>
  </si>
  <si>
    <t>FL</t>
  </si>
  <si>
    <t>School Type</t>
  </si>
  <si>
    <t>Private School</t>
  </si>
  <si>
    <t>Legal Entity</t>
  </si>
  <si>
    <t>501(c)(3) Nonprofit</t>
  </si>
  <si>
    <t>EIN</t>
  </si>
  <si>
    <t>59-9876543</t>
  </si>
  <si>
    <t>Website</t>
  </si>
  <si>
    <t>N/A</t>
  </si>
  <si>
    <t>Fiscal Year Start</t>
  </si>
  <si>
    <t>July</t>
  </si>
  <si>
    <t>Maximum Capacity</t>
  </si>
  <si>
    <t>School Stage</t>
  </si>
  <si>
    <t>Operating School</t>
  </si>
  <si>
    <t>Location</t>
  </si>
  <si>
    <t>456 Oak Ave, Tampa, FL, 33602</t>
  </si>
  <si>
    <t>ENROLLMENT</t>
  </si>
  <si>
    <t>2023-24</t>
  </si>
  <si>
    <t>2024-25</t>
  </si>
  <si>
    <t>2025-26</t>
  </si>
  <si>
    <t>2026-27</t>
  </si>
  <si>
    <t>2027-28</t>
  </si>
  <si>
    <t>Students Enrolled</t>
  </si>
  <si>
    <t>REVENUE SOURCES</t>
  </si>
  <si>
    <t>Category</t>
  </si>
  <si>
    <t>Driver</t>
  </si>
  <si>
    <t>Yr 1 Amount</t>
  </si>
  <si>
    <t>Escalation %</t>
  </si>
  <si>
    <t>Billing Mo.</t>
  </si>
  <si>
    <t>Collection %</t>
  </si>
  <si>
    <t>Note</t>
  </si>
  <si>
    <t>Tuition</t>
  </si>
  <si>
    <t>Tuition &amp; Fees</t>
  </si>
  <si>
    <t>Per Student</t>
  </si>
  <si>
    <t/>
  </si>
  <si>
    <t>Registration Fee</t>
  </si>
  <si>
    <t>Scholarship Discount</t>
  </si>
  <si>
    <t>Tuition Offsets</t>
  </si>
  <si>
    <t>FL FTC Scholarship</t>
  </si>
  <si>
    <t>School Choice</t>
  </si>
  <si>
    <t>Foundation Grant</t>
  </si>
  <si>
    <t>Grants &amp; Contributions</t>
  </si>
  <si>
    <t>Annual Fixed</t>
  </si>
  <si>
    <t>Annual Fund</t>
  </si>
  <si>
    <t>After-School Programs</t>
  </si>
  <si>
    <t>Other Revenue</t>
  </si>
  <si>
    <t>STAFFING ROSTER</t>
  </si>
  <si>
    <t>Function</t>
  </si>
  <si>
    <t>Type</t>
  </si>
  <si>
    <t>FTE</t>
  </si>
  <si>
    <t>Annual Rate</t>
  </si>
  <si>
    <t>Benefits %</t>
  </si>
  <si>
    <t>Payroll Tax %</t>
  </si>
  <si>
    <t>Benefits Elig.</t>
  </si>
  <si>
    <t>Notes</t>
  </si>
  <si>
    <t>Head of School</t>
  </si>
  <si>
    <t>School Leadership</t>
  </si>
  <si>
    <t>FT</t>
  </si>
  <si>
    <t>Yes</t>
  </si>
  <si>
    <t>Assistant Principal</t>
  </si>
  <si>
    <t>Teachers</t>
  </si>
  <si>
    <t>Instructional</t>
  </si>
  <si>
    <t>Paraprofessionals</t>
  </si>
  <si>
    <t>Office Manager</t>
  </si>
  <si>
    <t>Administrative</t>
  </si>
  <si>
    <t>School Counselor</t>
  </si>
  <si>
    <t>Student Support</t>
  </si>
  <si>
    <t>FACILITIES &amp; OCCUPANCY</t>
  </si>
  <si>
    <t>Amount</t>
  </si>
  <si>
    <t>Frequency</t>
  </si>
  <si>
    <t>Ownership Type</t>
  </si>
  <si>
    <t>Rent</t>
  </si>
  <si>
    <t>Monthly Rent</t>
  </si>
  <si>
    <t>Monthly</t>
  </si>
  <si>
    <t>Annual Rent Escalation</t>
  </si>
  <si>
    <t>OPERATING EXPENSES</t>
  </si>
  <si>
    <t>Occupancy / Facility</t>
  </si>
  <si>
    <t>Utilities</t>
  </si>
  <si>
    <t>Insurance</t>
  </si>
  <si>
    <t>Maintenance</t>
  </si>
  <si>
    <t>Curriculum</t>
  </si>
  <si>
    <t>Instructional / Program</t>
  </si>
  <si>
    <t>Technology</t>
  </si>
  <si>
    <t>Marketing</t>
  </si>
  <si>
    <t>Administrative / General</t>
  </si>
  <si>
    <t>Professional Development</t>
  </si>
  <si>
    <t>Accounting &amp; Legal</t>
  </si>
  <si>
    <t>CAPITAL &amp; DEBT</t>
  </si>
  <si>
    <t>Is Loan?</t>
  </si>
  <si>
    <t>Principal</t>
  </si>
  <si>
    <t>Interest Rate</t>
  </si>
  <si>
    <t>Term (Yrs)</t>
  </si>
  <si>
    <t>Annual Payment</t>
  </si>
  <si>
    <t>Facility Buildout Loan</t>
  </si>
  <si>
    <t>Furniture &amp; Equipment</t>
  </si>
  <si>
    <t>No</t>
  </si>
  <si>
    <t>GROWTH &amp; TIMING ASSUMPTIONS</t>
  </si>
  <si>
    <t>Annual Salary Escalation</t>
  </si>
  <si>
    <t>General Cost Inflation</t>
  </si>
  <si>
    <t>Year 1 Proration Factor</t>
  </si>
  <si>
    <t>(12 of 12 months)</t>
  </si>
  <si>
    <t>Tuition Escalation Rate</t>
  </si>
  <si>
    <t>Management Fee %</t>
  </si>
  <si>
    <t>Starting Cash</t>
  </si>
  <si>
    <t>HISTORICAL / CURRENT YEAR DATA</t>
  </si>
  <si>
    <t>Prior Year</t>
  </si>
  <si>
    <t>Current Year</t>
  </si>
  <si>
    <t>Enrollment</t>
  </si>
  <si>
    <t>Total Revenue</t>
  </si>
  <si>
    <t>Total Expenses</t>
  </si>
  <si>
    <t>Net Income</t>
  </si>
  <si>
    <t>Ending Cash</t>
  </si>
  <si>
    <t>Built by SchoolStack Budget  •  budget.schoolstack.ai</t>
  </si>
  <si>
    <t>Heritage Academy — 5-Year Financial Model</t>
  </si>
  <si>
    <t>REVENUE</t>
  </si>
  <si>
    <t>TOTAL REVENUE</t>
  </si>
  <si>
    <t>PERSONNEL</t>
  </si>
  <si>
    <t>Head of School (School Leadership)</t>
  </si>
  <si>
    <t>Assistant Principal (School Leadership)</t>
  </si>
  <si>
    <t>Teachers (Instructional)</t>
  </si>
  <si>
    <t>Paraprofessionals (Instructional)</t>
  </si>
  <si>
    <t>Office Manager (Administrative)</t>
  </si>
  <si>
    <t>School Counselor (Student Support)</t>
  </si>
  <si>
    <t>TOTAL PERSONNEL</t>
  </si>
  <si>
    <t xml:space="preserve">  Curriculum (Per Student)</t>
  </si>
  <si>
    <t>Total Instructional / Program</t>
  </si>
  <si>
    <t xml:space="preserve">  Technology (Per Student)</t>
  </si>
  <si>
    <t>Total Technology</t>
  </si>
  <si>
    <t xml:space="preserve">  Rent (Monthly)</t>
  </si>
  <si>
    <t xml:space="preserve">  Utilities (Monthly)</t>
  </si>
  <si>
    <t xml:space="preserve">  Insurance (Annual Fixed)</t>
  </si>
  <si>
    <t xml:space="preserve">  Maintenance (Annual Fixed)</t>
  </si>
  <si>
    <t>Total Occupancy / Facility</t>
  </si>
  <si>
    <t xml:space="preserve">  Marketing (Annual Fixed)</t>
  </si>
  <si>
    <t xml:space="preserve">  Professional Development (Annual Fixed)</t>
  </si>
  <si>
    <t xml:space="preserve">  Accounting &amp; Legal (Annual Fixed)</t>
  </si>
  <si>
    <t>Total Administrative / General</t>
  </si>
  <si>
    <t>TOTAL OPERATING EXPENSES</t>
  </si>
  <si>
    <t>CAPITAL &amp; DEBT SERVICE</t>
  </si>
  <si>
    <t>TOTAL CAPITAL &amp; DEBT SERVICE</t>
  </si>
  <si>
    <t>INCOME STATEMENT SUMMARY</t>
  </si>
  <si>
    <t>Total Personnel</t>
  </si>
  <si>
    <t>Total Operating Expenses</t>
  </si>
  <si>
    <t>Total Capital &amp; Debt Service</t>
  </si>
  <si>
    <t>Net Margin %</t>
  </si>
  <si>
    <t>Cumulative Net Income</t>
  </si>
  <si>
    <t>CASH FLOW &amp; DEBT COVERAGE</t>
  </si>
  <si>
    <t>CFADS (Cash Flow Available for Debt Service)</t>
  </si>
  <si>
    <t>Debt Service</t>
  </si>
  <si>
    <t>DSCR (Debt Service Coverage Ratio)</t>
  </si>
  <si>
    <t>Days Cash on Hand</t>
  </si>
  <si>
    <t>Months of Runway</t>
  </si>
  <si>
    <t>Capacity Utilization %</t>
  </si>
  <si>
    <t>COVENANT &amp; HEALTH CHECKS</t>
  </si>
  <si>
    <t>DSCR ≥ 1.20x</t>
  </si>
  <si>
    <t>Positive Net Income</t>
  </si>
  <si>
    <t>Enrollment ≥ 70% Capacity</t>
  </si>
  <si>
    <t>Cash Reserve ≥ 2 Months</t>
  </si>
  <si>
    <t>BREAK-EVEN ANALYSIS</t>
  </si>
  <si>
    <t>Revenue Per Student</t>
  </si>
  <si>
    <t>Cost Per Student</t>
  </si>
  <si>
    <t>Fixed Costs (Personnel + Debt)</t>
  </si>
  <si>
    <t>Variable Cost Per Student</t>
  </si>
  <si>
    <t>Contribution Margin Per Student</t>
  </si>
  <si>
    <t>Break-Even Enrollment</t>
  </si>
  <si>
    <t>Heritage Academy — 2023-24 Pro Forma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</si>
  <si>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</si>
  <si>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</si>
  <si>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</si>
  <si>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</si>
  <si>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</si>
  <si>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</si>
  <si>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</si>
  <si>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</si>
  <si>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</si>
  <si>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</si>
  <si>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</si>
  <si>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2023-24 Total</t>
  </si>
  <si>
    <t xml:space="preserve">  Curriculum</t>
  </si>
  <si>
    <t xml:space="preserve">  Technology</t>
  </si>
  <si>
    <t xml:space="preserve">  Rent</t>
  </si>
  <si>
    <t xml:space="preserve">  Utilities</t>
  </si>
  <si>
    <t xml:space="preserve">  Insurance</t>
  </si>
  <si>
    <t xml:space="preserve">  Maintenance</t>
  </si>
  <si>
    <t xml:space="preserve">  Marketing</t>
  </si>
  <si>
    <t xml:space="preserve">  Professional Development</t>
  </si>
  <si>
    <t xml:space="preserve">  Accounting &amp; Legal</t>
  </si>
  <si>
    <t>Capital &amp; Debt Service</t>
  </si>
  <si>
    <t>MONTHLY CASH FLOW</t>
  </si>
  <si>
    <t>Net Cash Flow</t>
  </si>
  <si>
    <t>Cumulative Cash</t>
  </si>
  <si>
    <t>CASH FLOW METRICS</t>
  </si>
  <si>
    <t>Ending Cash (Month 12)</t>
  </si>
  <si>
    <t>Minimum Cash Month</t>
  </si>
  <si>
    <t>Heritage Academy — Actuals vs. Projections</t>
  </si>
  <si>
    <t>2021-22 (Actual)</t>
  </si>
  <si>
    <t>2023-24 (Projected)</t>
  </si>
  <si>
    <t>2024-25 (Projected)</t>
  </si>
  <si>
    <t>2023-24 vs 2021-22</t>
  </si>
  <si>
    <t>KEY METRICS</t>
  </si>
  <si>
    <t>Net Income (Surplus / Deficit)</t>
  </si>
  <si>
    <t>Cash Position</t>
  </si>
  <si>
    <t>PER-STUDENT METRICS</t>
  </si>
  <si>
    <t>Expense Per Student</t>
  </si>
  <si>
    <t>Personnel as % of Revenue</t>
  </si>
  <si>
    <t>REALITY CHECK FLAGS</t>
  </si>
  <si>
    <t>⚠ Enrollment growth &gt; 30%</t>
  </si>
  <si>
    <t>Within range</t>
  </si>
  <si>
    <t>⚠ Revenue growth &gt; 25%</t>
  </si>
  <si>
    <t>Projecting $1,975,000 vs $1,200,000 actual (65% growth)</t>
  </si>
  <si>
    <t>⚠ First-year positive income (rare)</t>
  </si>
  <si>
    <t>Operating school — less unusual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</si>
</sst>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0x"/>
    <numFmt numFmtId="168" formatCode="0.0"/>
  </numFmts>
  <fonts count="13" x14ac:knownFonts="1">
    <font>
      <color theme="1"/>
      <family val="2"/>
      <scheme val="minor"/>
      <sz val="11"/>
      <name val="Calibri"/>
    </font>
    <font>
      <b/>
      <color rgb="FF1E293B"/>
      <sz val="14"/>
      <name val="Calibri"/>
    </font>
    <font>
      <i/>
      <color rgb="FF666666"/>
      <sz val="10"/>
      <name val="Calibri"/>
    </font>
    <font>
      <b/>
      <color rgb="FF1E293B"/>
      <sz val="11"/>
      <name val="Calibri"/>
    </font>
    <font>
      <sz val="11"/>
      <name val="Calibri"/>
    </font>
    <font>
      <i/>
      <color rgb="FF888888"/>
      <sz val="10"/>
      <name val="Calibri"/>
    </font>
    <font>
      <i/>
      <color rgb="FF9CA3AF"/>
      <sz val="9"/>
      <name val="Calibri"/>
    </font>
    <font>
      <b/>
      <color rgb="FFFFFFFF"/>
      <sz val="11"/>
      <name val="Calibri"/>
    </font>
    <font>
      <b/>
      <sz val="11"/>
      <name val="Calibri"/>
    </font>
    <font>
      <b/>
      <color rgb="FF1E293B"/>
      <sz val="12"/>
      <name val="Calibri"/>
    </font>
    <font>
      <color rgb="FFD97706"/>
      <sz val="11"/>
      <name val="Calibri"/>
    </font>
    <font>
      <color rgb="FF328555"/>
      <sz val="11"/>
      <name val="Calibri"/>
    </font>
    <font>
      <b/>
      <color rgb="FFD97706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FFFDE8"/>
      </patternFill>
    </fill>
    <fill>
      <patternFill patternType="solid">
        <fgColor rgb="FF1E293B"/>
      </patternFill>
    </fill>
    <fill>
      <patternFill patternType="solid">
        <fgColor rgb="FFF8E1"/>
      </patternFill>
    </fill>
    <fill>
      <patternFill patternType="solid">
        <fgColor rgb="E8F5E9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2" fontId="4" fillId="3" borderId="1" xfId="0" applyNumberFormat="1" applyFont="1" applyFill="1" applyBorder="1"/>
    <xf numFmtId="165" fontId="4" fillId="0" borderId="1" xfId="0" applyNumberFormat="1" applyFont="1" applyBorder="1"/>
    <xf numFmtId="10" fontId="4" fillId="3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/>
    <xf numFmtId="164" fontId="8" fillId="0" borderId="1" xfId="0" applyNumberFormat="1" applyFont="1" applyBorder="1"/>
    <xf numFmtId="165" fontId="8" fillId="2" borderId="2" xfId="0" applyNumberFormat="1" applyFont="1" applyFill="1" applyBorder="1"/>
    <xf numFmtId="0" fontId="8" fillId="0" borderId="0" xfId="0" applyFont="1"/>
    <xf numFmtId="165" fontId="8" fillId="0" borderId="1" xfId="0" applyNumberFormat="1" applyFont="1" applyBorder="1"/>
    <xf numFmtId="0" fontId="9" fillId="0" borderId="0" xfId="0" applyFont="1"/>
    <xf numFmtId="165" fontId="8" fillId="0" borderId="2" xfId="0" applyNumberFormat="1" applyFont="1" applyBorder="1"/>
    <xf numFmtId="166" fontId="4" fillId="0" borderId="1" xfId="0" applyNumberFormat="1" applyFont="1" applyBorder="1"/>
    <xf numFmtId="167" fontId="8" fillId="0" borderId="1" xfId="0" applyNumberFormat="1" applyFont="1" applyBorder="1"/>
    <xf numFmtId="164" fontId="4" fillId="0" borderId="1" xfId="0" applyNumberFormat="1" applyFont="1" applyBorder="1"/>
    <xf numFmtId="168" fontId="4" fillId="0" borderId="1" xfId="0" applyNumberFormat="1" applyFont="1" applyBorder="1"/>
    <xf numFmtId="0" fontId="9" fillId="0" borderId="1" xfId="0" applyFont="1" applyBorder="1"/>
    <xf numFmtId="164" fontId="8" fillId="0" borderId="2" xfId="0" applyNumberFormat="1" applyFont="1" applyBorder="1"/>
    <xf numFmtId="166" fontId="8" fillId="5" borderId="1" xfId="0" applyNumberFormat="1" applyFont="1" applyFill="1" applyBorder="1"/>
    <xf numFmtId="0" fontId="8" fillId="0" borderId="2" xfId="0" applyFont="1" applyBorder="1"/>
    <xf numFmtId="165" fontId="8" fillId="6" borderId="2" xfId="0" applyNumberFormat="1" applyFont="1" applyFill="1" applyBorder="1"/>
    <xf numFmtId="0" fontId="10" fillId="0" borderId="1" xfId="0" applyFont="1" applyBorder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2"/>
  <sheetViews>
    <sheetView workbookViewId="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38" customWidth="1"/>
    <col min="2" max="2" width="18" customWidth="1"/>
    <col min="3" max="10" width="16" customWidth="1"/>
    <col min="11" max="11" width="18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s="2" t="s">
        <v>1</v>
      </c>
    </row>
    <row r="4" ht="24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spans="1:4" x14ac:dyDescent="0.25">
      <c r="A5" s="4" t="s">
        <v>3</v>
      </c>
      <c r="B5" s="5" t="s">
        <v>4</v>
      </c>
      <c r="C5" s="5"/>
      <c r="D5" s="5"/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5" t="s">
        <v>12</v>
      </c>
    </row>
    <row r="10" spans="1:4" x14ac:dyDescent="0.25">
      <c r="A10" s="4" t="s">
        <v>13</v>
      </c>
      <c r="B10" s="5" t="s">
        <v>14</v>
      </c>
      <c r="C10" s="5"/>
      <c r="D10" s="5"/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6">
        <v>200</v>
      </c>
    </row>
    <row r="13" spans="1:2" x14ac:dyDescent="0.25">
      <c r="A13" s="4" t="s">
        <v>18</v>
      </c>
      <c r="B13" s="4" t="s">
        <v>19</v>
      </c>
    </row>
    <row r="14" spans="1:2" x14ac:dyDescent="0.25">
      <c r="A14" s="4" t="s">
        <v>20</v>
      </c>
      <c r="B14" s="4" t="s">
        <v>21</v>
      </c>
    </row>
    <row r="16" ht="24" customHeight="1" spans="1:7" x14ac:dyDescent="0.25">
      <c r="A16" s="3" t="s">
        <v>22</v>
      </c>
      <c r="B16" s="7" t="s">
        <v>23</v>
      </c>
      <c r="C16" s="7" t="s">
        <v>24</v>
      </c>
      <c r="D16" s="7" t="s">
        <v>25</v>
      </c>
      <c r="E16" s="7" t="s">
        <v>26</v>
      </c>
      <c r="F16" s="7" t="s">
        <v>27</v>
      </c>
      <c r="G16" s="3"/>
    </row>
    <row r="17" spans="1:6" x14ac:dyDescent="0.25">
      <c r="A17" s="4" t="s">
        <v>28</v>
      </c>
      <c r="B17" s="8">
        <v>100</v>
      </c>
      <c r="C17" s="8">
        <v>130</v>
      </c>
      <c r="D17" s="8">
        <v>160</v>
      </c>
      <c r="E17" s="8">
        <v>185</v>
      </c>
      <c r="F17" s="8">
        <v>200</v>
      </c>
    </row>
    <row r="19" ht="24" customHeight="1" spans="1:10" x14ac:dyDescent="0.25">
      <c r="A19" s="3" t="s">
        <v>29</v>
      </c>
      <c r="B19" s="3" t="s">
        <v>30</v>
      </c>
      <c r="C19" s="3" t="s">
        <v>31</v>
      </c>
      <c r="D19" s="3" t="s">
        <v>32</v>
      </c>
      <c r="E19" s="3" t="s">
        <v>33</v>
      </c>
      <c r="F19" s="3" t="s">
        <v>34</v>
      </c>
      <c r="G19" s="3" t="s">
        <v>35</v>
      </c>
      <c r="H19" s="3" t="s">
        <v>36</v>
      </c>
      <c r="I19" s="3"/>
      <c r="J19" s="3"/>
    </row>
    <row r="20" spans="1:8" x14ac:dyDescent="0.25">
      <c r="A20" s="4" t="s">
        <v>37</v>
      </c>
      <c r="B20" s="4" t="s">
        <v>38</v>
      </c>
      <c r="C20" s="4" t="s">
        <v>39</v>
      </c>
      <c r="D20" s="9">
        <v>10500</v>
      </c>
      <c r="E20" s="10">
        <v>0</v>
      </c>
      <c r="F20" s="6">
        <v>10</v>
      </c>
      <c r="G20" s="10">
        <v>0.95</v>
      </c>
      <c r="H20" s="4" t="s">
        <v>40</v>
      </c>
    </row>
    <row r="21" spans="1:8" x14ac:dyDescent="0.25">
      <c r="A21" s="4" t="s">
        <v>41</v>
      </c>
      <c r="B21" s="4" t="s">
        <v>38</v>
      </c>
      <c r="C21" s="4" t="s">
        <v>39</v>
      </c>
      <c r="D21" s="9">
        <v>350</v>
      </c>
      <c r="E21" s="10">
        <v>0</v>
      </c>
      <c r="F21" s="6">
        <v>12</v>
      </c>
      <c r="G21" s="10">
        <v>1</v>
      </c>
      <c r="H21" s="4" t="s">
        <v>40</v>
      </c>
    </row>
    <row r="22" spans="1:8" x14ac:dyDescent="0.25">
      <c r="A22" s="4" t="s">
        <v>42</v>
      </c>
      <c r="B22" s="4" t="s">
        <v>43</v>
      </c>
      <c r="C22" s="4" t="s">
        <v>39</v>
      </c>
      <c r="D22" s="9">
        <v>-1050</v>
      </c>
      <c r="E22" s="10">
        <v>0</v>
      </c>
      <c r="F22" s="6">
        <v>12</v>
      </c>
      <c r="G22" s="10">
        <v>1</v>
      </c>
      <c r="H22" s="4" t="s">
        <v>40</v>
      </c>
    </row>
    <row r="23" spans="1:8" x14ac:dyDescent="0.25">
      <c r="A23" s="4" t="s">
        <v>44</v>
      </c>
      <c r="B23" s="4" t="s">
        <v>45</v>
      </c>
      <c r="C23" s="4" t="s">
        <v>39</v>
      </c>
      <c r="D23" s="9">
        <v>8700</v>
      </c>
      <c r="E23" s="10">
        <v>0</v>
      </c>
      <c r="F23" s="6">
        <v>12</v>
      </c>
      <c r="G23" s="10">
        <v>1</v>
      </c>
      <c r="H23" s="4" t="s">
        <v>40</v>
      </c>
    </row>
    <row r="24" spans="1:8" x14ac:dyDescent="0.25">
      <c r="A24" s="4" t="s">
        <v>46</v>
      </c>
      <c r="B24" s="4" t="s">
        <v>47</v>
      </c>
      <c r="C24" s="4" t="s">
        <v>48</v>
      </c>
      <c r="D24" s="9">
        <v>50000</v>
      </c>
      <c r="E24" s="10">
        <v>0</v>
      </c>
      <c r="F24" s="6">
        <v>12</v>
      </c>
      <c r="G24" s="10">
        <v>1</v>
      </c>
      <c r="H24" s="4" t="s">
        <v>40</v>
      </c>
    </row>
    <row r="25" spans="1:8" x14ac:dyDescent="0.25">
      <c r="A25" s="4" t="s">
        <v>49</v>
      </c>
      <c r="B25" s="4" t="s">
        <v>47</v>
      </c>
      <c r="C25" s="4" t="s">
        <v>48</v>
      </c>
      <c r="D25" s="9">
        <v>25000</v>
      </c>
      <c r="E25" s="10">
        <v>0</v>
      </c>
      <c r="F25" s="6">
        <v>12</v>
      </c>
      <c r="G25" s="10">
        <v>1</v>
      </c>
      <c r="H25" s="4" t="s">
        <v>40</v>
      </c>
    </row>
    <row r="26" spans="1:8" x14ac:dyDescent="0.25">
      <c r="A26" s="4" t="s">
        <v>50</v>
      </c>
      <c r="B26" s="4" t="s">
        <v>51</v>
      </c>
      <c r="C26" s="4" t="s">
        <v>39</v>
      </c>
      <c r="D26" s="9">
        <v>500</v>
      </c>
      <c r="E26" s="10">
        <v>0</v>
      </c>
      <c r="F26" s="6">
        <v>12</v>
      </c>
      <c r="G26" s="10">
        <v>1</v>
      </c>
      <c r="H26" s="4" t="s">
        <v>40</v>
      </c>
    </row>
    <row r="29" ht="24" customHeight="1" spans="1:9" x14ac:dyDescent="0.25">
      <c r="A29" s="3" t="s">
        <v>52</v>
      </c>
      <c r="B29" s="3" t="s">
        <v>53</v>
      </c>
      <c r="C29" s="3" t="s">
        <v>54</v>
      </c>
      <c r="D29" s="3" t="s">
        <v>55</v>
      </c>
      <c r="E29" s="3" t="s">
        <v>56</v>
      </c>
      <c r="F29" s="3" t="s">
        <v>57</v>
      </c>
      <c r="G29" s="3" t="s">
        <v>58</v>
      </c>
      <c r="H29" s="3" t="s">
        <v>59</v>
      </c>
      <c r="I29" s="3" t="s">
        <v>60</v>
      </c>
    </row>
    <row r="30" spans="1:9" x14ac:dyDescent="0.25">
      <c r="A30" s="4" t="s">
        <v>61</v>
      </c>
      <c r="B30" s="4" t="s">
        <v>62</v>
      </c>
      <c r="C30" s="4" t="s">
        <v>63</v>
      </c>
      <c r="D30" s="11">
        <v>1</v>
      </c>
      <c r="E30" s="9">
        <v>95000</v>
      </c>
      <c r="F30" s="10">
        <v>0.25</v>
      </c>
      <c r="G30" s="10">
        <v>0.0765</v>
      </c>
      <c r="H30" s="4" t="s">
        <v>64</v>
      </c>
      <c r="I30" s="4" t="s">
        <v>40</v>
      </c>
    </row>
    <row r="31" spans="1:9" x14ac:dyDescent="0.25">
      <c r="A31" s="4" t="s">
        <v>65</v>
      </c>
      <c r="B31" s="4" t="s">
        <v>62</v>
      </c>
      <c r="C31" s="4" t="s">
        <v>63</v>
      </c>
      <c r="D31" s="11">
        <v>1</v>
      </c>
      <c r="E31" s="9">
        <v>75000</v>
      </c>
      <c r="F31" s="10">
        <v>0.25</v>
      </c>
      <c r="G31" s="10">
        <v>0.0765</v>
      </c>
      <c r="H31" s="4" t="s">
        <v>64</v>
      </c>
      <c r="I31" s="4" t="s">
        <v>40</v>
      </c>
    </row>
    <row r="32" spans="1:9" x14ac:dyDescent="0.25">
      <c r="A32" s="4" t="s">
        <v>66</v>
      </c>
      <c r="B32" s="4" t="s">
        <v>67</v>
      </c>
      <c r="C32" s="4" t="s">
        <v>63</v>
      </c>
      <c r="D32" s="11">
        <v>6</v>
      </c>
      <c r="E32" s="9">
        <v>48000</v>
      </c>
      <c r="F32" s="10">
        <v>0.25</v>
      </c>
      <c r="G32" s="10">
        <v>0.0765</v>
      </c>
      <c r="H32" s="4" t="s">
        <v>64</v>
      </c>
      <c r="I32" s="4" t="s">
        <v>40</v>
      </c>
    </row>
    <row r="33" spans="1:9" x14ac:dyDescent="0.25">
      <c r="A33" s="4" t="s">
        <v>68</v>
      </c>
      <c r="B33" s="4" t="s">
        <v>67</v>
      </c>
      <c r="C33" s="4" t="s">
        <v>63</v>
      </c>
      <c r="D33" s="11">
        <v>3</v>
      </c>
      <c r="E33" s="9">
        <v>32000</v>
      </c>
      <c r="F33" s="10">
        <v>0.2</v>
      </c>
      <c r="G33" s="10">
        <v>0.0765</v>
      </c>
      <c r="H33" s="4" t="s">
        <v>64</v>
      </c>
      <c r="I33" s="4" t="s">
        <v>40</v>
      </c>
    </row>
    <row r="34" spans="1:9" x14ac:dyDescent="0.25">
      <c r="A34" s="4" t="s">
        <v>69</v>
      </c>
      <c r="B34" s="4" t="s">
        <v>70</v>
      </c>
      <c r="C34" s="4" t="s">
        <v>63</v>
      </c>
      <c r="D34" s="11">
        <v>1</v>
      </c>
      <c r="E34" s="9">
        <v>42000</v>
      </c>
      <c r="F34" s="10">
        <v>0.25</v>
      </c>
      <c r="G34" s="10">
        <v>0.0765</v>
      </c>
      <c r="H34" s="4" t="s">
        <v>64</v>
      </c>
      <c r="I34" s="4" t="s">
        <v>40</v>
      </c>
    </row>
    <row r="35" spans="1:9" x14ac:dyDescent="0.25">
      <c r="A35" s="4" t="s">
        <v>71</v>
      </c>
      <c r="B35" s="4" t="s">
        <v>72</v>
      </c>
      <c r="C35" s="4" t="s">
        <v>63</v>
      </c>
      <c r="D35" s="11">
        <v>1</v>
      </c>
      <c r="E35" s="9">
        <v>52000</v>
      </c>
      <c r="F35" s="10">
        <v>0.25</v>
      </c>
      <c r="G35" s="10">
        <v>0.0765</v>
      </c>
      <c r="H35" s="4" t="s">
        <v>64</v>
      </c>
      <c r="I35" s="4" t="s">
        <v>40</v>
      </c>
    </row>
    <row r="37" ht="24" customHeight="1" spans="1:4" x14ac:dyDescent="0.25">
      <c r="A37" s="3" t="s">
        <v>73</v>
      </c>
      <c r="B37" s="3" t="s">
        <v>74</v>
      </c>
      <c r="C37" s="3" t="s">
        <v>75</v>
      </c>
      <c r="D37" s="3"/>
    </row>
    <row r="38" spans="1:2" x14ac:dyDescent="0.25">
      <c r="A38" s="4" t="s">
        <v>76</v>
      </c>
      <c r="B38" s="5" t="s">
        <v>77</v>
      </c>
    </row>
    <row r="39" spans="1:3" x14ac:dyDescent="0.25">
      <c r="A39" s="4" t="s">
        <v>78</v>
      </c>
      <c r="B39" s="9">
        <v>8500</v>
      </c>
      <c r="C39" s="4" t="s">
        <v>79</v>
      </c>
    </row>
    <row r="40" spans="1:2" x14ac:dyDescent="0.25">
      <c r="A40" s="4" t="s">
        <v>80</v>
      </c>
      <c r="B40" s="10">
        <v>0.03</v>
      </c>
    </row>
    <row r="42" ht="24" customHeight="1" spans="1:7" x14ac:dyDescent="0.25">
      <c r="A42" s="3" t="s">
        <v>81</v>
      </c>
      <c r="B42" s="3" t="s">
        <v>30</v>
      </c>
      <c r="C42" s="3" t="s">
        <v>31</v>
      </c>
      <c r="D42" s="3" t="s">
        <v>32</v>
      </c>
      <c r="E42" s="3" t="s">
        <v>33</v>
      </c>
      <c r="F42" s="3" t="s">
        <v>36</v>
      </c>
      <c r="G42" s="3"/>
    </row>
    <row r="43" spans="1:6" x14ac:dyDescent="0.25">
      <c r="A43" s="4" t="s">
        <v>77</v>
      </c>
      <c r="B43" s="4" t="s">
        <v>82</v>
      </c>
      <c r="C43" s="4" t="s">
        <v>79</v>
      </c>
      <c r="D43" s="9">
        <v>8500</v>
      </c>
      <c r="E43" s="10">
        <v>0.03</v>
      </c>
      <c r="F43" s="4" t="s">
        <v>40</v>
      </c>
    </row>
    <row r="44" spans="1:6" x14ac:dyDescent="0.25">
      <c r="A44" s="4" t="s">
        <v>83</v>
      </c>
      <c r="B44" s="4" t="s">
        <v>82</v>
      </c>
      <c r="C44" s="4" t="s">
        <v>79</v>
      </c>
      <c r="D44" s="9">
        <v>1200</v>
      </c>
      <c r="E44" s="10">
        <v>0</v>
      </c>
      <c r="F44" s="4" t="s">
        <v>40</v>
      </c>
    </row>
    <row r="45" spans="1:6" x14ac:dyDescent="0.25">
      <c r="A45" s="4" t="s">
        <v>84</v>
      </c>
      <c r="B45" s="4" t="s">
        <v>82</v>
      </c>
      <c r="C45" s="4" t="s">
        <v>48</v>
      </c>
      <c r="D45" s="9">
        <v>12000</v>
      </c>
      <c r="E45" s="10">
        <v>0</v>
      </c>
      <c r="F45" s="4" t="s">
        <v>40</v>
      </c>
    </row>
    <row r="46" spans="1:6" x14ac:dyDescent="0.25">
      <c r="A46" s="4" t="s">
        <v>85</v>
      </c>
      <c r="B46" s="4" t="s">
        <v>82</v>
      </c>
      <c r="C46" s="4" t="s">
        <v>48</v>
      </c>
      <c r="D46" s="9">
        <v>8000</v>
      </c>
      <c r="E46" s="10">
        <v>0</v>
      </c>
      <c r="F46" s="4" t="s">
        <v>40</v>
      </c>
    </row>
    <row r="47" spans="1:6" x14ac:dyDescent="0.25">
      <c r="A47" s="4" t="s">
        <v>86</v>
      </c>
      <c r="B47" s="4" t="s">
        <v>87</v>
      </c>
      <c r="C47" s="4" t="s">
        <v>39</v>
      </c>
      <c r="D47" s="9">
        <v>600</v>
      </c>
      <c r="E47" s="10">
        <v>0</v>
      </c>
      <c r="F47" s="4" t="s">
        <v>40</v>
      </c>
    </row>
    <row r="48" spans="1:6" x14ac:dyDescent="0.25">
      <c r="A48" s="4" t="s">
        <v>88</v>
      </c>
      <c r="B48" s="4" t="s">
        <v>88</v>
      </c>
      <c r="C48" s="4" t="s">
        <v>39</v>
      </c>
      <c r="D48" s="9">
        <v>400</v>
      </c>
      <c r="E48" s="10">
        <v>0</v>
      </c>
      <c r="F48" s="4" t="s">
        <v>40</v>
      </c>
    </row>
    <row r="49" spans="1:6" x14ac:dyDescent="0.25">
      <c r="A49" s="4" t="s">
        <v>89</v>
      </c>
      <c r="B49" s="4" t="s">
        <v>90</v>
      </c>
      <c r="C49" s="4" t="s">
        <v>48</v>
      </c>
      <c r="D49" s="9">
        <v>15000</v>
      </c>
      <c r="E49" s="10">
        <v>0</v>
      </c>
      <c r="F49" s="4" t="s">
        <v>40</v>
      </c>
    </row>
    <row r="50" spans="1:6" x14ac:dyDescent="0.25">
      <c r="A50" s="4" t="s">
        <v>91</v>
      </c>
      <c r="B50" s="4" t="s">
        <v>90</v>
      </c>
      <c r="C50" s="4" t="s">
        <v>48</v>
      </c>
      <c r="D50" s="9">
        <v>8000</v>
      </c>
      <c r="E50" s="10">
        <v>0</v>
      </c>
      <c r="F50" s="4" t="s">
        <v>40</v>
      </c>
    </row>
    <row r="51" spans="1:6" x14ac:dyDescent="0.25">
      <c r="A51" s="4" t="s">
        <v>92</v>
      </c>
      <c r="B51" s="4" t="s">
        <v>90</v>
      </c>
      <c r="C51" s="4" t="s">
        <v>48</v>
      </c>
      <c r="D51" s="9">
        <v>12000</v>
      </c>
      <c r="E51" s="10">
        <v>0</v>
      </c>
      <c r="F51" s="4" t="s">
        <v>40</v>
      </c>
    </row>
    <row r="53" ht="24" customHeight="1" spans="1:8" x14ac:dyDescent="0.25">
      <c r="A53" s="3" t="s">
        <v>93</v>
      </c>
      <c r="B53" s="3" t="s">
        <v>94</v>
      </c>
      <c r="C53" s="3" t="s">
        <v>32</v>
      </c>
      <c r="D53" s="3" t="s">
        <v>95</v>
      </c>
      <c r="E53" s="3" t="s">
        <v>96</v>
      </c>
      <c r="F53" s="3" t="s">
        <v>97</v>
      </c>
      <c r="G53" s="3" t="s">
        <v>98</v>
      </c>
      <c r="H53" s="3" t="s">
        <v>36</v>
      </c>
    </row>
    <row r="54" spans="1:8" x14ac:dyDescent="0.25">
      <c r="A54" s="4" t="s">
        <v>99</v>
      </c>
      <c r="B54" s="4" t="s">
        <v>64</v>
      </c>
      <c r="C54" s="12">
        <v>0</v>
      </c>
      <c r="D54" s="9">
        <v>250000</v>
      </c>
      <c r="E54" s="13">
        <v>0.065</v>
      </c>
      <c r="F54" s="6">
        <v>10</v>
      </c>
      <c r="G54" s="12">
        <v>34064</v>
      </c>
      <c r="H54" s="4" t="s">
        <v>40</v>
      </c>
    </row>
    <row r="55" spans="1:8" x14ac:dyDescent="0.25">
      <c r="A55" s="4" t="s">
        <v>100</v>
      </c>
      <c r="B55" s="4" t="s">
        <v>101</v>
      </c>
      <c r="C55" s="9">
        <v>25000</v>
      </c>
      <c r="D55" s="4">
        <v>0</v>
      </c>
      <c r="E55" s="4" t="s">
        <v>40</v>
      </c>
      <c r="F55" s="4" t="s">
        <v>40</v>
      </c>
      <c r="G55" s="4" t="s">
        <v>40</v>
      </c>
      <c r="H55" s="4" t="s">
        <v>40</v>
      </c>
    </row>
    <row r="57" ht="24" customHeight="1" spans="1:3" x14ac:dyDescent="0.25">
      <c r="A57" s="3" t="s">
        <v>102</v>
      </c>
      <c r="B57" s="3"/>
      <c r="C57" s="3"/>
    </row>
    <row r="58" spans="1:2" x14ac:dyDescent="0.25">
      <c r="A58" s="4" t="s">
        <v>103</v>
      </c>
      <c r="B58" s="10">
        <v>0</v>
      </c>
    </row>
    <row r="59" spans="1:2" x14ac:dyDescent="0.25">
      <c r="A59" s="4" t="s">
        <v>104</v>
      </c>
      <c r="B59" s="10">
        <v>0</v>
      </c>
    </row>
    <row r="60" spans="1:3" x14ac:dyDescent="0.25">
      <c r="A60" s="4" t="s">
        <v>105</v>
      </c>
      <c r="B60" s="11">
        <v>1</v>
      </c>
      <c r="C60" s="14" t="s">
        <v>106</v>
      </c>
    </row>
    <row r="61" spans="1:2" x14ac:dyDescent="0.25">
      <c r="A61" s="4" t="s">
        <v>107</v>
      </c>
      <c r="B61" s="10">
        <v>0.03</v>
      </c>
    </row>
    <row r="62" spans="1:2" x14ac:dyDescent="0.25">
      <c r="A62" s="4" t="s">
        <v>108</v>
      </c>
      <c r="B62" s="10">
        <v>0</v>
      </c>
    </row>
    <row r="63" spans="1:2" x14ac:dyDescent="0.25">
      <c r="A63" s="4" t="s">
        <v>109</v>
      </c>
      <c r="B63" s="9">
        <v>75000</v>
      </c>
    </row>
    <row r="65" ht="24" customHeight="1" spans="1:4" x14ac:dyDescent="0.25">
      <c r="A65" s="3" t="s">
        <v>110</v>
      </c>
      <c r="B65" s="7" t="s">
        <v>111</v>
      </c>
      <c r="C65" s="7" t="s">
        <v>112</v>
      </c>
      <c r="D65" s="3"/>
    </row>
    <row r="66" spans="1:3" x14ac:dyDescent="0.25">
      <c r="A66" s="4" t="s">
        <v>113</v>
      </c>
      <c r="B66" s="6">
        <v>85</v>
      </c>
      <c r="C66" s="6" t="s">
        <v>40</v>
      </c>
    </row>
    <row r="67" spans="1:3" x14ac:dyDescent="0.25">
      <c r="A67" s="4" t="s">
        <v>114</v>
      </c>
      <c r="B67" s="9">
        <v>1200000</v>
      </c>
      <c r="C67" s="9" t="s">
        <v>40</v>
      </c>
    </row>
    <row r="68" spans="1:3" x14ac:dyDescent="0.25">
      <c r="A68" s="4" t="s">
        <v>115</v>
      </c>
      <c r="B68" s="9">
        <v>1150000</v>
      </c>
      <c r="C68" s="9" t="s">
        <v>40</v>
      </c>
    </row>
    <row r="69" spans="1:3" x14ac:dyDescent="0.25">
      <c r="A69" s="4" t="s">
        <v>116</v>
      </c>
      <c r="B69" s="12">
        <f>B68-B69</f>
        <v>50000</v>
      </c>
      <c r="C69" s="12"/>
    </row>
    <row r="70" spans="1:3" x14ac:dyDescent="0.25">
      <c r="A70" s="4" t="s">
        <v>117</v>
      </c>
      <c r="B70" s="9">
        <v>75000</v>
      </c>
      <c r="C70" s="9" t="s">
        <v>40</v>
      </c>
    </row>
    <row r="72" spans="1:7" x14ac:dyDescent="0.25">
      <c r="A72" s="15" t="s">
        <v>118</v>
      </c>
      <c r="B72" s="15"/>
      <c r="C72" s="15"/>
      <c r="D72" s="15"/>
      <c r="E72" s="15"/>
      <c r="F72" s="15"/>
      <c r="G72" s="15"/>
    </row>
  </sheetData>
  <mergeCells count="4">
    <mergeCell ref="A1:G1"/>
    <mergeCell ref="B5:D5"/>
    <mergeCell ref="B10:D10"/>
    <mergeCell ref="A72:G72"/>
  </mergeCells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&amp;L&amp;10&amp;BHeritage Academy&amp;R&amp;8&amp;IAssumptions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4"/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 outlineLevelRow="0" outlineLevelCol="0" x14ac:dyDescent="55"/>
  <cols>
    <col min="1" max="1" width="38" customWidth="1"/>
    <col min="2" max="6" width="16" customWidth="1"/>
  </cols>
  <sheetData>
    <row r="1" ht="32" customHeight="1" spans="1:6" x14ac:dyDescent="0.25">
      <c r="A1" s="1" t="s">
        <v>119</v>
      </c>
      <c r="B1" s="1"/>
      <c r="C1" s="1"/>
      <c r="D1" s="1"/>
      <c r="E1" s="1"/>
      <c r="F1" s="1"/>
    </row>
    <row r="2" ht="28" customHeight="1" spans="1:6" x14ac:dyDescent="0.25">
      <c r="A2" s="16" t="s">
        <v>40</v>
      </c>
      <c r="B2" s="16" t="s">
        <v>23</v>
      </c>
      <c r="C2" s="16" t="s">
        <v>24</v>
      </c>
      <c r="D2" s="16" t="s">
        <v>25</v>
      </c>
      <c r="E2" s="16" t="s">
        <v>26</v>
      </c>
      <c r="F2" s="16" t="s">
        <v>27</v>
      </c>
    </row>
    <row r="3" spans="1:6" x14ac:dyDescent="0.25">
      <c r="A3" s="17" t="s">
        <v>28</v>
      </c>
      <c r="B3" s="18">
        <f>Assumptions!B17</f>
        <v>100</v>
      </c>
      <c r="C3" s="18">
        <f>Assumptions!C17</f>
        <v>130</v>
      </c>
      <c r="D3" s="18">
        <f>Assumptions!D17</f>
        <v>160</v>
      </c>
      <c r="E3" s="18">
        <f>Assumptions!E17</f>
        <v>185</v>
      </c>
      <c r="F3" s="18">
        <f>Assumptions!F17</f>
        <v>200</v>
      </c>
    </row>
    <row r="5" ht="24" customHeight="1" spans="1:6" x14ac:dyDescent="0.25">
      <c r="A5" s="3" t="s">
        <v>120</v>
      </c>
      <c r="B5" s="3"/>
      <c r="C5" s="3"/>
      <c r="D5" s="3"/>
      <c r="E5" s="3"/>
      <c r="F5" s="3"/>
    </row>
    <row r="6" spans="1:6" x14ac:dyDescent="0.25">
      <c r="A6" s="4" t="s">
        <v>37</v>
      </c>
      <c r="B6" s="12">
        <v>1050000</v>
      </c>
      <c r="C6" s="12">
        <v>1405950</v>
      </c>
      <c r="D6" s="12">
        <v>1782400</v>
      </c>
      <c r="E6" s="12">
        <v>2122690</v>
      </c>
      <c r="F6" s="12">
        <v>2363600</v>
      </c>
    </row>
    <row r="7" spans="1:6" x14ac:dyDescent="0.25">
      <c r="A7" s="4" t="s">
        <v>41</v>
      </c>
      <c r="B7" s="12">
        <v>35000</v>
      </c>
      <c r="C7" s="12">
        <v>45500</v>
      </c>
      <c r="D7" s="12">
        <v>56000</v>
      </c>
      <c r="E7" s="12">
        <v>64750</v>
      </c>
      <c r="F7" s="12">
        <v>70000</v>
      </c>
    </row>
    <row r="8" spans="1:6" x14ac:dyDescent="0.25">
      <c r="A8" s="4" t="s">
        <v>42</v>
      </c>
      <c r="B8" s="12">
        <v>-105000</v>
      </c>
      <c r="C8" s="12">
        <v>-140660</v>
      </c>
      <c r="D8" s="12">
        <v>-178240</v>
      </c>
      <c r="E8" s="12">
        <v>-212195</v>
      </c>
      <c r="F8" s="12">
        <v>-236400</v>
      </c>
    </row>
    <row r="9" spans="1:6" x14ac:dyDescent="0.25">
      <c r="A9" s="4" t="s">
        <v>44</v>
      </c>
      <c r="B9" s="12">
        <v>870000</v>
      </c>
      <c r="C9" s="12">
        <v>1164930</v>
      </c>
      <c r="D9" s="12">
        <v>1476800</v>
      </c>
      <c r="E9" s="12">
        <v>1758795</v>
      </c>
      <c r="F9" s="12">
        <v>1958400</v>
      </c>
    </row>
    <row r="10" spans="1:6" x14ac:dyDescent="0.25">
      <c r="A10" s="4" t="s">
        <v>46</v>
      </c>
      <c r="B10" s="12">
        <v>50000</v>
      </c>
      <c r="C10" s="12">
        <v>40000</v>
      </c>
      <c r="D10" s="12">
        <v>30000</v>
      </c>
      <c r="E10" s="12">
        <v>20000</v>
      </c>
      <c r="F10" s="12">
        <v>10000</v>
      </c>
    </row>
    <row r="11" spans="1:6" x14ac:dyDescent="0.25">
      <c r="A11" s="4" t="s">
        <v>49</v>
      </c>
      <c r="B11" s="12">
        <v>25000</v>
      </c>
      <c r="C11" s="12">
        <v>30000</v>
      </c>
      <c r="D11" s="12">
        <v>35000</v>
      </c>
      <c r="E11" s="12">
        <v>40000</v>
      </c>
      <c r="F11" s="12">
        <v>45000</v>
      </c>
    </row>
    <row r="12" spans="1:6" x14ac:dyDescent="0.25">
      <c r="A12" s="4" t="s">
        <v>50</v>
      </c>
      <c r="B12" s="12">
        <v>50000</v>
      </c>
      <c r="C12" s="12">
        <v>66950</v>
      </c>
      <c r="D12" s="12">
        <v>84800</v>
      </c>
      <c r="E12" s="12">
        <v>101010</v>
      </c>
      <c r="F12" s="12">
        <v>112400</v>
      </c>
    </row>
    <row r="13" ht="24" customHeight="1" spans="1:6" x14ac:dyDescent="0.25">
      <c r="A13" s="3" t="s">
        <v>121</v>
      </c>
      <c r="B13" s="19">
        <f>SUM(B6:B12)</f>
        <v>1975000</v>
      </c>
      <c r="C13" s="19">
        <f>SUM(C6:C12)</f>
        <v>2612670</v>
      </c>
      <c r="D13" s="19">
        <f>SUM(D6:D12)</f>
        <v>3286760</v>
      </c>
      <c r="E13" s="19">
        <f>SUM(E6:E12)</f>
        <v>3895050</v>
      </c>
      <c r="F13" s="19">
        <f>SUM(F6:F12)</f>
        <v>4323000</v>
      </c>
    </row>
    <row r="15" ht="24" customHeight="1" spans="1:6" x14ac:dyDescent="0.25">
      <c r="A15" s="3" t="s">
        <v>122</v>
      </c>
      <c r="B15" s="3"/>
      <c r="C15" s="3"/>
      <c r="D15" s="3"/>
      <c r="E15" s="3"/>
      <c r="F15" s="3"/>
    </row>
    <row r="16" spans="1:6" x14ac:dyDescent="0.25">
      <c r="A16" s="4" t="s">
        <v>123</v>
      </c>
      <c r="B16" s="12">
        <v>126018</v>
      </c>
      <c r="C16" s="12">
        <v>126018</v>
      </c>
      <c r="D16" s="12">
        <v>126018</v>
      </c>
      <c r="E16" s="12">
        <v>126018</v>
      </c>
      <c r="F16" s="12">
        <v>126018</v>
      </c>
    </row>
    <row r="17" spans="1:6" x14ac:dyDescent="0.25">
      <c r="A17" s="4" t="s">
        <v>124</v>
      </c>
      <c r="B17" s="12">
        <v>99488</v>
      </c>
      <c r="C17" s="12">
        <v>99488</v>
      </c>
      <c r="D17" s="12">
        <v>99488</v>
      </c>
      <c r="E17" s="12">
        <v>99488</v>
      </c>
      <c r="F17" s="12">
        <v>99488</v>
      </c>
    </row>
    <row r="18" spans="1:6" x14ac:dyDescent="0.25">
      <c r="A18" s="4" t="s">
        <v>125</v>
      </c>
      <c r="B18" s="12">
        <v>382032</v>
      </c>
      <c r="C18" s="12">
        <v>382032</v>
      </c>
      <c r="D18" s="12">
        <v>382032</v>
      </c>
      <c r="E18" s="12">
        <v>382032</v>
      </c>
      <c r="F18" s="12">
        <v>382032</v>
      </c>
    </row>
    <row r="19" spans="1:6" x14ac:dyDescent="0.25">
      <c r="A19" s="4" t="s">
        <v>126</v>
      </c>
      <c r="B19" s="12">
        <v>122544</v>
      </c>
      <c r="C19" s="12">
        <v>122544</v>
      </c>
      <c r="D19" s="12">
        <v>122544</v>
      </c>
      <c r="E19" s="12">
        <v>122544</v>
      </c>
      <c r="F19" s="12">
        <v>122544</v>
      </c>
    </row>
    <row r="20" spans="1:6" x14ac:dyDescent="0.25">
      <c r="A20" s="4" t="s">
        <v>127</v>
      </c>
      <c r="B20" s="12">
        <v>55713</v>
      </c>
      <c r="C20" s="12">
        <v>55713</v>
      </c>
      <c r="D20" s="12">
        <v>55713</v>
      </c>
      <c r="E20" s="12">
        <v>55713</v>
      </c>
      <c r="F20" s="12">
        <v>55713</v>
      </c>
    </row>
    <row r="21" spans="1:6" x14ac:dyDescent="0.25">
      <c r="A21" s="4" t="s">
        <v>128</v>
      </c>
      <c r="B21" s="12">
        <v>68978</v>
      </c>
      <c r="C21" s="12">
        <v>68978</v>
      </c>
      <c r="D21" s="12">
        <v>68978</v>
      </c>
      <c r="E21" s="12">
        <v>68978</v>
      </c>
      <c r="F21" s="12">
        <v>68978</v>
      </c>
    </row>
    <row r="22" ht="24" customHeight="1" spans="1:6" x14ac:dyDescent="0.25">
      <c r="A22" s="3" t="s">
        <v>129</v>
      </c>
      <c r="B22" s="19">
        <f>SUM(B16:B21)</f>
        <v>854772</v>
      </c>
      <c r="C22" s="19">
        <f>SUM(C16:C21)</f>
        <v>854772</v>
      </c>
      <c r="D22" s="19">
        <f>SUM(D16:D21)</f>
        <v>854772</v>
      </c>
      <c r="E22" s="19">
        <f>SUM(E16:E21)</f>
        <v>854772</v>
      </c>
      <c r="F22" s="19">
        <f>SUM(F16:F21)</f>
        <v>854772</v>
      </c>
    </row>
    <row r="24" ht="24" customHeight="1" spans="1:6" x14ac:dyDescent="0.25">
      <c r="A24" s="3" t="s">
        <v>81</v>
      </c>
      <c r="B24" s="3"/>
      <c r="C24" s="3"/>
      <c r="D24" s="3"/>
      <c r="E24" s="3"/>
      <c r="F24" s="3"/>
    </row>
    <row r="25" spans="1:6" x14ac:dyDescent="0.25">
      <c r="A25" s="4" t="s">
        <v>87</v>
      </c>
      <c r="B25" s="4"/>
      <c r="C25" s="4"/>
      <c r="D25" s="4"/>
      <c r="E25" s="4"/>
      <c r="F25" s="4"/>
    </row>
    <row r="26" spans="1:6" x14ac:dyDescent="0.25">
      <c r="A26" s="4" t="s">
        <v>130</v>
      </c>
      <c r="B26" s="12">
        <v>60000</v>
      </c>
      <c r="C26" s="12">
        <v>80340</v>
      </c>
      <c r="D26" s="12">
        <v>101920</v>
      </c>
      <c r="E26" s="12">
        <v>121360</v>
      </c>
      <c r="F26" s="12">
        <v>135000</v>
      </c>
    </row>
    <row r="27" spans="1:6" x14ac:dyDescent="0.25">
      <c r="A27" s="20" t="s">
        <v>131</v>
      </c>
      <c r="B27" s="21">
        <v>60000</v>
      </c>
      <c r="C27" s="21">
        <v>80340</v>
      </c>
      <c r="D27" s="21">
        <v>101920</v>
      </c>
      <c r="E27" s="21">
        <v>121360</v>
      </c>
      <c r="F27" s="21">
        <v>135000</v>
      </c>
    </row>
    <row r="28" spans="1:6" x14ac:dyDescent="0.25">
      <c r="A28" s="4" t="s">
        <v>88</v>
      </c>
      <c r="B28" s="4"/>
      <c r="C28" s="4"/>
      <c r="D28" s="4"/>
      <c r="E28" s="4"/>
      <c r="F28" s="4"/>
    </row>
    <row r="29" spans="1:6" x14ac:dyDescent="0.25">
      <c r="A29" s="4" t="s">
        <v>132</v>
      </c>
      <c r="B29" s="12">
        <v>40000</v>
      </c>
      <c r="C29" s="12">
        <v>53560</v>
      </c>
      <c r="D29" s="12">
        <v>67840</v>
      </c>
      <c r="E29" s="12">
        <v>80845</v>
      </c>
      <c r="F29" s="12">
        <v>90000</v>
      </c>
    </row>
    <row r="30" spans="1:6" x14ac:dyDescent="0.25">
      <c r="A30" s="20" t="s">
        <v>133</v>
      </c>
      <c r="B30" s="21">
        <v>40000</v>
      </c>
      <c r="C30" s="21">
        <v>53560</v>
      </c>
      <c r="D30" s="21">
        <v>67840</v>
      </c>
      <c r="E30" s="21">
        <v>80845</v>
      </c>
      <c r="F30" s="21">
        <v>90000</v>
      </c>
    </row>
    <row r="31" spans="1:6" x14ac:dyDescent="0.25">
      <c r="A31" s="4" t="s">
        <v>82</v>
      </c>
      <c r="B31" s="4"/>
      <c r="C31" s="4"/>
      <c r="D31" s="4"/>
      <c r="E31" s="4"/>
      <c r="F31" s="4"/>
    </row>
    <row r="32" spans="1:6" x14ac:dyDescent="0.25">
      <c r="A32" s="4" t="s">
        <v>134</v>
      </c>
      <c r="B32" s="12">
        <v>102000</v>
      </c>
      <c r="C32" s="12">
        <v>105060</v>
      </c>
      <c r="D32" s="12">
        <v>108212</v>
      </c>
      <c r="E32" s="12">
        <v>111458</v>
      </c>
      <c r="F32" s="12">
        <v>114802</v>
      </c>
    </row>
    <row r="33" spans="1:6" x14ac:dyDescent="0.25">
      <c r="A33" s="4" t="s">
        <v>135</v>
      </c>
      <c r="B33" s="12">
        <v>14400</v>
      </c>
      <c r="C33" s="12">
        <v>14832</v>
      </c>
      <c r="D33" s="12">
        <v>15276</v>
      </c>
      <c r="E33" s="12">
        <v>15732</v>
      </c>
      <c r="F33" s="12">
        <v>16200</v>
      </c>
    </row>
    <row r="34" spans="1:6" x14ac:dyDescent="0.25">
      <c r="A34" s="4" t="s">
        <v>136</v>
      </c>
      <c r="B34" s="12">
        <v>12000</v>
      </c>
      <c r="C34" s="12">
        <v>12360</v>
      </c>
      <c r="D34" s="12">
        <v>12731</v>
      </c>
      <c r="E34" s="12">
        <v>13113</v>
      </c>
      <c r="F34" s="12">
        <v>13506</v>
      </c>
    </row>
    <row r="35" spans="1:6" x14ac:dyDescent="0.25">
      <c r="A35" s="4" t="s">
        <v>137</v>
      </c>
      <c r="B35" s="12">
        <v>8000</v>
      </c>
      <c r="C35" s="12">
        <v>8240</v>
      </c>
      <c r="D35" s="12">
        <v>8487</v>
      </c>
      <c r="E35" s="12">
        <v>8742</v>
      </c>
      <c r="F35" s="12">
        <v>9004</v>
      </c>
    </row>
    <row r="36" spans="1:6" x14ac:dyDescent="0.25">
      <c r="A36" s="20" t="s">
        <v>138</v>
      </c>
      <c r="B36" s="21">
        <v>136400</v>
      </c>
      <c r="C36" s="21">
        <v>140492</v>
      </c>
      <c r="D36" s="21">
        <v>144706</v>
      </c>
      <c r="E36" s="21">
        <v>149045</v>
      </c>
      <c r="F36" s="21">
        <v>153512</v>
      </c>
    </row>
    <row r="37" spans="1:6" x14ac:dyDescent="0.25">
      <c r="A37" s="4" t="s">
        <v>90</v>
      </c>
      <c r="B37" s="4"/>
      <c r="C37" s="4"/>
      <c r="D37" s="4"/>
      <c r="E37" s="4"/>
      <c r="F37" s="4"/>
    </row>
    <row r="38" spans="1:6" x14ac:dyDescent="0.25">
      <c r="A38" s="4" t="s">
        <v>139</v>
      </c>
      <c r="B38" s="12">
        <v>15000</v>
      </c>
      <c r="C38" s="12">
        <v>15450</v>
      </c>
      <c r="D38" s="12">
        <v>15914</v>
      </c>
      <c r="E38" s="12">
        <v>16391</v>
      </c>
      <c r="F38" s="12">
        <v>16883</v>
      </c>
    </row>
    <row r="39" spans="1:6" x14ac:dyDescent="0.25">
      <c r="A39" s="4" t="s">
        <v>140</v>
      </c>
      <c r="B39" s="12">
        <v>8000</v>
      </c>
      <c r="C39" s="12">
        <v>8240</v>
      </c>
      <c r="D39" s="12">
        <v>8487</v>
      </c>
      <c r="E39" s="12">
        <v>8742</v>
      </c>
      <c r="F39" s="12">
        <v>9004</v>
      </c>
    </row>
    <row r="40" spans="1:6" x14ac:dyDescent="0.25">
      <c r="A40" s="4" t="s">
        <v>141</v>
      </c>
      <c r="B40" s="12">
        <v>12000</v>
      </c>
      <c r="C40" s="12">
        <v>12360</v>
      </c>
      <c r="D40" s="12">
        <v>12731</v>
      </c>
      <c r="E40" s="12">
        <v>13113</v>
      </c>
      <c r="F40" s="12">
        <v>13506</v>
      </c>
    </row>
    <row r="41" spans="1:6" x14ac:dyDescent="0.25">
      <c r="A41" s="20" t="s">
        <v>142</v>
      </c>
      <c r="B41" s="21">
        <v>35000</v>
      </c>
      <c r="C41" s="21">
        <v>36050</v>
      </c>
      <c r="D41" s="21">
        <v>37132</v>
      </c>
      <c r="E41" s="21">
        <v>38246</v>
      </c>
      <c r="F41" s="21">
        <v>39393</v>
      </c>
    </row>
    <row r="42" ht="24" customHeight="1" spans="1:6" x14ac:dyDescent="0.25">
      <c r="A42" s="3" t="s">
        <v>143</v>
      </c>
      <c r="B42" s="19">
        <f>B27+B30+B36+B41</f>
        <v>271400</v>
      </c>
      <c r="C42" s="19">
        <f>C27+C30+C36+C41</f>
        <v>310442</v>
      </c>
      <c r="D42" s="19">
        <f>D27+D30+D36+D41</f>
        <v>351598</v>
      </c>
      <c r="E42" s="19">
        <f>E27+E30+E36+E41</f>
        <v>389496</v>
      </c>
      <c r="F42" s="19">
        <f>F27+F30+F36+F41</f>
        <v>417905</v>
      </c>
    </row>
    <row r="44" ht="24" customHeight="1" spans="1:6" x14ac:dyDescent="0.25">
      <c r="A44" s="3" t="s">
        <v>144</v>
      </c>
      <c r="B44" s="3"/>
      <c r="C44" s="3"/>
      <c r="D44" s="3"/>
      <c r="E44" s="3"/>
      <c r="F44" s="3"/>
    </row>
    <row r="45" spans="1:6" x14ac:dyDescent="0.25">
      <c r="A45" s="4" t="s">
        <v>99</v>
      </c>
      <c r="B45" s="12">
        <v>34064</v>
      </c>
      <c r="C45" s="12">
        <v>34064</v>
      </c>
      <c r="D45" s="12">
        <v>34064</v>
      </c>
      <c r="E45" s="12">
        <v>34064</v>
      </c>
      <c r="F45" s="12">
        <v>34064</v>
      </c>
    </row>
    <row r="46" spans="1:6" x14ac:dyDescent="0.25">
      <c r="A46" s="4" t="s">
        <v>100</v>
      </c>
      <c r="B46" s="12">
        <v>25000</v>
      </c>
      <c r="C46" s="12">
        <v>10000</v>
      </c>
      <c r="D46" s="12">
        <v>10000</v>
      </c>
      <c r="E46" s="12">
        <v>5000</v>
      </c>
      <c r="F46" s="12">
        <v>5000</v>
      </c>
    </row>
    <row r="47" ht="24" customHeight="1" spans="1:6" x14ac:dyDescent="0.25">
      <c r="A47" s="3" t="s">
        <v>145</v>
      </c>
      <c r="B47" s="19">
        <f>SUM(B45:B46)</f>
        <v>59064</v>
      </c>
      <c r="C47" s="19">
        <f>SUM(C45:C46)</f>
        <v>44064</v>
      </c>
      <c r="D47" s="19">
        <f>SUM(D45:D46)</f>
        <v>44064</v>
      </c>
      <c r="E47" s="19">
        <f>SUM(E45:E46)</f>
        <v>39064</v>
      </c>
      <c r="F47" s="19">
        <f>SUM(F45:F46)</f>
        <v>39064</v>
      </c>
    </row>
    <row r="49" ht="24" customHeight="1" spans="1:6" x14ac:dyDescent="0.25">
      <c r="A49" s="3" t="s">
        <v>146</v>
      </c>
      <c r="B49" s="3"/>
      <c r="C49" s="3"/>
      <c r="D49" s="3"/>
      <c r="E49" s="3"/>
      <c r="F49" s="3"/>
    </row>
    <row r="50" spans="1:6" x14ac:dyDescent="0.25">
      <c r="A50" s="17" t="s">
        <v>114</v>
      </c>
      <c r="B50" s="21">
        <f>B13</f>
        <v>1975000</v>
      </c>
      <c r="C50" s="21">
        <f>C13</f>
        <v>2612670</v>
      </c>
      <c r="D50" s="21">
        <f>D13</f>
        <v>3286760</v>
      </c>
      <c r="E50" s="21">
        <f>E13</f>
        <v>3895050</v>
      </c>
      <c r="F50" s="21">
        <f>F13</f>
        <v>4323000</v>
      </c>
    </row>
    <row r="51" spans="1:6" x14ac:dyDescent="0.25">
      <c r="A51" s="4" t="s">
        <v>147</v>
      </c>
      <c r="B51" s="12">
        <f>B22</f>
        <v>854772</v>
      </c>
      <c r="C51" s="12">
        <f>C22</f>
        <v>854772</v>
      </c>
      <c r="D51" s="12">
        <f>D22</f>
        <v>854772</v>
      </c>
      <c r="E51" s="12">
        <f>E22</f>
        <v>854772</v>
      </c>
      <c r="F51" s="12">
        <f>F22</f>
        <v>854772</v>
      </c>
    </row>
    <row r="52" spans="1:6" x14ac:dyDescent="0.25">
      <c r="A52" s="4" t="s">
        <v>148</v>
      </c>
      <c r="B52" s="12">
        <f>B42</f>
        <v>271400</v>
      </c>
      <c r="C52" s="12">
        <f>C42</f>
        <v>310442</v>
      </c>
      <c r="D52" s="12">
        <f>D42</f>
        <v>351598</v>
      </c>
      <c r="E52" s="12">
        <f>E42</f>
        <v>389496</v>
      </c>
      <c r="F52" s="12">
        <f>F42</f>
        <v>417905</v>
      </c>
    </row>
    <row r="53" spans="1:6" x14ac:dyDescent="0.25">
      <c r="A53" s="4" t="s">
        <v>149</v>
      </c>
      <c r="B53" s="12">
        <f>B47</f>
        <v>59064</v>
      </c>
      <c r="C53" s="12">
        <f>C47</f>
        <v>44064</v>
      </c>
      <c r="D53" s="12">
        <f>D47</f>
        <v>44064</v>
      </c>
      <c r="E53" s="12">
        <f>E47</f>
        <v>39064</v>
      </c>
      <c r="F53" s="12">
        <f>F47</f>
        <v>39064</v>
      </c>
    </row>
    <row r="54" spans="1:6" x14ac:dyDescent="0.25">
      <c r="A54" s="17" t="s">
        <v>115</v>
      </c>
      <c r="B54" s="21">
        <f>B51+B52+B53</f>
        <v>1185236</v>
      </c>
      <c r="C54" s="21">
        <f>C51+C52+C53</f>
        <v>1209278</v>
      </c>
      <c r="D54" s="21">
        <f>D51+D52+D53</f>
        <v>1250434</v>
      </c>
      <c r="E54" s="21">
        <f>E51+E52+E53</f>
        <v>1283332</v>
      </c>
      <c r="F54" s="21">
        <f>F51+F52+F53</f>
        <v>1311741</v>
      </c>
    </row>
    <row r="55" spans="1:1" x14ac:dyDescent="0.25">
      <c r="A55" t="s">
        <v>40</v>
      </c>
    </row>
    <row r="56" spans="1:6" x14ac:dyDescent="0.25">
      <c r="A56" s="22" t="s">
        <v>116</v>
      </c>
      <c r="B56" s="23">
        <f>B50-B54</f>
        <v>789764</v>
      </c>
      <c r="C56" s="23">
        <f>C50-C54</f>
        <v>1403392</v>
      </c>
      <c r="D56" s="23">
        <f>D50-D54</f>
        <v>2036326</v>
      </c>
      <c r="E56" s="23">
        <f>E50-E54</f>
        <v>2611718</v>
      </c>
      <c r="F56" s="23">
        <f>F50-F54</f>
        <v>3011259</v>
      </c>
    </row>
    <row r="57" spans="1:6" x14ac:dyDescent="0.25">
      <c r="A57" s="4" t="s">
        <v>150</v>
      </c>
      <c r="B57" s="24">
        <f>IF(B50=0,"",B56/B50)</f>
        <v>0.4</v>
      </c>
      <c r="C57" s="24">
        <f>IF(C50=0,"",C56/C50)</f>
        <v>0.54</v>
      </c>
      <c r="D57" s="24">
        <f>IF(D50=0,"",D56/D50)</f>
        <v>0.62</v>
      </c>
      <c r="E57" s="24">
        <f>IF(E50=0,"",E56/E50)</f>
        <v>0.67</v>
      </c>
      <c r="F57" s="24">
        <f>IF(F50=0,"",F56/F50)</f>
        <v>0.7</v>
      </c>
    </row>
    <row r="58" spans="1:6" x14ac:dyDescent="0.25">
      <c r="A58" s="4" t="s">
        <v>151</v>
      </c>
      <c r="B58" s="12">
        <f>B56</f>
        <v>789764</v>
      </c>
      <c r="C58" s="12">
        <f>B58+C56</f>
        <v>2193156</v>
      </c>
      <c r="D58" s="12">
        <f>C58+D56</f>
        <v>4229482</v>
      </c>
      <c r="E58" s="12">
        <f>D58+E56</f>
        <v>6841200</v>
      </c>
      <c r="F58" s="12">
        <f>E58+F56</f>
        <v>9852459</v>
      </c>
    </row>
    <row r="60" ht="24" customHeight="1" spans="1:6" x14ac:dyDescent="0.25">
      <c r="A60" s="3" t="s">
        <v>152</v>
      </c>
      <c r="B60" s="3"/>
      <c r="C60" s="3"/>
      <c r="D60" s="3"/>
      <c r="E60" s="3"/>
      <c r="F60" s="3"/>
    </row>
    <row r="61" spans="1:6" x14ac:dyDescent="0.25">
      <c r="A61" s="17" t="s">
        <v>153</v>
      </c>
      <c r="B61" s="21">
        <f>B50-B51-B52</f>
        <v>848828</v>
      </c>
      <c r="C61" s="21">
        <f>C50-C51-C52</f>
        <v>1447456</v>
      </c>
      <c r="D61" s="21">
        <f>D50-D51-D52</f>
        <v>2080390</v>
      </c>
      <c r="E61" s="21">
        <f>E50-E51-E52</f>
        <v>2650782</v>
      </c>
      <c r="F61" s="21">
        <f>F50-F51-F52</f>
        <v>3050323</v>
      </c>
    </row>
    <row r="62" spans="1:6" x14ac:dyDescent="0.25">
      <c r="A62" s="4" t="s">
        <v>154</v>
      </c>
      <c r="B62" s="12">
        <f>B53</f>
        <v>59064</v>
      </c>
      <c r="C62" s="12">
        <f>C53</f>
        <v>44064</v>
      </c>
      <c r="D62" s="12">
        <f>D53</f>
        <v>44064</v>
      </c>
      <c r="E62" s="12">
        <f>E53</f>
        <v>39064</v>
      </c>
      <c r="F62" s="12">
        <f>F53</f>
        <v>39064</v>
      </c>
    </row>
    <row r="63" spans="1:6" x14ac:dyDescent="0.25">
      <c r="A63" s="17" t="s">
        <v>155</v>
      </c>
      <c r="B63" s="25">
        <f>IF(B62=0,"N/A",B61/B62)</f>
        <v>14.37</v>
      </c>
      <c r="C63" s="25">
        <f>IF(C62=0,"N/A",C61/C62)</f>
        <v>32.85</v>
      </c>
      <c r="D63" s="25">
        <f>IF(D62=0,"N/A",D61/D62)</f>
        <v>47.21</v>
      </c>
      <c r="E63" s="25">
        <f>IF(E62=0,"N/A",E61/E62)</f>
        <v>67.86</v>
      </c>
      <c r="F63" s="25">
        <f>IF(F62=0,"N/A",F61/F62)</f>
        <v>78.09</v>
      </c>
    </row>
    <row r="64" spans="1:6" x14ac:dyDescent="0.25">
      <c r="A64" s="4" t="s">
        <v>109</v>
      </c>
      <c r="B64" s="12">
        <f>Assumptions!B63</f>
        <v>75000</v>
      </c>
      <c r="C64" s="12">
        <f>B65</f>
        <v>864764</v>
      </c>
      <c r="D64" s="12">
        <f>C65</f>
        <v>2268156</v>
      </c>
      <c r="E64" s="12">
        <f>D65</f>
        <v>4304482</v>
      </c>
      <c r="F64" s="12">
        <f>E65</f>
        <v>6916200</v>
      </c>
    </row>
    <row r="65" spans="1:6" x14ac:dyDescent="0.25">
      <c r="A65" s="17" t="s">
        <v>117</v>
      </c>
      <c r="B65" s="21">
        <f>B64+B56</f>
        <v>864764</v>
      </c>
      <c r="C65" s="21">
        <f>C64+C56</f>
        <v>2268156</v>
      </c>
      <c r="D65" s="21">
        <f>D64+D56</f>
        <v>4304482</v>
      </c>
      <c r="E65" s="21">
        <f>E64+E56</f>
        <v>6916200</v>
      </c>
      <c r="F65" s="21">
        <f>F64+F56</f>
        <v>9927459</v>
      </c>
    </row>
    <row r="66" spans="1:6" x14ac:dyDescent="0.25">
      <c r="A66" s="4" t="s">
        <v>156</v>
      </c>
      <c r="B66" s="26">
        <f>IF(B54=0,"",B65/B54*365)</f>
        <v>266</v>
      </c>
      <c r="C66" s="26">
        <f>IF(C54=0,"",C65/C54*365)</f>
        <v>685</v>
      </c>
      <c r="D66" s="26">
        <f>IF(D54=0,"",D65/D54*365)</f>
        <v>1256</v>
      </c>
      <c r="E66" s="26">
        <f>IF(E54=0,"",E65/E54*365)</f>
        <v>1967</v>
      </c>
      <c r="F66" s="26">
        <f>IF(F54=0,"",F65/F54*365)</f>
        <v>2762</v>
      </c>
    </row>
    <row r="67" spans="1:6" x14ac:dyDescent="0.25">
      <c r="A67" s="4" t="s">
        <v>157</v>
      </c>
      <c r="B67" s="27">
        <f>IF(B54=0,"",B65/(B54/12))</f>
        <v>8.8</v>
      </c>
      <c r="C67" s="27">
        <f>IF(C54=0,"",C65/(C54/12))</f>
        <v>22.5</v>
      </c>
      <c r="D67" s="27">
        <f>IF(D54=0,"",D65/(D54/12))</f>
        <v>41.3</v>
      </c>
      <c r="E67" s="27">
        <f>IF(E54=0,"",E65/(E54/12))</f>
        <v>64.7</v>
      </c>
      <c r="F67" s="27">
        <f>IF(F54=0,"",F65/(F54/12))</f>
        <v>90.8</v>
      </c>
    </row>
    <row r="68" spans="1:6" x14ac:dyDescent="0.25">
      <c r="A68" s="4" t="s">
        <v>158</v>
      </c>
      <c r="B68" s="24">
        <f>IF(Assumptions!B12=0,"",B3/Assumptions!B12)</f>
        <v>0.5</v>
      </c>
      <c r="C68" s="24">
        <f>IF(Assumptions!B12=0,"",C3/Assumptions!B12)</f>
        <v>0.65</v>
      </c>
      <c r="D68" s="24">
        <f>IF(Assumptions!B12=0,"",D3/Assumptions!B12)</f>
        <v>0.8</v>
      </c>
      <c r="E68" s="24">
        <f>IF(Assumptions!B12=0,"",E3/Assumptions!B12)</f>
        <v>0.93</v>
      </c>
      <c r="F68" s="24">
        <f>IF(Assumptions!B12=0,"",F3/Assumptions!B12)</f>
        <v>1</v>
      </c>
    </row>
    <row r="70" ht="24" customHeight="1" spans="1:6" x14ac:dyDescent="0.25">
      <c r="A70" s="3" t="s">
        <v>159</v>
      </c>
      <c r="B70" s="3"/>
      <c r="C70" s="3"/>
      <c r="D70" s="3"/>
      <c r="E70" s="3"/>
      <c r="F70" s="3"/>
    </row>
    <row r="71" spans="1:6" x14ac:dyDescent="0.25">
      <c r="A71" s="4" t="s">
        <v>160</v>
      </c>
      <c r="B71" s="4" t="str">
        <f>IF(B62=0,"N/A",IF(B63&gt;=1.2,"PASS","FAIL"))</f>
        <v>PASS</v>
      </c>
      <c r="C71" s="4" t="str">
        <f>IF(C62=0,"N/A",IF(C63&gt;=1.2,"PASS","FAIL"))</f>
        <v>PASS</v>
      </c>
      <c r="D71" s="4" t="str">
        <f>IF(D62=0,"N/A",IF(D63&gt;=1.2,"PASS","FAIL"))</f>
        <v>PASS</v>
      </c>
      <c r="E71" s="4" t="str">
        <f>IF(E62=0,"N/A",IF(E63&gt;=1.2,"PASS","FAIL"))</f>
        <v>PASS</v>
      </c>
      <c r="F71" s="4" t="str">
        <f>IF(F62=0,"N/A",IF(F63&gt;=1.2,"PASS","FAIL"))</f>
        <v>PASS</v>
      </c>
    </row>
    <row r="72" spans="1:6" x14ac:dyDescent="0.25">
      <c r="A72" s="4" t="s">
        <v>161</v>
      </c>
      <c r="B72" s="4" t="str">
        <f>IF(B56&gt;0,"PASS","FAIL")</f>
        <v>PASS</v>
      </c>
      <c r="C72" s="4" t="str">
        <f>IF(C56&gt;0,"PASS","FAIL")</f>
        <v>PASS</v>
      </c>
      <c r="D72" s="4" t="str">
        <f>IF(D56&gt;0,"PASS","FAIL")</f>
        <v>PASS</v>
      </c>
      <c r="E72" s="4" t="str">
        <f>IF(E56&gt;0,"PASS","FAIL")</f>
        <v>PASS</v>
      </c>
      <c r="F72" s="4" t="str">
        <f>IF(F56&gt;0,"PASS","FAIL")</f>
        <v>PASS</v>
      </c>
    </row>
    <row r="73" spans="1:6" x14ac:dyDescent="0.25">
      <c r="A73" s="4" t="s">
        <v>162</v>
      </c>
      <c r="B73" s="4" t="str">
        <f>IF(Assumptions!B12=0,"N/A",IF(B3/Assumptions!B12&gt;=0.7,"PASS","FAIL"))</f>
        <v>FAIL</v>
      </c>
      <c r="C73" s="4" t="str">
        <f>IF(Assumptions!B12=0,"N/A",IF(C3/Assumptions!B12&gt;=0.7,"PASS","FAIL"))</f>
        <v>FAIL</v>
      </c>
      <c r="D73" s="4" t="str">
        <f>IF(Assumptions!B12=0,"N/A",IF(D3/Assumptions!B12&gt;=0.7,"PASS","FAIL"))</f>
        <v>PASS</v>
      </c>
      <c r="E73" s="4" t="str">
        <f>IF(Assumptions!B12=0,"N/A",IF(E3/Assumptions!B12&gt;=0.7,"PASS","FAIL"))</f>
        <v>PASS</v>
      </c>
      <c r="F73" s="4" t="str">
        <f>IF(Assumptions!B12=0,"N/A",IF(F3/Assumptions!B12&gt;=0.7,"PASS","FAIL"))</f>
        <v>PASS</v>
      </c>
    </row>
    <row r="74" spans="1:6" x14ac:dyDescent="0.25">
      <c r="A74" s="4" t="s">
        <v>163</v>
      </c>
      <c r="B74" s="4" t="str">
        <f>IF(B54=0,"N/A",IF(B65/(B54/12)&gt;=2,"PASS","FAIL"))</f>
        <v>PASS</v>
      </c>
      <c r="C74" s="4" t="str">
        <f>IF(C54=0,"N/A",IF(C65/(C54/12)&gt;=2,"PASS","FAIL"))</f>
        <v>PASS</v>
      </c>
      <c r="D74" s="4" t="str">
        <f>IF(D54=0,"N/A",IF(D65/(D54/12)&gt;=2,"PASS","FAIL"))</f>
        <v>PASS</v>
      </c>
      <c r="E74" s="4" t="str">
        <f>IF(E54=0,"N/A",IF(E65/(E54/12)&gt;=2,"PASS","FAIL"))</f>
        <v>PASS</v>
      </c>
      <c r="F74" s="4" t="str">
        <f>IF(F54=0,"N/A",IF(F65/(F54/12)&gt;=2,"PASS","FAIL"))</f>
        <v>PASS</v>
      </c>
    </row>
    <row r="76" ht="24" customHeight="1" spans="1:6" x14ac:dyDescent="0.25">
      <c r="A76" s="3" t="s">
        <v>164</v>
      </c>
      <c r="B76" s="3"/>
      <c r="C76" s="3"/>
      <c r="D76" s="3"/>
      <c r="E76" s="3"/>
      <c r="F76" s="3"/>
    </row>
    <row r="77" spans="1:6" x14ac:dyDescent="0.25">
      <c r="A77" s="4" t="s">
        <v>165</v>
      </c>
      <c r="B77" s="12">
        <f>IF(B3=0,"",B13/B3)</f>
        <v>19750</v>
      </c>
      <c r="C77" s="12">
        <f>IF(C3=0,"",C13/C3)</f>
        <v>20097</v>
      </c>
      <c r="D77" s="12">
        <f>IF(D3=0,"",D13/D3)</f>
        <v>20542</v>
      </c>
      <c r="E77" s="12">
        <f>IF(E3=0,"",E13/E3)</f>
        <v>21054</v>
      </c>
      <c r="F77" s="12">
        <f>IF(F3=0,"",F13/F3)</f>
        <v>21615</v>
      </c>
    </row>
    <row r="78" spans="1:6" x14ac:dyDescent="0.25">
      <c r="A78" s="4" t="s">
        <v>166</v>
      </c>
      <c r="B78" s="12">
        <f>IF(B3=0,"",B54/B3)</f>
        <v>11852</v>
      </c>
      <c r="C78" s="12">
        <f>IF(C3=0,"",C54/C3)</f>
        <v>9302</v>
      </c>
      <c r="D78" s="12">
        <f>IF(D3=0,"",D54/D3)</f>
        <v>7815</v>
      </c>
      <c r="E78" s="12">
        <f>IF(E3=0,"",E54/E3)</f>
        <v>6937</v>
      </c>
      <c r="F78" s="12">
        <f>IF(F3=0,"",F54/F3)</f>
        <v>6559</v>
      </c>
    </row>
    <row r="79" spans="1:6" x14ac:dyDescent="0.25">
      <c r="A79" s="4" t="s">
        <v>167</v>
      </c>
      <c r="B79" s="12">
        <f>B51+B53</f>
        <v>913836</v>
      </c>
      <c r="C79" s="12">
        <f>C51+C53</f>
        <v>898836</v>
      </c>
      <c r="D79" s="12">
        <f>D51+D53</f>
        <v>898836</v>
      </c>
      <c r="E79" s="12">
        <f>E51+E53</f>
        <v>893836</v>
      </c>
      <c r="F79" s="12">
        <f>F51+F53</f>
        <v>893836</v>
      </c>
    </row>
    <row r="80" spans="1:6" x14ac:dyDescent="0.25">
      <c r="A80" s="4" t="s">
        <v>168</v>
      </c>
      <c r="B80" s="12">
        <f>IF(B3=0,"",B52/B3)</f>
        <v>2714</v>
      </c>
      <c r="C80" s="12">
        <f>IF(C3=0,"",C52/C3)</f>
        <v>2388</v>
      </c>
      <c r="D80" s="12">
        <f>IF(D3=0,"",D52/D3)</f>
        <v>2197</v>
      </c>
      <c r="E80" s="12">
        <f>IF(E3=0,"",E52/E3)</f>
        <v>2105</v>
      </c>
      <c r="F80" s="12">
        <f>IF(F3=0,"",F52/F3)</f>
        <v>2090</v>
      </c>
    </row>
    <row r="81" spans="1:6" x14ac:dyDescent="0.25">
      <c r="A81" s="4" t="s">
        <v>169</v>
      </c>
      <c r="B81" s="12">
        <f>IF(B3=0,"",B77-B80)</f>
        <v>17036</v>
      </c>
      <c r="C81" s="12">
        <f>IF(C3=0,"",C77-C80)</f>
        <v>17709</v>
      </c>
      <c r="D81" s="12">
        <f>IF(D3=0,"",D77-D80)</f>
        <v>18345</v>
      </c>
      <c r="E81" s="12">
        <f>IF(E3=0,"",E77-E80)</f>
        <v>18949</v>
      </c>
      <c r="F81" s="12">
        <f>IF(F3=0,"",F77-F80)</f>
        <v>19525</v>
      </c>
    </row>
    <row r="82" spans="1:6" x14ac:dyDescent="0.25">
      <c r="A82" s="28" t="s">
        <v>170</v>
      </c>
      <c r="B82" s="29">
        <f>IF(B81&lt;=0,"N/A",ROUNDUP(B79/B81,0))</f>
        <v>54</v>
      </c>
      <c r="C82" s="29">
        <f>IF(C81&lt;=0,"N/A",ROUNDUP(C79/C81,0))</f>
        <v>51</v>
      </c>
      <c r="D82" s="29">
        <f>IF(D81&lt;=0,"N/A",ROUNDUP(D79/D81,0))</f>
        <v>49</v>
      </c>
      <c r="E82" s="29">
        <f>IF(E81&lt;=0,"N/A",ROUNDUP(E79/E81,0))</f>
        <v>48</v>
      </c>
      <c r="F82" s="29">
        <f>IF(F81&lt;=0,"N/A",ROUNDUP(F79/F81,0))</f>
        <v>46</v>
      </c>
    </row>
    <row r="84" spans="1:6" x14ac:dyDescent="0.25">
      <c r="A84" s="15" t="s">
        <v>118</v>
      </c>
      <c r="B84" s="15"/>
      <c r="C84" s="15"/>
      <c r="D84" s="15"/>
      <c r="E84" s="15"/>
      <c r="F84" s="15"/>
    </row>
  </sheetData>
  <mergeCells count="2">
    <mergeCell ref="A1:F1"/>
    <mergeCell ref="A84:F84"/>
  </mergeCells>
  <pageMargins left="0.25" right="0.25" top="0.5" bottom="0.5" header="0.3" footer="0.3"/>
  <pageSetup paperSize="1" orientation="portrait" horizontalDpi="4294967295" verticalDpi="4294967295" scale="100" fitToWidth="1" fitToHeight="0"/>
  <headerFooter>
    <oddHeader>&amp;L&amp;10&amp;BHeritage Academy&amp;R&amp;8&amp;I5-Year Model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4"/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 outlineLevelRow="0" outlineLevelCol="0" x14ac:dyDescent="55"/>
  <cols>
    <col min="1" max="1" width="36" customWidth="1"/>
    <col min="2" max="13" width="14" customWidth="1"/>
    <col min="14" max="14" width="16" customWidth="1"/>
  </cols>
  <sheetData>
    <row r="1" ht="32" customHeight="1" spans="1:14" x14ac:dyDescent="0.25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" customHeight="1" spans="1:14" x14ac:dyDescent="0.25">
      <c r="A2" s="16" t="s">
        <v>40</v>
      </c>
      <c r="B2" s="16" t="s">
        <v>16</v>
      </c>
      <c r="C2" s="16" t="s">
        <v>172</v>
      </c>
      <c r="D2" s="16" t="s">
        <v>173</v>
      </c>
      <c r="E2" s="16" t="s">
        <v>174</v>
      </c>
      <c r="F2" s="16" t="s">
        <v>175</v>
      </c>
      <c r="G2" s="16" t="s">
        <v>176</v>
      </c>
      <c r="H2" s="16" t="s">
        <v>177</v>
      </c>
      <c r="I2" s="16" t="s">
        <v>178</v>
      </c>
      <c r="J2" s="16" t="s">
        <v>179</v>
      </c>
      <c r="K2" s="16" t="s">
        <v>180</v>
      </c>
      <c r="L2" s="16" t="s">
        <v>181</v>
      </c>
      <c r="M2" s="16" t="s">
        <v>182</v>
      </c>
      <c r="N2" s="16" t="s">
        <v>183</v>
      </c>
    </row>
    <row r="3" ht="24" customHeight="1" spans="1:14" x14ac:dyDescent="0.25">
      <c r="A3" s="3" t="s">
        <v>120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4" t="s">
        <v>37</v>
      </c>
      <c r="B4" s="12">
        <v>87500</v>
      </c>
      <c r="C4" s="12">
        <v>87500</v>
      </c>
      <c r="D4" s="12">
        <v>87500</v>
      </c>
      <c r="E4" s="12">
        <v>87500</v>
      </c>
      <c r="F4" s="12">
        <v>87500</v>
      </c>
      <c r="G4" s="12">
        <v>87500</v>
      </c>
      <c r="H4" s="12">
        <v>87500</v>
      </c>
      <c r="I4" s="12">
        <v>87500</v>
      </c>
      <c r="J4" s="12">
        <v>87500</v>
      </c>
      <c r="K4" s="12">
        <v>87500</v>
      </c>
      <c r="L4" s="12">
        <v>87500</v>
      </c>
      <c r="M4" s="12">
        <v>87500</v>
      </c>
      <c r="N4" s="12">
        <f>SUM(B4:M4)</f>
        <v>1050000</v>
      </c>
    </row>
    <row r="5" spans="1:14" x14ac:dyDescent="0.25">
      <c r="A5" s="4" t="s">
        <v>41</v>
      </c>
      <c r="B5" s="12">
        <v>2917</v>
      </c>
      <c r="C5" s="12">
        <v>2917</v>
      </c>
      <c r="D5" s="12">
        <v>2917</v>
      </c>
      <c r="E5" s="12">
        <v>2917</v>
      </c>
      <c r="F5" s="12">
        <v>2917</v>
      </c>
      <c r="G5" s="12">
        <v>2917</v>
      </c>
      <c r="H5" s="12">
        <v>2917</v>
      </c>
      <c r="I5" s="12">
        <v>2917</v>
      </c>
      <c r="J5" s="12">
        <v>2917</v>
      </c>
      <c r="K5" s="12">
        <v>2917</v>
      </c>
      <c r="L5" s="12">
        <v>2917</v>
      </c>
      <c r="M5" s="12">
        <v>2917</v>
      </c>
      <c r="N5" s="12">
        <f>SUM(B5:M5)</f>
        <v>35000</v>
      </c>
    </row>
    <row r="6" spans="1:14" x14ac:dyDescent="0.25">
      <c r="A6" s="4" t="s">
        <v>42</v>
      </c>
      <c r="B6" s="12">
        <v>-8750</v>
      </c>
      <c r="C6" s="12">
        <v>-8750</v>
      </c>
      <c r="D6" s="12">
        <v>-8750</v>
      </c>
      <c r="E6" s="12">
        <v>-8750</v>
      </c>
      <c r="F6" s="12">
        <v>-8750</v>
      </c>
      <c r="G6" s="12">
        <v>-8750</v>
      </c>
      <c r="H6" s="12">
        <v>-8750</v>
      </c>
      <c r="I6" s="12">
        <v>-8750</v>
      </c>
      <c r="J6" s="12">
        <v>-8750</v>
      </c>
      <c r="K6" s="12">
        <v>-8750</v>
      </c>
      <c r="L6" s="12">
        <v>-8750</v>
      </c>
      <c r="M6" s="12">
        <v>-8750</v>
      </c>
      <c r="N6" s="12">
        <f>SUM(B6:M6)</f>
        <v>-105000</v>
      </c>
    </row>
    <row r="7" spans="1:14" x14ac:dyDescent="0.25">
      <c r="A7" s="4" t="s">
        <v>44</v>
      </c>
      <c r="B7" s="12">
        <v>72500</v>
      </c>
      <c r="C7" s="12">
        <v>72500</v>
      </c>
      <c r="D7" s="12">
        <v>72500</v>
      </c>
      <c r="E7" s="12">
        <v>72500</v>
      </c>
      <c r="F7" s="12">
        <v>72500</v>
      </c>
      <c r="G7" s="12">
        <v>72500</v>
      </c>
      <c r="H7" s="12">
        <v>72500</v>
      </c>
      <c r="I7" s="12">
        <v>72500</v>
      </c>
      <c r="J7" s="12">
        <v>72500</v>
      </c>
      <c r="K7" s="12">
        <v>72500</v>
      </c>
      <c r="L7" s="12">
        <v>72500</v>
      </c>
      <c r="M7" s="12">
        <v>72500</v>
      </c>
      <c r="N7" s="12">
        <f>SUM(B7:M7)</f>
        <v>870000</v>
      </c>
    </row>
    <row r="8" spans="1:14" x14ac:dyDescent="0.25">
      <c r="A8" s="4" t="s">
        <v>46</v>
      </c>
      <c r="B8" s="12">
        <v>4167</v>
      </c>
      <c r="C8" s="12">
        <v>4167</v>
      </c>
      <c r="D8" s="12">
        <v>4167</v>
      </c>
      <c r="E8" s="12">
        <v>4167</v>
      </c>
      <c r="F8" s="12">
        <v>4167</v>
      </c>
      <c r="G8" s="12">
        <v>4167</v>
      </c>
      <c r="H8" s="12">
        <v>4167</v>
      </c>
      <c r="I8" s="12">
        <v>4167</v>
      </c>
      <c r="J8" s="12">
        <v>4167</v>
      </c>
      <c r="K8" s="12">
        <v>4167</v>
      </c>
      <c r="L8" s="12">
        <v>4167</v>
      </c>
      <c r="M8" s="12">
        <v>4167</v>
      </c>
      <c r="N8" s="12">
        <f>SUM(B8:M8)</f>
        <v>50000</v>
      </c>
    </row>
    <row r="9" spans="1:14" x14ac:dyDescent="0.25">
      <c r="A9" s="4" t="s">
        <v>49</v>
      </c>
      <c r="B9" s="12">
        <v>2083</v>
      </c>
      <c r="C9" s="12">
        <v>2083</v>
      </c>
      <c r="D9" s="12">
        <v>2083</v>
      </c>
      <c r="E9" s="12">
        <v>2083</v>
      </c>
      <c r="F9" s="12">
        <v>2083</v>
      </c>
      <c r="G9" s="12">
        <v>2083</v>
      </c>
      <c r="H9" s="12">
        <v>2083</v>
      </c>
      <c r="I9" s="12">
        <v>2083</v>
      </c>
      <c r="J9" s="12">
        <v>2083</v>
      </c>
      <c r="K9" s="12">
        <v>2083</v>
      </c>
      <c r="L9" s="12">
        <v>2083</v>
      </c>
      <c r="M9" s="12">
        <v>2083</v>
      </c>
      <c r="N9" s="12">
        <f>SUM(B9:M9)</f>
        <v>25000</v>
      </c>
    </row>
    <row r="10" spans="1:14" x14ac:dyDescent="0.25">
      <c r="A10" s="4" t="s">
        <v>50</v>
      </c>
      <c r="B10" s="12">
        <v>4167</v>
      </c>
      <c r="C10" s="12">
        <v>4167</v>
      </c>
      <c r="D10" s="12">
        <v>4167</v>
      </c>
      <c r="E10" s="12">
        <v>4167</v>
      </c>
      <c r="F10" s="12">
        <v>4167</v>
      </c>
      <c r="G10" s="12">
        <v>4167</v>
      </c>
      <c r="H10" s="12">
        <v>4167</v>
      </c>
      <c r="I10" s="12">
        <v>4167</v>
      </c>
      <c r="J10" s="12">
        <v>4167</v>
      </c>
      <c r="K10" s="12">
        <v>4167</v>
      </c>
      <c r="L10" s="12">
        <v>4167</v>
      </c>
      <c r="M10" s="12">
        <v>4167</v>
      </c>
      <c r="N10" s="12">
        <f>SUM(B10:M10)</f>
        <v>50000</v>
      </c>
    </row>
    <row r="11" ht="24" customHeight="1" spans="1:14" x14ac:dyDescent="0.25">
      <c r="A11" s="3" t="s">
        <v>121</v>
      </c>
      <c r="B11" s="19">
        <f>SUM(B4:B10)</f>
        <v>1167917</v>
      </c>
      <c r="C11" s="19">
        <f>SUM(C4:C10)</f>
        <v>72417</v>
      </c>
      <c r="D11" s="19">
        <f>SUM(D4:D10)</f>
        <v>72417</v>
      </c>
      <c r="E11" s="19">
        <f>SUM(E4:E10)</f>
        <v>72417</v>
      </c>
      <c r="F11" s="19">
        <f>SUM(F4:F10)</f>
        <v>72417</v>
      </c>
      <c r="G11" s="19">
        <f>SUM(G4:G10)</f>
        <v>72417</v>
      </c>
      <c r="H11" s="19">
        <f>SUM(H4:H10)</f>
        <v>72417</v>
      </c>
      <c r="I11" s="19">
        <f>SUM(I4:I10)</f>
        <v>72417</v>
      </c>
      <c r="J11" s="19">
        <f>SUM(J4:J10)</f>
        <v>72417</v>
      </c>
      <c r="K11" s="19">
        <f>SUM(K4:K10)</f>
        <v>72417</v>
      </c>
      <c r="L11" s="19">
        <f>SUM(L4:L10)</f>
        <v>72417</v>
      </c>
      <c r="M11" s="19">
        <f>SUM(M4:M10)</f>
        <v>82917</v>
      </c>
      <c r="N11" s="19">
        <f>SUM(B11:M11)</f>
        <v>1975004</v>
      </c>
    </row>
    <row r="12" spans="1:1" x14ac:dyDescent="0.25">
      <c r="A12" t="s">
        <v>40</v>
      </c>
    </row>
    <row r="13" ht="24" customHeight="1" spans="1:14" x14ac:dyDescent="0.25">
      <c r="A13" s="3" t="s">
        <v>122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s="4" t="s">
        <v>61</v>
      </c>
      <c r="B14" s="12">
        <v>10501</v>
      </c>
      <c r="C14" s="12">
        <v>10501</v>
      </c>
      <c r="D14" s="12">
        <v>10501</v>
      </c>
      <c r="E14" s="12">
        <v>10501</v>
      </c>
      <c r="F14" s="12">
        <v>10501</v>
      </c>
      <c r="G14" s="12">
        <v>10501</v>
      </c>
      <c r="H14" s="12">
        <v>10501</v>
      </c>
      <c r="I14" s="12">
        <v>10501</v>
      </c>
      <c r="J14" s="12">
        <v>10501</v>
      </c>
      <c r="K14" s="12">
        <v>10501</v>
      </c>
      <c r="L14" s="12">
        <v>10501</v>
      </c>
      <c r="M14" s="12">
        <v>10501</v>
      </c>
      <c r="N14" s="12">
        <f>SUM(B14:M14)</f>
        <v>126018</v>
      </c>
    </row>
    <row r="15" spans="1:14" x14ac:dyDescent="0.25">
      <c r="A15" s="4" t="s">
        <v>65</v>
      </c>
      <c r="B15" s="12">
        <v>8291</v>
      </c>
      <c r="C15" s="12">
        <v>8291</v>
      </c>
      <c r="D15" s="12">
        <v>8291</v>
      </c>
      <c r="E15" s="12">
        <v>8291</v>
      </c>
      <c r="F15" s="12">
        <v>8291</v>
      </c>
      <c r="G15" s="12">
        <v>8291</v>
      </c>
      <c r="H15" s="12">
        <v>8291</v>
      </c>
      <c r="I15" s="12">
        <v>8291</v>
      </c>
      <c r="J15" s="12">
        <v>8291</v>
      </c>
      <c r="K15" s="12">
        <v>8291</v>
      </c>
      <c r="L15" s="12">
        <v>8291</v>
      </c>
      <c r="M15" s="12">
        <v>8291</v>
      </c>
      <c r="N15" s="12">
        <f>SUM(B15:M15)</f>
        <v>99488</v>
      </c>
    </row>
    <row r="16" spans="1:14" x14ac:dyDescent="0.25">
      <c r="A16" s="4" t="s">
        <v>66</v>
      </c>
      <c r="B16" s="12">
        <v>31836</v>
      </c>
      <c r="C16" s="12">
        <v>31836</v>
      </c>
      <c r="D16" s="12">
        <v>31836</v>
      </c>
      <c r="E16" s="12">
        <v>31836</v>
      </c>
      <c r="F16" s="12">
        <v>31836</v>
      </c>
      <c r="G16" s="12">
        <v>31836</v>
      </c>
      <c r="H16" s="12">
        <v>31836</v>
      </c>
      <c r="I16" s="12">
        <v>31836</v>
      </c>
      <c r="J16" s="12">
        <v>31836</v>
      </c>
      <c r="K16" s="12">
        <v>31836</v>
      </c>
      <c r="L16" s="12">
        <v>31836</v>
      </c>
      <c r="M16" s="12">
        <v>31836</v>
      </c>
      <c r="N16" s="12">
        <f>SUM(B16:M16)</f>
        <v>382032</v>
      </c>
    </row>
    <row r="17" spans="1:14" x14ac:dyDescent="0.25">
      <c r="A17" s="4" t="s">
        <v>68</v>
      </c>
      <c r="B17" s="12">
        <v>10212</v>
      </c>
      <c r="C17" s="12">
        <v>10212</v>
      </c>
      <c r="D17" s="12">
        <v>10212</v>
      </c>
      <c r="E17" s="12">
        <v>10212</v>
      </c>
      <c r="F17" s="12">
        <v>10212</v>
      </c>
      <c r="G17" s="12">
        <v>10212</v>
      </c>
      <c r="H17" s="12">
        <v>10212</v>
      </c>
      <c r="I17" s="12">
        <v>10212</v>
      </c>
      <c r="J17" s="12">
        <v>10212</v>
      </c>
      <c r="K17" s="12">
        <v>10212</v>
      </c>
      <c r="L17" s="12">
        <v>10212</v>
      </c>
      <c r="M17" s="12">
        <v>10212</v>
      </c>
      <c r="N17" s="12">
        <f>SUM(B17:M17)</f>
        <v>122544</v>
      </c>
    </row>
    <row r="18" spans="1:14" x14ac:dyDescent="0.25">
      <c r="A18" s="4" t="s">
        <v>69</v>
      </c>
      <c r="B18" s="12">
        <v>4643</v>
      </c>
      <c r="C18" s="12">
        <v>4643</v>
      </c>
      <c r="D18" s="12">
        <v>4643</v>
      </c>
      <c r="E18" s="12">
        <v>4643</v>
      </c>
      <c r="F18" s="12">
        <v>4643</v>
      </c>
      <c r="G18" s="12">
        <v>4643</v>
      </c>
      <c r="H18" s="12">
        <v>4643</v>
      </c>
      <c r="I18" s="12">
        <v>4643</v>
      </c>
      <c r="J18" s="12">
        <v>4643</v>
      </c>
      <c r="K18" s="12">
        <v>4643</v>
      </c>
      <c r="L18" s="12">
        <v>4643</v>
      </c>
      <c r="M18" s="12">
        <v>4643</v>
      </c>
      <c r="N18" s="12">
        <f>SUM(B18:M18)</f>
        <v>55713</v>
      </c>
    </row>
    <row r="19" spans="1:14" x14ac:dyDescent="0.25">
      <c r="A19" s="4" t="s">
        <v>71</v>
      </c>
      <c r="B19" s="12">
        <v>5748</v>
      </c>
      <c r="C19" s="12">
        <v>5748</v>
      </c>
      <c r="D19" s="12">
        <v>5748</v>
      </c>
      <c r="E19" s="12">
        <v>5748</v>
      </c>
      <c r="F19" s="12">
        <v>5748</v>
      </c>
      <c r="G19" s="12">
        <v>5748</v>
      </c>
      <c r="H19" s="12">
        <v>5748</v>
      </c>
      <c r="I19" s="12">
        <v>5748</v>
      </c>
      <c r="J19" s="12">
        <v>5748</v>
      </c>
      <c r="K19" s="12">
        <v>5748</v>
      </c>
      <c r="L19" s="12">
        <v>5748</v>
      </c>
      <c r="M19" s="12">
        <v>5748</v>
      </c>
      <c r="N19" s="12">
        <f>SUM(B19:M19)</f>
        <v>68978</v>
      </c>
    </row>
    <row r="20" ht="24" customHeight="1" spans="1:14" x14ac:dyDescent="0.25">
      <c r="A20" s="3" t="s">
        <v>129</v>
      </c>
      <c r="B20" s="19">
        <f>SUM(B14:B19)</f>
        <v>71231</v>
      </c>
      <c r="C20" s="19">
        <f>SUM(C14:C19)</f>
        <v>71231</v>
      </c>
      <c r="D20" s="19">
        <f>SUM(D14:D19)</f>
        <v>71231</v>
      </c>
      <c r="E20" s="19">
        <f>SUM(E14:E19)</f>
        <v>71231</v>
      </c>
      <c r="F20" s="19">
        <f>SUM(F14:F19)</f>
        <v>71231</v>
      </c>
      <c r="G20" s="19">
        <f>SUM(G14:G19)</f>
        <v>71231</v>
      </c>
      <c r="H20" s="19">
        <f>SUM(H14:H19)</f>
        <v>71231</v>
      </c>
      <c r="I20" s="19">
        <f>SUM(I14:I19)</f>
        <v>71231</v>
      </c>
      <c r="J20" s="19">
        <f>SUM(J14:J19)</f>
        <v>71231</v>
      </c>
      <c r="K20" s="19">
        <f>SUM(K14:K19)</f>
        <v>71231</v>
      </c>
      <c r="L20" s="19">
        <f>SUM(L14:L19)</f>
        <v>71231</v>
      </c>
      <c r="M20" s="19">
        <f>SUM(M14:M19)</f>
        <v>71231</v>
      </c>
      <c r="N20" s="19">
        <f>SUM(B20:M20)</f>
        <v>854772</v>
      </c>
    </row>
    <row r="21" spans="1:1" x14ac:dyDescent="0.25">
      <c r="A21" t="s">
        <v>40</v>
      </c>
    </row>
    <row r="22" ht="24" customHeight="1" spans="1:14" x14ac:dyDescent="0.25">
      <c r="A22" s="3" t="s">
        <v>81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4" t="s">
        <v>87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s="4" t="s">
        <v>184</v>
      </c>
      <c r="B24" s="12">
        <v>5000</v>
      </c>
      <c r="C24" s="12">
        <v>5000</v>
      </c>
      <c r="D24" s="12">
        <v>5000</v>
      </c>
      <c r="E24" s="12">
        <v>5000</v>
      </c>
      <c r="F24" s="12">
        <v>5000</v>
      </c>
      <c r="G24" s="12">
        <v>5000</v>
      </c>
      <c r="H24" s="12">
        <v>5000</v>
      </c>
      <c r="I24" s="12">
        <v>5000</v>
      </c>
      <c r="J24" s="12">
        <v>5000</v>
      </c>
      <c r="K24" s="12">
        <v>5000</v>
      </c>
      <c r="L24" s="12">
        <v>5000</v>
      </c>
      <c r="M24" s="12">
        <v>5000</v>
      </c>
      <c r="N24" s="12">
        <f>SUM(B24:M24)</f>
        <v>60000</v>
      </c>
    </row>
    <row r="25" spans="1:14" x14ac:dyDescent="0.25">
      <c r="A25" s="20" t="s">
        <v>131</v>
      </c>
      <c r="B25" s="21">
        <v>5000</v>
      </c>
      <c r="C25" s="21">
        <v>5000</v>
      </c>
      <c r="D25" s="21">
        <v>5000</v>
      </c>
      <c r="E25" s="21">
        <v>5000</v>
      </c>
      <c r="F25" s="21">
        <v>5000</v>
      </c>
      <c r="G25" s="21">
        <v>5000</v>
      </c>
      <c r="H25" s="21">
        <v>5000</v>
      </c>
      <c r="I25" s="21">
        <v>5000</v>
      </c>
      <c r="J25" s="21">
        <v>5000</v>
      </c>
      <c r="K25" s="21">
        <v>5000</v>
      </c>
      <c r="L25" s="21">
        <v>5000</v>
      </c>
      <c r="M25" s="21">
        <v>5000</v>
      </c>
      <c r="N25" s="21">
        <f>SUM(B25:M25)</f>
        <v>60000</v>
      </c>
    </row>
    <row r="26" spans="1:14" x14ac:dyDescent="0.25">
      <c r="A26" s="4" t="s">
        <v>88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25">
      <c r="A27" s="4" t="s">
        <v>185</v>
      </c>
      <c r="B27" s="12">
        <v>3333</v>
      </c>
      <c r="C27" s="12">
        <v>3333</v>
      </c>
      <c r="D27" s="12">
        <v>3333</v>
      </c>
      <c r="E27" s="12">
        <v>3333</v>
      </c>
      <c r="F27" s="12">
        <v>3333</v>
      </c>
      <c r="G27" s="12">
        <v>3333</v>
      </c>
      <c r="H27" s="12">
        <v>3333</v>
      </c>
      <c r="I27" s="12">
        <v>3333</v>
      </c>
      <c r="J27" s="12">
        <v>3333</v>
      </c>
      <c r="K27" s="12">
        <v>3333</v>
      </c>
      <c r="L27" s="12">
        <v>3333</v>
      </c>
      <c r="M27" s="12">
        <v>3333</v>
      </c>
      <c r="N27" s="12">
        <f>SUM(B27:M27)</f>
        <v>40000</v>
      </c>
    </row>
    <row r="28" spans="1:14" x14ac:dyDescent="0.25">
      <c r="A28" s="20" t="s">
        <v>133</v>
      </c>
      <c r="B28" s="21">
        <v>3333</v>
      </c>
      <c r="C28" s="21">
        <v>3333</v>
      </c>
      <c r="D28" s="21">
        <v>3333</v>
      </c>
      <c r="E28" s="21">
        <v>3333</v>
      </c>
      <c r="F28" s="21">
        <v>3333</v>
      </c>
      <c r="G28" s="21">
        <v>3333</v>
      </c>
      <c r="H28" s="21">
        <v>3333</v>
      </c>
      <c r="I28" s="21">
        <v>3333</v>
      </c>
      <c r="J28" s="21">
        <v>3333</v>
      </c>
      <c r="K28" s="21">
        <v>3333</v>
      </c>
      <c r="L28" s="21">
        <v>3333</v>
      </c>
      <c r="M28" s="21">
        <v>3333</v>
      </c>
      <c r="N28" s="21">
        <f>SUM(B28:M28)</f>
        <v>40000</v>
      </c>
    </row>
    <row r="29" spans="1:14" x14ac:dyDescent="0.25">
      <c r="A29" s="4" t="s">
        <v>82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25">
      <c r="A30" s="4" t="s">
        <v>186</v>
      </c>
      <c r="B30" s="12">
        <v>8500</v>
      </c>
      <c r="C30" s="12">
        <v>8500</v>
      </c>
      <c r="D30" s="12">
        <v>8500</v>
      </c>
      <c r="E30" s="12">
        <v>8500</v>
      </c>
      <c r="F30" s="12">
        <v>8500</v>
      </c>
      <c r="G30" s="12">
        <v>8500</v>
      </c>
      <c r="H30" s="12">
        <v>8500</v>
      </c>
      <c r="I30" s="12">
        <v>8500</v>
      </c>
      <c r="J30" s="12">
        <v>8500</v>
      </c>
      <c r="K30" s="12">
        <v>8500</v>
      </c>
      <c r="L30" s="12">
        <v>8500</v>
      </c>
      <c r="M30" s="12">
        <v>8500</v>
      </c>
      <c r="N30" s="12">
        <f>SUM(B30:M30)</f>
        <v>102000</v>
      </c>
    </row>
    <row r="31" spans="1:14" x14ac:dyDescent="0.25">
      <c r="A31" s="4" t="s">
        <v>187</v>
      </c>
      <c r="B31" s="12">
        <v>1200</v>
      </c>
      <c r="C31" s="12">
        <v>1200</v>
      </c>
      <c r="D31" s="12">
        <v>1200</v>
      </c>
      <c r="E31" s="12">
        <v>1200</v>
      </c>
      <c r="F31" s="12">
        <v>1200</v>
      </c>
      <c r="G31" s="12">
        <v>1200</v>
      </c>
      <c r="H31" s="12">
        <v>1200</v>
      </c>
      <c r="I31" s="12">
        <v>1200</v>
      </c>
      <c r="J31" s="12">
        <v>1200</v>
      </c>
      <c r="K31" s="12">
        <v>1200</v>
      </c>
      <c r="L31" s="12">
        <v>1200</v>
      </c>
      <c r="M31" s="12">
        <v>1200</v>
      </c>
      <c r="N31" s="12">
        <f>SUM(B31:M31)</f>
        <v>14400</v>
      </c>
    </row>
    <row r="32" spans="1:14" x14ac:dyDescent="0.25">
      <c r="A32" s="4" t="s">
        <v>188</v>
      </c>
      <c r="B32" s="12">
        <v>1000</v>
      </c>
      <c r="C32" s="12">
        <v>1000</v>
      </c>
      <c r="D32" s="12">
        <v>1000</v>
      </c>
      <c r="E32" s="12">
        <v>1000</v>
      </c>
      <c r="F32" s="12">
        <v>1000</v>
      </c>
      <c r="G32" s="12">
        <v>1000</v>
      </c>
      <c r="H32" s="12">
        <v>1000</v>
      </c>
      <c r="I32" s="12">
        <v>1000</v>
      </c>
      <c r="J32" s="12">
        <v>1000</v>
      </c>
      <c r="K32" s="12">
        <v>1000</v>
      </c>
      <c r="L32" s="12">
        <v>1000</v>
      </c>
      <c r="M32" s="12">
        <v>1000</v>
      </c>
      <c r="N32" s="12">
        <f>SUM(B32:M32)</f>
        <v>12000</v>
      </c>
    </row>
    <row r="33" spans="1:14" x14ac:dyDescent="0.25">
      <c r="A33" s="4" t="s">
        <v>189</v>
      </c>
      <c r="B33" s="12">
        <v>667</v>
      </c>
      <c r="C33" s="12">
        <v>667</v>
      </c>
      <c r="D33" s="12">
        <v>667</v>
      </c>
      <c r="E33" s="12">
        <v>667</v>
      </c>
      <c r="F33" s="12">
        <v>667</v>
      </c>
      <c r="G33" s="12">
        <v>667</v>
      </c>
      <c r="H33" s="12">
        <v>667</v>
      </c>
      <c r="I33" s="12">
        <v>667</v>
      </c>
      <c r="J33" s="12">
        <v>667</v>
      </c>
      <c r="K33" s="12">
        <v>667</v>
      </c>
      <c r="L33" s="12">
        <v>667</v>
      </c>
      <c r="M33" s="12">
        <v>667</v>
      </c>
      <c r="N33" s="12">
        <f>SUM(B33:M33)</f>
        <v>8000</v>
      </c>
    </row>
    <row r="34" spans="1:14" x14ac:dyDescent="0.25">
      <c r="A34" s="20" t="s">
        <v>138</v>
      </c>
      <c r="B34" s="21">
        <v>11367</v>
      </c>
      <c r="C34" s="21">
        <v>11367</v>
      </c>
      <c r="D34" s="21">
        <v>11367</v>
      </c>
      <c r="E34" s="21">
        <v>11367</v>
      </c>
      <c r="F34" s="21">
        <v>11367</v>
      </c>
      <c r="G34" s="21">
        <v>11367</v>
      </c>
      <c r="H34" s="21">
        <v>11367</v>
      </c>
      <c r="I34" s="21">
        <v>11367</v>
      </c>
      <c r="J34" s="21">
        <v>11367</v>
      </c>
      <c r="K34" s="21">
        <v>11367</v>
      </c>
      <c r="L34" s="21">
        <v>11367</v>
      </c>
      <c r="M34" s="21">
        <v>11367</v>
      </c>
      <c r="N34" s="21">
        <f>SUM(B34:M34)</f>
        <v>136400</v>
      </c>
    </row>
    <row r="35" spans="1:14" x14ac:dyDescent="0.25">
      <c r="A35" s="4" t="s">
        <v>90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x14ac:dyDescent="0.25">
      <c r="A36" s="4" t="s">
        <v>190</v>
      </c>
      <c r="B36" s="12">
        <v>1250</v>
      </c>
      <c r="C36" s="12">
        <v>1250</v>
      </c>
      <c r="D36" s="12">
        <v>1250</v>
      </c>
      <c r="E36" s="12">
        <v>1250</v>
      </c>
      <c r="F36" s="12">
        <v>1250</v>
      </c>
      <c r="G36" s="12">
        <v>1250</v>
      </c>
      <c r="H36" s="12">
        <v>1250</v>
      </c>
      <c r="I36" s="12">
        <v>1250</v>
      </c>
      <c r="J36" s="12">
        <v>1250</v>
      </c>
      <c r="K36" s="12">
        <v>1250</v>
      </c>
      <c r="L36" s="12">
        <v>1250</v>
      </c>
      <c r="M36" s="12">
        <v>1250</v>
      </c>
      <c r="N36" s="12">
        <f>SUM(B36:M36)</f>
        <v>15000</v>
      </c>
    </row>
    <row r="37" spans="1:14" x14ac:dyDescent="0.25">
      <c r="A37" s="4" t="s">
        <v>191</v>
      </c>
      <c r="B37" s="12">
        <v>667</v>
      </c>
      <c r="C37" s="12">
        <v>667</v>
      </c>
      <c r="D37" s="12">
        <v>667</v>
      </c>
      <c r="E37" s="12">
        <v>667</v>
      </c>
      <c r="F37" s="12">
        <v>667</v>
      </c>
      <c r="G37" s="12">
        <v>667</v>
      </c>
      <c r="H37" s="12">
        <v>667</v>
      </c>
      <c r="I37" s="12">
        <v>667</v>
      </c>
      <c r="J37" s="12">
        <v>667</v>
      </c>
      <c r="K37" s="12">
        <v>667</v>
      </c>
      <c r="L37" s="12">
        <v>667</v>
      </c>
      <c r="M37" s="12">
        <v>667</v>
      </c>
      <c r="N37" s="12">
        <f>SUM(B37:M37)</f>
        <v>8000</v>
      </c>
    </row>
    <row r="38" spans="1:14" x14ac:dyDescent="0.25">
      <c r="A38" s="4" t="s">
        <v>192</v>
      </c>
      <c r="B38" s="12">
        <v>1000</v>
      </c>
      <c r="C38" s="12">
        <v>1000</v>
      </c>
      <c r="D38" s="12">
        <v>1000</v>
      </c>
      <c r="E38" s="12">
        <v>1000</v>
      </c>
      <c r="F38" s="12">
        <v>1000</v>
      </c>
      <c r="G38" s="12">
        <v>1000</v>
      </c>
      <c r="H38" s="12">
        <v>1000</v>
      </c>
      <c r="I38" s="12">
        <v>1000</v>
      </c>
      <c r="J38" s="12">
        <v>1000</v>
      </c>
      <c r="K38" s="12">
        <v>1000</v>
      </c>
      <c r="L38" s="12">
        <v>1000</v>
      </c>
      <c r="M38" s="12">
        <v>1000</v>
      </c>
      <c r="N38" s="12">
        <f>SUM(B38:M38)</f>
        <v>12000</v>
      </c>
    </row>
    <row r="39" spans="1:14" x14ac:dyDescent="0.25">
      <c r="A39" s="20" t="s">
        <v>142</v>
      </c>
      <c r="B39" s="21">
        <v>2917</v>
      </c>
      <c r="C39" s="21">
        <v>2917</v>
      </c>
      <c r="D39" s="21">
        <v>2917</v>
      </c>
      <c r="E39" s="21">
        <v>2917</v>
      </c>
      <c r="F39" s="21">
        <v>2917</v>
      </c>
      <c r="G39" s="21">
        <v>2917</v>
      </c>
      <c r="H39" s="21">
        <v>2917</v>
      </c>
      <c r="I39" s="21">
        <v>2917</v>
      </c>
      <c r="J39" s="21">
        <v>2917</v>
      </c>
      <c r="K39" s="21">
        <v>2917</v>
      </c>
      <c r="L39" s="21">
        <v>2917</v>
      </c>
      <c r="M39" s="21">
        <v>2917</v>
      </c>
      <c r="N39" s="21">
        <f>SUM(B39:M39)</f>
        <v>35000</v>
      </c>
    </row>
    <row r="40" ht="24" customHeight="1" spans="1:14" x14ac:dyDescent="0.25">
      <c r="A40" s="3" t="s">
        <v>143</v>
      </c>
      <c r="B40" s="19">
        <f>B25+B28+B34+B39</f>
        <v>22617</v>
      </c>
      <c r="C40" s="19">
        <f>C25+C28+C34+C39</f>
        <v>22617</v>
      </c>
      <c r="D40" s="19">
        <f>D25+D28+D34+D39</f>
        <v>22617</v>
      </c>
      <c r="E40" s="19">
        <f>E25+E28+E34+E39</f>
        <v>22617</v>
      </c>
      <c r="F40" s="19">
        <f>F25+F28+F34+F39</f>
        <v>22617</v>
      </c>
      <c r="G40" s="19">
        <f>G25+G28+G34+G39</f>
        <v>22617</v>
      </c>
      <c r="H40" s="19">
        <f>H25+H28+H34+H39</f>
        <v>22617</v>
      </c>
      <c r="I40" s="19">
        <f>I25+I28+I34+I39</f>
        <v>22617</v>
      </c>
      <c r="J40" s="19">
        <f>J25+J28+J34+J39</f>
        <v>22617</v>
      </c>
      <c r="K40" s="19">
        <f>K25+K28+K34+K39</f>
        <v>22617</v>
      </c>
      <c r="L40" s="19">
        <f>L25+L28+L34+L39</f>
        <v>22617</v>
      </c>
      <c r="M40" s="19">
        <f>M25+M28+M34+M39</f>
        <v>22617</v>
      </c>
      <c r="N40" s="19">
        <f>SUM(B40:M40)</f>
        <v>271400</v>
      </c>
    </row>
    <row r="41" spans="1:1" x14ac:dyDescent="0.25">
      <c r="A41" t="s">
        <v>40</v>
      </c>
    </row>
    <row r="42" spans="1:14" x14ac:dyDescent="0.25">
      <c r="A42" s="17" t="s">
        <v>193</v>
      </c>
      <c r="B42" s="12">
        <v>4922</v>
      </c>
      <c r="C42" s="12">
        <v>4922</v>
      </c>
      <c r="D42" s="12">
        <v>4922</v>
      </c>
      <c r="E42" s="12">
        <v>4922</v>
      </c>
      <c r="F42" s="12">
        <v>4922</v>
      </c>
      <c r="G42" s="12">
        <v>4922</v>
      </c>
      <c r="H42" s="12">
        <v>4922</v>
      </c>
      <c r="I42" s="12">
        <v>4922</v>
      </c>
      <c r="J42" s="12">
        <v>4922</v>
      </c>
      <c r="K42" s="12">
        <v>4922</v>
      </c>
      <c r="L42" s="12">
        <v>4922</v>
      </c>
      <c r="M42" s="12">
        <v>4922</v>
      </c>
      <c r="N42" s="12">
        <f>SUM(B42:M42)</f>
        <v>59064</v>
      </c>
    </row>
    <row r="43" spans="1:1" x14ac:dyDescent="0.25">
      <c r="A43" t="s">
        <v>40</v>
      </c>
    </row>
    <row r="44" ht="24" customHeight="1" spans="1:14" x14ac:dyDescent="0.25">
      <c r="A44" s="3" t="s">
        <v>194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5">
      <c r="A45" s="17" t="s">
        <v>115</v>
      </c>
      <c r="B45" s="21">
        <f>B20+B40+B42</f>
        <v>98770</v>
      </c>
      <c r="C45" s="21">
        <f>C20+C40+C42</f>
        <v>98770</v>
      </c>
      <c r="D45" s="21">
        <f>D20+D40+D42</f>
        <v>98770</v>
      </c>
      <c r="E45" s="21">
        <f>E20+E40+E42</f>
        <v>98770</v>
      </c>
      <c r="F45" s="21">
        <f>F20+F40+F42</f>
        <v>98770</v>
      </c>
      <c r="G45" s="21">
        <f>G20+G40+G42</f>
        <v>98770</v>
      </c>
      <c r="H45" s="21">
        <f>H20+H40+H42</f>
        <v>98770</v>
      </c>
      <c r="I45" s="21">
        <f>I20+I40+I42</f>
        <v>98770</v>
      </c>
      <c r="J45" s="21">
        <f>J20+J40+J42</f>
        <v>98770</v>
      </c>
      <c r="K45" s="21">
        <f>K20+K40+K42</f>
        <v>98770</v>
      </c>
      <c r="L45" s="21">
        <f>L20+L40+L42</f>
        <v>98770</v>
      </c>
      <c r="M45" s="21">
        <f>M20+M40+M42</f>
        <v>98770</v>
      </c>
      <c r="N45" s="21">
        <f>SUM(B45:M45)</f>
        <v>1185240</v>
      </c>
    </row>
    <row r="46" spans="1:14" x14ac:dyDescent="0.25">
      <c r="A46" s="17" t="s">
        <v>195</v>
      </c>
      <c r="B46" s="21">
        <f>B11-B45</f>
        <v>1069147</v>
      </c>
      <c r="C46" s="21">
        <f>C11-C45</f>
        <v>-26353</v>
      </c>
      <c r="D46" s="21">
        <f>D11-D45</f>
        <v>-26353</v>
      </c>
      <c r="E46" s="21">
        <f>E11-E45</f>
        <v>-26353</v>
      </c>
      <c r="F46" s="21">
        <f>F11-F45</f>
        <v>-26353</v>
      </c>
      <c r="G46" s="21">
        <f>G11-G45</f>
        <v>-26353</v>
      </c>
      <c r="H46" s="21">
        <f>H11-H45</f>
        <v>-26353</v>
      </c>
      <c r="I46" s="21">
        <f>I11-I45</f>
        <v>-26353</v>
      </c>
      <c r="J46" s="21">
        <f>J11-J45</f>
        <v>-26353</v>
      </c>
      <c r="K46" s="21">
        <f>K11-K45</f>
        <v>-26353</v>
      </c>
      <c r="L46" s="21">
        <f>L11-L45</f>
        <v>-26353</v>
      </c>
      <c r="M46" s="21">
        <f>M11-M45</f>
        <v>-15853</v>
      </c>
      <c r="N46" s="21">
        <f>SUM(B46:M46)</f>
        <v>789764</v>
      </c>
    </row>
    <row r="47" spans="1:14" x14ac:dyDescent="0.25">
      <c r="A47" s="17" t="s">
        <v>196</v>
      </c>
      <c r="B47" s="21">
        <f>75000+B46</f>
        <v>1144147</v>
      </c>
      <c r="C47" s="21">
        <f>B47+C46</f>
        <v>1117794</v>
      </c>
      <c r="D47" s="21">
        <f>C47+D46</f>
        <v>1091441</v>
      </c>
      <c r="E47" s="21">
        <f>D47+E46</f>
        <v>1065088</v>
      </c>
      <c r="F47" s="21">
        <f>E47+F46</f>
        <v>1038735</v>
      </c>
      <c r="G47" s="21">
        <f>F47+G46</f>
        <v>1012382</v>
      </c>
      <c r="H47" s="21">
        <f>G47+H46</f>
        <v>986029</v>
      </c>
      <c r="I47" s="21">
        <f>H47+I46</f>
        <v>959676</v>
      </c>
      <c r="J47" s="21">
        <f>I47+J46</f>
        <v>933323</v>
      </c>
      <c r="K47" s="21">
        <f>J47+K46</f>
        <v>906970</v>
      </c>
      <c r="L47" s="21">
        <f>K47+L46</f>
        <v>880617</v>
      </c>
      <c r="M47" s="21">
        <f>L47+M46</f>
        <v>864764</v>
      </c>
      <c r="N47" s="21">
        <f>M47</f>
        <v>864764</v>
      </c>
    </row>
    <row r="49" ht="24" customHeight="1" spans="1:3" x14ac:dyDescent="0.25">
      <c r="A49" s="3" t="s">
        <v>197</v>
      </c>
      <c r="B49" s="3"/>
      <c r="C49" s="3"/>
    </row>
    <row r="50" spans="1:2" x14ac:dyDescent="0.25">
      <c r="A50" s="4" t="s">
        <v>109</v>
      </c>
      <c r="B50" s="12">
        <v>75000</v>
      </c>
    </row>
    <row r="51" spans="1:2" x14ac:dyDescent="0.25">
      <c r="A51" s="4" t="s">
        <v>198</v>
      </c>
      <c r="B51" s="21">
        <f>M47</f>
        <v>864764</v>
      </c>
    </row>
    <row r="52" spans="1:2" x14ac:dyDescent="0.25">
      <c r="A52" s="4" t="s">
        <v>199</v>
      </c>
      <c r="B52" s="12">
        <f>MIN(B47:M47)</f>
        <v>864764</v>
      </c>
    </row>
    <row r="54" spans="1:14" x14ac:dyDescent="0.25">
      <c r="A54" s="15" t="s">
        <v>118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</sheetData>
  <mergeCells count="2">
    <mergeCell ref="A1:N1"/>
    <mergeCell ref="A54:N54"/>
  </mergeCells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&amp;L&amp;10&amp;BHeritage Academy&amp;R&amp;8&amp;IYear 1 Pro Forma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21"/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 outlineLevelRow="0" outlineLevelCol="0" x14ac:dyDescent="55"/>
  <cols>
    <col min="1" max="1" width="36" customWidth="1"/>
    <col min="2" max="5" width="22" customWidth="1"/>
  </cols>
  <sheetData>
    <row r="1" ht="32" customHeight="1" spans="2:5" x14ac:dyDescent="0.25">
      <c r="A1" s="1" t="s">
        <v>200</v>
      </c>
      <c r="B1" s="1"/>
      <c r="C1" s="1"/>
      <c r="D1" s="1"/>
      <c r="E1" s="1"/>
    </row>
    <row r="2" ht="28" customHeight="1" spans="2:5" x14ac:dyDescent="0.25">
      <c r="A2" s="16" t="s">
        <v>40</v>
      </c>
      <c r="B2" s="16" t="s">
        <v>201</v>
      </c>
      <c r="C2" s="16" t="s">
        <v>202</v>
      </c>
      <c r="D2" s="16" t="s">
        <v>203</v>
      </c>
      <c r="E2" s="16" t="s">
        <v>204</v>
      </c>
    </row>
    <row r="3" ht="24" customHeight="1" spans="2:5" x14ac:dyDescent="0.25">
      <c r="A3" s="3" t="s">
        <v>205</v>
      </c>
      <c r="B3" s="3"/>
      <c r="C3" s="3"/>
      <c r="D3" s="3"/>
      <c r="E3" s="3"/>
    </row>
    <row r="4" spans="2:5" x14ac:dyDescent="0.25">
      <c r="A4" s="17" t="s">
        <v>113</v>
      </c>
      <c r="B4" s="26">
        <v>85</v>
      </c>
      <c r="C4" s="26">
        <v>100</v>
      </c>
      <c r="D4" s="26">
        <v>130</v>
      </c>
      <c r="E4" s="24">
        <v>0.17647058823529413</v>
      </c>
    </row>
    <row r="5" spans="2:5" x14ac:dyDescent="0.25">
      <c r="A5" s="17" t="s">
        <v>114</v>
      </c>
      <c r="B5" s="12">
        <v>1200000</v>
      </c>
      <c r="C5" s="12">
        <v>1975000</v>
      </c>
      <c r="D5" s="12">
        <v>2612670</v>
      </c>
      <c r="E5" s="30">
        <v>0.6458333333333334</v>
      </c>
    </row>
    <row r="6" spans="2:4" x14ac:dyDescent="0.25">
      <c r="A6" s="17" t="s">
        <v>115</v>
      </c>
      <c r="B6" s="12">
        <v>1150000</v>
      </c>
      <c r="C6" s="12">
        <v>1185236</v>
      </c>
      <c r="D6" s="12">
        <v>1209278</v>
      </c>
    </row>
    <row r="7" spans="2:4" x14ac:dyDescent="0.25">
      <c r="A7" s="31" t="s">
        <v>206</v>
      </c>
      <c r="B7" s="32">
        <v>50000</v>
      </c>
      <c r="C7" s="32">
        <v>789764</v>
      </c>
      <c r="D7" s="32">
        <v>1403392</v>
      </c>
    </row>
    <row r="8" spans="2:2" x14ac:dyDescent="0.25">
      <c r="A8" s="17" t="s">
        <v>207</v>
      </c>
      <c r="B8" s="12">
        <v>75000</v>
      </c>
    </row>
    <row r="10" ht="24" customHeight="1" spans="2:5" x14ac:dyDescent="0.25">
      <c r="A10" s="3" t="s">
        <v>208</v>
      </c>
      <c r="B10" s="3"/>
      <c r="C10" s="3"/>
      <c r="D10" s="3"/>
      <c r="E10" s="3"/>
    </row>
    <row r="11" spans="2:4" x14ac:dyDescent="0.25">
      <c r="A11" s="17" t="s">
        <v>165</v>
      </c>
      <c r="B11" s="12">
        <v>14118</v>
      </c>
      <c r="C11" s="12">
        <v>19750</v>
      </c>
      <c r="D11" s="12">
        <v>20097</v>
      </c>
    </row>
    <row r="12" spans="2:4" x14ac:dyDescent="0.25">
      <c r="A12" s="17" t="s">
        <v>209</v>
      </c>
      <c r="B12" s="12">
        <v>13529</v>
      </c>
      <c r="C12" s="12">
        <v>11852</v>
      </c>
      <c r="D12" s="12">
        <v>9302</v>
      </c>
    </row>
    <row r="13" spans="2:4" x14ac:dyDescent="0.25">
      <c r="A13" s="17" t="s">
        <v>150</v>
      </c>
      <c r="B13" s="24">
        <v>0.041666666666666664</v>
      </c>
      <c r="C13" s="24">
        <v>0.3998805063291139</v>
      </c>
      <c r="D13" s="24">
        <v>0.5371485874603376</v>
      </c>
    </row>
    <row r="14" spans="2:4" x14ac:dyDescent="0.25">
      <c r="A14" s="17" t="s">
        <v>210</v>
      </c>
      <c r="B14" s="4" t="s">
        <v>14</v>
      </c>
      <c r="C14" s="24">
        <v>0.4327959493670886</v>
      </c>
      <c r="D14" s="24">
        <v>0.3271641653940222</v>
      </c>
    </row>
    <row r="16" ht="24" customHeight="1" spans="2:5" x14ac:dyDescent="0.25">
      <c r="A16" s="3" t="s">
        <v>211</v>
      </c>
      <c r="B16" s="3"/>
      <c r="C16" s="3"/>
      <c r="D16" s="3"/>
      <c r="E16" s="3"/>
    </row>
    <row r="17" spans="3:3" x14ac:dyDescent="0.25">
      <c r="A17" s="33" t="s">
        <v>212</v>
      </c>
      <c r="C17" s="34" t="s">
        <v>213</v>
      </c>
    </row>
    <row r="18" spans="3:3" x14ac:dyDescent="0.25">
      <c r="A18" s="33" t="s">
        <v>214</v>
      </c>
      <c r="C18" s="35" t="s">
        <v>215</v>
      </c>
    </row>
    <row r="19" spans="3:3" x14ac:dyDescent="0.25">
      <c r="A19" s="33" t="s">
        <v>216</v>
      </c>
      <c r="C19" s="34" t="s">
        <v>217</v>
      </c>
    </row>
    <row r="21" spans="2:5" x14ac:dyDescent="0.25">
      <c r="A21" s="15" t="s">
        <v>118</v>
      </c>
      <c r="B21" s="15"/>
      <c r="C21" s="15"/>
      <c r="D21" s="15"/>
      <c r="E21" s="15"/>
    </row>
  </sheetData>
  <mergeCells count="2">
    <mergeCell ref="A1:E1"/>
    <mergeCell ref="A21:E21"/>
  </mergeCells>
  <pageMargins left="0.25" right="0.25" top="0.5" bottom="0.5" header="0.3" footer="0.3"/>
  <pageSetup paperSize="1" orientation="portrait" horizontalDpi="4294967295" verticalDpi="4294967295" scale="100" fitToWidth="1" fitToHeight="0"/>
  <headerFooter>
    <oddHeader>&amp;L&amp;10&amp;BHeritage Academy&amp;R&amp;8&amp;IActuals vs. Projections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5-Year Model</vt:lpstr>
      <vt:lpstr>Year 1 Pro Forma</vt:lpstr>
      <vt:lpstr>Actuals vs. Projections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 — Formula Model</dc:creator>
  <dc:title/>
  <dc:subject/>
  <dc:description/>
  <cp:keywords/>
  <cp:category/>
  <cp:lastModifiedBy>Unknown</cp:lastModifiedBy>
  <dcterms:created xsi:type="dcterms:W3CDTF">2026-03-16T23:22:39Z</dcterms:created>
  <dcterms:modified xsi:type="dcterms:W3CDTF">2026-03-16T23:22:39Z</dcterms:modified>
</cp:coreProperties>
</file>