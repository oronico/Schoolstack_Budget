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Drivers'!$A1:$F14</definedName>
    <definedName name="_xlnm.Print_Titles" localSheetId="1">'Enrollment &amp; Rev Drivers'!$1:$1</definedName>
    <definedName name="_xlnm.Print_Area" localSheetId="2">'Tuition &amp; Funding Detail'!$A1:$F14</definedName>
    <definedName name="_xlnm.Print_Titles" localSheetId="2">'Tuition &amp; Funding Detail'!$1:$1</definedName>
    <definedName name="_xlnm.Print_Area" localSheetId="3">'Staffing Plan'!$A1:$H21</definedName>
    <definedName name="_xlnm.Print_Titles" localSheetId="3">'Staffing Plan'!$1:$1</definedName>
    <definedName name="_xlnm.Print_Area" localSheetId="4">'Operating Expenses'!$A1:$F11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Uses'!$A1:$B16</definedName>
    <definedName name="_xlnm.Print_Titles" localSheetId="6">'Capital Stack &amp; Startup Uses'!$1:$1</definedName>
    <definedName name="_xlnm.Print_Area" localSheetId="7">'Debt Schedule'!$A1:$G10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Snapshot'!$A1:$C27</definedName>
    <definedName name="_xlnm.Print_Titles" localSheetId="12">'Underwriting Snapshot'!$1:$1</definedName>
    <definedName name="_xlnm.Print_Area" localSheetId="13">'Summary'!$A1:$F17</definedName>
    <definedName name="_xlnm.Print_Titles" localSheetId="13">'Summary'!$1:$1</definedName>
    <definedName name="_xlnm.Print_Area" localSheetId="15">'Financial Health'!$A1:$H39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<sst xmlns="http://schemas.openxmlformats.org/spreadsheetml/2006/main" count="435" uniqueCount="304">
  <si>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</si>
  <si>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</si>
  <si>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</si>
  <si>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</si>
  <si>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</si>
  <si>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</si>
  <si>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Liberty Learning Co-Op</t>
  </si>
  <si>
    <t>State</t>
  </si>
  <si>
    <t>AZ</t>
  </si>
  <si>
    <t>School Type</t>
  </si>
  <si>
    <t>Homeschool Co-Op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</si>
  <si>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</si>
  <si>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</si>
  <si>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</si>
  <si>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</si>
  <si>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</si>
  <si>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</si>
  <si>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</si>
  <si>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</si>
  <si>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</si>
  <si>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86-5551234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</si>
  <si>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</si>
  <si>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</si>
  <si>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</si>
  <si>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</si>
  <si>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</si>
  <si>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</si>
  <si>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</si>
  <si>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</si>
  <si>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</si>
  <si>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</si>
  <si>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</si>
  <si>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</si>
  <si>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</si>
  <si>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</si>
  <si>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</si>
  <si>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</si>
  <si>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</si>
  <si>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</si>
  <si>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</si>
  <si>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</si>
  <si>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</si>
  <si>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</si>
  <si>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</si>
  <si>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Co-Op Tuition (per student)</t>
  </si>
  <si>
    <t>Materials Fee (per student)</t>
  </si>
  <si>
    <t>ESA Revenue (per student)</t>
  </si>
  <si>
    <t>REVENUE MIX SUMMARY</t>
  </si>
  <si>
    <t>Tuition &amp; Student Fees</t>
  </si>
  <si>
    <t>School Choice Funding</t>
  </si>
  <si>
    <t>Philanthropy</t>
  </si>
  <si>
    <t>TUITION &amp; STUDENT FEES</t>
  </si>
  <si>
    <t>Co-Op Tuition</t>
  </si>
  <si>
    <t>Materials Fee</t>
  </si>
  <si>
    <t>Total Tuition &amp; Student Fees</t>
  </si>
  <si>
    <t>SCHOOL CHOICE FUNDING</t>
  </si>
  <si>
    <t>ESA Revenue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</si>
  <si>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</si>
  <si>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</si>
  <si>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</si>
  <si>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</si>
  <si>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</si>
  <si>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</si>
  <si>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</si>
  <si>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</si>
  <si>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</si>
  <si>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</si>
  <si>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</si>
  <si>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</si>
  <si>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</si>
  <si>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</si>
  <si>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Director / Lead Educator</t>
  </si>
  <si>
    <t>School Leadership</t>
  </si>
  <si>
    <t>FT</t>
  </si>
  <si>
    <t>Assistant Educator</t>
  </si>
  <si>
    <t>Instructional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</si>
  <si>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</si>
  <si>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</si>
  <si>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</si>
  <si>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</si>
  <si>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</si>
  <si>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</si>
  <si>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</si>
  <si>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</si>
  <si>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</si>
  <si>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</si>
  <si>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</si>
  <si>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</si>
  <si>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</si>
  <si>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</si>
  <si>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</si>
  <si>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</si>
  <si>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</si>
  <si>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</si>
  <si>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</si>
  <si>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</si>
  <si>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</si>
  <si>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</si>
  <si>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</si>
  <si>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</si>
  <si>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</si>
  <si>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</si>
  <si>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</si>
  <si>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</si>
  <si>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</si>
  <si>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</si>
  <si>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</si>
  <si>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</si>
  <si>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</si>
  <si>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</si>
  <si>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</si>
  <si>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</si>
  <si>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</si>
  <si>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</si>
  <si>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</si>
  <si>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</si>
  <si>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</si>
  <si>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</si>
  <si>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</si>
  <si>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</si>
  <si>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</si>
  <si>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</si>
  <si>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</si>
  <si>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</si>
  <si>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</si>
  <si>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</si>
  <si>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</si>
  <si>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No loans entered</t>
  </si>
  <si>
    <t>TOTAL DEBT SERVICE</t>
  </si>
  <si>
    <t>Annual Debt Service</t>
  </si>
  <si>
    <t>Monthly Debt Service</t>
  </si>
  <si>
    <t>AMORTIZATION SCHEDULE (ANNUAL)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</si>
  <si>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</si>
  <si>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</si>
  <si>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</si>
  <si>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</si>
  <si>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</si>
  <si>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</si>
  <si>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</si>
  <si>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</si>
  <si>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</si>
  <si>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</si>
  <si>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</si>
  <si>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</si>
  <si>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</si>
  <si>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</si>
  <si>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</si>
  <si>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</si>
  <si>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</si>
  <si>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</si>
  <si>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</si>
  <si>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</si>
  <si>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</si>
  <si>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</si>
  <si>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</si>
  <si>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</si>
  <si>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</si>
  <si>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</si>
  <si>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</si>
  <si>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</si>
  <si>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</si>
  <si>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</si>
  <si>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</si>
  <si>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</si>
  <si>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</si>
  <si>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</si>
  <si>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</si>
  <si>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</si>
  <si>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</si>
  <si>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</si>
  <si>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</si>
  <si>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</si>
  <si>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</si>
  <si>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</si>
  <si>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</si>
  <si>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</si>
  <si>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</si>
  <si>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</si>
  <si>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N/A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</si>
  <si>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</si>
  <si>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</si>
  <si>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</si>
  <si>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</si>
  <si>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</si>
  <si>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</si>
  <si>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</si>
  <si>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</si>
  <si>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</si>
  <si>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</si>
  <si>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</si>
  <si>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</si>
  <si>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</si>
  <si>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Liberty Learning Co-Op | Homeschool Co-Op | AZ</t>
  </si>
  <si>
    <t>POLICY FLAGS</t>
  </si>
  <si>
    <t>Min 2 Months Cash Reserve (2026-27)</t>
  </si>
  <si>
    <t>9.4 months</t>
  </si>
  <si>
    <t>Positive Net Income (2026-27)</t>
  </si>
  <si>
    <t>Yes</t>
  </si>
  <si>
    <t>Break-Even Within Projection Period</t>
  </si>
  <si>
    <t>Enrollment ≥ 70% Capacity (2026-27)</t>
  </si>
  <si>
    <t>38%</t>
  </si>
  <si>
    <t>Positive Ending Cash (Final Year)</t>
  </si>
  <si>
    <t>UNDERWRITING ASSESSMENT</t>
  </si>
  <si>
    <t>Flags Passed</t>
  </si>
  <si>
    <t>4 / 5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</si>
  <si>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</si>
  <si>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</si>
  <si>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</si>
  <si>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</si>
  <si>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</si>
  <si>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</si>
  <si>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</si>
  <si>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</si>
  <si>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</si>
  <si>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</si>
  <si>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</si>
  <si>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9.4</t>
  </si>
  <si>
    <t>Break-Even Year</t>
  </si>
  <si>
    <t>Revenue per Student (2026-27)</t>
  </si>
  <si>
    <t>Cost per Student (2026-27)</t>
  </si>
  <si>
    <t>5-Year Financial Model</t>
  </si>
  <si>
    <t>Homeschool Co-Op  |  AZ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</si>
  <si>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</si>
  <si>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</si>
  <si>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</si>
  <si>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</si>
  <si>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</si>
  <si>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</si>
  <si>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</si>
  <si>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Homeschool Co-Op  •  LLC (Single Member)  •  AZ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</si>
  <si>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</si>
  <si>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</si>
  <si>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</si>
  <si>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</si>
  <si>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</si>
  <si>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</si>
  <si>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</si>
  <si>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</si>
  <si>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</si>
  <si>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</si>
  <si>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</si>
  <si>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</si>
  <si>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</si>
  <si>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</si>
  <si>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</si>
  <si>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</si>
  <si>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</si>
  <si>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</si>
  <si>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</si>
  <si>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</si>
  <si>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Liberty Learning Co-Op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</si>
  <si>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</si>
  <si>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</si>
  <si>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</si>
  <si>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</si>
  <si>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</si>
  <si>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</si>
  <si>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</si>
  <si>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Net Income</t>
  </si>
  <si>
    <t>Ending Cash</t>
  </si>
  <si>
    <t>Net Margin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</si>
  <si>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</si>
  <si>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</si>
  <si>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</si>
  <si>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</si>
  <si>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</si>
  <si>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</si>
  <si>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</si>
  <si>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</si>
  <si>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</si>
  <si>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</si>
  <si>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</si>
  <si>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</si>
  <si>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</si>
  <si>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</si>
  <si>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</si>
  <si>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60+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</si>
  <si>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</si>
  <si>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</si>
  <si>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</si>
  <si>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</si>
  <si>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</si>
  <si>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</si>
  <si>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</si>
  <si>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</si>
  <si>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</si>
  <si>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</si>
  <si>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</si>
  <si>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</si>
  <si>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</si>
  <si>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</si>
  <si>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</si>
  <si>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</si>
  <si>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</si>
  <si>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</si>
  <si>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</si>
  <si>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</si>
  <si>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</si>
  <si>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</si>
  <si>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</si>
  <si>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115.1 months of reserves by Year 5 — a strong buffer for unexpected costs.</t>
  </si>
  <si>
    <t>Continue growing reserves toward 6 months for best-in-class financial health.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</si>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</sst>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0" borderId="0" xfId="0" applyFont="1" applyAlignment="1">
      <alignment horizontal="center"/>
    </xf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6" fontId="5" fillId="0" borderId="3" xfId="0" applyNumberFormat="1" applyFont="1" applyBorder="1" applyAlignment="1">
      <alignment horizontal="right"/>
    </xf>
    <xf numFmtId="166" fontId="5" fillId="7" borderId="3" xfId="0" applyNumberFormat="1" applyFont="1" applyFill="1" applyBorder="1" applyAlignment="1">
      <alignment horizontal="right"/>
    </xf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49" fontId="5" fillId="0" borderId="4" xfId="0" applyNumberFormat="1" applyFont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49" fontId="5" fillId="7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15</v>
      </c>
      <c r="C17" s="9">
        <v>22</v>
      </c>
      <c r="D17" s="9">
        <v>30</v>
      </c>
      <c r="E17" s="9">
        <v>36</v>
      </c>
      <c r="F17" s="9">
        <v>40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15</v>
      </c>
      <c r="C2" s="12">
        <v>22</v>
      </c>
      <c r="D2" s="12">
        <v>30</v>
      </c>
      <c r="E2" s="12">
        <v>36</v>
      </c>
      <c r="F2" s="12">
        <v>40</v>
      </c>
    </row>
    <row r="3" spans="1:6" x14ac:dyDescent="0.25">
      <c r="A3" s="6" t="s">
        <v>40</v>
      </c>
      <c r="B3" s="13" t="s">
        <v>41</v>
      </c>
      <c r="C3" s="14">
        <f>IF(B2=0,"-",(C2-B2)/B2)</f>
        <v>0.47</v>
      </c>
      <c r="D3" s="14">
        <f>IF(C2=0,"-",(D2-C2)/C2)</f>
        <v>0.36</v>
      </c>
      <c r="E3" s="14">
        <f>IF(D2=0,"-",(E2-D2)/D2)</f>
        <v>0.2</v>
      </c>
      <c r="F3" s="14">
        <f>IF(E2=0,"-",(F2-E2)/E2)</f>
        <v>0.11</v>
      </c>
    </row>
    <row r="4" spans="1:6" x14ac:dyDescent="0.25">
      <c r="A4" s="6" t="s">
        <v>42</v>
      </c>
      <c r="B4" s="14">
        <v>0.375</v>
      </c>
      <c r="C4" s="14">
        <v>0.55</v>
      </c>
      <c r="D4" s="14">
        <v>0.75</v>
      </c>
      <c r="E4" s="14">
        <v>0.9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6000</v>
      </c>
      <c r="C7" s="15">
        <v>6180</v>
      </c>
      <c r="D7" s="15">
        <v>6365</v>
      </c>
      <c r="E7" s="15">
        <v>6556</v>
      </c>
      <c r="F7" s="15">
        <v>6753</v>
      </c>
    </row>
    <row r="8" spans="1:6" x14ac:dyDescent="0.25">
      <c r="A8" s="6" t="s">
        <v>45</v>
      </c>
      <c r="B8" s="15">
        <v>200</v>
      </c>
      <c r="C8" s="15">
        <v>200</v>
      </c>
      <c r="D8" s="15">
        <v>200</v>
      </c>
      <c r="E8" s="15">
        <v>200</v>
      </c>
      <c r="F8" s="15">
        <v>200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93000</v>
      </c>
      <c r="C12" s="15">
        <v>140360</v>
      </c>
      <c r="D12" s="15">
        <v>196950</v>
      </c>
      <c r="E12" s="15">
        <v>243216</v>
      </c>
      <c r="F12" s="15">
        <v>278120</v>
      </c>
    </row>
    <row r="13" spans="1:6" x14ac:dyDescent="0.25">
      <c r="A13" s="6" t="s">
        <v>49</v>
      </c>
      <c r="B13" s="15">
        <v>105000</v>
      </c>
      <c r="C13" s="15">
        <v>158620</v>
      </c>
      <c r="D13" s="15">
        <v>222780</v>
      </c>
      <c r="E13" s="15">
        <v>275364</v>
      </c>
      <c r="F13" s="15">
        <v>315120</v>
      </c>
    </row>
    <row r="14" spans="1:6" x14ac:dyDescent="0.25">
      <c r="A14" s="6" t="s">
        <v>50</v>
      </c>
      <c r="B14" s="15">
        <v>3000</v>
      </c>
      <c r="C14" s="15">
        <v>4000</v>
      </c>
      <c r="D14" s="15">
        <v>5000</v>
      </c>
      <c r="E14" s="15">
        <v>5000</v>
      </c>
      <c r="F14" s="15">
        <v>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15</v>
      </c>
      <c r="C2" s="12">
        <f>Assumptions!$C$17</f>
        <v>22</v>
      </c>
      <c r="D2" s="12">
        <f>Assumptions!$D$17</f>
        <v>30</v>
      </c>
      <c r="E2" s="12">
        <f>Assumptions!$E$17</f>
        <v>36</v>
      </c>
      <c r="F2" s="12">
        <f>Assumptions!$F$17</f>
        <v>40</v>
      </c>
    </row>
    <row r="3" ht="24" customHeight="1" spans="1:6" x14ac:dyDescent="0.25">
      <c r="A3" s="5" t="s">
        <v>51</v>
      </c>
      <c r="B3" s="5"/>
      <c r="C3" s="5"/>
      <c r="D3" s="5"/>
      <c r="E3" s="5"/>
      <c r="F3" s="5"/>
    </row>
    <row r="4" spans="1:6" x14ac:dyDescent="0.25">
      <c r="A4" s="6" t="s">
        <v>52</v>
      </c>
      <c r="B4" s="15">
        <f>ROUND(Assumptions!$B$17*6000,0)</f>
        <v>90000</v>
      </c>
      <c r="C4" s="15">
        <f>ROUND(Assumptions!$C$17*6180,0)</f>
        <v>135960</v>
      </c>
      <c r="D4" s="15">
        <f>ROUND(Assumptions!$D$17*6365,0)</f>
        <v>190950</v>
      </c>
      <c r="E4" s="15">
        <f>ROUND(Assumptions!$E$17*6556,0)</f>
        <v>236016</v>
      </c>
      <c r="F4" s="15">
        <f>ROUND(Assumptions!$F$17*6753,0)</f>
        <v>270120</v>
      </c>
    </row>
    <row r="5" spans="1:6" x14ac:dyDescent="0.25">
      <c r="A5" s="6" t="s">
        <v>53</v>
      </c>
      <c r="B5" s="15">
        <f>ROUND(Assumptions!$B$17*200,0)</f>
        <v>3000</v>
      </c>
      <c r="C5" s="15">
        <f>ROUND(Assumptions!$C$17*200,0)</f>
        <v>4400</v>
      </c>
      <c r="D5" s="15">
        <f>ROUND(Assumptions!$D$17*200,0)</f>
        <v>6000</v>
      </c>
      <c r="E5" s="15">
        <f>ROUND(Assumptions!$E$17*200,0)</f>
        <v>7200</v>
      </c>
      <c r="F5" s="15">
        <f>ROUND(Assumptions!$F$17*200,0)</f>
        <v>8000</v>
      </c>
    </row>
    <row r="6" ht="24" customHeight="1" spans="1:6" x14ac:dyDescent="0.25">
      <c r="A6" s="5" t="s">
        <v>54</v>
      </c>
      <c r="B6" s="16">
        <f>SUM(B4:B5)</f>
        <v>93000</v>
      </c>
      <c r="C6" s="16">
        <f>SUM(C4:C5)</f>
        <v>140360</v>
      </c>
      <c r="D6" s="16">
        <f>SUM(D4:D5)</f>
        <v>196950</v>
      </c>
      <c r="E6" s="16">
        <f>SUM(E4:E5)</f>
        <v>243216</v>
      </c>
      <c r="F6" s="16">
        <f>SUM(F4:F5)</f>
        <v>278120</v>
      </c>
    </row>
    <row r="7" ht="24" customHeight="1" spans="1:6" x14ac:dyDescent="0.25">
      <c r="A7" s="5" t="s">
        <v>55</v>
      </c>
      <c r="B7" s="5"/>
      <c r="C7" s="5"/>
      <c r="D7" s="5"/>
      <c r="E7" s="5"/>
      <c r="F7" s="5"/>
    </row>
    <row r="8" spans="1:6" x14ac:dyDescent="0.25">
      <c r="A8" s="6" t="s">
        <v>56</v>
      </c>
      <c r="B8" s="15">
        <f>ROUND(Assumptions!$B$17*7000,0)</f>
        <v>105000</v>
      </c>
      <c r="C8" s="15">
        <f>ROUND(Assumptions!$C$17*7210,0)</f>
        <v>158620</v>
      </c>
      <c r="D8" s="15">
        <f>ROUND(Assumptions!$D$17*7426,0)</f>
        <v>222780</v>
      </c>
      <c r="E8" s="15">
        <f>ROUND(Assumptions!$E$17*7649,0)</f>
        <v>275364</v>
      </c>
      <c r="F8" s="15">
        <f>ROUND(Assumptions!$F$17*7878,0)</f>
        <v>315120</v>
      </c>
    </row>
    <row r="9" ht="24" customHeight="1" spans="1:6" x14ac:dyDescent="0.25">
      <c r="A9" s="5" t="s">
        <v>57</v>
      </c>
      <c r="B9" s="16">
        <f>SUM(B8:B8)</f>
        <v>105000</v>
      </c>
      <c r="C9" s="16">
        <f>SUM(C8:C8)</f>
        <v>158620</v>
      </c>
      <c r="D9" s="16">
        <f>SUM(D8:D8)</f>
        <v>222780</v>
      </c>
      <c r="E9" s="16">
        <f>SUM(E8:E8)</f>
        <v>275364</v>
      </c>
      <c r="F9" s="16">
        <f>SUM(F8:F8)</f>
        <v>315120</v>
      </c>
    </row>
    <row r="10" ht="24" customHeight="1" spans="1:6" x14ac:dyDescent="0.25">
      <c r="A10" s="5" t="s">
        <v>58</v>
      </c>
      <c r="B10" s="5"/>
      <c r="C10" s="5"/>
      <c r="D10" s="5"/>
      <c r="E10" s="5"/>
      <c r="F10" s="5"/>
    </row>
    <row r="11" spans="1:6" x14ac:dyDescent="0.25">
      <c r="A11" s="6" t="s">
        <v>59</v>
      </c>
      <c r="B11" s="15">
        <v>3000</v>
      </c>
      <c r="C11" s="15">
        <v>4000</v>
      </c>
      <c r="D11" s="15">
        <v>5000</v>
      </c>
      <c r="E11" s="15">
        <v>5000</v>
      </c>
      <c r="F11" s="15">
        <v>5000</v>
      </c>
    </row>
    <row r="12" ht="24" customHeight="1" spans="1:6" x14ac:dyDescent="0.25">
      <c r="A12" s="5" t="s">
        <v>60</v>
      </c>
      <c r="B12" s="16">
        <f>SUM(B11:B11)</f>
        <v>3000</v>
      </c>
      <c r="C12" s="16">
        <f>SUM(C11:C11)</f>
        <v>4000</v>
      </c>
      <c r="D12" s="16">
        <f>SUM(D11:D11)</f>
        <v>5000</v>
      </c>
      <c r="E12" s="16">
        <f>SUM(E11:E11)</f>
        <v>5000</v>
      </c>
      <c r="F12" s="16">
        <f>SUM(F11:F11)</f>
        <v>5000</v>
      </c>
    </row>
    <row r="14" ht="24" customHeight="1" spans="1:6" x14ac:dyDescent="0.25">
      <c r="A14" s="5" t="s">
        <v>61</v>
      </c>
      <c r="B14" s="16">
        <f>B6+B9+B12</f>
        <v>201000</v>
      </c>
      <c r="C14" s="16">
        <f>C6+C9+C12</f>
        <v>302980</v>
      </c>
      <c r="D14" s="16">
        <f>D6+D9+D12</f>
        <v>424730</v>
      </c>
      <c r="E14" s="16">
        <f>E6+E9+E12</f>
        <v>523580</v>
      </c>
      <c r="F14" s="16">
        <f>F6+F9+F12</f>
        <v>598240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63</v>
      </c>
      <c r="B3" s="8" t="s">
        <v>64</v>
      </c>
      <c r="C3" s="8" t="s">
        <v>65</v>
      </c>
      <c r="D3" s="8" t="s">
        <v>66</v>
      </c>
      <c r="E3" s="8" t="s">
        <v>67</v>
      </c>
      <c r="F3" s="8" t="s">
        <v>68</v>
      </c>
      <c r="G3" s="8" t="s">
        <v>69</v>
      </c>
      <c r="H3" s="8" t="s">
        <v>70</v>
      </c>
    </row>
    <row r="4" spans="1:8" x14ac:dyDescent="0.25">
      <c r="A4" s="6" t="s">
        <v>71</v>
      </c>
      <c r="B4" s="6" t="s">
        <v>72</v>
      </c>
      <c r="C4" s="6" t="s">
        <v>73</v>
      </c>
      <c r="D4" s="11">
        <v>1</v>
      </c>
      <c r="E4" s="17">
        <v>48000</v>
      </c>
      <c r="F4" s="10">
        <v>0.2</v>
      </c>
      <c r="G4" s="10">
        <v>0.0765</v>
      </c>
      <c r="H4" s="18">
        <v>61272</v>
      </c>
    </row>
    <row r="5" spans="1:8" x14ac:dyDescent="0.25">
      <c r="A5" s="6" t="s">
        <v>74</v>
      </c>
      <c r="B5" s="6" t="s">
        <v>75</v>
      </c>
      <c r="C5" s="6" t="s">
        <v>76</v>
      </c>
      <c r="D5" s="11">
        <v>0.5</v>
      </c>
      <c r="E5" s="17">
        <v>30000</v>
      </c>
      <c r="F5" s="10">
        <v>0</v>
      </c>
      <c r="G5" s="10">
        <v>0.0765</v>
      </c>
      <c r="H5" s="18">
        <v>16148</v>
      </c>
    </row>
    <row r="7" ht="24" customHeight="1" spans="1:8" x14ac:dyDescent="0.25">
      <c r="A7" s="5" t="s">
        <v>77</v>
      </c>
      <c r="B7" s="5"/>
      <c r="C7" s="5"/>
      <c r="D7" s="5"/>
      <c r="E7" s="5"/>
      <c r="F7" s="5"/>
      <c r="G7" s="5"/>
      <c r="H7" s="5"/>
    </row>
    <row r="8" spans="1:2" x14ac:dyDescent="0.25">
      <c r="A8" s="6" t="s">
        <v>78</v>
      </c>
      <c r="B8" s="7">
        <v>2</v>
      </c>
    </row>
    <row r="9" spans="1:2" x14ac:dyDescent="0.25">
      <c r="A9" s="6" t="s">
        <v>79</v>
      </c>
      <c r="B9" s="7">
        <v>1.5</v>
      </c>
    </row>
    <row r="10" spans="1:2" x14ac:dyDescent="0.25">
      <c r="A10" s="6" t="s">
        <v>80</v>
      </c>
      <c r="B10" s="19">
        <v>63000</v>
      </c>
    </row>
    <row r="11" spans="1:2" x14ac:dyDescent="0.25">
      <c r="A11" s="6" t="s">
        <v>81</v>
      </c>
      <c r="B11" s="19">
        <v>9600</v>
      </c>
    </row>
    <row r="12" spans="1:2" x14ac:dyDescent="0.25">
      <c r="A12" s="6" t="s">
        <v>82</v>
      </c>
      <c r="B12" s="19">
        <v>4820</v>
      </c>
    </row>
    <row r="13" spans="1:2" x14ac:dyDescent="0.25">
      <c r="A13" s="6" t="s">
        <v>83</v>
      </c>
      <c r="B13" s="19">
        <v>0</v>
      </c>
    </row>
    <row r="14" spans="1:2" x14ac:dyDescent="0.25">
      <c r="A14" s="7" t="s">
        <v>84</v>
      </c>
      <c r="B14" s="18">
        <v>77420</v>
      </c>
    </row>
    <row r="16" ht="24" customHeight="1" spans="1:6" x14ac:dyDescent="0.25">
      <c r="A16" s="5" t="s">
        <v>85</v>
      </c>
      <c r="B16" s="5"/>
      <c r="C16" s="5"/>
      <c r="D16" s="5"/>
      <c r="E16" s="5"/>
      <c r="F16" s="5"/>
    </row>
    <row r="17" ht="28" customHeight="1" spans="1:6" x14ac:dyDescent="0.25">
      <c r="A17" s="8" t="s">
        <v>1</v>
      </c>
      <c r="B17" s="8" t="s">
        <v>35</v>
      </c>
      <c r="C17" s="8" t="s">
        <v>36</v>
      </c>
      <c r="D17" s="8" t="s">
        <v>37</v>
      </c>
      <c r="E17" s="8" t="s">
        <v>38</v>
      </c>
      <c r="F17" s="8" t="s">
        <v>39</v>
      </c>
    </row>
    <row r="18" spans="1:6" x14ac:dyDescent="0.25">
      <c r="A18" s="6" t="s">
        <v>86</v>
      </c>
      <c r="B18" s="15">
        <v>77420</v>
      </c>
      <c r="C18" s="15">
        <v>77420</v>
      </c>
      <c r="D18" s="15">
        <v>77420</v>
      </c>
      <c r="E18" s="15">
        <v>77420</v>
      </c>
      <c r="F18" s="15">
        <v>77420</v>
      </c>
    </row>
    <row r="19" spans="1:6" x14ac:dyDescent="0.25">
      <c r="A19" s="6" t="s">
        <v>87</v>
      </c>
      <c r="B19" s="20">
        <f>(1+Assumptions!$B$20)^0</f>
        <v>1</v>
      </c>
      <c r="C19" s="20">
        <f>(1+Assumptions!$B$20)^1</f>
        <v>1.03</v>
      </c>
      <c r="D19" s="20">
        <f>(1+Assumptions!$B$20)^2</f>
        <v>1.06</v>
      </c>
      <c r="E19" s="20">
        <f>(1+Assumptions!$B$20)^3</f>
        <v>1.09</v>
      </c>
      <c r="F19" s="20">
        <f>(1+Assumptions!$B$20)^4</f>
        <v>1.13</v>
      </c>
    </row>
    <row r="20" spans="1:6" x14ac:dyDescent="0.25">
      <c r="A20" s="6" t="s">
        <v>88</v>
      </c>
      <c r="B20" s="21">
        <f>Assumptions!$B$22</f>
        <v>0.83</v>
      </c>
      <c r="C20" s="21">
        <v>1</v>
      </c>
      <c r="D20" s="21">
        <v>1</v>
      </c>
      <c r="E20" s="21">
        <v>1</v>
      </c>
      <c r="F20" s="21">
        <v>1</v>
      </c>
    </row>
    <row r="21" ht="24" customHeight="1" spans="1:6" x14ac:dyDescent="0.25">
      <c r="A21" s="5" t="s">
        <v>89</v>
      </c>
      <c r="B21" s="16">
        <f>B18*B19*B20</f>
        <v>64516</v>
      </c>
      <c r="C21" s="16">
        <f>C18*C19*C20</f>
        <v>79742</v>
      </c>
      <c r="D21" s="16">
        <f>D18*D19*D20</f>
        <v>82134</v>
      </c>
      <c r="E21" s="16">
        <f>E18*E19*E20</f>
        <v>84598</v>
      </c>
      <c r="F21" s="16">
        <f>F18*F19*F20</f>
        <v>87136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90</v>
      </c>
      <c r="B2" s="5"/>
      <c r="C2" s="5"/>
      <c r="D2" s="5"/>
      <c r="E2" s="5"/>
      <c r="F2" s="5"/>
    </row>
    <row r="3" spans="1:6" x14ac:dyDescent="0.25">
      <c r="A3" s="6" t="s">
        <v>91</v>
      </c>
      <c r="B3" s="15">
        <f>ROUND(Assumptions!$B$17*400,0)</f>
        <v>6000</v>
      </c>
      <c r="C3" s="15">
        <f>ROUND(Assumptions!$C$17*400*(1+Assumptions!$B$21)^1,0)</f>
        <v>9020</v>
      </c>
      <c r="D3" s="15">
        <f>ROUND(Assumptions!$D$17*400*(1+Assumptions!$B$21)^2,0)</f>
        <v>12607</v>
      </c>
      <c r="E3" s="15">
        <f>ROUND(Assumptions!$E$17*400*(1+Assumptions!$B$21)^3,0)</f>
        <v>15507</v>
      </c>
      <c r="F3" s="15">
        <f>ROUND(Assumptions!$F$17*400*(1+Assumptions!$B$21)^4,0)</f>
        <v>17661</v>
      </c>
    </row>
    <row r="4" ht="24" customHeight="1" spans="1:6" x14ac:dyDescent="0.25">
      <c r="A4" s="5" t="s">
        <v>92</v>
      </c>
      <c r="B4" s="16">
        <f>SUM(B3:B3)</f>
        <v>6000</v>
      </c>
      <c r="C4" s="16">
        <f>SUM(C3:C3)</f>
        <v>9020</v>
      </c>
      <c r="D4" s="16">
        <f>SUM(D3:D3)</f>
        <v>12607</v>
      </c>
      <c r="E4" s="16">
        <f>SUM(E3:E3)</f>
        <v>15507</v>
      </c>
      <c r="F4" s="16">
        <f>SUM(F3:F3)</f>
        <v>17661</v>
      </c>
    </row>
    <row r="5" ht="24" customHeight="1" spans="1:6" x14ac:dyDescent="0.25">
      <c r="A5" s="5" t="s">
        <v>93</v>
      </c>
      <c r="B5" s="5"/>
      <c r="C5" s="5"/>
      <c r="D5" s="5"/>
      <c r="E5" s="5"/>
      <c r="F5" s="5"/>
    </row>
    <row r="6" spans="1:6" x14ac:dyDescent="0.25">
      <c r="A6" s="6" t="s">
        <v>94</v>
      </c>
      <c r="B6" s="15">
        <f>ROUND(Assumptions!$B$17*250,0)</f>
        <v>3750</v>
      </c>
      <c r="C6" s="15">
        <f>ROUND(Assumptions!$C$17*250*(1+Assumptions!$B$21)^1,0)</f>
        <v>5638</v>
      </c>
      <c r="D6" s="15">
        <f>ROUND(Assumptions!$D$17*250*(1+Assumptions!$B$21)^2,0)</f>
        <v>7880</v>
      </c>
      <c r="E6" s="15">
        <f>ROUND(Assumptions!$E$17*250*(1+Assumptions!$B$21)^3,0)</f>
        <v>9692</v>
      </c>
      <c r="F6" s="15">
        <f>ROUND(Assumptions!$F$17*250*(1+Assumptions!$B$21)^4,0)</f>
        <v>11038</v>
      </c>
    </row>
    <row r="7" ht="24" customHeight="1" spans="1:6" x14ac:dyDescent="0.25">
      <c r="A7" s="5" t="s">
        <v>95</v>
      </c>
      <c r="B7" s="16">
        <f>SUM(B6:B6)</f>
        <v>3750</v>
      </c>
      <c r="C7" s="16">
        <f>SUM(C6:C6)</f>
        <v>5638</v>
      </c>
      <c r="D7" s="16">
        <f>SUM(D6:D6)</f>
        <v>7880</v>
      </c>
      <c r="E7" s="16">
        <f>SUM(E6:E6)</f>
        <v>9692</v>
      </c>
      <c r="F7" s="16">
        <f>SUM(F6:F6)</f>
        <v>11038</v>
      </c>
    </row>
    <row r="8" ht="24" customHeight="1" spans="1:6" x14ac:dyDescent="0.25">
      <c r="A8" s="5" t="s">
        <v>96</v>
      </c>
      <c r="B8" s="5"/>
      <c r="C8" s="5"/>
      <c r="D8" s="5"/>
      <c r="E8" s="5"/>
      <c r="F8" s="5"/>
    </row>
    <row r="9" ht="24" customHeight="1" spans="1:6" x14ac:dyDescent="0.25">
      <c r="A9" s="5" t="s">
        <v>97</v>
      </c>
      <c r="B9" s="16">
        <v>0</v>
      </c>
      <c r="C9" s="16">
        <v>0</v>
      </c>
      <c r="D9" s="16">
        <v>0</v>
      </c>
      <c r="E9" s="16">
        <v>0</v>
      </c>
      <c r="F9" s="16">
        <v>0</v>
      </c>
    </row>
    <row r="11" ht="24" customHeight="1" spans="1:6" x14ac:dyDescent="0.25">
      <c r="A11" s="5" t="s">
        <v>98</v>
      </c>
      <c r="B11" s="16">
        <f>B4+B7+B9</f>
        <v>9750</v>
      </c>
      <c r="C11" s="16">
        <f>C4+C7+C9</f>
        <v>14658</v>
      </c>
      <c r="D11" s="16">
        <f>D4+D7+D9</f>
        <v>20487</v>
      </c>
      <c r="E11" s="16">
        <f>E4+E7+E9</f>
        <v>25199</v>
      </c>
      <c r="F11" s="16">
        <f>F4+F7+F9</f>
        <v>28699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99</v>
      </c>
      <c r="B2" s="5"/>
      <c r="C2" s="5"/>
      <c r="D2" s="5"/>
      <c r="E2" s="5"/>
      <c r="F2" s="5"/>
    </row>
    <row r="3" spans="1:6" x14ac:dyDescent="0.25">
      <c r="A3" s="6" t="s">
        <v>100</v>
      </c>
      <c r="B3" s="15">
        <v>21600</v>
      </c>
      <c r="C3" s="15">
        <v>22248</v>
      </c>
      <c r="D3" s="15">
        <v>22915</v>
      </c>
      <c r="E3" s="15">
        <v>23603</v>
      </c>
      <c r="F3" s="15">
        <v>24311</v>
      </c>
    </row>
    <row r="4" spans="1:6" x14ac:dyDescent="0.25">
      <c r="A4" s="6" t="s">
        <v>101</v>
      </c>
      <c r="B4" s="15">
        <v>2400</v>
      </c>
      <c r="C4" s="15">
        <v>2460</v>
      </c>
      <c r="D4" s="15">
        <v>2521</v>
      </c>
      <c r="E4" s="15">
        <v>2585</v>
      </c>
      <c r="F4" s="15">
        <v>2649</v>
      </c>
    </row>
    <row r="5" spans="1:6" x14ac:dyDescent="0.25">
      <c r="A5" s="6" t="s">
        <v>102</v>
      </c>
      <c r="B5" s="15">
        <v>1800</v>
      </c>
      <c r="C5" s="15">
        <v>1845</v>
      </c>
      <c r="D5" s="15">
        <v>1891</v>
      </c>
      <c r="E5" s="15">
        <v>1938</v>
      </c>
      <c r="F5" s="15">
        <v>1987</v>
      </c>
    </row>
    <row r="6" ht="24" customHeight="1" spans="1:6" x14ac:dyDescent="0.25">
      <c r="A6" s="5" t="s">
        <v>103</v>
      </c>
      <c r="B6" s="16">
        <f>SUM(B3:B5)</f>
        <v>25800</v>
      </c>
      <c r="C6" s="16">
        <f>SUM(C3:C5)</f>
        <v>26553</v>
      </c>
      <c r="D6" s="16">
        <f>SUM(D3:D5)</f>
        <v>27327</v>
      </c>
      <c r="E6" s="16">
        <f>SUM(E3:E5)</f>
        <v>28126</v>
      </c>
      <c r="F6" s="16">
        <f>SUM(F3:F5)</f>
        <v>28947</v>
      </c>
    </row>
    <row r="8" spans="1:6" x14ac:dyDescent="0.25">
      <c r="A8" s="6" t="s">
        <v>104</v>
      </c>
      <c r="B8" s="15">
        <v>1720</v>
      </c>
      <c r="C8" s="15">
        <v>1207</v>
      </c>
      <c r="D8" s="15">
        <v>911</v>
      </c>
      <c r="E8" s="15">
        <v>781</v>
      </c>
      <c r="F8" s="15">
        <v>724</v>
      </c>
    </row>
    <row r="9" spans="1:6" x14ac:dyDescent="0.25">
      <c r="A9" s="6" t="s">
        <v>105</v>
      </c>
      <c r="B9" s="14">
        <v>0.15402985074626865</v>
      </c>
      <c r="C9" s="14">
        <v>0.08763944814839263</v>
      </c>
      <c r="D9" s="14">
        <v>0.06434220563652203</v>
      </c>
      <c r="E9" s="14">
        <v>0.05371833115283242</v>
      </c>
      <c r="F9" s="14">
        <v>0.04838694242548977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106</v>
      </c>
      <c r="B1" s="1"/>
    </row>
    <row r="3" ht="24" customHeight="1" spans="1:2" x14ac:dyDescent="0.25">
      <c r="A3" s="5" t="s">
        <v>107</v>
      </c>
      <c r="B3" s="5"/>
    </row>
    <row r="4" spans="1:2" x14ac:dyDescent="0.25">
      <c r="A4" s="6" t="s">
        <v>108</v>
      </c>
      <c r="B4" s="22">
        <v>0</v>
      </c>
    </row>
    <row r="5" ht="24" customHeight="1" spans="1:2" x14ac:dyDescent="0.25">
      <c r="A5" s="5" t="s">
        <v>109</v>
      </c>
      <c r="B5" s="23" t="str">
        <f>SUM(B4:B4)</f>
        <v>0</v>
      </c>
    </row>
    <row r="7" ht="24" customHeight="1" spans="1:2" x14ac:dyDescent="0.25">
      <c r="A7" s="5" t="s">
        <v>110</v>
      </c>
      <c r="B7" s="5"/>
    </row>
    <row r="8" spans="1:2" x14ac:dyDescent="0.25">
      <c r="A8" s="6" t="s">
        <v>111</v>
      </c>
      <c r="B8" s="22">
        <v>4300</v>
      </c>
    </row>
    <row r="9" spans="1:2" x14ac:dyDescent="0.25">
      <c r="A9" s="6" t="s">
        <v>112</v>
      </c>
      <c r="B9" s="22">
        <v>1875</v>
      </c>
    </row>
    <row r="10" spans="1:2" x14ac:dyDescent="0.25">
      <c r="A10" s="6" t="s">
        <v>113</v>
      </c>
      <c r="B10" s="22">
        <v>6000</v>
      </c>
    </row>
    <row r="11" spans="1:2" x14ac:dyDescent="0.25">
      <c r="A11" s="6" t="s">
        <v>114</v>
      </c>
      <c r="B11" s="22">
        <v>15690</v>
      </c>
    </row>
    <row r="12" spans="1:2" x14ac:dyDescent="0.25">
      <c r="A12" s="6" t="s">
        <v>115</v>
      </c>
      <c r="B12" s="22">
        <v>1393</v>
      </c>
    </row>
    <row r="13" ht="24" customHeight="1" spans="1:2" x14ac:dyDescent="0.25">
      <c r="A13" s="5" t="s">
        <v>116</v>
      </c>
      <c r="B13" s="23">
        <f>SUM(B8:B12)</f>
        <v>29258</v>
      </c>
    </row>
    <row r="15" spans="1:2" x14ac:dyDescent="0.25">
      <c r="A15" s="7" t="s">
        <v>117</v>
      </c>
      <c r="B15" s="24">
        <f>B5-B13</f>
        <v>-29258</v>
      </c>
    </row>
    <row r="16" spans="1:1" x14ac:dyDescent="0.25">
      <c r="A16" s="25" t="s">
        <v>118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119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120</v>
      </c>
      <c r="B3" s="8" t="s">
        <v>121</v>
      </c>
      <c r="C3" s="8" t="s">
        <v>122</v>
      </c>
      <c r="D3" s="8" t="s">
        <v>123</v>
      </c>
      <c r="E3" s="8" t="s">
        <v>124</v>
      </c>
      <c r="F3" s="8" t="s">
        <v>125</v>
      </c>
      <c r="G3" s="8" t="s">
        <v>126</v>
      </c>
    </row>
    <row r="4" spans="1:1" x14ac:dyDescent="0.25">
      <c r="A4" s="6" t="s">
        <v>127</v>
      </c>
    </row>
    <row r="6" ht="24" customHeight="1" spans="1:7" x14ac:dyDescent="0.25">
      <c r="A6" s="5" t="s">
        <v>128</v>
      </c>
      <c r="B6" s="5"/>
      <c r="C6" s="5"/>
      <c r="D6" s="5"/>
      <c r="E6" s="5"/>
      <c r="F6" s="5"/>
      <c r="G6" s="5"/>
    </row>
    <row r="7" spans="1:2" x14ac:dyDescent="0.25">
      <c r="A7" s="7" t="s">
        <v>129</v>
      </c>
      <c r="B7" s="18">
        <v>0</v>
      </c>
    </row>
    <row r="8" spans="1:2" x14ac:dyDescent="0.25">
      <c r="A8" s="6" t="s">
        <v>130</v>
      </c>
      <c r="B8" s="19">
        <v>0</v>
      </c>
    </row>
    <row r="10" ht="24" customHeight="1" spans="1:7" x14ac:dyDescent="0.25">
      <c r="A10" s="5" t="s">
        <v>131</v>
      </c>
      <c r="B10" s="5"/>
      <c r="C10" s="5"/>
      <c r="D10" s="5"/>
      <c r="E10" s="5"/>
      <c r="F10" s="5"/>
      <c r="G10" s="5"/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132</v>
      </c>
      <c r="D1" s="8" t="s">
        <v>133</v>
      </c>
      <c r="E1" s="8" t="s">
        <v>134</v>
      </c>
      <c r="F1" s="8" t="s">
        <v>135</v>
      </c>
      <c r="G1" s="8" t="s">
        <v>136</v>
      </c>
      <c r="H1" s="8" t="s">
        <v>137</v>
      </c>
      <c r="I1" s="8" t="s">
        <v>138</v>
      </c>
      <c r="J1" s="8" t="s">
        <v>139</v>
      </c>
      <c r="K1" s="8" t="s">
        <v>140</v>
      </c>
      <c r="L1" s="8" t="s">
        <v>141</v>
      </c>
      <c r="M1" s="8" t="s">
        <v>142</v>
      </c>
      <c r="N1" s="8" t="s">
        <v>143</v>
      </c>
    </row>
    <row r="2" spans="1:14" x14ac:dyDescent="0.25">
      <c r="A2" s="7" t="s">
        <v>144</v>
      </c>
      <c r="B2" s="15">
        <v>103800</v>
      </c>
      <c r="C2" s="15">
        <v>10800</v>
      </c>
      <c r="D2" s="15">
        <v>10800</v>
      </c>
      <c r="E2" s="15">
        <v>10800</v>
      </c>
      <c r="F2" s="15">
        <v>10800</v>
      </c>
      <c r="G2" s="15">
        <v>10800</v>
      </c>
      <c r="H2" s="15">
        <v>10800</v>
      </c>
      <c r="I2" s="15">
        <v>10800</v>
      </c>
      <c r="J2" s="15">
        <v>10800</v>
      </c>
      <c r="K2" s="15">
        <v>-22700</v>
      </c>
      <c r="L2" s="15">
        <v>0</v>
      </c>
      <c r="M2" s="15">
        <v>0</v>
      </c>
      <c r="N2" s="26">
        <f>SUM(B2:M2)</f>
        <v>167500</v>
      </c>
    </row>
    <row r="3" spans="1:14" x14ac:dyDescent="0.25">
      <c r="A3" s="6" t="s">
        <v>145</v>
      </c>
      <c r="B3" s="15">
        <v>6452</v>
      </c>
      <c r="C3" s="15">
        <v>6452</v>
      </c>
      <c r="D3" s="15">
        <v>6452</v>
      </c>
      <c r="E3" s="15">
        <v>6452</v>
      </c>
      <c r="F3" s="15">
        <v>6452</v>
      </c>
      <c r="G3" s="15">
        <v>6452</v>
      </c>
      <c r="H3" s="15">
        <v>6452</v>
      </c>
      <c r="I3" s="15">
        <v>6452</v>
      </c>
      <c r="J3" s="15">
        <v>6452</v>
      </c>
      <c r="K3" s="15">
        <v>6448</v>
      </c>
      <c r="L3" s="15">
        <v>0</v>
      </c>
      <c r="M3" s="15">
        <v>0</v>
      </c>
      <c r="N3" s="15">
        <f>SUM(B3:M3)</f>
        <v>64516</v>
      </c>
    </row>
    <row r="4" spans="1:14" x14ac:dyDescent="0.25">
      <c r="A4" s="6" t="s">
        <v>146</v>
      </c>
      <c r="B4" s="15">
        <v>2963</v>
      </c>
      <c r="C4" s="15">
        <v>2963</v>
      </c>
      <c r="D4" s="15">
        <v>2963</v>
      </c>
      <c r="E4" s="15">
        <v>2963</v>
      </c>
      <c r="F4" s="15">
        <v>2963</v>
      </c>
      <c r="G4" s="15">
        <v>2963</v>
      </c>
      <c r="H4" s="15">
        <v>2963</v>
      </c>
      <c r="I4" s="15">
        <v>2963</v>
      </c>
      <c r="J4" s="15">
        <v>2963</v>
      </c>
      <c r="K4" s="15">
        <v>2958</v>
      </c>
      <c r="L4" s="15">
        <v>0</v>
      </c>
      <c r="M4" s="15">
        <v>0</v>
      </c>
      <c r="N4" s="15">
        <f>SUM(B4:M4)</f>
        <v>29625</v>
      </c>
    </row>
    <row r="5" spans="1:14" x14ac:dyDescent="0.25">
      <c r="A5" s="6" t="s">
        <v>147</v>
      </c>
      <c r="B5" s="15">
        <v>0</v>
      </c>
      <c r="C5" s="15">
        <v>0</v>
      </c>
      <c r="D5" s="15">
        <v>0</v>
      </c>
      <c r="E5" s="15">
        <v>0</v>
      </c>
      <c r="F5" s="15">
        <v>0</v>
      </c>
      <c r="G5" s="15">
        <v>0</v>
      </c>
      <c r="H5" s="15">
        <v>0</v>
      </c>
      <c r="I5" s="15">
        <v>0</v>
      </c>
      <c r="J5" s="15">
        <v>0</v>
      </c>
      <c r="K5" s="15">
        <v>0</v>
      </c>
      <c r="L5" s="15">
        <v>0</v>
      </c>
      <c r="M5" s="15">
        <v>0</v>
      </c>
      <c r="N5" s="15" t="str">
        <f>SUM(B5:M5)</f>
        <v>0</v>
      </c>
    </row>
    <row r="6" ht="24" customHeight="1" spans="1:14" x14ac:dyDescent="0.25">
      <c r="A6" s="5" t="s">
        <v>148</v>
      </c>
      <c r="B6" s="23">
        <f>SUM(B3:B5)</f>
        <v>9415</v>
      </c>
      <c r="C6" s="23">
        <f>SUM(C3:C5)</f>
        <v>9415</v>
      </c>
      <c r="D6" s="23">
        <f>SUM(D3:D5)</f>
        <v>9415</v>
      </c>
      <c r="E6" s="23">
        <f>SUM(E3:E5)</f>
        <v>9415</v>
      </c>
      <c r="F6" s="23">
        <f>SUM(F3:F5)</f>
        <v>9415</v>
      </c>
      <c r="G6" s="23">
        <f>SUM(G3:G5)</f>
        <v>9415</v>
      </c>
      <c r="H6" s="23">
        <f>SUM(H3:H5)</f>
        <v>9415</v>
      </c>
      <c r="I6" s="23">
        <f>SUM(I3:I5)</f>
        <v>9415</v>
      </c>
      <c r="J6" s="23">
        <f>SUM(J3:J5)</f>
        <v>9415</v>
      </c>
      <c r="K6" s="23">
        <f>SUM(K3:K5)</f>
        <v>9406</v>
      </c>
      <c r="L6" s="23" t="str">
        <f>SUM(L3:L5)</f>
        <v>0</v>
      </c>
      <c r="M6" s="23" t="str">
        <f>SUM(M3:M5)</f>
        <v>0</v>
      </c>
      <c r="N6" s="23">
        <f>SUM(B6:M6)</f>
        <v>94141</v>
      </c>
    </row>
    <row r="7" spans="1:14" x14ac:dyDescent="0.25">
      <c r="A7" s="7" t="s">
        <v>149</v>
      </c>
      <c r="B7" s="26">
        <f>B2-B6</f>
        <v>94385</v>
      </c>
      <c r="C7" s="26">
        <f>C2-C6</f>
        <v>1385</v>
      </c>
      <c r="D7" s="26">
        <f>D2-D6</f>
        <v>1385</v>
      </c>
      <c r="E7" s="26">
        <f>E2-E6</f>
        <v>1385</v>
      </c>
      <c r="F7" s="26">
        <f>F2-F6</f>
        <v>1385</v>
      </c>
      <c r="G7" s="26">
        <f>G2-G6</f>
        <v>1385</v>
      </c>
      <c r="H7" s="26">
        <f>H2-H6</f>
        <v>1385</v>
      </c>
      <c r="I7" s="26">
        <f>I2-I6</f>
        <v>1385</v>
      </c>
      <c r="J7" s="26">
        <f>J2-J6</f>
        <v>1385</v>
      </c>
      <c r="K7" s="26">
        <f>K2-K6</f>
        <v>-32106</v>
      </c>
      <c r="L7" s="26" t="str">
        <f>L2-L6</f>
        <v>0</v>
      </c>
      <c r="M7" s="26" t="str">
        <f>M2-M6</f>
        <v>0</v>
      </c>
      <c r="N7" s="26">
        <f>SUM(B7:M7)</f>
        <v>73359</v>
      </c>
    </row>
    <row r="8" spans="1:14" x14ac:dyDescent="0.25">
      <c r="A8" s="7" t="s">
        <v>150</v>
      </c>
      <c r="B8" s="26">
        <f>0+B7</f>
        <v>94385</v>
      </c>
      <c r="C8" s="26">
        <f>B8+C7</f>
        <v>95770</v>
      </c>
      <c r="D8" s="26">
        <f>C8+D7</f>
        <v>97155</v>
      </c>
      <c r="E8" s="26">
        <f>D8+E7</f>
        <v>98540</v>
      </c>
      <c r="F8" s="26">
        <f>E8+F7</f>
        <v>99925</v>
      </c>
      <c r="G8" s="26">
        <f>F8+G7</f>
        <v>101310</v>
      </c>
      <c r="H8" s="26">
        <f>G8+H7</f>
        <v>102695</v>
      </c>
      <c r="I8" s="26">
        <f>H8+I7</f>
        <v>104080</v>
      </c>
      <c r="J8" s="26">
        <f>I8+J7</f>
        <v>105465</v>
      </c>
      <c r="K8" s="26">
        <f>J8+K7</f>
        <v>73359</v>
      </c>
      <c r="L8" s="26">
        <f>K8+L7</f>
        <v>73359</v>
      </c>
      <c r="M8" s="26">
        <f>L8+M7</f>
        <v>73359</v>
      </c>
      <c r="N8" s="26">
        <f>M8</f>
        <v>73359</v>
      </c>
    </row>
    <row r="10" ht="24" customHeight="1" spans="1:14" x14ac:dyDescent="0.25">
      <c r="A10" s="5" t="s">
        <v>151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152</v>
      </c>
      <c r="B11" s="19">
        <v>0</v>
      </c>
    </row>
    <row r="12" spans="1:2" x14ac:dyDescent="0.25">
      <c r="A12" s="6" t="s">
        <v>153</v>
      </c>
      <c r="B12" s="18">
        <f>M8</f>
        <v>73359</v>
      </c>
    </row>
    <row r="13" spans="1:2" x14ac:dyDescent="0.25">
      <c r="A13" s="6" t="s">
        <v>154</v>
      </c>
      <c r="B13" s="19">
        <f>MIN(B8:M8)</f>
        <v>73359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155</v>
      </c>
      <c r="B2" s="26">
        <f>'Tuition &amp; Funding Detail'!B14</f>
        <v>167500</v>
      </c>
      <c r="C2" s="26">
        <f>'Tuition &amp; Funding Detail'!C14</f>
        <v>302980</v>
      </c>
      <c r="D2" s="26">
        <f>'Tuition &amp; Funding Detail'!D14</f>
        <v>424730</v>
      </c>
      <c r="E2" s="26">
        <f>'Tuition &amp; Funding Detail'!E14</f>
        <v>523580</v>
      </c>
      <c r="F2" s="26">
        <f>'Tuition &amp; Funding Detail'!F14</f>
        <v>598240</v>
      </c>
    </row>
    <row r="3" spans="1:6" x14ac:dyDescent="0.25">
      <c r="A3" s="6" t="s">
        <v>145</v>
      </c>
      <c r="B3" s="15">
        <f>'Staffing Plan'!B21</f>
        <v>64516</v>
      </c>
      <c r="C3" s="15">
        <f>'Staffing Plan'!C21</f>
        <v>79742</v>
      </c>
      <c r="D3" s="15">
        <f>'Staffing Plan'!D21</f>
        <v>82134</v>
      </c>
      <c r="E3" s="15">
        <f>'Staffing Plan'!E21</f>
        <v>84598</v>
      </c>
      <c r="F3" s="15">
        <f>'Staffing Plan'!F21</f>
        <v>87136</v>
      </c>
    </row>
    <row r="4" spans="1:6" x14ac:dyDescent="0.25">
      <c r="A4" s="6" t="s">
        <v>146</v>
      </c>
      <c r="B4" s="15">
        <f>'Operating Expenses'!B11+'Facilities &amp; Occupancy'!B6</f>
        <v>29625</v>
      </c>
      <c r="C4" s="15">
        <f>'Operating Expenses'!C11+'Facilities &amp; Occupancy'!C6</f>
        <v>41211</v>
      </c>
      <c r="D4" s="15">
        <f>'Operating Expenses'!D11+'Facilities &amp; Occupancy'!D6</f>
        <v>47815</v>
      </c>
      <c r="E4" s="15">
        <f>'Operating Expenses'!E11+'Facilities &amp; Occupancy'!E6</f>
        <v>53325</v>
      </c>
      <c r="F4" s="15">
        <f>'Operating Expenses'!F11+'Facilities &amp; Occupancy'!F6</f>
        <v>57646</v>
      </c>
    </row>
    <row r="5" spans="1:6" x14ac:dyDescent="0.25">
      <c r="A5" s="6" t="s">
        <v>156</v>
      </c>
      <c r="B5" s="15">
        <v>0</v>
      </c>
      <c r="C5" s="15">
        <v>0</v>
      </c>
      <c r="D5" s="15">
        <v>0</v>
      </c>
      <c r="E5" s="15">
        <v>0</v>
      </c>
      <c r="F5" s="15">
        <v>0</v>
      </c>
    </row>
    <row r="6" ht="24" customHeight="1" spans="1:6" x14ac:dyDescent="0.25">
      <c r="A6" s="5" t="s">
        <v>148</v>
      </c>
      <c r="B6" s="27">
        <f>SUM(B3:B5)</f>
        <v>94141</v>
      </c>
      <c r="C6" s="27">
        <f>SUM(C3:C5)</f>
        <v>120953</v>
      </c>
      <c r="D6" s="27">
        <f>SUM(D3:D5)</f>
        <v>129949</v>
      </c>
      <c r="E6" s="27">
        <f>SUM(E3:E5)</f>
        <v>137923</v>
      </c>
      <c r="F6" s="27">
        <f>SUM(F3:F5)</f>
        <v>144782</v>
      </c>
    </row>
    <row r="7" spans="1:6" x14ac:dyDescent="0.25">
      <c r="A7" s="7" t="s">
        <v>157</v>
      </c>
      <c r="B7" s="28">
        <f>B2-B6</f>
        <v>73359</v>
      </c>
      <c r="C7" s="28">
        <f>C2-C6</f>
        <v>182027</v>
      </c>
      <c r="D7" s="28">
        <f>D2-D6</f>
        <v>294780</v>
      </c>
      <c r="E7" s="28">
        <f>E2-E6</f>
        <v>385657</v>
      </c>
      <c r="F7" s="28">
        <f>F2-F6</f>
        <v>453458</v>
      </c>
    </row>
    <row r="8" spans="1:6" x14ac:dyDescent="0.25">
      <c r="A8" s="6" t="s">
        <v>158</v>
      </c>
      <c r="B8" s="14">
        <f>IF(B2=0,0,B7/B2)</f>
        <v>0.44</v>
      </c>
      <c r="C8" s="14">
        <f>IF(C2=0,0,C7/C2)</f>
        <v>0.6</v>
      </c>
      <c r="D8" s="14">
        <f>IF(D2=0,0,D7/D2)</f>
        <v>0.69</v>
      </c>
      <c r="E8" s="14">
        <f>IF(E2=0,0,E7/E2)</f>
        <v>0.74</v>
      </c>
      <c r="F8" s="14">
        <f>IF(F2=0,0,F7/F2)</f>
        <v>0.76</v>
      </c>
    </row>
    <row r="9" spans="1:6" x14ac:dyDescent="0.25">
      <c r="A9" s="7" t="s">
        <v>159</v>
      </c>
      <c r="B9" s="26">
        <f>B7</f>
        <v>73359</v>
      </c>
      <c r="C9" s="26">
        <f>B9+C7</f>
        <v>255386</v>
      </c>
      <c r="D9" s="26">
        <f>C9+D7</f>
        <v>550166</v>
      </c>
      <c r="E9" s="26">
        <f>D9+E7</f>
        <v>935823</v>
      </c>
      <c r="F9" s="26">
        <f>E9+F7</f>
        <v>1389281</v>
      </c>
    </row>
    <row r="10" spans="1:6" x14ac:dyDescent="0.25">
      <c r="A10" s="7" t="s">
        <v>160</v>
      </c>
      <c r="B10" s="29" t="s">
        <v>161</v>
      </c>
      <c r="C10" s="30" t="s">
        <v>1</v>
      </c>
      <c r="D10" s="30" t="s">
        <v>1</v>
      </c>
      <c r="E10" s="30" t="s">
        <v>1</v>
      </c>
      <c r="F10" s="30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162</v>
      </c>
      <c r="B2" s="5"/>
      <c r="C2" s="5"/>
      <c r="D2" s="5"/>
      <c r="E2" s="5"/>
      <c r="F2" s="5"/>
    </row>
    <row r="3" spans="1:6" x14ac:dyDescent="0.25">
      <c r="A3" s="6" t="s">
        <v>163</v>
      </c>
      <c r="B3" s="15">
        <v>73359</v>
      </c>
      <c r="C3" s="15">
        <v>255386</v>
      </c>
      <c r="D3" s="15">
        <v>550166</v>
      </c>
      <c r="E3" s="15">
        <v>935823</v>
      </c>
      <c r="F3" s="15">
        <v>1389281</v>
      </c>
    </row>
    <row r="4" spans="1:6" x14ac:dyDescent="0.25">
      <c r="A4" s="6" t="s">
        <v>164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165</v>
      </c>
      <c r="B5" s="16">
        <f>SUM(B3:B4)</f>
        <v>73359</v>
      </c>
      <c r="C5" s="16">
        <f>SUM(C3:C4)</f>
        <v>255386</v>
      </c>
      <c r="D5" s="16">
        <f>SUM(D3:D4)</f>
        <v>550166</v>
      </c>
      <c r="E5" s="16">
        <f>SUM(E3:E4)</f>
        <v>935823</v>
      </c>
      <c r="F5" s="16">
        <f>SUM(F3:F4)</f>
        <v>1389281</v>
      </c>
    </row>
    <row r="7" ht="24" customHeight="1" spans="1:6" x14ac:dyDescent="0.25">
      <c r="A7" s="5" t="s">
        <v>166</v>
      </c>
      <c r="B7" s="5"/>
      <c r="C7" s="5"/>
      <c r="D7" s="5"/>
      <c r="E7" s="5"/>
      <c r="F7" s="5"/>
    </row>
    <row r="8" spans="1:6" x14ac:dyDescent="0.25">
      <c r="A8" s="6" t="s">
        <v>167</v>
      </c>
      <c r="B8" s="15">
        <v>0</v>
      </c>
      <c r="C8" s="15">
        <v>0</v>
      </c>
      <c r="D8" s="15">
        <v>0</v>
      </c>
      <c r="E8" s="15">
        <v>0</v>
      </c>
      <c r="F8" s="15">
        <v>0</v>
      </c>
    </row>
    <row r="9" spans="1:6" x14ac:dyDescent="0.25">
      <c r="A9" s="6" t="s">
        <v>168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169</v>
      </c>
      <c r="B10" s="16" t="str">
        <f>SUM(B8:B9)</f>
        <v>0</v>
      </c>
      <c r="C10" s="16" t="str">
        <f>SUM(C8:C9)</f>
        <v>0</v>
      </c>
      <c r="D10" s="16" t="str">
        <f>SUM(D8:D9)</f>
        <v>0</v>
      </c>
      <c r="E10" s="16" t="str">
        <f>SUM(E8:E9)</f>
        <v>0</v>
      </c>
      <c r="F10" s="16" t="str">
        <f>SUM(F8:F9)</f>
        <v>0</v>
      </c>
    </row>
    <row r="12" ht="24" customHeight="1" spans="1:6" x14ac:dyDescent="0.25">
      <c r="A12" s="5" t="s">
        <v>170</v>
      </c>
      <c r="B12" s="5"/>
      <c r="C12" s="5"/>
      <c r="D12" s="5"/>
      <c r="E12" s="5"/>
      <c r="F12" s="5"/>
    </row>
    <row r="13" spans="1:6" x14ac:dyDescent="0.25">
      <c r="A13" s="6" t="s">
        <v>171</v>
      </c>
      <c r="B13" s="15">
        <v>0</v>
      </c>
      <c r="C13" s="15">
        <v>73359</v>
      </c>
      <c r="D13" s="15">
        <v>255386</v>
      </c>
      <c r="E13" s="15">
        <v>550166</v>
      </c>
      <c r="F13" s="15">
        <v>935823</v>
      </c>
    </row>
    <row r="14" spans="1:6" x14ac:dyDescent="0.25">
      <c r="A14" s="6" t="s">
        <v>172</v>
      </c>
      <c r="B14" s="15">
        <v>73359</v>
      </c>
      <c r="C14" s="15">
        <v>182027</v>
      </c>
      <c r="D14" s="15">
        <v>294780</v>
      </c>
      <c r="E14" s="15">
        <v>385657</v>
      </c>
      <c r="F14" s="15">
        <v>453458</v>
      </c>
    </row>
    <row r="15" ht="24" customHeight="1" spans="1:6" x14ac:dyDescent="0.25">
      <c r="A15" s="5" t="s">
        <v>173</v>
      </c>
      <c r="B15" s="16">
        <f>B5-B10</f>
        <v>73359</v>
      </c>
      <c r="C15" s="16">
        <f>C5-C10</f>
        <v>255386</v>
      </c>
      <c r="D15" s="16">
        <f>D5-D10</f>
        <v>550166</v>
      </c>
      <c r="E15" s="16">
        <f>E5-E10</f>
        <v>935823</v>
      </c>
      <c r="F15" s="16">
        <f>F5-F10</f>
        <v>1389281</v>
      </c>
    </row>
    <row r="17" spans="1:6" x14ac:dyDescent="0.25">
      <c r="A17" s="7" t="s">
        <v>174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175</v>
      </c>
      <c r="B2" s="5"/>
      <c r="C2" s="5"/>
      <c r="D2" s="5"/>
      <c r="E2" s="5"/>
      <c r="F2" s="5"/>
    </row>
    <row r="3" spans="1:6" x14ac:dyDescent="0.25">
      <c r="A3" s="6" t="s">
        <v>176</v>
      </c>
      <c r="B3" s="15">
        <v>73359</v>
      </c>
      <c r="C3" s="15">
        <v>182027</v>
      </c>
      <c r="D3" s="15">
        <v>294781</v>
      </c>
      <c r="E3" s="15">
        <v>385657</v>
      </c>
      <c r="F3" s="15">
        <v>453458</v>
      </c>
    </row>
    <row r="4" spans="1:6" x14ac:dyDescent="0.25">
      <c r="A4" s="6" t="s">
        <v>129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spans="1:6" x14ac:dyDescent="0.25">
      <c r="A5" s="7" t="s">
        <v>177</v>
      </c>
      <c r="B5" s="31" t="s">
        <v>178</v>
      </c>
      <c r="C5" s="31" t="s">
        <v>178</v>
      </c>
      <c r="D5" s="31" t="s">
        <v>178</v>
      </c>
      <c r="E5" s="31" t="s">
        <v>178</v>
      </c>
      <c r="F5" s="31" t="s">
        <v>178</v>
      </c>
    </row>
    <row r="7" ht="24" customHeight="1" spans="1:6" x14ac:dyDescent="0.25">
      <c r="A7" s="5" t="s">
        <v>179</v>
      </c>
      <c r="B7" s="5"/>
      <c r="C7" s="5"/>
      <c r="D7" s="5"/>
      <c r="E7" s="5"/>
      <c r="F7" s="5"/>
    </row>
    <row r="8" spans="1:6" x14ac:dyDescent="0.25">
      <c r="A8" s="6" t="s">
        <v>180</v>
      </c>
      <c r="B8" s="15">
        <v>73359</v>
      </c>
      <c r="C8" s="15">
        <v>255386</v>
      </c>
      <c r="D8" s="15">
        <v>550166</v>
      </c>
      <c r="E8" s="15">
        <v>935823</v>
      </c>
      <c r="F8" s="15">
        <v>1389281</v>
      </c>
    </row>
    <row r="9" spans="1:6" x14ac:dyDescent="0.25">
      <c r="A9" s="6" t="s">
        <v>181</v>
      </c>
      <c r="B9" s="15">
        <v>7845</v>
      </c>
      <c r="C9" s="15">
        <v>10079</v>
      </c>
      <c r="D9" s="15">
        <v>10829</v>
      </c>
      <c r="E9" s="15">
        <v>11494</v>
      </c>
      <c r="F9" s="15">
        <v>12065</v>
      </c>
    </row>
    <row r="10" spans="1:6" x14ac:dyDescent="0.25">
      <c r="A10" s="7" t="s">
        <v>182</v>
      </c>
      <c r="B10" s="32">
        <f>IF(B9=0,0,B8/B9)</f>
        <v>9.35</v>
      </c>
      <c r="C10" s="32">
        <f>IF(C9=0,0,C8/C9)</f>
        <v>25.34</v>
      </c>
      <c r="D10" s="32">
        <f>IF(D9=0,0,D8/D9)</f>
        <v>50.8</v>
      </c>
      <c r="E10" s="32">
        <f>IF(E9=0,0,E8/E9)</f>
        <v>81.42</v>
      </c>
      <c r="F10" s="32">
        <f>IF(F9=0,0,F8/F9)</f>
        <v>115.15</v>
      </c>
    </row>
    <row r="11" spans="1:6" x14ac:dyDescent="0.25">
      <c r="A11" s="6" t="s">
        <v>183</v>
      </c>
      <c r="B11" s="33">
        <v>284</v>
      </c>
      <c r="C11" s="33">
        <v>771</v>
      </c>
      <c r="D11" s="33">
        <v>1545</v>
      </c>
      <c r="E11" s="33">
        <v>2477</v>
      </c>
      <c r="F11" s="33">
        <v>3502</v>
      </c>
    </row>
    <row r="13" ht="24" customHeight="1" spans="1:6" x14ac:dyDescent="0.25">
      <c r="A13" s="5" t="s">
        <v>184</v>
      </c>
      <c r="B13" s="5"/>
      <c r="C13" s="5"/>
      <c r="D13" s="5"/>
      <c r="E13" s="5"/>
      <c r="F13" s="5"/>
    </row>
    <row r="14" spans="1:6" x14ac:dyDescent="0.25">
      <c r="A14" s="6" t="s">
        <v>185</v>
      </c>
      <c r="B14" s="34" t="s">
        <v>178</v>
      </c>
      <c r="C14" s="34" t="s">
        <v>178</v>
      </c>
      <c r="D14" s="34" t="s">
        <v>178</v>
      </c>
      <c r="E14" s="34" t="s">
        <v>178</v>
      </c>
      <c r="F14" s="34" t="s">
        <v>178</v>
      </c>
    </row>
    <row r="15" spans="1:6" x14ac:dyDescent="0.25">
      <c r="A15" s="6" t="s">
        <v>186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187</v>
      </c>
      <c r="B16" s="35" t="s">
        <v>188</v>
      </c>
      <c r="C16" s="35" t="s">
        <v>188</v>
      </c>
      <c r="D16" s="35" t="s">
        <v>188</v>
      </c>
      <c r="E16" s="35" t="s">
        <v>188</v>
      </c>
      <c r="F16" s="35" t="s">
        <v>188</v>
      </c>
    </row>
    <row r="17" spans="1:6" x14ac:dyDescent="0.25">
      <c r="A17" s="6" t="s">
        <v>189</v>
      </c>
      <c r="B17" s="36" t="s">
        <v>190</v>
      </c>
      <c r="C17" s="36" t="s">
        <v>190</v>
      </c>
      <c r="D17" s="35" t="s">
        <v>188</v>
      </c>
      <c r="E17" s="35" t="s">
        <v>188</v>
      </c>
      <c r="F17" s="35" t="s">
        <v>188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191</v>
      </c>
      <c r="B1" s="37"/>
      <c r="C1" s="37"/>
    </row>
    <row r="2" spans="1:3" x14ac:dyDescent="0.25">
      <c r="A2" s="38" t="s">
        <v>192</v>
      </c>
      <c r="B2" s="38"/>
      <c r="C2" s="38"/>
    </row>
    <row r="4" ht="24" customHeight="1" spans="1:3" x14ac:dyDescent="0.25">
      <c r="A4" s="5" t="s">
        <v>193</v>
      </c>
      <c r="B4" s="5"/>
      <c r="C4" s="5"/>
    </row>
    <row r="5" spans="1:3" x14ac:dyDescent="0.25">
      <c r="A5" s="6" t="s">
        <v>194</v>
      </c>
      <c r="B5" s="35" t="s">
        <v>188</v>
      </c>
      <c r="C5" s="6" t="s">
        <v>195</v>
      </c>
    </row>
    <row r="6" spans="1:3" x14ac:dyDescent="0.25">
      <c r="A6" s="6" t="s">
        <v>196</v>
      </c>
      <c r="B6" s="35" t="s">
        <v>188</v>
      </c>
      <c r="C6" s="6" t="s">
        <v>197</v>
      </c>
    </row>
    <row r="7" spans="1:3" x14ac:dyDescent="0.25">
      <c r="A7" s="6" t="s">
        <v>198</v>
      </c>
      <c r="B7" s="35" t="s">
        <v>188</v>
      </c>
      <c r="C7" s="6" t="s">
        <v>35</v>
      </c>
    </row>
    <row r="8" spans="1:3" x14ac:dyDescent="0.25">
      <c r="A8" s="6" t="s">
        <v>199</v>
      </c>
      <c r="B8" s="36" t="s">
        <v>190</v>
      </c>
      <c r="C8" s="6" t="s">
        <v>200</v>
      </c>
    </row>
    <row r="9" spans="1:3" x14ac:dyDescent="0.25">
      <c r="A9" s="6" t="s">
        <v>201</v>
      </c>
      <c r="B9" s="35" t="s">
        <v>188</v>
      </c>
      <c r="C9" s="6" t="s">
        <v>197</v>
      </c>
    </row>
    <row r="11" ht="24" customHeight="1" spans="1:3" x14ac:dyDescent="0.25">
      <c r="A11" s="5" t="s">
        <v>202</v>
      </c>
      <c r="B11" s="5"/>
      <c r="C11" s="5"/>
    </row>
    <row r="12" spans="1:2" x14ac:dyDescent="0.25">
      <c r="A12" s="6" t="s">
        <v>203</v>
      </c>
      <c r="B12" s="7" t="s">
        <v>204</v>
      </c>
    </row>
    <row r="13" spans="1:2" x14ac:dyDescent="0.25">
      <c r="A13" s="6" t="s">
        <v>205</v>
      </c>
      <c r="B13" s="39" t="s">
        <v>206</v>
      </c>
    </row>
    <row r="15" ht="24" customHeight="1" spans="1:3" x14ac:dyDescent="0.25">
      <c r="A15" s="5" t="s">
        <v>207</v>
      </c>
      <c r="B15" s="5"/>
      <c r="C15" s="5"/>
    </row>
    <row r="16" spans="1:2" x14ac:dyDescent="0.25">
      <c r="A16" s="6" t="s">
        <v>208</v>
      </c>
      <c r="B16" s="18">
        <v>167500</v>
      </c>
    </row>
    <row r="17" spans="1:2" x14ac:dyDescent="0.25">
      <c r="A17" s="6" t="s">
        <v>209</v>
      </c>
      <c r="B17" s="18">
        <v>94141</v>
      </c>
    </row>
    <row r="18" spans="1:2" x14ac:dyDescent="0.25">
      <c r="A18" s="6" t="s">
        <v>210</v>
      </c>
      <c r="B18" s="18">
        <v>73359</v>
      </c>
    </row>
    <row r="19" spans="1:2" x14ac:dyDescent="0.25">
      <c r="A19" s="6" t="s">
        <v>211</v>
      </c>
      <c r="B19" s="40">
        <v>0.4379641791044776</v>
      </c>
    </row>
    <row r="20" spans="1:2" x14ac:dyDescent="0.25">
      <c r="A20" s="6" t="s">
        <v>152</v>
      </c>
      <c r="B20" s="18">
        <v>0</v>
      </c>
    </row>
    <row r="21" spans="1:2" x14ac:dyDescent="0.25">
      <c r="A21" s="6" t="s">
        <v>212</v>
      </c>
      <c r="B21" s="18">
        <v>73359</v>
      </c>
    </row>
    <row r="22" spans="1:2" x14ac:dyDescent="0.25">
      <c r="A22" s="6" t="s">
        <v>213</v>
      </c>
      <c r="B22" s="18">
        <v>0</v>
      </c>
    </row>
    <row r="23" spans="1:2" x14ac:dyDescent="0.25">
      <c r="A23" s="6" t="s">
        <v>214</v>
      </c>
      <c r="B23" s="7" t="s">
        <v>178</v>
      </c>
    </row>
    <row r="24" spans="1:2" x14ac:dyDescent="0.25">
      <c r="A24" s="6" t="s">
        <v>215</v>
      </c>
      <c r="B24" s="7" t="s">
        <v>216</v>
      </c>
    </row>
    <row r="25" spans="1:2" x14ac:dyDescent="0.25">
      <c r="A25" s="6" t="s">
        <v>217</v>
      </c>
      <c r="B25" s="7" t="s">
        <v>35</v>
      </c>
    </row>
    <row r="26" spans="1:2" x14ac:dyDescent="0.25">
      <c r="A26" s="6" t="s">
        <v>218</v>
      </c>
      <c r="B26" s="18">
        <v>11167</v>
      </c>
    </row>
    <row r="27" spans="1:2" x14ac:dyDescent="0.25">
      <c r="A27" s="6" t="s">
        <v>219</v>
      </c>
      <c r="B27" s="18">
        <v>6276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220</v>
      </c>
      <c r="B2" s="41"/>
      <c r="C2" s="41"/>
      <c r="D2" s="41"/>
      <c r="E2" s="41"/>
      <c r="F2" s="41"/>
    </row>
    <row r="3" ht="18" customHeight="1" spans="1:6" x14ac:dyDescent="0.25">
      <c r="A3" s="42" t="s">
        <v>221</v>
      </c>
      <c r="B3" s="42"/>
      <c r="C3" s="42"/>
      <c r="D3" s="42"/>
      <c r="E3" s="42"/>
      <c r="F3" s="42"/>
    </row>
    <row r="4" ht="16" customHeight="1" spans="1:6" x14ac:dyDescent="0.25">
      <c r="A4" s="43" t="s">
        <v>222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3">
        <f>Assumptions!$B$17</f>
        <v>15</v>
      </c>
      <c r="C7" s="33">
        <f>Assumptions!$C$17</f>
        <v>22</v>
      </c>
      <c r="D7" s="33">
        <f>Assumptions!$D$17</f>
        <v>30</v>
      </c>
      <c r="E7" s="33">
        <f>Assumptions!$E$17</f>
        <v>36</v>
      </c>
      <c r="F7" s="33">
        <f>Assumptions!$F$17</f>
        <v>40</v>
      </c>
    </row>
    <row r="8" spans="1:6" x14ac:dyDescent="0.25">
      <c r="A8" s="7" t="s">
        <v>155</v>
      </c>
      <c r="B8" s="26">
        <f>'5-Year P&amp;L'!B2</f>
        <v>167500</v>
      </c>
      <c r="C8" s="26">
        <f>'5-Year P&amp;L'!C2</f>
        <v>302980</v>
      </c>
      <c r="D8" s="26">
        <f>'5-Year P&amp;L'!D2</f>
        <v>424730</v>
      </c>
      <c r="E8" s="26">
        <f>'5-Year P&amp;L'!E2</f>
        <v>523580</v>
      </c>
      <c r="F8" s="26">
        <f>'5-Year P&amp;L'!F2</f>
        <v>598240</v>
      </c>
    </row>
    <row r="9" spans="1:6" x14ac:dyDescent="0.25">
      <c r="A9" s="6" t="s">
        <v>148</v>
      </c>
      <c r="B9" s="15">
        <f>'5-Year P&amp;L'!B6</f>
        <v>94141</v>
      </c>
      <c r="C9" s="15">
        <f>'5-Year P&amp;L'!C6</f>
        <v>120953</v>
      </c>
      <c r="D9" s="15">
        <f>'5-Year P&amp;L'!D6</f>
        <v>129949</v>
      </c>
      <c r="E9" s="15">
        <f>'5-Year P&amp;L'!E6</f>
        <v>137923</v>
      </c>
      <c r="F9" s="15">
        <f>'5-Year P&amp;L'!F6</f>
        <v>144782</v>
      </c>
    </row>
    <row r="10" ht="24" customHeight="1" spans="1:6" x14ac:dyDescent="0.25">
      <c r="A10" s="5" t="s">
        <v>157</v>
      </c>
      <c r="B10" s="23">
        <f>'5-Year P&amp;L'!B7</f>
        <v>73359</v>
      </c>
      <c r="C10" s="23">
        <f>'5-Year P&amp;L'!C7</f>
        <v>182027</v>
      </c>
      <c r="D10" s="23">
        <f>'5-Year P&amp;L'!D7</f>
        <v>294780</v>
      </c>
      <c r="E10" s="23">
        <f>'5-Year P&amp;L'!E7</f>
        <v>385657</v>
      </c>
      <c r="F10" s="23">
        <f>'5-Year P&amp;L'!F7</f>
        <v>453458</v>
      </c>
    </row>
    <row r="11" spans="1:6" x14ac:dyDescent="0.25">
      <c r="A11" s="6" t="s">
        <v>158</v>
      </c>
      <c r="B11" s="14">
        <f>IF(B8=0,0,B10/B8)</f>
        <v>0.44</v>
      </c>
      <c r="C11" s="14">
        <f>IF(C8=0,0,C10/C8)</f>
        <v>0.6</v>
      </c>
      <c r="D11" s="14">
        <f>IF(D8=0,0,D10/D8)</f>
        <v>0.69</v>
      </c>
      <c r="E11" s="14">
        <f>IF(E8=0,0,E10/E8)</f>
        <v>0.74</v>
      </c>
      <c r="F11" s="14">
        <f>IF(F8=0,0,F10/F8)</f>
        <v>0.76</v>
      </c>
    </row>
    <row r="12" spans="1:6" x14ac:dyDescent="0.25">
      <c r="A12" s="7" t="s">
        <v>159</v>
      </c>
      <c r="B12" s="26">
        <f>B10</f>
        <v>73359</v>
      </c>
      <c r="C12" s="26">
        <f>B12+C10</f>
        <v>255386</v>
      </c>
      <c r="D12" s="26">
        <f>C12+D10</f>
        <v>550166</v>
      </c>
      <c r="E12" s="26">
        <f>D12+E10</f>
        <v>935823</v>
      </c>
      <c r="F12" s="26">
        <f>E12+F10</f>
        <v>1389281</v>
      </c>
    </row>
    <row r="13" spans="1:6" x14ac:dyDescent="0.25">
      <c r="A13" s="7" t="s">
        <v>223</v>
      </c>
      <c r="B13" s="26">
        <v>73359</v>
      </c>
      <c r="C13" s="26">
        <v>255386</v>
      </c>
      <c r="D13" s="26">
        <v>550166</v>
      </c>
      <c r="E13" s="26">
        <v>935823</v>
      </c>
      <c r="F13" s="26">
        <v>1389281</v>
      </c>
    </row>
    <row r="14" spans="1:6" x14ac:dyDescent="0.25">
      <c r="A14" s="6" t="s">
        <v>224</v>
      </c>
      <c r="B14" s="15">
        <v>11167</v>
      </c>
      <c r="C14" s="15">
        <v>13772</v>
      </c>
      <c r="D14" s="15">
        <v>14158</v>
      </c>
      <c r="E14" s="15">
        <v>14544</v>
      </c>
      <c r="F14" s="15">
        <v>14956</v>
      </c>
    </row>
    <row r="15" spans="1:6" x14ac:dyDescent="0.25">
      <c r="A15" s="6" t="s">
        <v>104</v>
      </c>
      <c r="B15" s="15">
        <v>6276</v>
      </c>
      <c r="C15" s="15">
        <v>5498</v>
      </c>
      <c r="D15" s="15">
        <v>4332</v>
      </c>
      <c r="E15" s="15">
        <v>3831</v>
      </c>
      <c r="F15" s="15">
        <v>3620</v>
      </c>
    </row>
    <row r="17" spans="1:6" x14ac:dyDescent="0.25">
      <c r="A17" s="43" t="s">
        <v>225</v>
      </c>
      <c r="B17" s="43"/>
      <c r="C17" s="43"/>
      <c r="D17" s="43"/>
      <c r="E17" s="43"/>
      <c r="F17" s="43"/>
    </row>
  </sheetData>
  <mergeCells count="5">
    <mergeCell ref="A1:F1"/>
    <mergeCell ref="A2:F2"/>
    <mergeCell ref="A3:F3"/>
    <mergeCell ref="A4:F4"/>
    <mergeCell ref="A17:F17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226</v>
      </c>
      <c r="C3" s="44"/>
    </row>
    <row r="4" ht="28" customHeight="1" spans="2:3" x14ac:dyDescent="0.25">
      <c r="B4" s="45" t="s">
        <v>227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228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229</v>
      </c>
      <c r="C10" s="49"/>
    </row>
    <row r="12" spans="2:3" x14ac:dyDescent="0.25">
      <c r="B12" s="47" t="s">
        <v>230</v>
      </c>
      <c r="C12" s="50" t="s">
        <v>231</v>
      </c>
    </row>
    <row r="15" ht="24" customHeight="1" spans="1:3" x14ac:dyDescent="0.25">
      <c r="A15" s="5"/>
      <c r="B15" s="5" t="s">
        <v>232</v>
      </c>
      <c r="C15" s="5"/>
    </row>
    <row r="16" spans="2:3" x14ac:dyDescent="0.25">
      <c r="B16" s="13" t="s">
        <v>233</v>
      </c>
      <c r="C16" s="26">
        <v>598240</v>
      </c>
    </row>
    <row r="17" spans="2:3" x14ac:dyDescent="0.25">
      <c r="B17" s="13" t="s">
        <v>234</v>
      </c>
      <c r="C17" s="26">
        <v>453458</v>
      </c>
    </row>
    <row r="18" spans="2:3" x14ac:dyDescent="0.25">
      <c r="B18" s="13" t="s">
        <v>180</v>
      </c>
      <c r="C18" s="26">
        <v>1389281</v>
      </c>
    </row>
    <row r="19" spans="2:3" x14ac:dyDescent="0.25">
      <c r="B19" s="13" t="s">
        <v>205</v>
      </c>
      <c r="C19" s="51" t="s">
        <v>235</v>
      </c>
    </row>
    <row r="22" ht="24" customHeight="1" spans="1:3" x14ac:dyDescent="0.25">
      <c r="A22" s="5"/>
      <c r="B22" s="5" t="s">
        <v>236</v>
      </c>
      <c r="C22" s="5"/>
    </row>
    <row r="23" spans="2:3" x14ac:dyDescent="0.25">
      <c r="B23" s="52" t="s">
        <v>237</v>
      </c>
      <c r="C23" s="53"/>
    </row>
    <row r="24" spans="2:3" x14ac:dyDescent="0.25">
      <c r="B24" s="52" t="s">
        <v>238</v>
      </c>
      <c r="C24" s="53"/>
    </row>
    <row r="25" spans="2:3" x14ac:dyDescent="0.25">
      <c r="B25" s="52" t="s">
        <v>239</v>
      </c>
      <c r="C25" s="53"/>
    </row>
    <row r="26" spans="2:3" x14ac:dyDescent="0.25">
      <c r="B26" s="52" t="s">
        <v>240</v>
      </c>
      <c r="C26" s="53"/>
    </row>
    <row r="27" spans="2:3" x14ac:dyDescent="0.25">
      <c r="B27" s="52" t="s">
        <v>146</v>
      </c>
      <c r="C27" s="53"/>
    </row>
    <row r="28" spans="2:3" x14ac:dyDescent="0.25">
      <c r="B28" s="52" t="s">
        <v>241</v>
      </c>
      <c r="C28" s="53"/>
    </row>
    <row r="29" spans="2:3" x14ac:dyDescent="0.25">
      <c r="B29" s="52" t="s">
        <v>242</v>
      </c>
      <c r="C29" s="53"/>
    </row>
    <row r="30" spans="2:3" x14ac:dyDescent="0.25">
      <c r="B30" s="52" t="s">
        <v>243</v>
      </c>
      <c r="C30" s="53"/>
    </row>
    <row r="31" spans="2:3" x14ac:dyDescent="0.25">
      <c r="B31" s="52" t="s">
        <v>244</v>
      </c>
      <c r="C31" s="53"/>
    </row>
    <row r="32" spans="2:3" x14ac:dyDescent="0.25">
      <c r="B32" s="52" t="s">
        <v>245</v>
      </c>
      <c r="C32" s="53"/>
    </row>
    <row r="33" spans="2:3" x14ac:dyDescent="0.25">
      <c r="B33" s="52" t="s">
        <v>246</v>
      </c>
      <c r="C33" s="53"/>
    </row>
    <row r="34" spans="2:3" x14ac:dyDescent="0.25">
      <c r="B34" s="52" t="s">
        <v>247</v>
      </c>
      <c r="C34" s="53"/>
    </row>
    <row r="35" spans="2:3" x14ac:dyDescent="0.25">
      <c r="B35" s="52" t="s">
        <v>248</v>
      </c>
      <c r="C35" s="53"/>
    </row>
    <row r="36" spans="2:3" x14ac:dyDescent="0.25">
      <c r="B36" s="52" t="s">
        <v>249</v>
      </c>
      <c r="C36" s="53"/>
    </row>
    <row r="39" spans="2:3" x14ac:dyDescent="0.25">
      <c r="B39" s="43" t="s">
        <v>225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250</v>
      </c>
      <c r="C2" s="37"/>
      <c r="D2" s="37"/>
      <c r="E2" s="37"/>
      <c r="F2" s="37"/>
      <c r="G2" s="37"/>
      <c r="H2" s="37"/>
    </row>
    <row r="3" spans="2:8" x14ac:dyDescent="0.25">
      <c r="B3" s="54" t="s">
        <v>251</v>
      </c>
      <c r="C3" s="54"/>
      <c r="D3" s="54"/>
      <c r="E3" s="54"/>
      <c r="F3" s="54"/>
      <c r="G3" s="54"/>
      <c r="H3" s="54"/>
    </row>
    <row r="4" spans="2:6" x14ac:dyDescent="0.25">
      <c r="B4" s="55" t="s">
        <v>252</v>
      </c>
      <c r="D4" s="56" t="s">
        <v>253</v>
      </c>
      <c r="F4" s="57" t="s">
        <v>254</v>
      </c>
    </row>
    <row r="6" ht="24" customHeight="1" spans="2:8" x14ac:dyDescent="0.25">
      <c r="B6" s="5" t="s">
        <v>255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256</v>
      </c>
    </row>
    <row r="7" spans="2:7" x14ac:dyDescent="0.25">
      <c r="B7" s="13" t="s">
        <v>257</v>
      </c>
      <c r="C7" s="59">
        <v>15</v>
      </c>
      <c r="D7" s="59">
        <v>22</v>
      </c>
      <c r="E7" s="59">
        <v>30</v>
      </c>
      <c r="F7" s="59">
        <v>36</v>
      </c>
      <c r="G7" s="59">
        <v>40</v>
      </c>
    </row>
    <row r="8" spans="2:7" x14ac:dyDescent="0.25">
      <c r="B8" s="13" t="s">
        <v>144</v>
      </c>
      <c r="C8" s="60">
        <v>167500</v>
      </c>
      <c r="D8" s="60">
        <v>302980</v>
      </c>
      <c r="E8" s="60">
        <v>424730</v>
      </c>
      <c r="F8" s="60">
        <v>523580</v>
      </c>
      <c r="G8" s="60">
        <v>598240</v>
      </c>
    </row>
    <row r="9" spans="2:7" x14ac:dyDescent="0.25">
      <c r="B9" s="13" t="s">
        <v>145</v>
      </c>
      <c r="C9" s="60">
        <v>64516</v>
      </c>
      <c r="D9" s="60">
        <v>79742</v>
      </c>
      <c r="E9" s="60">
        <v>82134</v>
      </c>
      <c r="F9" s="60">
        <v>84598</v>
      </c>
      <c r="G9" s="60">
        <v>87136</v>
      </c>
    </row>
    <row r="10" spans="2:7" x14ac:dyDescent="0.25">
      <c r="B10" s="13" t="s">
        <v>146</v>
      </c>
      <c r="C10" s="60">
        <v>29625</v>
      </c>
      <c r="D10" s="60">
        <v>41211</v>
      </c>
      <c r="E10" s="60">
        <v>47815</v>
      </c>
      <c r="F10" s="60">
        <v>53325</v>
      </c>
      <c r="G10" s="60">
        <v>57646</v>
      </c>
    </row>
    <row r="11" spans="2:7" x14ac:dyDescent="0.25">
      <c r="B11" s="13" t="s">
        <v>147</v>
      </c>
      <c r="C11" s="60">
        <v>0</v>
      </c>
      <c r="D11" s="60">
        <v>0</v>
      </c>
      <c r="E11" s="60">
        <v>0</v>
      </c>
      <c r="F11" s="60">
        <v>0</v>
      </c>
      <c r="G11" s="60">
        <v>0</v>
      </c>
    </row>
    <row r="12" spans="2:7" x14ac:dyDescent="0.25">
      <c r="B12" s="61" t="s">
        <v>258</v>
      </c>
      <c r="C12" s="62">
        <v>73359</v>
      </c>
      <c r="D12" s="62">
        <v>182027</v>
      </c>
      <c r="E12" s="62">
        <v>294780</v>
      </c>
      <c r="F12" s="62">
        <v>385657</v>
      </c>
      <c r="G12" s="62">
        <v>453458</v>
      </c>
    </row>
    <row r="13" spans="2:7" x14ac:dyDescent="0.25">
      <c r="B13" s="61" t="s">
        <v>259</v>
      </c>
      <c r="C13" s="62">
        <v>73359</v>
      </c>
      <c r="D13" s="62">
        <v>255386</v>
      </c>
      <c r="E13" s="62">
        <v>550166</v>
      </c>
      <c r="F13" s="62">
        <v>935823</v>
      </c>
      <c r="G13" s="62">
        <v>1389281</v>
      </c>
    </row>
    <row r="14" spans="2:7" x14ac:dyDescent="0.25">
      <c r="B14" s="61" t="s">
        <v>260</v>
      </c>
      <c r="C14" s="63">
        <v>0.4379641791044776</v>
      </c>
      <c r="D14" s="63">
        <v>0.600788830945937</v>
      </c>
      <c r="E14" s="63">
        <v>0.6940409201139548</v>
      </c>
      <c r="F14" s="63">
        <v>0.7365770273883647</v>
      </c>
      <c r="G14" s="63">
        <v>0.7579867611660872</v>
      </c>
    </row>
    <row r="15" spans="2:8" x14ac:dyDescent="0.25">
      <c r="B15" s="61" t="s">
        <v>224</v>
      </c>
      <c r="C15" s="64">
        <v>11166.666666666666</v>
      </c>
      <c r="D15" s="64">
        <v>13771.818181818182</v>
      </c>
      <c r="E15" s="64">
        <v>14157.666666666666</v>
      </c>
      <c r="F15" s="64">
        <v>14543.888888888889</v>
      </c>
      <c r="G15" s="64">
        <v>14956</v>
      </c>
      <c r="H15" s="65" t="s">
        <v>261</v>
      </c>
    </row>
    <row r="16" spans="2:7" x14ac:dyDescent="0.25">
      <c r="B16" s="61" t="s">
        <v>104</v>
      </c>
      <c r="C16" s="66">
        <v>6276.066666666667</v>
      </c>
      <c r="D16" s="66">
        <v>5497.863636363636</v>
      </c>
      <c r="E16" s="66">
        <v>4331.633333333333</v>
      </c>
      <c r="F16" s="66">
        <v>3831.1944444444443</v>
      </c>
      <c r="G16" s="66">
        <v>3619.55</v>
      </c>
    </row>
    <row r="17" spans="2:7" x14ac:dyDescent="0.25">
      <c r="B17" s="13" t="s">
        <v>262</v>
      </c>
      <c r="C17" s="60">
        <v>0</v>
      </c>
      <c r="D17" s="60">
        <v>0</v>
      </c>
      <c r="E17" s="60">
        <v>0</v>
      </c>
      <c r="F17" s="60">
        <v>0</v>
      </c>
      <c r="G17" s="60">
        <v>0</v>
      </c>
    </row>
    <row r="18" spans="2:8" x14ac:dyDescent="0.25">
      <c r="B18" s="13" t="s">
        <v>263</v>
      </c>
      <c r="C18" s="64">
        <v>1720</v>
      </c>
      <c r="D18" s="64">
        <v>1206.9545454545455</v>
      </c>
      <c r="E18" s="64">
        <v>910.9354999999999</v>
      </c>
      <c r="F18" s="64">
        <v>781.2734395833334</v>
      </c>
      <c r="G18" s="64">
        <v>723.675110915625</v>
      </c>
      <c r="H18" s="65" t="s">
        <v>264</v>
      </c>
    </row>
    <row r="19" spans="2:7" x14ac:dyDescent="0.25">
      <c r="B19" s="61" t="s">
        <v>265</v>
      </c>
      <c r="C19" s="67">
        <v>4890.6</v>
      </c>
      <c r="D19" s="67">
        <v>8273.954545454546</v>
      </c>
      <c r="E19" s="67">
        <v>9826</v>
      </c>
      <c r="F19" s="67">
        <v>10712.694444444445</v>
      </c>
      <c r="G19" s="67">
        <v>11336.45</v>
      </c>
    </row>
    <row r="20" spans="2:8" x14ac:dyDescent="0.25">
      <c r="B20" s="61" t="s">
        <v>266</v>
      </c>
      <c r="C20" s="63">
        <v>0.38517014925373133</v>
      </c>
      <c r="D20" s="63">
        <v>0.2631922899201267</v>
      </c>
      <c r="E20" s="63">
        <v>0.19337932333482447</v>
      </c>
      <c r="F20" s="63">
        <v>0.16157607242446237</v>
      </c>
      <c r="G20" s="63">
        <v>0.1456539181599358</v>
      </c>
      <c r="H20" s="65" t="s">
        <v>267</v>
      </c>
    </row>
    <row r="21" spans="2:8" x14ac:dyDescent="0.25">
      <c r="B21" s="61" t="s">
        <v>268</v>
      </c>
      <c r="C21" s="68">
        <v>0.15402985074626865</v>
      </c>
      <c r="D21" s="63">
        <v>0.08763944814839263</v>
      </c>
      <c r="E21" s="63">
        <v>0.06434220563652203</v>
      </c>
      <c r="F21" s="63">
        <v>0.05371833115283242</v>
      </c>
      <c r="G21" s="63">
        <v>0.04838694242548977</v>
      </c>
      <c r="H21" s="65" t="s">
        <v>269</v>
      </c>
    </row>
    <row r="22" spans="2:8" x14ac:dyDescent="0.25">
      <c r="B22" s="61" t="s">
        <v>270</v>
      </c>
      <c r="C22" s="63">
        <v>0.4379641791044776</v>
      </c>
      <c r="D22" s="63">
        <v>0.600788830945937</v>
      </c>
      <c r="E22" s="63">
        <v>0.6940432745508912</v>
      </c>
      <c r="F22" s="63">
        <v>0.7365770273883647</v>
      </c>
      <c r="G22" s="63">
        <v>0.7579867611660872</v>
      </c>
      <c r="H22" s="65" t="s">
        <v>271</v>
      </c>
    </row>
    <row r="23" spans="2:8" x14ac:dyDescent="0.25">
      <c r="B23" s="61" t="s">
        <v>272</v>
      </c>
      <c r="C23" s="69">
        <v>3</v>
      </c>
      <c r="D23" s="69">
        <v>3</v>
      </c>
      <c r="E23" s="69">
        <v>3</v>
      </c>
      <c r="F23" s="69">
        <v>3</v>
      </c>
      <c r="G23" s="69">
        <v>3</v>
      </c>
      <c r="H23" s="65" t="s">
        <v>273</v>
      </c>
    </row>
    <row r="24" spans="2:8" x14ac:dyDescent="0.25">
      <c r="B24" s="61" t="s">
        <v>177</v>
      </c>
      <c r="C24" s="70" t="s">
        <v>178</v>
      </c>
      <c r="D24" s="70" t="s">
        <v>178</v>
      </c>
      <c r="E24" s="70" t="s">
        <v>178</v>
      </c>
      <c r="F24" s="70" t="s">
        <v>178</v>
      </c>
      <c r="G24" s="70" t="s">
        <v>178</v>
      </c>
      <c r="H24" s="65" t="s">
        <v>178</v>
      </c>
    </row>
    <row r="25" spans="2:8" x14ac:dyDescent="0.25">
      <c r="B25" s="61" t="s">
        <v>274</v>
      </c>
      <c r="C25" s="29" t="str">
        <f>IF('5-Year P&amp;L'!B9&gt;=0,"✓ Break-even","")</f>
        <v>✓ Break-even</v>
      </c>
      <c r="D25" s="71" t="str">
        <f>IF(AND('5-Year P&amp;L'!C9&gt;=0,'5-Year P&amp;L'!B9&lt;0),"✓ Break-even","")</f>
        <v>0</v>
      </c>
      <c r="E25" s="71" t="str">
        <f>IF(AND('5-Year P&amp;L'!D9&gt;=0,'5-Year P&amp;L'!C9&lt;0),"✓ Break-even","")</f>
        <v>0</v>
      </c>
      <c r="F25" s="71" t="str">
        <f>IF(AND('5-Year P&amp;L'!E9&gt;=0,'5-Year P&amp;L'!D9&lt;0),"✓ Break-even","")</f>
        <v>0</v>
      </c>
      <c r="G25" s="71" t="str">
        <f>IF(AND('5-Year P&amp;L'!F9&gt;=0,'5-Year P&amp;L'!E9&lt;0),"✓ Break-even","")</f>
        <v>0</v>
      </c>
      <c r="H25" s="65" t="s">
        <v>23</v>
      </c>
    </row>
    <row r="26" spans="2:8" x14ac:dyDescent="0.25">
      <c r="B26" s="61" t="s">
        <v>275</v>
      </c>
      <c r="C26" s="72">
        <v>9</v>
      </c>
      <c r="D26" s="69">
        <v>25</v>
      </c>
      <c r="E26" s="69">
        <v>51</v>
      </c>
      <c r="F26" s="73" t="s">
        <v>276</v>
      </c>
      <c r="G26" s="73" t="s">
        <v>276</v>
      </c>
      <c r="H26" s="65" t="s">
        <v>277</v>
      </c>
    </row>
    <row r="27" spans="2:8" x14ac:dyDescent="0.25">
      <c r="B27" s="61" t="s">
        <v>183</v>
      </c>
      <c r="C27" s="69">
        <v>284</v>
      </c>
      <c r="D27" s="69">
        <v>771</v>
      </c>
      <c r="E27" s="69">
        <v>1545</v>
      </c>
      <c r="F27" s="69">
        <v>2477</v>
      </c>
      <c r="G27" s="69">
        <v>3502</v>
      </c>
      <c r="H27" s="65" t="s">
        <v>278</v>
      </c>
    </row>
    <row r="29" ht="24" customHeight="1" spans="2:8" x14ac:dyDescent="0.25">
      <c r="B29" s="5" t="s">
        <v>279</v>
      </c>
      <c r="C29" s="5" t="s">
        <v>280</v>
      </c>
      <c r="D29" s="5" t="s">
        <v>281</v>
      </c>
      <c r="E29" s="5"/>
      <c r="F29" s="5" t="s">
        <v>282</v>
      </c>
      <c r="G29" s="5"/>
      <c r="H29" s="5"/>
    </row>
    <row r="30" ht="45" customHeight="1" spans="2:8" x14ac:dyDescent="0.25">
      <c r="B30" s="74" t="s">
        <v>283</v>
      </c>
      <c r="C30" s="29" t="s">
        <v>284</v>
      </c>
      <c r="D30" s="75" t="s">
        <v>285</v>
      </c>
      <c r="E30" s="75"/>
      <c r="F30" s="76" t="s">
        <v>286</v>
      </c>
      <c r="G30" s="76"/>
      <c r="H30" s="76"/>
    </row>
    <row r="31" ht="45" customHeight="1" spans="2:8" x14ac:dyDescent="0.25">
      <c r="B31" s="74" t="s">
        <v>287</v>
      </c>
      <c r="C31" s="29" t="s">
        <v>284</v>
      </c>
      <c r="D31" s="75" t="s">
        <v>288</v>
      </c>
      <c r="E31" s="75"/>
      <c r="F31" s="76" t="s">
        <v>289</v>
      </c>
      <c r="G31" s="76"/>
      <c r="H31" s="76"/>
    </row>
    <row r="32" ht="45" customHeight="1" spans="2:8" x14ac:dyDescent="0.25">
      <c r="B32" s="74" t="s">
        <v>290</v>
      </c>
      <c r="C32" s="29" t="s">
        <v>284</v>
      </c>
      <c r="D32" s="75" t="s">
        <v>291</v>
      </c>
      <c r="E32" s="75"/>
      <c r="F32" s="76" t="s">
        <v>292</v>
      </c>
      <c r="G32" s="76"/>
      <c r="H32" s="76"/>
    </row>
    <row r="33" ht="45" customHeight="1" spans="2:8" x14ac:dyDescent="0.25">
      <c r="B33" s="74" t="s">
        <v>293</v>
      </c>
      <c r="C33" s="29" t="s">
        <v>284</v>
      </c>
      <c r="D33" s="75" t="s">
        <v>294</v>
      </c>
      <c r="E33" s="75"/>
      <c r="F33" s="76" t="s">
        <v>295</v>
      </c>
      <c r="G33" s="76"/>
      <c r="H33" s="76"/>
    </row>
    <row r="34" ht="45" customHeight="1" spans="2:8" x14ac:dyDescent="0.25">
      <c r="B34" s="74" t="s">
        <v>296</v>
      </c>
      <c r="C34" s="29" t="s">
        <v>284</v>
      </c>
      <c r="D34" s="75" t="s">
        <v>297</v>
      </c>
      <c r="E34" s="75"/>
      <c r="F34" s="76" t="s">
        <v>298</v>
      </c>
      <c r="G34" s="76"/>
      <c r="H34" s="76"/>
    </row>
    <row r="35" ht="45" customHeight="1" spans="2:8" x14ac:dyDescent="0.25">
      <c r="B35" s="74" t="s">
        <v>299</v>
      </c>
      <c r="C35" s="29" t="s">
        <v>284</v>
      </c>
      <c r="D35" s="75" t="s">
        <v>300</v>
      </c>
      <c r="E35" s="75"/>
      <c r="F35" s="76" t="s">
        <v>301</v>
      </c>
      <c r="G35" s="76"/>
      <c r="H35" s="76"/>
    </row>
    <row r="37" spans="2:6" x14ac:dyDescent="0.25">
      <c r="B37" s="74" t="s">
        <v>249</v>
      </c>
      <c r="C37" s="61" t="s">
        <v>302</v>
      </c>
      <c r="D37" s="61"/>
      <c r="E37" s="61"/>
      <c r="F37" s="61"/>
    </row>
    <row r="39" spans="2:8" x14ac:dyDescent="0.25">
      <c r="B39" s="77" t="s">
        <v>303</v>
      </c>
      <c r="C39" s="77"/>
      <c r="D39" s="77"/>
      <c r="E39" s="77"/>
      <c r="F39" s="77"/>
      <c r="G39" s="77"/>
      <c r="H39" s="77"/>
    </row>
  </sheetData>
  <mergeCells count="18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C37:F37"/>
    <mergeCell ref="B39:H39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pageMargins left="0.5" right="0.5" top="0.75" bottom="0.75" header="0.3" footer="0.3"/>
  <pageSetup paperSize="1" orientation="landscape" fitToWidth="1" fitToHeight="0"/>
  <headerFooter>
    <oddHeader>&amp;L&amp;10&amp;BLiberty Learning Co-Op&amp;R&amp;8&amp;IFinancial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2026-03-27T03:17:32Z</dcterms:created>
  <dcterms:modified xsi:type="dcterms:W3CDTF">2026-03-27T03:17:32Z</dcterms:modified>
</cp:coreProperties>
</file>