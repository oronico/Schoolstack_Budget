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<sst xmlns="http://schemas.openxmlformats.org/spreadsheetml/2006/main" count="245" uniqueCount="170">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</sst>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3" ht="24" customHeight="1" spans="1:2" x14ac:dyDescent="0.25">
      <c r="A3" s="8" t="s">
        <v>24</v>
      </c>
      <c r="B3" s="8"/>
    </row>
    <row r="4" spans="1:2" x14ac:dyDescent="0.25">
      <c r="A4" s="19" t="s">
        <v>25</v>
      </c>
      <c r="B4" s="20" t="s">
        <v>3</v>
      </c>
    </row>
    <row r="5" spans="1:2" x14ac:dyDescent="0.25">
      <c r="A5" s="19" t="s">
        <v>26</v>
      </c>
      <c r="B5" s="20" t="s">
        <v>27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36</v>
      </c>
      <c r="B10" s="20">
        <v>2023</v>
      </c>
    </row>
    <row r="11" spans="1:2" x14ac:dyDescent="0.25">
      <c r="A11" s="19" t="s">
        <v>37</v>
      </c>
      <c r="B11" s="20">
        <v>85</v>
      </c>
    </row>
    <row r="12" spans="1:2" x14ac:dyDescent="0.25">
      <c r="A12" s="19" t="s">
        <v>38</v>
      </c>
      <c r="B12" s="20">
        <v>200</v>
      </c>
    </row>
    <row r="13" spans="1:2" x14ac:dyDescent="0.25">
      <c r="A13" s="19" t="s">
        <v>39</v>
      </c>
      <c r="B13" s="20" t="s">
        <v>40</v>
      </c>
    </row>
    <row r="14" spans="1:2" x14ac:dyDescent="0.25">
      <c r="A14" s="19" t="s">
        <v>41</v>
      </c>
      <c r="B14" s="20" t="s">
        <v>42</v>
      </c>
    </row>
    <row r="15" spans="1:2" x14ac:dyDescent="0.25">
      <c r="A15" s="19" t="s">
        <v>43</v>
      </c>
      <c r="B15" s="20" t="s">
        <v>44</v>
      </c>
    </row>
    <row r="16" spans="1:2" x14ac:dyDescent="0.25">
      <c r="A16" s="19" t="s">
        <v>45</v>
      </c>
      <c r="B16" s="20" t="s">
        <v>46</v>
      </c>
    </row>
    <row r="17" spans="1:2" x14ac:dyDescent="0.25">
      <c r="A17" s="19" t="s">
        <v>47</v>
      </c>
      <c r="B17" s="20" t="s">
        <v>48</v>
      </c>
    </row>
    <row r="18" spans="1:2" x14ac:dyDescent="0.25">
      <c r="A18" s="19" t="s">
        <v>49</v>
      </c>
      <c r="B18" s="20" t="s">
        <v>50</v>
      </c>
    </row>
    <row r="19" spans="1:2" x14ac:dyDescent="0.25">
      <c r="A19" s="19" t="s">
        <v>51</v>
      </c>
      <c r="B19" s="20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19" t="s">
        <v>54</v>
      </c>
      <c r="B22" s="21">
        <v>100</v>
      </c>
    </row>
    <row r="23" spans="1:2" x14ac:dyDescent="0.25">
      <c r="A23" s="19" t="s">
        <v>55</v>
      </c>
      <c r="B23" s="21">
        <v>130</v>
      </c>
    </row>
    <row r="24" spans="1:2" x14ac:dyDescent="0.25">
      <c r="A24" s="19" t="s">
        <v>56</v>
      </c>
      <c r="B24" s="21">
        <v>160</v>
      </c>
    </row>
    <row r="25" spans="1:2" x14ac:dyDescent="0.25">
      <c r="A25" s="19" t="s">
        <v>57</v>
      </c>
      <c r="B25" s="21">
        <v>185</v>
      </c>
    </row>
    <row r="26" spans="1:2" x14ac:dyDescent="0.25">
      <c r="A26" s="19" t="s">
        <v>58</v>
      </c>
      <c r="B26" s="21">
        <v>200</v>
      </c>
    </row>
    <row r="28" ht="24" customHeight="1" spans="1:2" x14ac:dyDescent="0.25">
      <c r="A28" s="8" t="s">
        <v>59</v>
      </c>
      <c r="B28" s="8"/>
    </row>
    <row r="29" spans="1:2" x14ac:dyDescent="0.25">
      <c r="A29" s="19" t="s">
        <v>60</v>
      </c>
      <c r="B29" s="22">
        <v>0</v>
      </c>
    </row>
    <row r="30" spans="1:2" x14ac:dyDescent="0.25">
      <c r="A30" s="19" t="s">
        <v>61</v>
      </c>
      <c r="B30" s="22">
        <v>0</v>
      </c>
    </row>
    <row r="31" spans="1:2" x14ac:dyDescent="0.25">
      <c r="A31" s="19" t="s">
        <v>62</v>
      </c>
      <c r="B31" s="23">
        <v>1</v>
      </c>
    </row>
    <row r="32" spans="1:2" x14ac:dyDescent="0.25">
      <c r="A32" s="19" t="s">
        <v>63</v>
      </c>
      <c r="B32" s="20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19" t="s">
        <v>73</v>
      </c>
      <c r="B4" s="26">
        <f>10500*Assumptions!B22</f>
        <v>1050000</v>
      </c>
      <c r="C4" s="26">
        <f>10815*Assumptions!B23</f>
        <v>1405950</v>
      </c>
      <c r="D4" s="26">
        <f>11140*Assumptions!B24</f>
        <v>1782400</v>
      </c>
      <c r="E4" s="26">
        <f>11474*Assumptions!B25</f>
        <v>2122690</v>
      </c>
      <c r="F4" s="26">
        <f>11818*Assumptions!B26</f>
        <v>2363600</v>
      </c>
    </row>
    <row r="5" spans="1:6" x14ac:dyDescent="0.25">
      <c r="A5" s="19" t="s">
        <v>74</v>
      </c>
      <c r="B5" s="26">
        <f>350*Assumptions!B22</f>
        <v>35000</v>
      </c>
      <c r="C5" s="26">
        <f>350*Assumptions!B23</f>
        <v>45500</v>
      </c>
      <c r="D5" s="26">
        <f>350*Assumptions!B24</f>
        <v>56000</v>
      </c>
      <c r="E5" s="26">
        <f>350*Assumptions!B25</f>
        <v>64750</v>
      </c>
      <c r="F5" s="26">
        <f>350*Assumptions!B26</f>
        <v>70000</v>
      </c>
    </row>
    <row r="6" ht="24" customHeight="1" spans="1:6" x14ac:dyDescent="0.25">
      <c r="A6" s="8" t="s">
        <v>75</v>
      </c>
      <c r="B6" s="27">
        <f>SUM(B4:B5)</f>
        <v>1085000</v>
      </c>
      <c r="C6" s="27">
        <f>SUM(C4:C5)</f>
        <v>1451450</v>
      </c>
      <c r="D6" s="27">
        <f>SUM(D4:D5)</f>
        <v>1838400</v>
      </c>
      <c r="E6" s="27">
        <f>SUM(E4:E5)</f>
        <v>2187440</v>
      </c>
      <c r="F6" s="27">
        <f>SUM(F4:F5)</f>
        <v>2433600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19" t="s">
        <v>77</v>
      </c>
      <c r="B8" s="26">
        <f>--1050*Assumptions!B22</f>
        <v>-105000</v>
      </c>
      <c r="C8" s="26">
        <f>--1082*Assumptions!B23</f>
        <v>-140660</v>
      </c>
      <c r="D8" s="26">
        <f>--1114*Assumptions!B24</f>
        <v>-178240</v>
      </c>
      <c r="E8" s="26">
        <f>--1147*Assumptions!B25</f>
        <v>-212195</v>
      </c>
      <c r="F8" s="26">
        <f>--1182*Assumptions!B26</f>
        <v>-236400</v>
      </c>
    </row>
    <row r="9" ht="24" customHeight="1" spans="1:6" x14ac:dyDescent="0.25">
      <c r="A9" s="8" t="s">
        <v>78</v>
      </c>
      <c r="B9" s="27">
        <f>SUM(B8:B8)</f>
        <v>-105000</v>
      </c>
      <c r="C9" s="27">
        <f>SUM(C8:C8)</f>
        <v>-140660</v>
      </c>
      <c r="D9" s="27">
        <f>SUM(D8:D8)</f>
        <v>-178240</v>
      </c>
      <c r="E9" s="27">
        <f>SUM(E8:E8)</f>
        <v>-212195</v>
      </c>
      <c r="F9" s="27">
        <f>SUM(F8:F8)</f>
        <v>-236400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19" t="s">
        <v>80</v>
      </c>
      <c r="B11" s="26">
        <f>8700*Assumptions!B22</f>
        <v>870000</v>
      </c>
      <c r="C11" s="26">
        <f>8961*Assumptions!B23</f>
        <v>1164930</v>
      </c>
      <c r="D11" s="26">
        <f>9230*Assumptions!B24</f>
        <v>1476800</v>
      </c>
      <c r="E11" s="26">
        <f>9507*Assumptions!B25</f>
        <v>1758795</v>
      </c>
      <c r="F11" s="26">
        <f>9792*Assumptions!B26</f>
        <v>1958400</v>
      </c>
    </row>
    <row r="12" ht="24" customHeight="1" spans="1:6" x14ac:dyDescent="0.25">
      <c r="A12" s="8" t="s">
        <v>81</v>
      </c>
      <c r="B12" s="27">
        <f>SUM(B11:B11)</f>
        <v>870000</v>
      </c>
      <c r="C12" s="27">
        <f>SUM(C11:C11)</f>
        <v>1164930</v>
      </c>
      <c r="D12" s="27">
        <f>SUM(D11:D11)</f>
        <v>1476800</v>
      </c>
      <c r="E12" s="27">
        <f>SUM(E11:E11)</f>
        <v>1758795</v>
      </c>
      <c r="F12" s="27">
        <f>SUM(F11:F11)</f>
        <v>1958400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19" t="s">
        <v>83</v>
      </c>
      <c r="B14" s="26">
        <v>50000</v>
      </c>
      <c r="C14" s="26">
        <v>40000</v>
      </c>
      <c r="D14" s="26">
        <v>30000</v>
      </c>
      <c r="E14" s="26">
        <v>20000</v>
      </c>
      <c r="F14" s="26">
        <v>10000</v>
      </c>
    </row>
    <row r="15" spans="1:6" x14ac:dyDescent="0.25">
      <c r="A15" s="19" t="s">
        <v>84</v>
      </c>
      <c r="B15" s="26">
        <v>25000</v>
      </c>
      <c r="C15" s="26">
        <v>30000</v>
      </c>
      <c r="D15" s="26">
        <v>35000</v>
      </c>
      <c r="E15" s="26">
        <v>40000</v>
      </c>
      <c r="F15" s="26">
        <v>45000</v>
      </c>
    </row>
    <row r="16" ht="24" customHeight="1" spans="1:6" x14ac:dyDescent="0.25">
      <c r="A16" s="8" t="s">
        <v>85</v>
      </c>
      <c r="B16" s="27" t="str">
        <f>SUM(B14:B15)</f>
        <v>0</v>
      </c>
      <c r="C16" s="27" t="str">
        <f>SUM(C14:C15)</f>
        <v>0</v>
      </c>
      <c r="D16" s="27" t="str">
        <f>SUM(D14:D15)</f>
        <v>0</v>
      </c>
      <c r="E16" s="27" t="str">
        <f>SUM(E14:E15)</f>
        <v>0</v>
      </c>
      <c r="F16" s="27" t="str">
        <f>SUM(F14:F15)</f>
        <v>0</v>
      </c>
    </row>
    <row r="17" ht="24" customHeight="1" spans="1:6" x14ac:dyDescent="0.25">
      <c r="A17" s="8" t="s">
        <v>86</v>
      </c>
      <c r="B17" s="8"/>
      <c r="C17" s="8"/>
      <c r="D17" s="8"/>
      <c r="E17" s="8"/>
      <c r="F17" s="8"/>
    </row>
    <row r="18" spans="1:6" x14ac:dyDescent="0.25">
      <c r="A18" s="19" t="s">
        <v>87</v>
      </c>
      <c r="B18" s="26">
        <f>500*Assumptions!B22</f>
        <v>50000</v>
      </c>
      <c r="C18" s="26">
        <f>515*Assumptions!B23</f>
        <v>66950</v>
      </c>
      <c r="D18" s="26">
        <f>530*Assumptions!B24</f>
        <v>84800</v>
      </c>
      <c r="E18" s="26">
        <f>546*Assumptions!B25</f>
        <v>101010</v>
      </c>
      <c r="F18" s="26">
        <f>562*Assumptions!B26</f>
        <v>112400</v>
      </c>
    </row>
    <row r="19" ht="24" customHeight="1" spans="1:6" x14ac:dyDescent="0.25">
      <c r="A19" s="8" t="s">
        <v>88</v>
      </c>
      <c r="B19" s="27">
        <f>SUM(B18:B18)</f>
        <v>50000</v>
      </c>
      <c r="C19" s="27">
        <f>SUM(C18:C18)</f>
        <v>66950</v>
      </c>
      <c r="D19" s="27">
        <f>SUM(D18:D18)</f>
        <v>84800</v>
      </c>
      <c r="E19" s="27">
        <f>SUM(E18:E18)</f>
        <v>101010</v>
      </c>
      <c r="F19" s="27">
        <f>SUM(F18:F18)</f>
        <v>112400</v>
      </c>
    </row>
    <row r="21" ht="24" customHeight="1" spans="1:6" x14ac:dyDescent="0.25">
      <c r="A21" s="8" t="s">
        <v>89</v>
      </c>
      <c r="B21" s="27">
        <f>B6+B9+B12+B16+B19</f>
        <v>1975000</v>
      </c>
      <c r="C21" s="27">
        <f>C6+C9+C12+C16+C19</f>
        <v>2612670</v>
      </c>
      <c r="D21" s="27">
        <f>D6+D9+D12+D16+D19</f>
        <v>3286760</v>
      </c>
      <c r="E21" s="27">
        <f>E6+E9+E12+E16+E19</f>
        <v>3895050</v>
      </c>
      <c r="F21" s="27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91</v>
      </c>
      <c r="B3" s="24" t="s">
        <v>92</v>
      </c>
      <c r="C3" s="24" t="s">
        <v>93</v>
      </c>
      <c r="D3" s="24" t="s">
        <v>94</v>
      </c>
      <c r="E3" s="24" t="s">
        <v>95</v>
      </c>
      <c r="F3" s="24" t="s">
        <v>96</v>
      </c>
      <c r="G3" s="24" t="s">
        <v>97</v>
      </c>
      <c r="H3" s="24" t="s">
        <v>98</v>
      </c>
    </row>
    <row r="4" spans="1:8" x14ac:dyDescent="0.25">
      <c r="A4" s="19" t="s">
        <v>99</v>
      </c>
      <c r="B4" s="19" t="s">
        <v>100</v>
      </c>
      <c r="C4" s="19" t="s">
        <v>101</v>
      </c>
      <c r="D4" s="28">
        <v>1</v>
      </c>
      <c r="E4" s="29">
        <v>95000</v>
      </c>
      <c r="F4" s="30">
        <v>0.25</v>
      </c>
      <c r="G4" s="30">
        <v>0.0765</v>
      </c>
      <c r="H4" s="31">
        <v>126017.5</v>
      </c>
    </row>
    <row r="5" spans="1:8" x14ac:dyDescent="0.25">
      <c r="A5" s="19" t="s">
        <v>102</v>
      </c>
      <c r="B5" s="19" t="s">
        <v>100</v>
      </c>
      <c r="C5" s="19" t="s">
        <v>101</v>
      </c>
      <c r="D5" s="28">
        <v>1</v>
      </c>
      <c r="E5" s="29">
        <v>75000</v>
      </c>
      <c r="F5" s="30">
        <v>0.25</v>
      </c>
      <c r="G5" s="30">
        <v>0.0765</v>
      </c>
      <c r="H5" s="31">
        <v>99487.5</v>
      </c>
    </row>
    <row r="6" spans="1:8" x14ac:dyDescent="0.25">
      <c r="A6" s="19" t="s">
        <v>103</v>
      </c>
      <c r="B6" s="19" t="s">
        <v>104</v>
      </c>
      <c r="C6" s="19" t="s">
        <v>101</v>
      </c>
      <c r="D6" s="28">
        <v>6</v>
      </c>
      <c r="E6" s="29">
        <v>48000</v>
      </c>
      <c r="F6" s="30">
        <v>0.25</v>
      </c>
      <c r="G6" s="30">
        <v>0.0765</v>
      </c>
      <c r="H6" s="31">
        <v>382032</v>
      </c>
    </row>
    <row r="7" spans="1:8" x14ac:dyDescent="0.25">
      <c r="A7" s="19" t="s">
        <v>105</v>
      </c>
      <c r="B7" s="19" t="s">
        <v>104</v>
      </c>
      <c r="C7" s="19" t="s">
        <v>101</v>
      </c>
      <c r="D7" s="28">
        <v>3</v>
      </c>
      <c r="E7" s="29">
        <v>32000</v>
      </c>
      <c r="F7" s="30">
        <v>0.2</v>
      </c>
      <c r="G7" s="30">
        <v>0.0765</v>
      </c>
      <c r="H7" s="31">
        <v>122544</v>
      </c>
    </row>
    <row r="8" spans="1:8" x14ac:dyDescent="0.25">
      <c r="A8" s="19" t="s">
        <v>106</v>
      </c>
      <c r="B8" s="19" t="s">
        <v>107</v>
      </c>
      <c r="C8" s="19" t="s">
        <v>101</v>
      </c>
      <c r="D8" s="28">
        <v>1</v>
      </c>
      <c r="E8" s="29">
        <v>52000</v>
      </c>
      <c r="F8" s="30">
        <v>0.25</v>
      </c>
      <c r="G8" s="30">
        <v>0.0765</v>
      </c>
      <c r="H8" s="31">
        <v>68978</v>
      </c>
    </row>
    <row r="9" spans="1:8" x14ac:dyDescent="0.25">
      <c r="A9" s="19" t="s">
        <v>108</v>
      </c>
      <c r="B9" s="19" t="s">
        <v>109</v>
      </c>
      <c r="C9" s="19" t="s">
        <v>101</v>
      </c>
      <c r="D9" s="28">
        <v>1</v>
      </c>
      <c r="E9" s="29">
        <v>42000</v>
      </c>
      <c r="F9" s="30">
        <v>0.25</v>
      </c>
      <c r="G9" s="30">
        <v>0.0765</v>
      </c>
      <c r="H9" s="31">
        <v>55713</v>
      </c>
    </row>
    <row r="11" ht="24" customHeight="1" spans="1:8" x14ac:dyDescent="0.25">
      <c r="A11" s="8" t="s">
        <v>110</v>
      </c>
      <c r="B11" s="8"/>
      <c r="C11" s="8"/>
      <c r="D11" s="8"/>
      <c r="E11" s="8"/>
      <c r="F11" s="8"/>
      <c r="G11" s="8"/>
      <c r="H11" s="8"/>
    </row>
    <row r="12" spans="1:2" x14ac:dyDescent="0.25">
      <c r="A12" s="19" t="s">
        <v>111</v>
      </c>
      <c r="B12" s="20">
        <v>6</v>
      </c>
    </row>
    <row r="13" spans="1:2" x14ac:dyDescent="0.25">
      <c r="A13" s="19" t="s">
        <v>112</v>
      </c>
      <c r="B13" s="20">
        <v>13</v>
      </c>
    </row>
    <row r="14" spans="1:2" x14ac:dyDescent="0.25">
      <c r="A14" s="19" t="s">
        <v>113</v>
      </c>
      <c r="B14" s="29">
        <v>648000</v>
      </c>
    </row>
    <row r="15" spans="1:2" x14ac:dyDescent="0.25">
      <c r="A15" s="19" t="s">
        <v>114</v>
      </c>
      <c r="B15" s="29">
        <v>157200</v>
      </c>
    </row>
    <row r="16" spans="1:2" x14ac:dyDescent="0.25">
      <c r="A16" s="19" t="s">
        <v>115</v>
      </c>
      <c r="B16" s="29">
        <v>49572</v>
      </c>
    </row>
    <row r="17" spans="1:2" x14ac:dyDescent="0.25">
      <c r="A17" s="19" t="s">
        <v>116</v>
      </c>
      <c r="B17" s="29">
        <v>0</v>
      </c>
    </row>
    <row r="18" spans="1:2" x14ac:dyDescent="0.25">
      <c r="A18" s="20" t="s">
        <v>117</v>
      </c>
      <c r="B18" s="31">
        <v>854772</v>
      </c>
    </row>
    <row r="20" ht="24" customHeight="1" spans="1:6" x14ac:dyDescent="0.25">
      <c r="A20" s="8" t="s">
        <v>118</v>
      </c>
      <c r="B20" s="8"/>
      <c r="C20" s="8"/>
      <c r="D20" s="8"/>
      <c r="E20" s="8"/>
      <c r="F20" s="8"/>
    </row>
    <row r="21" ht="28" customHeight="1" spans="1:6" x14ac:dyDescent="0.25">
      <c r="A21" s="24" t="s">
        <v>65</v>
      </c>
      <c r="B21" s="24" t="s">
        <v>66</v>
      </c>
      <c r="C21" s="24" t="s">
        <v>67</v>
      </c>
      <c r="D21" s="24" t="s">
        <v>68</v>
      </c>
      <c r="E21" s="24" t="s">
        <v>69</v>
      </c>
      <c r="F21" s="24" t="s">
        <v>70</v>
      </c>
    </row>
    <row r="22" spans="1:6" x14ac:dyDescent="0.25">
      <c r="A22" s="19" t="s">
        <v>119</v>
      </c>
      <c r="B22" s="26">
        <v>854772</v>
      </c>
      <c r="C22" s="26">
        <v>854772</v>
      </c>
      <c r="D22" s="26">
        <v>854772</v>
      </c>
      <c r="E22" s="26">
        <v>854772</v>
      </c>
      <c r="F22" s="26">
        <v>854772</v>
      </c>
    </row>
    <row r="23" spans="1:6" x14ac:dyDescent="0.25">
      <c r="A23" s="19" t="s">
        <v>120</v>
      </c>
      <c r="B23" s="32">
        <f>(1+Assumptions!B29)^0</f>
        <v>1</v>
      </c>
      <c r="C23" s="32">
        <f>(1+Assumptions!B29)^1</f>
        <v>1</v>
      </c>
      <c r="D23" s="32">
        <f>(1+Assumptions!B29)^2</f>
        <v>1</v>
      </c>
      <c r="E23" s="32">
        <f>(1+Assumptions!B29)^3</f>
        <v>1</v>
      </c>
      <c r="F23" s="32">
        <f>(1+Assumptions!B29)^4</f>
        <v>1</v>
      </c>
    </row>
    <row r="24" spans="1:6" x14ac:dyDescent="0.25">
      <c r="A24" s="19" t="s">
        <v>121</v>
      </c>
      <c r="B24" s="33">
        <f>Assumptions!B31</f>
        <v>1</v>
      </c>
      <c r="C24" s="33">
        <v>1</v>
      </c>
      <c r="D24" s="33">
        <v>1</v>
      </c>
      <c r="E24" s="33">
        <v>1</v>
      </c>
      <c r="F24" s="33">
        <v>1</v>
      </c>
    </row>
    <row r="25" ht="24" customHeight="1" spans="1:6" x14ac:dyDescent="0.25">
      <c r="A25" s="8" t="s">
        <v>122</v>
      </c>
      <c r="B25" s="27">
        <f>B22*B23*B24</f>
        <v>854772</v>
      </c>
      <c r="C25" s="27">
        <f>C22*C23*C24</f>
        <v>854772</v>
      </c>
      <c r="D25" s="27">
        <f>D22*D23*D24</f>
        <v>854772</v>
      </c>
      <c r="E25" s="27">
        <f>E22*E23*E24</f>
        <v>854772</v>
      </c>
      <c r="F25" s="27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19" t="s">
        <v>124</v>
      </c>
      <c r="B4" s="26">
        <f>600*Assumptions!B22</f>
        <v>60000</v>
      </c>
      <c r="C4" s="26">
        <f>618*Assumptions!B23</f>
        <v>80340</v>
      </c>
      <c r="D4" s="26">
        <f>637*Assumptions!B24</f>
        <v>101920</v>
      </c>
      <c r="E4" s="26">
        <f>656*Assumptions!B25</f>
        <v>121360</v>
      </c>
      <c r="F4" s="26">
        <f>675*Assumptions!B26</f>
        <v>135000</v>
      </c>
    </row>
    <row r="5" ht="24" customHeight="1" spans="1:6" x14ac:dyDescent="0.25">
      <c r="A5" s="8" t="s">
        <v>125</v>
      </c>
      <c r="B5" s="27">
        <f>SUM(B4:B4)</f>
        <v>60000</v>
      </c>
      <c r="C5" s="27">
        <f>SUM(C4:C4)</f>
        <v>80340</v>
      </c>
      <c r="D5" s="27">
        <f>SUM(D4:D4)</f>
        <v>101920</v>
      </c>
      <c r="E5" s="27">
        <f>SUM(E4:E4)</f>
        <v>121360</v>
      </c>
      <c r="F5" s="27">
        <f>SUM(F4:F4)</f>
        <v>135000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19" t="s">
        <v>127</v>
      </c>
      <c r="B7" s="26">
        <f>400*Assumptions!B22</f>
        <v>40000</v>
      </c>
      <c r="C7" s="26">
        <f>412*Assumptions!B23</f>
        <v>53560</v>
      </c>
      <c r="D7" s="26">
        <f>424*Assumptions!B24</f>
        <v>67840</v>
      </c>
      <c r="E7" s="26">
        <f>437*Assumptions!B25</f>
        <v>80845</v>
      </c>
      <c r="F7" s="26">
        <f>450*Assumptions!B26</f>
        <v>90000</v>
      </c>
    </row>
    <row r="8" ht="24" customHeight="1" spans="1:6" x14ac:dyDescent="0.25">
      <c r="A8" s="8" t="s">
        <v>128</v>
      </c>
      <c r="B8" s="27">
        <f>SUM(B7:B7)</f>
        <v>40000</v>
      </c>
      <c r="C8" s="27">
        <f>SUM(C7:C7)</f>
        <v>53560</v>
      </c>
      <c r="D8" s="27">
        <f>SUM(D7:D7)</f>
        <v>67840</v>
      </c>
      <c r="E8" s="27">
        <f>SUM(E7:E7)</f>
        <v>80845</v>
      </c>
      <c r="F8" s="27">
        <f>SUM(F7:F7)</f>
        <v>90000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19" t="s">
        <v>130</v>
      </c>
      <c r="B10" s="26">
        <f>8500*12</f>
        <v>102000</v>
      </c>
      <c r="C10" s="26">
        <f>8755*12</f>
        <v>105060</v>
      </c>
      <c r="D10" s="26">
        <f>9018*12</f>
        <v>108216</v>
      </c>
      <c r="E10" s="26">
        <f>9289*12</f>
        <v>111468</v>
      </c>
      <c r="F10" s="26">
        <f>9567*12</f>
        <v>114804</v>
      </c>
    </row>
    <row r="11" spans="1:6" x14ac:dyDescent="0.25">
      <c r="A11" s="19" t="s">
        <v>131</v>
      </c>
      <c r="B11" s="26">
        <f>1200*12</f>
        <v>14400</v>
      </c>
      <c r="C11" s="26">
        <f>1236*12</f>
        <v>14832</v>
      </c>
      <c r="D11" s="26">
        <f>1273*12</f>
        <v>15276</v>
      </c>
      <c r="E11" s="26">
        <f>1311*12</f>
        <v>15732</v>
      </c>
      <c r="F11" s="26">
        <f>1350*12</f>
        <v>16200</v>
      </c>
    </row>
    <row r="12" spans="1:6" x14ac:dyDescent="0.25">
      <c r="A12" s="19" t="s">
        <v>132</v>
      </c>
      <c r="B12" s="26">
        <v>12000</v>
      </c>
      <c r="C12" s="26">
        <v>12360</v>
      </c>
      <c r="D12" s="26">
        <v>12731</v>
      </c>
      <c r="E12" s="26">
        <v>13113</v>
      </c>
      <c r="F12" s="26">
        <v>13506</v>
      </c>
    </row>
    <row r="13" spans="1:6" x14ac:dyDescent="0.25">
      <c r="A13" s="19" t="s">
        <v>133</v>
      </c>
      <c r="B13" s="26">
        <v>8000</v>
      </c>
      <c r="C13" s="26">
        <v>8240</v>
      </c>
      <c r="D13" s="26">
        <v>8487</v>
      </c>
      <c r="E13" s="26">
        <v>8742</v>
      </c>
      <c r="F13" s="26">
        <v>9004</v>
      </c>
    </row>
    <row r="14" ht="24" customHeight="1" spans="1:6" x14ac:dyDescent="0.25">
      <c r="A14" s="8" t="s">
        <v>134</v>
      </c>
      <c r="B14" s="27">
        <f>SUM(B10:B13)</f>
        <v>136400</v>
      </c>
      <c r="C14" s="27">
        <f>SUM(C10:C13)</f>
        <v>140492</v>
      </c>
      <c r="D14" s="27">
        <f>SUM(D10:D13)</f>
        <v>144710</v>
      </c>
      <c r="E14" s="27">
        <f>SUM(E10:E13)</f>
        <v>149055</v>
      </c>
      <c r="F14" s="27">
        <f>SUM(F10:F13)</f>
        <v>153514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19" t="s">
        <v>136</v>
      </c>
      <c r="B16" s="26">
        <v>15000</v>
      </c>
      <c r="C16" s="26">
        <v>15450</v>
      </c>
      <c r="D16" s="26">
        <v>15914</v>
      </c>
      <c r="E16" s="26">
        <v>16391</v>
      </c>
      <c r="F16" s="26">
        <v>16883</v>
      </c>
    </row>
    <row r="17" spans="1:6" x14ac:dyDescent="0.25">
      <c r="A17" s="19" t="s">
        <v>137</v>
      </c>
      <c r="B17" s="26">
        <v>8000</v>
      </c>
      <c r="C17" s="26">
        <v>8240</v>
      </c>
      <c r="D17" s="26">
        <v>8487</v>
      </c>
      <c r="E17" s="26">
        <v>8742</v>
      </c>
      <c r="F17" s="26">
        <v>9004</v>
      </c>
    </row>
    <row r="18" spans="1:6" x14ac:dyDescent="0.25">
      <c r="A18" s="19" t="s">
        <v>138</v>
      </c>
      <c r="B18" s="26">
        <v>12000</v>
      </c>
      <c r="C18" s="26">
        <v>12360</v>
      </c>
      <c r="D18" s="26">
        <v>12731</v>
      </c>
      <c r="E18" s="26">
        <v>13113</v>
      </c>
      <c r="F18" s="26">
        <v>13506</v>
      </c>
    </row>
    <row r="19" ht="24" customHeight="1" spans="1:6" x14ac:dyDescent="0.25">
      <c r="A19" s="8" t="s">
        <v>139</v>
      </c>
      <c r="B19" s="27">
        <f>SUM(B16:B18)</f>
        <v>35000</v>
      </c>
      <c r="C19" s="27">
        <f>SUM(C16:C18)</f>
        <v>36050</v>
      </c>
      <c r="D19" s="27">
        <f>SUM(D16:D18)</f>
        <v>37132</v>
      </c>
      <c r="E19" s="27">
        <f>SUM(E16:E18)</f>
        <v>38246</v>
      </c>
      <c r="F19" s="27">
        <f>SUM(F16:F18)</f>
        <v>39393</v>
      </c>
    </row>
    <row r="21" ht="24" customHeight="1" spans="1:6" x14ac:dyDescent="0.25">
      <c r="A21" s="8" t="s">
        <v>140</v>
      </c>
      <c r="B21" s="27">
        <f>B5+B8+B14+B19</f>
        <v>271400</v>
      </c>
      <c r="C21" s="27">
        <f>C5+C8+C14+C19</f>
        <v>310442</v>
      </c>
      <c r="D21" s="27">
        <f>D5+D8+D14+D19</f>
        <v>351602</v>
      </c>
      <c r="E21" s="27">
        <f>E5+E8+E14+E19</f>
        <v>389506</v>
      </c>
      <c r="F21" s="27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19" t="s">
        <v>142</v>
      </c>
      <c r="B3" s="26">
        <v>34064.39316600799</v>
      </c>
      <c r="C3" s="26">
        <v>34064.39316600799</v>
      </c>
      <c r="D3" s="26">
        <v>34064.39316600799</v>
      </c>
      <c r="E3" s="26">
        <v>34064.39316600799</v>
      </c>
      <c r="F3" s="26">
        <v>34064.39316600799</v>
      </c>
    </row>
    <row r="4" spans="1:6" x14ac:dyDescent="0.25">
      <c r="A4" s="19" t="s">
        <v>143</v>
      </c>
      <c r="B4" s="26">
        <v>25000</v>
      </c>
      <c r="C4" s="26">
        <v>10000</v>
      </c>
      <c r="D4" s="26">
        <v>10000</v>
      </c>
      <c r="E4" s="26">
        <v>5000</v>
      </c>
      <c r="F4" s="26">
        <v>5000</v>
      </c>
    </row>
    <row r="5" ht="24" customHeight="1" spans="1:6" x14ac:dyDescent="0.25">
      <c r="A5" s="8" t="s">
        <v>144</v>
      </c>
      <c r="B5" s="27">
        <f>SUM(B3:B4)</f>
        <v>59064</v>
      </c>
      <c r="C5" s="27">
        <f>SUM(C3:C4)</f>
        <v>44064</v>
      </c>
      <c r="D5" s="27">
        <f>SUM(D3:D4)</f>
        <v>44064</v>
      </c>
      <c r="E5" s="27">
        <f>SUM(E3:E4)</f>
        <v>39064</v>
      </c>
      <c r="F5" s="27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145</v>
      </c>
      <c r="B2" s="26">
        <f>'Revenue Schedule'!B21</f>
        <v>1975000</v>
      </c>
      <c r="C2" s="26">
        <f>'Revenue Schedule'!C21</f>
        <v>2612670</v>
      </c>
      <c r="D2" s="26">
        <f>'Revenue Schedule'!D21</f>
        <v>3286760</v>
      </c>
      <c r="E2" s="26">
        <f>'Revenue Schedule'!E21</f>
        <v>3895050</v>
      </c>
      <c r="F2" s="26">
        <f>'Revenue Schedule'!F21</f>
        <v>4323000</v>
      </c>
    </row>
    <row r="3" spans="1:6" x14ac:dyDescent="0.25">
      <c r="A3" s="19" t="s">
        <v>146</v>
      </c>
      <c r="B3" s="26">
        <f>'Staffing &amp; Personnel'!B25</f>
        <v>854772</v>
      </c>
      <c r="C3" s="26">
        <f>'Staffing &amp; Personnel'!C25</f>
        <v>854772</v>
      </c>
      <c r="D3" s="26">
        <f>'Staffing &amp; Personnel'!D25</f>
        <v>854772</v>
      </c>
      <c r="E3" s="26">
        <f>'Staffing &amp; Personnel'!E25</f>
        <v>854772</v>
      </c>
      <c r="F3" s="26">
        <f>'Staffing &amp; Personnel'!F25</f>
        <v>854772</v>
      </c>
    </row>
    <row r="4" spans="1:6" x14ac:dyDescent="0.25">
      <c r="A4" s="19" t="s">
        <v>17</v>
      </c>
      <c r="B4" s="26">
        <f>'Operating Expenses'!B21</f>
        <v>271400</v>
      </c>
      <c r="C4" s="26">
        <f>'Operating Expenses'!C21</f>
        <v>310442</v>
      </c>
      <c r="D4" s="26">
        <f>'Operating Expenses'!D21</f>
        <v>351602</v>
      </c>
      <c r="E4" s="26">
        <f>'Operating Expenses'!E21</f>
        <v>389506</v>
      </c>
      <c r="F4" s="26">
        <f>'Operating Expenses'!F21</f>
        <v>417907</v>
      </c>
    </row>
    <row r="5" spans="1:6" x14ac:dyDescent="0.25">
      <c r="A5" s="19" t="s">
        <v>18</v>
      </c>
      <c r="B5" s="26">
        <f>'Capital &amp; Debt'!B5</f>
        <v>59064</v>
      </c>
      <c r="C5" s="26">
        <f>'Capital &amp; Debt'!C5</f>
        <v>44064</v>
      </c>
      <c r="D5" s="26">
        <f>'Capital &amp; Debt'!D5</f>
        <v>44064</v>
      </c>
      <c r="E5" s="26">
        <f>'Capital &amp; Debt'!E5</f>
        <v>39064</v>
      </c>
      <c r="F5" s="26">
        <f>'Capital &amp; Debt'!F5</f>
        <v>39064</v>
      </c>
    </row>
    <row r="6" ht="24" customHeight="1" spans="1:6" x14ac:dyDescent="0.25">
      <c r="A6" s="8" t="s">
        <v>147</v>
      </c>
      <c r="B6" s="27">
        <f>B3+B4+B5</f>
        <v>1185236</v>
      </c>
      <c r="C6" s="27">
        <f>C3+C4+C5</f>
        <v>1209278</v>
      </c>
      <c r="D6" s="27">
        <f>D3+D4+D5</f>
        <v>1250438</v>
      </c>
      <c r="E6" s="27">
        <f>E3+E4+E5</f>
        <v>1283342</v>
      </c>
      <c r="F6" s="27">
        <f>F3+F4+F5</f>
        <v>1311743</v>
      </c>
    </row>
    <row r="7" ht="24" customHeight="1" spans="1:6" x14ac:dyDescent="0.25">
      <c r="A7" s="8" t="s">
        <v>148</v>
      </c>
      <c r="B7" s="27">
        <f>B2-B6</f>
        <v>789764</v>
      </c>
      <c r="C7" s="27">
        <f>C2-C6</f>
        <v>1403392</v>
      </c>
      <c r="D7" s="27">
        <f>D2-D6</f>
        <v>2036322</v>
      </c>
      <c r="E7" s="27">
        <f>E2-E6</f>
        <v>2611708</v>
      </c>
      <c r="F7" s="27">
        <f>F2-F6</f>
        <v>3011257</v>
      </c>
    </row>
    <row r="8" spans="1:6" x14ac:dyDescent="0.25">
      <c r="A8" s="19" t="s">
        <v>149</v>
      </c>
      <c r="B8" s="26">
        <f>B7</f>
        <v>789764</v>
      </c>
      <c r="C8" s="26">
        <f>B8+C7</f>
        <v>2193156</v>
      </c>
      <c r="D8" s="26">
        <f>C8+D7</f>
        <v>4229478</v>
      </c>
      <c r="E8" s="26">
        <f>D8+E7</f>
        <v>6841186</v>
      </c>
      <c r="F8" s="26">
        <f>E8+F7</f>
        <v>9852443</v>
      </c>
    </row>
    <row r="9" spans="1:6" x14ac:dyDescent="0.25">
      <c r="A9" s="19" t="s">
        <v>11</v>
      </c>
      <c r="B9" s="34">
        <f>IF(B6=0,0,IF(B8&gt;0,B8/(B6/12),0))</f>
        <v>7.996017670742367</v>
      </c>
      <c r="C9" s="34">
        <f>IF(C6=0,0,IF(C8&gt;0,C8/(C6/12),0))</f>
        <v>21.763293469326324</v>
      </c>
      <c r="D9" s="34">
        <f>IF(D6=0,0,IF(D8&gt;0,D8/(D6/12),0))</f>
        <v>40.58876649621972</v>
      </c>
      <c r="E9" s="34">
        <f>IF(E6=0,0,IF(E8&gt;0,E8/(E6/12),0))</f>
        <v>63.969099429458396</v>
      </c>
      <c r="F9" s="34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24</v>
      </c>
      <c r="B4" s="8"/>
      <c r="C4" s="8"/>
      <c r="D4" s="8"/>
      <c r="E4" s="8"/>
      <c r="F4" s="8"/>
    </row>
    <row r="5" spans="1:2" x14ac:dyDescent="0.25">
      <c r="A5" s="19" t="s">
        <v>25</v>
      </c>
      <c r="B5" s="20" t="s">
        <v>3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26</v>
      </c>
      <c r="B10" s="20" t="s">
        <v>27</v>
      </c>
    </row>
    <row r="11" spans="1:2" x14ac:dyDescent="0.25">
      <c r="A11" s="19" t="s">
        <v>39</v>
      </c>
      <c r="B11" s="20" t="s">
        <v>40</v>
      </c>
    </row>
    <row r="12" spans="1:2" x14ac:dyDescent="0.25">
      <c r="A12" s="19" t="s">
        <v>38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65</v>
      </c>
      <c r="B15" s="24" t="s">
        <v>66</v>
      </c>
      <c r="C15" s="24" t="s">
        <v>67</v>
      </c>
      <c r="D15" s="24" t="s">
        <v>68</v>
      </c>
      <c r="E15" s="24" t="s">
        <v>69</v>
      </c>
      <c r="F15" s="24" t="s">
        <v>70</v>
      </c>
    </row>
    <row r="16" spans="1:6" x14ac:dyDescent="0.25">
      <c r="A16" s="19" t="s">
        <v>71</v>
      </c>
      <c r="B16" s="25">
        <f>'Revenue Schedule'!B2</f>
        <v>100</v>
      </c>
      <c r="C16" s="25">
        <f>'Revenue Schedule'!C2</f>
        <v>130</v>
      </c>
      <c r="D16" s="25">
        <f>'Revenue Schedule'!D2</f>
        <v>160</v>
      </c>
      <c r="E16" s="25">
        <f>'Revenue Schedule'!E2</f>
        <v>185</v>
      </c>
      <c r="F16" s="25">
        <f>'Revenue Schedule'!F2</f>
        <v>200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0.3</v>
      </c>
      <c r="D17" s="37">
        <f>IF(C16=0,0,(D16-C16)/C16)</f>
        <v>0.23076923076923078</v>
      </c>
      <c r="E17" s="37">
        <f>IF(D16=0,0,(E16-D16)/D16)</f>
        <v>0.15625</v>
      </c>
      <c r="F17" s="37">
        <f>IF(E16=0,0,(F16-E16)/E16)</f>
        <v>0.08108108108108109</v>
      </c>
    </row>
    <row r="19" ht="28" customHeight="1" spans="1:6" x14ac:dyDescent="0.25">
      <c r="A19" s="24" t="s">
        <v>65</v>
      </c>
      <c r="B19" s="24" t="s">
        <v>66</v>
      </c>
      <c r="C19" s="24" t="s">
        <v>67</v>
      </c>
      <c r="D19" s="24" t="s">
        <v>68</v>
      </c>
      <c r="E19" s="24" t="s">
        <v>69</v>
      </c>
      <c r="F19" s="24" t="s">
        <v>70</v>
      </c>
    </row>
    <row r="20" spans="1:6" x14ac:dyDescent="0.25">
      <c r="A20" s="19" t="s">
        <v>145</v>
      </c>
      <c r="B20" s="26">
        <f>'Financial Model'!B2</f>
        <v>1975000</v>
      </c>
      <c r="C20" s="26">
        <f>'Financial Model'!C2</f>
        <v>2612670</v>
      </c>
      <c r="D20" s="26">
        <f>'Financial Model'!D2</f>
        <v>3286760</v>
      </c>
      <c r="E20" s="26">
        <f>'Financial Model'!E2</f>
        <v>3895050</v>
      </c>
      <c r="F20" s="26">
        <f>'Financial Model'!F2</f>
        <v>4323000</v>
      </c>
    </row>
    <row r="21" spans="1:6" x14ac:dyDescent="0.25">
      <c r="A21" s="19" t="s">
        <v>146</v>
      </c>
      <c r="B21" s="26">
        <f>'Financial Model'!B3</f>
        <v>854772</v>
      </c>
      <c r="C21" s="26">
        <f>'Financial Model'!C3</f>
        <v>854772</v>
      </c>
      <c r="D21" s="26">
        <f>'Financial Model'!D3</f>
        <v>854772</v>
      </c>
      <c r="E21" s="26">
        <f>'Financial Model'!E3</f>
        <v>854772</v>
      </c>
      <c r="F21" s="26">
        <f>'Financial Model'!F3</f>
        <v>854772</v>
      </c>
    </row>
    <row r="22" spans="1:6" x14ac:dyDescent="0.25">
      <c r="A22" s="19" t="s">
        <v>17</v>
      </c>
      <c r="B22" s="26">
        <f>'Financial Model'!B4</f>
        <v>271400</v>
      </c>
      <c r="C22" s="26">
        <f>'Financial Model'!C4</f>
        <v>310442</v>
      </c>
      <c r="D22" s="26">
        <f>'Financial Model'!D4</f>
        <v>351602</v>
      </c>
      <c r="E22" s="26">
        <f>'Financial Model'!E4</f>
        <v>389506</v>
      </c>
      <c r="F22" s="26">
        <f>'Financial Model'!F4</f>
        <v>417907</v>
      </c>
    </row>
    <row r="23" ht="24" customHeight="1" spans="1:6" x14ac:dyDescent="0.25">
      <c r="A23" s="8" t="s">
        <v>147</v>
      </c>
      <c r="B23" s="27">
        <f>'Financial Model'!B6</f>
        <v>1185236</v>
      </c>
      <c r="C23" s="27">
        <f>'Financial Model'!C6</f>
        <v>1209278</v>
      </c>
      <c r="D23" s="27">
        <f>'Financial Model'!D6</f>
        <v>1250438</v>
      </c>
      <c r="E23" s="27">
        <f>'Financial Model'!E6</f>
        <v>1283342</v>
      </c>
      <c r="F23" s="27">
        <f>'Financial Model'!F6</f>
        <v>1311743</v>
      </c>
    </row>
    <row r="24" spans="1:6" x14ac:dyDescent="0.25">
      <c r="A24" s="20" t="s">
        <v>148</v>
      </c>
      <c r="B24" s="38">
        <f>'Financial Model'!B7</f>
        <v>789764</v>
      </c>
      <c r="C24" s="38">
        <f>'Financial Model'!C7</f>
        <v>1403392</v>
      </c>
      <c r="D24" s="38">
        <f>'Financial Model'!D7</f>
        <v>2036322</v>
      </c>
      <c r="E24" s="38">
        <f>'Financial Model'!E7</f>
        <v>2611708</v>
      </c>
      <c r="F24" s="38">
        <f>'Financial Model'!F7</f>
        <v>3011257</v>
      </c>
    </row>
    <row r="25" spans="1:6" x14ac:dyDescent="0.25">
      <c r="A25" s="19" t="s">
        <v>149</v>
      </c>
      <c r="B25" s="26">
        <f>'Financial Model'!B8</f>
        <v>789764</v>
      </c>
      <c r="C25" s="26">
        <f>'Financial Model'!C8</f>
        <v>2193156</v>
      </c>
      <c r="D25" s="26">
        <f>'Financial Model'!D8</f>
        <v>4229478</v>
      </c>
      <c r="E25" s="26">
        <f>'Financial Model'!E8</f>
        <v>6841186</v>
      </c>
      <c r="F25" s="26">
        <f>'Financial Model'!F8</f>
        <v>9852443</v>
      </c>
    </row>
    <row r="26" spans="1:6" x14ac:dyDescent="0.25">
      <c r="A26" s="20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19750</v>
      </c>
      <c r="C29" s="26">
        <f>IF('Revenue Schedule'!C2=0,0,C20/'Revenue Schedule'!C2)</f>
        <v>20097.46153846154</v>
      </c>
      <c r="D29" s="26">
        <f>IF('Revenue Schedule'!D2=0,0,D20/'Revenue Schedule'!D2)</f>
        <v>20542.25</v>
      </c>
      <c r="E29" s="26">
        <f>IF('Revenue Schedule'!E2=0,0,E20/'Revenue Schedule'!E2)</f>
        <v>21054.324324324323</v>
      </c>
      <c r="F29" s="26">
        <f>IF('Revenue Schedule'!F2=0,0,F20/'Revenue Schedule'!F2)</f>
        <v>21615</v>
      </c>
    </row>
    <row r="30" spans="1:6" x14ac:dyDescent="0.25">
      <c r="A30" s="19" t="s">
        <v>158</v>
      </c>
      <c r="B30" s="37">
        <f>IF(B20=0,0,'Financial Model'!B3/B20)</f>
        <v>0.4327959493670886</v>
      </c>
      <c r="C30" s="37">
        <f>IF(C20=0,0,'Financial Model'!C3/C20)</f>
        <v>0.3271641653940222</v>
      </c>
      <c r="D30" s="37">
        <f>IF(D20=0,0,'Financial Model'!D3/D20)</f>
        <v>0.26006523141330673</v>
      </c>
      <c r="E30" s="37">
        <f>IF(E20=0,0,'Financial Model'!E3/E20)</f>
        <v>0.21945084145261293</v>
      </c>
      <c r="F30" s="37">
        <f>IF(F20=0,0,'Financial Model'!F3/F20)</f>
        <v>0.1977265787647467</v>
      </c>
    </row>
    <row r="31" spans="1:6" x14ac:dyDescent="0.25">
      <c r="A31" s="19" t="s">
        <v>159</v>
      </c>
      <c r="B31" s="37">
        <f>IF(B20=0,0,'Financial Model'!B4/B20)</f>
        <v>0.13741772151898735</v>
      </c>
      <c r="C31" s="37">
        <f>IF(C20=0,0,'Financial Model'!C4/C20)</f>
        <v>0.11882174174312102</v>
      </c>
      <c r="D31" s="37">
        <f>IF(D20=0,0,'Financial Model'!D4/D20)</f>
        <v>0.10697525830909467</v>
      </c>
      <c r="E31" s="37">
        <f>IF(E20=0,0,'Financial Model'!E4/E20)</f>
        <v>0.10000025673611379</v>
      </c>
      <c r="F31" s="37">
        <f>IF(F20=0,0,'Financial Model'!F4/F20)</f>
        <v>0.0966705991209808</v>
      </c>
    </row>
    <row r="32" spans="1:6" x14ac:dyDescent="0.25">
      <c r="A32" s="20" t="s">
        <v>160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0.5675057208237986</v>
      </c>
      <c r="C35" s="37">
        <v>0.5732777238345675</v>
      </c>
      <c r="D35" s="37">
        <v>0.5768052612509744</v>
      </c>
      <c r="E35" s="37">
        <v>0.5789280554886744</v>
      </c>
      <c r="F35" s="37">
        <v>0.5801743191959632</v>
      </c>
    </row>
    <row r="36" spans="1:6" x14ac:dyDescent="0.25">
      <c r="A36" s="19" t="s">
        <v>163</v>
      </c>
      <c r="B36" s="37">
        <v>0.39816933638443935</v>
      </c>
      <c r="C36" s="37">
        <v>0.4025342174644695</v>
      </c>
      <c r="D36" s="37">
        <v>0.4053534765757952</v>
      </c>
      <c r="E36" s="37">
        <v>0.4071812549774971</v>
      </c>
      <c r="F36" s="37">
        <v>0.4083573126485675</v>
      </c>
    </row>
    <row r="37" spans="1:6" x14ac:dyDescent="0.25">
      <c r="A37" s="19" t="s">
        <v>164</v>
      </c>
      <c r="B37" s="37">
        <v>0.034324942791762014</v>
      </c>
      <c r="C37" s="37">
        <v>0.02418805870096303</v>
      </c>
      <c r="D37" s="37">
        <v>0.01784126217323042</v>
      </c>
      <c r="E37" s="37">
        <v>0.01389068953382846</v>
      </c>
      <c r="F37" s="37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165</v>
      </c>
      <c r="B3" s="8"/>
    </row>
    <row r="4" spans="1:2" x14ac:dyDescent="0.25">
      <c r="A4" s="19" t="s">
        <v>166</v>
      </c>
      <c r="B4" s="21">
        <v>85</v>
      </c>
    </row>
    <row r="5" spans="1:2" x14ac:dyDescent="0.25">
      <c r="A5" s="19" t="s">
        <v>145</v>
      </c>
      <c r="B5" s="31">
        <v>1200000</v>
      </c>
    </row>
    <row r="6" spans="1:2" x14ac:dyDescent="0.25">
      <c r="A6" s="19" t="s">
        <v>147</v>
      </c>
      <c r="B6" s="31">
        <v>1150000</v>
      </c>
    </row>
    <row r="7" spans="1:2" x14ac:dyDescent="0.25">
      <c r="A7" s="19" t="s">
        <v>167</v>
      </c>
      <c r="B7" s="31">
        <v>75000</v>
      </c>
    </row>
    <row r="8" spans="1:2" x14ac:dyDescent="0.25">
      <c r="A8" s="19" t="s">
        <v>168</v>
      </c>
      <c r="B8" s="31">
        <v>50000</v>
      </c>
    </row>
    <row r="9" spans="1:2" x14ac:dyDescent="0.25">
      <c r="A9" s="19" t="s">
        <v>169</v>
      </c>
      <c r="B9" s="39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2026-03-17T17:38:18Z</dcterms:created>
  <dcterms:modified xsi:type="dcterms:W3CDTF">2026-03-17T17:38:18Z</dcterms:modified>
</cp:coreProperties>
</file>