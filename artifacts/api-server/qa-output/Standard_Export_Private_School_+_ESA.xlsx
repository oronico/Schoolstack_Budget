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Health'!$A1:$H40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<sst xmlns="http://schemas.openxmlformats.org/spreadsheetml/2006/main" count="335" uniqueCount="237">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</sst>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>
        <f>SUM(B14:B15)</f>
        <v>75000</v>
      </c>
      <c r="C16" s="31">
        <f>SUM(C14:C15)</f>
        <v>70000</v>
      </c>
      <c r="D16" s="31">
        <f>SUM(D14:D15)</f>
        <v>65000</v>
      </c>
      <c r="E16" s="31">
        <f>SUM(E14:E15)</f>
        <v>60000</v>
      </c>
      <c r="F16" s="31">
        <f>SUM(F14:F15)</f>
        <v>55000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7" x14ac:dyDescent="0.25">
      <c r="B16" s="55" t="s">
        <v>188</v>
      </c>
      <c r="C16" s="60">
        <v>11602.36393166008</v>
      </c>
      <c r="D16" s="60">
        <v>9225.218408969291</v>
      </c>
      <c r="E16" s="60">
        <v>7752.739957287549</v>
      </c>
      <c r="F16" s="60">
        <v>6909.958881978421</v>
      </c>
      <c r="G16" s="60">
        <v>6533.71696583004</v>
      </c>
    </row>
    <row r="17" spans="2:7" x14ac:dyDescent="0.25">
      <c r="B17" s="9" t="s">
        <v>189</v>
      </c>
      <c r="C17" s="54">
        <v>600</v>
      </c>
      <c r="D17" s="54">
        <v>618</v>
      </c>
      <c r="E17" s="54">
        <v>637</v>
      </c>
      <c r="F17" s="54">
        <v>656</v>
      </c>
      <c r="G17" s="54">
        <v>675</v>
      </c>
    </row>
    <row r="18" spans="2:8" x14ac:dyDescent="0.25">
      <c r="B18" s="9" t="s">
        <v>190</v>
      </c>
      <c r="C18" s="58">
        <v>1364</v>
      </c>
      <c r="D18" s="58">
        <v>1080.7076923076922</v>
      </c>
      <c r="E18" s="58">
        <v>904.4112499999999</v>
      </c>
      <c r="F18" s="58">
        <v>805.6494810810811</v>
      </c>
      <c r="G18" s="58">
        <v>767.5594931</v>
      </c>
      <c r="H18" s="59" t="s">
        <v>191</v>
      </c>
    </row>
    <row r="19" spans="2:7" x14ac:dyDescent="0.25">
      <c r="B19" s="55" t="s">
        <v>192</v>
      </c>
      <c r="C19" s="61">
        <v>7897.64</v>
      </c>
      <c r="D19" s="61">
        <v>10795.323076923078</v>
      </c>
      <c r="E19" s="61">
        <v>12727.0125</v>
      </c>
      <c r="F19" s="61">
        <v>14117.340540540541</v>
      </c>
      <c r="G19" s="61">
        <v>15056.285</v>
      </c>
    </row>
    <row r="20" spans="2:8" x14ac:dyDescent="0.25">
      <c r="B20" s="55" t="s">
        <v>193</v>
      </c>
      <c r="C20" s="57">
        <v>0.4327959493670886</v>
      </c>
      <c r="D20" s="57">
        <v>0.3271641653940222</v>
      </c>
      <c r="E20" s="57">
        <v>0.26006523141330673</v>
      </c>
      <c r="F20" s="57">
        <v>0.21945084145261293</v>
      </c>
      <c r="G20" s="57">
        <v>0.1977265787647467</v>
      </c>
      <c r="H20" s="59" t="s">
        <v>194</v>
      </c>
    </row>
    <row r="21" spans="2:8" x14ac:dyDescent="0.25">
      <c r="B21" s="55" t="s">
        <v>195</v>
      </c>
      <c r="C21" s="57">
        <v>0.0690632911392405</v>
      </c>
      <c r="D21" s="57">
        <v>0.053773342978638713</v>
      </c>
      <c r="E21" s="57">
        <v>0.04402688361790943</v>
      </c>
      <c r="F21" s="57">
        <v>0.038265273616513266</v>
      </c>
      <c r="G21" s="57">
        <v>0.0355105016470044</v>
      </c>
      <c r="H21" s="59" t="s">
        <v>196</v>
      </c>
    </row>
    <row r="22" spans="2:8" x14ac:dyDescent="0.25">
      <c r="B22" s="55" t="s">
        <v>197</v>
      </c>
      <c r="C22" s="57">
        <v>0.42978632911392406</v>
      </c>
      <c r="D22" s="57">
        <v>0.5540140928628567</v>
      </c>
      <c r="E22" s="57">
        <v>0.6329595102775986</v>
      </c>
      <c r="F22" s="57">
        <v>0.6805489018112733</v>
      </c>
      <c r="G22" s="57">
        <v>0.7056028221142725</v>
      </c>
      <c r="H22" s="59" t="s">
        <v>198</v>
      </c>
    </row>
    <row r="23" spans="2:8" x14ac:dyDescent="0.25">
      <c r="B23" s="55" t="s">
        <v>199</v>
      </c>
      <c r="C23" s="62">
        <v>4</v>
      </c>
      <c r="D23" s="62">
        <v>4</v>
      </c>
      <c r="E23" s="62">
        <v>4</v>
      </c>
      <c r="F23" s="62">
        <v>4</v>
      </c>
      <c r="G23" s="62">
        <v>4</v>
      </c>
      <c r="H23" s="59" t="s">
        <v>200</v>
      </c>
    </row>
    <row r="24" spans="2:8" x14ac:dyDescent="0.25">
      <c r="B24" s="55" t="s">
        <v>201</v>
      </c>
      <c r="C24" s="63">
        <v>24.918336160088252</v>
      </c>
      <c r="D24" s="63">
        <v>42.49175944353473</v>
      </c>
      <c r="E24" s="63">
        <v>61.07215795277884</v>
      </c>
      <c r="F24" s="63">
        <v>77.81650437986194</v>
      </c>
      <c r="G24" s="63">
        <v>89.54573137806075</v>
      </c>
      <c r="H24" s="59" t="s">
        <v>202</v>
      </c>
    </row>
    <row r="25" spans="2:8" x14ac:dyDescent="0.25">
      <c r="B25" s="55" t="s">
        <v>203</v>
      </c>
      <c r="C25" s="40" t="str">
        <f>IF('Financial Model'!B8&gt;=0,"✓ Break-even","")</f>
        <v>✓ Break-even</v>
      </c>
      <c r="D25" s="64" t="str">
        <f>IF(AND('Financial Model'!C8&gt;=0,'Financial Model'!B8&lt;0),"✓ Break-even","")</f>
        <v>0</v>
      </c>
      <c r="E25" s="64" t="str">
        <f>IF(AND('Financial Model'!D8&gt;=0,'Financial Model'!C8&lt;0),"✓ Break-even","")</f>
        <v>0</v>
      </c>
      <c r="F25" s="64" t="str">
        <f>IF(AND('Financial Model'!E8&gt;=0,'Financial Model'!D8&lt;0),"✓ Break-even","")</f>
        <v>0</v>
      </c>
      <c r="G25" s="64" t="str">
        <f>IF(AND('Financial Model'!F8&gt;=0,'Financial Model'!E8&lt;0),"✓ Break-even","")</f>
        <v>0</v>
      </c>
      <c r="H25" s="59" t="s">
        <v>68</v>
      </c>
    </row>
    <row r="26" spans="2:8" x14ac:dyDescent="0.25">
      <c r="B26" s="55" t="s">
        <v>204</v>
      </c>
      <c r="C26" s="65">
        <v>9</v>
      </c>
      <c r="D26" s="66">
        <v>23</v>
      </c>
      <c r="E26" s="62">
        <v>42</v>
      </c>
      <c r="F26" s="67" t="s">
        <v>205</v>
      </c>
      <c r="G26" s="67" t="s">
        <v>205</v>
      </c>
      <c r="H26" s="59" t="s">
        <v>206</v>
      </c>
    </row>
    <row r="27" spans="2:8" x14ac:dyDescent="0.25">
      <c r="B27" s="55" t="s">
        <v>207</v>
      </c>
      <c r="C27" s="62">
        <v>272</v>
      </c>
      <c r="D27" s="62">
        <v>690</v>
      </c>
      <c r="E27" s="62">
        <v>1267</v>
      </c>
      <c r="F27" s="62">
        <v>1975</v>
      </c>
      <c r="G27" s="62">
        <v>2773</v>
      </c>
      <c r="H27" s="59" t="s">
        <v>208</v>
      </c>
    </row>
    <row r="29" ht="24" customHeight="1" spans="2:8" x14ac:dyDescent="0.25">
      <c r="B29" s="8" t="s">
        <v>209</v>
      </c>
      <c r="C29" s="8" t="s">
        <v>210</v>
      </c>
      <c r="D29" s="8" t="s">
        <v>211</v>
      </c>
      <c r="E29" s="8"/>
      <c r="F29" s="8" t="s">
        <v>212</v>
      </c>
      <c r="G29" s="8"/>
      <c r="H29" s="8"/>
    </row>
    <row r="30" ht="45" customHeight="1" spans="2:8" x14ac:dyDescent="0.25">
      <c r="B30" s="68" t="s">
        <v>213</v>
      </c>
      <c r="C30" s="40" t="s">
        <v>214</v>
      </c>
      <c r="D30" s="69" t="s">
        <v>215</v>
      </c>
      <c r="E30" s="69"/>
      <c r="F30" s="70" t="s">
        <v>216</v>
      </c>
      <c r="G30" s="70"/>
      <c r="H30" s="70"/>
    </row>
    <row r="31" ht="45" customHeight="1" spans="2:8" x14ac:dyDescent="0.25">
      <c r="B31" s="68" t="s">
        <v>217</v>
      </c>
      <c r="C31" s="40" t="s">
        <v>214</v>
      </c>
      <c r="D31" s="69" t="s">
        <v>218</v>
      </c>
      <c r="E31" s="69"/>
      <c r="F31" s="70" t="s">
        <v>219</v>
      </c>
      <c r="G31" s="70"/>
      <c r="H31" s="70"/>
    </row>
    <row r="32" ht="45" customHeight="1" spans="2:8" x14ac:dyDescent="0.25">
      <c r="B32" s="68" t="s">
        <v>220</v>
      </c>
      <c r="C32" s="40" t="s">
        <v>214</v>
      </c>
      <c r="D32" s="69" t="s">
        <v>221</v>
      </c>
      <c r="E32" s="69"/>
      <c r="F32" s="70" t="s">
        <v>222</v>
      </c>
      <c r="G32" s="70"/>
      <c r="H32" s="70"/>
    </row>
    <row r="33" ht="45" customHeight="1" spans="2:8" x14ac:dyDescent="0.25">
      <c r="B33" s="68" t="s">
        <v>223</v>
      </c>
      <c r="C33" s="40" t="s">
        <v>214</v>
      </c>
      <c r="D33" s="69" t="s">
        <v>224</v>
      </c>
      <c r="E33" s="69"/>
      <c r="F33" s="70" t="s">
        <v>225</v>
      </c>
      <c r="G33" s="70"/>
      <c r="H33" s="70"/>
    </row>
    <row r="34" ht="45" customHeight="1" spans="2:8" x14ac:dyDescent="0.25">
      <c r="B34" s="68" t="s">
        <v>226</v>
      </c>
      <c r="C34" s="40" t="s">
        <v>214</v>
      </c>
      <c r="D34" s="69" t="s">
        <v>227</v>
      </c>
      <c r="E34" s="69"/>
      <c r="F34" s="70" t="s">
        <v>228</v>
      </c>
      <c r="G34" s="70"/>
      <c r="H34" s="70"/>
    </row>
    <row r="35" ht="45" customHeight="1" spans="2:8" x14ac:dyDescent="0.25">
      <c r="B35" s="68" t="s">
        <v>229</v>
      </c>
      <c r="C35" s="40" t="s">
        <v>214</v>
      </c>
      <c r="D35" s="69" t="s">
        <v>230</v>
      </c>
      <c r="E35" s="69"/>
      <c r="F35" s="70" t="s">
        <v>231</v>
      </c>
      <c r="G35" s="70"/>
      <c r="H35" s="70"/>
    </row>
    <row r="36" ht="45" customHeight="1" spans="2:8" x14ac:dyDescent="0.25">
      <c r="B36" s="68" t="s">
        <v>232</v>
      </c>
      <c r="C36" s="40" t="s">
        <v>214</v>
      </c>
      <c r="D36" s="69" t="s">
        <v>233</v>
      </c>
      <c r="E36" s="69"/>
      <c r="F36" s="70" t="s">
        <v>234</v>
      </c>
      <c r="G36" s="70"/>
      <c r="H36" s="70"/>
    </row>
    <row r="38" spans="2:6" x14ac:dyDescent="0.25">
      <c r="B38" s="68" t="s">
        <v>20</v>
      </c>
      <c r="C38" s="55" t="s">
        <v>235</v>
      </c>
      <c r="D38" s="55"/>
      <c r="E38" s="55"/>
      <c r="F38" s="55"/>
    </row>
    <row r="40" spans="2:8" x14ac:dyDescent="0.25">
      <c r="B40" s="71" t="s">
        <v>236</v>
      </c>
      <c r="C40" s="71"/>
      <c r="D40" s="71"/>
      <c r="E40" s="71"/>
      <c r="F40" s="71"/>
      <c r="G40" s="71"/>
      <c r="H40" s="71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2026-03-27T08:08:11Z</dcterms:created>
  <dcterms:modified xsi:type="dcterms:W3CDTF">2026-03-27T08:08:11Z</dcterms:modified>
</cp:coreProperties>
</file>