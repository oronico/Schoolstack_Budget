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<sst xmlns="http://schemas.openxmlformats.org/spreadsheetml/2006/main" count="339" uniqueCount="238">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</sst>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 t="s">
        <v>46</v>
      </c>
    </row>
    <row r="16" spans="1:2" x14ac:dyDescent="0.25">
      <c r="A16" s="22" t="s">
        <v>47</v>
      </c>
      <c r="B16" s="23" t="s">
        <v>48</v>
      </c>
    </row>
    <row r="17" spans="1:2" x14ac:dyDescent="0.25">
      <c r="A17" s="22" t="s">
        <v>49</v>
      </c>
      <c r="B17" s="23" t="s">
        <v>50</v>
      </c>
    </row>
    <row r="18" spans="1:2" x14ac:dyDescent="0.25">
      <c r="A18" s="22" t="s">
        <v>51</v>
      </c>
      <c r="B18" s="23" t="s">
        <v>52</v>
      </c>
    </row>
    <row r="19" spans="1:2" x14ac:dyDescent="0.25">
      <c r="A19" s="22" t="s">
        <v>53</v>
      </c>
      <c r="B19" s="23" t="s">
        <v>54</v>
      </c>
    </row>
    <row r="20" spans="1:2" x14ac:dyDescent="0.25">
      <c r="A20" s="22" t="s">
        <v>55</v>
      </c>
      <c r="B20" s="23" t="s">
        <v>56</v>
      </c>
    </row>
    <row r="22" ht="24" customHeight="1" spans="1:2" x14ac:dyDescent="0.25">
      <c r="A22" s="8" t="s">
        <v>57</v>
      </c>
      <c r="B22" s="8"/>
    </row>
    <row r="23" spans="1:2" x14ac:dyDescent="0.25">
      <c r="A23" s="22" t="s">
        <v>58</v>
      </c>
      <c r="B23" s="24">
        <v>100</v>
      </c>
    </row>
    <row r="24" spans="1:2" x14ac:dyDescent="0.25">
      <c r="A24" s="22" t="s">
        <v>59</v>
      </c>
      <c r="B24" s="24">
        <v>130</v>
      </c>
    </row>
    <row r="25" spans="1:2" x14ac:dyDescent="0.25">
      <c r="A25" s="22" t="s">
        <v>60</v>
      </c>
      <c r="B25" s="24">
        <v>160</v>
      </c>
    </row>
    <row r="26" spans="1:2" x14ac:dyDescent="0.25">
      <c r="A26" s="22" t="s">
        <v>61</v>
      </c>
      <c r="B26" s="24">
        <v>185</v>
      </c>
    </row>
    <row r="27" spans="1:2" x14ac:dyDescent="0.25">
      <c r="A27" s="22" t="s">
        <v>62</v>
      </c>
      <c r="B27" s="24">
        <v>200</v>
      </c>
    </row>
    <row r="29" ht="24" customHeight="1" spans="1:2" x14ac:dyDescent="0.25">
      <c r="A29" s="8" t="s">
        <v>63</v>
      </c>
      <c r="B29" s="8"/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5">
        <v>0</v>
      </c>
    </row>
    <row r="32" spans="1:2" x14ac:dyDescent="0.25">
      <c r="A32" s="22" t="s">
        <v>66</v>
      </c>
      <c r="B32" s="26">
        <v>1</v>
      </c>
    </row>
    <row r="33" spans="1:2" x14ac:dyDescent="0.25">
      <c r="A33" s="22" t="s">
        <v>67</v>
      </c>
      <c r="B33" s="27" t="s">
        <v>68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69</v>
      </c>
      <c r="C1" s="28" t="s">
        <v>70</v>
      </c>
      <c r="D1" s="28" t="s">
        <v>71</v>
      </c>
      <c r="E1" s="28" t="s">
        <v>72</v>
      </c>
      <c r="F1" s="28" t="s">
        <v>73</v>
      </c>
    </row>
    <row r="2" spans="1:6" x14ac:dyDescent="0.25">
      <c r="A2" s="22" t="s">
        <v>74</v>
      </c>
      <c r="B2" s="29">
        <f>Assumptions!B23</f>
        <v>100</v>
      </c>
      <c r="C2" s="29">
        <f>Assumptions!B24</f>
        <v>130</v>
      </c>
      <c r="D2" s="29">
        <f>Assumptions!B25</f>
        <v>160</v>
      </c>
      <c r="E2" s="29">
        <f>Assumptions!B26</f>
        <v>185</v>
      </c>
      <c r="F2" s="29">
        <f>Assumptions!B27</f>
        <v>200</v>
      </c>
    </row>
    <row r="3" ht="24" customHeight="1" spans="1:6" x14ac:dyDescent="0.25">
      <c r="A3" s="8" t="s">
        <v>75</v>
      </c>
      <c r="B3" s="8"/>
      <c r="C3" s="8"/>
      <c r="D3" s="8"/>
      <c r="E3" s="8"/>
      <c r="F3" s="8"/>
    </row>
    <row r="4" spans="1:6" x14ac:dyDescent="0.25">
      <c r="A4" s="22" t="s">
        <v>76</v>
      </c>
      <c r="B4" s="30">
        <f>10500*Assumptions!B23</f>
        <v>1050000</v>
      </c>
      <c r="C4" s="30">
        <f>10815*Assumptions!B24</f>
        <v>1405950</v>
      </c>
      <c r="D4" s="30">
        <f>11140*Assumptions!B25</f>
        <v>1782400</v>
      </c>
      <c r="E4" s="30">
        <f>11474*Assumptions!B26</f>
        <v>2122690</v>
      </c>
      <c r="F4" s="30">
        <f>11818*Assumptions!B27</f>
        <v>2363600</v>
      </c>
    </row>
    <row r="5" spans="1:6" x14ac:dyDescent="0.25">
      <c r="A5" s="22" t="s">
        <v>77</v>
      </c>
      <c r="B5" s="30">
        <f>350*Assumptions!B23</f>
        <v>35000</v>
      </c>
      <c r="C5" s="30">
        <f>350*Assumptions!B24</f>
        <v>45500</v>
      </c>
      <c r="D5" s="30">
        <f>350*Assumptions!B25</f>
        <v>56000</v>
      </c>
      <c r="E5" s="30">
        <f>350*Assumptions!B26</f>
        <v>64750</v>
      </c>
      <c r="F5" s="30">
        <f>350*Assumptions!B27</f>
        <v>70000</v>
      </c>
    </row>
    <row r="6" ht="24" customHeight="1" spans="1:6" x14ac:dyDescent="0.25">
      <c r="A6" s="8" t="s">
        <v>78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79</v>
      </c>
      <c r="B7" s="8"/>
      <c r="C7" s="8"/>
      <c r="D7" s="8"/>
      <c r="E7" s="8"/>
      <c r="F7" s="8"/>
    </row>
    <row r="8" spans="1:6" x14ac:dyDescent="0.25">
      <c r="A8" s="22" t="s">
        <v>80</v>
      </c>
      <c r="B8" s="30">
        <f>--1050*Assumptions!B23</f>
        <v>-105000</v>
      </c>
      <c r="C8" s="30">
        <f>--1082*Assumptions!B24</f>
        <v>-140660</v>
      </c>
      <c r="D8" s="30">
        <f>--1114*Assumptions!B25</f>
        <v>-178240</v>
      </c>
      <c r="E8" s="30">
        <f>--1147*Assumptions!B26</f>
        <v>-212195</v>
      </c>
      <c r="F8" s="30">
        <f>--1182*Assumptions!B27</f>
        <v>-236400</v>
      </c>
    </row>
    <row r="9" ht="24" customHeight="1" spans="1:6" x14ac:dyDescent="0.25">
      <c r="A9" s="8" t="s">
        <v>81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82</v>
      </c>
      <c r="B10" s="8"/>
      <c r="C10" s="8"/>
      <c r="D10" s="8"/>
      <c r="E10" s="8"/>
      <c r="F10" s="8"/>
    </row>
    <row r="11" spans="1:6" x14ac:dyDescent="0.25">
      <c r="A11" s="22" t="s">
        <v>83</v>
      </c>
      <c r="B11" s="30">
        <f>8700*Assumptions!B23</f>
        <v>870000</v>
      </c>
      <c r="C11" s="30">
        <f>8961*Assumptions!B24</f>
        <v>1164930</v>
      </c>
      <c r="D11" s="30">
        <f>9230*Assumptions!B25</f>
        <v>1476800</v>
      </c>
      <c r="E11" s="30">
        <f>9507*Assumptions!B26</f>
        <v>1758795</v>
      </c>
      <c r="F11" s="30">
        <f>9792*Assumptions!B27</f>
        <v>1958400</v>
      </c>
    </row>
    <row r="12" ht="24" customHeight="1" spans="1:6" x14ac:dyDescent="0.25">
      <c r="A12" s="8" t="s">
        <v>84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85</v>
      </c>
      <c r="B13" s="8"/>
      <c r="C13" s="8"/>
      <c r="D13" s="8"/>
      <c r="E13" s="8"/>
      <c r="F13" s="8"/>
    </row>
    <row r="14" spans="1:6" x14ac:dyDescent="0.25">
      <c r="A14" s="22" t="s">
        <v>86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87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88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89</v>
      </c>
      <c r="B17" s="8"/>
      <c r="C17" s="8"/>
      <c r="D17" s="8"/>
      <c r="E17" s="8"/>
      <c r="F17" s="8"/>
    </row>
    <row r="18" spans="1:6" x14ac:dyDescent="0.25">
      <c r="A18" s="22" t="s">
        <v>90</v>
      </c>
      <c r="B18" s="30">
        <f>500*Assumptions!B23</f>
        <v>50000</v>
      </c>
      <c r="C18" s="30">
        <f>515*Assumptions!B24</f>
        <v>66950</v>
      </c>
      <c r="D18" s="30">
        <f>530*Assumptions!B25</f>
        <v>84800</v>
      </c>
      <c r="E18" s="30">
        <f>546*Assumptions!B26</f>
        <v>101010</v>
      </c>
      <c r="F18" s="30">
        <f>562*Assumptions!B27</f>
        <v>112400</v>
      </c>
    </row>
    <row r="19" ht="24" customHeight="1" spans="1:6" x14ac:dyDescent="0.25">
      <c r="A19" s="8" t="s">
        <v>91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92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94</v>
      </c>
      <c r="B3" s="28" t="s">
        <v>95</v>
      </c>
      <c r="C3" s="28" t="s">
        <v>96</v>
      </c>
      <c r="D3" s="28" t="s">
        <v>97</v>
      </c>
      <c r="E3" s="28" t="s">
        <v>98</v>
      </c>
      <c r="F3" s="28" t="s">
        <v>99</v>
      </c>
      <c r="G3" s="28" t="s">
        <v>100</v>
      </c>
      <c r="H3" s="28" t="s">
        <v>101</v>
      </c>
    </row>
    <row r="4" spans="1:8" x14ac:dyDescent="0.25">
      <c r="A4" s="22" t="s">
        <v>102</v>
      </c>
      <c r="B4" s="22" t="s">
        <v>103</v>
      </c>
      <c r="C4" s="22" t="s">
        <v>104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105</v>
      </c>
      <c r="B5" s="22" t="s">
        <v>103</v>
      </c>
      <c r="C5" s="22" t="s">
        <v>104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106</v>
      </c>
      <c r="B6" s="22" t="s">
        <v>107</v>
      </c>
      <c r="C6" s="22" t="s">
        <v>104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108</v>
      </c>
      <c r="B7" s="22" t="s">
        <v>107</v>
      </c>
      <c r="C7" s="22" t="s">
        <v>104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109</v>
      </c>
      <c r="B8" s="22" t="s">
        <v>110</v>
      </c>
      <c r="C8" s="22" t="s">
        <v>104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111</v>
      </c>
      <c r="B9" s="22" t="s">
        <v>112</v>
      </c>
      <c r="C9" s="22" t="s">
        <v>104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113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114</v>
      </c>
      <c r="B12" s="34">
        <v>6</v>
      </c>
    </row>
    <row r="13" spans="1:2" x14ac:dyDescent="0.25">
      <c r="A13" s="22" t="s">
        <v>115</v>
      </c>
      <c r="B13" s="34">
        <v>13</v>
      </c>
    </row>
    <row r="14" spans="1:2" x14ac:dyDescent="0.25">
      <c r="A14" s="22" t="s">
        <v>116</v>
      </c>
      <c r="B14" s="35">
        <v>648000</v>
      </c>
    </row>
    <row r="15" spans="1:2" x14ac:dyDescent="0.25">
      <c r="A15" s="22" t="s">
        <v>117</v>
      </c>
      <c r="B15" s="35">
        <v>157200</v>
      </c>
    </row>
    <row r="16" spans="1:2" x14ac:dyDescent="0.25">
      <c r="A16" s="22" t="s">
        <v>118</v>
      </c>
      <c r="B16" s="35">
        <v>49572</v>
      </c>
    </row>
    <row r="17" spans="1:2" x14ac:dyDescent="0.25">
      <c r="A17" s="22" t="s">
        <v>119</v>
      </c>
      <c r="B17" s="35">
        <v>0</v>
      </c>
    </row>
    <row r="18" spans="1:2" x14ac:dyDescent="0.25">
      <c r="A18" s="34" t="s">
        <v>120</v>
      </c>
      <c r="B18" s="36">
        <v>854772</v>
      </c>
    </row>
    <row r="20" ht="24" customHeight="1" spans="1:6" x14ac:dyDescent="0.25">
      <c r="A20" s="8" t="s">
        <v>121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69</v>
      </c>
      <c r="C21" s="28" t="s">
        <v>70</v>
      </c>
      <c r="D21" s="28" t="s">
        <v>71</v>
      </c>
      <c r="E21" s="28" t="s">
        <v>72</v>
      </c>
      <c r="F21" s="28" t="s">
        <v>73</v>
      </c>
    </row>
    <row r="22" spans="1:6" x14ac:dyDescent="0.25">
      <c r="A22" s="22" t="s">
        <v>122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123</v>
      </c>
      <c r="B23" s="37">
        <f>(1+Assumptions!B30)^0</f>
        <v>1</v>
      </c>
      <c r="C23" s="37">
        <f>(1+Assumptions!B30)^1</f>
        <v>1</v>
      </c>
      <c r="D23" s="37">
        <f>(1+Assumptions!B30)^2</f>
        <v>1</v>
      </c>
      <c r="E23" s="37">
        <f>(1+Assumptions!B30)^3</f>
        <v>1</v>
      </c>
      <c r="F23" s="37">
        <f>(1+Assumptions!B30)^4</f>
        <v>1</v>
      </c>
    </row>
    <row r="24" spans="1:6" x14ac:dyDescent="0.25">
      <c r="A24" s="22" t="s">
        <v>124</v>
      </c>
      <c r="B24" s="38">
        <f>Assumptions!B32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125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69</v>
      </c>
      <c r="C1" s="28" t="s">
        <v>70</v>
      </c>
      <c r="D1" s="28" t="s">
        <v>71</v>
      </c>
      <c r="E1" s="28" t="s">
        <v>72</v>
      </c>
      <c r="F1" s="28" t="s">
        <v>73</v>
      </c>
    </row>
    <row r="2" spans="1:6" x14ac:dyDescent="0.25">
      <c r="A2" s="22" t="s">
        <v>74</v>
      </c>
      <c r="B2" s="29">
        <f>Assumptions!B23</f>
        <v>100</v>
      </c>
      <c r="C2" s="29">
        <f>Assumptions!B24</f>
        <v>130</v>
      </c>
      <c r="D2" s="29">
        <f>Assumptions!B25</f>
        <v>160</v>
      </c>
      <c r="E2" s="29">
        <f>Assumptions!B26</f>
        <v>185</v>
      </c>
      <c r="F2" s="29">
        <f>Assumptions!B27</f>
        <v>200</v>
      </c>
    </row>
    <row r="3" ht="24" customHeight="1" spans="1:6" x14ac:dyDescent="0.25">
      <c r="A3" s="8" t="s">
        <v>126</v>
      </c>
      <c r="B3" s="8"/>
      <c r="C3" s="8"/>
      <c r="D3" s="8"/>
      <c r="E3" s="8"/>
      <c r="F3" s="8"/>
    </row>
    <row r="4" spans="1:6" x14ac:dyDescent="0.25">
      <c r="A4" s="22" t="s">
        <v>127</v>
      </c>
      <c r="B4" s="30">
        <f>600*Assumptions!B23</f>
        <v>60000</v>
      </c>
      <c r="C4" s="30">
        <f>618*Assumptions!B24</f>
        <v>80340</v>
      </c>
      <c r="D4" s="30">
        <f>637*Assumptions!B25</f>
        <v>101920</v>
      </c>
      <c r="E4" s="30">
        <f>656*Assumptions!B26</f>
        <v>121360</v>
      </c>
      <c r="F4" s="30">
        <f>675*Assumptions!B27</f>
        <v>135000</v>
      </c>
    </row>
    <row r="5" ht="24" customHeight="1" spans="1:6" x14ac:dyDescent="0.25">
      <c r="A5" s="8" t="s">
        <v>128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129</v>
      </c>
      <c r="B6" s="8"/>
      <c r="C6" s="8"/>
      <c r="D6" s="8"/>
      <c r="E6" s="8"/>
      <c r="F6" s="8"/>
    </row>
    <row r="7" spans="1:6" x14ac:dyDescent="0.25">
      <c r="A7" s="22" t="s">
        <v>130</v>
      </c>
      <c r="B7" s="30">
        <f>400*Assumptions!B23</f>
        <v>40000</v>
      </c>
      <c r="C7" s="30">
        <f>412*Assumptions!B24</f>
        <v>53560</v>
      </c>
      <c r="D7" s="30">
        <f>424*Assumptions!B25</f>
        <v>67840</v>
      </c>
      <c r="E7" s="30">
        <f>437*Assumptions!B26</f>
        <v>80845</v>
      </c>
      <c r="F7" s="30">
        <f>450*Assumptions!B27</f>
        <v>90000</v>
      </c>
    </row>
    <row r="8" ht="24" customHeight="1" spans="1:6" x14ac:dyDescent="0.25">
      <c r="A8" s="8" t="s">
        <v>131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132</v>
      </c>
      <c r="B9" s="8"/>
      <c r="C9" s="8"/>
      <c r="D9" s="8"/>
      <c r="E9" s="8"/>
      <c r="F9" s="8"/>
    </row>
    <row r="10" spans="1:6" x14ac:dyDescent="0.25">
      <c r="A10" s="22" t="s">
        <v>133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134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135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136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137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138</v>
      </c>
      <c r="B15" s="8"/>
      <c r="C15" s="8"/>
      <c r="D15" s="8"/>
      <c r="E15" s="8"/>
      <c r="F15" s="8"/>
    </row>
    <row r="16" spans="1:6" x14ac:dyDescent="0.25">
      <c r="A16" s="22" t="s">
        <v>139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140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141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142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143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69</v>
      </c>
      <c r="C1" s="28" t="s">
        <v>70</v>
      </c>
      <c r="D1" s="28" t="s">
        <v>71</v>
      </c>
      <c r="E1" s="28" t="s">
        <v>72</v>
      </c>
      <c r="F1" s="28" t="s">
        <v>73</v>
      </c>
    </row>
    <row r="2" ht="24" customHeight="1" spans="1:6" x14ac:dyDescent="0.25">
      <c r="A2" s="8" t="s">
        <v>144</v>
      </c>
      <c r="B2" s="8"/>
      <c r="C2" s="8"/>
      <c r="D2" s="8"/>
      <c r="E2" s="8"/>
      <c r="F2" s="8"/>
    </row>
    <row r="3" spans="1:6" x14ac:dyDescent="0.25">
      <c r="A3" s="22" t="s">
        <v>145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146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147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69</v>
      </c>
      <c r="C1" s="28" t="s">
        <v>70</v>
      </c>
      <c r="D1" s="28" t="s">
        <v>71</v>
      </c>
      <c r="E1" s="28" t="s">
        <v>72</v>
      </c>
      <c r="F1" s="28" t="s">
        <v>73</v>
      </c>
    </row>
    <row r="2" spans="1:6" x14ac:dyDescent="0.25">
      <c r="A2" s="22" t="s">
        <v>148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149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150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151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152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153</v>
      </c>
      <c r="B10" s="40" t="s">
        <v>154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155</v>
      </c>
      <c r="B1" s="42"/>
      <c r="C1" s="42"/>
      <c r="D1" s="42"/>
      <c r="E1" s="42"/>
      <c r="F1" s="42"/>
    </row>
    <row r="2" spans="1:1" x14ac:dyDescent="0.25">
      <c r="A2" s="43" t="s">
        <v>156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157</v>
      </c>
    </row>
    <row r="15" ht="24" customHeight="1" spans="1:6" x14ac:dyDescent="0.25">
      <c r="A15" s="8" t="s">
        <v>158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69</v>
      </c>
      <c r="C16" s="28" t="s">
        <v>70</v>
      </c>
      <c r="D16" s="28" t="s">
        <v>71</v>
      </c>
      <c r="E16" s="28" t="s">
        <v>72</v>
      </c>
      <c r="F16" s="28" t="s">
        <v>73</v>
      </c>
    </row>
    <row r="17" spans="1:6" x14ac:dyDescent="0.25">
      <c r="A17" s="22" t="s">
        <v>74</v>
      </c>
      <c r="B17" s="29">
        <f>'Revenue Schedule'!B2</f>
        <v>100</v>
      </c>
      <c r="C17" s="29">
        <f>'Revenue Schedule'!C2</f>
        <v>130</v>
      </c>
      <c r="D17" s="29">
        <f>'Revenue Schedule'!D2</f>
        <v>160</v>
      </c>
      <c r="E17" s="29">
        <f>'Revenue Schedule'!E2</f>
        <v>185</v>
      </c>
      <c r="F17" s="29">
        <f>'Revenue Schedule'!F2</f>
        <v>200</v>
      </c>
    </row>
    <row r="18" spans="1:6" x14ac:dyDescent="0.25">
      <c r="A18" s="22" t="s">
        <v>159</v>
      </c>
      <c r="B18" s="9" t="s">
        <v>160</v>
      </c>
      <c r="C18" s="44">
        <f>IF(B17=0,0,(C17-B17)/B17)</f>
        <v>0.3</v>
      </c>
      <c r="D18" s="44">
        <f>IF(C17=0,0,(D17-C17)/C17)</f>
        <v>0.23076923076923078</v>
      </c>
      <c r="E18" s="44">
        <f>IF(D17=0,0,(E17-D17)/D17)</f>
        <v>0.15625</v>
      </c>
      <c r="F18" s="44">
        <f>IF(E17=0,0,(F17-E17)/E17)</f>
        <v>0.08108108108108109</v>
      </c>
    </row>
    <row r="20" ht="28" customHeight="1" spans="1:6" x14ac:dyDescent="0.25">
      <c r="A20" s="28" t="s">
        <v>24</v>
      </c>
      <c r="B20" s="28" t="s">
        <v>69</v>
      </c>
      <c r="C20" s="28" t="s">
        <v>70</v>
      </c>
      <c r="D20" s="28" t="s">
        <v>71</v>
      </c>
      <c r="E20" s="28" t="s">
        <v>72</v>
      </c>
      <c r="F20" s="28" t="s">
        <v>73</v>
      </c>
    </row>
    <row r="21" spans="1:6" x14ac:dyDescent="0.25">
      <c r="A21" s="22" t="s">
        <v>148</v>
      </c>
      <c r="B21" s="30">
        <f>'Financial Model'!B2</f>
        <v>1975000</v>
      </c>
      <c r="C21" s="30">
        <f>'Financial Model'!C2</f>
        <v>2612670</v>
      </c>
      <c r="D21" s="30">
        <f>'Financial Model'!D2</f>
        <v>3286760</v>
      </c>
      <c r="E21" s="30">
        <f>'Financial Model'!E2</f>
        <v>3895050</v>
      </c>
      <c r="F21" s="30">
        <f>'Financial Model'!F2</f>
        <v>4323000</v>
      </c>
    </row>
    <row r="22" spans="1:6" x14ac:dyDescent="0.25">
      <c r="A22" s="22" t="s">
        <v>149</v>
      </c>
      <c r="B22" s="30">
        <f>'Financial Model'!B3</f>
        <v>854772</v>
      </c>
      <c r="C22" s="30">
        <f>'Financial Model'!C3</f>
        <v>854772</v>
      </c>
      <c r="D22" s="30">
        <f>'Financial Model'!D3</f>
        <v>854772</v>
      </c>
      <c r="E22" s="30">
        <f>'Financial Model'!E3</f>
        <v>854772</v>
      </c>
      <c r="F22" s="30">
        <f>'Financial Model'!F3</f>
        <v>854772</v>
      </c>
    </row>
    <row r="23" spans="1:6" x14ac:dyDescent="0.25">
      <c r="A23" s="22" t="s">
        <v>17</v>
      </c>
      <c r="B23" s="30">
        <f>'Financial Model'!B4</f>
        <v>271400</v>
      </c>
      <c r="C23" s="30">
        <f>'Financial Model'!C4</f>
        <v>310442</v>
      </c>
      <c r="D23" s="30">
        <f>'Financial Model'!D4</f>
        <v>351602</v>
      </c>
      <c r="E23" s="30">
        <f>'Financial Model'!E4</f>
        <v>389506</v>
      </c>
      <c r="F23" s="30">
        <f>'Financial Model'!F4</f>
        <v>417907</v>
      </c>
    </row>
    <row r="24" ht="24" customHeight="1" spans="1:6" x14ac:dyDescent="0.25">
      <c r="A24" s="8" t="s">
        <v>150</v>
      </c>
      <c r="B24" s="31">
        <f>'Financial Model'!B6</f>
        <v>1185236</v>
      </c>
      <c r="C24" s="31">
        <f>'Financial Model'!C6</f>
        <v>1209278</v>
      </c>
      <c r="D24" s="31">
        <f>'Financial Model'!D6</f>
        <v>1250438</v>
      </c>
      <c r="E24" s="31">
        <f>'Financial Model'!E6</f>
        <v>1283342</v>
      </c>
      <c r="F24" s="31">
        <f>'Financial Model'!F6</f>
        <v>1311743</v>
      </c>
    </row>
    <row r="25" spans="1:6" x14ac:dyDescent="0.25">
      <c r="A25" s="34" t="s">
        <v>151</v>
      </c>
      <c r="B25" s="45">
        <f>'Financial Model'!B7</f>
        <v>789764</v>
      </c>
      <c r="C25" s="45">
        <f>'Financial Model'!C7</f>
        <v>1403392</v>
      </c>
      <c r="D25" s="45">
        <f>'Financial Model'!D7</f>
        <v>2036322</v>
      </c>
      <c r="E25" s="45">
        <f>'Financial Model'!E7</f>
        <v>2611708</v>
      </c>
      <c r="F25" s="45">
        <f>'Financial Model'!F7</f>
        <v>3011257</v>
      </c>
    </row>
    <row r="26" spans="1:6" x14ac:dyDescent="0.25">
      <c r="A26" s="22" t="s">
        <v>152</v>
      </c>
      <c r="B26" s="30">
        <f>'Financial Model'!B8</f>
        <v>789764</v>
      </c>
      <c r="C26" s="30">
        <f>'Financial Model'!C8</f>
        <v>2193156</v>
      </c>
      <c r="D26" s="30">
        <f>'Financial Model'!D8</f>
        <v>4229478</v>
      </c>
      <c r="E26" s="30">
        <f>'Financial Model'!E8</f>
        <v>6841186</v>
      </c>
      <c r="F26" s="30">
        <f>'Financial Model'!F8</f>
        <v>9852443</v>
      </c>
    </row>
    <row r="27" spans="1:6" x14ac:dyDescent="0.25">
      <c r="A27" s="34" t="s">
        <v>11</v>
      </c>
      <c r="B27" s="13">
        <f>'Financial Model'!B9</f>
        <v>7.996017670742367</v>
      </c>
      <c r="C27" s="13">
        <f>'Financial Model'!C9</f>
        <v>21.763293469326324</v>
      </c>
      <c r="D27" s="13">
        <f>'Financial Model'!D9</f>
        <v>40.58876649621972</v>
      </c>
      <c r="E27" s="13">
        <f>'Financial Model'!E9</f>
        <v>63.969099429458396</v>
      </c>
      <c r="F27" s="13">
        <f>'Financial Model'!F9</f>
        <v>90.1314632515668</v>
      </c>
    </row>
    <row r="29" ht="24" customHeight="1" spans="1:6" x14ac:dyDescent="0.25">
      <c r="A29" s="8" t="s">
        <v>161</v>
      </c>
      <c r="B29" s="8"/>
      <c r="C29" s="8"/>
      <c r="D29" s="8"/>
      <c r="E29" s="8"/>
      <c r="F29" s="8"/>
    </row>
    <row r="30" spans="1:6" x14ac:dyDescent="0.25">
      <c r="A30" s="22" t="s">
        <v>162</v>
      </c>
      <c r="B30" s="30">
        <f>IF('Revenue Schedule'!B2=0,0,B21/'Revenue Schedule'!B2)</f>
        <v>19750</v>
      </c>
      <c r="C30" s="30">
        <f>IF('Revenue Schedule'!C2=0,0,C21/'Revenue Schedule'!C2)</f>
        <v>20097.46153846154</v>
      </c>
      <c r="D30" s="30">
        <f>IF('Revenue Schedule'!D2=0,0,D21/'Revenue Schedule'!D2)</f>
        <v>20542.25</v>
      </c>
      <c r="E30" s="30">
        <f>IF('Revenue Schedule'!E2=0,0,E21/'Revenue Schedule'!E2)</f>
        <v>21054.324324324323</v>
      </c>
      <c r="F30" s="30">
        <f>IF('Revenue Schedule'!F2=0,0,F21/'Revenue Schedule'!F2)</f>
        <v>21615</v>
      </c>
    </row>
    <row r="31" spans="1:6" x14ac:dyDescent="0.25">
      <c r="A31" s="22" t="s">
        <v>163</v>
      </c>
      <c r="B31" s="44">
        <f>IF(B21=0,0,'Financial Model'!B3/B21)</f>
        <v>0.4327959493670886</v>
      </c>
      <c r="C31" s="44">
        <f>IF(C21=0,0,'Financial Model'!C3/C21)</f>
        <v>0.3271641653940222</v>
      </c>
      <c r="D31" s="44">
        <f>IF(D21=0,0,'Financial Model'!D3/D21)</f>
        <v>0.26006523141330673</v>
      </c>
      <c r="E31" s="44">
        <f>IF(E21=0,0,'Financial Model'!E3/E21)</f>
        <v>0.21945084145261293</v>
      </c>
      <c r="F31" s="44">
        <f>IF(F21=0,0,'Financial Model'!F3/F21)</f>
        <v>0.1977265787647467</v>
      </c>
    </row>
    <row r="32" spans="1:6" x14ac:dyDescent="0.25">
      <c r="A32" s="22" t="s">
        <v>164</v>
      </c>
      <c r="B32" s="44">
        <f>IF(B21=0,0,'Financial Model'!B4/B21)</f>
        <v>0.13741772151898735</v>
      </c>
      <c r="C32" s="44">
        <f>IF(C21=0,0,'Financial Model'!C4/C21)</f>
        <v>0.11882174174312102</v>
      </c>
      <c r="D32" s="44">
        <f>IF(D21=0,0,'Financial Model'!D4/D21)</f>
        <v>0.10697525830909467</v>
      </c>
      <c r="E32" s="44">
        <f>IF(E21=0,0,'Financial Model'!E4/E21)</f>
        <v>0.10000025673611379</v>
      </c>
      <c r="F32" s="44">
        <f>IF(F21=0,0,'Financial Model'!F4/F21)</f>
        <v>0.0966705991209808</v>
      </c>
    </row>
    <row r="33" spans="1:6" x14ac:dyDescent="0.25">
      <c r="A33" s="34" t="s">
        <v>165</v>
      </c>
      <c r="B33" s="12">
        <f>IF(B21=0,0,B25/B21)</f>
        <v>0.3998805063291139</v>
      </c>
      <c r="C33" s="12">
        <f>IF(C21=0,0,C25/C21)</f>
        <v>0.5371485874603376</v>
      </c>
      <c r="D33" s="12">
        <f>IF(D21=0,0,D25/D21)</f>
        <v>0.6195529944382918</v>
      </c>
      <c r="E33" s="12">
        <f>IF(E21=0,0,E25/E21)</f>
        <v>0.6705197622623587</v>
      </c>
      <c r="F33" s="12">
        <f>IF(F21=0,0,F25/F21)</f>
        <v>0.6965665047420773</v>
      </c>
    </row>
    <row r="35" ht="24" customHeight="1" spans="1:6" x14ac:dyDescent="0.25">
      <c r="A35" s="8" t="s">
        <v>166</v>
      </c>
      <c r="B35" s="8"/>
      <c r="C35" s="8"/>
      <c r="D35" s="8"/>
      <c r="E35" s="8"/>
      <c r="F35" s="8"/>
    </row>
    <row r="36" spans="1:6" x14ac:dyDescent="0.25">
      <c r="A36" s="22" t="s">
        <v>167</v>
      </c>
      <c r="B36" s="44">
        <v>0.5675057208237986</v>
      </c>
      <c r="C36" s="44">
        <v>0.5732777238345675</v>
      </c>
      <c r="D36" s="44">
        <v>0.5768052612509744</v>
      </c>
      <c r="E36" s="44">
        <v>0.5789280554886744</v>
      </c>
      <c r="F36" s="44">
        <v>0.5801743191959632</v>
      </c>
    </row>
    <row r="37" spans="1:6" x14ac:dyDescent="0.25">
      <c r="A37" s="22" t="s">
        <v>168</v>
      </c>
      <c r="B37" s="44">
        <v>0.39816933638443935</v>
      </c>
      <c r="C37" s="44">
        <v>0.4025342174644695</v>
      </c>
      <c r="D37" s="44">
        <v>0.4053534765757952</v>
      </c>
      <c r="E37" s="44">
        <v>0.4071812549774971</v>
      </c>
      <c r="F37" s="44">
        <v>0.4083573126485675</v>
      </c>
    </row>
    <row r="38" spans="1:6" x14ac:dyDescent="0.25">
      <c r="A38" s="22" t="s">
        <v>169</v>
      </c>
      <c r="B38" s="44">
        <v>0.034324942791762014</v>
      </c>
      <c r="C38" s="44">
        <v>0.02418805870096303</v>
      </c>
      <c r="D38" s="44">
        <v>0.01784126217323042</v>
      </c>
      <c r="E38" s="44">
        <v>0.01389068953382846</v>
      </c>
      <c r="F38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170</v>
      </c>
      <c r="B3" s="8"/>
    </row>
    <row r="4" spans="1:2" x14ac:dyDescent="0.25">
      <c r="A4" s="22" t="s">
        <v>171</v>
      </c>
      <c r="B4" s="46">
        <v>85</v>
      </c>
    </row>
    <row r="5" spans="1:2" x14ac:dyDescent="0.25">
      <c r="A5" s="22" t="s">
        <v>148</v>
      </c>
      <c r="B5" s="36">
        <v>1200000</v>
      </c>
    </row>
    <row r="6" spans="1:2" x14ac:dyDescent="0.25">
      <c r="A6" s="22" t="s">
        <v>150</v>
      </c>
      <c r="B6" s="36">
        <v>1150000</v>
      </c>
    </row>
    <row r="7" spans="1:2" x14ac:dyDescent="0.25">
      <c r="A7" s="22" t="s">
        <v>172</v>
      </c>
      <c r="B7" s="36">
        <v>75000</v>
      </c>
    </row>
    <row r="8" spans="1:2" x14ac:dyDescent="0.25">
      <c r="A8" s="22" t="s">
        <v>173</v>
      </c>
      <c r="B8" s="36">
        <v>50000</v>
      </c>
    </row>
    <row r="9" spans="1:2" x14ac:dyDescent="0.25">
      <c r="A9" s="22" t="s">
        <v>174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175</v>
      </c>
      <c r="C2" s="42"/>
      <c r="D2" s="42"/>
      <c r="E2" s="42"/>
      <c r="F2" s="42"/>
      <c r="G2" s="42"/>
      <c r="H2" s="42"/>
    </row>
    <row r="3" spans="2:8" x14ac:dyDescent="0.25">
      <c r="B3" s="48" t="s">
        <v>176</v>
      </c>
      <c r="C3" s="48"/>
      <c r="D3" s="48"/>
      <c r="E3" s="48"/>
      <c r="F3" s="48"/>
      <c r="G3" s="48"/>
      <c r="H3" s="48"/>
    </row>
    <row r="4" spans="2:6" x14ac:dyDescent="0.25">
      <c r="B4" s="49" t="s">
        <v>177</v>
      </c>
      <c r="D4" s="50" t="s">
        <v>178</v>
      </c>
      <c r="F4" s="51" t="s">
        <v>179</v>
      </c>
    </row>
    <row r="6" ht="24" customHeight="1" spans="2:8" x14ac:dyDescent="0.25">
      <c r="B6" s="8" t="s">
        <v>180</v>
      </c>
      <c r="C6" s="52" t="s">
        <v>69</v>
      </c>
      <c r="D6" s="52" t="s">
        <v>70</v>
      </c>
      <c r="E6" s="52" t="s">
        <v>71</v>
      </c>
      <c r="F6" s="52" t="s">
        <v>72</v>
      </c>
      <c r="G6" s="52" t="s">
        <v>73</v>
      </c>
      <c r="H6" s="52" t="s">
        <v>181</v>
      </c>
    </row>
    <row r="7" spans="2:7" x14ac:dyDescent="0.25">
      <c r="B7" s="9" t="s">
        <v>182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183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184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185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151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186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187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162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188</v>
      </c>
    </row>
    <row r="16" spans="2:7" x14ac:dyDescent="0.25">
      <c r="B16" s="55" t="s">
        <v>189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190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191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192</v>
      </c>
    </row>
    <row r="19" spans="2:7" x14ac:dyDescent="0.25">
      <c r="B19" s="55" t="s">
        <v>193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194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195</v>
      </c>
    </row>
    <row r="21" spans="2:8" x14ac:dyDescent="0.25">
      <c r="B21" s="55" t="s">
        <v>196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197</v>
      </c>
    </row>
    <row r="22" spans="2:8" x14ac:dyDescent="0.25">
      <c r="B22" s="55" t="s">
        <v>198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199</v>
      </c>
    </row>
    <row r="23" spans="2:8" x14ac:dyDescent="0.25">
      <c r="B23" s="55" t="s">
        <v>200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201</v>
      </c>
    </row>
    <row r="24" spans="2:8" x14ac:dyDescent="0.25">
      <c r="B24" s="55" t="s">
        <v>202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203</v>
      </c>
    </row>
    <row r="25" spans="2:8" x14ac:dyDescent="0.25">
      <c r="B25" s="55" t="s">
        <v>204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69</v>
      </c>
    </row>
    <row r="26" spans="2:8" x14ac:dyDescent="0.25">
      <c r="B26" s="55" t="s">
        <v>205</v>
      </c>
      <c r="C26" s="65">
        <v>9</v>
      </c>
      <c r="D26" s="66">
        <v>23</v>
      </c>
      <c r="E26" s="62">
        <v>42</v>
      </c>
      <c r="F26" s="67" t="s">
        <v>206</v>
      </c>
      <c r="G26" s="67" t="s">
        <v>206</v>
      </c>
      <c r="H26" s="59" t="s">
        <v>207</v>
      </c>
    </row>
    <row r="27" spans="2:8" x14ac:dyDescent="0.25">
      <c r="B27" s="55" t="s">
        <v>208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209</v>
      </c>
    </row>
    <row r="29" ht="24" customHeight="1" spans="2:8" x14ac:dyDescent="0.25">
      <c r="B29" s="8" t="s">
        <v>210</v>
      </c>
      <c r="C29" s="8" t="s">
        <v>211</v>
      </c>
      <c r="D29" s="8" t="s">
        <v>212</v>
      </c>
      <c r="E29" s="8"/>
      <c r="F29" s="8" t="s">
        <v>213</v>
      </c>
      <c r="G29" s="8"/>
      <c r="H29" s="8"/>
    </row>
    <row r="30" ht="45" customHeight="1" spans="2:8" x14ac:dyDescent="0.25">
      <c r="B30" s="68" t="s">
        <v>214</v>
      </c>
      <c r="C30" s="40" t="s">
        <v>215</v>
      </c>
      <c r="D30" s="69" t="s">
        <v>216</v>
      </c>
      <c r="E30" s="69"/>
      <c r="F30" s="70" t="s">
        <v>217</v>
      </c>
      <c r="G30" s="70"/>
      <c r="H30" s="70"/>
    </row>
    <row r="31" ht="45" customHeight="1" spans="2:8" x14ac:dyDescent="0.25">
      <c r="B31" s="68" t="s">
        <v>218</v>
      </c>
      <c r="C31" s="40" t="s">
        <v>215</v>
      </c>
      <c r="D31" s="69" t="s">
        <v>219</v>
      </c>
      <c r="E31" s="69"/>
      <c r="F31" s="70" t="s">
        <v>220</v>
      </c>
      <c r="G31" s="70"/>
      <c r="H31" s="70"/>
    </row>
    <row r="32" ht="45" customHeight="1" spans="2:8" x14ac:dyDescent="0.25">
      <c r="B32" s="68" t="s">
        <v>221</v>
      </c>
      <c r="C32" s="40" t="s">
        <v>215</v>
      </c>
      <c r="D32" s="69" t="s">
        <v>222</v>
      </c>
      <c r="E32" s="69"/>
      <c r="F32" s="70" t="s">
        <v>223</v>
      </c>
      <c r="G32" s="70"/>
      <c r="H32" s="70"/>
    </row>
    <row r="33" ht="45" customHeight="1" spans="2:8" x14ac:dyDescent="0.25">
      <c r="B33" s="68" t="s">
        <v>224</v>
      </c>
      <c r="C33" s="40" t="s">
        <v>215</v>
      </c>
      <c r="D33" s="69" t="s">
        <v>225</v>
      </c>
      <c r="E33" s="69"/>
      <c r="F33" s="70" t="s">
        <v>226</v>
      </c>
      <c r="G33" s="70"/>
      <c r="H33" s="70"/>
    </row>
    <row r="34" ht="45" customHeight="1" spans="2:8" x14ac:dyDescent="0.25">
      <c r="B34" s="68" t="s">
        <v>227</v>
      </c>
      <c r="C34" s="40" t="s">
        <v>215</v>
      </c>
      <c r="D34" s="69" t="s">
        <v>228</v>
      </c>
      <c r="E34" s="69"/>
      <c r="F34" s="70" t="s">
        <v>229</v>
      </c>
      <c r="G34" s="70"/>
      <c r="H34" s="70"/>
    </row>
    <row r="35" ht="45" customHeight="1" spans="2:8" x14ac:dyDescent="0.25">
      <c r="B35" s="68" t="s">
        <v>230</v>
      </c>
      <c r="C35" s="40" t="s">
        <v>215</v>
      </c>
      <c r="D35" s="69" t="s">
        <v>231</v>
      </c>
      <c r="E35" s="69"/>
      <c r="F35" s="70" t="s">
        <v>232</v>
      </c>
      <c r="G35" s="70"/>
      <c r="H35" s="70"/>
    </row>
    <row r="36" ht="45" customHeight="1" spans="2:8" x14ac:dyDescent="0.25">
      <c r="B36" s="68" t="s">
        <v>233</v>
      </c>
      <c r="C36" s="40" t="s">
        <v>215</v>
      </c>
      <c r="D36" s="69" t="s">
        <v>234</v>
      </c>
      <c r="E36" s="69"/>
      <c r="F36" s="70" t="s">
        <v>235</v>
      </c>
      <c r="G36" s="70"/>
      <c r="H36" s="70"/>
    </row>
    <row r="38" spans="2:6" x14ac:dyDescent="0.25">
      <c r="B38" s="68" t="s">
        <v>20</v>
      </c>
      <c r="C38" s="55" t="s">
        <v>236</v>
      </c>
      <c r="D38" s="55"/>
      <c r="E38" s="55"/>
      <c r="F38" s="55"/>
    </row>
    <row r="40" spans="2:8" x14ac:dyDescent="0.25">
      <c r="B40" s="71" t="s">
        <v>237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