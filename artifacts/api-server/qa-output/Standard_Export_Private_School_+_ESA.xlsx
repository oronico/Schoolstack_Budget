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Health'!$A1:$H35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<sst xmlns="http://schemas.openxmlformats.org/spreadsheetml/2006/main" count="328" uniqueCount="230">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</sst>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 t="str">
        <f>SUM(B14:B15)</f>
        <v>0</v>
      </c>
      <c r="C16" s="31" t="str">
        <f>SUM(C14:C15)</f>
        <v>0</v>
      </c>
      <c r="D16" s="31" t="str">
        <f>SUM(D14:D15)</f>
        <v>0</v>
      </c>
      <c r="E16" s="31" t="str">
        <f>SUM(E14:E15)</f>
        <v>0</v>
      </c>
      <c r="F16" s="31" t="str">
        <f>SUM(F14:F15)</f>
        <v>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  <row r="10" spans="1:6" x14ac:dyDescent="0.25">
      <c r="A10" s="34" t="s">
        <v>152</v>
      </c>
      <c r="B10" s="40" t="s">
        <v>153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0.3</v>
      </c>
      <c r="D17" s="44">
        <f>IF(C16=0,0,(D16-C16)/C16)</f>
        <v>0.23076923076923078</v>
      </c>
      <c r="E17" s="44">
        <f>IF(D16=0,0,(E16-D16)/D16)</f>
        <v>0.15625</v>
      </c>
      <c r="F17" s="44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5">
        <f>'Financial Model'!B7</f>
        <v>789764</v>
      </c>
      <c r="C24" s="45">
        <f>'Financial Model'!C7</f>
        <v>1403392</v>
      </c>
      <c r="D24" s="45">
        <f>'Financial Model'!D7</f>
        <v>2036322</v>
      </c>
      <c r="E24" s="45">
        <f>'Financial Model'!E7</f>
        <v>2611708</v>
      </c>
      <c r="F24" s="45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162</v>
      </c>
      <c r="B30" s="44">
        <f>IF(B20=0,0,'Financial Model'!B3/B20)</f>
        <v>0.4327959493670886</v>
      </c>
      <c r="C30" s="44">
        <f>IF(C20=0,0,'Financial Model'!C3/C20)</f>
        <v>0.3271641653940222</v>
      </c>
      <c r="D30" s="44">
        <f>IF(D20=0,0,'Financial Model'!D3/D20)</f>
        <v>0.26006523141330673</v>
      </c>
      <c r="E30" s="44">
        <f>IF(E20=0,0,'Financial Model'!E3/E20)</f>
        <v>0.21945084145261293</v>
      </c>
      <c r="F30" s="44">
        <f>IF(F20=0,0,'Financial Model'!F3/F20)</f>
        <v>0.1977265787647467</v>
      </c>
    </row>
    <row r="31" spans="1:6" x14ac:dyDescent="0.25">
      <c r="A31" s="22" t="s">
        <v>163</v>
      </c>
      <c r="B31" s="44">
        <f>IF(B20=0,0,'Financial Model'!B4/B20)</f>
        <v>0.13741772151898735</v>
      </c>
      <c r="C31" s="44">
        <f>IF(C20=0,0,'Financial Model'!C4/C20)</f>
        <v>0.11882174174312102</v>
      </c>
      <c r="D31" s="44">
        <f>IF(D20=0,0,'Financial Model'!D4/D20)</f>
        <v>0.10697525830909467</v>
      </c>
      <c r="E31" s="44">
        <f>IF(E20=0,0,'Financial Model'!E4/E20)</f>
        <v>0.10000025673611379</v>
      </c>
      <c r="F31" s="44">
        <f>IF(F20=0,0,'Financial Model'!F4/F20)</f>
        <v>0.0966705991209808</v>
      </c>
    </row>
    <row r="32" spans="1:6" x14ac:dyDescent="0.25">
      <c r="A32" s="34" t="s">
        <v>164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0.5675057208237986</v>
      </c>
      <c r="C35" s="44">
        <v>0.5732777238345675</v>
      </c>
      <c r="D35" s="44">
        <v>0.5768052612509744</v>
      </c>
      <c r="E35" s="44">
        <v>0.5789280554886744</v>
      </c>
      <c r="F35" s="44">
        <v>0.5801743191959632</v>
      </c>
    </row>
    <row r="36" spans="1:6" x14ac:dyDescent="0.25">
      <c r="A36" s="22" t="s">
        <v>167</v>
      </c>
      <c r="B36" s="44">
        <v>0.39816933638443935</v>
      </c>
      <c r="C36" s="44">
        <v>0.4025342174644695</v>
      </c>
      <c r="D36" s="44">
        <v>0.4053534765757952</v>
      </c>
      <c r="E36" s="44">
        <v>0.4071812549774971</v>
      </c>
      <c r="F36" s="44">
        <v>0.4083573126485675</v>
      </c>
    </row>
    <row r="37" spans="1:6" x14ac:dyDescent="0.25">
      <c r="A37" s="22" t="s">
        <v>168</v>
      </c>
      <c r="B37" s="44">
        <v>0.034324942791762014</v>
      </c>
      <c r="C37" s="44">
        <v>0.02418805870096303</v>
      </c>
      <c r="D37" s="44">
        <v>0.01784126217323042</v>
      </c>
      <c r="E37" s="44">
        <v>0.01389068953382846</v>
      </c>
      <c r="F37" s="44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169</v>
      </c>
      <c r="B3" s="8"/>
    </row>
    <row r="4" spans="1:2" x14ac:dyDescent="0.25">
      <c r="A4" s="22" t="s">
        <v>170</v>
      </c>
      <c r="B4" s="46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171</v>
      </c>
      <c r="B7" s="36">
        <v>75000</v>
      </c>
    </row>
    <row r="8" spans="1:2" x14ac:dyDescent="0.25">
      <c r="A8" s="22" t="s">
        <v>172</v>
      </c>
      <c r="B8" s="36">
        <v>50000</v>
      </c>
    </row>
    <row r="9" spans="1:2" x14ac:dyDescent="0.25">
      <c r="A9" s="22" t="s">
        <v>173</v>
      </c>
      <c r="B9" s="47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174</v>
      </c>
      <c r="C2" s="42"/>
      <c r="D2" s="42"/>
      <c r="E2" s="42"/>
      <c r="F2" s="42"/>
      <c r="G2" s="42"/>
      <c r="H2" s="42"/>
    </row>
    <row r="3" spans="2:8" x14ac:dyDescent="0.25">
      <c r="B3" s="48" t="s">
        <v>175</v>
      </c>
      <c r="C3" s="48"/>
      <c r="D3" s="48"/>
      <c r="E3" s="48"/>
      <c r="F3" s="48"/>
      <c r="G3" s="48"/>
      <c r="H3" s="48"/>
    </row>
    <row r="4" spans="2:6" x14ac:dyDescent="0.25">
      <c r="B4" s="49" t="s">
        <v>176</v>
      </c>
      <c r="D4" s="50" t="s">
        <v>177</v>
      </c>
      <c r="F4" s="51" t="s">
        <v>178</v>
      </c>
    </row>
    <row r="6" ht="24" customHeight="1" spans="2:8" x14ac:dyDescent="0.25">
      <c r="B6" s="8" t="s">
        <v>179</v>
      </c>
      <c r="C6" s="52" t="s">
        <v>68</v>
      </c>
      <c r="D6" s="52" t="s">
        <v>69</v>
      </c>
      <c r="E6" s="52" t="s">
        <v>70</v>
      </c>
      <c r="F6" s="52" t="s">
        <v>71</v>
      </c>
      <c r="G6" s="52" t="s">
        <v>72</v>
      </c>
      <c r="H6" s="52" t="s">
        <v>180</v>
      </c>
    </row>
    <row r="7" spans="2:7" x14ac:dyDescent="0.25">
      <c r="B7" s="9" t="s">
        <v>181</v>
      </c>
      <c r="C7" s="53">
        <v>100</v>
      </c>
      <c r="D7" s="53">
        <v>130</v>
      </c>
      <c r="E7" s="53">
        <v>160</v>
      </c>
      <c r="F7" s="53">
        <v>185</v>
      </c>
      <c r="G7" s="53">
        <v>200</v>
      </c>
    </row>
    <row r="8" spans="2:7" x14ac:dyDescent="0.25">
      <c r="B8" s="9" t="s">
        <v>182</v>
      </c>
      <c r="C8" s="54">
        <v>1975000</v>
      </c>
      <c r="D8" s="54">
        <v>2612670</v>
      </c>
      <c r="E8" s="54">
        <v>3286760</v>
      </c>
      <c r="F8" s="54">
        <v>3895050</v>
      </c>
      <c r="G8" s="54">
        <v>4323000</v>
      </c>
    </row>
    <row r="9" spans="2:7" x14ac:dyDescent="0.25">
      <c r="B9" s="9" t="s">
        <v>183</v>
      </c>
      <c r="C9" s="54">
        <v>854772</v>
      </c>
      <c r="D9" s="54">
        <v>854772</v>
      </c>
      <c r="E9" s="54">
        <v>854772</v>
      </c>
      <c r="F9" s="54">
        <v>854772</v>
      </c>
      <c r="G9" s="54">
        <v>854772</v>
      </c>
    </row>
    <row r="10" spans="2:7" x14ac:dyDescent="0.25">
      <c r="B10" s="9" t="s">
        <v>17</v>
      </c>
      <c r="C10" s="54">
        <v>271400</v>
      </c>
      <c r="D10" s="54">
        <v>310442</v>
      </c>
      <c r="E10" s="54">
        <v>351602</v>
      </c>
      <c r="F10" s="54">
        <v>389506</v>
      </c>
      <c r="G10" s="54">
        <v>417907</v>
      </c>
    </row>
    <row r="11" spans="2:7" x14ac:dyDescent="0.25">
      <c r="B11" s="9" t="s">
        <v>184</v>
      </c>
      <c r="C11" s="54">
        <v>34064.39316600799</v>
      </c>
      <c r="D11" s="54">
        <v>34064.39316600799</v>
      </c>
      <c r="E11" s="54">
        <v>34064.39316600799</v>
      </c>
      <c r="F11" s="54">
        <v>34064.39316600799</v>
      </c>
      <c r="G11" s="54">
        <v>34064.39316600799</v>
      </c>
    </row>
    <row r="12" spans="2:7" x14ac:dyDescent="0.25">
      <c r="B12" s="55" t="s">
        <v>150</v>
      </c>
      <c r="C12" s="56">
        <v>789764</v>
      </c>
      <c r="D12" s="56">
        <v>1403392</v>
      </c>
      <c r="E12" s="56">
        <v>2036322</v>
      </c>
      <c r="F12" s="56">
        <v>2611708</v>
      </c>
      <c r="G12" s="56">
        <v>3011257</v>
      </c>
    </row>
    <row r="13" spans="2:7" x14ac:dyDescent="0.25">
      <c r="B13" s="55" t="s">
        <v>185</v>
      </c>
      <c r="C13" s="56">
        <v>864764</v>
      </c>
      <c r="D13" s="56">
        <v>2268156</v>
      </c>
      <c r="E13" s="56">
        <v>4304478</v>
      </c>
      <c r="F13" s="56">
        <v>6916186</v>
      </c>
      <c r="G13" s="56">
        <v>9927443</v>
      </c>
    </row>
    <row r="14" spans="2:7" x14ac:dyDescent="0.25">
      <c r="B14" s="55" t="s">
        <v>186</v>
      </c>
      <c r="C14" s="57">
        <v>0.3998805063291139</v>
      </c>
      <c r="D14" s="57">
        <v>0.5371485874603376</v>
      </c>
      <c r="E14" s="57">
        <v>0.6195529944382918</v>
      </c>
      <c r="F14" s="57">
        <v>0.6705197622623587</v>
      </c>
      <c r="G14" s="57">
        <v>0.6965665047420773</v>
      </c>
    </row>
    <row r="15" spans="2:8" x14ac:dyDescent="0.25">
      <c r="B15" s="55" t="s">
        <v>161</v>
      </c>
      <c r="C15" s="58">
        <v>19750</v>
      </c>
      <c r="D15" s="58">
        <v>20097.46153846154</v>
      </c>
      <c r="E15" s="58">
        <v>20542.25</v>
      </c>
      <c r="F15" s="58">
        <v>21054.324324324323</v>
      </c>
      <c r="G15" s="58">
        <v>21615</v>
      </c>
      <c r="H15" s="59" t="s">
        <v>187</v>
      </c>
    </row>
    <row r="16" spans="2:8" x14ac:dyDescent="0.25">
      <c r="B16" s="55" t="s">
        <v>188</v>
      </c>
      <c r="C16" s="57">
        <v>0.4327959493670886</v>
      </c>
      <c r="D16" s="57">
        <v>0.3271641653940222</v>
      </c>
      <c r="E16" s="57">
        <v>0.26006523141330673</v>
      </c>
      <c r="F16" s="57">
        <v>0.21945084145261293</v>
      </c>
      <c r="G16" s="57">
        <v>0.1977265787647467</v>
      </c>
      <c r="H16" s="59" t="s">
        <v>189</v>
      </c>
    </row>
    <row r="17" spans="2:8" x14ac:dyDescent="0.25">
      <c r="B17" s="55" t="s">
        <v>190</v>
      </c>
      <c r="C17" s="57">
        <v>0.0690632911392405</v>
      </c>
      <c r="D17" s="57">
        <v>0.053773342978638713</v>
      </c>
      <c r="E17" s="57">
        <v>0.04402688361790943</v>
      </c>
      <c r="F17" s="57">
        <v>0.038265273616513266</v>
      </c>
      <c r="G17" s="57">
        <v>0.0355105016470044</v>
      </c>
      <c r="H17" s="59" t="s">
        <v>191</v>
      </c>
    </row>
    <row r="18" spans="2:8" x14ac:dyDescent="0.25">
      <c r="B18" s="55" t="s">
        <v>192</v>
      </c>
      <c r="C18" s="57">
        <v>0.42978632911392406</v>
      </c>
      <c r="D18" s="57">
        <v>0.5540140928628567</v>
      </c>
      <c r="E18" s="57">
        <v>0.6329595102775986</v>
      </c>
      <c r="F18" s="57">
        <v>0.6805489018112733</v>
      </c>
      <c r="G18" s="57">
        <v>0.7056028221142725</v>
      </c>
      <c r="H18" s="59" t="s">
        <v>193</v>
      </c>
    </row>
    <row r="19" spans="2:8" x14ac:dyDescent="0.25">
      <c r="B19" s="55" t="s">
        <v>194</v>
      </c>
      <c r="C19" s="60">
        <v>4</v>
      </c>
      <c r="D19" s="60">
        <v>4</v>
      </c>
      <c r="E19" s="60">
        <v>4</v>
      </c>
      <c r="F19" s="60">
        <v>4</v>
      </c>
      <c r="G19" s="60">
        <v>4</v>
      </c>
      <c r="H19" s="59" t="s">
        <v>195</v>
      </c>
    </row>
    <row r="20" spans="2:8" x14ac:dyDescent="0.25">
      <c r="B20" s="55" t="s">
        <v>196</v>
      </c>
      <c r="C20" s="61">
        <v>24.918336160088252</v>
      </c>
      <c r="D20" s="61">
        <v>42.49175944353473</v>
      </c>
      <c r="E20" s="61">
        <v>61.07215795277884</v>
      </c>
      <c r="F20" s="61">
        <v>77.81650437986194</v>
      </c>
      <c r="G20" s="61">
        <v>89.54573137806075</v>
      </c>
      <c r="H20" s="59" t="s">
        <v>197</v>
      </c>
    </row>
    <row r="21" spans="2:8" x14ac:dyDescent="0.25">
      <c r="B21" s="55" t="s">
        <v>198</v>
      </c>
      <c r="C21" s="40" t="str">
        <f>IF('Financial Model'!B8&gt;=0,"✓ Break-even","")</f>
        <v>✓ Break-even</v>
      </c>
      <c r="D21" s="62" t="str">
        <f>IF(AND('Financial Model'!C8&gt;=0,'Financial Model'!B8&lt;0),"✓ Break-even","")</f>
        <v>0</v>
      </c>
      <c r="E21" s="62" t="str">
        <f>IF(AND('Financial Model'!D8&gt;=0,'Financial Model'!C8&lt;0),"✓ Break-even","")</f>
        <v>0</v>
      </c>
      <c r="F21" s="62" t="str">
        <f>IF(AND('Financial Model'!E8&gt;=0,'Financial Model'!D8&lt;0),"✓ Break-even","")</f>
        <v>0</v>
      </c>
      <c r="G21" s="62" t="str">
        <f>IF(AND('Financial Model'!F8&gt;=0,'Financial Model'!E8&lt;0),"✓ Break-even","")</f>
        <v>0</v>
      </c>
      <c r="H21" s="59" t="s">
        <v>68</v>
      </c>
    </row>
    <row r="22" spans="2:8" x14ac:dyDescent="0.25">
      <c r="B22" s="55" t="s">
        <v>199</v>
      </c>
      <c r="C22" s="63">
        <v>9</v>
      </c>
      <c r="D22" s="64">
        <v>23</v>
      </c>
      <c r="E22" s="60">
        <v>42</v>
      </c>
      <c r="F22" s="65" t="s">
        <v>200</v>
      </c>
      <c r="G22" s="65" t="s">
        <v>200</v>
      </c>
      <c r="H22" s="59" t="s">
        <v>201</v>
      </c>
    </row>
    <row r="24" ht="24" customHeight="1" spans="2:8" x14ac:dyDescent="0.25">
      <c r="B24" s="8" t="s">
        <v>202</v>
      </c>
      <c r="C24" s="8" t="s">
        <v>203</v>
      </c>
      <c r="D24" s="8" t="s">
        <v>204</v>
      </c>
      <c r="E24" s="8"/>
      <c r="F24" s="8" t="s">
        <v>205</v>
      </c>
      <c r="G24" s="8"/>
      <c r="H24" s="8"/>
    </row>
    <row r="25" ht="45" customHeight="1" spans="2:8" x14ac:dyDescent="0.25">
      <c r="B25" s="66" t="s">
        <v>206</v>
      </c>
      <c r="C25" s="40" t="s">
        <v>207</v>
      </c>
      <c r="D25" s="67" t="s">
        <v>208</v>
      </c>
      <c r="E25" s="67"/>
      <c r="F25" s="68" t="s">
        <v>209</v>
      </c>
      <c r="G25" s="68"/>
      <c r="H25" s="68"/>
    </row>
    <row r="26" ht="45" customHeight="1" spans="2:8" x14ac:dyDescent="0.25">
      <c r="B26" s="66" t="s">
        <v>210</v>
      </c>
      <c r="C26" s="40" t="s">
        <v>207</v>
      </c>
      <c r="D26" s="67" t="s">
        <v>211</v>
      </c>
      <c r="E26" s="67"/>
      <c r="F26" s="68" t="s">
        <v>212</v>
      </c>
      <c r="G26" s="68"/>
      <c r="H26" s="68"/>
    </row>
    <row r="27" ht="45" customHeight="1" spans="2:8" x14ac:dyDescent="0.25">
      <c r="B27" s="66" t="s">
        <v>213</v>
      </c>
      <c r="C27" s="40" t="s">
        <v>207</v>
      </c>
      <c r="D27" s="67" t="s">
        <v>214</v>
      </c>
      <c r="E27" s="67"/>
      <c r="F27" s="68" t="s">
        <v>215</v>
      </c>
      <c r="G27" s="68"/>
      <c r="H27" s="68"/>
    </row>
    <row r="28" ht="45" customHeight="1" spans="2:8" x14ac:dyDescent="0.25">
      <c r="B28" s="66" t="s">
        <v>216</v>
      </c>
      <c r="C28" s="40" t="s">
        <v>207</v>
      </c>
      <c r="D28" s="67" t="s">
        <v>217</v>
      </c>
      <c r="E28" s="67"/>
      <c r="F28" s="68" t="s">
        <v>218</v>
      </c>
      <c r="G28" s="68"/>
      <c r="H28" s="68"/>
    </row>
    <row r="29" ht="45" customHeight="1" spans="2:8" x14ac:dyDescent="0.25">
      <c r="B29" s="66" t="s">
        <v>219</v>
      </c>
      <c r="C29" s="40" t="s">
        <v>207</v>
      </c>
      <c r="D29" s="67" t="s">
        <v>220</v>
      </c>
      <c r="E29" s="67"/>
      <c r="F29" s="68" t="s">
        <v>221</v>
      </c>
      <c r="G29" s="68"/>
      <c r="H29" s="68"/>
    </row>
    <row r="30" ht="45" customHeight="1" spans="2:8" x14ac:dyDescent="0.25">
      <c r="B30" s="66" t="s">
        <v>222</v>
      </c>
      <c r="C30" s="40" t="s">
        <v>207</v>
      </c>
      <c r="D30" s="67" t="s">
        <v>223</v>
      </c>
      <c r="E30" s="67"/>
      <c r="F30" s="68" t="s">
        <v>224</v>
      </c>
      <c r="G30" s="68"/>
      <c r="H30" s="68"/>
    </row>
    <row r="31" ht="45" customHeight="1" spans="2:8" x14ac:dyDescent="0.25">
      <c r="B31" s="66" t="s">
        <v>225</v>
      </c>
      <c r="C31" s="40" t="s">
        <v>207</v>
      </c>
      <c r="D31" s="67" t="s">
        <v>226</v>
      </c>
      <c r="E31" s="67"/>
      <c r="F31" s="68" t="s">
        <v>227</v>
      </c>
      <c r="G31" s="68"/>
      <c r="H31" s="68"/>
    </row>
    <row r="33" spans="2:6" x14ac:dyDescent="0.25">
      <c r="B33" s="66" t="s">
        <v>20</v>
      </c>
      <c r="C33" s="55" t="s">
        <v>228</v>
      </c>
      <c r="D33" s="55"/>
      <c r="E33" s="55"/>
      <c r="F33" s="55"/>
    </row>
    <row r="35" spans="2:8" x14ac:dyDescent="0.25">
      <c r="B35" s="69" t="s">
        <v>229</v>
      </c>
      <c r="C35" s="69"/>
      <c r="D35" s="69"/>
      <c r="E35" s="69"/>
      <c r="F35" s="69"/>
      <c r="G35" s="69"/>
      <c r="H35" s="6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2026-03-26T13:14:03Z</dcterms:created>
  <dcterms:modified xsi:type="dcterms:W3CDTF">2026-03-26T13:14:03Z</dcterms:modified>
</cp:coreProperties>
</file>