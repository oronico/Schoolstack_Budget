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<sst xmlns="http://schemas.openxmlformats.org/spreadsheetml/2006/main" count="249" uniqueCount="172">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</sst>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9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152</v>
      </c>
      <c r="B1" s="40"/>
      <c r="C1" s="40"/>
      <c r="D1" s="40"/>
      <c r="E1" s="40"/>
      <c r="F1" s="40"/>
    </row>
    <row r="2" spans="1:1" x14ac:dyDescent="0.25">
      <c r="A2" s="41" t="s">
        <v>153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154</v>
      </c>
    </row>
    <row r="14" ht="24" customHeight="1" spans="1:6" x14ac:dyDescent="0.25">
      <c r="A14" s="8" t="s">
        <v>155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156</v>
      </c>
      <c r="B17" s="9" t="s">
        <v>157</v>
      </c>
      <c r="C17" s="42">
        <f>IF(B16=0,0,(C16-B16)/B16)</f>
        <v>0.3</v>
      </c>
      <c r="D17" s="42">
        <f>IF(C16=0,0,(D16-C16)/C16)</f>
        <v>0.23076923076923078</v>
      </c>
      <c r="E17" s="42">
        <f>IF(D16=0,0,(E16-D16)/D16)</f>
        <v>0.15625</v>
      </c>
      <c r="F17" s="42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3">
        <f>'Financial Model'!B7</f>
        <v>789764</v>
      </c>
      <c r="C24" s="43">
        <f>'Financial Model'!C7</f>
        <v>1403392</v>
      </c>
      <c r="D24" s="43">
        <f>'Financial Model'!D7</f>
        <v>2036322</v>
      </c>
      <c r="E24" s="43">
        <f>'Financial Model'!E7</f>
        <v>2611708</v>
      </c>
      <c r="F24" s="43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158</v>
      </c>
      <c r="B28" s="8"/>
      <c r="C28" s="8"/>
      <c r="D28" s="8"/>
      <c r="E28" s="8"/>
      <c r="F28" s="8"/>
    </row>
    <row r="29" spans="1:6" x14ac:dyDescent="0.25">
      <c r="A29" s="22" t="s">
        <v>159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160</v>
      </c>
      <c r="B30" s="42">
        <f>IF(B20=0,0,'Financial Model'!B3/B20)</f>
        <v>0.4327959493670886</v>
      </c>
      <c r="C30" s="42">
        <f>IF(C20=0,0,'Financial Model'!C3/C20)</f>
        <v>0.3271641653940222</v>
      </c>
      <c r="D30" s="42">
        <f>IF(D20=0,0,'Financial Model'!D3/D20)</f>
        <v>0.26006523141330673</v>
      </c>
      <c r="E30" s="42">
        <f>IF(E20=0,0,'Financial Model'!E3/E20)</f>
        <v>0.21945084145261293</v>
      </c>
      <c r="F30" s="42">
        <f>IF(F20=0,0,'Financial Model'!F3/F20)</f>
        <v>0.1977265787647467</v>
      </c>
    </row>
    <row r="31" spans="1:6" x14ac:dyDescent="0.25">
      <c r="A31" s="22" t="s">
        <v>161</v>
      </c>
      <c r="B31" s="42">
        <f>IF(B20=0,0,'Financial Model'!B4/B20)</f>
        <v>0.13741772151898735</v>
      </c>
      <c r="C31" s="42">
        <f>IF(C20=0,0,'Financial Model'!C4/C20)</f>
        <v>0.11882174174312102</v>
      </c>
      <c r="D31" s="42">
        <f>IF(D20=0,0,'Financial Model'!D4/D20)</f>
        <v>0.10697525830909467</v>
      </c>
      <c r="E31" s="42">
        <f>IF(E20=0,0,'Financial Model'!E4/E20)</f>
        <v>0.10000025673611379</v>
      </c>
      <c r="F31" s="42">
        <f>IF(F20=0,0,'Financial Model'!F4/F20)</f>
        <v>0.0966705991209808</v>
      </c>
    </row>
    <row r="32" spans="1:6" x14ac:dyDescent="0.25">
      <c r="A32" s="34" t="s">
        <v>162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163</v>
      </c>
      <c r="B34" s="8"/>
      <c r="C34" s="8"/>
      <c r="D34" s="8"/>
      <c r="E34" s="8"/>
      <c r="F34" s="8"/>
    </row>
    <row r="35" spans="1:6" x14ac:dyDescent="0.25">
      <c r="A35" s="22" t="s">
        <v>164</v>
      </c>
      <c r="B35" s="42">
        <v>0.5675057208237986</v>
      </c>
      <c r="C35" s="42">
        <v>0.5732777238345675</v>
      </c>
      <c r="D35" s="42">
        <v>0.5768052612509744</v>
      </c>
      <c r="E35" s="42">
        <v>0.5789280554886744</v>
      </c>
      <c r="F35" s="42">
        <v>0.5801743191959632</v>
      </c>
    </row>
    <row r="36" spans="1:6" x14ac:dyDescent="0.25">
      <c r="A36" s="22" t="s">
        <v>165</v>
      </c>
      <c r="B36" s="42">
        <v>0.39816933638443935</v>
      </c>
      <c r="C36" s="42">
        <v>0.4025342174644695</v>
      </c>
      <c r="D36" s="42">
        <v>0.4053534765757952</v>
      </c>
      <c r="E36" s="42">
        <v>0.4071812549774971</v>
      </c>
      <c r="F36" s="42">
        <v>0.4083573126485675</v>
      </c>
    </row>
    <row r="37" spans="1:6" x14ac:dyDescent="0.25">
      <c r="A37" s="22" t="s">
        <v>166</v>
      </c>
      <c r="B37" s="42">
        <v>0.034324942791762014</v>
      </c>
      <c r="C37" s="42">
        <v>0.02418805870096303</v>
      </c>
      <c r="D37" s="42">
        <v>0.01784126217323042</v>
      </c>
      <c r="E37" s="42">
        <v>0.01389068953382846</v>
      </c>
      <c r="F37" s="42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167</v>
      </c>
      <c r="B3" s="8"/>
    </row>
    <row r="4" spans="1:2" x14ac:dyDescent="0.25">
      <c r="A4" s="22" t="s">
        <v>168</v>
      </c>
      <c r="B4" s="44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169</v>
      </c>
      <c r="B7" s="36">
        <v>75000</v>
      </c>
    </row>
    <row r="8" spans="1:2" x14ac:dyDescent="0.25">
      <c r="A8" s="22" t="s">
        <v>170</v>
      </c>
      <c r="B8" s="36">
        <v>50000</v>
      </c>
    </row>
    <row r="9" spans="1:2" x14ac:dyDescent="0.25">
      <c r="A9" s="22" t="s">
        <v>171</v>
      </c>
      <c r="B9" s="45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