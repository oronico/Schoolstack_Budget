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Personnel'!$A1:$H33</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Health'!$A1:$I41</definedName>
    <definedName name="_xlnm.Print_Titles" localSheetId="10">'Financial Health'!$1:$1</definedName>
  </definedNames>
  <calcPr calcId="171027" fullCalcOnLoad="1"/>
</workbook>
</file>

<file path=xl/sharedStrings.xml><?xml version="1.0" encoding="utf-8"?>
<sst xmlns="http://schemas.openxmlformats.org/spreadsheetml/2006/main" count="358" uniqueCount="254">
  <si>
    <t>SchoolStack Budget</t>
  </si>
  <si>
    <t>5-Year Financial Model</t>
  </si>
  <si>
    <t>Prepared for</t>
  </si>
  <si>
    <t>Heritage Academy</t>
  </si>
  <si>
    <t>Private School  •  501(c)(3) Nonprofit  •  FL</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</si>
  <si>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</si>
  <si>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</si>
  <si>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</si>
  <si>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</si>
  <si>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</si>
  <si>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</si>
  <si>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</si>
  <si>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</si>
  <si>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</si>
  <si>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</si>
  <si>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</si>
  <si>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</si>
  <si>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</si>
  <si>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</si>
  <si>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</si>
  <si>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</si>
  <si>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</si>
  <si>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</si>
  <si>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</si>
  <si>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</si>
  <si>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</si>
  <si>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</si>
  <si>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</si>
  <si>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</si>
  <si>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</si>
  <si>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</si>
  <si>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</si>
  <si>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</si>
  <si>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</si>
  <si>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</si>
  <si>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</si>
  <si>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</si>
  <si>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</si>
  <si>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</si>
  <si>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</si>
  <si>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</si>
  <si>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</si>
  <si>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</si>
  <si>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</si>
  <si>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</si>
  <si>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</si>
  <si>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</si>
  <si>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</si>
  <si>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</si>
  <si>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</si>
  <si>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</si>
  <si>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</si>
  <si>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</si>
  <si>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</si>
  <si>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</si>
  <si>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</si>
  <si>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</si>
  <si>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</si>
  <si>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</si>
  <si>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</si>
  <si>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</si>
  <si>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</si>
  <si>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</si>
  <si>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</si>
  <si>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</si>
  <si>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</si>
  <si>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</si>
  <si>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</si>
  <si>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</si>
  <si>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</si>
  <si>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</si>
  <si>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</si>
  <si>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</si>
  <si>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</si>
  <si>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</si>
  <si>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</si>
  <si>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</si>
  <si>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Gross 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</si>
  <si>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</si>
  <si>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</si>
  <si>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</si>
  <si>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</si>
  <si>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</si>
  <si>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</si>
  <si>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</si>
  <si>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</si>
  <si>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</si>
  <si>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</si>
  <si>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</si>
  <si>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</si>
  <si>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</si>
  <si>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</si>
  <si>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</si>
  <si>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</si>
  <si>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</si>
  <si>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</si>
  <si>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</si>
  <si>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</si>
  <si>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</si>
  <si>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</si>
  <si>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</si>
  <si>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</si>
  <si>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</si>
  <si>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</si>
  <si>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</si>
  <si>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</si>
  <si>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</si>
  <si>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</si>
  <si>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</si>
  <si>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</si>
  <si>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</si>
  <si>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</si>
  <si>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</si>
  <si>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</si>
  <si>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</si>
  <si>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</si>
  <si>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</si>
  <si>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</si>
  <si>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</si>
  <si>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</si>
  <si>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</si>
  <si>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</si>
  <si>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</si>
  <si>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</si>
  <si>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</si>
  <si>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</si>
  <si>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</si>
  <si>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</si>
  <si>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</si>
  <si>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</si>
  <si>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</si>
  <si>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</si>
  <si>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</si>
  <si>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</si>
  <si>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</si>
  <si>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</si>
  <si>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</si>
  <si>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</si>
  <si>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</si>
  <si>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</si>
  <si>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</si>
  <si>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</si>
  <si>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</si>
  <si>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</si>
  <si>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</si>
  <si>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</si>
  <si>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</si>
  <si>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</si>
  <si>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</si>
  <si>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</si>
  <si>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</si>
  <si>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</si>
  <si>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</si>
  <si>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</si>
  <si>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</si>
  <si>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</si>
  <si>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</si>
  <si>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</si>
  <si>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</si>
  <si>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</si>
  <si>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</si>
  <si>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</si>
  <si>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</si>
  <si>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</si>
  <si>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</si>
  <si>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</si>
  <si>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</si>
  <si>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</si>
  <si>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</si>
  <si>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</si>
  <si>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</si>
  <si>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</si>
  <si>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</si>
  <si>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</si>
  <si>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</si>
  <si>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</si>
  <si>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</si>
  <si>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</si>
  <si>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</si>
  <si>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</si>
  <si>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</si>
  <si>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</si>
  <si>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</si>
  <si>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</si>
  <si>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</si>
  <si>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</si>
  <si>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</si>
  <si>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</si>
  <si>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</si>
  <si>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</si>
  <si>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</si>
  <si>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9, 2026</t>
  </si>
  <si>
    <t>Built from actuals</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</si>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</sst>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i/>
      <color rgb="FF6B7280"/>
      <sz val="11"/>
      <name val="Calibri"/>
    </font>
    <font>
      <i/>
      <color rgb="FF6B7280"/>
      <sz val="10"/>
      <name val="Calibri"/>
    </font>
    <font>
      <b/>
      <i/>
      <color rgb="FF1E293B"/>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7">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22" fillId="0" borderId="0" xfId="0" applyFont="1"/>
    <xf numFmtId="0" fontId="9" fillId="0" borderId="0" xfId="0" applyFont="1"/>
    <xf numFmtId="0" fontId="23" fillId="0" borderId="0" xfId="0" applyFont="1"/>
    <xf numFmtId="0" fontId="24"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row r="27" ht="24" customHeight="1" spans="1:7" x14ac:dyDescent="0.25">
      <c r="A27" s="8" t="s">
        <v>127</v>
      </c>
      <c r="B27" s="8"/>
      <c r="C27" s="8"/>
      <c r="D27" s="8"/>
      <c r="E27" s="8"/>
      <c r="F27" s="8"/>
      <c r="G27" s="8" t="s">
        <v>128</v>
      </c>
    </row>
    <row r="28" spans="1:7" x14ac:dyDescent="0.25">
      <c r="A28" s="22" t="s">
        <v>129</v>
      </c>
      <c r="B28" s="30">
        <v>95000</v>
      </c>
      <c r="C28" s="30">
        <v>95000</v>
      </c>
      <c r="D28" s="30">
        <v>95000</v>
      </c>
      <c r="E28" s="30">
        <v>95000</v>
      </c>
      <c r="F28" s="30">
        <v>95000</v>
      </c>
      <c r="G28" s="30">
        <f>SUM(B28:F28)</f>
        <v>475000</v>
      </c>
    </row>
    <row r="29" spans="1:7" x14ac:dyDescent="0.25">
      <c r="A29" s="22" t="s">
        <v>130</v>
      </c>
      <c r="B29" s="30">
        <v>126018</v>
      </c>
      <c r="C29" s="30">
        <v>126018</v>
      </c>
      <c r="D29" s="30">
        <v>126018</v>
      </c>
      <c r="E29" s="30">
        <v>126018</v>
      </c>
      <c r="F29" s="30">
        <v>126018</v>
      </c>
      <c r="G29" s="30">
        <f>SUM(B29:F29)</f>
        <v>630090</v>
      </c>
    </row>
    <row r="30" spans="1:7" x14ac:dyDescent="0.25">
      <c r="A30" s="22" t="s">
        <v>131</v>
      </c>
      <c r="B30" s="30">
        <v>140000</v>
      </c>
      <c r="C30" s="30">
        <v>140000</v>
      </c>
      <c r="D30" s="30">
        <v>180000</v>
      </c>
      <c r="E30" s="30">
        <v>180000</v>
      </c>
      <c r="F30" s="30">
        <v>180000</v>
      </c>
      <c r="G30" s="30">
        <f>SUM(B30:F30)</f>
        <v>820000</v>
      </c>
    </row>
    <row r="31" spans="1:7" x14ac:dyDescent="0.25">
      <c r="A31" s="22" t="s">
        <v>130</v>
      </c>
      <c r="B31" s="30">
        <v>185710</v>
      </c>
      <c r="C31" s="30">
        <v>185710</v>
      </c>
      <c r="D31" s="30">
        <v>238770</v>
      </c>
      <c r="E31" s="30">
        <v>238770</v>
      </c>
      <c r="F31" s="30">
        <v>238770</v>
      </c>
      <c r="G31" s="30">
        <f>SUM(B31:F31)</f>
        <v>1087730</v>
      </c>
    </row>
    <row r="32" spans="1:7" x14ac:dyDescent="0.25">
      <c r="A32" s="34" t="s">
        <v>132</v>
      </c>
      <c r="B32" s="10">
        <v>59693</v>
      </c>
      <c r="C32" s="10">
        <v>59693</v>
      </c>
      <c r="D32" s="10">
        <v>112753</v>
      </c>
      <c r="E32" s="10">
        <v>112753</v>
      </c>
      <c r="F32" s="10">
        <v>112753</v>
      </c>
      <c r="G32" s="10">
        <f>SUM(B32:F32)</f>
        <v>457645</v>
      </c>
    </row>
    <row r="33" ht="32" customHeight="1" spans="1:7" s="39" customFormat="1" x14ac:dyDescent="0.25">
      <c r="A33" s="40" t="s">
        <v>133</v>
      </c>
      <c r="B33" s="40"/>
      <c r="C33" s="40"/>
      <c r="D33" s="40"/>
      <c r="E33" s="40"/>
      <c r="F33" s="40"/>
      <c r="G33" s="40"/>
    </row>
  </sheetData>
  <mergeCells count="2">
    <mergeCell ref="A1:H1"/>
    <mergeCell ref="A33:G33"/>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134</v>
      </c>
      <c r="B3" s="8"/>
      <c r="C3" s="8"/>
      <c r="D3" s="8"/>
      <c r="E3" s="8"/>
      <c r="F3" s="8"/>
    </row>
    <row r="4" spans="1:6" x14ac:dyDescent="0.25">
      <c r="A4" s="22" t="s">
        <v>135</v>
      </c>
      <c r="B4" s="30">
        <f>600*Assumptions!B23</f>
        <v>60000</v>
      </c>
      <c r="C4" s="30">
        <f>618*Assumptions!B24</f>
        <v>80340</v>
      </c>
      <c r="D4" s="30">
        <f>637*Assumptions!B25</f>
        <v>101920</v>
      </c>
      <c r="E4" s="30">
        <f>656*Assumptions!B26</f>
        <v>121360</v>
      </c>
      <c r="F4" s="30">
        <f>675*Assumptions!B27</f>
        <v>135000</v>
      </c>
    </row>
    <row r="5" ht="24" customHeight="1" spans="1:6" x14ac:dyDescent="0.25">
      <c r="A5" s="8" t="s">
        <v>136</v>
      </c>
      <c r="B5" s="31">
        <f>SUM(B4:B4)</f>
        <v>60000</v>
      </c>
      <c r="C5" s="31">
        <f>SUM(C4:C4)</f>
        <v>80340</v>
      </c>
      <c r="D5" s="31">
        <f>SUM(D4:D4)</f>
        <v>101920</v>
      </c>
      <c r="E5" s="31">
        <f>SUM(E4:E4)</f>
        <v>121360</v>
      </c>
      <c r="F5" s="31">
        <f>SUM(F4:F4)</f>
        <v>135000</v>
      </c>
    </row>
    <row r="6" ht="24" customHeight="1" spans="1:6" x14ac:dyDescent="0.25">
      <c r="A6" s="8" t="s">
        <v>137</v>
      </c>
      <c r="B6" s="8"/>
      <c r="C6" s="8"/>
      <c r="D6" s="8"/>
      <c r="E6" s="8"/>
      <c r="F6" s="8"/>
    </row>
    <row r="7" spans="1:6" x14ac:dyDescent="0.25">
      <c r="A7" s="22" t="s">
        <v>138</v>
      </c>
      <c r="B7" s="30">
        <f>400*Assumptions!B23</f>
        <v>40000</v>
      </c>
      <c r="C7" s="30">
        <f>412*Assumptions!B24</f>
        <v>53560</v>
      </c>
      <c r="D7" s="30">
        <f>424*Assumptions!B25</f>
        <v>67840</v>
      </c>
      <c r="E7" s="30">
        <f>437*Assumptions!B26</f>
        <v>80845</v>
      </c>
      <c r="F7" s="30">
        <f>450*Assumptions!B27</f>
        <v>90000</v>
      </c>
    </row>
    <row r="8" ht="24" customHeight="1" spans="1:6" x14ac:dyDescent="0.25">
      <c r="A8" s="8" t="s">
        <v>139</v>
      </c>
      <c r="B8" s="31">
        <f>SUM(B7:B7)</f>
        <v>40000</v>
      </c>
      <c r="C8" s="31">
        <f>SUM(C7:C7)</f>
        <v>53560</v>
      </c>
      <c r="D8" s="31">
        <f>SUM(D7:D7)</f>
        <v>67840</v>
      </c>
      <c r="E8" s="31">
        <f>SUM(E7:E7)</f>
        <v>80845</v>
      </c>
      <c r="F8" s="31">
        <f>SUM(F7:F7)</f>
        <v>90000</v>
      </c>
    </row>
    <row r="9" ht="24" customHeight="1" spans="1:6" x14ac:dyDescent="0.25">
      <c r="A9" s="8" t="s">
        <v>140</v>
      </c>
      <c r="B9" s="8"/>
      <c r="C9" s="8"/>
      <c r="D9" s="8"/>
      <c r="E9" s="8"/>
      <c r="F9" s="8"/>
    </row>
    <row r="10" spans="1:6" x14ac:dyDescent="0.25">
      <c r="A10" s="22" t="s">
        <v>141</v>
      </c>
      <c r="B10" s="30">
        <f>8500*12</f>
        <v>102000</v>
      </c>
      <c r="C10" s="30">
        <f>8755*12</f>
        <v>105060</v>
      </c>
      <c r="D10" s="30">
        <f>9018*12</f>
        <v>108216</v>
      </c>
      <c r="E10" s="30">
        <f>9289*12</f>
        <v>111468</v>
      </c>
      <c r="F10" s="30">
        <f>9567*12</f>
        <v>114804</v>
      </c>
    </row>
    <row r="11" spans="1:6" x14ac:dyDescent="0.25">
      <c r="A11" s="22" t="s">
        <v>142</v>
      </c>
      <c r="B11" s="30">
        <f>1200*12</f>
        <v>14400</v>
      </c>
      <c r="C11" s="30">
        <f>1236*12</f>
        <v>14832</v>
      </c>
      <c r="D11" s="30">
        <f>1273*12</f>
        <v>15276</v>
      </c>
      <c r="E11" s="30">
        <f>1311*12</f>
        <v>15732</v>
      </c>
      <c r="F11" s="30">
        <f>1350*12</f>
        <v>16200</v>
      </c>
    </row>
    <row r="12" spans="1:6" x14ac:dyDescent="0.25">
      <c r="A12" s="22" t="s">
        <v>143</v>
      </c>
      <c r="B12" s="30">
        <v>12000</v>
      </c>
      <c r="C12" s="30">
        <v>12360</v>
      </c>
      <c r="D12" s="30">
        <v>12731</v>
      </c>
      <c r="E12" s="30">
        <v>13113</v>
      </c>
      <c r="F12" s="30">
        <v>13506</v>
      </c>
    </row>
    <row r="13" spans="1:6" x14ac:dyDescent="0.25">
      <c r="A13" s="22" t="s">
        <v>144</v>
      </c>
      <c r="B13" s="30">
        <v>8000</v>
      </c>
      <c r="C13" s="30">
        <v>8240</v>
      </c>
      <c r="D13" s="30">
        <v>8487</v>
      </c>
      <c r="E13" s="30">
        <v>8742</v>
      </c>
      <c r="F13" s="30">
        <v>9004</v>
      </c>
    </row>
    <row r="14" ht="24" customHeight="1" spans="1:6" x14ac:dyDescent="0.25">
      <c r="A14" s="8" t="s">
        <v>145</v>
      </c>
      <c r="B14" s="31">
        <f>SUM(B10:B13)</f>
        <v>136400</v>
      </c>
      <c r="C14" s="31">
        <f>SUM(C10:C13)</f>
        <v>140492</v>
      </c>
      <c r="D14" s="31">
        <f>SUM(D10:D13)</f>
        <v>144710</v>
      </c>
      <c r="E14" s="31">
        <f>SUM(E10:E13)</f>
        <v>149055</v>
      </c>
      <c r="F14" s="31">
        <f>SUM(F10:F13)</f>
        <v>153514</v>
      </c>
    </row>
    <row r="15" ht="24" customHeight="1" spans="1:6" x14ac:dyDescent="0.25">
      <c r="A15" s="8" t="s">
        <v>146</v>
      </c>
      <c r="B15" s="8"/>
      <c r="C15" s="8"/>
      <c r="D15" s="8"/>
      <c r="E15" s="8"/>
      <c r="F15" s="8"/>
    </row>
    <row r="16" spans="1:6" x14ac:dyDescent="0.25">
      <c r="A16" s="22" t="s">
        <v>147</v>
      </c>
      <c r="B16" s="30">
        <v>15000</v>
      </c>
      <c r="C16" s="30">
        <v>15450</v>
      </c>
      <c r="D16" s="30">
        <v>15914</v>
      </c>
      <c r="E16" s="30">
        <v>16391</v>
      </c>
      <c r="F16" s="30">
        <v>16883</v>
      </c>
    </row>
    <row r="17" spans="1:6" x14ac:dyDescent="0.25">
      <c r="A17" s="22" t="s">
        <v>148</v>
      </c>
      <c r="B17" s="30">
        <v>8000</v>
      </c>
      <c r="C17" s="30">
        <v>8240</v>
      </c>
      <c r="D17" s="30">
        <v>8487</v>
      </c>
      <c r="E17" s="30">
        <v>8742</v>
      </c>
      <c r="F17" s="30">
        <v>9004</v>
      </c>
    </row>
    <row r="18" spans="1:6" x14ac:dyDescent="0.25">
      <c r="A18" s="22" t="s">
        <v>149</v>
      </c>
      <c r="B18" s="30">
        <v>12000</v>
      </c>
      <c r="C18" s="30">
        <v>12360</v>
      </c>
      <c r="D18" s="30">
        <v>12731</v>
      </c>
      <c r="E18" s="30">
        <v>13113</v>
      </c>
      <c r="F18" s="30">
        <v>13506</v>
      </c>
    </row>
    <row r="19" ht="24" customHeight="1" spans="1:6" x14ac:dyDescent="0.25">
      <c r="A19" s="8" t="s">
        <v>150</v>
      </c>
      <c r="B19" s="31">
        <f>SUM(B16:B18)</f>
        <v>35000</v>
      </c>
      <c r="C19" s="31">
        <f>SUM(C16:C18)</f>
        <v>36050</v>
      </c>
      <c r="D19" s="31">
        <f>SUM(D16:D18)</f>
        <v>37132</v>
      </c>
      <c r="E19" s="31">
        <f>SUM(E16:E18)</f>
        <v>38246</v>
      </c>
      <c r="F19" s="31">
        <f>SUM(F16:F18)</f>
        <v>39393</v>
      </c>
    </row>
    <row r="21" ht="24" customHeight="1" spans="1:6" x14ac:dyDescent="0.25">
      <c r="A21" s="8" t="s">
        <v>151</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152</v>
      </c>
      <c r="B2" s="8"/>
      <c r="C2" s="8"/>
      <c r="D2" s="8"/>
      <c r="E2" s="8"/>
      <c r="F2" s="8"/>
    </row>
    <row r="3" spans="1:6" x14ac:dyDescent="0.25">
      <c r="A3" s="22" t="s">
        <v>153</v>
      </c>
      <c r="B3" s="30">
        <v>34064.39316600799</v>
      </c>
      <c r="C3" s="30">
        <v>34064.39316600799</v>
      </c>
      <c r="D3" s="30">
        <v>34064.39316600799</v>
      </c>
      <c r="E3" s="30">
        <v>34064.39316600799</v>
      </c>
      <c r="F3" s="30">
        <v>34064.39316600799</v>
      </c>
    </row>
    <row r="4" spans="1:6" x14ac:dyDescent="0.25">
      <c r="A4" s="22" t="s">
        <v>154</v>
      </c>
      <c r="B4" s="30">
        <v>25000</v>
      </c>
      <c r="C4" s="30">
        <v>10000</v>
      </c>
      <c r="D4" s="30">
        <v>10000</v>
      </c>
      <c r="E4" s="30">
        <v>5000</v>
      </c>
      <c r="F4" s="30">
        <v>5000</v>
      </c>
    </row>
    <row r="5" ht="24" customHeight="1" spans="1:6" x14ac:dyDescent="0.25">
      <c r="A5" s="8" t="s">
        <v>155</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70</v>
      </c>
      <c r="C1" s="28" t="s">
        <v>71</v>
      </c>
      <c r="D1" s="28" t="s">
        <v>72</v>
      </c>
      <c r="E1" s="28" t="s">
        <v>73</v>
      </c>
      <c r="F1" s="28" t="s">
        <v>74</v>
      </c>
    </row>
    <row r="2" spans="1:6" x14ac:dyDescent="0.25">
      <c r="A2" s="22" t="s">
        <v>156</v>
      </c>
      <c r="B2" s="30">
        <f>'Revenue Schedule'!B21</f>
        <v>1975000</v>
      </c>
      <c r="C2" s="30">
        <f>'Revenue Schedule'!C21</f>
        <v>2612670</v>
      </c>
      <c r="D2" s="30">
        <f>'Revenue Schedule'!D21</f>
        <v>3286760</v>
      </c>
      <c r="E2" s="30">
        <f>'Revenue Schedule'!E21</f>
        <v>3895050</v>
      </c>
      <c r="F2" s="30">
        <f>'Revenue Schedule'!F21</f>
        <v>4323000</v>
      </c>
    </row>
    <row r="3" spans="1:6" x14ac:dyDescent="0.25">
      <c r="A3" s="22" t="s">
        <v>157</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158</v>
      </c>
      <c r="B6" s="31">
        <f>B3+B4+B5</f>
        <v>1185236</v>
      </c>
      <c r="C6" s="31">
        <f>C3+C4+C5</f>
        <v>1209278</v>
      </c>
      <c r="D6" s="31">
        <f>D3+D4+D5</f>
        <v>1250438</v>
      </c>
      <c r="E6" s="31">
        <f>E3+E4+E5</f>
        <v>1283342</v>
      </c>
      <c r="F6" s="31">
        <f>F3+F4+F5</f>
        <v>1311743</v>
      </c>
    </row>
    <row r="7" ht="24" customHeight="1" spans="1:6" x14ac:dyDescent="0.25">
      <c r="A7" s="8" t="s">
        <v>159</v>
      </c>
      <c r="B7" s="31">
        <f>B2-B6</f>
        <v>789764</v>
      </c>
      <c r="C7" s="31">
        <f>C2-C6</f>
        <v>1403392</v>
      </c>
      <c r="D7" s="31">
        <f>D2-D6</f>
        <v>2036322</v>
      </c>
      <c r="E7" s="31">
        <f>E2-E6</f>
        <v>2611708</v>
      </c>
      <c r="F7" s="31">
        <f>F2-F6</f>
        <v>3011257</v>
      </c>
    </row>
    <row r="8" spans="1:6" x14ac:dyDescent="0.25">
      <c r="A8" s="22" t="s">
        <v>160</v>
      </c>
      <c r="B8" s="30">
        <f>B7</f>
        <v>789764</v>
      </c>
      <c r="C8" s="30">
        <f>B8+C7</f>
        <v>2193156</v>
      </c>
      <c r="D8" s="30">
        <f>C8+D7</f>
        <v>4229478</v>
      </c>
      <c r="E8" s="30">
        <f>D8+E7</f>
        <v>6841186</v>
      </c>
      <c r="F8" s="30">
        <f>E8+F7</f>
        <v>9852443</v>
      </c>
    </row>
    <row r="9" spans="1:6" x14ac:dyDescent="0.25">
      <c r="A9" s="22" t="s">
        <v>11</v>
      </c>
      <c r="B9" s="41">
        <f>IF(B6=0,0,IF(B8&gt;0,B8/(B6/12),0))</f>
        <v>7.996017670742367</v>
      </c>
      <c r="C9" s="41">
        <f>IF(C6=0,0,IF(C8&gt;0,C8/(C6/12),0))</f>
        <v>21.763293469326324</v>
      </c>
      <c r="D9" s="41">
        <f>IF(D6=0,0,IF(D8&gt;0,D8/(D6/12),0))</f>
        <v>40.58876649621972</v>
      </c>
      <c r="E9" s="41">
        <f>IF(E6=0,0,IF(E8&gt;0,E8/(E6/12),0))</f>
        <v>63.969099429458396</v>
      </c>
      <c r="F9" s="41">
        <f>IF(F6=0,0,IF(F8&gt;0,F8/(F6/12),0))</f>
        <v>90.1314632515668</v>
      </c>
    </row>
    <row r="11" ht="24" customHeight="1" spans="1:7" x14ac:dyDescent="0.25">
      <c r="A11" s="8" t="s">
        <v>161</v>
      </c>
      <c r="B11" s="8"/>
      <c r="C11" s="8"/>
      <c r="D11" s="8"/>
      <c r="E11" s="8"/>
      <c r="F11" s="8"/>
      <c r="G11" s="8" t="s">
        <v>128</v>
      </c>
    </row>
    <row r="12" spans="1:7" x14ac:dyDescent="0.25">
      <c r="A12" s="22" t="s">
        <v>162</v>
      </c>
      <c r="B12" s="30">
        <v>126018</v>
      </c>
      <c r="C12" s="30">
        <v>126018</v>
      </c>
      <c r="D12" s="30">
        <v>126018</v>
      </c>
      <c r="E12" s="30">
        <v>126018</v>
      </c>
      <c r="F12" s="30">
        <v>126018</v>
      </c>
      <c r="G12" s="30">
        <f>SUM(B12:F12)</f>
        <v>630090</v>
      </c>
    </row>
    <row r="13" spans="1:7" x14ac:dyDescent="0.25">
      <c r="A13" s="22" t="s">
        <v>163</v>
      </c>
      <c r="B13" s="30">
        <v>185710</v>
      </c>
      <c r="C13" s="30">
        <v>185710</v>
      </c>
      <c r="D13" s="30">
        <v>238770</v>
      </c>
      <c r="E13" s="30">
        <v>238770</v>
      </c>
      <c r="F13" s="30">
        <v>238770</v>
      </c>
      <c r="G13" s="30">
        <f>SUM(B13:F13)</f>
        <v>1087730</v>
      </c>
    </row>
    <row r="14" spans="1:7" x14ac:dyDescent="0.25">
      <c r="A14" s="34" t="s">
        <v>164</v>
      </c>
      <c r="B14" s="10">
        <v>59693</v>
      </c>
      <c r="C14" s="10">
        <v>59693</v>
      </c>
      <c r="D14" s="10">
        <v>112753</v>
      </c>
      <c r="E14" s="10">
        <v>112753</v>
      </c>
      <c r="F14" s="10">
        <v>112753</v>
      </c>
      <c r="G14" s="10">
        <f>SUM(B14:F14)</f>
        <v>457645</v>
      </c>
    </row>
    <row r="15" ht="30" customHeight="1" spans="1:7" s="39" customFormat="1" x14ac:dyDescent="0.25">
      <c r="A15" s="40" t="s">
        <v>165</v>
      </c>
      <c r="B15" s="40"/>
      <c r="C15" s="40"/>
      <c r="D15" s="40"/>
      <c r="E15" s="40"/>
      <c r="F15" s="40"/>
      <c r="G15" s="40"/>
    </row>
    <row r="16" spans="1:6" x14ac:dyDescent="0.25">
      <c r="A16" s="34" t="s">
        <v>166</v>
      </c>
      <c r="B16" s="42" t="s">
        <v>167</v>
      </c>
      <c r="C16" s="43" t="s">
        <v>25</v>
      </c>
      <c r="D16" s="43" t="s">
        <v>25</v>
      </c>
      <c r="E16" s="43" t="s">
        <v>25</v>
      </c>
      <c r="F16" s="43" t="s">
        <v>25</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168</v>
      </c>
      <c r="B1" s="44"/>
      <c r="C1" s="44"/>
      <c r="D1" s="44"/>
      <c r="E1" s="44"/>
      <c r="F1" s="44"/>
    </row>
    <row r="2" spans="1:1" x14ac:dyDescent="0.25">
      <c r="A2" s="45" t="s">
        <v>169</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170</v>
      </c>
    </row>
    <row r="15" ht="24" customHeight="1" spans="1:6" x14ac:dyDescent="0.25">
      <c r="A15" s="8" t="s">
        <v>171</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172</v>
      </c>
      <c r="B18" s="9" t="s">
        <v>173</v>
      </c>
      <c r="C18" s="46">
        <f>IF(B17=0,0,(C17-B17)/B17)</f>
        <v>0.3</v>
      </c>
      <c r="D18" s="46">
        <f>IF(C17=0,0,(D17-C17)/C17)</f>
        <v>0.23076923076923078</v>
      </c>
      <c r="E18" s="46">
        <f>IF(D17=0,0,(E17-D17)/D17)</f>
        <v>0.15625</v>
      </c>
      <c r="F18" s="46">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156</v>
      </c>
      <c r="B21" s="30">
        <f>'Financial Model'!B2</f>
        <v>1975000</v>
      </c>
      <c r="C21" s="30">
        <f>'Financial Model'!C2</f>
        <v>2612670</v>
      </c>
      <c r="D21" s="30">
        <f>'Financial Model'!D2</f>
        <v>3286760</v>
      </c>
      <c r="E21" s="30">
        <f>'Financial Model'!E2</f>
        <v>3895050</v>
      </c>
      <c r="F21" s="30">
        <f>'Financial Model'!F2</f>
        <v>4323000</v>
      </c>
    </row>
    <row r="22" spans="1:6" x14ac:dyDescent="0.25">
      <c r="A22" s="22" t="s">
        <v>157</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158</v>
      </c>
      <c r="B24" s="31">
        <f>'Financial Model'!B6</f>
        <v>1185236</v>
      </c>
      <c r="C24" s="31">
        <f>'Financial Model'!C6</f>
        <v>1209278</v>
      </c>
      <c r="D24" s="31">
        <f>'Financial Model'!D6</f>
        <v>1250438</v>
      </c>
      <c r="E24" s="31">
        <f>'Financial Model'!E6</f>
        <v>1283342</v>
      </c>
      <c r="F24" s="31">
        <f>'Financial Model'!F6</f>
        <v>1311743</v>
      </c>
    </row>
    <row r="25" spans="1:6" x14ac:dyDescent="0.25">
      <c r="A25" s="34" t="s">
        <v>159</v>
      </c>
      <c r="B25" s="47">
        <f>'Financial Model'!B7</f>
        <v>789764</v>
      </c>
      <c r="C25" s="47">
        <f>'Financial Model'!C7</f>
        <v>1403392</v>
      </c>
      <c r="D25" s="47">
        <f>'Financial Model'!D7</f>
        <v>2036322</v>
      </c>
      <c r="E25" s="47">
        <f>'Financial Model'!E7</f>
        <v>2611708</v>
      </c>
      <c r="F25" s="47">
        <f>'Financial Model'!F7</f>
        <v>3011257</v>
      </c>
    </row>
    <row r="26" spans="1:6" x14ac:dyDescent="0.25">
      <c r="A26" s="22" t="s">
        <v>160</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174</v>
      </c>
      <c r="B29" s="8"/>
      <c r="C29" s="8"/>
      <c r="D29" s="8"/>
      <c r="E29" s="8"/>
      <c r="F29" s="8"/>
    </row>
    <row r="30" spans="1:6" x14ac:dyDescent="0.25">
      <c r="A30" s="22" t="s">
        <v>175</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176</v>
      </c>
      <c r="B31" s="46">
        <f>IF(B21=0,0,'Financial Model'!B3/B21)</f>
        <v>0.4327959493670886</v>
      </c>
      <c r="C31" s="46">
        <f>IF(C21=0,0,'Financial Model'!C3/C21)</f>
        <v>0.3271641653940222</v>
      </c>
      <c r="D31" s="46">
        <f>IF(D21=0,0,'Financial Model'!D3/D21)</f>
        <v>0.26006523141330673</v>
      </c>
      <c r="E31" s="46">
        <f>IF(E21=0,0,'Financial Model'!E3/E21)</f>
        <v>0.21945084145261293</v>
      </c>
      <c r="F31" s="46">
        <f>IF(F21=0,0,'Financial Model'!F3/F21)</f>
        <v>0.1977265787647467</v>
      </c>
    </row>
    <row r="32" spans="1:6" x14ac:dyDescent="0.25">
      <c r="A32" s="22" t="s">
        <v>177</v>
      </c>
      <c r="B32" s="46">
        <f>IF(B21=0,0,'Financial Model'!B4/B21)</f>
        <v>0.13741772151898735</v>
      </c>
      <c r="C32" s="46">
        <f>IF(C21=0,0,'Financial Model'!C4/C21)</f>
        <v>0.11882174174312102</v>
      </c>
      <c r="D32" s="46">
        <f>IF(D21=0,0,'Financial Model'!D4/D21)</f>
        <v>0.10697525830909467</v>
      </c>
      <c r="E32" s="46">
        <f>IF(E21=0,0,'Financial Model'!E4/E21)</f>
        <v>0.10000025673611379</v>
      </c>
      <c r="F32" s="46">
        <f>IF(F21=0,0,'Financial Model'!F4/F21)</f>
        <v>0.0966705991209808</v>
      </c>
    </row>
    <row r="33" spans="1:6" x14ac:dyDescent="0.25">
      <c r="A33" s="34" t="s">
        <v>178</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179</v>
      </c>
      <c r="B35" s="8"/>
      <c r="C35" s="8"/>
      <c r="D35" s="8"/>
      <c r="E35" s="8"/>
      <c r="F35" s="8"/>
    </row>
    <row r="36" spans="1:6" x14ac:dyDescent="0.25">
      <c r="A36" s="22" t="s">
        <v>180</v>
      </c>
      <c r="B36" s="46">
        <v>0.5675057208237986</v>
      </c>
      <c r="C36" s="46">
        <v>0.5732777238345675</v>
      </c>
      <c r="D36" s="46">
        <v>0.5768052612509744</v>
      </c>
      <c r="E36" s="46">
        <v>0.5789280554886744</v>
      </c>
      <c r="F36" s="46">
        <v>0.5801743191959632</v>
      </c>
    </row>
    <row r="37" spans="1:6" x14ac:dyDescent="0.25">
      <c r="A37" s="22" t="s">
        <v>181</v>
      </c>
      <c r="B37" s="46">
        <v>0.39816933638443935</v>
      </c>
      <c r="C37" s="46">
        <v>0.4025342174644695</v>
      </c>
      <c r="D37" s="46">
        <v>0.4053534765757952</v>
      </c>
      <c r="E37" s="46">
        <v>0.4071812549774971</v>
      </c>
      <c r="F37" s="46">
        <v>0.4083573126485675</v>
      </c>
    </row>
    <row r="38" spans="1:6" x14ac:dyDescent="0.25">
      <c r="A38" s="22" t="s">
        <v>182</v>
      </c>
      <c r="B38" s="46">
        <v>0.034324942791762014</v>
      </c>
      <c r="C38" s="46">
        <v>0.02418805870096303</v>
      </c>
      <c r="D38" s="46">
        <v>0.01784126217323042</v>
      </c>
      <c r="E38" s="46">
        <v>0.01389068953382846</v>
      </c>
      <c r="F38" s="46">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183</v>
      </c>
      <c r="B3" s="8"/>
    </row>
    <row r="4" spans="1:2" x14ac:dyDescent="0.25">
      <c r="A4" s="22" t="s">
        <v>184</v>
      </c>
      <c r="B4" s="48">
        <v>85</v>
      </c>
    </row>
    <row r="5" spans="1:2" x14ac:dyDescent="0.25">
      <c r="A5" s="22" t="s">
        <v>156</v>
      </c>
      <c r="B5" s="36">
        <v>1200000</v>
      </c>
    </row>
    <row r="6" spans="1:2" x14ac:dyDescent="0.25">
      <c r="A6" s="22" t="s">
        <v>158</v>
      </c>
      <c r="B6" s="36">
        <v>1150000</v>
      </c>
    </row>
    <row r="7" spans="1:2" x14ac:dyDescent="0.25">
      <c r="A7" s="22" t="s">
        <v>185</v>
      </c>
      <c r="B7" s="36">
        <v>75000</v>
      </c>
    </row>
    <row r="8" spans="1:2" x14ac:dyDescent="0.25">
      <c r="A8" s="22" t="s">
        <v>186</v>
      </c>
      <c r="B8" s="36">
        <v>50000</v>
      </c>
    </row>
    <row r="9" spans="1:2" x14ac:dyDescent="0.25">
      <c r="A9" s="22" t="s">
        <v>187</v>
      </c>
      <c r="B9" s="49">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50" t="s">
        <v>188</v>
      </c>
      <c r="C2" s="50"/>
      <c r="D2" s="50"/>
      <c r="E2" s="50"/>
      <c r="F2" s="50"/>
      <c r="G2" s="50"/>
      <c r="H2" s="50"/>
    </row>
    <row r="4" ht="30" customHeight="1" spans="2:8" x14ac:dyDescent="0.25">
      <c r="B4" s="51" t="s">
        <v>189</v>
      </c>
      <c r="C4" s="51"/>
      <c r="D4" s="51"/>
      <c r="E4" s="51"/>
      <c r="F4" s="51"/>
      <c r="G4" s="51"/>
      <c r="H4" s="51"/>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190</v>
      </c>
      <c r="C2" s="44"/>
      <c r="D2" s="44"/>
      <c r="E2" s="44"/>
      <c r="F2" s="44"/>
      <c r="G2" s="44"/>
      <c r="H2" s="44"/>
      <c r="I2" s="44"/>
    </row>
    <row r="3" spans="2:9" x14ac:dyDescent="0.25">
      <c r="B3" s="52" t="s">
        <v>191</v>
      </c>
      <c r="C3" s="52"/>
      <c r="D3" s="52"/>
      <c r="E3" s="52"/>
      <c r="F3" s="52"/>
      <c r="G3" s="52"/>
      <c r="H3" s="52"/>
      <c r="I3" s="52"/>
    </row>
    <row r="4" spans="2:9" x14ac:dyDescent="0.25">
      <c r="B4" s="53" t="s">
        <v>192</v>
      </c>
      <c r="C4" s="53"/>
      <c r="D4" s="53"/>
      <c r="E4" s="53"/>
      <c r="F4" s="53"/>
      <c r="G4" s="53"/>
      <c r="H4" s="53"/>
      <c r="I4" s="53"/>
    </row>
    <row r="5" spans="2:6" x14ac:dyDescent="0.25">
      <c r="B5" s="54" t="s">
        <v>193</v>
      </c>
      <c r="D5" s="55" t="s">
        <v>194</v>
      </c>
      <c r="F5" s="56" t="s">
        <v>195</v>
      </c>
    </row>
    <row r="7" ht="24" customHeight="1" spans="2:8" x14ac:dyDescent="0.25">
      <c r="B7" s="8" t="s">
        <v>196</v>
      </c>
      <c r="C7" s="57" t="s">
        <v>70</v>
      </c>
      <c r="D7" s="57" t="s">
        <v>71</v>
      </c>
      <c r="E7" s="57" t="s">
        <v>72</v>
      </c>
      <c r="F7" s="57" t="s">
        <v>73</v>
      </c>
      <c r="G7" s="57" t="s">
        <v>74</v>
      </c>
      <c r="H7" s="57" t="s">
        <v>197</v>
      </c>
    </row>
    <row r="8" spans="2:7" x14ac:dyDescent="0.25">
      <c r="B8" s="9" t="s">
        <v>198</v>
      </c>
      <c r="C8" s="58">
        <v>100</v>
      </c>
      <c r="D8" s="58">
        <v>130</v>
      </c>
      <c r="E8" s="58">
        <v>160</v>
      </c>
      <c r="F8" s="58">
        <v>185</v>
      </c>
      <c r="G8" s="58">
        <v>200</v>
      </c>
    </row>
    <row r="9" spans="2:7" x14ac:dyDescent="0.25">
      <c r="B9" s="9" t="s">
        <v>199</v>
      </c>
      <c r="C9" s="59">
        <v>1975000</v>
      </c>
      <c r="D9" s="59">
        <v>2612670</v>
      </c>
      <c r="E9" s="59">
        <v>3286760</v>
      </c>
      <c r="F9" s="59">
        <v>3895050</v>
      </c>
      <c r="G9" s="59">
        <v>4323000</v>
      </c>
    </row>
    <row r="10" spans="2:7" x14ac:dyDescent="0.25">
      <c r="B10" s="9" t="s">
        <v>200</v>
      </c>
      <c r="C10" s="59">
        <v>854772</v>
      </c>
      <c r="D10" s="59">
        <v>854772</v>
      </c>
      <c r="E10" s="59">
        <v>854772</v>
      </c>
      <c r="F10" s="59">
        <v>854772</v>
      </c>
      <c r="G10" s="59">
        <v>854772</v>
      </c>
    </row>
    <row r="11" spans="2:7" x14ac:dyDescent="0.25">
      <c r="B11" s="9" t="s">
        <v>17</v>
      </c>
      <c r="C11" s="59">
        <v>271400</v>
      </c>
      <c r="D11" s="59">
        <v>310442</v>
      </c>
      <c r="E11" s="59">
        <v>351602</v>
      </c>
      <c r="F11" s="59">
        <v>389506</v>
      </c>
      <c r="G11" s="59">
        <v>417907</v>
      </c>
    </row>
    <row r="12" spans="2:7" x14ac:dyDescent="0.25">
      <c r="B12" s="9" t="s">
        <v>201</v>
      </c>
      <c r="C12" s="59">
        <v>34064.39316600799</v>
      </c>
      <c r="D12" s="59">
        <v>34064.39316600799</v>
      </c>
      <c r="E12" s="59">
        <v>34064.39316600799</v>
      </c>
      <c r="F12" s="59">
        <v>34064.39316600799</v>
      </c>
      <c r="G12" s="59">
        <v>34064.39316600799</v>
      </c>
    </row>
    <row r="13" spans="2:7" x14ac:dyDescent="0.25">
      <c r="B13" s="60" t="s">
        <v>159</v>
      </c>
      <c r="C13" s="61">
        <v>789764</v>
      </c>
      <c r="D13" s="61">
        <v>1403392</v>
      </c>
      <c r="E13" s="61">
        <v>2036322</v>
      </c>
      <c r="F13" s="61">
        <v>2611708</v>
      </c>
      <c r="G13" s="61">
        <v>3011257</v>
      </c>
    </row>
    <row r="14" spans="2:7" x14ac:dyDescent="0.25">
      <c r="B14" s="60" t="s">
        <v>202</v>
      </c>
      <c r="C14" s="61">
        <v>864764</v>
      </c>
      <c r="D14" s="61">
        <v>2268156</v>
      </c>
      <c r="E14" s="61">
        <v>4304478</v>
      </c>
      <c r="F14" s="61">
        <v>6916186</v>
      </c>
      <c r="G14" s="61">
        <v>9927443</v>
      </c>
    </row>
    <row r="15" spans="2:7" x14ac:dyDescent="0.25">
      <c r="B15" s="60" t="s">
        <v>203</v>
      </c>
      <c r="C15" s="62">
        <v>0.3998805063291139</v>
      </c>
      <c r="D15" s="62">
        <v>0.5371485874603376</v>
      </c>
      <c r="E15" s="62">
        <v>0.6195529944382918</v>
      </c>
      <c r="F15" s="62">
        <v>0.6705197622623587</v>
      </c>
      <c r="G15" s="62">
        <v>0.6965665047420773</v>
      </c>
    </row>
    <row r="16" spans="2:8" x14ac:dyDescent="0.25">
      <c r="B16" s="60" t="s">
        <v>175</v>
      </c>
      <c r="C16" s="63">
        <v>19750</v>
      </c>
      <c r="D16" s="63">
        <v>20097.46153846154</v>
      </c>
      <c r="E16" s="63">
        <v>20542.25</v>
      </c>
      <c r="F16" s="63">
        <v>21054.324324324323</v>
      </c>
      <c r="G16" s="63">
        <v>21615</v>
      </c>
      <c r="H16" s="64" t="s">
        <v>204</v>
      </c>
    </row>
    <row r="17" spans="2:7" x14ac:dyDescent="0.25">
      <c r="B17" s="60" t="s">
        <v>205</v>
      </c>
      <c r="C17" s="65">
        <v>11602.36393166008</v>
      </c>
      <c r="D17" s="65">
        <v>9225.218408969291</v>
      </c>
      <c r="E17" s="65">
        <v>7752.739957287549</v>
      </c>
      <c r="F17" s="65">
        <v>6909.958881978421</v>
      </c>
      <c r="G17" s="65">
        <v>6533.71696583004</v>
      </c>
    </row>
    <row r="18" spans="2:7" x14ac:dyDescent="0.25">
      <c r="B18" s="9" t="s">
        <v>206</v>
      </c>
      <c r="C18" s="59">
        <v>600</v>
      </c>
      <c r="D18" s="59">
        <v>618</v>
      </c>
      <c r="E18" s="59">
        <v>637</v>
      </c>
      <c r="F18" s="59">
        <v>656</v>
      </c>
      <c r="G18" s="59">
        <v>675</v>
      </c>
    </row>
    <row r="19" spans="2:8" x14ac:dyDescent="0.25">
      <c r="B19" s="9" t="s">
        <v>207</v>
      </c>
      <c r="C19" s="63">
        <v>1364</v>
      </c>
      <c r="D19" s="63">
        <v>1080.7076923076922</v>
      </c>
      <c r="E19" s="63">
        <v>904.4112499999999</v>
      </c>
      <c r="F19" s="63">
        <v>805.6494810810811</v>
      </c>
      <c r="G19" s="63">
        <v>767.5594931</v>
      </c>
      <c r="H19" s="64" t="s">
        <v>208</v>
      </c>
    </row>
    <row r="20" spans="2:7" x14ac:dyDescent="0.25">
      <c r="B20" s="60" t="s">
        <v>209</v>
      </c>
      <c r="C20" s="66">
        <v>7897.64</v>
      </c>
      <c r="D20" s="66">
        <v>10795.323076923078</v>
      </c>
      <c r="E20" s="66">
        <v>12727.0125</v>
      </c>
      <c r="F20" s="66">
        <v>14117.340540540541</v>
      </c>
      <c r="G20" s="66">
        <v>15056.285</v>
      </c>
    </row>
    <row r="21" spans="2:8" x14ac:dyDescent="0.25">
      <c r="B21" s="60" t="s">
        <v>210</v>
      </c>
      <c r="C21" s="62">
        <v>0.4327959493670886</v>
      </c>
      <c r="D21" s="62">
        <v>0.3271641653940222</v>
      </c>
      <c r="E21" s="62">
        <v>0.26006523141330673</v>
      </c>
      <c r="F21" s="62">
        <v>0.21945084145261293</v>
      </c>
      <c r="G21" s="62">
        <v>0.1977265787647467</v>
      </c>
      <c r="H21" s="64" t="s">
        <v>211</v>
      </c>
    </row>
    <row r="22" spans="2:8" x14ac:dyDescent="0.25">
      <c r="B22" s="60" t="s">
        <v>212</v>
      </c>
      <c r="C22" s="62">
        <v>0.0690632911392405</v>
      </c>
      <c r="D22" s="62">
        <v>0.053773342978638713</v>
      </c>
      <c r="E22" s="62">
        <v>0.04402688361790943</v>
      </c>
      <c r="F22" s="62">
        <v>0.038265273616513266</v>
      </c>
      <c r="G22" s="62">
        <v>0.0355105016470044</v>
      </c>
      <c r="H22" s="64" t="s">
        <v>213</v>
      </c>
    </row>
    <row r="23" spans="2:8" x14ac:dyDescent="0.25">
      <c r="B23" s="60" t="s">
        <v>214</v>
      </c>
      <c r="C23" s="62">
        <v>0.42978632911392406</v>
      </c>
      <c r="D23" s="62">
        <v>0.5540140928628567</v>
      </c>
      <c r="E23" s="62">
        <v>0.6329595102775986</v>
      </c>
      <c r="F23" s="62">
        <v>0.6805489018112733</v>
      </c>
      <c r="G23" s="62">
        <v>0.7056028221142725</v>
      </c>
      <c r="H23" s="64" t="s">
        <v>215</v>
      </c>
    </row>
    <row r="24" spans="2:8" x14ac:dyDescent="0.25">
      <c r="B24" s="60" t="s">
        <v>216</v>
      </c>
      <c r="C24" s="67">
        <v>4</v>
      </c>
      <c r="D24" s="67">
        <v>4</v>
      </c>
      <c r="E24" s="67">
        <v>4</v>
      </c>
      <c r="F24" s="67">
        <v>4</v>
      </c>
      <c r="G24" s="67">
        <v>4</v>
      </c>
      <c r="H24" s="64" t="s">
        <v>217</v>
      </c>
    </row>
    <row r="25" spans="2:8" x14ac:dyDescent="0.25">
      <c r="B25" s="60" t="s">
        <v>218</v>
      </c>
      <c r="C25" s="68">
        <v>24.918336160088252</v>
      </c>
      <c r="D25" s="68">
        <v>42.49175944353473</v>
      </c>
      <c r="E25" s="68">
        <v>61.07215795277884</v>
      </c>
      <c r="F25" s="68">
        <v>77.81650437986194</v>
      </c>
      <c r="G25" s="68">
        <v>89.54573137806075</v>
      </c>
      <c r="H25" s="64" t="s">
        <v>219</v>
      </c>
    </row>
    <row r="26" spans="2:8" x14ac:dyDescent="0.25">
      <c r="B26" s="60" t="s">
        <v>220</v>
      </c>
      <c r="C26" s="42" t="str">
        <f>IF('Financial Model'!B8&gt;=0,"✓ Break-even","")</f>
        <v>✓ Break-even</v>
      </c>
      <c r="D26" s="69" t="str">
        <f>IF(AND('Financial Model'!C8&gt;=0,'Financial Model'!B8&lt;0),"✓ Break-even","")</f>
        <v>0</v>
      </c>
      <c r="E26" s="69" t="str">
        <f>IF(AND('Financial Model'!D8&gt;=0,'Financial Model'!C8&lt;0),"✓ Break-even","")</f>
        <v>0</v>
      </c>
      <c r="F26" s="69" t="str">
        <f>IF(AND('Financial Model'!E8&gt;=0,'Financial Model'!D8&lt;0),"✓ Break-even","")</f>
        <v>0</v>
      </c>
      <c r="G26" s="69" t="str">
        <f>IF(AND('Financial Model'!F8&gt;=0,'Financial Model'!E8&lt;0),"✓ Break-even","")</f>
        <v>0</v>
      </c>
      <c r="H26" s="64" t="s">
        <v>70</v>
      </c>
    </row>
    <row r="27" spans="2:8" x14ac:dyDescent="0.25">
      <c r="B27" s="60" t="s">
        <v>221</v>
      </c>
      <c r="C27" s="70">
        <v>9</v>
      </c>
      <c r="D27" s="71">
        <v>23</v>
      </c>
      <c r="E27" s="67">
        <v>42</v>
      </c>
      <c r="F27" s="72" t="s">
        <v>222</v>
      </c>
      <c r="G27" s="72" t="s">
        <v>222</v>
      </c>
      <c r="H27" s="64" t="s">
        <v>223</v>
      </c>
    </row>
    <row r="28" spans="2:8" x14ac:dyDescent="0.25">
      <c r="B28" s="60" t="s">
        <v>224</v>
      </c>
      <c r="C28" s="67">
        <v>272</v>
      </c>
      <c r="D28" s="67">
        <v>690</v>
      </c>
      <c r="E28" s="67">
        <v>1267</v>
      </c>
      <c r="F28" s="67">
        <v>1975</v>
      </c>
      <c r="G28" s="67">
        <v>2773</v>
      </c>
      <c r="H28" s="64" t="s">
        <v>225</v>
      </c>
    </row>
    <row r="30" ht="24" customHeight="1" spans="2:9" x14ac:dyDescent="0.25">
      <c r="B30" s="8" t="s">
        <v>226</v>
      </c>
      <c r="C30" s="8" t="s">
        <v>227</v>
      </c>
      <c r="D30" s="8" t="s">
        <v>228</v>
      </c>
      <c r="E30" s="8"/>
      <c r="F30" s="8" t="s">
        <v>229</v>
      </c>
      <c r="G30" s="8"/>
      <c r="H30" s="8"/>
      <c r="I30" s="8"/>
    </row>
    <row r="31" ht="45" customHeight="1" spans="2:9" x14ac:dyDescent="0.25">
      <c r="B31" s="73" t="s">
        <v>230</v>
      </c>
      <c r="C31" s="42" t="s">
        <v>231</v>
      </c>
      <c r="D31" s="74" t="s">
        <v>232</v>
      </c>
      <c r="E31" s="74"/>
      <c r="F31" s="75" t="s">
        <v>233</v>
      </c>
      <c r="G31" s="75"/>
      <c r="H31" s="75"/>
      <c r="I31" s="75"/>
    </row>
    <row r="32" ht="45" customHeight="1" spans="2:9" x14ac:dyDescent="0.25">
      <c r="B32" s="73" t="s">
        <v>234</v>
      </c>
      <c r="C32" s="42" t="s">
        <v>231</v>
      </c>
      <c r="D32" s="74" t="s">
        <v>235</v>
      </c>
      <c r="E32" s="74"/>
      <c r="F32" s="75" t="s">
        <v>236</v>
      </c>
      <c r="G32" s="75"/>
      <c r="H32" s="75"/>
      <c r="I32" s="75"/>
    </row>
    <row r="33" ht="45" customHeight="1" spans="2:9" x14ac:dyDescent="0.25">
      <c r="B33" s="73" t="s">
        <v>237</v>
      </c>
      <c r="C33" s="42" t="s">
        <v>231</v>
      </c>
      <c r="D33" s="74" t="s">
        <v>238</v>
      </c>
      <c r="E33" s="74"/>
      <c r="F33" s="75" t="s">
        <v>239</v>
      </c>
      <c r="G33" s="75"/>
      <c r="H33" s="75"/>
      <c r="I33" s="75"/>
    </row>
    <row r="34" ht="45" customHeight="1" spans="2:9" x14ac:dyDescent="0.25">
      <c r="B34" s="73" t="s">
        <v>240</v>
      </c>
      <c r="C34" s="42" t="s">
        <v>231</v>
      </c>
      <c r="D34" s="74" t="s">
        <v>241</v>
      </c>
      <c r="E34" s="74"/>
      <c r="F34" s="75" t="s">
        <v>242</v>
      </c>
      <c r="G34" s="75"/>
      <c r="H34" s="75"/>
      <c r="I34" s="75"/>
    </row>
    <row r="35" ht="45" customHeight="1" spans="2:9" x14ac:dyDescent="0.25">
      <c r="B35" s="73" t="s">
        <v>243</v>
      </c>
      <c r="C35" s="42" t="s">
        <v>231</v>
      </c>
      <c r="D35" s="74" t="s">
        <v>244</v>
      </c>
      <c r="E35" s="74"/>
      <c r="F35" s="75" t="s">
        <v>245</v>
      </c>
      <c r="G35" s="75"/>
      <c r="H35" s="75"/>
      <c r="I35" s="75"/>
    </row>
    <row r="36" ht="45" customHeight="1" spans="2:9" x14ac:dyDescent="0.25">
      <c r="B36" s="73" t="s">
        <v>246</v>
      </c>
      <c r="C36" s="42" t="s">
        <v>231</v>
      </c>
      <c r="D36" s="74" t="s">
        <v>247</v>
      </c>
      <c r="E36" s="74"/>
      <c r="F36" s="75" t="s">
        <v>248</v>
      </c>
      <c r="G36" s="75"/>
      <c r="H36" s="75"/>
      <c r="I36" s="75"/>
    </row>
    <row r="37" ht="45" customHeight="1" spans="2:9" x14ac:dyDescent="0.25">
      <c r="B37" s="73" t="s">
        <v>249</v>
      </c>
      <c r="C37" s="42" t="s">
        <v>231</v>
      </c>
      <c r="D37" s="74" t="s">
        <v>250</v>
      </c>
      <c r="E37" s="74"/>
      <c r="F37" s="75" t="s">
        <v>251</v>
      </c>
      <c r="G37" s="75"/>
      <c r="H37" s="75"/>
      <c r="I37" s="75"/>
    </row>
    <row r="39" spans="2:6" x14ac:dyDescent="0.25">
      <c r="B39" s="73" t="s">
        <v>20</v>
      </c>
      <c r="C39" s="60" t="s">
        <v>252</v>
      </c>
      <c r="D39" s="60"/>
      <c r="E39" s="60"/>
      <c r="F39" s="60"/>
    </row>
    <row r="41" spans="2:9" x14ac:dyDescent="0.25">
      <c r="B41" s="76" t="s">
        <v>253</v>
      </c>
      <c r="C41" s="76"/>
      <c r="D41" s="76"/>
      <c r="E41" s="76"/>
      <c r="F41" s="76"/>
      <c r="G41" s="76"/>
      <c r="H41" s="76"/>
      <c r="I41" s="76"/>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2026-05-09T20:32:50Z</dcterms:created>
  <dcterms:modified xsi:type="dcterms:W3CDTF">2026-05-09T20:32:50Z</dcterms:modified>
</cp:coreProperties>
</file>