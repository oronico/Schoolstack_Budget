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  <sheet sheetId="8" name="Prior-Year Snapshot" state="visible" r:id="rId12"/>
    <sheet sheetId="10" name="Financial Health" state="visible" r:id="rId13"/>
  </sheets>
  <definedNames>
    <definedName name="_xlnm.Print_Area" localSheetId="1">'Assumptions'!$A1:$E32</definedName>
    <definedName name="_xlnm.Print_Titles" localSheetId="1">'Assumptions'!$1:$1</definedName>
    <definedName name="_xlnm.Print_Area" localSheetId="2">'Revenue Schedule'!$A1:$F21</definedName>
    <definedName name="_xlnm.Print_Titles" localSheetId="2">'Revenue Schedule'!$1:$1</definedName>
    <definedName name="_xlnm.Print_Area" localSheetId="3">'Staffing &amp; Personnel'!$A1:$H25</definedName>
    <definedName name="_xlnm.Print_Titles" localSheetId="3">'Staffing &amp; Personnel'!$1:$1</definedName>
    <definedName name="_xlnm.Print_Area" localSheetId="4">'Operating Expenses'!$A1:$F21</definedName>
    <definedName name="_xlnm.Print_Titles" localSheetId="4">'Operating Expenses'!$1:$1</definedName>
    <definedName name="_xlnm.Print_Area" localSheetId="5">'Capital &amp; Debt'!$A1:$F5</definedName>
    <definedName name="_xlnm.Print_Titles" localSheetId="5">'Capital &amp; Debt'!$1:$1</definedName>
    <definedName name="_xlnm.Print_Area" localSheetId="6">'Financial Model'!$A1:$F10</definedName>
    <definedName name="_xlnm.Print_Titles" localSheetId="6">'Financial Model'!$1:$1</definedName>
    <definedName name="_xlnm.Print_Area" localSheetId="7">'Summary'!$A1:$F37</definedName>
    <definedName name="_xlnm.Print_Titles" localSheetId="7">'Summary'!$1:$1</definedName>
    <definedName name="_xlnm.Print_Area" localSheetId="8">'Prior-Year Snapshot'!$A1:$B9</definedName>
    <definedName name="_xlnm.Print_Titles" localSheetId="8">'Prior-Year Snapshot'!$1:$1</definedName>
    <definedName name="_xlnm.Print_Area" localSheetId="9">'Financial Health'!$A1:$H40</definedName>
    <definedName name="_xlnm.Print_Titles" localSheetId="9">'Financial Health'!$1:$1</definedName>
  </definedNames>
  <calcPr calcId="171027" fullCalcOnLoad="1"/>
</workbook>
</file>

<file path=xl/sharedStrings.xml><?xml version="1.0" encoding="utf-8"?>
<sst xmlns="http://schemas.openxmlformats.org/spreadsheetml/2006/main" count="335" uniqueCount="237">
  <si>
    <t>SchoolStack Budget</t>
  </si>
  <si>
    <t>5-Year Financial Model</t>
  </si>
  <si>
    <t>Prepared for</t>
  </si>
  <si>
    <t>Heritage Academy</t>
  </si>
  <si>
    <t>Private School  •  501(c)(3) Nonprofit  •  FL</t>
  </si>
  <si>
    <t>Date Prepared</t>
  </si>
  <si>
    <t>March 27,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</si>
  <si>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</si>
  <si>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</si>
  <si>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</si>
  <si>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</si>
  <si>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</si>
  <si>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</si>
  <si>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</si>
  <si>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</si>
  <si>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</si>
  <si>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</si>
  <si>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</si>
  <si>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</si>
  <si>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</si>
  <si>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</si>
  <si>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Prior-Year Snapshot</t>
  </si>
  <si>
    <t>Generated by SchoolStack Budget  •  budget.schoolstack.ai</t>
  </si>
  <si>
    <t>SchoolStack Budget - Assumptions</t>
  </si>
  <si>
    <t/>
  </si>
  <si>
    <t>Editable assumption — change this value</t>
  </si>
  <si>
    <t>Calculated — driven by formula</t>
  </si>
  <si>
    <t>SCHOOL INFORMATION</t>
  </si>
  <si>
    <t>School Name</t>
  </si>
  <si>
    <t>State</t>
  </si>
  <si>
    <t>FL</t>
  </si>
  <si>
    <t>School Type</t>
  </si>
  <si>
    <t>Private School</t>
  </si>
  <si>
    <t>Entity Type</t>
  </si>
  <si>
    <t>501(c)(3) Nonprofit</t>
  </si>
  <si>
    <t>EIN</t>
  </si>
  <si>
    <t>59-9876543</t>
  </si>
  <si>
    <t>School Stage</t>
  </si>
  <si>
    <t>Operating School</t>
  </si>
  <si>
    <t>Opening Year</t>
  </si>
  <si>
    <t>Current Students</t>
  </si>
  <si>
    <t>Max Student Capacity</t>
  </si>
  <si>
    <t>Fiscal Year Start</t>
  </si>
  <si>
    <t>July</t>
  </si>
  <si>
    <t>Accredited</t>
  </si>
  <si>
    <t>No</t>
  </si>
  <si>
    <t>Location Secured</t>
  </si>
  <si>
    <t>Yes</t>
  </si>
  <si>
    <t>Facility Address</t>
  </si>
  <si>
    <t>456 Oak Ave, Tampa, FL, 33602</t>
  </si>
  <si>
    <t>Facility Ownership</t>
  </si>
  <si>
    <t>Rented / Leased</t>
  </si>
  <si>
    <t>Monthly Rent</t>
  </si>
  <si>
    <t>$8,500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</si>
  <si>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</si>
  <si>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</si>
  <si>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</si>
  <si>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</si>
  <si>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</si>
  <si>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</si>
  <si>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</si>
  <si>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</si>
  <si>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</si>
  <si>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</si>
  <si>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</si>
  <si>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</si>
  <si>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</si>
  <si>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</si>
  <si>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>Year 1</t>
  </si>
  <si>
    <t>Year 2</t>
  </si>
  <si>
    <t>Year 3</t>
  </si>
  <si>
    <t>Year 4</t>
  </si>
  <si>
    <t>Year 5</t>
  </si>
  <si>
    <t>Students</t>
  </si>
  <si>
    <t>TUITION &amp; STUDENT FEES</t>
  </si>
  <si>
    <t>Tuition</t>
  </si>
  <si>
    <t>Registration Fee</t>
  </si>
  <si>
    <t>Total TUITION &amp; STUDENT FEES</t>
  </si>
  <si>
    <t>TUITION OFFSETS</t>
  </si>
  <si>
    <t>Scholarship Discount</t>
  </si>
  <si>
    <t>Total TUITION OFFSETS</t>
  </si>
  <si>
    <t>SCHOOL CHOICE / CHOICE FUNDING</t>
  </si>
  <si>
    <t>FL FTC Scholarship</t>
  </si>
  <si>
    <t>Total SCHOOL CHOICE / CHOICE FUNDING</t>
  </si>
  <si>
    <t>PHILANTHROPY</t>
  </si>
  <si>
    <t>Foundation Grant</t>
  </si>
  <si>
    <t>Annual Fund</t>
  </si>
  <si>
    <t>Total PHILANTHROPY</t>
  </si>
  <si>
    <t>OTHER REVENUE</t>
  </si>
  <si>
    <t>After-School Programs</t>
  </si>
  <si>
    <t>Total OTHER REVENUE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</si>
  <si>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</si>
  <si>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</si>
  <si>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</si>
  <si>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</si>
  <si>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</si>
  <si>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</si>
  <si>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</si>
  <si>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</si>
  <si>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</si>
  <si>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</si>
  <si>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Head of School</t>
  </si>
  <si>
    <t>School Leadership</t>
  </si>
  <si>
    <t>Full-Time</t>
  </si>
  <si>
    <t>Assistant Principal</t>
  </si>
  <si>
    <t>Teachers</t>
  </si>
  <si>
    <t>Instructional</t>
  </si>
  <si>
    <t>Paraprofessionals</t>
  </si>
  <si>
    <t>School Counselor</t>
  </si>
  <si>
    <t>Student Support</t>
  </si>
  <si>
    <t>Office Manager</t>
  </si>
  <si>
    <t>Administrative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</si>
  <si>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</si>
  <si>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</si>
  <si>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</si>
  <si>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</si>
  <si>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</si>
  <si>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</si>
  <si>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</si>
  <si>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</si>
  <si>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</si>
  <si>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</si>
  <si>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</si>
  <si>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</si>
  <si>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</si>
  <si>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</si>
  <si>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</t>
  </si>
  <si>
    <t>Total INSTRUCTIONAL</t>
  </si>
  <si>
    <t>TECHNOLOGY</t>
  </si>
  <si>
    <t>Technology</t>
  </si>
  <si>
    <t>Total TECHNOLOGY</t>
  </si>
  <si>
    <t>OCCUPANCY / FACILITY</t>
  </si>
  <si>
    <t>Rent</t>
  </si>
  <si>
    <t>Utilities</t>
  </si>
  <si>
    <t>Insurance</t>
  </si>
  <si>
    <t>Maintenance</t>
  </si>
  <si>
    <t>Total OCCUPANCY</t>
  </si>
  <si>
    <t>ADMINISTRATIVE / GENERAL</t>
  </si>
  <si>
    <t>Marketing</t>
  </si>
  <si>
    <t>Professional Development</t>
  </si>
  <si>
    <t>Accounting &amp; Legal</t>
  </si>
  <si>
    <t>Total ADMINISTRATIVE</t>
  </si>
  <si>
    <t>TOTAL OPERATING EXPENSES</t>
  </si>
  <si>
    <t>CAPITAL EXPENDITURES &amp; DEBT SERVICE</t>
  </si>
  <si>
    <t>Facility Buildout Loan</t>
  </si>
  <si>
    <t>Furniture &amp; Equipment</t>
  </si>
  <si>
    <t>TOTAL CAPITAL &amp; DEBT</t>
  </si>
  <si>
    <t>Total Revenue</t>
  </si>
  <si>
    <t>Personnel Costs</t>
  </si>
  <si>
    <t>Total Expenses</t>
  </si>
  <si>
    <t>Net Income</t>
  </si>
  <si>
    <t>Cumulative Net Income</t>
  </si>
  <si>
    <t>Break-even</t>
  </si>
  <si>
    <t>✓ Break-even</t>
  </si>
  <si>
    <t>Financial Model Summary</t>
  </si>
  <si>
    <t>Prepared by SchoolStack Budget</t>
  </si>
  <si>
    <t>200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</si>
  <si>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</si>
  <si>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</si>
  <si>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</si>
  <si>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</si>
  <si>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</si>
  <si>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</si>
  <si>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</si>
  <si>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Net Margin %</t>
  </si>
  <si>
    <t>REVENUE MIX TREND</t>
  </si>
  <si>
    <t>Tuition &amp; Fees %</t>
  </si>
  <si>
    <t>Public Funding %</t>
  </si>
  <si>
    <t>Philanthropy %</t>
  </si>
  <si>
    <t>PRIOR YEAR ACTUALS</t>
  </si>
  <si>
    <t>Ending Enrollment</t>
  </si>
  <si>
    <t>Ending Cash Balance</t>
  </si>
  <si>
    <t>Net Income (Prior Year)</t>
  </si>
  <si>
    <t>Cash Reserve (Months)</t>
  </si>
  <si>
    <t>Heritage Academy — Financial Health Dashboard</t>
  </si>
  <si>
    <t>Generated March 27,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</si>
  <si>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</si>
  <si>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</si>
  <si>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</si>
  <si>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</si>
  <si>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</si>
  <si>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</si>
  <si>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Revenue</t>
  </si>
  <si>
    <t>Personnel</t>
  </si>
  <si>
    <t>Debt Service</t>
  </si>
  <si>
    <t>Ending Cash</t>
  </si>
  <si>
    <t>Net Margin</t>
  </si>
  <si>
    <t>≥ $10,000</t>
  </si>
  <si>
    <t>Cost per Student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</si>
  <si>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</si>
  <si>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</si>
  <si>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</si>
  <si>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</si>
  <si>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</si>
  <si>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</si>
  <si>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</si>
  <si>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</si>
  <si>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</si>
  <si>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</si>
  <si>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</si>
  <si>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</si>
  <si>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</si>
  <si>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≥ 1.25x</t>
  </si>
  <si>
    <t>Break-even Year</t>
  </si>
  <si>
    <t>Cash Runway (Months)</t>
  </si>
  <si>
    <t>60+</t>
  </si>
  <si>
    <t>≥ 24 months</t>
  </si>
  <si>
    <t>Days Cash on Hand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</si>
  <si>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</si>
  <si>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</si>
  <si>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</si>
  <si>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</si>
  <si>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</si>
  <si>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</si>
  <si>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</si>
  <si>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net income early and sustains strong margins through Year 5.</t>
  </si>
  <si>
    <t>Monitor enrollment actuals vs. projections in Year 1.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</si>
  <si>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</si>
  <si>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</si>
  <si>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</si>
  <si>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</si>
  <si>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20% of revenue leaves room for facilities, programs, and reserves.</t>
  </si>
  <si>
    <t>As you add staff, ensure staffing stays below 60% of revenue.</t>
  </si>
  <si>
    <t>Facility Burden</t>
  </si>
  <si>
    <t>Facility costs at 4% of revenue are well-managed and leave budget for programs.</t>
  </si>
  <si>
    <t>Watch for rent escalation clauses that could push this higher over time.</t>
  </si>
  <si>
    <t>Debt Affordability</t>
  </si>
  <si>
    <t>DSCR of 89.55x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</si>
  <si>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</si>
  <si>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</si>
  <si>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</si>
  <si>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</si>
  <si>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</si>
  <si>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91.2 months of reserves by Year 5 — a strong buffer for unexpected costs.</t>
  </si>
  <si>
    <t>Continue growing reserves toward 6 months for best-in-class financial health.</t>
  </si>
  <si>
    <t>7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</si>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</sst>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  <numFmt numFmtId="170" formatCode="0.00x"/>
  </numFmts>
  <fonts count="22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color rgb="FF1E3A5F"/>
      <sz val="11"/>
      <name val="Calibri"/>
    </font>
    <font>
      <color rgb="FF1E293B"/>
      <sz val="11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FFF8E1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2" xfId="0" applyFont="1" applyBorder="1"/>
    <xf numFmtId="0" fontId="0" fillId="0" borderId="2" xfId="0" applyBorder="1"/>
    <xf numFmtId="0" fontId="11" fillId="0" borderId="0" xfId="0" applyFont="1"/>
    <xf numFmtId="0" fontId="12" fillId="0" borderId="0" xfId="0" applyFont="1"/>
    <xf numFmtId="0" fontId="0" fillId="4" borderId="3" xfId="0" applyFill="1" applyBorder="1"/>
    <xf numFmtId="0" fontId="13" fillId="0" borderId="0" xfId="0" applyFont="1"/>
    <xf numFmtId="0" fontId="0" fillId="5" borderId="4" xfId="0" applyFill="1" applyBorder="1"/>
    <xf numFmtId="0" fontId="7" fillId="0" borderId="0" xfId="0" applyFont="1"/>
    <xf numFmtId="0" fontId="14" fillId="4" borderId="3" xfId="0" applyFont="1" applyFill="1" applyBorder="1"/>
    <xf numFmtId="167" fontId="14" fillId="4" borderId="3" xfId="0" applyNumberFormat="1" applyFont="1" applyFill="1" applyBorder="1"/>
    <xf numFmtId="165" fontId="14" fillId="4" borderId="3" xfId="0" applyNumberFormat="1" applyFont="1" applyFill="1" applyBorder="1"/>
    <xf numFmtId="2" fontId="14" fillId="4" borderId="3" xfId="0" applyNumberFormat="1" applyFont="1" applyFill="1" applyBorder="1"/>
    <xf numFmtId="0" fontId="15" fillId="0" borderId="0" xfId="0" applyFont="1"/>
    <xf numFmtId="0" fontId="16" fillId="6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164" fontId="14" fillId="4" borderId="3" xfId="0" applyNumberFormat="1" applyFont="1" applyFill="1" applyBorder="1"/>
    <xf numFmtId="164" fontId="15" fillId="0" borderId="0" xfId="0" applyNumberFormat="1" applyFont="1"/>
    <xf numFmtId="0" fontId="8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0" xfId="0" applyFont="1"/>
    <xf numFmtId="0" fontId="18" fillId="0" borderId="0" xfId="0" applyFont="1"/>
    <xf numFmtId="165" fontId="7" fillId="0" borderId="2" xfId="0" applyNumberFormat="1" applyFont="1" applyBorder="1"/>
    <xf numFmtId="164" fontId="9" fillId="3" borderId="5" xfId="0" applyNumberFormat="1" applyFont="1" applyFill="1" applyBorder="1"/>
    <xf numFmtId="167" fontId="8" fillId="0" borderId="0" xfId="0" applyNumberFormat="1" applyFont="1"/>
    <xf numFmtId="166" fontId="8" fillId="0" borderId="0" xfId="0" applyNumberFormat="1" applyFont="1"/>
    <xf numFmtId="0" fontId="19" fillId="0" borderId="0" xfId="0" applyFont="1"/>
    <xf numFmtId="0" fontId="9" fillId="0" borderId="0" xfId="0" applyFont="1"/>
    <xf numFmtId="0" fontId="20" fillId="0" borderId="0" xfId="0" applyFont="1"/>
    <xf numFmtId="0" fontId="21" fillId="0" borderId="0" xfId="0" applyFont="1"/>
    <xf numFmtId="0" fontId="6" fillId="2" borderId="2" xfId="0" applyFont="1" applyFill="1" applyBorder="1" applyAlignment="1">
      <alignment horizontal="center"/>
    </xf>
    <xf numFmtId="167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8" fillId="0" borderId="2" xfId="0" applyFont="1" applyBorder="1"/>
    <xf numFmtId="164" fontId="8" fillId="3" borderId="5" xfId="0" applyNumberFormat="1" applyFont="1" applyFill="1" applyBorder="1" applyAlignment="1">
      <alignment horizontal="right"/>
    </xf>
    <xf numFmtId="165" fontId="8" fillId="3" borderId="5" xfId="0" applyNumberFormat="1" applyFont="1" applyFill="1" applyBorder="1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0" fontId="19" fillId="0" borderId="2" xfId="0" applyFont="1" applyBorder="1"/>
    <xf numFmtId="164" fontId="8" fillId="0" borderId="2" xfId="0" applyNumberFormat="1" applyFont="1" applyBorder="1" applyAlignment="1">
      <alignment horizontal="right"/>
    </xf>
    <xf numFmtId="164" fontId="8" fillId="3" borderId="2" xfId="0" applyNumberFormat="1" applyFont="1" applyFill="1" applyBorder="1" applyAlignment="1">
      <alignment horizontal="right"/>
    </xf>
    <xf numFmtId="167" fontId="8" fillId="3" borderId="5" xfId="0" applyNumberFormat="1" applyFont="1" applyFill="1" applyBorder="1" applyAlignment="1">
      <alignment horizontal="right"/>
    </xf>
    <xf numFmtId="170" fontId="8" fillId="3" borderId="5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167" fontId="8" fillId="7" borderId="5" xfId="0" applyNumberFormat="1" applyFont="1" applyFill="1" applyBorder="1" applyAlignment="1">
      <alignment horizontal="right"/>
    </xf>
    <xf numFmtId="167" fontId="8" fillId="8" borderId="5" xfId="0" applyNumberFormat="1" applyFont="1" applyFill="1" applyBorder="1" applyAlignment="1">
      <alignment horizontal="right"/>
    </xf>
    <xf numFmtId="49" fontId="8" fillId="3" borderId="5" xfId="0" applyNumberFormat="1" applyFont="1" applyFill="1" applyBorder="1" applyAlignment="1">
      <alignment horizontal="right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Relationship Id="rId8" Type="http://schemas.openxmlformats.org/officeDocument/2006/relationships/hyperlink" Target="#&apos;Prior-Year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8" t="s">
        <v>23</v>
      </c>
      <c r="B1" s="18"/>
    </row>
    <row r="2" spans="1:5" x14ac:dyDescent="0.25">
      <c r="A2" s="19" t="s">
        <v>24</v>
      </c>
      <c r="B2" s="20" t="s">
        <v>25</v>
      </c>
      <c r="D2" s="21" t="s">
        <v>24</v>
      </c>
      <c r="E2" s="20" t="s">
        <v>26</v>
      </c>
    </row>
    <row r="3" ht="24" customHeight="1" spans="1:2" x14ac:dyDescent="0.25">
      <c r="A3" s="8" t="s">
        <v>27</v>
      </c>
      <c r="B3" s="8"/>
    </row>
    <row r="4" spans="1:2" x14ac:dyDescent="0.25">
      <c r="A4" s="22" t="s">
        <v>28</v>
      </c>
      <c r="B4" s="23" t="s">
        <v>3</v>
      </c>
    </row>
    <row r="5" spans="1:2" x14ac:dyDescent="0.25">
      <c r="A5" s="22" t="s">
        <v>29</v>
      </c>
      <c r="B5" s="23" t="s">
        <v>30</v>
      </c>
    </row>
    <row r="6" spans="1:2" x14ac:dyDescent="0.25">
      <c r="A6" s="22" t="s">
        <v>31</v>
      </c>
      <c r="B6" s="23" t="s">
        <v>32</v>
      </c>
    </row>
    <row r="7" spans="1:2" x14ac:dyDescent="0.25">
      <c r="A7" s="22" t="s">
        <v>33</v>
      </c>
      <c r="B7" s="23" t="s">
        <v>34</v>
      </c>
    </row>
    <row r="8" spans="1:2" x14ac:dyDescent="0.25">
      <c r="A8" s="22" t="s">
        <v>35</v>
      </c>
      <c r="B8" s="23" t="s">
        <v>36</v>
      </c>
    </row>
    <row r="9" spans="1:2" x14ac:dyDescent="0.25">
      <c r="A9" s="22" t="s">
        <v>37</v>
      </c>
      <c r="B9" s="23" t="s">
        <v>38</v>
      </c>
    </row>
    <row r="10" spans="1:2" x14ac:dyDescent="0.25">
      <c r="A10" s="22" t="s">
        <v>39</v>
      </c>
      <c r="B10" s="23">
        <v>2023</v>
      </c>
    </row>
    <row r="11" spans="1:2" x14ac:dyDescent="0.25">
      <c r="A11" s="22" t="s">
        <v>40</v>
      </c>
      <c r="B11" s="23">
        <v>85</v>
      </c>
    </row>
    <row r="12" spans="1:2" x14ac:dyDescent="0.25">
      <c r="A12" s="22" t="s">
        <v>41</v>
      </c>
      <c r="B12" s="23">
        <v>200</v>
      </c>
    </row>
    <row r="13" spans="1:2" x14ac:dyDescent="0.25">
      <c r="A13" s="22" t="s">
        <v>42</v>
      </c>
      <c r="B13" s="23" t="s">
        <v>43</v>
      </c>
    </row>
    <row r="14" spans="1:2" x14ac:dyDescent="0.25">
      <c r="A14" s="22" t="s">
        <v>44</v>
      </c>
      <c r="B14" s="23" t="s">
        <v>45</v>
      </c>
    </row>
    <row r="15" spans="1:2" x14ac:dyDescent="0.25">
      <c r="A15" s="22" t="s">
        <v>46</v>
      </c>
      <c r="B15" s="23" t="s">
        <v>47</v>
      </c>
    </row>
    <row r="16" spans="1:2" x14ac:dyDescent="0.25">
      <c r="A16" s="22" t="s">
        <v>48</v>
      </c>
      <c r="B16" s="23" t="s">
        <v>49</v>
      </c>
    </row>
    <row r="17" spans="1:2" x14ac:dyDescent="0.25">
      <c r="A17" s="22" t="s">
        <v>50</v>
      </c>
      <c r="B17" s="23" t="s">
        <v>51</v>
      </c>
    </row>
    <row r="18" spans="1:2" x14ac:dyDescent="0.25">
      <c r="A18" s="22" t="s">
        <v>52</v>
      </c>
      <c r="B18" s="23" t="s">
        <v>53</v>
      </c>
    </row>
    <row r="19" spans="1:2" x14ac:dyDescent="0.25">
      <c r="A19" s="22" t="s">
        <v>54</v>
      </c>
      <c r="B19" s="23" t="s">
        <v>55</v>
      </c>
    </row>
    <row r="21" ht="24" customHeight="1" spans="1:2" x14ac:dyDescent="0.25">
      <c r="A21" s="8" t="s">
        <v>56</v>
      </c>
      <c r="B21" s="8"/>
    </row>
    <row r="22" spans="1:2" x14ac:dyDescent="0.25">
      <c r="A22" s="22" t="s">
        <v>57</v>
      </c>
      <c r="B22" s="24">
        <v>100</v>
      </c>
    </row>
    <row r="23" spans="1:2" x14ac:dyDescent="0.25">
      <c r="A23" s="22" t="s">
        <v>58</v>
      </c>
      <c r="B23" s="24">
        <v>130</v>
      </c>
    </row>
    <row r="24" spans="1:2" x14ac:dyDescent="0.25">
      <c r="A24" s="22" t="s">
        <v>59</v>
      </c>
      <c r="B24" s="24">
        <v>160</v>
      </c>
    </row>
    <row r="25" spans="1:2" x14ac:dyDescent="0.25">
      <c r="A25" s="22" t="s">
        <v>60</v>
      </c>
      <c r="B25" s="24">
        <v>185</v>
      </c>
    </row>
    <row r="26" spans="1:2" x14ac:dyDescent="0.25">
      <c r="A26" s="22" t="s">
        <v>61</v>
      </c>
      <c r="B26" s="24">
        <v>200</v>
      </c>
    </row>
    <row r="28" ht="24" customHeight="1" spans="1:2" x14ac:dyDescent="0.25">
      <c r="A28" s="8" t="s">
        <v>62</v>
      </c>
      <c r="B28" s="8"/>
    </row>
    <row r="29" spans="1:2" x14ac:dyDescent="0.25">
      <c r="A29" s="22" t="s">
        <v>63</v>
      </c>
      <c r="B29" s="25">
        <v>0</v>
      </c>
    </row>
    <row r="30" spans="1:2" x14ac:dyDescent="0.25">
      <c r="A30" s="22" t="s">
        <v>64</v>
      </c>
      <c r="B30" s="25">
        <v>0</v>
      </c>
    </row>
    <row r="31" spans="1:2" x14ac:dyDescent="0.25">
      <c r="A31" s="22" t="s">
        <v>65</v>
      </c>
      <c r="B31" s="26">
        <v>1</v>
      </c>
    </row>
    <row r="32" spans="1:2" x14ac:dyDescent="0.25">
      <c r="A32" s="22" t="s">
        <v>66</v>
      </c>
      <c r="B32" s="27" t="s">
        <v>67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24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spans="1:6" x14ac:dyDescent="0.25">
      <c r="A2" s="22" t="s">
        <v>73</v>
      </c>
      <c r="B2" s="29">
        <f>Assumptions!B22</f>
        <v>100</v>
      </c>
      <c r="C2" s="29">
        <f>Assumptions!B23</f>
        <v>130</v>
      </c>
      <c r="D2" s="29">
        <f>Assumptions!B24</f>
        <v>160</v>
      </c>
      <c r="E2" s="29">
        <f>Assumptions!B25</f>
        <v>185</v>
      </c>
      <c r="F2" s="29">
        <f>Assumptions!B26</f>
        <v>200</v>
      </c>
    </row>
    <row r="3" ht="24" customHeight="1" spans="1:6" x14ac:dyDescent="0.25">
      <c r="A3" s="8" t="s">
        <v>74</v>
      </c>
      <c r="B3" s="8"/>
      <c r="C3" s="8"/>
      <c r="D3" s="8"/>
      <c r="E3" s="8"/>
      <c r="F3" s="8"/>
    </row>
    <row r="4" spans="1:6" x14ac:dyDescent="0.25">
      <c r="A4" s="22" t="s">
        <v>75</v>
      </c>
      <c r="B4" s="30">
        <f>10500*Assumptions!B22</f>
        <v>1050000</v>
      </c>
      <c r="C4" s="30">
        <f>10815*Assumptions!B23</f>
        <v>1405950</v>
      </c>
      <c r="D4" s="30">
        <f>11140*Assumptions!B24</f>
        <v>1782400</v>
      </c>
      <c r="E4" s="30">
        <f>11474*Assumptions!B25</f>
        <v>2122690</v>
      </c>
      <c r="F4" s="30">
        <f>11818*Assumptions!B26</f>
        <v>2363600</v>
      </c>
    </row>
    <row r="5" spans="1:6" x14ac:dyDescent="0.25">
      <c r="A5" s="22" t="s">
        <v>76</v>
      </c>
      <c r="B5" s="30">
        <f>350*Assumptions!B22</f>
        <v>35000</v>
      </c>
      <c r="C5" s="30">
        <f>350*Assumptions!B23</f>
        <v>45500</v>
      </c>
      <c r="D5" s="30">
        <f>350*Assumptions!B24</f>
        <v>56000</v>
      </c>
      <c r="E5" s="30">
        <f>350*Assumptions!B25</f>
        <v>64750</v>
      </c>
      <c r="F5" s="30">
        <f>350*Assumptions!B26</f>
        <v>70000</v>
      </c>
    </row>
    <row r="6" ht="24" customHeight="1" spans="1:6" x14ac:dyDescent="0.25">
      <c r="A6" s="8" t="s">
        <v>77</v>
      </c>
      <c r="B6" s="31">
        <f>SUM(B4:B5)</f>
        <v>1085000</v>
      </c>
      <c r="C6" s="31">
        <f>SUM(C4:C5)</f>
        <v>1451450</v>
      </c>
      <c r="D6" s="31">
        <f>SUM(D4:D5)</f>
        <v>1838400</v>
      </c>
      <c r="E6" s="31">
        <f>SUM(E4:E5)</f>
        <v>2187440</v>
      </c>
      <c r="F6" s="31">
        <f>SUM(F4:F5)</f>
        <v>2433600</v>
      </c>
    </row>
    <row r="7" ht="24" customHeight="1" spans="1:6" x14ac:dyDescent="0.25">
      <c r="A7" s="8" t="s">
        <v>78</v>
      </c>
      <c r="B7" s="8"/>
      <c r="C7" s="8"/>
      <c r="D7" s="8"/>
      <c r="E7" s="8"/>
      <c r="F7" s="8"/>
    </row>
    <row r="8" spans="1:6" x14ac:dyDescent="0.25">
      <c r="A8" s="22" t="s">
        <v>79</v>
      </c>
      <c r="B8" s="30">
        <f>--1050*Assumptions!B22</f>
        <v>-105000</v>
      </c>
      <c r="C8" s="30">
        <f>--1082*Assumptions!B23</f>
        <v>-140660</v>
      </c>
      <c r="D8" s="30">
        <f>--1114*Assumptions!B24</f>
        <v>-178240</v>
      </c>
      <c r="E8" s="30">
        <f>--1147*Assumptions!B25</f>
        <v>-212195</v>
      </c>
      <c r="F8" s="30">
        <f>--1182*Assumptions!B26</f>
        <v>-236400</v>
      </c>
    </row>
    <row r="9" ht="24" customHeight="1" spans="1:6" x14ac:dyDescent="0.25">
      <c r="A9" s="8" t="s">
        <v>80</v>
      </c>
      <c r="B9" s="31">
        <f>SUM(B8:B8)</f>
        <v>-105000</v>
      </c>
      <c r="C9" s="31">
        <f>SUM(C8:C8)</f>
        <v>-140660</v>
      </c>
      <c r="D9" s="31">
        <f>SUM(D8:D8)</f>
        <v>-178240</v>
      </c>
      <c r="E9" s="31">
        <f>SUM(E8:E8)</f>
        <v>-212195</v>
      </c>
      <c r="F9" s="31">
        <f>SUM(F8:F8)</f>
        <v>-236400</v>
      </c>
    </row>
    <row r="10" ht="24" customHeight="1" spans="1:6" x14ac:dyDescent="0.25">
      <c r="A10" s="8" t="s">
        <v>81</v>
      </c>
      <c r="B10" s="8"/>
      <c r="C10" s="8"/>
      <c r="D10" s="8"/>
      <c r="E10" s="8"/>
      <c r="F10" s="8"/>
    </row>
    <row r="11" spans="1:6" x14ac:dyDescent="0.25">
      <c r="A11" s="22" t="s">
        <v>82</v>
      </c>
      <c r="B11" s="30">
        <f>8700*Assumptions!B22</f>
        <v>870000</v>
      </c>
      <c r="C11" s="30">
        <f>8961*Assumptions!B23</f>
        <v>1164930</v>
      </c>
      <c r="D11" s="30">
        <f>9230*Assumptions!B24</f>
        <v>1476800</v>
      </c>
      <c r="E11" s="30">
        <f>9507*Assumptions!B25</f>
        <v>1758795</v>
      </c>
      <c r="F11" s="30">
        <f>9792*Assumptions!B26</f>
        <v>1958400</v>
      </c>
    </row>
    <row r="12" ht="24" customHeight="1" spans="1:6" x14ac:dyDescent="0.25">
      <c r="A12" s="8" t="s">
        <v>83</v>
      </c>
      <c r="B12" s="31">
        <f>SUM(B11:B11)</f>
        <v>870000</v>
      </c>
      <c r="C12" s="31">
        <f>SUM(C11:C11)</f>
        <v>1164930</v>
      </c>
      <c r="D12" s="31">
        <f>SUM(D11:D11)</f>
        <v>1476800</v>
      </c>
      <c r="E12" s="31">
        <f>SUM(E11:E11)</f>
        <v>1758795</v>
      </c>
      <c r="F12" s="31">
        <f>SUM(F11:F11)</f>
        <v>1958400</v>
      </c>
    </row>
    <row r="13" ht="24" customHeight="1" spans="1:6" x14ac:dyDescent="0.25">
      <c r="A13" s="8" t="s">
        <v>84</v>
      </c>
      <c r="B13" s="8"/>
      <c r="C13" s="8"/>
      <c r="D13" s="8"/>
      <c r="E13" s="8"/>
      <c r="F13" s="8"/>
    </row>
    <row r="14" spans="1:6" x14ac:dyDescent="0.25">
      <c r="A14" s="22" t="s">
        <v>85</v>
      </c>
      <c r="B14" s="30">
        <v>50000</v>
      </c>
      <c r="C14" s="30">
        <v>40000</v>
      </c>
      <c r="D14" s="30">
        <v>30000</v>
      </c>
      <c r="E14" s="30">
        <v>20000</v>
      </c>
      <c r="F14" s="30">
        <v>10000</v>
      </c>
    </row>
    <row r="15" spans="1:6" x14ac:dyDescent="0.25">
      <c r="A15" s="22" t="s">
        <v>86</v>
      </c>
      <c r="B15" s="30">
        <v>25000</v>
      </c>
      <c r="C15" s="30">
        <v>30000</v>
      </c>
      <c r="D15" s="30">
        <v>35000</v>
      </c>
      <c r="E15" s="30">
        <v>40000</v>
      </c>
      <c r="F15" s="30">
        <v>45000</v>
      </c>
    </row>
    <row r="16" ht="24" customHeight="1" spans="1:6" x14ac:dyDescent="0.25">
      <c r="A16" s="8" t="s">
        <v>87</v>
      </c>
      <c r="B16" s="31">
        <f>SUM(B14:B15)</f>
        <v>75000</v>
      </c>
      <c r="C16" s="31">
        <f>SUM(C14:C15)</f>
        <v>70000</v>
      </c>
      <c r="D16" s="31">
        <f>SUM(D14:D15)</f>
        <v>65000</v>
      </c>
      <c r="E16" s="31">
        <f>SUM(E14:E15)</f>
        <v>60000</v>
      </c>
      <c r="F16" s="31">
        <f>SUM(F14:F15)</f>
        <v>55000</v>
      </c>
    </row>
    <row r="17" ht="24" customHeight="1" spans="1:6" x14ac:dyDescent="0.25">
      <c r="A17" s="8" t="s">
        <v>88</v>
      </c>
      <c r="B17" s="8"/>
      <c r="C17" s="8"/>
      <c r="D17" s="8"/>
      <c r="E17" s="8"/>
      <c r="F17" s="8"/>
    </row>
    <row r="18" spans="1:6" x14ac:dyDescent="0.25">
      <c r="A18" s="22" t="s">
        <v>89</v>
      </c>
      <c r="B18" s="30">
        <f>500*Assumptions!B22</f>
        <v>50000</v>
      </c>
      <c r="C18" s="30">
        <f>515*Assumptions!B23</f>
        <v>66950</v>
      </c>
      <c r="D18" s="30">
        <f>530*Assumptions!B24</f>
        <v>84800</v>
      </c>
      <c r="E18" s="30">
        <f>546*Assumptions!B25</f>
        <v>101010</v>
      </c>
      <c r="F18" s="30">
        <f>562*Assumptions!B26</f>
        <v>112400</v>
      </c>
    </row>
    <row r="19" ht="24" customHeight="1" spans="1:6" x14ac:dyDescent="0.25">
      <c r="A19" s="8" t="s">
        <v>90</v>
      </c>
      <c r="B19" s="31">
        <f>SUM(B18:B18)</f>
        <v>50000</v>
      </c>
      <c r="C19" s="31">
        <f>SUM(C18:C18)</f>
        <v>66950</v>
      </c>
      <c r="D19" s="31">
        <f>SUM(D18:D18)</f>
        <v>84800</v>
      </c>
      <c r="E19" s="31">
        <f>SUM(E18:E18)</f>
        <v>101010</v>
      </c>
      <c r="F19" s="31">
        <f>SUM(F18:F18)</f>
        <v>112400</v>
      </c>
    </row>
    <row r="21" ht="24" customHeight="1" spans="1:6" x14ac:dyDescent="0.25">
      <c r="A21" s="8" t="s">
        <v>91</v>
      </c>
      <c r="B21" s="31">
        <f>B6+B9+B12+B16+B19</f>
        <v>1975000</v>
      </c>
      <c r="C21" s="31">
        <f>C6+C9+C12+C16+C19</f>
        <v>2612670</v>
      </c>
      <c r="D21" s="31">
        <f>D6+D9+D12+D16+D19</f>
        <v>3286760</v>
      </c>
      <c r="E21" s="31">
        <f>E6+E9+E12+E16+E19</f>
        <v>3895050</v>
      </c>
      <c r="F21" s="31">
        <f>F6+F9+F12+F16+F19</f>
        <v>4323000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8" t="s">
        <v>92</v>
      </c>
      <c r="B1" s="18"/>
      <c r="C1" s="18"/>
      <c r="D1" s="18"/>
      <c r="E1" s="18"/>
      <c r="F1" s="18"/>
      <c r="G1" s="18"/>
      <c r="H1" s="18"/>
    </row>
    <row r="3" ht="28" customHeight="1" spans="1:8" x14ac:dyDescent="0.25">
      <c r="A3" s="28" t="s">
        <v>93</v>
      </c>
      <c r="B3" s="28" t="s">
        <v>94</v>
      </c>
      <c r="C3" s="28" t="s">
        <v>95</v>
      </c>
      <c r="D3" s="28" t="s">
        <v>96</v>
      </c>
      <c r="E3" s="28" t="s">
        <v>97</v>
      </c>
      <c r="F3" s="28" t="s">
        <v>98</v>
      </c>
      <c r="G3" s="28" t="s">
        <v>99</v>
      </c>
      <c r="H3" s="28" t="s">
        <v>100</v>
      </c>
    </row>
    <row r="4" spans="1:8" x14ac:dyDescent="0.25">
      <c r="A4" s="22" t="s">
        <v>101</v>
      </c>
      <c r="B4" s="22" t="s">
        <v>102</v>
      </c>
      <c r="C4" s="22" t="s">
        <v>103</v>
      </c>
      <c r="D4" s="26">
        <v>1</v>
      </c>
      <c r="E4" s="32">
        <v>95000</v>
      </c>
      <c r="F4" s="25">
        <v>0.25</v>
      </c>
      <c r="G4" s="25">
        <v>0.0765</v>
      </c>
      <c r="H4" s="33">
        <v>126017.5</v>
      </c>
    </row>
    <row r="5" spans="1:8" x14ac:dyDescent="0.25">
      <c r="A5" s="22" t="s">
        <v>104</v>
      </c>
      <c r="B5" s="22" t="s">
        <v>102</v>
      </c>
      <c r="C5" s="22" t="s">
        <v>103</v>
      </c>
      <c r="D5" s="26">
        <v>1</v>
      </c>
      <c r="E5" s="32">
        <v>75000</v>
      </c>
      <c r="F5" s="25">
        <v>0.25</v>
      </c>
      <c r="G5" s="25">
        <v>0.0765</v>
      </c>
      <c r="H5" s="33">
        <v>99487.5</v>
      </c>
    </row>
    <row r="6" spans="1:8" x14ac:dyDescent="0.25">
      <c r="A6" s="22" t="s">
        <v>105</v>
      </c>
      <c r="B6" s="22" t="s">
        <v>106</v>
      </c>
      <c r="C6" s="22" t="s">
        <v>103</v>
      </c>
      <c r="D6" s="26">
        <v>6</v>
      </c>
      <c r="E6" s="32">
        <v>48000</v>
      </c>
      <c r="F6" s="25">
        <v>0.25</v>
      </c>
      <c r="G6" s="25">
        <v>0.0765</v>
      </c>
      <c r="H6" s="33">
        <v>382032</v>
      </c>
    </row>
    <row r="7" spans="1:8" x14ac:dyDescent="0.25">
      <c r="A7" s="22" t="s">
        <v>107</v>
      </c>
      <c r="B7" s="22" t="s">
        <v>106</v>
      </c>
      <c r="C7" s="22" t="s">
        <v>103</v>
      </c>
      <c r="D7" s="26">
        <v>3</v>
      </c>
      <c r="E7" s="32">
        <v>32000</v>
      </c>
      <c r="F7" s="25">
        <v>0.2</v>
      </c>
      <c r="G7" s="25">
        <v>0.0765</v>
      </c>
      <c r="H7" s="33">
        <v>122544</v>
      </c>
    </row>
    <row r="8" spans="1:8" x14ac:dyDescent="0.25">
      <c r="A8" s="22" t="s">
        <v>108</v>
      </c>
      <c r="B8" s="22" t="s">
        <v>109</v>
      </c>
      <c r="C8" s="22" t="s">
        <v>103</v>
      </c>
      <c r="D8" s="26">
        <v>1</v>
      </c>
      <c r="E8" s="32">
        <v>52000</v>
      </c>
      <c r="F8" s="25">
        <v>0.25</v>
      </c>
      <c r="G8" s="25">
        <v>0.0765</v>
      </c>
      <c r="H8" s="33">
        <v>68978</v>
      </c>
    </row>
    <row r="9" spans="1:8" x14ac:dyDescent="0.25">
      <c r="A9" s="22" t="s">
        <v>110</v>
      </c>
      <c r="B9" s="22" t="s">
        <v>111</v>
      </c>
      <c r="C9" s="22" t="s">
        <v>103</v>
      </c>
      <c r="D9" s="26">
        <v>1</v>
      </c>
      <c r="E9" s="32">
        <v>42000</v>
      </c>
      <c r="F9" s="25">
        <v>0.25</v>
      </c>
      <c r="G9" s="25">
        <v>0.0765</v>
      </c>
      <c r="H9" s="33">
        <v>55713</v>
      </c>
    </row>
    <row r="11" ht="24" customHeight="1" spans="1:8" x14ac:dyDescent="0.25">
      <c r="A11" s="8" t="s">
        <v>112</v>
      </c>
      <c r="B11" s="8"/>
      <c r="C11" s="8"/>
      <c r="D11" s="8"/>
      <c r="E11" s="8"/>
      <c r="F11" s="8"/>
      <c r="G11" s="8"/>
      <c r="H11" s="8"/>
    </row>
    <row r="12" spans="1:2" x14ac:dyDescent="0.25">
      <c r="A12" s="22" t="s">
        <v>113</v>
      </c>
      <c r="B12" s="34">
        <v>6</v>
      </c>
    </row>
    <row r="13" spans="1:2" x14ac:dyDescent="0.25">
      <c r="A13" s="22" t="s">
        <v>114</v>
      </c>
      <c r="B13" s="34">
        <v>13</v>
      </c>
    </row>
    <row r="14" spans="1:2" x14ac:dyDescent="0.25">
      <c r="A14" s="22" t="s">
        <v>115</v>
      </c>
      <c r="B14" s="35">
        <v>648000</v>
      </c>
    </row>
    <row r="15" spans="1:2" x14ac:dyDescent="0.25">
      <c r="A15" s="22" t="s">
        <v>116</v>
      </c>
      <c r="B15" s="35">
        <v>157200</v>
      </c>
    </row>
    <row r="16" spans="1:2" x14ac:dyDescent="0.25">
      <c r="A16" s="22" t="s">
        <v>117</v>
      </c>
      <c r="B16" s="35">
        <v>49572</v>
      </c>
    </row>
    <row r="17" spans="1:2" x14ac:dyDescent="0.25">
      <c r="A17" s="22" t="s">
        <v>118</v>
      </c>
      <c r="B17" s="35">
        <v>0</v>
      </c>
    </row>
    <row r="18" spans="1:2" x14ac:dyDescent="0.25">
      <c r="A18" s="34" t="s">
        <v>119</v>
      </c>
      <c r="B18" s="36">
        <v>854772</v>
      </c>
    </row>
    <row r="20" ht="24" customHeight="1" spans="1:6" x14ac:dyDescent="0.25">
      <c r="A20" s="8" t="s">
        <v>120</v>
      </c>
      <c r="B20" s="8"/>
      <c r="C20" s="8"/>
      <c r="D20" s="8"/>
      <c r="E20" s="8"/>
      <c r="F20" s="8"/>
    </row>
    <row r="21" ht="28" customHeight="1" spans="1:6" x14ac:dyDescent="0.25">
      <c r="A21" s="28" t="s">
        <v>24</v>
      </c>
      <c r="B21" s="28" t="s">
        <v>68</v>
      </c>
      <c r="C21" s="28" t="s">
        <v>69</v>
      </c>
      <c r="D21" s="28" t="s">
        <v>70</v>
      </c>
      <c r="E21" s="28" t="s">
        <v>71</v>
      </c>
      <c r="F21" s="28" t="s">
        <v>72</v>
      </c>
    </row>
    <row r="22" spans="1:6" x14ac:dyDescent="0.25">
      <c r="A22" s="22" t="s">
        <v>121</v>
      </c>
      <c r="B22" s="30">
        <v>854772</v>
      </c>
      <c r="C22" s="30">
        <v>854772</v>
      </c>
      <c r="D22" s="30">
        <v>854772</v>
      </c>
      <c r="E22" s="30">
        <v>854772</v>
      </c>
      <c r="F22" s="30">
        <v>854772</v>
      </c>
    </row>
    <row r="23" spans="1:6" x14ac:dyDescent="0.25">
      <c r="A23" s="22" t="s">
        <v>122</v>
      </c>
      <c r="B23" s="37">
        <f>(1+Assumptions!B29)^0</f>
        <v>1</v>
      </c>
      <c r="C23" s="37">
        <f>(1+Assumptions!B29)^1</f>
        <v>1</v>
      </c>
      <c r="D23" s="37">
        <f>(1+Assumptions!B29)^2</f>
        <v>1</v>
      </c>
      <c r="E23" s="37">
        <f>(1+Assumptions!B29)^3</f>
        <v>1</v>
      </c>
      <c r="F23" s="37">
        <f>(1+Assumptions!B29)^4</f>
        <v>1</v>
      </c>
    </row>
    <row r="24" spans="1:6" x14ac:dyDescent="0.25">
      <c r="A24" s="22" t="s">
        <v>123</v>
      </c>
      <c r="B24" s="38">
        <f>Assumptions!B31</f>
        <v>1</v>
      </c>
      <c r="C24" s="38">
        <v>1</v>
      </c>
      <c r="D24" s="38">
        <v>1</v>
      </c>
      <c r="E24" s="38">
        <v>1</v>
      </c>
      <c r="F24" s="38">
        <v>1</v>
      </c>
    </row>
    <row r="25" ht="24" customHeight="1" spans="1:6" x14ac:dyDescent="0.25">
      <c r="A25" s="8" t="s">
        <v>124</v>
      </c>
      <c r="B25" s="31">
        <f>B22*B23*B24</f>
        <v>854772</v>
      </c>
      <c r="C25" s="31">
        <f>C22*C23*C24</f>
        <v>854772</v>
      </c>
      <c r="D25" s="31">
        <f>D22*D23*D24</f>
        <v>854772</v>
      </c>
      <c r="E25" s="31">
        <f>E22*E23*E24</f>
        <v>854772</v>
      </c>
      <c r="F25" s="31">
        <f>F22*F23*F24</f>
        <v>854772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24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spans="1:6" x14ac:dyDescent="0.25">
      <c r="A2" s="22" t="s">
        <v>73</v>
      </c>
      <c r="B2" s="29">
        <f>Assumptions!B22</f>
        <v>100</v>
      </c>
      <c r="C2" s="29">
        <f>Assumptions!B23</f>
        <v>130</v>
      </c>
      <c r="D2" s="29">
        <f>Assumptions!B24</f>
        <v>160</v>
      </c>
      <c r="E2" s="29">
        <f>Assumptions!B25</f>
        <v>185</v>
      </c>
      <c r="F2" s="29">
        <f>Assumptions!B26</f>
        <v>200</v>
      </c>
    </row>
    <row r="3" ht="24" customHeight="1" spans="1:6" x14ac:dyDescent="0.25">
      <c r="A3" s="8" t="s">
        <v>125</v>
      </c>
      <c r="B3" s="8"/>
      <c r="C3" s="8"/>
      <c r="D3" s="8"/>
      <c r="E3" s="8"/>
      <c r="F3" s="8"/>
    </row>
    <row r="4" spans="1:6" x14ac:dyDescent="0.25">
      <c r="A4" s="22" t="s">
        <v>126</v>
      </c>
      <c r="B4" s="30">
        <f>600*Assumptions!B22</f>
        <v>60000</v>
      </c>
      <c r="C4" s="30">
        <f>618*Assumptions!B23</f>
        <v>80340</v>
      </c>
      <c r="D4" s="30">
        <f>637*Assumptions!B24</f>
        <v>101920</v>
      </c>
      <c r="E4" s="30">
        <f>656*Assumptions!B25</f>
        <v>121360</v>
      </c>
      <c r="F4" s="30">
        <f>675*Assumptions!B26</f>
        <v>135000</v>
      </c>
    </row>
    <row r="5" ht="24" customHeight="1" spans="1:6" x14ac:dyDescent="0.25">
      <c r="A5" s="8" t="s">
        <v>127</v>
      </c>
      <c r="B5" s="31">
        <f>SUM(B4:B4)</f>
        <v>60000</v>
      </c>
      <c r="C5" s="31">
        <f>SUM(C4:C4)</f>
        <v>80340</v>
      </c>
      <c r="D5" s="31">
        <f>SUM(D4:D4)</f>
        <v>101920</v>
      </c>
      <c r="E5" s="31">
        <f>SUM(E4:E4)</f>
        <v>121360</v>
      </c>
      <c r="F5" s="31">
        <f>SUM(F4:F4)</f>
        <v>135000</v>
      </c>
    </row>
    <row r="6" ht="24" customHeight="1" spans="1:6" x14ac:dyDescent="0.25">
      <c r="A6" s="8" t="s">
        <v>128</v>
      </c>
      <c r="B6" s="8"/>
      <c r="C6" s="8"/>
      <c r="D6" s="8"/>
      <c r="E6" s="8"/>
      <c r="F6" s="8"/>
    </row>
    <row r="7" spans="1:6" x14ac:dyDescent="0.25">
      <c r="A7" s="22" t="s">
        <v>129</v>
      </c>
      <c r="B7" s="30">
        <f>400*Assumptions!B22</f>
        <v>40000</v>
      </c>
      <c r="C7" s="30">
        <f>412*Assumptions!B23</f>
        <v>53560</v>
      </c>
      <c r="D7" s="30">
        <f>424*Assumptions!B24</f>
        <v>67840</v>
      </c>
      <c r="E7" s="30">
        <f>437*Assumptions!B25</f>
        <v>80845</v>
      </c>
      <c r="F7" s="30">
        <f>450*Assumptions!B26</f>
        <v>90000</v>
      </c>
    </row>
    <row r="8" ht="24" customHeight="1" spans="1:6" x14ac:dyDescent="0.25">
      <c r="A8" s="8" t="s">
        <v>130</v>
      </c>
      <c r="B8" s="31">
        <f>SUM(B7:B7)</f>
        <v>40000</v>
      </c>
      <c r="C8" s="31">
        <f>SUM(C7:C7)</f>
        <v>53560</v>
      </c>
      <c r="D8" s="31">
        <f>SUM(D7:D7)</f>
        <v>67840</v>
      </c>
      <c r="E8" s="31">
        <f>SUM(E7:E7)</f>
        <v>80845</v>
      </c>
      <c r="F8" s="31">
        <f>SUM(F7:F7)</f>
        <v>90000</v>
      </c>
    </row>
    <row r="9" ht="24" customHeight="1" spans="1:6" x14ac:dyDescent="0.25">
      <c r="A9" s="8" t="s">
        <v>131</v>
      </c>
      <c r="B9" s="8"/>
      <c r="C9" s="8"/>
      <c r="D9" s="8"/>
      <c r="E9" s="8"/>
      <c r="F9" s="8"/>
    </row>
    <row r="10" spans="1:6" x14ac:dyDescent="0.25">
      <c r="A10" s="22" t="s">
        <v>132</v>
      </c>
      <c r="B10" s="30">
        <f>8500*12</f>
        <v>102000</v>
      </c>
      <c r="C10" s="30">
        <f>8755*12</f>
        <v>105060</v>
      </c>
      <c r="D10" s="30">
        <f>9018*12</f>
        <v>108216</v>
      </c>
      <c r="E10" s="30">
        <f>9289*12</f>
        <v>111468</v>
      </c>
      <c r="F10" s="30">
        <f>9567*12</f>
        <v>114804</v>
      </c>
    </row>
    <row r="11" spans="1:6" x14ac:dyDescent="0.25">
      <c r="A11" s="22" t="s">
        <v>133</v>
      </c>
      <c r="B11" s="30">
        <f>1200*12</f>
        <v>14400</v>
      </c>
      <c r="C11" s="30">
        <f>1236*12</f>
        <v>14832</v>
      </c>
      <c r="D11" s="30">
        <f>1273*12</f>
        <v>15276</v>
      </c>
      <c r="E11" s="30">
        <f>1311*12</f>
        <v>15732</v>
      </c>
      <c r="F11" s="30">
        <f>1350*12</f>
        <v>16200</v>
      </c>
    </row>
    <row r="12" spans="1:6" x14ac:dyDescent="0.25">
      <c r="A12" s="22" t="s">
        <v>134</v>
      </c>
      <c r="B12" s="30">
        <v>12000</v>
      </c>
      <c r="C12" s="30">
        <v>12360</v>
      </c>
      <c r="D12" s="30">
        <v>12731</v>
      </c>
      <c r="E12" s="30">
        <v>13113</v>
      </c>
      <c r="F12" s="30">
        <v>13506</v>
      </c>
    </row>
    <row r="13" spans="1:6" x14ac:dyDescent="0.25">
      <c r="A13" s="22" t="s">
        <v>135</v>
      </c>
      <c r="B13" s="30">
        <v>8000</v>
      </c>
      <c r="C13" s="30">
        <v>8240</v>
      </c>
      <c r="D13" s="30">
        <v>8487</v>
      </c>
      <c r="E13" s="30">
        <v>8742</v>
      </c>
      <c r="F13" s="30">
        <v>9004</v>
      </c>
    </row>
    <row r="14" ht="24" customHeight="1" spans="1:6" x14ac:dyDescent="0.25">
      <c r="A14" s="8" t="s">
        <v>136</v>
      </c>
      <c r="B14" s="31">
        <f>SUM(B10:B13)</f>
        <v>136400</v>
      </c>
      <c r="C14" s="31">
        <f>SUM(C10:C13)</f>
        <v>140492</v>
      </c>
      <c r="D14" s="31">
        <f>SUM(D10:D13)</f>
        <v>144710</v>
      </c>
      <c r="E14" s="31">
        <f>SUM(E10:E13)</f>
        <v>149055</v>
      </c>
      <c r="F14" s="31">
        <f>SUM(F10:F13)</f>
        <v>153514</v>
      </c>
    </row>
    <row r="15" ht="24" customHeight="1" spans="1:6" x14ac:dyDescent="0.25">
      <c r="A15" s="8" t="s">
        <v>137</v>
      </c>
      <c r="B15" s="8"/>
      <c r="C15" s="8"/>
      <c r="D15" s="8"/>
      <c r="E15" s="8"/>
      <c r="F15" s="8"/>
    </row>
    <row r="16" spans="1:6" x14ac:dyDescent="0.25">
      <c r="A16" s="22" t="s">
        <v>138</v>
      </c>
      <c r="B16" s="30">
        <v>15000</v>
      </c>
      <c r="C16" s="30">
        <v>15450</v>
      </c>
      <c r="D16" s="30">
        <v>15914</v>
      </c>
      <c r="E16" s="30">
        <v>16391</v>
      </c>
      <c r="F16" s="30">
        <v>16883</v>
      </c>
    </row>
    <row r="17" spans="1:6" x14ac:dyDescent="0.25">
      <c r="A17" s="22" t="s">
        <v>139</v>
      </c>
      <c r="B17" s="30">
        <v>8000</v>
      </c>
      <c r="C17" s="30">
        <v>8240</v>
      </c>
      <c r="D17" s="30">
        <v>8487</v>
      </c>
      <c r="E17" s="30">
        <v>8742</v>
      </c>
      <c r="F17" s="30">
        <v>9004</v>
      </c>
    </row>
    <row r="18" spans="1:6" x14ac:dyDescent="0.25">
      <c r="A18" s="22" t="s">
        <v>140</v>
      </c>
      <c r="B18" s="30">
        <v>12000</v>
      </c>
      <c r="C18" s="30">
        <v>12360</v>
      </c>
      <c r="D18" s="30">
        <v>12731</v>
      </c>
      <c r="E18" s="30">
        <v>13113</v>
      </c>
      <c r="F18" s="30">
        <v>13506</v>
      </c>
    </row>
    <row r="19" ht="24" customHeight="1" spans="1:6" x14ac:dyDescent="0.25">
      <c r="A19" s="8" t="s">
        <v>141</v>
      </c>
      <c r="B19" s="31">
        <f>SUM(B16:B18)</f>
        <v>35000</v>
      </c>
      <c r="C19" s="31">
        <f>SUM(C16:C18)</f>
        <v>36050</v>
      </c>
      <c r="D19" s="31">
        <f>SUM(D16:D18)</f>
        <v>37132</v>
      </c>
      <c r="E19" s="31">
        <f>SUM(E16:E18)</f>
        <v>38246</v>
      </c>
      <c r="F19" s="31">
        <f>SUM(F16:F18)</f>
        <v>39393</v>
      </c>
    </row>
    <row r="21" ht="24" customHeight="1" spans="1:6" x14ac:dyDescent="0.25">
      <c r="A21" s="8" t="s">
        <v>142</v>
      </c>
      <c r="B21" s="31">
        <f>B5+B8+B14+B19</f>
        <v>271400</v>
      </c>
      <c r="C21" s="31">
        <f>C5+C8+C14+C19</f>
        <v>310442</v>
      </c>
      <c r="D21" s="31">
        <f>D5+D8+D14+D19</f>
        <v>351602</v>
      </c>
      <c r="E21" s="31">
        <f>E5+E8+E14+E19</f>
        <v>389506</v>
      </c>
      <c r="F21" s="31">
        <f>F5+F8+F14+F19</f>
        <v>417907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24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ht="24" customHeight="1" spans="1:6" x14ac:dyDescent="0.25">
      <c r="A2" s="8" t="s">
        <v>143</v>
      </c>
      <c r="B2" s="8"/>
      <c r="C2" s="8"/>
      <c r="D2" s="8"/>
      <c r="E2" s="8"/>
      <c r="F2" s="8"/>
    </row>
    <row r="3" spans="1:6" x14ac:dyDescent="0.25">
      <c r="A3" s="22" t="s">
        <v>144</v>
      </c>
      <c r="B3" s="30">
        <v>34064.39316600799</v>
      </c>
      <c r="C3" s="30">
        <v>34064.39316600799</v>
      </c>
      <c r="D3" s="30">
        <v>34064.39316600799</v>
      </c>
      <c r="E3" s="30">
        <v>34064.39316600799</v>
      </c>
      <c r="F3" s="30">
        <v>34064.39316600799</v>
      </c>
    </row>
    <row r="4" spans="1:6" x14ac:dyDescent="0.25">
      <c r="A4" s="22" t="s">
        <v>145</v>
      </c>
      <c r="B4" s="30">
        <v>25000</v>
      </c>
      <c r="C4" s="30">
        <v>10000</v>
      </c>
      <c r="D4" s="30">
        <v>10000</v>
      </c>
      <c r="E4" s="30">
        <v>5000</v>
      </c>
      <c r="F4" s="30">
        <v>5000</v>
      </c>
    </row>
    <row r="5" ht="24" customHeight="1" spans="1:6" x14ac:dyDescent="0.25">
      <c r="A5" s="8" t="s">
        <v>146</v>
      </c>
      <c r="B5" s="31">
        <f>SUM(B3:B4)</f>
        <v>59064</v>
      </c>
      <c r="C5" s="31">
        <f>SUM(C3:C4)</f>
        <v>44064</v>
      </c>
      <c r="D5" s="31">
        <f>SUM(D3:D4)</f>
        <v>44064</v>
      </c>
      <c r="E5" s="31">
        <f>SUM(E3:E4)</f>
        <v>39064</v>
      </c>
      <c r="F5" s="31">
        <f>SUM(F3:F4)</f>
        <v>39064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&amp;L&amp;10&amp;BHeritage Academy&amp;R&amp;8&amp;ICapital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8" t="s">
        <v>1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spans="1:6" x14ac:dyDescent="0.25">
      <c r="A2" s="22" t="s">
        <v>147</v>
      </c>
      <c r="B2" s="30">
        <f>'Revenue Schedule'!B21</f>
        <v>1975000</v>
      </c>
      <c r="C2" s="30">
        <f>'Revenue Schedule'!C21</f>
        <v>2612670</v>
      </c>
      <c r="D2" s="30">
        <f>'Revenue Schedule'!D21</f>
        <v>3286760</v>
      </c>
      <c r="E2" s="30">
        <f>'Revenue Schedule'!E21</f>
        <v>3895050</v>
      </c>
      <c r="F2" s="30">
        <f>'Revenue Schedule'!F21</f>
        <v>4323000</v>
      </c>
    </row>
    <row r="3" spans="1:6" x14ac:dyDescent="0.25">
      <c r="A3" s="22" t="s">
        <v>148</v>
      </c>
      <c r="B3" s="30">
        <f>'Staffing &amp; Personnel'!B25</f>
        <v>854772</v>
      </c>
      <c r="C3" s="30">
        <f>'Staffing &amp; Personnel'!C25</f>
        <v>854772</v>
      </c>
      <c r="D3" s="30">
        <f>'Staffing &amp; Personnel'!D25</f>
        <v>854772</v>
      </c>
      <c r="E3" s="30">
        <f>'Staffing &amp; Personnel'!E25</f>
        <v>854772</v>
      </c>
      <c r="F3" s="30">
        <f>'Staffing &amp; Personnel'!F25</f>
        <v>854772</v>
      </c>
    </row>
    <row r="4" spans="1:6" x14ac:dyDescent="0.25">
      <c r="A4" s="22" t="s">
        <v>17</v>
      </c>
      <c r="B4" s="30">
        <f>'Operating Expenses'!B21</f>
        <v>271400</v>
      </c>
      <c r="C4" s="30">
        <f>'Operating Expenses'!C21</f>
        <v>310442</v>
      </c>
      <c r="D4" s="30">
        <f>'Operating Expenses'!D21</f>
        <v>351602</v>
      </c>
      <c r="E4" s="30">
        <f>'Operating Expenses'!E21</f>
        <v>389506</v>
      </c>
      <c r="F4" s="30">
        <f>'Operating Expenses'!F21</f>
        <v>417907</v>
      </c>
    </row>
    <row r="5" spans="1:6" x14ac:dyDescent="0.25">
      <c r="A5" s="22" t="s">
        <v>18</v>
      </c>
      <c r="B5" s="30">
        <f>'Capital &amp; Debt'!B5</f>
        <v>59064</v>
      </c>
      <c r="C5" s="30">
        <f>'Capital &amp; Debt'!C5</f>
        <v>44064</v>
      </c>
      <c r="D5" s="30">
        <f>'Capital &amp; Debt'!D5</f>
        <v>44064</v>
      </c>
      <c r="E5" s="30">
        <f>'Capital &amp; Debt'!E5</f>
        <v>39064</v>
      </c>
      <c r="F5" s="30">
        <f>'Capital &amp; Debt'!F5</f>
        <v>39064</v>
      </c>
    </row>
    <row r="6" ht="24" customHeight="1" spans="1:6" x14ac:dyDescent="0.25">
      <c r="A6" s="8" t="s">
        <v>149</v>
      </c>
      <c r="B6" s="31">
        <f>B3+B4+B5</f>
        <v>1185236</v>
      </c>
      <c r="C6" s="31">
        <f>C3+C4+C5</f>
        <v>1209278</v>
      </c>
      <c r="D6" s="31">
        <f>D3+D4+D5</f>
        <v>1250438</v>
      </c>
      <c r="E6" s="31">
        <f>E3+E4+E5</f>
        <v>1283342</v>
      </c>
      <c r="F6" s="31">
        <f>F3+F4+F5</f>
        <v>1311743</v>
      </c>
    </row>
    <row r="7" ht="24" customHeight="1" spans="1:6" x14ac:dyDescent="0.25">
      <c r="A7" s="8" t="s">
        <v>150</v>
      </c>
      <c r="B7" s="31">
        <f>B2-B6</f>
        <v>789764</v>
      </c>
      <c r="C7" s="31">
        <f>C2-C6</f>
        <v>1403392</v>
      </c>
      <c r="D7" s="31">
        <f>D2-D6</f>
        <v>2036322</v>
      </c>
      <c r="E7" s="31">
        <f>E2-E6</f>
        <v>2611708</v>
      </c>
      <c r="F7" s="31">
        <f>F2-F6</f>
        <v>3011257</v>
      </c>
    </row>
    <row r="8" spans="1:6" x14ac:dyDescent="0.25">
      <c r="A8" s="22" t="s">
        <v>151</v>
      </c>
      <c r="B8" s="30">
        <f>B7</f>
        <v>789764</v>
      </c>
      <c r="C8" s="30">
        <f>B8+C7</f>
        <v>2193156</v>
      </c>
      <c r="D8" s="30">
        <f>C8+D7</f>
        <v>4229478</v>
      </c>
      <c r="E8" s="30">
        <f>D8+E7</f>
        <v>6841186</v>
      </c>
      <c r="F8" s="30">
        <f>E8+F7</f>
        <v>9852443</v>
      </c>
    </row>
    <row r="9" spans="1:6" x14ac:dyDescent="0.25">
      <c r="A9" s="22" t="s">
        <v>11</v>
      </c>
      <c r="B9" s="39">
        <f>IF(B6=0,0,IF(B8&gt;0,B8/(B6/12),0))</f>
        <v>7.996017670742367</v>
      </c>
      <c r="C9" s="39">
        <f>IF(C6=0,0,IF(C8&gt;0,C8/(C6/12),0))</f>
        <v>21.763293469326324</v>
      </c>
      <c r="D9" s="39">
        <f>IF(D6=0,0,IF(D8&gt;0,D8/(D6/12),0))</f>
        <v>40.58876649621972</v>
      </c>
      <c r="E9" s="39">
        <f>IF(E6=0,0,IF(E8&gt;0,E8/(E6/12),0))</f>
        <v>63.969099429458396</v>
      </c>
      <c r="F9" s="39">
        <f>IF(F6=0,0,IF(F8&gt;0,F8/(F6/12),0))</f>
        <v>90.1314632515668</v>
      </c>
    </row>
    <row r="10" spans="1:6" x14ac:dyDescent="0.25">
      <c r="A10" s="34" t="s">
        <v>152</v>
      </c>
      <c r="B10" s="40" t="s">
        <v>153</v>
      </c>
      <c r="C10" s="41" t="s">
        <v>24</v>
      </c>
      <c r="D10" s="41" t="s">
        <v>24</v>
      </c>
      <c r="E10" s="41" t="s">
        <v>24</v>
      </c>
      <c r="F10" s="41" t="s">
        <v>24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42" t="s">
        <v>154</v>
      </c>
      <c r="B1" s="42"/>
      <c r="C1" s="42"/>
      <c r="D1" s="42"/>
      <c r="E1" s="42"/>
      <c r="F1" s="42"/>
    </row>
    <row r="2" spans="1:1" x14ac:dyDescent="0.25">
      <c r="A2" s="43" t="s">
        <v>155</v>
      </c>
    </row>
    <row r="4" ht="24" customHeight="1" spans="1:6" x14ac:dyDescent="0.25">
      <c r="A4" s="8" t="s">
        <v>27</v>
      </c>
      <c r="B4" s="8"/>
      <c r="C4" s="8"/>
      <c r="D4" s="8"/>
      <c r="E4" s="8"/>
      <c r="F4" s="8"/>
    </row>
    <row r="5" spans="1:2" x14ac:dyDescent="0.25">
      <c r="A5" s="22" t="s">
        <v>28</v>
      </c>
      <c r="B5" s="34" t="s">
        <v>3</v>
      </c>
    </row>
    <row r="6" spans="1:2" x14ac:dyDescent="0.25">
      <c r="A6" s="22" t="s">
        <v>31</v>
      </c>
      <c r="B6" s="34" t="s">
        <v>32</v>
      </c>
    </row>
    <row r="7" spans="1:2" x14ac:dyDescent="0.25">
      <c r="A7" s="22" t="s">
        <v>33</v>
      </c>
      <c r="B7" s="34" t="s">
        <v>34</v>
      </c>
    </row>
    <row r="8" spans="1:2" x14ac:dyDescent="0.25">
      <c r="A8" s="22" t="s">
        <v>35</v>
      </c>
      <c r="B8" s="34" t="s">
        <v>36</v>
      </c>
    </row>
    <row r="9" spans="1:2" x14ac:dyDescent="0.25">
      <c r="A9" s="22" t="s">
        <v>37</v>
      </c>
      <c r="B9" s="34" t="s">
        <v>38</v>
      </c>
    </row>
    <row r="10" spans="1:2" x14ac:dyDescent="0.25">
      <c r="A10" s="22" t="s">
        <v>29</v>
      </c>
      <c r="B10" s="34" t="s">
        <v>30</v>
      </c>
    </row>
    <row r="11" spans="1:2" x14ac:dyDescent="0.25">
      <c r="A11" s="22" t="s">
        <v>42</v>
      </c>
      <c r="B11" s="34" t="s">
        <v>43</v>
      </c>
    </row>
    <row r="12" spans="1:2" x14ac:dyDescent="0.25">
      <c r="A12" s="22" t="s">
        <v>41</v>
      </c>
      <c r="B12" s="34" t="s">
        <v>156</v>
      </c>
    </row>
    <row r="14" ht="24" customHeight="1" spans="1:6" x14ac:dyDescent="0.25">
      <c r="A14" s="8" t="s">
        <v>157</v>
      </c>
      <c r="B14" s="8"/>
      <c r="C14" s="8"/>
      <c r="D14" s="8"/>
      <c r="E14" s="8"/>
      <c r="F14" s="8"/>
    </row>
    <row r="15" ht="28" customHeight="1" spans="1:6" x14ac:dyDescent="0.25">
      <c r="A15" s="28" t="s">
        <v>24</v>
      </c>
      <c r="B15" s="28" t="s">
        <v>68</v>
      </c>
      <c r="C15" s="28" t="s">
        <v>69</v>
      </c>
      <c r="D15" s="28" t="s">
        <v>70</v>
      </c>
      <c r="E15" s="28" t="s">
        <v>71</v>
      </c>
      <c r="F15" s="28" t="s">
        <v>72</v>
      </c>
    </row>
    <row r="16" spans="1:6" x14ac:dyDescent="0.25">
      <c r="A16" s="22" t="s">
        <v>73</v>
      </c>
      <c r="B16" s="29">
        <f>'Revenue Schedule'!B2</f>
        <v>100</v>
      </c>
      <c r="C16" s="29">
        <f>'Revenue Schedule'!C2</f>
        <v>130</v>
      </c>
      <c r="D16" s="29">
        <f>'Revenue Schedule'!D2</f>
        <v>160</v>
      </c>
      <c r="E16" s="29">
        <f>'Revenue Schedule'!E2</f>
        <v>185</v>
      </c>
      <c r="F16" s="29">
        <f>'Revenue Schedule'!F2</f>
        <v>200</v>
      </c>
    </row>
    <row r="17" spans="1:6" x14ac:dyDescent="0.25">
      <c r="A17" s="22" t="s">
        <v>158</v>
      </c>
      <c r="B17" s="9" t="s">
        <v>159</v>
      </c>
      <c r="C17" s="44">
        <f>IF(B16=0,0,(C16-B16)/B16)</f>
        <v>0.3</v>
      </c>
      <c r="D17" s="44">
        <f>IF(C16=0,0,(D16-C16)/C16)</f>
        <v>0.23076923076923078</v>
      </c>
      <c r="E17" s="44">
        <f>IF(D16=0,0,(E16-D16)/D16)</f>
        <v>0.15625</v>
      </c>
      <c r="F17" s="44">
        <f>IF(E16=0,0,(F16-E16)/E16)</f>
        <v>0.08108108108108109</v>
      </c>
    </row>
    <row r="19" ht="28" customHeight="1" spans="1:6" x14ac:dyDescent="0.25">
      <c r="A19" s="28" t="s">
        <v>24</v>
      </c>
      <c r="B19" s="28" t="s">
        <v>68</v>
      </c>
      <c r="C19" s="28" t="s">
        <v>69</v>
      </c>
      <c r="D19" s="28" t="s">
        <v>70</v>
      </c>
      <c r="E19" s="28" t="s">
        <v>71</v>
      </c>
      <c r="F19" s="28" t="s">
        <v>72</v>
      </c>
    </row>
    <row r="20" spans="1:6" x14ac:dyDescent="0.25">
      <c r="A20" s="22" t="s">
        <v>147</v>
      </c>
      <c r="B20" s="30">
        <f>'Financial Model'!B2</f>
        <v>1975000</v>
      </c>
      <c r="C20" s="30">
        <f>'Financial Model'!C2</f>
        <v>2612670</v>
      </c>
      <c r="D20" s="30">
        <f>'Financial Model'!D2</f>
        <v>3286760</v>
      </c>
      <c r="E20" s="30">
        <f>'Financial Model'!E2</f>
        <v>3895050</v>
      </c>
      <c r="F20" s="30">
        <f>'Financial Model'!F2</f>
        <v>4323000</v>
      </c>
    </row>
    <row r="21" spans="1:6" x14ac:dyDescent="0.25">
      <c r="A21" s="22" t="s">
        <v>148</v>
      </c>
      <c r="B21" s="30">
        <f>'Financial Model'!B3</f>
        <v>854772</v>
      </c>
      <c r="C21" s="30">
        <f>'Financial Model'!C3</f>
        <v>854772</v>
      </c>
      <c r="D21" s="30">
        <f>'Financial Model'!D3</f>
        <v>854772</v>
      </c>
      <c r="E21" s="30">
        <f>'Financial Model'!E3</f>
        <v>854772</v>
      </c>
      <c r="F21" s="30">
        <f>'Financial Model'!F3</f>
        <v>854772</v>
      </c>
    </row>
    <row r="22" spans="1:6" x14ac:dyDescent="0.25">
      <c r="A22" s="22" t="s">
        <v>17</v>
      </c>
      <c r="B22" s="30">
        <f>'Financial Model'!B4</f>
        <v>271400</v>
      </c>
      <c r="C22" s="30">
        <f>'Financial Model'!C4</f>
        <v>310442</v>
      </c>
      <c r="D22" s="30">
        <f>'Financial Model'!D4</f>
        <v>351602</v>
      </c>
      <c r="E22" s="30">
        <f>'Financial Model'!E4</f>
        <v>389506</v>
      </c>
      <c r="F22" s="30">
        <f>'Financial Model'!F4</f>
        <v>417907</v>
      </c>
    </row>
    <row r="23" ht="24" customHeight="1" spans="1:6" x14ac:dyDescent="0.25">
      <c r="A23" s="8" t="s">
        <v>149</v>
      </c>
      <c r="B23" s="31">
        <f>'Financial Model'!B6</f>
        <v>1185236</v>
      </c>
      <c r="C23" s="31">
        <f>'Financial Model'!C6</f>
        <v>1209278</v>
      </c>
      <c r="D23" s="31">
        <f>'Financial Model'!D6</f>
        <v>1250438</v>
      </c>
      <c r="E23" s="31">
        <f>'Financial Model'!E6</f>
        <v>1283342</v>
      </c>
      <c r="F23" s="31">
        <f>'Financial Model'!F6</f>
        <v>1311743</v>
      </c>
    </row>
    <row r="24" spans="1:6" x14ac:dyDescent="0.25">
      <c r="A24" s="34" t="s">
        <v>150</v>
      </c>
      <c r="B24" s="45">
        <f>'Financial Model'!B7</f>
        <v>789764</v>
      </c>
      <c r="C24" s="45">
        <f>'Financial Model'!C7</f>
        <v>1403392</v>
      </c>
      <c r="D24" s="45">
        <f>'Financial Model'!D7</f>
        <v>2036322</v>
      </c>
      <c r="E24" s="45">
        <f>'Financial Model'!E7</f>
        <v>2611708</v>
      </c>
      <c r="F24" s="45">
        <f>'Financial Model'!F7</f>
        <v>3011257</v>
      </c>
    </row>
    <row r="25" spans="1:6" x14ac:dyDescent="0.25">
      <c r="A25" s="22" t="s">
        <v>151</v>
      </c>
      <c r="B25" s="30">
        <f>'Financial Model'!B8</f>
        <v>789764</v>
      </c>
      <c r="C25" s="30">
        <f>'Financial Model'!C8</f>
        <v>2193156</v>
      </c>
      <c r="D25" s="30">
        <f>'Financial Model'!D8</f>
        <v>4229478</v>
      </c>
      <c r="E25" s="30">
        <f>'Financial Model'!E8</f>
        <v>6841186</v>
      </c>
      <c r="F25" s="30">
        <f>'Financial Model'!F8</f>
        <v>9852443</v>
      </c>
    </row>
    <row r="26" spans="1:6" x14ac:dyDescent="0.25">
      <c r="A26" s="34" t="s">
        <v>11</v>
      </c>
      <c r="B26" s="13">
        <f>'Financial Model'!B9</f>
        <v>7.996017670742367</v>
      </c>
      <c r="C26" s="13">
        <f>'Financial Model'!C9</f>
        <v>21.763293469326324</v>
      </c>
      <c r="D26" s="13">
        <f>'Financial Model'!D9</f>
        <v>40.58876649621972</v>
      </c>
      <c r="E26" s="13">
        <f>'Financial Model'!E9</f>
        <v>63.969099429458396</v>
      </c>
      <c r="F26" s="13">
        <f>'Financial Model'!F9</f>
        <v>90.1314632515668</v>
      </c>
    </row>
    <row r="28" ht="24" customHeight="1" spans="1:6" x14ac:dyDescent="0.25">
      <c r="A28" s="8" t="s">
        <v>160</v>
      </c>
      <c r="B28" s="8"/>
      <c r="C28" s="8"/>
      <c r="D28" s="8"/>
      <c r="E28" s="8"/>
      <c r="F28" s="8"/>
    </row>
    <row r="29" spans="1:6" x14ac:dyDescent="0.25">
      <c r="A29" s="22" t="s">
        <v>161</v>
      </c>
      <c r="B29" s="30">
        <f>IF('Revenue Schedule'!B2=0,0,B20/'Revenue Schedule'!B2)</f>
        <v>19750</v>
      </c>
      <c r="C29" s="30">
        <f>IF('Revenue Schedule'!C2=0,0,C20/'Revenue Schedule'!C2)</f>
        <v>20097.46153846154</v>
      </c>
      <c r="D29" s="30">
        <f>IF('Revenue Schedule'!D2=0,0,D20/'Revenue Schedule'!D2)</f>
        <v>20542.25</v>
      </c>
      <c r="E29" s="30">
        <f>IF('Revenue Schedule'!E2=0,0,E20/'Revenue Schedule'!E2)</f>
        <v>21054.324324324323</v>
      </c>
      <c r="F29" s="30">
        <f>IF('Revenue Schedule'!F2=0,0,F20/'Revenue Schedule'!F2)</f>
        <v>21615</v>
      </c>
    </row>
    <row r="30" spans="1:6" x14ac:dyDescent="0.25">
      <c r="A30" s="22" t="s">
        <v>162</v>
      </c>
      <c r="B30" s="44">
        <f>IF(B20=0,0,'Financial Model'!B3/B20)</f>
        <v>0.4327959493670886</v>
      </c>
      <c r="C30" s="44">
        <f>IF(C20=0,0,'Financial Model'!C3/C20)</f>
        <v>0.3271641653940222</v>
      </c>
      <c r="D30" s="44">
        <f>IF(D20=0,0,'Financial Model'!D3/D20)</f>
        <v>0.26006523141330673</v>
      </c>
      <c r="E30" s="44">
        <f>IF(E20=0,0,'Financial Model'!E3/E20)</f>
        <v>0.21945084145261293</v>
      </c>
      <c r="F30" s="44">
        <f>IF(F20=0,0,'Financial Model'!F3/F20)</f>
        <v>0.1977265787647467</v>
      </c>
    </row>
    <row r="31" spans="1:6" x14ac:dyDescent="0.25">
      <c r="A31" s="22" t="s">
        <v>163</v>
      </c>
      <c r="B31" s="44">
        <f>IF(B20=0,0,'Financial Model'!B4/B20)</f>
        <v>0.13741772151898735</v>
      </c>
      <c r="C31" s="44">
        <f>IF(C20=0,0,'Financial Model'!C4/C20)</f>
        <v>0.11882174174312102</v>
      </c>
      <c r="D31" s="44">
        <f>IF(D20=0,0,'Financial Model'!D4/D20)</f>
        <v>0.10697525830909467</v>
      </c>
      <c r="E31" s="44">
        <f>IF(E20=0,0,'Financial Model'!E4/E20)</f>
        <v>0.10000025673611379</v>
      </c>
      <c r="F31" s="44">
        <f>IF(F20=0,0,'Financial Model'!F4/F20)</f>
        <v>0.0966705991209808</v>
      </c>
    </row>
    <row r="32" spans="1:6" x14ac:dyDescent="0.25">
      <c r="A32" s="34" t="s">
        <v>164</v>
      </c>
      <c r="B32" s="12">
        <f>IF(B20=0,0,B24/B20)</f>
        <v>0.3998805063291139</v>
      </c>
      <c r="C32" s="12">
        <f>IF(C20=0,0,C24/C20)</f>
        <v>0.5371485874603376</v>
      </c>
      <c r="D32" s="12">
        <f>IF(D20=0,0,D24/D20)</f>
        <v>0.6195529944382918</v>
      </c>
      <c r="E32" s="12">
        <f>IF(E20=0,0,E24/E20)</f>
        <v>0.6705197622623587</v>
      </c>
      <c r="F32" s="12">
        <f>IF(F20=0,0,F24/F20)</f>
        <v>0.6965665047420773</v>
      </c>
    </row>
    <row r="34" ht="24" customHeight="1" spans="1:6" x14ac:dyDescent="0.25">
      <c r="A34" s="8" t="s">
        <v>165</v>
      </c>
      <c r="B34" s="8"/>
      <c r="C34" s="8"/>
      <c r="D34" s="8"/>
      <c r="E34" s="8"/>
      <c r="F34" s="8"/>
    </row>
    <row r="35" spans="1:6" x14ac:dyDescent="0.25">
      <c r="A35" s="22" t="s">
        <v>166</v>
      </c>
      <c r="B35" s="44">
        <v>0.5675057208237986</v>
      </c>
      <c r="C35" s="44">
        <v>0.5732777238345675</v>
      </c>
      <c r="D35" s="44">
        <v>0.5768052612509744</v>
      </c>
      <c r="E35" s="44">
        <v>0.5789280554886744</v>
      </c>
      <c r="F35" s="44">
        <v>0.5801743191959632</v>
      </c>
    </row>
    <row r="36" spans="1:6" x14ac:dyDescent="0.25">
      <c r="A36" s="22" t="s">
        <v>167</v>
      </c>
      <c r="B36" s="44">
        <v>0.39816933638443935</v>
      </c>
      <c r="C36" s="44">
        <v>0.4025342174644695</v>
      </c>
      <c r="D36" s="44">
        <v>0.4053534765757952</v>
      </c>
      <c r="E36" s="44">
        <v>0.4071812549774971</v>
      </c>
      <c r="F36" s="44">
        <v>0.4083573126485675</v>
      </c>
    </row>
    <row r="37" spans="1:6" x14ac:dyDescent="0.25">
      <c r="A37" s="22" t="s">
        <v>168</v>
      </c>
      <c r="B37" s="44">
        <v>0.034324942791762014</v>
      </c>
      <c r="C37" s="44">
        <v>0.02418805870096303</v>
      </c>
      <c r="D37" s="44">
        <v>0.01784126217323042</v>
      </c>
      <c r="E37" s="44">
        <v>0.01389068953382846</v>
      </c>
      <c r="F37" s="44">
        <v>0.01146836815546937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8" t="s">
        <v>21</v>
      </c>
      <c r="B1" s="18"/>
    </row>
    <row r="3" ht="24" customHeight="1" spans="1:2" x14ac:dyDescent="0.25">
      <c r="A3" s="8" t="s">
        <v>169</v>
      </c>
      <c r="B3" s="8"/>
    </row>
    <row r="4" spans="1:2" x14ac:dyDescent="0.25">
      <c r="A4" s="22" t="s">
        <v>170</v>
      </c>
      <c r="B4" s="46">
        <v>85</v>
      </c>
    </row>
    <row r="5" spans="1:2" x14ac:dyDescent="0.25">
      <c r="A5" s="22" t="s">
        <v>147</v>
      </c>
      <c r="B5" s="36">
        <v>1200000</v>
      </c>
    </row>
    <row r="6" spans="1:2" x14ac:dyDescent="0.25">
      <c r="A6" s="22" t="s">
        <v>149</v>
      </c>
      <c r="B6" s="36">
        <v>1150000</v>
      </c>
    </row>
    <row r="7" spans="1:2" x14ac:dyDescent="0.25">
      <c r="A7" s="22" t="s">
        <v>171</v>
      </c>
      <c r="B7" s="36">
        <v>75000</v>
      </c>
    </row>
    <row r="8" spans="1:2" x14ac:dyDescent="0.25">
      <c r="A8" s="22" t="s">
        <v>172</v>
      </c>
      <c r="B8" s="36">
        <v>50000</v>
      </c>
    </row>
    <row r="9" spans="1:2" x14ac:dyDescent="0.25">
      <c r="A9" s="22" t="s">
        <v>173</v>
      </c>
      <c r="B9" s="47">
        <v>0.8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&amp;L&amp;10&amp;BHeritage Academy&amp;R&amp;8&amp;IPrior-Year Snapshot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4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4323000</v>
      </c>
    </row>
    <row r="17" spans="2:3" x14ac:dyDescent="0.25">
      <c r="B17" s="9" t="s">
        <v>9</v>
      </c>
      <c r="C17" s="11">
        <v>3011257</v>
      </c>
    </row>
    <row r="18" spans="2:3" x14ac:dyDescent="0.25">
      <c r="B18" s="9" t="s">
        <v>10</v>
      </c>
      <c r="C18" s="12">
        <v>0.6965665047420773</v>
      </c>
    </row>
    <row r="19" spans="2:3" x14ac:dyDescent="0.25">
      <c r="B19" s="9" t="s">
        <v>11</v>
      </c>
      <c r="C19" s="13">
        <v>90.1314632515668</v>
      </c>
    </row>
    <row r="20" spans="2:3" x14ac:dyDescent="0.25">
      <c r="B20" s="9" t="s">
        <v>12</v>
      </c>
      <c r="C20" s="14">
        <v>200</v>
      </c>
    </row>
    <row r="23" ht="24" customHeight="1" spans="2:3" x14ac:dyDescent="0.25">
      <c r="B23" s="8" t="s">
        <v>13</v>
      </c>
      <c r="C23" s="8"/>
    </row>
    <row r="24" spans="2:3" x14ac:dyDescent="0.25">
      <c r="B24" s="15" t="s">
        <v>14</v>
      </c>
      <c r="C24" s="16"/>
    </row>
    <row r="25" spans="2:3" x14ac:dyDescent="0.25">
      <c r="B25" s="15" t="s">
        <v>15</v>
      </c>
      <c r="C25" s="16"/>
    </row>
    <row r="26" spans="2:3" x14ac:dyDescent="0.25">
      <c r="B26" s="15" t="s">
        <v>16</v>
      </c>
      <c r="C26" s="16"/>
    </row>
    <row r="27" spans="2:3" x14ac:dyDescent="0.25">
      <c r="B27" s="15" t="s">
        <v>17</v>
      </c>
      <c r="C27" s="16"/>
    </row>
    <row r="28" spans="2:3" x14ac:dyDescent="0.25">
      <c r="B28" s="15" t="s">
        <v>18</v>
      </c>
      <c r="C28" s="16"/>
    </row>
    <row r="29" spans="2:3" x14ac:dyDescent="0.25">
      <c r="B29" s="15" t="s">
        <v>19</v>
      </c>
      <c r="C29" s="16"/>
    </row>
    <row r="30" spans="2:3" x14ac:dyDescent="0.25">
      <c r="B30" s="15" t="s">
        <v>20</v>
      </c>
      <c r="C30" s="16"/>
    </row>
    <row r="31" spans="2:3" x14ac:dyDescent="0.25">
      <c r="B31" s="15" t="s">
        <v>21</v>
      </c>
      <c r="C31" s="16"/>
    </row>
    <row r="34" spans="2:3" x14ac:dyDescent="0.25">
      <c r="B34" s="17" t="s">
        <v>22</v>
      </c>
      <c r="C34" s="17"/>
    </row>
  </sheetData>
  <mergeCells count="5">
    <mergeCell ref="B3:C3"/>
    <mergeCell ref="B4:C4"/>
    <mergeCell ref="B9:C9"/>
    <mergeCell ref="B10:C10"/>
    <mergeCell ref="B34:C34"/>
  </mergeCells>
  <hyperlinks>
    <hyperlink ref="B24" r:id="rId1" location="#'Assumptions'!A1"/>
    <hyperlink ref="B25" r:id="rId2" location="#'Revenue Schedule'!A1"/>
    <hyperlink ref="B26" r:id="rId3" location="#'Staffing &amp; Personnel'!A1"/>
    <hyperlink ref="B27" r:id="rId4" location="#'Operating Expenses'!A1"/>
    <hyperlink ref="B28" r:id="rId5" location="#'Capital &amp; Debt'!A1"/>
    <hyperlink ref="B29" r:id="rId6" location="#'Financial Model'!A1"/>
    <hyperlink ref="B30" r:id="rId7" location="#'Summary'!A1"/>
    <hyperlink ref="B31" r:id="rId8" location="#'Prior-Year Snapshot'!A1"/>
  </hyperlinks>
  <pageMargins left="0.75" right="0.75" top="1" bottom="1" header="0.3" footer="0.3"/>
  <pageSetup paperSize="1" orientation="portrait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4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42" t="s">
        <v>174</v>
      </c>
      <c r="C2" s="42"/>
      <c r="D2" s="42"/>
      <c r="E2" s="42"/>
      <c r="F2" s="42"/>
      <c r="G2" s="42"/>
      <c r="H2" s="42"/>
    </row>
    <row r="3" spans="2:8" x14ac:dyDescent="0.25">
      <c r="B3" s="48" t="s">
        <v>175</v>
      </c>
      <c r="C3" s="48"/>
      <c r="D3" s="48"/>
      <c r="E3" s="48"/>
      <c r="F3" s="48"/>
      <c r="G3" s="48"/>
      <c r="H3" s="48"/>
    </row>
    <row r="4" spans="2:6" x14ac:dyDescent="0.25">
      <c r="B4" s="49" t="s">
        <v>176</v>
      </c>
      <c r="D4" s="50" t="s">
        <v>177</v>
      </c>
      <c r="F4" s="51" t="s">
        <v>178</v>
      </c>
    </row>
    <row r="6" ht="24" customHeight="1" spans="2:8" x14ac:dyDescent="0.25">
      <c r="B6" s="8" t="s">
        <v>179</v>
      </c>
      <c r="C6" s="52" t="s">
        <v>68</v>
      </c>
      <c r="D6" s="52" t="s">
        <v>69</v>
      </c>
      <c r="E6" s="52" t="s">
        <v>70</v>
      </c>
      <c r="F6" s="52" t="s">
        <v>71</v>
      </c>
      <c r="G6" s="52" t="s">
        <v>72</v>
      </c>
      <c r="H6" s="52" t="s">
        <v>180</v>
      </c>
    </row>
    <row r="7" spans="2:7" x14ac:dyDescent="0.25">
      <c r="B7" s="9" t="s">
        <v>181</v>
      </c>
      <c r="C7" s="53">
        <v>100</v>
      </c>
      <c r="D7" s="53">
        <v>130</v>
      </c>
      <c r="E7" s="53">
        <v>160</v>
      </c>
      <c r="F7" s="53">
        <v>185</v>
      </c>
      <c r="G7" s="53">
        <v>200</v>
      </c>
    </row>
    <row r="8" spans="2:7" x14ac:dyDescent="0.25">
      <c r="B8" s="9" t="s">
        <v>182</v>
      </c>
      <c r="C8" s="54">
        <v>1975000</v>
      </c>
      <c r="D8" s="54">
        <v>2612670</v>
      </c>
      <c r="E8" s="54">
        <v>3286760</v>
      </c>
      <c r="F8" s="54">
        <v>3895050</v>
      </c>
      <c r="G8" s="54">
        <v>4323000</v>
      </c>
    </row>
    <row r="9" spans="2:7" x14ac:dyDescent="0.25">
      <c r="B9" s="9" t="s">
        <v>183</v>
      </c>
      <c r="C9" s="54">
        <v>854772</v>
      </c>
      <c r="D9" s="54">
        <v>854772</v>
      </c>
      <c r="E9" s="54">
        <v>854772</v>
      </c>
      <c r="F9" s="54">
        <v>854772</v>
      </c>
      <c r="G9" s="54">
        <v>854772</v>
      </c>
    </row>
    <row r="10" spans="2:7" x14ac:dyDescent="0.25">
      <c r="B10" s="9" t="s">
        <v>17</v>
      </c>
      <c r="C10" s="54">
        <v>271400</v>
      </c>
      <c r="D10" s="54">
        <v>310442</v>
      </c>
      <c r="E10" s="54">
        <v>351602</v>
      </c>
      <c r="F10" s="54">
        <v>389506</v>
      </c>
      <c r="G10" s="54">
        <v>417907</v>
      </c>
    </row>
    <row r="11" spans="2:7" x14ac:dyDescent="0.25">
      <c r="B11" s="9" t="s">
        <v>184</v>
      </c>
      <c r="C11" s="54">
        <v>34064.39316600799</v>
      </c>
      <c r="D11" s="54">
        <v>34064.39316600799</v>
      </c>
      <c r="E11" s="54">
        <v>34064.39316600799</v>
      </c>
      <c r="F11" s="54">
        <v>34064.39316600799</v>
      </c>
      <c r="G11" s="54">
        <v>34064.39316600799</v>
      </c>
    </row>
    <row r="12" spans="2:7" x14ac:dyDescent="0.25">
      <c r="B12" s="55" t="s">
        <v>150</v>
      </c>
      <c r="C12" s="56">
        <v>789764</v>
      </c>
      <c r="D12" s="56">
        <v>1403392</v>
      </c>
      <c r="E12" s="56">
        <v>2036322</v>
      </c>
      <c r="F12" s="56">
        <v>2611708</v>
      </c>
      <c r="G12" s="56">
        <v>3011257</v>
      </c>
    </row>
    <row r="13" spans="2:7" x14ac:dyDescent="0.25">
      <c r="B13" s="55" t="s">
        <v>185</v>
      </c>
      <c r="C13" s="56">
        <v>864764</v>
      </c>
      <c r="D13" s="56">
        <v>2268156</v>
      </c>
      <c r="E13" s="56">
        <v>4304478</v>
      </c>
      <c r="F13" s="56">
        <v>6916186</v>
      </c>
      <c r="G13" s="56">
        <v>9927443</v>
      </c>
    </row>
    <row r="14" spans="2:7" x14ac:dyDescent="0.25">
      <c r="B14" s="55" t="s">
        <v>186</v>
      </c>
      <c r="C14" s="57">
        <v>0.3998805063291139</v>
      </c>
      <c r="D14" s="57">
        <v>0.5371485874603376</v>
      </c>
      <c r="E14" s="57">
        <v>0.6195529944382918</v>
      </c>
      <c r="F14" s="57">
        <v>0.6705197622623587</v>
      </c>
      <c r="G14" s="57">
        <v>0.6965665047420773</v>
      </c>
    </row>
    <row r="15" spans="2:8" x14ac:dyDescent="0.25">
      <c r="B15" s="55" t="s">
        <v>161</v>
      </c>
      <c r="C15" s="58">
        <v>19750</v>
      </c>
      <c r="D15" s="58">
        <v>20097.46153846154</v>
      </c>
      <c r="E15" s="58">
        <v>20542.25</v>
      </c>
      <c r="F15" s="58">
        <v>21054.324324324323</v>
      </c>
      <c r="G15" s="58">
        <v>21615</v>
      </c>
      <c r="H15" s="59" t="s">
        <v>187</v>
      </c>
    </row>
    <row r="16" spans="2:7" x14ac:dyDescent="0.25">
      <c r="B16" s="55" t="s">
        <v>188</v>
      </c>
      <c r="C16" s="60">
        <v>11602.36393166008</v>
      </c>
      <c r="D16" s="60">
        <v>9225.218408969291</v>
      </c>
      <c r="E16" s="60">
        <v>7752.739957287549</v>
      </c>
      <c r="F16" s="60">
        <v>6909.958881978421</v>
      </c>
      <c r="G16" s="60">
        <v>6533.71696583004</v>
      </c>
    </row>
    <row r="17" spans="2:7" x14ac:dyDescent="0.25">
      <c r="B17" s="9" t="s">
        <v>189</v>
      </c>
      <c r="C17" s="54">
        <v>600</v>
      </c>
      <c r="D17" s="54">
        <v>618</v>
      </c>
      <c r="E17" s="54">
        <v>637</v>
      </c>
      <c r="F17" s="54">
        <v>656</v>
      </c>
      <c r="G17" s="54">
        <v>675</v>
      </c>
    </row>
    <row r="18" spans="2:8" x14ac:dyDescent="0.25">
      <c r="B18" s="9" t="s">
        <v>190</v>
      </c>
      <c r="C18" s="58">
        <v>1364</v>
      </c>
      <c r="D18" s="58">
        <v>1080.7076923076922</v>
      </c>
      <c r="E18" s="58">
        <v>904.4112499999999</v>
      </c>
      <c r="F18" s="58">
        <v>805.6494810810811</v>
      </c>
      <c r="G18" s="58">
        <v>767.5594931</v>
      </c>
      <c r="H18" s="59" t="s">
        <v>191</v>
      </c>
    </row>
    <row r="19" spans="2:7" x14ac:dyDescent="0.25">
      <c r="B19" s="55" t="s">
        <v>192</v>
      </c>
      <c r="C19" s="61">
        <v>7897.64</v>
      </c>
      <c r="D19" s="61">
        <v>10795.323076923078</v>
      </c>
      <c r="E19" s="61">
        <v>12727.0125</v>
      </c>
      <c r="F19" s="61">
        <v>14117.340540540541</v>
      </c>
      <c r="G19" s="61">
        <v>15056.285</v>
      </c>
    </row>
    <row r="20" spans="2:8" x14ac:dyDescent="0.25">
      <c r="B20" s="55" t="s">
        <v>193</v>
      </c>
      <c r="C20" s="57">
        <v>0.4327959493670886</v>
      </c>
      <c r="D20" s="57">
        <v>0.3271641653940222</v>
      </c>
      <c r="E20" s="57">
        <v>0.26006523141330673</v>
      </c>
      <c r="F20" s="57">
        <v>0.21945084145261293</v>
      </c>
      <c r="G20" s="57">
        <v>0.1977265787647467</v>
      </c>
      <c r="H20" s="59" t="s">
        <v>194</v>
      </c>
    </row>
    <row r="21" spans="2:8" x14ac:dyDescent="0.25">
      <c r="B21" s="55" t="s">
        <v>195</v>
      </c>
      <c r="C21" s="57">
        <v>0.0690632911392405</v>
      </c>
      <c r="D21" s="57">
        <v>0.053773342978638713</v>
      </c>
      <c r="E21" s="57">
        <v>0.04402688361790943</v>
      </c>
      <c r="F21" s="57">
        <v>0.038265273616513266</v>
      </c>
      <c r="G21" s="57">
        <v>0.0355105016470044</v>
      </c>
      <c r="H21" s="59" t="s">
        <v>196</v>
      </c>
    </row>
    <row r="22" spans="2:8" x14ac:dyDescent="0.25">
      <c r="B22" s="55" t="s">
        <v>197</v>
      </c>
      <c r="C22" s="57">
        <v>0.42978632911392406</v>
      </c>
      <c r="D22" s="57">
        <v>0.5540140928628567</v>
      </c>
      <c r="E22" s="57">
        <v>0.6329595102775986</v>
      </c>
      <c r="F22" s="57">
        <v>0.6805489018112733</v>
      </c>
      <c r="G22" s="57">
        <v>0.7056028221142725</v>
      </c>
      <c r="H22" s="59" t="s">
        <v>198</v>
      </c>
    </row>
    <row r="23" spans="2:8" x14ac:dyDescent="0.25">
      <c r="B23" s="55" t="s">
        <v>199</v>
      </c>
      <c r="C23" s="62">
        <v>4</v>
      </c>
      <c r="D23" s="62">
        <v>4</v>
      </c>
      <c r="E23" s="62">
        <v>4</v>
      </c>
      <c r="F23" s="62">
        <v>4</v>
      </c>
      <c r="G23" s="62">
        <v>4</v>
      </c>
      <c r="H23" s="59" t="s">
        <v>200</v>
      </c>
    </row>
    <row r="24" spans="2:8" x14ac:dyDescent="0.25">
      <c r="B24" s="55" t="s">
        <v>201</v>
      </c>
      <c r="C24" s="63">
        <v>24.918336160088252</v>
      </c>
      <c r="D24" s="63">
        <v>42.49175944353473</v>
      </c>
      <c r="E24" s="63">
        <v>61.07215795277884</v>
      </c>
      <c r="F24" s="63">
        <v>77.81650437986194</v>
      </c>
      <c r="G24" s="63">
        <v>89.54573137806075</v>
      </c>
      <c r="H24" s="59" t="s">
        <v>202</v>
      </c>
    </row>
    <row r="25" spans="2:8" x14ac:dyDescent="0.25">
      <c r="B25" s="55" t="s">
        <v>203</v>
      </c>
      <c r="C25" s="40" t="str">
        <f>IF('Financial Model'!B8&gt;=0,"✓ Break-even","")</f>
        <v>✓ Break-even</v>
      </c>
      <c r="D25" s="64" t="str">
        <f>IF(AND('Financial Model'!C8&gt;=0,'Financial Model'!B8&lt;0),"✓ Break-even","")</f>
        <v>0</v>
      </c>
      <c r="E25" s="64" t="str">
        <f>IF(AND('Financial Model'!D8&gt;=0,'Financial Model'!C8&lt;0),"✓ Break-even","")</f>
        <v>0</v>
      </c>
      <c r="F25" s="64" t="str">
        <f>IF(AND('Financial Model'!E8&gt;=0,'Financial Model'!D8&lt;0),"✓ Break-even","")</f>
        <v>0</v>
      </c>
      <c r="G25" s="64" t="str">
        <f>IF(AND('Financial Model'!F8&gt;=0,'Financial Model'!E8&lt;0),"✓ Break-even","")</f>
        <v>0</v>
      </c>
      <c r="H25" s="59" t="s">
        <v>68</v>
      </c>
    </row>
    <row r="26" spans="2:8" x14ac:dyDescent="0.25">
      <c r="B26" s="55" t="s">
        <v>204</v>
      </c>
      <c r="C26" s="65">
        <v>9</v>
      </c>
      <c r="D26" s="66">
        <v>23</v>
      </c>
      <c r="E26" s="62">
        <v>42</v>
      </c>
      <c r="F26" s="67" t="s">
        <v>205</v>
      </c>
      <c r="G26" s="67" t="s">
        <v>205</v>
      </c>
      <c r="H26" s="59" t="s">
        <v>206</v>
      </c>
    </row>
    <row r="27" spans="2:8" x14ac:dyDescent="0.25">
      <c r="B27" s="55" t="s">
        <v>207</v>
      </c>
      <c r="C27" s="62">
        <v>272</v>
      </c>
      <c r="D27" s="62">
        <v>690</v>
      </c>
      <c r="E27" s="62">
        <v>1267</v>
      </c>
      <c r="F27" s="62">
        <v>1975</v>
      </c>
      <c r="G27" s="62">
        <v>2773</v>
      </c>
      <c r="H27" s="59" t="s">
        <v>208</v>
      </c>
    </row>
    <row r="29" ht="24" customHeight="1" spans="2:8" x14ac:dyDescent="0.25">
      <c r="B29" s="8" t="s">
        <v>209</v>
      </c>
      <c r="C29" s="8" t="s">
        <v>210</v>
      </c>
      <c r="D29" s="8" t="s">
        <v>211</v>
      </c>
      <c r="E29" s="8"/>
      <c r="F29" s="8" t="s">
        <v>212</v>
      </c>
      <c r="G29" s="8"/>
      <c r="H29" s="8"/>
    </row>
    <row r="30" ht="45" customHeight="1" spans="2:8" x14ac:dyDescent="0.25">
      <c r="B30" s="68" t="s">
        <v>213</v>
      </c>
      <c r="C30" s="40" t="s">
        <v>214</v>
      </c>
      <c r="D30" s="69" t="s">
        <v>215</v>
      </c>
      <c r="E30" s="69"/>
      <c r="F30" s="70" t="s">
        <v>216</v>
      </c>
      <c r="G30" s="70"/>
      <c r="H30" s="70"/>
    </row>
    <row r="31" ht="45" customHeight="1" spans="2:8" x14ac:dyDescent="0.25">
      <c r="B31" s="68" t="s">
        <v>217</v>
      </c>
      <c r="C31" s="40" t="s">
        <v>214</v>
      </c>
      <c r="D31" s="69" t="s">
        <v>218</v>
      </c>
      <c r="E31" s="69"/>
      <c r="F31" s="70" t="s">
        <v>219</v>
      </c>
      <c r="G31" s="70"/>
      <c r="H31" s="70"/>
    </row>
    <row r="32" ht="45" customHeight="1" spans="2:8" x14ac:dyDescent="0.25">
      <c r="B32" s="68" t="s">
        <v>220</v>
      </c>
      <c r="C32" s="40" t="s">
        <v>214</v>
      </c>
      <c r="D32" s="69" t="s">
        <v>221</v>
      </c>
      <c r="E32" s="69"/>
      <c r="F32" s="70" t="s">
        <v>222</v>
      </c>
      <c r="G32" s="70"/>
      <c r="H32" s="70"/>
    </row>
    <row r="33" ht="45" customHeight="1" spans="2:8" x14ac:dyDescent="0.25">
      <c r="B33" s="68" t="s">
        <v>223</v>
      </c>
      <c r="C33" s="40" t="s">
        <v>214</v>
      </c>
      <c r="D33" s="69" t="s">
        <v>224</v>
      </c>
      <c r="E33" s="69"/>
      <c r="F33" s="70" t="s">
        <v>225</v>
      </c>
      <c r="G33" s="70"/>
      <c r="H33" s="70"/>
    </row>
    <row r="34" ht="45" customHeight="1" spans="2:8" x14ac:dyDescent="0.25">
      <c r="B34" s="68" t="s">
        <v>226</v>
      </c>
      <c r="C34" s="40" t="s">
        <v>214</v>
      </c>
      <c r="D34" s="69" t="s">
        <v>227</v>
      </c>
      <c r="E34" s="69"/>
      <c r="F34" s="70" t="s">
        <v>228</v>
      </c>
      <c r="G34" s="70"/>
      <c r="H34" s="70"/>
    </row>
    <row r="35" ht="45" customHeight="1" spans="2:8" x14ac:dyDescent="0.25">
      <c r="B35" s="68" t="s">
        <v>229</v>
      </c>
      <c r="C35" s="40" t="s">
        <v>214</v>
      </c>
      <c r="D35" s="69" t="s">
        <v>230</v>
      </c>
      <c r="E35" s="69"/>
      <c r="F35" s="70" t="s">
        <v>231</v>
      </c>
      <c r="G35" s="70"/>
      <c r="H35" s="70"/>
    </row>
    <row r="36" ht="45" customHeight="1" spans="2:8" x14ac:dyDescent="0.25">
      <c r="B36" s="68" t="s">
        <v>232</v>
      </c>
      <c r="C36" s="40" t="s">
        <v>214</v>
      </c>
      <c r="D36" s="69" t="s">
        <v>233</v>
      </c>
      <c r="E36" s="69"/>
      <c r="F36" s="70" t="s">
        <v>234</v>
      </c>
      <c r="G36" s="70"/>
      <c r="H36" s="70"/>
    </row>
    <row r="38" spans="2:6" x14ac:dyDescent="0.25">
      <c r="B38" s="68" t="s">
        <v>20</v>
      </c>
      <c r="C38" s="55" t="s">
        <v>235</v>
      </c>
      <c r="D38" s="55"/>
      <c r="E38" s="55"/>
      <c r="F38" s="55"/>
    </row>
    <row r="40" spans="2:8" x14ac:dyDescent="0.25">
      <c r="B40" s="71" t="s">
        <v>236</v>
      </c>
      <c r="C40" s="71"/>
      <c r="D40" s="71"/>
      <c r="E40" s="71"/>
      <c r="F40" s="71"/>
      <c r="G40" s="71"/>
      <c r="H40" s="71"/>
    </row>
  </sheetData>
  <mergeCells count="20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C38:F38"/>
    <mergeCell ref="B40:H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</formula>
    </cfRule>
    <cfRule type="expression" dxfId="23" priority="3">
      <formula>C24&lt;1</formula>
    </cfRule>
  </conditionalFormatting>
  <pageMargins left="0.5" right="0.5" top="0.75" bottom="0.75" header="0.3" footer="0.3"/>
  <pageSetup paperSize="1" orientation="landscape" fitToWidth="1" fitToHeight="0"/>
  <headerFooter>
    <oddHeader>&amp;L&amp;10&amp;BHeritage Academy&amp;R&amp;8&amp;IFinancial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  <vt:lpstr>Prior-Year Snapshot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2026-03-27T12:05:11Z</dcterms:created>
  <dcterms:modified xsi:type="dcterms:W3CDTF">2026-03-27T12:05:11Z</dcterms:modified>
</cp:coreProperties>
</file>