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<sst xmlns="http://schemas.openxmlformats.org/spreadsheetml/2006/main" count="259" uniqueCount="210">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</sst>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18" fillId="0" borderId="4" xfId="0" applyFont="1" applyBorder="1"/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144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145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146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147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148</v>
      </c>
      <c r="C10" s="36">
        <f>IF(C8&gt;0,C4/C8,IF(C4&gt;0,99.9,0))</f>
        <v>-1.6457711</v>
      </c>
      <c r="D10" s="36">
        <f>IF(D8&gt;0,D4/D8,IF(D4&gt;0,99.9,0))</f>
        <v>0.35643157</v>
      </c>
      <c r="E10" s="37">
        <f>IF(E8&gt;0,E4/E8,IF(E4&gt;0,99.9,0))</f>
        <v>1.01618889</v>
      </c>
      <c r="F10" s="36">
        <f>IF(F8&gt;0,F4/F8,IF(F4&gt;0,99.9,0))</f>
        <v>-2.24916245</v>
      </c>
      <c r="G10" s="36">
        <f>IF(G8&gt;0,G4/G8,IF(G4&gt;0,99.9,0))</f>
        <v>-14.2150884</v>
      </c>
    </row>
    <row r="12" spans="2:7" x14ac:dyDescent="0.25">
      <c r="B12" s="28" t="s">
        <v>149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150</v>
      </c>
      <c r="C14" s="38">
        <f>Assumptions!D57+C12</f>
        <v>-282114.89652978</v>
      </c>
      <c r="D14" s="38">
        <f>C14+D12</f>
        <v>-350737.70382146</v>
      </c>
      <c r="E14" s="38">
        <f>D14+E12</f>
        <v>-349011.50496249</v>
      </c>
      <c r="F14" s="38">
        <f>E14+F12</f>
        <v>-695465.18355908</v>
      </c>
      <c r="G14" s="38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151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152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153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154</v>
      </c>
      <c r="C6" s="39">
        <f>C4+C5</f>
        <v>15</v>
      </c>
      <c r="D6" s="39">
        <f>D4+D5</f>
        <v>21</v>
      </c>
      <c r="E6" s="39">
        <f>E4+E5</f>
        <v>29</v>
      </c>
      <c r="F6" s="39">
        <f>F4+F5</f>
        <v>36</v>
      </c>
      <c r="G6" s="3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155</v>
      </c>
      <c r="C1" s="13"/>
    </row>
    <row r="3" spans="2:3" x14ac:dyDescent="0.25">
      <c r="B3" s="28" t="s">
        <v>156</v>
      </c>
      <c r="C3" s="30">
        <f>Assumptions!D59</f>
        <v>350000</v>
      </c>
    </row>
    <row r="4" spans="2:3" x14ac:dyDescent="0.25">
      <c r="B4" s="28" t="s">
        <v>157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158</v>
      </c>
      <c r="C6" s="40">
        <f>IF(Assumptions!D59&gt;0,PMT(Assumptions!D60/12,Assumptions!D61*12,-Assumptions!D59)*12,0)</f>
        <v>46628.61081549</v>
      </c>
    </row>
    <row r="8" spans="2:3" x14ac:dyDescent="0.25">
      <c r="B8" s="28" t="s">
        <v>159</v>
      </c>
      <c r="C8" s="36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160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161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162</v>
      </c>
      <c r="C9" s="30">
        <f>Drivers!G10</f>
        <v>5634801.762</v>
      </c>
    </row>
    <row r="10" spans="2:3" x14ac:dyDescent="0.25">
      <c r="B10" s="28" t="s">
        <v>163</v>
      </c>
      <c r="C10" s="38">
        <f>'5-Year P&amp;L'!G16</f>
        <v>-1515735.12821206</v>
      </c>
    </row>
    <row r="12" spans="2:3" x14ac:dyDescent="0.25">
      <c r="B12" s="12" t="s">
        <v>164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165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1" t="s">
        <v>166</v>
      </c>
      <c r="C5" s="42" t="s">
        <v>114</v>
      </c>
      <c r="D5" s="42" t="s">
        <v>115</v>
      </c>
      <c r="E5" s="42" t="s">
        <v>116</v>
      </c>
      <c r="F5" s="42" t="s">
        <v>117</v>
      </c>
      <c r="G5" s="42" t="s">
        <v>118</v>
      </c>
    </row>
    <row r="6" spans="2:7" x14ac:dyDescent="0.25">
      <c r="B6" s="28" t="s">
        <v>119</v>
      </c>
      <c r="C6" s="29">
        <v>120</v>
      </c>
      <c r="D6" s="29">
        <v>200</v>
      </c>
      <c r="E6" s="29">
        <v>300</v>
      </c>
      <c r="F6" s="29">
        <v>400</v>
      </c>
      <c r="G6" s="29">
        <v>500</v>
      </c>
    </row>
    <row r="7" spans="2:7" x14ac:dyDescent="0.25">
      <c r="B7" s="28" t="s">
        <v>167</v>
      </c>
      <c r="C7" s="30">
        <v>1414000</v>
      </c>
      <c r="D7" s="30">
        <v>2252650</v>
      </c>
      <c r="E7" s="30">
        <v>3345708</v>
      </c>
      <c r="F7" s="30">
        <v>4462886.32</v>
      </c>
      <c r="G7" s="30">
        <v>5634801.762</v>
      </c>
    </row>
    <row r="8" spans="2:7" x14ac:dyDescent="0.25">
      <c r="B8" s="28" t="s">
        <v>168</v>
      </c>
      <c r="C8" s="30">
        <v>985486.2857142857</v>
      </c>
      <c r="D8" s="30">
        <v>1350450.8631428573</v>
      </c>
      <c r="E8" s="30">
        <v>1851580.3737342858</v>
      </c>
      <c r="F8" s="30">
        <v>2322257.9411546146</v>
      </c>
      <c r="G8" s="30">
        <v>2880593.1775544523</v>
      </c>
    </row>
    <row r="9" spans="2:7" x14ac:dyDescent="0.25">
      <c r="B9" s="28" t="s">
        <v>169</v>
      </c>
      <c r="C9" s="30">
        <v>604000</v>
      </c>
      <c r="D9" s="30">
        <v>864193.3333333334</v>
      </c>
      <c r="E9" s="30">
        <v>1385772.8165912519</v>
      </c>
      <c r="F9" s="30">
        <v>2380453.4466264746</v>
      </c>
      <c r="G9" s="30">
        <v>4269943.712657611</v>
      </c>
    </row>
    <row r="10" spans="2:7" x14ac:dyDescent="0.25">
      <c r="B10" s="28" t="s">
        <v>170</v>
      </c>
      <c r="C10" s="30">
        <v>106628.6108154935</v>
      </c>
      <c r="D10" s="30">
        <v>106628.6108154935</v>
      </c>
      <c r="E10" s="30">
        <v>106628.6108154935</v>
      </c>
      <c r="F10" s="30">
        <v>106628.6108154935</v>
      </c>
      <c r="G10" s="30">
        <v>106628.6108154935</v>
      </c>
    </row>
    <row r="11" spans="2:7" x14ac:dyDescent="0.25">
      <c r="B11" s="31" t="s">
        <v>171</v>
      </c>
      <c r="C11" s="33">
        <v>-282114.8965297792</v>
      </c>
      <c r="D11" s="33">
        <v>-68622.80729168432</v>
      </c>
      <c r="E11" s="34">
        <v>1726.1988589687971</v>
      </c>
      <c r="F11" s="33">
        <v>-346453.6785965824</v>
      </c>
      <c r="G11" s="33">
        <v>-1622363.739027556</v>
      </c>
    </row>
    <row r="12" spans="2:7" x14ac:dyDescent="0.25">
      <c r="B12" s="31" t="s">
        <v>172</v>
      </c>
      <c r="C12" s="33">
        <v>-282114.8965297792</v>
      </c>
      <c r="D12" s="33">
        <v>-350737.7038214635</v>
      </c>
      <c r="E12" s="33">
        <v>-349011.5049624947</v>
      </c>
      <c r="F12" s="33">
        <v>-695465.1835590771</v>
      </c>
      <c r="G12" s="33">
        <v>-2317828.922586633</v>
      </c>
    </row>
    <row r="13" spans="2:7" x14ac:dyDescent="0.25">
      <c r="B13" s="31" t="s">
        <v>173</v>
      </c>
      <c r="C13" s="43">
        <v>-0.19951548552318188</v>
      </c>
      <c r="D13" s="43">
        <v>-0.03046314664581019</v>
      </c>
      <c r="E13" s="44">
        <v>0.0005159442661968101</v>
      </c>
      <c r="F13" s="43">
        <v>-0.07762995822770193</v>
      </c>
      <c r="G13" s="43">
        <v>-0.2879185120528036</v>
      </c>
    </row>
    <row r="14" spans="2:7" x14ac:dyDescent="0.25">
      <c r="B14" s="31" t="s">
        <v>174</v>
      </c>
      <c r="C14" s="30">
        <v>11783.333333333334</v>
      </c>
      <c r="D14" s="30">
        <v>11263.25</v>
      </c>
      <c r="E14" s="30">
        <v>11152.36</v>
      </c>
      <c r="F14" s="30">
        <v>11157.2158</v>
      </c>
      <c r="G14" s="30">
        <v>11269.603524</v>
      </c>
    </row>
    <row r="15" spans="2:7" x14ac:dyDescent="0.25">
      <c r="B15" s="31" t="s">
        <v>175</v>
      </c>
      <c r="C15" s="43">
        <v>0.6969492826833703</v>
      </c>
      <c r="D15" s="44">
        <v>0.5994943125398341</v>
      </c>
      <c r="E15" s="44">
        <v>0.5534195972076122</v>
      </c>
      <c r="F15" s="45">
        <v>0.5203488896294841</v>
      </c>
      <c r="G15" s="45">
        <v>0.5112146441389667</v>
      </c>
    </row>
    <row r="16" spans="2:7" x14ac:dyDescent="0.25">
      <c r="B16" s="31" t="s">
        <v>176</v>
      </c>
      <c r="C16" s="45">
        <v>0.12814710042432814</v>
      </c>
      <c r="D16" s="45">
        <v>0.11509022706590016</v>
      </c>
      <c r="E16" s="45">
        <v>0.12425825713940832</v>
      </c>
      <c r="F16" s="44">
        <v>0.1600166311177611</v>
      </c>
      <c r="G16" s="44">
        <v>0.227334193446872</v>
      </c>
    </row>
    <row r="17" spans="2:7" x14ac:dyDescent="0.25">
      <c r="B17" s="31" t="s">
        <v>142</v>
      </c>
      <c r="C17" s="43">
        <v>-0.12410628409779752</v>
      </c>
      <c r="D17" s="44">
        <v>0.016871597240498658</v>
      </c>
      <c r="E17" s="44">
        <v>0.03238621232769336</v>
      </c>
      <c r="F17" s="43">
        <v>-0.0537376600220211</v>
      </c>
      <c r="G17" s="43">
        <v>-0.26899528896187336</v>
      </c>
    </row>
    <row r="18" spans="2:7" x14ac:dyDescent="0.25">
      <c r="B18" s="31" t="s">
        <v>177</v>
      </c>
      <c r="C18" s="46">
        <v>-1.645771096258031</v>
      </c>
      <c r="D18" s="46">
        <v>0.35643157341300485</v>
      </c>
      <c r="E18" s="47">
        <v>1.0161888900715002</v>
      </c>
      <c r="F18" s="46">
        <v>-2.2491624522434597</v>
      </c>
      <c r="G18" s="46">
        <v>-14.215088395316705</v>
      </c>
    </row>
    <row r="19" spans="2:7" x14ac:dyDescent="0.25">
      <c r="B19" s="31" t="s">
        <v>178</v>
      </c>
      <c r="C19" s="48" t="s">
        <v>116</v>
      </c>
      <c r="D19" s="48"/>
      <c r="E19" s="48"/>
      <c r="F19" s="48"/>
      <c r="G19" s="48"/>
    </row>
    <row r="20" spans="2:7" x14ac:dyDescent="0.25">
      <c r="B20" s="31" t="s">
        <v>179</v>
      </c>
      <c r="C20" s="49" t="s">
        <v>180</v>
      </c>
      <c r="D20" s="49"/>
      <c r="E20" s="49"/>
      <c r="F20" s="49"/>
      <c r="G20" s="49"/>
    </row>
    <row r="22" ht="24" customHeight="1" spans="2:7" x14ac:dyDescent="0.25">
      <c r="B22" s="41" t="s">
        <v>181</v>
      </c>
      <c r="C22" s="41" t="s">
        <v>182</v>
      </c>
      <c r="D22" s="41" t="s">
        <v>183</v>
      </c>
      <c r="E22" s="41"/>
      <c r="F22" s="41" t="s">
        <v>184</v>
      </c>
      <c r="G22" s="41"/>
    </row>
    <row r="23" ht="45" customHeight="1" spans="2:7" x14ac:dyDescent="0.25">
      <c r="B23" s="50" t="s">
        <v>185</v>
      </c>
      <c r="C23" s="51" t="s">
        <v>186</v>
      </c>
      <c r="D23" s="52" t="s">
        <v>187</v>
      </c>
      <c r="E23" s="52"/>
      <c r="F23" s="53" t="s">
        <v>188</v>
      </c>
      <c r="G23" s="53"/>
    </row>
    <row r="24" ht="45" customHeight="1" spans="2:7" x14ac:dyDescent="0.25">
      <c r="B24" s="50" t="s">
        <v>189</v>
      </c>
      <c r="C24" s="51" t="s">
        <v>186</v>
      </c>
      <c r="D24" s="52" t="s">
        <v>190</v>
      </c>
      <c r="E24" s="52"/>
      <c r="F24" s="53" t="s">
        <v>191</v>
      </c>
      <c r="G24" s="53"/>
    </row>
    <row r="25" ht="45" customHeight="1" spans="2:7" x14ac:dyDescent="0.25">
      <c r="B25" s="50" t="s">
        <v>192</v>
      </c>
      <c r="C25" s="54" t="s">
        <v>193</v>
      </c>
      <c r="D25" s="52" t="s">
        <v>194</v>
      </c>
      <c r="E25" s="52"/>
      <c r="F25" s="53" t="s">
        <v>195</v>
      </c>
      <c r="G25" s="53"/>
    </row>
    <row r="26" ht="45" customHeight="1" spans="2:7" x14ac:dyDescent="0.25">
      <c r="B26" s="50" t="s">
        <v>196</v>
      </c>
      <c r="C26" s="51" t="s">
        <v>186</v>
      </c>
      <c r="D26" s="52" t="s">
        <v>197</v>
      </c>
      <c r="E26" s="52"/>
      <c r="F26" s="53" t="s">
        <v>198</v>
      </c>
      <c r="G26" s="53"/>
    </row>
    <row r="27" ht="45" customHeight="1" spans="2:7" x14ac:dyDescent="0.25">
      <c r="B27" s="50" t="s">
        <v>199</v>
      </c>
      <c r="C27" s="51" t="s">
        <v>186</v>
      </c>
      <c r="D27" s="52" t="s">
        <v>200</v>
      </c>
      <c r="E27" s="52"/>
      <c r="F27" s="53" t="s">
        <v>201</v>
      </c>
      <c r="G27" s="53"/>
    </row>
    <row r="28" ht="45" customHeight="1" spans="2:7" x14ac:dyDescent="0.25">
      <c r="B28" s="50" t="s">
        <v>202</v>
      </c>
      <c r="C28" s="54" t="s">
        <v>193</v>
      </c>
      <c r="D28" s="52" t="s">
        <v>203</v>
      </c>
      <c r="E28" s="52"/>
      <c r="F28" s="53" t="s">
        <v>204</v>
      </c>
      <c r="G28" s="53"/>
    </row>
    <row r="29" ht="45" customHeight="1" spans="2:7" x14ac:dyDescent="0.25">
      <c r="B29" s="50" t="s">
        <v>205</v>
      </c>
      <c r="C29" s="51" t="s">
        <v>186</v>
      </c>
      <c r="D29" s="52" t="s">
        <v>206</v>
      </c>
      <c r="E29" s="52"/>
      <c r="F29" s="53" t="s">
        <v>207</v>
      </c>
      <c r="G29" s="53"/>
    </row>
    <row r="31" spans="2:5" x14ac:dyDescent="0.25">
      <c r="B31" s="50" t="s">
        <v>39</v>
      </c>
      <c r="C31" s="31" t="s">
        <v>208</v>
      </c>
      <c r="D31" s="31"/>
      <c r="E31" s="31"/>
    </row>
    <row r="33" spans="2:7" x14ac:dyDescent="0.25">
      <c r="B33" s="55" t="s">
        <v>209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