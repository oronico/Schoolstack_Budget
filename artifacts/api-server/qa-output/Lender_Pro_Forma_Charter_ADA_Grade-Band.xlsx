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<sst xmlns="http://schemas.openxmlformats.org/spreadsheetml/2006/main" count="292" uniqueCount="235">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</sst>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8" x14ac:dyDescent="0.25">
      <c r="B16" s="31" t="s">
        <v>192</v>
      </c>
      <c r="C16" s="50">
        <v>0.6969492826833703</v>
      </c>
      <c r="D16" s="51">
        <v>0.5994943125398341</v>
      </c>
      <c r="E16" s="51">
        <v>0.5534195972076122</v>
      </c>
      <c r="F16" s="54">
        <v>0.5203488896294841</v>
      </c>
      <c r="G16" s="54">
        <v>0.5112146441389667</v>
      </c>
      <c r="H16" s="53" t="s">
        <v>193</v>
      </c>
    </row>
    <row r="17" spans="2:8" x14ac:dyDescent="0.25">
      <c r="B17" s="31" t="s">
        <v>194</v>
      </c>
      <c r="C17" s="50">
        <v>0.22772277227722773</v>
      </c>
      <c r="D17" s="54">
        <v>0.14723103899851286</v>
      </c>
      <c r="E17" s="54">
        <v>0.10210388952054393</v>
      </c>
      <c r="F17" s="54">
        <v>0.07884092687353057</v>
      </c>
      <c r="G17" s="54">
        <v>0.06431705180190153</v>
      </c>
      <c r="H17" s="53" t="s">
        <v>195</v>
      </c>
    </row>
    <row r="18" spans="2:8" x14ac:dyDescent="0.25">
      <c r="B18" s="31" t="s">
        <v>142</v>
      </c>
      <c r="C18" s="50">
        <v>-0.12410628409779752</v>
      </c>
      <c r="D18" s="51">
        <v>0.016871597240498658</v>
      </c>
      <c r="E18" s="51">
        <v>0.03238621232769336</v>
      </c>
      <c r="F18" s="50">
        <v>-0.0537376600220211</v>
      </c>
      <c r="G18" s="50">
        <v>-0.26899528896187336</v>
      </c>
      <c r="H18" s="53" t="s">
        <v>196</v>
      </c>
    </row>
    <row r="19" spans="2:8" x14ac:dyDescent="0.25">
      <c r="B19" s="31" t="s">
        <v>197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198</v>
      </c>
    </row>
    <row r="20" spans="2:8" x14ac:dyDescent="0.25">
      <c r="B20" s="31" t="s">
        <v>199</v>
      </c>
      <c r="C20" s="56">
        <v>-1.645771096258031</v>
      </c>
      <c r="D20" s="56">
        <v>0.35643157341300485</v>
      </c>
      <c r="E20" s="57">
        <v>1.0161888900715002</v>
      </c>
      <c r="F20" s="56">
        <v>-2.2491624522434597</v>
      </c>
      <c r="G20" s="56">
        <v>-14.215088395316705</v>
      </c>
      <c r="H20" s="53" t="s">
        <v>200</v>
      </c>
    </row>
    <row r="21" spans="2:8" x14ac:dyDescent="0.25">
      <c r="B21" s="31" t="s">
        <v>201</v>
      </c>
      <c r="C21" s="58" t="str">
        <f>IF('5-Year P&amp;L'!C24&gt;=0,"✓ Break-even","")</f>
        <v>0</v>
      </c>
      <c r="D21" s="58" t="str">
        <f>IF(AND('5-Year P&amp;L'!D24&gt;=0,'5-Year P&amp;L'!C24&lt;0),"✓ Break-even","")</f>
        <v>0</v>
      </c>
      <c r="E21" s="58" t="str">
        <f>IF(AND('5-Year P&amp;L'!E24&gt;=0,'5-Year P&amp;L'!D24&lt;0),"✓ Break-even","")</f>
        <v>0</v>
      </c>
      <c r="F21" s="58" t="str">
        <f>IF(AND('5-Year P&amp;L'!F24&gt;=0,'5-Year P&amp;L'!E24&lt;0),"✓ Break-even","")</f>
        <v>0</v>
      </c>
      <c r="G21" s="58" t="str">
        <f>IF(AND('5-Year P&amp;L'!G24&gt;=0,'5-Year P&amp;L'!F24&lt;0),"✓ Break-even","")</f>
        <v>0</v>
      </c>
      <c r="H21" s="53" t="s">
        <v>114</v>
      </c>
    </row>
    <row r="22" spans="2:8" x14ac:dyDescent="0.25">
      <c r="B22" s="31" t="s">
        <v>202</v>
      </c>
      <c r="C22" s="59">
        <v>-2</v>
      </c>
      <c r="D22" s="59">
        <v>-2</v>
      </c>
      <c r="E22" s="59">
        <v>-1</v>
      </c>
      <c r="F22" s="59">
        <v>-2</v>
      </c>
      <c r="G22" s="59">
        <v>-4</v>
      </c>
      <c r="H22" s="53" t="s">
        <v>203</v>
      </c>
    </row>
    <row r="23" spans="2:8" x14ac:dyDescent="0.25">
      <c r="B23" s="31" t="s">
        <v>204</v>
      </c>
      <c r="C23" s="59">
        <v>0</v>
      </c>
      <c r="D23" s="59">
        <v>0</v>
      </c>
      <c r="E23" s="59">
        <v>0</v>
      </c>
      <c r="F23" s="59">
        <v>0</v>
      </c>
      <c r="G23" s="59">
        <v>0</v>
      </c>
      <c r="H23" s="53" t="s">
        <v>205</v>
      </c>
    </row>
    <row r="25" ht="24" customHeight="1" spans="2:8" x14ac:dyDescent="0.25">
      <c r="B25" s="48" t="s">
        <v>206</v>
      </c>
      <c r="C25" s="48" t="s">
        <v>207</v>
      </c>
      <c r="D25" s="48" t="s">
        <v>208</v>
      </c>
      <c r="E25" s="48"/>
      <c r="F25" s="48" t="s">
        <v>209</v>
      </c>
      <c r="G25" s="48"/>
      <c r="H25" s="48"/>
    </row>
    <row r="26" ht="45" customHeight="1" spans="2:8" x14ac:dyDescent="0.25">
      <c r="B26" s="60" t="s">
        <v>210</v>
      </c>
      <c r="C26" s="61" t="s">
        <v>211</v>
      </c>
      <c r="D26" s="62" t="s">
        <v>212</v>
      </c>
      <c r="E26" s="62"/>
      <c r="F26" s="63" t="s">
        <v>213</v>
      </c>
      <c r="G26" s="63"/>
      <c r="H26" s="63"/>
    </row>
    <row r="27" ht="45" customHeight="1" spans="2:8" x14ac:dyDescent="0.25">
      <c r="B27" s="60" t="s">
        <v>214</v>
      </c>
      <c r="C27" s="61" t="s">
        <v>211</v>
      </c>
      <c r="D27" s="62" t="s">
        <v>215</v>
      </c>
      <c r="E27" s="62"/>
      <c r="F27" s="63" t="s">
        <v>216</v>
      </c>
      <c r="G27" s="63"/>
      <c r="H27" s="63"/>
    </row>
    <row r="28" ht="45" customHeight="1" spans="2:8" x14ac:dyDescent="0.25">
      <c r="B28" s="60" t="s">
        <v>217</v>
      </c>
      <c r="C28" s="64" t="s">
        <v>218</v>
      </c>
      <c r="D28" s="62" t="s">
        <v>219</v>
      </c>
      <c r="E28" s="62"/>
      <c r="F28" s="63" t="s">
        <v>220</v>
      </c>
      <c r="G28" s="63"/>
      <c r="H28" s="63"/>
    </row>
    <row r="29" ht="45" customHeight="1" spans="2:8" x14ac:dyDescent="0.25">
      <c r="B29" s="60" t="s">
        <v>221</v>
      </c>
      <c r="C29" s="64" t="s">
        <v>218</v>
      </c>
      <c r="D29" s="62" t="s">
        <v>222</v>
      </c>
      <c r="E29" s="62"/>
      <c r="F29" s="63" t="s">
        <v>223</v>
      </c>
      <c r="G29" s="63"/>
      <c r="H29" s="63"/>
    </row>
    <row r="30" ht="45" customHeight="1" spans="2:8" x14ac:dyDescent="0.25">
      <c r="B30" s="60" t="s">
        <v>224</v>
      </c>
      <c r="C30" s="61" t="s">
        <v>211</v>
      </c>
      <c r="D30" s="62" t="s">
        <v>225</v>
      </c>
      <c r="E30" s="62"/>
      <c r="F30" s="63" t="s">
        <v>226</v>
      </c>
      <c r="G30" s="63"/>
      <c r="H30" s="63"/>
    </row>
    <row r="31" ht="45" customHeight="1" spans="2:8" x14ac:dyDescent="0.25">
      <c r="B31" s="60" t="s">
        <v>227</v>
      </c>
      <c r="C31" s="64" t="s">
        <v>218</v>
      </c>
      <c r="D31" s="62" t="s">
        <v>228</v>
      </c>
      <c r="E31" s="62"/>
      <c r="F31" s="63" t="s">
        <v>229</v>
      </c>
      <c r="G31" s="63"/>
      <c r="H31" s="63"/>
    </row>
    <row r="32" ht="45" customHeight="1" spans="2:8" x14ac:dyDescent="0.25">
      <c r="B32" s="60" t="s">
        <v>230</v>
      </c>
      <c r="C32" s="61" t="s">
        <v>211</v>
      </c>
      <c r="D32" s="62" t="s">
        <v>231</v>
      </c>
      <c r="E32" s="62"/>
      <c r="F32" s="63" t="s">
        <v>232</v>
      </c>
      <c r="G32" s="63"/>
      <c r="H32" s="63"/>
    </row>
    <row r="34" spans="2:6" x14ac:dyDescent="0.25">
      <c r="B34" s="60" t="s">
        <v>39</v>
      </c>
      <c r="C34" s="31" t="s">
        <v>233</v>
      </c>
      <c r="D34" s="31"/>
      <c r="E34" s="31"/>
      <c r="F34" s="31"/>
    </row>
    <row r="36" spans="2:8" x14ac:dyDescent="0.25">
      <c r="B36" s="65" t="s">
        <v>234</v>
      </c>
      <c r="C36" s="65"/>
      <c r="D36" s="65"/>
      <c r="E36" s="65"/>
      <c r="F36" s="65"/>
      <c r="G36" s="65"/>
      <c r="H36" s="65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