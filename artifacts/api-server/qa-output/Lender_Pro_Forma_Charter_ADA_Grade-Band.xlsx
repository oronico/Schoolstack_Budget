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<sst xmlns="http://schemas.openxmlformats.org/spreadsheetml/2006/main" count="160" uniqueCount="134">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</sst>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b/>
      <color rgb="FF374151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5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5" fontId="13" fillId="5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10350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f>Assumptions!D12*Assumptions!D22</f>
        <v>1242000</v>
      </c>
      <c r="D7" s="21">
        <f>Assumptions!D13*Assumptions!D22*(1+Assumptions!D23)^1</f>
        <v>2111400</v>
      </c>
      <c r="E7" s="21">
        <f>Assumptions!D14*Assumptions!D22*(1+Assumptions!D23)^2</f>
        <v>3230442</v>
      </c>
      <c r="F7" s="21">
        <f>Assumptions!D15*Assumptions!D22*(1+Assumptions!D23)^3</f>
        <v>4393401.12</v>
      </c>
      <c r="G7" s="21">
        <f>Assumptions!D16*Assumptions!D22*(1+Assumptions!D23)^4</f>
        <v>5601586.428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1465000</v>
      </c>
      <c r="D10" s="23">
        <f>D6+D7+D8+D9</f>
        <v>2368800</v>
      </c>
      <c r="E10" s="23">
        <f>E6+E7+E8+E9</f>
        <v>3532750</v>
      </c>
      <c r="F10" s="23">
        <f>F6+F7+F8+F9</f>
        <v>4743237.44</v>
      </c>
      <c r="G10" s="23">
        <f>G6+G7+G8+G9</f>
        <v>6001688.19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1242000</v>
      </c>
      <c r="D7" s="21">
        <f>Drivers!D7</f>
        <v>2111400</v>
      </c>
      <c r="E7" s="21">
        <f>Drivers!E7</f>
        <v>3230442</v>
      </c>
      <c r="F7" s="21">
        <f>Drivers!F7</f>
        <v>4393401.12</v>
      </c>
      <c r="G7" s="21">
        <f>Drivers!G7</f>
        <v>5601586.428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1465000</v>
      </c>
      <c r="D10" s="23">
        <f>Drivers!D10</f>
        <v>2368800</v>
      </c>
      <c r="E10" s="23">
        <f>Drivers!E10</f>
        <v>3532750</v>
      </c>
      <c r="F10" s="23">
        <f>Drivers!F10</f>
        <v>4743237.44</v>
      </c>
      <c r="G10" s="23">
        <f>Drivers!G10</f>
        <v>6001688.19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-124486.28571429</v>
      </c>
      <c r="D16" s="25">
        <f>D10-D15</f>
        <v>154155.80352381</v>
      </c>
      <c r="E16" s="25">
        <f>E10-E15</f>
        <v>295396.80967446</v>
      </c>
      <c r="F16" s="25">
        <f>F10-F15</f>
        <v>40526.05221891</v>
      </c>
      <c r="G16" s="24">
        <f>G10-G15</f>
        <v>-1148848.70021206</v>
      </c>
    </row>
    <row r="17" spans="2:7" x14ac:dyDescent="0.25">
      <c r="B17" s="19" t="s">
        <v>111</v>
      </c>
      <c r="C17" s="26">
        <f>IF(C10&gt;0,C16/C10,0)</f>
        <v>-0.08497357</v>
      </c>
      <c r="D17" s="26">
        <f>IF(D10&gt;0,D16/D10,0)</f>
        <v>0.06507759</v>
      </c>
      <c r="E17" s="26">
        <f>IF(E10&gt;0,E16/E10,0)</f>
        <v>0.08361668</v>
      </c>
      <c r="F17" s="26">
        <f>IF(F10&gt;0,F16/F10,0)</f>
        <v>0.00854396</v>
      </c>
      <c r="G17" s="26">
        <f>IF(G10&gt;0,G16/G10,0)</f>
        <v>-0.19142092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-124486.28571429</v>
      </c>
      <c r="D4" s="21">
        <f>'5-Year P&amp;L'!D16</f>
        <v>154155.80352381</v>
      </c>
      <c r="E4" s="21">
        <f>'5-Year P&amp;L'!E16</f>
        <v>295396.80967446</v>
      </c>
      <c r="F4" s="21">
        <f>'5-Year P&amp;L'!F16</f>
        <v>40526.05221891</v>
      </c>
      <c r="G4" s="21">
        <f>'5-Year P&amp;L'!G16</f>
        <v>-1148848.70021206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-1.16747545</v>
      </c>
      <c r="D10" s="28">
        <f>IF(D8&gt;0,D4/D8,IF(D4&gt;0,99.9,0))</f>
        <v>1.44572646</v>
      </c>
      <c r="E10" s="28">
        <f>IF(E8&gt;0,E4/E8,IF(E4&gt;0,99.9,0))</f>
        <v>2.77033347</v>
      </c>
      <c r="F10" s="27">
        <f>IF(F8&gt;0,F4/F8,IF(F4&gt;0,99.9,0))</f>
        <v>0.38006734</v>
      </c>
      <c r="G10" s="27">
        <f>IF(G8&gt;0,G4/G8,IF(G4&gt;0,99.9,0))</f>
        <v>-10.77430055</v>
      </c>
    </row>
    <row r="12" spans="2:7" x14ac:dyDescent="0.25">
      <c r="B12" s="19" t="s">
        <v>118</v>
      </c>
      <c r="C12" s="21">
        <f>C4-C8</f>
        <v>-231114.89652978</v>
      </c>
      <c r="D12" s="21">
        <f>D4-D8</f>
        <v>47527.19270832</v>
      </c>
      <c r="E12" s="21">
        <f>E4-E8</f>
        <v>188768.19885897</v>
      </c>
      <c r="F12" s="21">
        <f>F4-F8</f>
        <v>-66102.55859658</v>
      </c>
      <c r="G12" s="21">
        <f>G4-G8</f>
        <v>-1255477.31102756</v>
      </c>
    </row>
    <row r="14" spans="2:7" x14ac:dyDescent="0.25">
      <c r="B14" s="22" t="s">
        <v>119</v>
      </c>
      <c r="C14" s="29">
        <f>Assumptions!D57+C12</f>
        <v>-231114.89652978</v>
      </c>
      <c r="D14" s="29">
        <f>C14+D12</f>
        <v>-183587.70382146</v>
      </c>
      <c r="E14" s="30">
        <f>D14+E12</f>
        <v>5180.49503751</v>
      </c>
      <c r="F14" s="29">
        <f>E14+F12</f>
        <v>-60922.06355908</v>
      </c>
      <c r="G14" s="29">
        <f>F14+G12</f>
        <v>-1316399.37458663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1">
        <f>C4+C5</f>
        <v>15</v>
      </c>
      <c r="D6" s="31">
        <f>D4+D5</f>
        <v>21</v>
      </c>
      <c r="E6" s="31">
        <f>E4+E5</f>
        <v>29</v>
      </c>
      <c r="F6" s="31">
        <f>F4+F5</f>
        <v>36</v>
      </c>
      <c r="G6" s="3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2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-1.16747545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6001688.19</v>
      </c>
    </row>
    <row r="10" spans="2:3" x14ac:dyDescent="0.25">
      <c r="B10" s="19" t="s">
        <v>132</v>
      </c>
      <c r="C10" s="29">
        <f>'5-Year P&amp;L'!G16</f>
        <v>-1148848.70021206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