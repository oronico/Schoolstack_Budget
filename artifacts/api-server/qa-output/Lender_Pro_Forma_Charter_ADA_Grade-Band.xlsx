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<sst xmlns="http://schemas.openxmlformats.org/spreadsheetml/2006/main" count="257" uniqueCount="208">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</sst>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color rgb="FF1E293B"/>
      <sz val="12"/>
      <name val="Calibri"/>
    </font>
    <font>
      <i/>
      <color rgb="FF6B7280"/>
      <sz val="10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4" fillId="0" borderId="0" xfId="0" applyFont="1"/>
    <xf numFmtId="0" fontId="9" fillId="2" borderId="0" xfId="0" applyFont="1" applyFill="1"/>
    <xf numFmtId="0" fontId="10" fillId="0" borderId="0" xfId="0" applyFont="1"/>
    <xf numFmtId="0" fontId="10" fillId="3" borderId="0" xfId="0" applyFont="1" applyFill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9" fillId="2" borderId="2" xfId="0" applyFont="1" applyFill="1" applyBorder="1" applyAlignment="1">
      <alignment horizontal="right"/>
    </xf>
    <xf numFmtId="164" fontId="9" fillId="2" borderId="2" xfId="0" applyNumberFormat="1" applyFont="1" applyFill="1" applyBorder="1" applyAlignment="1">
      <alignment horizontal="right"/>
    </xf>
    <xf numFmtId="165" fontId="9" fillId="2" borderId="2" xfId="0" applyNumberFormat="1" applyFont="1" applyFill="1" applyBorder="1" applyAlignment="1">
      <alignment horizontal="right"/>
    </xf>
    <xf numFmtId="166" fontId="9" fillId="2" borderId="2" xfId="0" applyNumberFormat="1" applyFont="1" applyFill="1" applyBorder="1" applyAlignment="1">
      <alignment horizontal="right"/>
    </xf>
    <xf numFmtId="10" fontId="9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9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10" fillId="0" borderId="3" xfId="0" applyFont="1" applyBorder="1"/>
    <xf numFmtId="164" fontId="10" fillId="0" borderId="3" xfId="0" applyNumberFormat="1" applyFont="1" applyBorder="1" applyAlignment="1">
      <alignment horizontal="right"/>
    </xf>
    <xf numFmtId="165" fontId="10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10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10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3" spans="2:2" x14ac:dyDescent="0.25">
      <c r="B3" s="7" t="s">
        <v>2</v>
      </c>
    </row>
    <row r="4" spans="2:2" x14ac:dyDescent="0.25">
      <c r="B4" s="8" t="s">
        <v>11</v>
      </c>
    </row>
    <row r="6" spans="2:2" x14ac:dyDescent="0.25">
      <c r="B6" s="9" t="s">
        <v>14</v>
      </c>
    </row>
    <row r="7" spans="2:2" x14ac:dyDescent="0.25">
      <c r="B7" s="10" t="s">
        <v>15</v>
      </c>
    </row>
    <row r="8" spans="2:2" x14ac:dyDescent="0.25">
      <c r="B8" s="11" t="s">
        <v>16</v>
      </c>
    </row>
    <row r="9" spans="2:2" x14ac:dyDescent="0.25">
      <c r="B9" s="12" t="s">
        <v>17</v>
      </c>
    </row>
    <row r="10" spans="2:2" x14ac:dyDescent="0.25">
      <c r="B10" s="11" t="s">
        <v>18</v>
      </c>
    </row>
    <row r="11" spans="2:2" x14ac:dyDescent="0.25">
      <c r="B11" s="9" t="s">
        <v>19</v>
      </c>
    </row>
    <row r="12" spans="2:2" x14ac:dyDescent="0.25">
      <c r="B12" s="11" t="s">
        <v>20</v>
      </c>
    </row>
    <row r="13" spans="2:2" x14ac:dyDescent="0.25">
      <c r="B13" s="11" t="s">
        <v>18</v>
      </c>
    </row>
    <row r="14" spans="2:2" x14ac:dyDescent="0.25">
      <c r="B14" s="9" t="s">
        <v>21</v>
      </c>
    </row>
    <row r="15" spans="2:2" x14ac:dyDescent="0.25">
      <c r="B15" s="11" t="s">
        <v>22</v>
      </c>
    </row>
    <row r="16" spans="2:2" x14ac:dyDescent="0.25">
      <c r="B16" s="11" t="s">
        <v>23</v>
      </c>
    </row>
    <row r="17" spans="2:2" x14ac:dyDescent="0.25">
      <c r="B17" s="11" t="s">
        <v>24</v>
      </c>
    </row>
    <row r="18" spans="2:2" x14ac:dyDescent="0.25">
      <c r="B18" s="11" t="s">
        <v>25</v>
      </c>
    </row>
    <row r="19" spans="2:2" x14ac:dyDescent="0.25">
      <c r="B19" s="11" t="s">
        <v>18</v>
      </c>
    </row>
    <row r="20" spans="2:2" x14ac:dyDescent="0.25">
      <c r="B20" s="9" t="s">
        <v>26</v>
      </c>
    </row>
    <row r="21" spans="2:2" x14ac:dyDescent="0.25">
      <c r="B21" s="11" t="s">
        <v>27</v>
      </c>
    </row>
    <row r="22" spans="2:2" x14ac:dyDescent="0.25">
      <c r="B22" s="11" t="s">
        <v>28</v>
      </c>
    </row>
    <row r="23" spans="2:2" x14ac:dyDescent="0.25">
      <c r="B23" s="11" t="s">
        <v>29</v>
      </c>
    </row>
    <row r="24" spans="2:2" x14ac:dyDescent="0.25">
      <c r="B24" s="11" t="s">
        <v>18</v>
      </c>
    </row>
    <row r="25" spans="2:2" x14ac:dyDescent="0.25">
      <c r="B25" s="9" t="s">
        <v>30</v>
      </c>
    </row>
    <row r="26" spans="2:2" x14ac:dyDescent="0.25">
      <c r="B26" s="11" t="s">
        <v>31</v>
      </c>
    </row>
    <row r="27" spans="2:2" x14ac:dyDescent="0.25">
      <c r="B27" s="11" t="s">
        <v>32</v>
      </c>
    </row>
    <row r="28" spans="2:2" x14ac:dyDescent="0.25">
      <c r="B28" s="11" t="s">
        <v>18</v>
      </c>
    </row>
    <row r="29" spans="2:2" x14ac:dyDescent="0.25">
      <c r="B29" s="9" t="s">
        <v>33</v>
      </c>
    </row>
    <row r="30" spans="2:2" x14ac:dyDescent="0.25">
      <c r="B30" s="11" t="s">
        <v>34</v>
      </c>
    </row>
    <row r="31" spans="2:2" x14ac:dyDescent="0.25">
      <c r="B31" s="11" t="s">
        <v>35</v>
      </c>
    </row>
    <row r="32" spans="2:2" x14ac:dyDescent="0.25">
      <c r="B32" s="11" t="s">
        <v>36</v>
      </c>
    </row>
    <row r="33" spans="2:2" x14ac:dyDescent="0.25">
      <c r="B33" s="11" t="s">
        <v>37</v>
      </c>
    </row>
    <row r="34" spans="2:2" x14ac:dyDescent="0.25">
      <c r="B34" s="11" t="s">
        <v>18</v>
      </c>
    </row>
    <row r="35" spans="2:2" x14ac:dyDescent="0.25">
      <c r="B35" s="9" t="s">
        <v>38</v>
      </c>
    </row>
    <row r="36" spans="2:2" x14ac:dyDescent="0.25">
      <c r="B36" s="11" t="s">
        <v>39</v>
      </c>
    </row>
    <row r="37" spans="2:2" x14ac:dyDescent="0.25">
      <c r="B37" s="11" t="s">
        <v>40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18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2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400</v>
      </c>
    </row>
    <row r="16" spans="3:4" x14ac:dyDescent="0.25">
      <c r="C16" s="17" t="s">
        <v>55</v>
      </c>
      <c r="D16" s="19">
        <v>500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0</v>
      </c>
    </row>
    <row r="23" spans="3:4" x14ac:dyDescent="0.25">
      <c r="C23" s="17" t="s">
        <v>60</v>
      </c>
      <c r="D23" s="21">
        <v>0</v>
      </c>
    </row>
    <row r="24" spans="3:4" x14ac:dyDescent="0.25">
      <c r="C24" s="17" t="s">
        <v>61</v>
      </c>
      <c r="D24" s="20">
        <v>400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13</v>
      </c>
    </row>
    <row r="33" spans="3:4" x14ac:dyDescent="0.25">
      <c r="C33" s="17" t="s">
        <v>68</v>
      </c>
      <c r="D33" s="20">
        <v>43667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5</v>
      </c>
    </row>
    <row r="36" spans="3:4" x14ac:dyDescent="0.25">
      <c r="C36" s="17" t="s">
        <v>71</v>
      </c>
      <c r="D36" s="19">
        <v>5</v>
      </c>
    </row>
    <row r="37" spans="3:4" x14ac:dyDescent="0.25">
      <c r="C37" s="17" t="s">
        <v>72</v>
      </c>
      <c r="D37" s="19">
        <v>5</v>
      </c>
    </row>
    <row r="38" spans="3:4" x14ac:dyDescent="0.25">
      <c r="C38" s="17" t="s">
        <v>73</v>
      </c>
      <c r="D38" s="19">
        <v>5</v>
      </c>
    </row>
    <row r="39" spans="3:4" x14ac:dyDescent="0.25">
      <c r="C39" s="17" t="s">
        <v>74</v>
      </c>
      <c r="D39" s="19">
        <v>5</v>
      </c>
    </row>
    <row r="40" spans="3:4" x14ac:dyDescent="0.25">
      <c r="C40" s="17" t="s">
        <v>75</v>
      </c>
      <c r="D40" s="20">
        <v>71250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0.24285714285714285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322000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650</v>
      </c>
    </row>
    <row r="51" spans="3:4" x14ac:dyDescent="0.25">
      <c r="C51" s="17" t="s">
        <v>84</v>
      </c>
      <c r="D51" s="21">
        <v>0.717948717948718</v>
      </c>
    </row>
    <row r="52" spans="3:4" x14ac:dyDescent="0.25">
      <c r="C52" s="17" t="s">
        <v>85</v>
      </c>
      <c r="D52" s="20">
        <v>204000</v>
      </c>
    </row>
    <row r="53" spans="3:4" x14ac:dyDescent="0.25">
      <c r="C53" s="17" t="s">
        <v>86</v>
      </c>
      <c r="D53" s="21">
        <v>0.515686274509804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60000</v>
      </c>
    </row>
    <row r="59" spans="3:4" x14ac:dyDescent="0.25">
      <c r="C59" s="17" t="s">
        <v>90</v>
      </c>
      <c r="D59" s="20">
        <v>350000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10</v>
      </c>
    </row>
    <row r="64" ht="24" customHeight="1" spans="2:4" x14ac:dyDescent="0.25">
      <c r="B64" s="16" t="s">
        <v>93</v>
      </c>
      <c r="C64" s="16"/>
      <c r="D64" s="16"/>
    </row>
    <row r="66" spans="3:4" x14ac:dyDescent="0.25">
      <c r="C66" s="17" t="s">
        <v>94</v>
      </c>
      <c r="D66" s="18" t="s">
        <v>95</v>
      </c>
    </row>
    <row r="67" spans="3:4" x14ac:dyDescent="0.25">
      <c r="C67" s="17" t="s">
        <v>96</v>
      </c>
      <c r="D67" s="18" t="s">
        <v>97</v>
      </c>
    </row>
    <row r="68" spans="3:4" x14ac:dyDescent="0.25">
      <c r="C68" s="17" t="s">
        <v>98</v>
      </c>
      <c r="D68" s="19">
        <v>0</v>
      </c>
    </row>
    <row r="69" spans="3:4" x14ac:dyDescent="0.25">
      <c r="C69" s="17" t="s">
        <v>99</v>
      </c>
      <c r="D69" s="19">
        <v>0</v>
      </c>
    </row>
    <row r="70" spans="3:4" x14ac:dyDescent="0.25">
      <c r="C70" s="17" t="s">
        <v>100</v>
      </c>
      <c r="D70" s="22">
        <v>0.95</v>
      </c>
    </row>
    <row r="71" spans="3:4" x14ac:dyDescent="0.25">
      <c r="C71" s="17" t="s">
        <v>101</v>
      </c>
      <c r="D71" s="20">
        <v>8200</v>
      </c>
    </row>
    <row r="72" spans="3:4" x14ac:dyDescent="0.25">
      <c r="C72" s="17" t="s">
        <v>102</v>
      </c>
      <c r="D72" s="20">
        <v>9100</v>
      </c>
    </row>
    <row r="73" spans="3:4" x14ac:dyDescent="0.25">
      <c r="C73" s="17" t="s">
        <v>103</v>
      </c>
      <c r="D73" s="20">
        <v>10500</v>
      </c>
    </row>
    <row r="75" spans="3:4" x14ac:dyDescent="0.25">
      <c r="C75" s="23" t="s">
        <v>104</v>
      </c>
      <c r="D75" s="23"/>
    </row>
    <row r="76" spans="3:4" x14ac:dyDescent="0.25">
      <c r="C76" s="17" t="s">
        <v>105</v>
      </c>
      <c r="D76" s="24" t="s">
        <v>106</v>
      </c>
    </row>
    <row r="77" spans="3:4" x14ac:dyDescent="0.25">
      <c r="C77" s="17" t="s">
        <v>107</v>
      </c>
      <c r="D77" s="24" t="s">
        <v>108</v>
      </c>
    </row>
    <row r="78" spans="3:4" x14ac:dyDescent="0.25">
      <c r="C78" s="17" t="s">
        <v>109</v>
      </c>
      <c r="D78" s="24" t="s">
        <v>110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117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118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119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120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121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122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123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124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125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126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127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128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129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130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131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132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133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134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5" spans="2:7" x14ac:dyDescent="0.25">
      <c r="B5" s="27" t="s">
        <v>117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118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135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136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122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123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137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133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138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139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140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142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143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144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145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146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147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148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149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150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151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152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153</v>
      </c>
      <c r="C1" s="13"/>
    </row>
    <row r="3" spans="2:3" x14ac:dyDescent="0.25">
      <c r="B3" s="27" t="s">
        <v>154</v>
      </c>
      <c r="C3" s="29">
        <f>Assumptions!D59</f>
        <v>350000</v>
      </c>
    </row>
    <row r="4" spans="2:3" x14ac:dyDescent="0.25">
      <c r="B4" s="27" t="s">
        <v>155</v>
      </c>
      <c r="C4" s="34">
        <f>Assumptions!D60</f>
        <v>0.06</v>
      </c>
    </row>
    <row r="5" spans="2:3" x14ac:dyDescent="0.25">
      <c r="B5" s="27" t="s">
        <v>92</v>
      </c>
      <c r="C5" s="28">
        <f>Assumptions!D61</f>
        <v>10</v>
      </c>
    </row>
    <row r="6" spans="2:3" x14ac:dyDescent="0.25">
      <c r="B6" s="27" t="s">
        <v>156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157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158</v>
      </c>
      <c r="C1" s="13"/>
    </row>
    <row r="3" spans="2:3" x14ac:dyDescent="0.25">
      <c r="B3" s="27" t="s">
        <v>44</v>
      </c>
      <c r="C3" s="27" t="str">
        <f>Assumptions!D5</f>
        <v>Heritage Academy Charter</v>
      </c>
    </row>
    <row r="4" spans="2:3" x14ac:dyDescent="0.25">
      <c r="B4" s="27" t="s">
        <v>47</v>
      </c>
      <c r="C4" s="27" t="str">
        <f>Assumptions!D7</f>
        <v>Charter School</v>
      </c>
    </row>
    <row r="5" spans="2:3" x14ac:dyDescent="0.25">
      <c r="B5" s="27" t="s">
        <v>45</v>
      </c>
      <c r="C5" s="27" t="str">
        <f>Assumptions!D6</f>
        <v>AZ</v>
      </c>
    </row>
    <row r="6" spans="2:3" x14ac:dyDescent="0.25">
      <c r="B6" s="27" t="s">
        <v>159</v>
      </c>
      <c r="C6" s="27">
        <f>Assumptions!D8</f>
        <v>2026</v>
      </c>
    </row>
    <row r="8" spans="2:3" x14ac:dyDescent="0.25">
      <c r="B8" s="27" t="s">
        <v>55</v>
      </c>
      <c r="C8" s="28">
        <f>Assumptions!D16</f>
        <v>500</v>
      </c>
    </row>
    <row r="9" spans="2:3" x14ac:dyDescent="0.25">
      <c r="B9" s="27" t="s">
        <v>160</v>
      </c>
      <c r="C9" s="29">
        <f>Drivers!G10</f>
        <v>5634801.762</v>
      </c>
    </row>
    <row r="10" spans="2:3" x14ac:dyDescent="0.25">
      <c r="B10" s="27" t="s">
        <v>161</v>
      </c>
      <c r="C10" s="37">
        <f>'5-Year P&amp;L'!G16</f>
        <v>-1515735.12821206</v>
      </c>
    </row>
    <row r="12" spans="2:3" x14ac:dyDescent="0.25">
      <c r="B12" s="6" t="s">
        <v>162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163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40" t="s">
        <v>164</v>
      </c>
      <c r="C5" s="41" t="s">
        <v>112</v>
      </c>
      <c r="D5" s="41" t="s">
        <v>113</v>
      </c>
      <c r="E5" s="41" t="s">
        <v>114</v>
      </c>
      <c r="F5" s="41" t="s">
        <v>115</v>
      </c>
      <c r="G5" s="41" t="s">
        <v>116</v>
      </c>
    </row>
    <row r="6" spans="2:7" x14ac:dyDescent="0.25">
      <c r="B6" s="27" t="s">
        <v>117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165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166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167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168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169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170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171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172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173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174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140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175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176</v>
      </c>
      <c r="C19" s="47" t="s">
        <v>114</v>
      </c>
      <c r="D19" s="47"/>
      <c r="E19" s="47"/>
      <c r="F19" s="47"/>
      <c r="G19" s="47"/>
    </row>
    <row r="20" spans="2:7" x14ac:dyDescent="0.25">
      <c r="B20" s="30" t="s">
        <v>177</v>
      </c>
      <c r="C20" s="48" t="s">
        <v>178</v>
      </c>
      <c r="D20" s="48"/>
      <c r="E20" s="48"/>
      <c r="F20" s="48"/>
      <c r="G20" s="48"/>
    </row>
    <row r="22" ht="24" customHeight="1" spans="2:7" x14ac:dyDescent="0.25">
      <c r="B22" s="40" t="s">
        <v>179</v>
      </c>
      <c r="C22" s="40" t="s">
        <v>180</v>
      </c>
      <c r="D22" s="40" t="s">
        <v>181</v>
      </c>
      <c r="E22" s="40"/>
      <c r="F22" s="40" t="s">
        <v>182</v>
      </c>
      <c r="G22" s="40"/>
    </row>
    <row r="23" ht="45" customHeight="1" spans="2:7" x14ac:dyDescent="0.25">
      <c r="B23" s="49" t="s">
        <v>183</v>
      </c>
      <c r="C23" s="50" t="s">
        <v>184</v>
      </c>
      <c r="D23" s="51" t="s">
        <v>185</v>
      </c>
      <c r="E23" s="51"/>
      <c r="F23" s="52" t="s">
        <v>186</v>
      </c>
      <c r="G23" s="52"/>
    </row>
    <row r="24" ht="45" customHeight="1" spans="2:7" x14ac:dyDescent="0.25">
      <c r="B24" s="49" t="s">
        <v>187</v>
      </c>
      <c r="C24" s="50" t="s">
        <v>184</v>
      </c>
      <c r="D24" s="51" t="s">
        <v>188</v>
      </c>
      <c r="E24" s="51"/>
      <c r="F24" s="52" t="s">
        <v>189</v>
      </c>
      <c r="G24" s="52"/>
    </row>
    <row r="25" ht="45" customHeight="1" spans="2:7" x14ac:dyDescent="0.25">
      <c r="B25" s="49" t="s">
        <v>190</v>
      </c>
      <c r="C25" s="53" t="s">
        <v>191</v>
      </c>
      <c r="D25" s="51" t="s">
        <v>192</v>
      </c>
      <c r="E25" s="51"/>
      <c r="F25" s="52" t="s">
        <v>193</v>
      </c>
      <c r="G25" s="52"/>
    </row>
    <row r="26" ht="45" customHeight="1" spans="2:7" x14ac:dyDescent="0.25">
      <c r="B26" s="49" t="s">
        <v>194</v>
      </c>
      <c r="C26" s="50" t="s">
        <v>184</v>
      </c>
      <c r="D26" s="51" t="s">
        <v>195</v>
      </c>
      <c r="E26" s="51"/>
      <c r="F26" s="52" t="s">
        <v>196</v>
      </c>
      <c r="G26" s="52"/>
    </row>
    <row r="27" ht="45" customHeight="1" spans="2:7" x14ac:dyDescent="0.25">
      <c r="B27" s="49" t="s">
        <v>197</v>
      </c>
      <c r="C27" s="50" t="s">
        <v>184</v>
      </c>
      <c r="D27" s="51" t="s">
        <v>198</v>
      </c>
      <c r="E27" s="51"/>
      <c r="F27" s="52" t="s">
        <v>199</v>
      </c>
      <c r="G27" s="52"/>
    </row>
    <row r="28" ht="45" customHeight="1" spans="2:7" x14ac:dyDescent="0.25">
      <c r="B28" s="49" t="s">
        <v>200</v>
      </c>
      <c r="C28" s="53" t="s">
        <v>191</v>
      </c>
      <c r="D28" s="51" t="s">
        <v>201</v>
      </c>
      <c r="E28" s="51"/>
      <c r="F28" s="52" t="s">
        <v>202</v>
      </c>
      <c r="G28" s="52"/>
    </row>
    <row r="29" ht="45" customHeight="1" spans="2:7" x14ac:dyDescent="0.25">
      <c r="B29" s="49" t="s">
        <v>203</v>
      </c>
      <c r="C29" s="50" t="s">
        <v>184</v>
      </c>
      <c r="D29" s="51" t="s">
        <v>204</v>
      </c>
      <c r="E29" s="51"/>
      <c r="F29" s="52" t="s">
        <v>205</v>
      </c>
      <c r="G29" s="52"/>
    </row>
    <row r="31" spans="2:5" x14ac:dyDescent="0.25">
      <c r="B31" s="49" t="s">
        <v>10</v>
      </c>
      <c r="C31" s="30" t="s">
        <v>206</v>
      </c>
      <c r="D31" s="30"/>
      <c r="E31" s="30"/>
    </row>
    <row r="33" spans="2:7" x14ac:dyDescent="0.25">
      <c r="B33" s="54" t="s">
        <v>207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