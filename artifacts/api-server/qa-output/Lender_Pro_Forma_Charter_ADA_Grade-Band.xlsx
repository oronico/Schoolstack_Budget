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<sst xmlns="http://schemas.openxmlformats.org/spreadsheetml/2006/main" count="160" uniqueCount="134">
  <si>
    <t>SCHOOLSTACK BUDGET</t>
  </si>
  <si>
    <t>Lender-Ready Pro Forma</t>
  </si>
  <si>
    <t>Heritage Academy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</si>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</sst>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4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b/>
      <color rgb="FF374151"/>
      <sz val="11"/>
      <name val="Calibri"/>
    </font>
    <font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10" fontId="10" fillId="3" borderId="2" xfId="0" applyNumberFormat="1" applyFont="1" applyFill="1" applyBorder="1" applyAlignment="1">
      <alignment horizontal="right"/>
    </xf>
    <xf numFmtId="0" fontId="11" fillId="0" borderId="0" xfId="0" applyFont="1"/>
    <xf numFmtId="0" fontId="10" fillId="3" borderId="2" xfId="0" applyFont="1" applyFill="1" applyBorder="1"/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2" fillId="0" borderId="3" xfId="0" applyFont="1" applyBorder="1"/>
    <xf numFmtId="164" fontId="12" fillId="0" borderId="3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0" fontId="13" fillId="0" borderId="3" xfId="0" applyFont="1" applyBorder="1"/>
    <xf numFmtId="165" fontId="13" fillId="0" borderId="4" xfId="0" applyNumberFormat="1" applyFont="1" applyBorder="1" applyAlignment="1">
      <alignment horizontal="right"/>
    </xf>
    <xf numFmtId="165" fontId="13" fillId="4" borderId="4" xfId="0" applyNumberFormat="1" applyFont="1" applyFill="1" applyBorder="1" applyAlignment="1">
      <alignment horizontal="right"/>
    </xf>
    <xf numFmtId="165" fontId="13" fillId="5" borderId="4" xfId="0" applyNumberFormat="1" applyFont="1" applyFill="1" applyBorder="1" applyAlignment="1">
      <alignment horizontal="right"/>
    </xf>
    <xf numFmtId="166" fontId="12" fillId="0" borderId="3" xfId="0" applyNumberFormat="1" applyFont="1" applyBorder="1" applyAlignment="1">
      <alignment horizontal="right"/>
    </xf>
    <xf numFmtId="167" fontId="13" fillId="4" borderId="3" xfId="0" applyNumberFormat="1" applyFont="1" applyFill="1" applyBorder="1" applyAlignment="1">
      <alignment horizontal="right"/>
    </xf>
    <xf numFmtId="167" fontId="13" fillId="6" borderId="3" xfId="0" applyNumberFormat="1" applyFont="1" applyFill="1" applyBorder="1" applyAlignment="1">
      <alignment horizontal="right"/>
    </xf>
    <xf numFmtId="165" fontId="13" fillId="4" borderId="3" xfId="0" applyNumberFormat="1" applyFont="1" applyFill="1" applyBorder="1" applyAlignment="1">
      <alignment horizontal="right"/>
    </xf>
    <xf numFmtId="164" fontId="13" fillId="0" borderId="4" xfId="0" applyNumberFormat="1" applyFont="1" applyBorder="1" applyAlignment="1">
      <alignment horizontal="right"/>
    </xf>
    <xf numFmtId="165" fontId="13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400</v>
      </c>
    </row>
    <row r="16" spans="3:4" x14ac:dyDescent="0.25">
      <c r="C16" s="9" t="s">
        <v>26</v>
      </c>
      <c r="D16" s="11">
        <v>500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0</v>
      </c>
    </row>
    <row r="23" spans="3:4" x14ac:dyDescent="0.25">
      <c r="C23" s="9" t="s">
        <v>31</v>
      </c>
      <c r="D23" s="13">
        <v>0</v>
      </c>
    </row>
    <row r="24" spans="3:4" x14ac:dyDescent="0.25">
      <c r="C24" s="9" t="s">
        <v>32</v>
      </c>
      <c r="D24" s="12">
        <v>400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13</v>
      </c>
    </row>
    <row r="33" spans="3:4" x14ac:dyDescent="0.25">
      <c r="C33" s="9" t="s">
        <v>39</v>
      </c>
      <c r="D33" s="12">
        <v>43667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5</v>
      </c>
    </row>
    <row r="36" spans="3:4" x14ac:dyDescent="0.25">
      <c r="C36" s="9" t="s">
        <v>42</v>
      </c>
      <c r="D36" s="11">
        <v>5</v>
      </c>
    </row>
    <row r="37" spans="3:4" x14ac:dyDescent="0.25">
      <c r="C37" s="9" t="s">
        <v>43</v>
      </c>
      <c r="D37" s="11">
        <v>5</v>
      </c>
    </row>
    <row r="38" spans="3:4" x14ac:dyDescent="0.25">
      <c r="C38" s="9" t="s">
        <v>44</v>
      </c>
      <c r="D38" s="11">
        <v>5</v>
      </c>
    </row>
    <row r="39" spans="3:4" x14ac:dyDescent="0.25">
      <c r="C39" s="9" t="s">
        <v>45</v>
      </c>
      <c r="D39" s="11">
        <v>5</v>
      </c>
    </row>
    <row r="40" spans="3:4" x14ac:dyDescent="0.25">
      <c r="C40" s="9" t="s">
        <v>46</v>
      </c>
      <c r="D40" s="12">
        <v>71250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0.24285714285714285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322000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650</v>
      </c>
    </row>
    <row r="51" spans="3:4" x14ac:dyDescent="0.25">
      <c r="C51" s="9" t="s">
        <v>55</v>
      </c>
      <c r="D51" s="13">
        <v>0.717948717948718</v>
      </c>
    </row>
    <row r="52" spans="3:4" x14ac:dyDescent="0.25">
      <c r="C52" s="9" t="s">
        <v>56</v>
      </c>
      <c r="D52" s="12">
        <v>204000</v>
      </c>
    </row>
    <row r="53" spans="3:4" x14ac:dyDescent="0.25">
      <c r="C53" s="9" t="s">
        <v>57</v>
      </c>
      <c r="D53" s="13">
        <v>0.515686274509804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60000</v>
      </c>
    </row>
    <row r="59" spans="3:4" x14ac:dyDescent="0.25">
      <c r="C59" s="9" t="s">
        <v>61</v>
      </c>
      <c r="D59" s="12">
        <v>350000</v>
      </c>
    </row>
    <row r="60" spans="3:4" x14ac:dyDescent="0.25">
      <c r="C60" s="9" t="s">
        <v>62</v>
      </c>
      <c r="D60" s="13">
        <v>0.06</v>
      </c>
    </row>
    <row r="61" spans="3:4" x14ac:dyDescent="0.25">
      <c r="C61" s="9" t="s">
        <v>63</v>
      </c>
      <c r="D61" s="11">
        <v>10</v>
      </c>
    </row>
    <row r="64" ht="24" customHeight="1" spans="2:4" x14ac:dyDescent="0.25">
      <c r="B64" s="8" t="s">
        <v>64</v>
      </c>
      <c r="C64" s="8"/>
      <c r="D64" s="8"/>
    </row>
    <row r="66" spans="3:4" x14ac:dyDescent="0.25">
      <c r="C66" s="9" t="s">
        <v>65</v>
      </c>
      <c r="D66" s="10" t="s">
        <v>66</v>
      </c>
    </row>
    <row r="67" spans="3:4" x14ac:dyDescent="0.25">
      <c r="C67" s="9" t="s">
        <v>67</v>
      </c>
      <c r="D67" s="10" t="s">
        <v>68</v>
      </c>
    </row>
    <row r="68" spans="3:4" x14ac:dyDescent="0.25">
      <c r="C68" s="9" t="s">
        <v>69</v>
      </c>
      <c r="D68" s="11">
        <v>0</v>
      </c>
    </row>
    <row r="69" spans="3:4" x14ac:dyDescent="0.25">
      <c r="C69" s="9" t="s">
        <v>70</v>
      </c>
      <c r="D69" s="11">
        <v>0</v>
      </c>
    </row>
    <row r="70" spans="3:4" x14ac:dyDescent="0.25">
      <c r="C70" s="9" t="s">
        <v>71</v>
      </c>
      <c r="D70" s="14">
        <v>0.95</v>
      </c>
    </row>
    <row r="71" spans="3:4" x14ac:dyDescent="0.25">
      <c r="C71" s="9" t="s">
        <v>72</v>
      </c>
      <c r="D71" s="12">
        <v>8200</v>
      </c>
    </row>
    <row r="72" spans="3:4" x14ac:dyDescent="0.25">
      <c r="C72" s="9" t="s">
        <v>73</v>
      </c>
      <c r="D72" s="12">
        <v>9100</v>
      </c>
    </row>
    <row r="73" spans="3:4" x14ac:dyDescent="0.25">
      <c r="C73" s="9" t="s">
        <v>74</v>
      </c>
      <c r="D73" s="12">
        <v>10500</v>
      </c>
    </row>
    <row r="75" spans="3:4" x14ac:dyDescent="0.25">
      <c r="C75" s="15" t="s">
        <v>75</v>
      </c>
      <c r="D75" s="15"/>
    </row>
    <row r="76" spans="3:4" x14ac:dyDescent="0.25">
      <c r="C76" s="9" t="s">
        <v>76</v>
      </c>
      <c r="D76" s="16" t="s">
        <v>77</v>
      </c>
    </row>
    <row r="77" spans="3:4" x14ac:dyDescent="0.25">
      <c r="C77" s="9" t="s">
        <v>78</v>
      </c>
      <c r="D77" s="16" t="s">
        <v>79</v>
      </c>
    </row>
    <row r="78" spans="3:4" x14ac:dyDescent="0.25">
      <c r="C78" s="9" t="s">
        <v>80</v>
      </c>
      <c r="D78" s="16" t="s">
        <v>81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88</v>
      </c>
      <c r="C4" s="20">
        <f>Assumptions!D12</f>
        <v>120</v>
      </c>
      <c r="D4" s="20">
        <f>Assumptions!D13</f>
        <v>200</v>
      </c>
      <c r="E4" s="20">
        <f>Assumptions!D14</f>
        <v>300</v>
      </c>
      <c r="F4" s="20">
        <f>Assumptions!D15</f>
        <v>400</v>
      </c>
      <c r="G4" s="20">
        <f>Assumptions!D16</f>
        <v>500</v>
      </c>
    </row>
    <row r="5" spans="2:7" x14ac:dyDescent="0.25">
      <c r="B5" s="19" t="s">
        <v>89</v>
      </c>
      <c r="C5" s="21" t="str">
        <f>Assumptions!D12*Assumptions!D20</f>
        <v>0</v>
      </c>
      <c r="D5" s="21" t="str">
        <f>Assumptions!D13*Assumptions!D20*(1+Assumptions!D21)^1</f>
        <v>0</v>
      </c>
      <c r="E5" s="21" t="str">
        <f>Assumptions!D14*Assumptions!D20*(1+Assumptions!D21)^2</f>
        <v>0</v>
      </c>
      <c r="F5" s="21" t="str">
        <f>Assumptions!D15*Assumptions!D20*(1+Assumptions!D21)^3</f>
        <v>0</v>
      </c>
      <c r="G5" s="21" t="str">
        <f>Assumptions!D16*Assumptions!D20*(1+Assumptions!D21)^4</f>
        <v>0</v>
      </c>
    </row>
    <row r="6" spans="2:7" x14ac:dyDescent="0.25">
      <c r="B6" s="19" t="s">
        <v>90</v>
      </c>
      <c r="C6" s="21" t="str">
        <f>C5*Assumptions!D26</f>
        <v>0</v>
      </c>
      <c r="D6" s="21" t="str">
        <f>D5*Assumptions!D26</f>
        <v>0</v>
      </c>
      <c r="E6" s="21" t="str">
        <f>E5*Assumptions!D26</f>
        <v>0</v>
      </c>
      <c r="F6" s="21" t="str">
        <f>F5*Assumptions!D26</f>
        <v>0</v>
      </c>
      <c r="G6" s="21" t="str">
        <f>G5*Assumptions!D26</f>
        <v>0</v>
      </c>
    </row>
    <row r="7" spans="2:7" x14ac:dyDescent="0.25">
      <c r="B7" s="19" t="s">
        <v>91</v>
      </c>
      <c r="C7" s="21">
        <v>1191000</v>
      </c>
      <c r="D7" s="21">
        <v>1995250</v>
      </c>
      <c r="E7" s="21">
        <v>3043400</v>
      </c>
      <c r="F7" s="21">
        <v>4113050</v>
      </c>
      <c r="G7" s="21">
        <v>5234700</v>
      </c>
    </row>
    <row r="8" spans="2:7" x14ac:dyDescent="0.25">
      <c r="B8" s="19" t="s">
        <v>92</v>
      </c>
      <c r="C8" s="21">
        <f>Assumptions!D12*Assumptions!D24</f>
        <v>48000</v>
      </c>
      <c r="D8" s="21">
        <f>Assumptions!D13*Assumptions!D24*(1+Assumptions!D25)^1</f>
        <v>82400</v>
      </c>
      <c r="E8" s="21">
        <f>Assumptions!D14*Assumptions!D24*(1+Assumptions!D25)^2</f>
        <v>127308</v>
      </c>
      <c r="F8" s="21">
        <f>Assumptions!D15*Assumptions!D24*(1+Assumptions!D25)^3</f>
        <v>174836.32</v>
      </c>
      <c r="G8" s="21">
        <f>Assumptions!D16*Assumptions!D24*(1+Assumptions!D25)^4</f>
        <v>225101.762</v>
      </c>
    </row>
    <row r="9" spans="2:7" x14ac:dyDescent="0.25">
      <c r="B9" s="19" t="s">
        <v>93</v>
      </c>
      <c r="C9" s="21">
        <f>Assumptions!D27</f>
        <v>175000</v>
      </c>
      <c r="D9" s="21">
        <f>Assumptions!D27*(1+Assumptions!D28)^1</f>
        <v>175000</v>
      </c>
      <c r="E9" s="21">
        <f>Assumptions!D27*(1+Assumptions!D28)^2</f>
        <v>175000</v>
      </c>
      <c r="F9" s="21">
        <f>Assumptions!D27*(1+Assumptions!D28)^3</f>
        <v>175000</v>
      </c>
      <c r="G9" s="21">
        <f>Assumptions!D27*(1+Assumptions!D28)^4</f>
        <v>175000</v>
      </c>
    </row>
    <row r="10" spans="2:7" x14ac:dyDescent="0.25">
      <c r="B10" s="22" t="s">
        <v>94</v>
      </c>
      <c r="C10" s="23">
        <f>C6+C7+C8+C9</f>
        <v>1414000</v>
      </c>
      <c r="D10" s="23">
        <f>D6+D7+D8+D9</f>
        <v>2252650</v>
      </c>
      <c r="E10" s="23">
        <f>E6+E7+E8+E9</f>
        <v>3345708</v>
      </c>
      <c r="F10" s="23">
        <f>F6+F7+F8+F9</f>
        <v>4462886.32</v>
      </c>
      <c r="G10" s="23">
        <f>G6+G7+G8+G9</f>
        <v>5634801.762</v>
      </c>
    </row>
    <row r="12" spans="2:7" x14ac:dyDescent="0.25">
      <c r="B12" s="19" t="s">
        <v>95</v>
      </c>
      <c r="C12" s="20">
        <f>CEILING(Assumptions!D12/Assumptions!D32,1)</f>
        <v>10</v>
      </c>
      <c r="D12" s="20">
        <f>CEILING(Assumptions!D13/Assumptions!D32,1)</f>
        <v>16</v>
      </c>
      <c r="E12" s="20">
        <f>CEILING(Assumptions!D14/Assumptions!D32,1)</f>
        <v>24</v>
      </c>
      <c r="F12" s="20">
        <f>CEILING(Assumptions!D15/Assumptions!D32,1)</f>
        <v>31</v>
      </c>
      <c r="G12" s="20">
        <f>CEILING(Assumptions!D16/Assumptions!D32,1)</f>
        <v>39</v>
      </c>
    </row>
    <row r="13" spans="2:7" x14ac:dyDescent="0.25">
      <c r="B13" s="19" t="s">
        <v>96</v>
      </c>
      <c r="C13" s="21">
        <f>C12*Assumptions!D33</f>
        <v>436670</v>
      </c>
      <c r="D13" s="21">
        <f>D12*Assumptions!D33*(1+Assumptions!D34)^1</f>
        <v>719632.16</v>
      </c>
      <c r="E13" s="21">
        <f>E12*Assumptions!D33*(1+Assumptions!D34)^2</f>
        <v>1111831.6872</v>
      </c>
      <c r="F13" s="21">
        <f>F12*Assumptions!D33*(1+Assumptions!D34)^3</f>
        <v>1479199.407179</v>
      </c>
      <c r="G13" s="21">
        <f>G12*Assumptions!D33*(1+Assumptions!D34)^4</f>
        <v>1916756.13504453</v>
      </c>
    </row>
    <row r="14" spans="2:7" x14ac:dyDescent="0.25">
      <c r="B14" s="19" t="s">
        <v>97</v>
      </c>
      <c r="C14" s="21">
        <f>Assumptions!D35*Assumptions!D40</f>
        <v>356250</v>
      </c>
      <c r="D14" s="21">
        <f>Assumptions!D36*Assumptions!D40*(1+Assumptions!D41)^1</f>
        <v>366937.5</v>
      </c>
      <c r="E14" s="21">
        <f>Assumptions!D37*Assumptions!D40*(1+Assumptions!D41)^2</f>
        <v>377945.625</v>
      </c>
      <c r="F14" s="21">
        <f>Assumptions!D38*Assumptions!D40*(1+Assumptions!D41)^3</f>
        <v>389283.99375</v>
      </c>
      <c r="G14" s="21">
        <f>Assumptions!D39*Assumptions!D40*(1+Assumptions!D41)^4</f>
        <v>400962.5135625</v>
      </c>
    </row>
    <row r="15" spans="2:7" x14ac:dyDescent="0.25">
      <c r="B15" s="19" t="s">
        <v>98</v>
      </c>
      <c r="C15" s="21">
        <f>(C13+C14)*Assumptions!D42</f>
        <v>192566.28571429</v>
      </c>
      <c r="D15" s="21">
        <f>(D13+D14)*Assumptions!D42</f>
        <v>263881.20314286</v>
      </c>
      <c r="E15" s="21">
        <f>(E13+E14)*Assumptions!D42</f>
        <v>361803.06153429</v>
      </c>
      <c r="F15" s="21">
        <f>(F13+F14)*Assumptions!D42</f>
        <v>453774.54022561</v>
      </c>
      <c r="G15" s="21">
        <f>(G13+G14)*Assumptions!D42</f>
        <v>562874.52894742</v>
      </c>
    </row>
    <row r="16" spans="2:7" x14ac:dyDescent="0.25">
      <c r="B16" s="22" t="s">
        <v>99</v>
      </c>
      <c r="C16" s="23">
        <f>C13+C14+C15</f>
        <v>985486.28571429</v>
      </c>
      <c r="D16" s="23">
        <f>D13+D14+D15</f>
        <v>1350450.86314286</v>
      </c>
      <c r="E16" s="23">
        <f>E13+E14+E15</f>
        <v>1851580.37373429</v>
      </c>
      <c r="F16" s="23">
        <f>F13+F14+F15</f>
        <v>2322257.94115461</v>
      </c>
      <c r="G16" s="23">
        <f>G13+G14+G15</f>
        <v>2880593.17755445</v>
      </c>
    </row>
    <row r="18" spans="2:7" x14ac:dyDescent="0.25">
      <c r="B18" s="19" t="s">
        <v>100</v>
      </c>
      <c r="C18" s="21">
        <f>Assumptions!D46</f>
        <v>322000</v>
      </c>
      <c r="D18" s="21">
        <f>Assumptions!D46*(1+Assumptions!D47)^1</f>
        <v>331660</v>
      </c>
      <c r="E18" s="21">
        <f>Assumptions!D46*(1+Assumptions!D47)^2</f>
        <v>341609.8</v>
      </c>
      <c r="F18" s="21">
        <f>Assumptions!D46*(1+Assumptions!D47)^3</f>
        <v>351858.094</v>
      </c>
      <c r="G18" s="21">
        <f>Assumptions!D46*(1+Assumptions!D47)^4</f>
        <v>362413.83682</v>
      </c>
    </row>
    <row r="19" spans="2:7" x14ac:dyDescent="0.25">
      <c r="B19" s="19" t="s">
        <v>101</v>
      </c>
      <c r="C19" s="21" t="str">
        <f>Assumptions!D48</f>
        <v>0</v>
      </c>
      <c r="D19" s="21" t="str">
        <f>Assumptions!D48*(1+Assumptions!D49)^1</f>
        <v>0</v>
      </c>
      <c r="E19" s="21" t="str">
        <f>Assumptions!D48*(1+Assumptions!D49)^2</f>
        <v>0</v>
      </c>
      <c r="F19" s="21" t="str">
        <f>Assumptions!D48*(1+Assumptions!D49)^3</f>
        <v>0</v>
      </c>
      <c r="G19" s="21" t="str">
        <f>Assumptions!D48*(1+Assumptions!D49)^4</f>
        <v>0</v>
      </c>
    </row>
    <row r="20" spans="2:7" x14ac:dyDescent="0.25">
      <c r="B20" s="19" t="s">
        <v>102</v>
      </c>
      <c r="C20" s="21">
        <f>Assumptions!D12*Assumptions!D50</f>
        <v>78000</v>
      </c>
      <c r="D20" s="21">
        <f>Assumptions!D13*Assumptions!D50*(1+Assumptions!D51)^1</f>
        <v>223333.33333333</v>
      </c>
      <c r="E20" s="21">
        <f>Assumptions!D14*Assumptions!D50*(1+Assumptions!D51)^2</f>
        <v>575512.82051282</v>
      </c>
      <c r="F20" s="21">
        <f>Assumptions!D15*Assumptions!D50*(1+Assumptions!D51)^3</f>
        <v>1318268.68288407</v>
      </c>
      <c r="G20" s="21">
        <f>Assumptions!D16*Assumptions!D50*(1+Assumptions!D51)^4</f>
        <v>2830897.49209079</v>
      </c>
    </row>
    <row r="21" spans="2:7" x14ac:dyDescent="0.25">
      <c r="B21" s="19" t="s">
        <v>103</v>
      </c>
      <c r="C21" s="21">
        <f>Assumptions!D52</f>
        <v>204000</v>
      </c>
      <c r="D21" s="21">
        <f>Assumptions!D52*(1+Assumptions!D53)^1</f>
        <v>309200</v>
      </c>
      <c r="E21" s="21">
        <f>Assumptions!D52*(1+Assumptions!D53)^2</f>
        <v>468650.19607843</v>
      </c>
      <c r="F21" s="21">
        <f>Assumptions!D52*(1+Assumptions!D53)^3</f>
        <v>710326.66974241</v>
      </c>
      <c r="G21" s="21">
        <f>Assumptions!D52*(1+Assumptions!D53)^4</f>
        <v>1076632.38374682</v>
      </c>
    </row>
    <row r="22" spans="2:7" x14ac:dyDescent="0.25">
      <c r="B22" s="22" t="s">
        <v>104</v>
      </c>
      <c r="C22" s="23">
        <f>C18+C19+C20+C21</f>
        <v>604000</v>
      </c>
      <c r="D22" s="23">
        <f>D18+D19+D20+D21</f>
        <v>864193.33333333</v>
      </c>
      <c r="E22" s="23">
        <f>E18+E19+E20+E21</f>
        <v>1385772.81659125</v>
      </c>
      <c r="F22" s="23">
        <f>F18+F19+F20+F21</f>
        <v>2380453.44662647</v>
      </c>
      <c r="G22" s="23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105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5" spans="2:7" x14ac:dyDescent="0.25">
      <c r="B5" s="19" t="s">
        <v>88</v>
      </c>
      <c r="C5" s="20">
        <f>Drivers!C4</f>
        <v>120</v>
      </c>
      <c r="D5" s="20">
        <f>Drivers!D4</f>
        <v>200</v>
      </c>
      <c r="E5" s="20">
        <f>Drivers!E4</f>
        <v>300</v>
      </c>
      <c r="F5" s="20">
        <f>Drivers!F4</f>
        <v>400</v>
      </c>
      <c r="G5" s="20">
        <f>Drivers!G4</f>
        <v>500</v>
      </c>
    </row>
    <row r="6" spans="2:7" x14ac:dyDescent="0.25">
      <c r="B6" s="19" t="s">
        <v>89</v>
      </c>
      <c r="C6" s="21" t="str">
        <f>Drivers!C6</f>
        <v>0</v>
      </c>
      <c r="D6" s="21" t="str">
        <f>Drivers!D6</f>
        <v>0</v>
      </c>
      <c r="E6" s="21" t="str">
        <f>Drivers!E6</f>
        <v>0</v>
      </c>
      <c r="F6" s="21" t="str">
        <f>Drivers!F6</f>
        <v>0</v>
      </c>
      <c r="G6" s="21" t="str">
        <f>Drivers!G6</f>
        <v>0</v>
      </c>
    </row>
    <row r="7" spans="2:7" x14ac:dyDescent="0.25">
      <c r="B7" s="19" t="s">
        <v>106</v>
      </c>
      <c r="C7" s="21">
        <f>Drivers!C7</f>
        <v>1191000</v>
      </c>
      <c r="D7" s="21">
        <f>Drivers!D7</f>
        <v>1995250</v>
      </c>
      <c r="E7" s="21">
        <f>Drivers!E7</f>
        <v>3043400</v>
      </c>
      <c r="F7" s="21">
        <f>Drivers!F7</f>
        <v>4113050</v>
      </c>
      <c r="G7" s="21">
        <f>Drivers!G7</f>
        <v>5234700</v>
      </c>
    </row>
    <row r="8" spans="2:7" x14ac:dyDescent="0.25">
      <c r="B8" s="19" t="s">
        <v>107</v>
      </c>
      <c r="C8" s="21">
        <f>Drivers!C8</f>
        <v>48000</v>
      </c>
      <c r="D8" s="21">
        <f>Drivers!D8</f>
        <v>82400</v>
      </c>
      <c r="E8" s="21">
        <f>Drivers!E8</f>
        <v>127308</v>
      </c>
      <c r="F8" s="21">
        <f>Drivers!F8</f>
        <v>174836.32</v>
      </c>
      <c r="G8" s="21">
        <f>Drivers!G8</f>
        <v>225101.762</v>
      </c>
    </row>
    <row r="9" spans="2:7" x14ac:dyDescent="0.25">
      <c r="B9" s="19" t="s">
        <v>93</v>
      </c>
      <c r="C9" s="21">
        <f>Drivers!C9</f>
        <v>175000</v>
      </c>
      <c r="D9" s="21">
        <f>Drivers!D9</f>
        <v>175000</v>
      </c>
      <c r="E9" s="21">
        <f>Drivers!E9</f>
        <v>175000</v>
      </c>
      <c r="F9" s="21">
        <f>Drivers!F9</f>
        <v>175000</v>
      </c>
      <c r="G9" s="21">
        <f>Drivers!G9</f>
        <v>175000</v>
      </c>
    </row>
    <row r="10" spans="2:7" x14ac:dyDescent="0.25">
      <c r="B10" s="22" t="s">
        <v>94</v>
      </c>
      <c r="C10" s="23">
        <f>Drivers!C10</f>
        <v>1414000</v>
      </c>
      <c r="D10" s="23">
        <f>Drivers!D10</f>
        <v>2252650</v>
      </c>
      <c r="E10" s="23">
        <f>Drivers!E10</f>
        <v>3345708</v>
      </c>
      <c r="F10" s="23">
        <f>Drivers!F10</f>
        <v>4462886.32</v>
      </c>
      <c r="G10" s="23">
        <f>Drivers!G10</f>
        <v>5634801.762</v>
      </c>
    </row>
    <row r="12" spans="2:7" x14ac:dyDescent="0.25">
      <c r="B12" s="19" t="s">
        <v>108</v>
      </c>
      <c r="C12" s="21">
        <f>Drivers!C16</f>
        <v>985486.28571429</v>
      </c>
      <c r="D12" s="21">
        <f>Drivers!D16</f>
        <v>1350450.86314286</v>
      </c>
      <c r="E12" s="21">
        <f>Drivers!E16</f>
        <v>1851580.37373429</v>
      </c>
      <c r="F12" s="21">
        <f>Drivers!F16</f>
        <v>2322257.94115461</v>
      </c>
      <c r="G12" s="21">
        <f>Drivers!G16</f>
        <v>2880593.17755445</v>
      </c>
    </row>
    <row r="13" spans="2:7" x14ac:dyDescent="0.25">
      <c r="B13" s="19" t="s">
        <v>104</v>
      </c>
      <c r="C13" s="21">
        <f>Drivers!C22</f>
        <v>604000</v>
      </c>
      <c r="D13" s="21">
        <f>Drivers!D22</f>
        <v>864193.33333333</v>
      </c>
      <c r="E13" s="21">
        <f>Drivers!E22</f>
        <v>1385772.81659125</v>
      </c>
      <c r="F13" s="21">
        <f>Drivers!F22</f>
        <v>2380453.44662647</v>
      </c>
      <c r="G13" s="21">
        <f>Drivers!G22</f>
        <v>4269943.71265761</v>
      </c>
    </row>
    <row r="15" spans="2:7" x14ac:dyDescent="0.25">
      <c r="B15" s="22" t="s">
        <v>109</v>
      </c>
      <c r="C15" s="23">
        <f>C12+C13</f>
        <v>1589486.28571429</v>
      </c>
      <c r="D15" s="23">
        <f>D12+D13</f>
        <v>2214644.19647619</v>
      </c>
      <c r="E15" s="23">
        <f>E12+E13</f>
        <v>3237353.19032554</v>
      </c>
      <c r="F15" s="23">
        <f>F12+F13</f>
        <v>4702711.38778109</v>
      </c>
      <c r="G15" s="23">
        <f>G12+G13</f>
        <v>7150536.89021206</v>
      </c>
    </row>
    <row r="16" spans="2:7" x14ac:dyDescent="0.25">
      <c r="B16" s="22" t="s">
        <v>110</v>
      </c>
      <c r="C16" s="24">
        <f>C10-C15</f>
        <v>-175486.28571429</v>
      </c>
      <c r="D16" s="25">
        <f>D10-D15</f>
        <v>38005.80352381</v>
      </c>
      <c r="E16" s="25">
        <f>E10-E15</f>
        <v>108354.80967446</v>
      </c>
      <c r="F16" s="24">
        <f>F10-F15</f>
        <v>-239825.06778109</v>
      </c>
      <c r="G16" s="24">
        <f>G10-G15</f>
        <v>-1515735.12821206</v>
      </c>
    </row>
    <row r="17" spans="2:7" x14ac:dyDescent="0.25">
      <c r="B17" s="19" t="s">
        <v>111</v>
      </c>
      <c r="C17" s="26">
        <f>IF(C10&gt;0,C16/C10,0)</f>
        <v>-0.12410628</v>
      </c>
      <c r="D17" s="26">
        <f>IF(D10&gt;0,D16/D10,0)</f>
        <v>0.0168716</v>
      </c>
      <c r="E17" s="26">
        <f>IF(E10&gt;0,E16/E10,0)</f>
        <v>0.03238621</v>
      </c>
      <c r="F17" s="26">
        <f>IF(F10&gt;0,F16/F10,0)</f>
        <v>-0.05373766</v>
      </c>
      <c r="G17" s="26">
        <f>IF(G10&gt;0,G16/G10,0)</f>
        <v>-0.26899529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112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113</v>
      </c>
      <c r="C4" s="21">
        <f>'5-Year P&amp;L'!C16</f>
        <v>-175486.28571429</v>
      </c>
      <c r="D4" s="21">
        <f>'5-Year P&amp;L'!D16</f>
        <v>38005.80352381</v>
      </c>
      <c r="E4" s="21">
        <f>'5-Year P&amp;L'!E16</f>
        <v>108354.80967446</v>
      </c>
      <c r="F4" s="21">
        <f>'5-Year P&amp;L'!F16</f>
        <v>-239825.06778109</v>
      </c>
      <c r="G4" s="21">
        <f>'5-Year P&amp;L'!G16</f>
        <v>-1515735.12821206</v>
      </c>
    </row>
    <row r="6" spans="2:7" x14ac:dyDescent="0.25">
      <c r="B6" s="19" t="s">
        <v>114</v>
      </c>
      <c r="C6" s="21">
        <f>Assumptions!D58</f>
        <v>60000</v>
      </c>
      <c r="D6" s="21">
        <f>Assumptions!D58</f>
        <v>60000</v>
      </c>
      <c r="E6" s="21">
        <f>Assumptions!D58</f>
        <v>60000</v>
      </c>
      <c r="F6" s="21">
        <f>Assumptions!D58</f>
        <v>60000</v>
      </c>
      <c r="G6" s="21">
        <f>Assumptions!D58</f>
        <v>60000</v>
      </c>
    </row>
    <row r="7" spans="2:7" x14ac:dyDescent="0.25">
      <c r="B7" s="19" t="s">
        <v>115</v>
      </c>
      <c r="C7" s="21">
        <f>IF(Assumptions!D59&gt;0,PMT(Assumptions!D60/12,Assumptions!D61*12,-Assumptions!D59)*12,0)</f>
        <v>46628.61081549</v>
      </c>
      <c r="D7" s="21">
        <f>IF(Assumptions!D59&gt;0,PMT(Assumptions!D60/12,Assumptions!D61*12,-Assumptions!D59)*12,0)</f>
        <v>46628.61081549</v>
      </c>
      <c r="E7" s="21">
        <f>IF(Assumptions!D59&gt;0,PMT(Assumptions!D60/12,Assumptions!D61*12,-Assumptions!D59)*12,0)</f>
        <v>46628.61081549</v>
      </c>
      <c r="F7" s="21">
        <f>IF(Assumptions!D59&gt;0,PMT(Assumptions!D60/12,Assumptions!D61*12,-Assumptions!D59)*12,0)</f>
        <v>46628.61081549</v>
      </c>
      <c r="G7" s="21">
        <f>IF(Assumptions!D59&gt;0,PMT(Assumptions!D60/12,Assumptions!D61*12,-Assumptions!D59)*12,0)</f>
        <v>46628.61081549</v>
      </c>
    </row>
    <row r="8" spans="2:7" x14ac:dyDescent="0.25">
      <c r="B8" s="22" t="s">
        <v>116</v>
      </c>
      <c r="C8" s="23">
        <f>C6+C7</f>
        <v>106628.61081549</v>
      </c>
      <c r="D8" s="23">
        <f>D6+D7</f>
        <v>106628.61081549</v>
      </c>
      <c r="E8" s="23">
        <f>E6+E7</f>
        <v>106628.61081549</v>
      </c>
      <c r="F8" s="23">
        <f>F6+F7</f>
        <v>106628.61081549</v>
      </c>
      <c r="G8" s="23">
        <f>G6+G7</f>
        <v>106628.61081549</v>
      </c>
    </row>
    <row r="10" spans="2:7" x14ac:dyDescent="0.25">
      <c r="B10" s="22" t="s">
        <v>117</v>
      </c>
      <c r="C10" s="27">
        <f>IF(C8&gt;0,C4/C8,IF(C4&gt;0,99.9,0))</f>
        <v>-1.6457711</v>
      </c>
      <c r="D10" s="27">
        <f>IF(D8&gt;0,D4/D8,IF(D4&gt;0,99.9,0))</f>
        <v>0.35643157</v>
      </c>
      <c r="E10" s="28">
        <f>IF(E8&gt;0,E4/E8,IF(E4&gt;0,99.9,0))</f>
        <v>1.01618889</v>
      </c>
      <c r="F10" s="27">
        <f>IF(F8&gt;0,F4/F8,IF(F4&gt;0,99.9,0))</f>
        <v>-2.24916245</v>
      </c>
      <c r="G10" s="27">
        <f>IF(G8&gt;0,G4/G8,IF(G4&gt;0,99.9,0))</f>
        <v>-14.2150884</v>
      </c>
    </row>
    <row r="12" spans="2:7" x14ac:dyDescent="0.25">
      <c r="B12" s="19" t="s">
        <v>118</v>
      </c>
      <c r="C12" s="21">
        <f>C4-C8</f>
        <v>-282114.89652978</v>
      </c>
      <c r="D12" s="21">
        <f>D4-D8</f>
        <v>-68622.80729168</v>
      </c>
      <c r="E12" s="21">
        <f>E4-E8</f>
        <v>1726.19885897</v>
      </c>
      <c r="F12" s="21">
        <f>F4-F8</f>
        <v>-346453.67859658</v>
      </c>
      <c r="G12" s="21">
        <f>G4-G8</f>
        <v>-1622363.73902756</v>
      </c>
    </row>
    <row r="14" spans="2:7" x14ac:dyDescent="0.25">
      <c r="B14" s="22" t="s">
        <v>119</v>
      </c>
      <c r="C14" s="29">
        <f>Assumptions!D57+C12</f>
        <v>-282114.89652978</v>
      </c>
      <c r="D14" s="29">
        <f>C14+D12</f>
        <v>-350737.70382146</v>
      </c>
      <c r="E14" s="29">
        <f>D14+E12</f>
        <v>-349011.50496249</v>
      </c>
      <c r="F14" s="29">
        <f>E14+F12</f>
        <v>-695465.18355908</v>
      </c>
      <c r="G14" s="29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120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121</v>
      </c>
      <c r="C4" s="20">
        <f>Drivers!C12</f>
        <v>10</v>
      </c>
      <c r="D4" s="20">
        <f>Drivers!D12</f>
        <v>16</v>
      </c>
      <c r="E4" s="20">
        <f>Drivers!E12</f>
        <v>24</v>
      </c>
      <c r="F4" s="20">
        <f>Drivers!F12</f>
        <v>31</v>
      </c>
      <c r="G4" s="20">
        <f>Drivers!G12</f>
        <v>39</v>
      </c>
    </row>
    <row r="5" spans="2:7" x14ac:dyDescent="0.25">
      <c r="B5" s="19" t="s">
        <v>122</v>
      </c>
      <c r="C5" s="20">
        <f>Assumptions!D35</f>
        <v>5</v>
      </c>
      <c r="D5" s="20">
        <f>Assumptions!D36</f>
        <v>5</v>
      </c>
      <c r="E5" s="20">
        <f>Assumptions!D37</f>
        <v>5</v>
      </c>
      <c r="F5" s="20">
        <f>Assumptions!D38</f>
        <v>5</v>
      </c>
      <c r="G5" s="20">
        <f>Assumptions!D39</f>
        <v>5</v>
      </c>
    </row>
    <row r="6" spans="2:7" x14ac:dyDescent="0.25">
      <c r="B6" s="22" t="s">
        <v>123</v>
      </c>
      <c r="C6" s="30">
        <f>C4+C5</f>
        <v>15</v>
      </c>
      <c r="D6" s="30">
        <f>D4+D5</f>
        <v>21</v>
      </c>
      <c r="E6" s="30">
        <f>E4+E5</f>
        <v>29</v>
      </c>
      <c r="F6" s="30">
        <f>F4+F5</f>
        <v>36</v>
      </c>
      <c r="G6" s="3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124</v>
      </c>
      <c r="C1" s="7"/>
    </row>
    <row r="3" spans="2:3" x14ac:dyDescent="0.25">
      <c r="B3" s="19" t="s">
        <v>125</v>
      </c>
      <c r="C3" s="21">
        <f>Assumptions!D59</f>
        <v>350000</v>
      </c>
    </row>
    <row r="4" spans="2:3" x14ac:dyDescent="0.25">
      <c r="B4" s="19" t="s">
        <v>126</v>
      </c>
      <c r="C4" s="26">
        <f>Assumptions!D60</f>
        <v>0.06</v>
      </c>
    </row>
    <row r="5" spans="2:3" x14ac:dyDescent="0.25">
      <c r="B5" s="19" t="s">
        <v>63</v>
      </c>
      <c r="C5" s="20">
        <f>Assumptions!D61</f>
        <v>10</v>
      </c>
    </row>
    <row r="6" spans="2:3" x14ac:dyDescent="0.25">
      <c r="B6" s="19" t="s">
        <v>127</v>
      </c>
      <c r="C6" s="31">
        <f>IF(Assumptions!D59&gt;0,PMT(Assumptions!D60/12,Assumptions!D61*12,-Assumptions!D59)*12,0)</f>
        <v>46628.61081549</v>
      </c>
    </row>
    <row r="8" spans="2:3" x14ac:dyDescent="0.25">
      <c r="B8" s="19" t="s">
        <v>128</v>
      </c>
      <c r="C8" s="27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129</v>
      </c>
      <c r="C1" s="7"/>
    </row>
    <row r="3" spans="2:3" x14ac:dyDescent="0.25">
      <c r="B3" s="19" t="s">
        <v>15</v>
      </c>
      <c r="C3" s="19" t="str">
        <f>Assumptions!D5</f>
        <v>Heritage Academy Charter</v>
      </c>
    </row>
    <row r="4" spans="2:3" x14ac:dyDescent="0.25">
      <c r="B4" s="19" t="s">
        <v>18</v>
      </c>
      <c r="C4" s="19" t="str">
        <f>Assumptions!D7</f>
        <v>Charter School</v>
      </c>
    </row>
    <row r="5" spans="2:3" x14ac:dyDescent="0.25">
      <c r="B5" s="19" t="s">
        <v>16</v>
      </c>
      <c r="C5" s="19" t="str">
        <f>Assumptions!D6</f>
        <v>AZ</v>
      </c>
    </row>
    <row r="6" spans="2:3" x14ac:dyDescent="0.25">
      <c r="B6" s="19" t="s">
        <v>130</v>
      </c>
      <c r="C6" s="19">
        <f>Assumptions!D8</f>
        <v>2026</v>
      </c>
    </row>
    <row r="8" spans="2:3" x14ac:dyDescent="0.25">
      <c r="B8" s="19" t="s">
        <v>26</v>
      </c>
      <c r="C8" s="20">
        <f>Assumptions!D16</f>
        <v>500</v>
      </c>
    </row>
    <row r="9" spans="2:3" x14ac:dyDescent="0.25">
      <c r="B9" s="19" t="s">
        <v>131</v>
      </c>
      <c r="C9" s="21">
        <f>Drivers!G10</f>
        <v>5634801.762</v>
      </c>
    </row>
    <row r="10" spans="2:3" x14ac:dyDescent="0.25">
      <c r="B10" s="19" t="s">
        <v>132</v>
      </c>
      <c r="C10" s="29">
        <f>'5-Year P&amp;L'!G16</f>
        <v>-1515735.12821206</v>
      </c>
    </row>
    <row r="12" spans="2:3" x14ac:dyDescent="0.25">
      <c r="B12" s="6" t="s">
        <v>133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2026-03-17T17:22:30Z</dcterms:created>
  <dcterms:modified xsi:type="dcterms:W3CDTF">2026-03-17T17:22:30Z</dcterms:modified>
</cp:coreProperties>
</file>