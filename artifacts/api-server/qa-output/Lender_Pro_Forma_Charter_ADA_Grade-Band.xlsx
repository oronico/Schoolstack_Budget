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<sst xmlns="http://schemas.openxmlformats.org/spreadsheetml/2006/main" count="277" uniqueCount="223">
  <si>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</si>
  <si>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</si>
  <si>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</si>
  <si>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</si>
  <si>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</si>
  <si>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</si>
  <si>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</si>
  <si>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</si>
  <si>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</si>
  <si>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</si>
  <si>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</si>
  <si>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</si>
  <si>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</si>
  <si>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</si>
  <si>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</si>
  <si>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</si>
  <si>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</si>
  <si>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</si>
  <si>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</si>
  <si>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</si>
  <si>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</si>
  <si>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</si>
  <si>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</si>
  <si>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</si>
  <si>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</si>
  <si>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</si>
  <si>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</si>
  <si>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</si>
  <si>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</si>
  <si>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</si>
  <si>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</si>
  <si>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</si>
  <si>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</si>
  <si>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</si>
  <si>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</si>
  <si>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</si>
  <si>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</si>
  <si>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</si>
  <si>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</si>
  <si>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</si>
  <si>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</si>
  <si>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</si>
  <si>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</si>
  <si>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</si>
  <si>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</si>
  <si>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</si>
  <si>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</si>
  <si>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</si>
  <si>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</si>
  <si>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</si>
  <si>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</si>
  <si>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</si>
  <si>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</si>
  <si>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</si>
  <si>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</si>
  <si>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</si>
  <si>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</si>
  <si>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</si>
  <si>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</si>
  <si>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</si>
  <si>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</si>
  <si>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</si>
  <si>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</si>
  <si>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</si>
  <si>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</si>
  <si>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</si>
  <si>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</si>
  <si>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</si>
  <si>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</si>
  <si>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</si>
  <si>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</si>
  <si>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</si>
  <si>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</si>
  <si>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</si>
  <si>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</si>
  <si>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</si>
  <si>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</si>
  <si>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</si>
  <si>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</si>
  <si>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</si>
  <si>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</si>
  <si>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</si>
  <si>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</si>
  <si>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</si>
  <si>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</si>
  <si>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</si>
  <si>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</si>
  <si>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</si>
  <si>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</si>
  <si>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</si>
  <si>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</si>
  <si>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</si>
  <si>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</si>
  <si>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</si>
  <si>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</si>
  <si>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</si>
  <si>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</si>
  <si>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</si>
  <si>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</si>
  <si>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</si>
  <si>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</si>
  <si>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</si>
  <si>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</si>
  <si>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</si>
  <si>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</si>
  <si>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</si>
  <si>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</si>
  <si>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</si>
  <si>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</si>
  <si>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</si>
  <si>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</si>
  <si>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</si>
  <si>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</si>
  <si>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</si>
  <si>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</si>
  <si>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</si>
  <si>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</si>
  <si>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</si>
  <si>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</si>
  <si>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</si>
  <si>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</si>
  <si>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</si>
  <si>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</si>
  <si>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</si>
  <si>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</si>
  <si>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</si>
  <si>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</si>
  <si>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</si>
  <si>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</si>
  <si>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</si>
  <si>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</si>
  <si>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</si>
  <si>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</si>
  <si>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</si>
  <si>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</si>
  <si>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</si>
  <si>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</si>
  <si>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</si>
  <si>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</si>
  <si>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</si>
  <si>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</si>
  <si>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</si>
  <si>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</si>
  <si>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</si>
  <si>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</si>
  <si>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</si>
  <si>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</si>
  <si>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</si>
  <si>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</si>
  <si>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</si>
  <si>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</si>
  <si>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</si>
  <si>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</si>
  <si>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</si>
  <si>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</si>
  <si>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</si>
  <si>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</si>
  <si>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</si>
  <si>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</si>
  <si>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</si>
  <si>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</si>
  <si>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</si>
  <si>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</si>
  <si>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</si>
  <si>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</si>
  <si>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</si>
  <si>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</si>
  <si>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</si>
  <si>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</si>
  <si>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</si>
  <si>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</si>
  <si>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</si>
  <si>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</si>
  <si>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</si>
  <si>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</si>
  <si>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</si>
  <si>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</si>
  <si>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</si>
  <si>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</si>
  <si>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</si>
  <si>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</si>
  <si>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</si>
  <si>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</si>
  <si>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</si>
  <si>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</si>
  <si>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</si>
  <si>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</si>
  <si>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</si>
  <si>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</si>
  <si>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</si>
  <si>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</si>
  <si>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</si>
  <si>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</si>
  <si>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</si>
  <si>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</si>
  <si>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</si>
  <si>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</si>
  <si>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</si>
  <si>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</si>
  <si>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</si>
  <si>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</si>
  <si>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</si>
  <si>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</si>
  <si>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</si>
  <si>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</si>
  <si>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</si>
  <si>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</si>
  <si>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</si>
  <si>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</si>
  <si>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</si>
  <si>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23% of revenue are high. Fixed costs this size create rigidity in your budget.</t>
  </si>
  <si>
    <t>Explore shared space, renegotiate terms, or consider a smaller facility.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</si>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</sst>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31" t="s">
        <v>143</v>
      </c>
      <c r="C19" s="36">
        <f>C16</f>
        <v>-175486.28571429</v>
      </c>
      <c r="D19" s="36">
        <f>C19+D16</f>
        <v>-137480.48219048</v>
      </c>
      <c r="E19" s="36">
        <f>D19+E16</f>
        <v>-29125.67251601</v>
      </c>
      <c r="F19" s="36">
        <f>E19+F16</f>
        <v>-268950.7402971</v>
      </c>
      <c r="G19" s="36">
        <f>F19+G16</f>
        <v>-1784685.86850917</v>
      </c>
    </row>
    <row r="20" spans="2:7" x14ac:dyDescent="0.25">
      <c r="B20" s="31" t="s">
        <v>144</v>
      </c>
      <c r="C20" s="37" t="s">
        <v>7</v>
      </c>
      <c r="D20" s="37" t="s">
        <v>7</v>
      </c>
      <c r="E20" s="37" t="s">
        <v>7</v>
      </c>
      <c r="F20" s="37" t="s">
        <v>7</v>
      </c>
      <c r="G20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145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146</v>
      </c>
      <c r="C4" s="30">
        <f>'5-Year P&amp;L'!C16</f>
        <v>-175486.28571429</v>
      </c>
      <c r="D4" s="30">
        <f>'5-Year P&amp;L'!D16</f>
        <v>38005.80352381</v>
      </c>
      <c r="E4" s="30">
        <f>'5-Year P&amp;L'!E16</f>
        <v>108354.80967446</v>
      </c>
      <c r="F4" s="30">
        <f>'5-Year P&amp;L'!F16</f>
        <v>-239825.06778109</v>
      </c>
      <c r="G4" s="30">
        <f>'5-Year P&amp;L'!G16</f>
        <v>-1515735.12821206</v>
      </c>
    </row>
    <row r="6" spans="2:7" x14ac:dyDescent="0.25">
      <c r="B6" s="28" t="s">
        <v>147</v>
      </c>
      <c r="C6" s="30">
        <f>Assumptions!D58</f>
        <v>60000</v>
      </c>
      <c r="D6" s="30">
        <f>Assumptions!D58</f>
        <v>60000</v>
      </c>
      <c r="E6" s="30">
        <f>Assumptions!D58</f>
        <v>60000</v>
      </c>
      <c r="F6" s="30">
        <f>Assumptions!D58</f>
        <v>60000</v>
      </c>
      <c r="G6" s="30">
        <f>Assumptions!D58</f>
        <v>60000</v>
      </c>
    </row>
    <row r="7" spans="2:7" x14ac:dyDescent="0.25">
      <c r="B7" s="28" t="s">
        <v>148</v>
      </c>
      <c r="C7" s="30">
        <f>IF(Assumptions!D59&gt;0,PMT(Assumptions!D60/12,Assumptions!D61*12,-Assumptions!D59)*12,0)</f>
        <v>46628.61081549</v>
      </c>
      <c r="D7" s="30">
        <f>IF(Assumptions!D59&gt;0,PMT(Assumptions!D60/12,Assumptions!D61*12,-Assumptions!D59)*12,0)</f>
        <v>46628.61081549</v>
      </c>
      <c r="E7" s="30">
        <f>IF(Assumptions!D59&gt;0,PMT(Assumptions!D60/12,Assumptions!D61*12,-Assumptions!D59)*12,0)</f>
        <v>46628.61081549</v>
      </c>
      <c r="F7" s="30">
        <f>IF(Assumptions!D59&gt;0,PMT(Assumptions!D60/12,Assumptions!D61*12,-Assumptions!D59)*12,0)</f>
        <v>46628.61081549</v>
      </c>
      <c r="G7" s="30">
        <f>IF(Assumptions!D59&gt;0,PMT(Assumptions!D60/12,Assumptions!D61*12,-Assumptions!D59)*12,0)</f>
        <v>46628.61081549</v>
      </c>
    </row>
    <row r="8" spans="2:7" x14ac:dyDescent="0.25">
      <c r="B8" s="31" t="s">
        <v>149</v>
      </c>
      <c r="C8" s="32">
        <f>C6+C7</f>
        <v>106628.61081549</v>
      </c>
      <c r="D8" s="32">
        <f>D6+D7</f>
        <v>106628.61081549</v>
      </c>
      <c r="E8" s="32">
        <f>E6+E7</f>
        <v>106628.61081549</v>
      </c>
      <c r="F8" s="32">
        <f>F6+F7</f>
        <v>106628.61081549</v>
      </c>
      <c r="G8" s="32">
        <f>G6+G7</f>
        <v>106628.61081549</v>
      </c>
    </row>
    <row r="10" spans="2:7" x14ac:dyDescent="0.25">
      <c r="B10" s="31" t="s">
        <v>150</v>
      </c>
      <c r="C10" s="38">
        <f>IF(C8&gt;0,C4/C8,IF(C4&gt;0,99.9,0))</f>
        <v>-1.6457711</v>
      </c>
      <c r="D10" s="38">
        <f>IF(D8&gt;0,D4/D8,IF(D4&gt;0,99.9,0))</f>
        <v>0.35643157</v>
      </c>
      <c r="E10" s="39">
        <f>IF(E8&gt;0,E4/E8,IF(E4&gt;0,99.9,0))</f>
        <v>1.01618889</v>
      </c>
      <c r="F10" s="38">
        <f>IF(F8&gt;0,F4/F8,IF(F4&gt;0,99.9,0))</f>
        <v>-2.24916245</v>
      </c>
      <c r="G10" s="38">
        <f>IF(G8&gt;0,G4/G8,IF(G4&gt;0,99.9,0))</f>
        <v>-14.2150884</v>
      </c>
    </row>
    <row r="12" spans="2:7" x14ac:dyDescent="0.25">
      <c r="B12" s="28" t="s">
        <v>151</v>
      </c>
      <c r="C12" s="30">
        <f>C4-C8</f>
        <v>-282114.89652978</v>
      </c>
      <c r="D12" s="30">
        <f>D4-D8</f>
        <v>-68622.80729168</v>
      </c>
      <c r="E12" s="30">
        <f>E4-E8</f>
        <v>1726.19885897</v>
      </c>
      <c r="F12" s="30">
        <f>F4-F8</f>
        <v>-346453.67859658</v>
      </c>
      <c r="G12" s="30">
        <f>G4-G8</f>
        <v>-1622363.73902756</v>
      </c>
    </row>
    <row r="14" spans="2:7" x14ac:dyDescent="0.25">
      <c r="B14" s="31" t="s">
        <v>152</v>
      </c>
      <c r="C14" s="40">
        <f>Assumptions!D57+C12</f>
        <v>-282114.89652978</v>
      </c>
      <c r="D14" s="40">
        <f>C14+D12</f>
        <v>-350737.70382146</v>
      </c>
      <c r="E14" s="40">
        <f>D14+E12</f>
        <v>-349011.50496249</v>
      </c>
      <c r="F14" s="40">
        <f>E14+F12</f>
        <v>-695465.18355908</v>
      </c>
      <c r="G14" s="40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154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155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156</v>
      </c>
      <c r="C6" s="41">
        <f>C4+C5</f>
        <v>15</v>
      </c>
      <c r="D6" s="41">
        <f>D4+D5</f>
        <v>21</v>
      </c>
      <c r="E6" s="41">
        <f>E4+E5</f>
        <v>29</v>
      </c>
      <c r="F6" s="41">
        <f>F4+F5</f>
        <v>36</v>
      </c>
      <c r="G6" s="41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157</v>
      </c>
      <c r="C1" s="13"/>
    </row>
    <row r="3" spans="2:3" x14ac:dyDescent="0.25">
      <c r="B3" s="28" t="s">
        <v>158</v>
      </c>
      <c r="C3" s="30">
        <f>Assumptions!D59</f>
        <v>350000</v>
      </c>
    </row>
    <row r="4" spans="2:3" x14ac:dyDescent="0.25">
      <c r="B4" s="28" t="s">
        <v>159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160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161</v>
      </c>
      <c r="C8" s="38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163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164</v>
      </c>
      <c r="C9" s="30">
        <f>Drivers!G10</f>
        <v>5634801.762</v>
      </c>
    </row>
    <row r="10" spans="2:3" x14ac:dyDescent="0.25">
      <c r="B10" s="28" t="s">
        <v>165</v>
      </c>
      <c r="C10" s="40">
        <f>'5-Year P&amp;L'!G16</f>
        <v>-1515735.12821206</v>
      </c>
    </row>
    <row r="12" spans="2:3" x14ac:dyDescent="0.25">
      <c r="B12" s="12" t="s">
        <v>166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167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2" t="s">
        <v>168</v>
      </c>
      <c r="D4" s="43" t="s">
        <v>169</v>
      </c>
      <c r="F4" s="44" t="s">
        <v>170</v>
      </c>
    </row>
    <row r="6" ht="24" customHeight="1" spans="2:8" x14ac:dyDescent="0.25">
      <c r="B6" s="45" t="s">
        <v>171</v>
      </c>
      <c r="C6" s="46" t="s">
        <v>114</v>
      </c>
      <c r="D6" s="46" t="s">
        <v>115</v>
      </c>
      <c r="E6" s="46" t="s">
        <v>116</v>
      </c>
      <c r="F6" s="46" t="s">
        <v>117</v>
      </c>
      <c r="G6" s="46" t="s">
        <v>118</v>
      </c>
      <c r="H6" s="46" t="s">
        <v>172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173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174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175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176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177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178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179</v>
      </c>
      <c r="C14" s="47">
        <v>-0.19951548552318188</v>
      </c>
      <c r="D14" s="47">
        <v>-0.03046314664581019</v>
      </c>
      <c r="E14" s="48">
        <v>0.0005159442661968101</v>
      </c>
      <c r="F14" s="47">
        <v>-0.07762995822770193</v>
      </c>
      <c r="G14" s="47">
        <v>-0.2879185120528036</v>
      </c>
    </row>
    <row r="15" spans="2:8" x14ac:dyDescent="0.25">
      <c r="B15" s="31" t="s">
        <v>180</v>
      </c>
      <c r="C15" s="49">
        <v>11783.333333333334</v>
      </c>
      <c r="D15" s="49">
        <v>11263.25</v>
      </c>
      <c r="E15" s="49">
        <v>11152.36</v>
      </c>
      <c r="F15" s="49">
        <v>11157.2158</v>
      </c>
      <c r="G15" s="49">
        <v>11269.603524</v>
      </c>
      <c r="H15" s="50" t="s">
        <v>181</v>
      </c>
    </row>
    <row r="16" spans="2:8" x14ac:dyDescent="0.25">
      <c r="B16" s="31" t="s">
        <v>182</v>
      </c>
      <c r="C16" s="47">
        <v>0.6969492826833703</v>
      </c>
      <c r="D16" s="48">
        <v>0.5994943125398341</v>
      </c>
      <c r="E16" s="48">
        <v>0.5534195972076122</v>
      </c>
      <c r="F16" s="51">
        <v>0.5203488896294841</v>
      </c>
      <c r="G16" s="51">
        <v>0.5112146441389667</v>
      </c>
      <c r="H16" s="50" t="s">
        <v>183</v>
      </c>
    </row>
    <row r="17" spans="2:8" x14ac:dyDescent="0.25">
      <c r="B17" s="31" t="s">
        <v>184</v>
      </c>
      <c r="C17" s="51">
        <v>0.12814710042432814</v>
      </c>
      <c r="D17" s="51">
        <v>0.11509022706590016</v>
      </c>
      <c r="E17" s="51">
        <v>0.12425825713940832</v>
      </c>
      <c r="F17" s="48">
        <v>0.1600166311177611</v>
      </c>
      <c r="G17" s="47">
        <v>0.227334193446872</v>
      </c>
      <c r="H17" s="50" t="s">
        <v>185</v>
      </c>
    </row>
    <row r="18" spans="2:8" x14ac:dyDescent="0.25">
      <c r="B18" s="31" t="s">
        <v>142</v>
      </c>
      <c r="C18" s="47">
        <v>-0.12410628409779752</v>
      </c>
      <c r="D18" s="48">
        <v>0.016871597240498658</v>
      </c>
      <c r="E18" s="48">
        <v>0.03238621232769336</v>
      </c>
      <c r="F18" s="47">
        <v>-0.0537376600220211</v>
      </c>
      <c r="G18" s="47">
        <v>-0.26899528896187336</v>
      </c>
      <c r="H18" s="50" t="s">
        <v>186</v>
      </c>
    </row>
    <row r="19" spans="2:8" x14ac:dyDescent="0.25">
      <c r="B19" s="31" t="s">
        <v>187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188</v>
      </c>
    </row>
    <row r="20" spans="2:8" x14ac:dyDescent="0.25">
      <c r="B20" s="31" t="s">
        <v>189</v>
      </c>
      <c r="C20" s="53">
        <v>-1.645771096258031</v>
      </c>
      <c r="D20" s="53">
        <v>0.35643157341300485</v>
      </c>
      <c r="E20" s="54">
        <v>1.0161888900715002</v>
      </c>
      <c r="F20" s="53">
        <v>-2.2491624522434597</v>
      </c>
      <c r="G20" s="53">
        <v>-14.215088395316705</v>
      </c>
      <c r="H20" s="50" t="s">
        <v>190</v>
      </c>
    </row>
    <row r="21" spans="2:8" x14ac:dyDescent="0.25">
      <c r="B21" s="31" t="s">
        <v>191</v>
      </c>
      <c r="C21" s="55" t="str">
        <f>IF('5-Year P&amp;L'!C19&gt;=0,"✓ Break-even","")</f>
        <v>0</v>
      </c>
      <c r="D21" s="55" t="str">
        <f>IF(AND('5-Year P&amp;L'!D19&gt;=0,'5-Year P&amp;L'!C19&lt;0),"✓ Break-even","")</f>
        <v>0</v>
      </c>
      <c r="E21" s="55" t="str">
        <f>IF(AND('5-Year P&amp;L'!E19&gt;=0,'5-Year P&amp;L'!D19&lt;0),"✓ Break-even","")</f>
        <v>0</v>
      </c>
      <c r="F21" s="55" t="str">
        <f>IF(AND('5-Year P&amp;L'!F19&gt;=0,'5-Year P&amp;L'!E19&lt;0),"✓ Break-even","")</f>
        <v>0</v>
      </c>
      <c r="G21" s="55" t="str">
        <f>IF(AND('5-Year P&amp;L'!G19&gt;=0,'5-Year P&amp;L'!F19&lt;0),"✓ Break-even","")</f>
        <v>0</v>
      </c>
      <c r="H21" s="50" t="s">
        <v>114</v>
      </c>
    </row>
    <row r="22" spans="2:8" x14ac:dyDescent="0.25">
      <c r="B22" s="31" t="s">
        <v>192</v>
      </c>
      <c r="C22" s="56">
        <v>-2</v>
      </c>
      <c r="D22" s="56">
        <v>-2</v>
      </c>
      <c r="E22" s="56">
        <v>-1</v>
      </c>
      <c r="F22" s="56">
        <v>-2</v>
      </c>
      <c r="G22" s="56">
        <v>-4</v>
      </c>
      <c r="H22" s="50" t="s">
        <v>193</v>
      </c>
    </row>
    <row r="24" ht="24" customHeight="1" spans="2:8" x14ac:dyDescent="0.25">
      <c r="B24" s="45" t="s">
        <v>194</v>
      </c>
      <c r="C24" s="45" t="s">
        <v>195</v>
      </c>
      <c r="D24" s="45" t="s">
        <v>196</v>
      </c>
      <c r="E24" s="45"/>
      <c r="F24" s="45" t="s">
        <v>197</v>
      </c>
      <c r="G24" s="45"/>
      <c r="H24" s="45"/>
    </row>
    <row r="25" ht="45" customHeight="1" spans="2:8" x14ac:dyDescent="0.25">
      <c r="B25" s="57" t="s">
        <v>198</v>
      </c>
      <c r="C25" s="58" t="s">
        <v>199</v>
      </c>
      <c r="D25" s="59" t="s">
        <v>200</v>
      </c>
      <c r="E25" s="59"/>
      <c r="F25" s="60" t="s">
        <v>201</v>
      </c>
      <c r="G25" s="60"/>
      <c r="H25" s="60"/>
    </row>
    <row r="26" ht="45" customHeight="1" spans="2:8" x14ac:dyDescent="0.25">
      <c r="B26" s="57" t="s">
        <v>202</v>
      </c>
      <c r="C26" s="58" t="s">
        <v>199</v>
      </c>
      <c r="D26" s="59" t="s">
        <v>203</v>
      </c>
      <c r="E26" s="59"/>
      <c r="F26" s="60" t="s">
        <v>204</v>
      </c>
      <c r="G26" s="60"/>
      <c r="H26" s="60"/>
    </row>
    <row r="27" ht="45" customHeight="1" spans="2:8" x14ac:dyDescent="0.25">
      <c r="B27" s="57" t="s">
        <v>205</v>
      </c>
      <c r="C27" s="61" t="s">
        <v>206</v>
      </c>
      <c r="D27" s="59" t="s">
        <v>207</v>
      </c>
      <c r="E27" s="59"/>
      <c r="F27" s="60" t="s">
        <v>208</v>
      </c>
      <c r="G27" s="60"/>
      <c r="H27" s="60"/>
    </row>
    <row r="28" ht="45" customHeight="1" spans="2:8" x14ac:dyDescent="0.25">
      <c r="B28" s="57" t="s">
        <v>209</v>
      </c>
      <c r="C28" s="58" t="s">
        <v>199</v>
      </c>
      <c r="D28" s="59" t="s">
        <v>210</v>
      </c>
      <c r="E28" s="59"/>
      <c r="F28" s="60" t="s">
        <v>211</v>
      </c>
      <c r="G28" s="60"/>
      <c r="H28" s="60"/>
    </row>
    <row r="29" ht="45" customHeight="1" spans="2:8" x14ac:dyDescent="0.25">
      <c r="B29" s="57" t="s">
        <v>212</v>
      </c>
      <c r="C29" s="58" t="s">
        <v>199</v>
      </c>
      <c r="D29" s="59" t="s">
        <v>213</v>
      </c>
      <c r="E29" s="59"/>
      <c r="F29" s="60" t="s">
        <v>214</v>
      </c>
      <c r="G29" s="60"/>
      <c r="H29" s="60"/>
    </row>
    <row r="30" ht="45" customHeight="1" spans="2:8" x14ac:dyDescent="0.25">
      <c r="B30" s="57" t="s">
        <v>215</v>
      </c>
      <c r="C30" s="61" t="s">
        <v>206</v>
      </c>
      <c r="D30" s="59" t="s">
        <v>216</v>
      </c>
      <c r="E30" s="59"/>
      <c r="F30" s="60" t="s">
        <v>217</v>
      </c>
      <c r="G30" s="60"/>
      <c r="H30" s="60"/>
    </row>
    <row r="31" ht="45" customHeight="1" spans="2:8" x14ac:dyDescent="0.25">
      <c r="B31" s="57" t="s">
        <v>218</v>
      </c>
      <c r="C31" s="58" t="s">
        <v>199</v>
      </c>
      <c r="D31" s="59" t="s">
        <v>219</v>
      </c>
      <c r="E31" s="59"/>
      <c r="F31" s="60" t="s">
        <v>220</v>
      </c>
      <c r="G31" s="60"/>
      <c r="H31" s="60"/>
    </row>
    <row r="33" spans="2:6" x14ac:dyDescent="0.25">
      <c r="B33" s="57" t="s">
        <v>39</v>
      </c>
      <c r="C33" s="31" t="s">
        <v>221</v>
      </c>
      <c r="D33" s="31"/>
      <c r="E33" s="31"/>
      <c r="F33" s="31"/>
    </row>
    <row r="35" spans="2:8" x14ac:dyDescent="0.25">
      <c r="B35" s="62" t="s">
        <v>222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2026-03-26T12:38:18Z</dcterms:created>
  <dcterms:modified xsi:type="dcterms:W3CDTF">2026-03-26T12:38:18Z</dcterms:modified>
</cp:coreProperties>
</file>