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<sst xmlns="http://schemas.openxmlformats.org/spreadsheetml/2006/main" count="300" uniqueCount="243">
  <si>
    <t>How to Use This Workbook</t>
  </si>
  <si>
    <t>Heritage Academy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</si>
  <si>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</si>
  <si>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</si>
  <si>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</si>
  <si>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</si>
  <si>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</si>
  <si>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</si>
  <si>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</si>
  <si>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</si>
  <si>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</si>
  <si>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</si>
  <si>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</si>
  <si>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</si>
  <si>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</si>
  <si>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</si>
  <si>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</si>
  <si>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</si>
  <si>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</si>
  <si>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</si>
  <si>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</si>
  <si>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</si>
  <si>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</si>
  <si>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</si>
  <si>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</si>
  <si>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</si>
  <si>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</si>
  <si>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</si>
  <si>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</si>
  <si>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</si>
  <si>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</si>
  <si>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</si>
  <si>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</si>
  <si>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</si>
  <si>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</si>
  <si>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</si>
  <si>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</si>
  <si>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</si>
  <si>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</si>
  <si>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</si>
  <si>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1,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</si>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</sst>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2"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8" fillId="0" borderId="0" xfId="0" applyFont="1"/>
    <xf numFmtId="0" fontId="19" fillId="0" borderId="0" xfId="0" applyFont="1"/>
    <xf numFmtId="0" fontId="20"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0"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2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0.95</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f>'Cash Flow &amp; DSCR'!C9</f>
        <v>106628.61081549</v>
      </c>
      <c r="D19" s="30">
        <f>'Cash Flow &amp; DSCR'!D9</f>
        <v>106628.61081549</v>
      </c>
      <c r="E19" s="30">
        <f>'Cash Flow &amp; DSCR'!E9</f>
        <v>106628.61081549</v>
      </c>
      <c r="F19" s="30">
        <f>'Cash Flow &amp; DSCR'!F9</f>
        <v>106628.61081549</v>
      </c>
      <c r="G19" s="30">
        <f>'Cash Flow &amp; DSCR'!G9</f>
        <v>106628.61081549</v>
      </c>
    </row>
    <row r="21" spans="2:7" x14ac:dyDescent="0.25">
      <c r="B21" s="31" t="s">
        <v>144</v>
      </c>
      <c r="C21" s="33">
        <f>C16-C19</f>
        <v>-282114.89652978</v>
      </c>
      <c r="D21" s="33">
        <f>D16-D19</f>
        <v>-68622.80729168</v>
      </c>
      <c r="E21" s="34">
        <f>E16-E19</f>
        <v>1726.19885897</v>
      </c>
      <c r="F21" s="33">
        <f>F16-F19</f>
        <v>-346453.67859658</v>
      </c>
      <c r="G21" s="33">
        <f>G16-G19</f>
        <v>-1622363.73902756</v>
      </c>
    </row>
    <row r="22" spans="2:7" x14ac:dyDescent="0.25">
      <c r="B22" s="28" t="s">
        <v>145</v>
      </c>
      <c r="C22" s="35">
        <f>IF(C10&gt;0,C21/C10,0)</f>
        <v>-0.19951549</v>
      </c>
      <c r="D22" s="35">
        <f>IF(D10&gt;0,D21/D10,0)</f>
        <v>-0.03046315</v>
      </c>
      <c r="E22" s="35">
        <f>IF(E10&gt;0,E21/E10,0)</f>
        <v>0.00051594</v>
      </c>
      <c r="F22" s="35">
        <f>IF(F10&gt;0,F21/F10,0)</f>
        <v>-0.07762996</v>
      </c>
      <c r="G22" s="35">
        <f>IF(G10&gt;0,G21/G10,0)</f>
        <v>-0.28791851</v>
      </c>
    </row>
    <row r="24" spans="2:7" x14ac:dyDescent="0.25">
      <c r="B24" s="31" t="s">
        <v>146</v>
      </c>
      <c r="C24" s="36">
        <f>C21</f>
        <v>-282114.89652978</v>
      </c>
      <c r="D24" s="36">
        <f>C24+D21</f>
        <v>-350737.70382146</v>
      </c>
      <c r="E24" s="36">
        <f>D24+E21</f>
        <v>-349011.50496249</v>
      </c>
      <c r="F24" s="36">
        <f>E24+F21</f>
        <v>-695465.18355908</v>
      </c>
      <c r="G24" s="36">
        <f>F24+G21</f>
        <v>-2317828.92258663</v>
      </c>
    </row>
    <row r="25" spans="2:7" x14ac:dyDescent="0.25">
      <c r="B25" s="31" t="s">
        <v>147</v>
      </c>
      <c r="C25" s="37" t="s">
        <v>7</v>
      </c>
      <c r="D25" s="37" t="s">
        <v>7</v>
      </c>
      <c r="E25" s="37" t="s">
        <v>7</v>
      </c>
      <c r="F25" s="37" t="s">
        <v>7</v>
      </c>
      <c r="G25"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6"/>
      <c r="C3" s="27" t="s">
        <v>114</v>
      </c>
      <c r="D3" s="27" t="s">
        <v>115</v>
      </c>
      <c r="E3" s="27" t="s">
        <v>116</v>
      </c>
      <c r="F3" s="27" t="s">
        <v>117</v>
      </c>
      <c r="G3" s="27" t="s">
        <v>118</v>
      </c>
    </row>
    <row r="4" spans="2:7" x14ac:dyDescent="0.25">
      <c r="B4" s="31" t="s">
        <v>149</v>
      </c>
      <c r="C4" s="36" t="str">
        <f>Assumptions!D57</f>
        <v>0</v>
      </c>
      <c r="D4" s="36">
        <f>C16</f>
        <v>-282114.89652978</v>
      </c>
      <c r="E4" s="36">
        <f>D16</f>
        <v>-350737.70382146</v>
      </c>
      <c r="F4" s="36">
        <f>E16</f>
        <v>-349011.50496249</v>
      </c>
      <c r="G4" s="36">
        <f>F16</f>
        <v>-695465.18355908</v>
      </c>
    </row>
    <row r="5" spans="2:7" x14ac:dyDescent="0.25">
      <c r="B5" s="28" t="s">
        <v>150</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151</v>
      </c>
      <c r="C7" s="30">
        <f>Assumptions!D58</f>
        <v>60000</v>
      </c>
      <c r="D7" s="30">
        <f>Assumptions!D58</f>
        <v>60000</v>
      </c>
      <c r="E7" s="30">
        <f>Assumptions!D58</f>
        <v>60000</v>
      </c>
      <c r="F7" s="30">
        <f>Assumptions!D58</f>
        <v>60000</v>
      </c>
      <c r="G7" s="30">
        <f>Assumptions!D58</f>
        <v>60000</v>
      </c>
    </row>
    <row r="8" spans="2:7" x14ac:dyDescent="0.25">
      <c r="B8" s="28" t="s">
        <v>152</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153</v>
      </c>
      <c r="C9" s="32">
        <f>C7+C8</f>
        <v>106628.61081549</v>
      </c>
      <c r="D9" s="32">
        <f>D7+D8</f>
        <v>106628.61081549</v>
      </c>
      <c r="E9" s="32">
        <f>E7+E8</f>
        <v>106628.61081549</v>
      </c>
      <c r="F9" s="32">
        <f>F7+F8</f>
        <v>106628.61081549</v>
      </c>
      <c r="G9" s="32">
        <f>G7+G8</f>
        <v>106628.61081549</v>
      </c>
    </row>
    <row r="11" spans="2:7" x14ac:dyDescent="0.25">
      <c r="B11" s="31" t="s">
        <v>154</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155</v>
      </c>
      <c r="C13" s="30">
        <f>C5-C9</f>
        <v>-282114.89652978</v>
      </c>
      <c r="D13" s="30">
        <f>D5-D9</f>
        <v>-68622.80729168</v>
      </c>
      <c r="E13" s="30">
        <f>E5-E9</f>
        <v>1726.19885897</v>
      </c>
      <c r="F13" s="30">
        <f>F5-F9</f>
        <v>-346453.67859658</v>
      </c>
      <c r="G13" s="30">
        <f>G5-G9</f>
        <v>-1622363.73902756</v>
      </c>
    </row>
    <row r="14" spans="2:7" x14ac:dyDescent="0.25">
      <c r="B14" s="31" t="s">
        <v>156</v>
      </c>
      <c r="C14" s="36">
        <f>C5-C9</f>
        <v>-282114.89652978</v>
      </c>
      <c r="D14" s="36">
        <f>D5-D9</f>
        <v>-68622.80729168</v>
      </c>
      <c r="E14" s="36">
        <f>E5-E9</f>
        <v>1726.19885897</v>
      </c>
      <c r="F14" s="36">
        <f>F5-F9</f>
        <v>-346453.67859658</v>
      </c>
      <c r="G14" s="36">
        <f>G5-G9</f>
        <v>-1622363.73902756</v>
      </c>
    </row>
    <row r="16" spans="2:7" x14ac:dyDescent="0.25">
      <c r="B16" s="31" t="s">
        <v>157</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158</v>
      </c>
      <c r="C1" s="13"/>
      <c r="D1" s="13"/>
      <c r="E1" s="13"/>
      <c r="F1" s="13"/>
      <c r="G1" s="13"/>
    </row>
    <row r="3" ht="24" customHeight="1" spans="2:7" x14ac:dyDescent="0.25">
      <c r="B3" s="26"/>
      <c r="C3" s="27" t="s">
        <v>114</v>
      </c>
      <c r="D3" s="27" t="s">
        <v>115</v>
      </c>
      <c r="E3" s="27" t="s">
        <v>116</v>
      </c>
      <c r="F3" s="27" t="s">
        <v>117</v>
      </c>
      <c r="G3" s="27" t="s">
        <v>118</v>
      </c>
    </row>
    <row r="4" spans="2:7" x14ac:dyDescent="0.25">
      <c r="B4" s="28" t="s">
        <v>159</v>
      </c>
      <c r="C4" s="29">
        <f>Drivers!C12</f>
        <v>10</v>
      </c>
      <c r="D4" s="29">
        <f>Drivers!D12</f>
        <v>16</v>
      </c>
      <c r="E4" s="29">
        <f>Drivers!E12</f>
        <v>24</v>
      </c>
      <c r="F4" s="29">
        <f>Drivers!F12</f>
        <v>31</v>
      </c>
      <c r="G4" s="29">
        <f>Drivers!G12</f>
        <v>39</v>
      </c>
    </row>
    <row r="5" spans="2:7" x14ac:dyDescent="0.25">
      <c r="B5" s="28" t="s">
        <v>160</v>
      </c>
      <c r="C5" s="29">
        <f>Assumptions!D35</f>
        <v>5</v>
      </c>
      <c r="D5" s="29">
        <f>Assumptions!D36</f>
        <v>5</v>
      </c>
      <c r="E5" s="29">
        <f>Assumptions!D37</f>
        <v>5</v>
      </c>
      <c r="F5" s="29">
        <f>Assumptions!D38</f>
        <v>5</v>
      </c>
      <c r="G5" s="29">
        <f>Assumptions!D39</f>
        <v>5</v>
      </c>
    </row>
    <row r="6" spans="2:7" x14ac:dyDescent="0.25">
      <c r="B6" s="31" t="s">
        <v>161</v>
      </c>
      <c r="C6" s="39">
        <f>C4+C5</f>
        <v>15</v>
      </c>
      <c r="D6" s="39">
        <f>D4+D5</f>
        <v>21</v>
      </c>
      <c r="E6" s="39">
        <f>E4+E5</f>
        <v>29</v>
      </c>
      <c r="F6" s="39">
        <f>F4+F5</f>
        <v>36</v>
      </c>
      <c r="G6" s="39">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162</v>
      </c>
      <c r="C1" s="13"/>
    </row>
    <row r="3" spans="2:3" x14ac:dyDescent="0.25">
      <c r="B3" s="28" t="s">
        <v>163</v>
      </c>
      <c r="C3" s="30">
        <f>Assumptions!D59</f>
        <v>350000</v>
      </c>
    </row>
    <row r="4" spans="2:3" x14ac:dyDescent="0.25">
      <c r="B4" s="28" t="s">
        <v>164</v>
      </c>
      <c r="C4" s="35">
        <f>Assumptions!D60</f>
        <v>0.06</v>
      </c>
    </row>
    <row r="5" spans="2:3" x14ac:dyDescent="0.25">
      <c r="B5" s="28" t="s">
        <v>94</v>
      </c>
      <c r="C5" s="29">
        <f>Assumptions!D61</f>
        <v>10</v>
      </c>
    </row>
    <row r="6" spans="2:3" x14ac:dyDescent="0.25">
      <c r="B6" s="28" t="s">
        <v>165</v>
      </c>
      <c r="C6" s="36">
        <f>IF(Assumptions!D59&gt;0,PMT(Assumptions!D60/12,Assumptions!D61*12,-Assumptions!D59)*12,0)</f>
        <v>46628.61081549</v>
      </c>
    </row>
    <row r="8" spans="2:3" x14ac:dyDescent="0.25">
      <c r="B8" s="28" t="s">
        <v>166</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167</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168</v>
      </c>
      <c r="C6" s="28">
        <f>Assumptions!D8</f>
        <v>2026</v>
      </c>
    </row>
    <row r="8" spans="2:3" x14ac:dyDescent="0.25">
      <c r="B8" s="28" t="s">
        <v>57</v>
      </c>
      <c r="C8" s="29">
        <f>Assumptions!D16</f>
        <v>500</v>
      </c>
    </row>
    <row r="9" spans="2:3" x14ac:dyDescent="0.25">
      <c r="B9" s="28" t="s">
        <v>169</v>
      </c>
      <c r="C9" s="30">
        <f>Drivers!G10</f>
        <v>5634801.762</v>
      </c>
    </row>
    <row r="10" spans="2:3" x14ac:dyDescent="0.25">
      <c r="B10" s="28" t="s">
        <v>170</v>
      </c>
      <c r="C10" s="40">
        <f>'5-Year P&amp;L'!G16</f>
        <v>-1515735.12821206</v>
      </c>
    </row>
    <row r="12" ht="24" customHeight="1" spans="2:3" x14ac:dyDescent="0.25">
      <c r="B12" s="41" t="s">
        <v>171</v>
      </c>
      <c r="C12" s="26"/>
    </row>
    <row r="13" spans="2:3" x14ac:dyDescent="0.25">
      <c r="B13" s="28" t="s">
        <v>172</v>
      </c>
      <c r="C13" s="42">
        <f>IF(Drivers!G10&gt;0,'5-Year P&amp;L'!G21/Drivers!G10,0)</f>
        <v>-0.28791851</v>
      </c>
    </row>
    <row r="14" spans="2:3" x14ac:dyDescent="0.25">
      <c r="B14" s="28" t="s">
        <v>173</v>
      </c>
      <c r="C14" s="35">
        <f>IF(Drivers!G10&gt;0,Drivers!G16/Drivers!G10,0)</f>
        <v>0.51121464</v>
      </c>
    </row>
    <row r="15" spans="2:3" x14ac:dyDescent="0.25">
      <c r="B15" s="28" t="s">
        <v>174</v>
      </c>
      <c r="C15" s="30">
        <f>IF(Assumptions!D16&gt;0,Drivers!G10/Assumptions!D16,0)</f>
        <v>11270</v>
      </c>
    </row>
    <row r="16" spans="2:3" x14ac:dyDescent="0.25">
      <c r="B16" s="28" t="s">
        <v>175</v>
      </c>
      <c r="C16" s="30">
        <f>IF(Assumptions!D16&gt;0,('5-Year P&amp;L'!G12+'5-Year P&amp;L'!G13)/Assumptions!D16,0)</f>
        <v>14301</v>
      </c>
    </row>
    <row r="17" spans="2:3" x14ac:dyDescent="0.25">
      <c r="B17" s="28" t="s">
        <v>176</v>
      </c>
      <c r="C17" s="38">
        <f>'Cash Flow &amp; DSCR'!C11</f>
        <v>-1.6457711</v>
      </c>
    </row>
    <row r="18" spans="2:3" x14ac:dyDescent="0.25">
      <c r="B18" s="28" t="s">
        <v>177</v>
      </c>
      <c r="C18" s="38">
        <f>'Cash Flow &amp; DSCR'!G11</f>
        <v>-14.2150884</v>
      </c>
    </row>
    <row r="19" spans="2:3" x14ac:dyDescent="0.25">
      <c r="B19" s="28" t="s">
        <v>178</v>
      </c>
      <c r="C19" s="43">
        <v>0</v>
      </c>
    </row>
    <row r="21" spans="2:3" x14ac:dyDescent="0.25">
      <c r="B21" s="12" t="s">
        <v>179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180</v>
      </c>
      <c r="C1" s="13"/>
      <c r="D1" s="13"/>
      <c r="E1" s="13"/>
      <c r="F1" s="13"/>
      <c r="G1" s="13"/>
      <c r="H1" s="13"/>
    </row>
    <row r="2" ht="60" customHeight="1" spans="2:8" x14ac:dyDescent="0.25">
      <c r="B2" s="44" t="s">
        <v>181</v>
      </c>
      <c r="C2" s="44"/>
      <c r="D2" s="44"/>
      <c r="E2" s="44"/>
      <c r="F2" s="44"/>
      <c r="G2" s="44"/>
      <c r="H2" s="44"/>
    </row>
    <row r="4" ht="30" customHeight="1" spans="2:8" x14ac:dyDescent="0.25">
      <c r="B4" s="45" t="s">
        <v>182</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183</v>
      </c>
      <c r="C2" s="1"/>
      <c r="D2" s="1"/>
      <c r="E2" s="1"/>
      <c r="F2" s="1"/>
      <c r="G2" s="1"/>
      <c r="H2" s="1"/>
    </row>
    <row r="3" spans="2:8" x14ac:dyDescent="0.25">
      <c r="B3" s="12" t="s">
        <v>40</v>
      </c>
      <c r="C3" s="12"/>
      <c r="D3" s="12"/>
      <c r="E3" s="12"/>
      <c r="F3" s="12"/>
      <c r="G3" s="12"/>
      <c r="H3" s="12"/>
    </row>
    <row r="4" spans="2:6" x14ac:dyDescent="0.25">
      <c r="B4" s="46" t="s">
        <v>184</v>
      </c>
      <c r="D4" s="47" t="s">
        <v>185</v>
      </c>
      <c r="F4" s="48" t="s">
        <v>186</v>
      </c>
    </row>
    <row r="6" ht="24" customHeight="1" spans="2:8" x14ac:dyDescent="0.25">
      <c r="B6" s="49" t="s">
        <v>187</v>
      </c>
      <c r="C6" s="50" t="s">
        <v>114</v>
      </c>
      <c r="D6" s="50" t="s">
        <v>115</v>
      </c>
      <c r="E6" s="50" t="s">
        <v>116</v>
      </c>
      <c r="F6" s="50" t="s">
        <v>117</v>
      </c>
      <c r="G6" s="50" t="s">
        <v>118</v>
      </c>
      <c r="H6" s="50" t="s">
        <v>188</v>
      </c>
    </row>
    <row r="7" spans="2:7" x14ac:dyDescent="0.25">
      <c r="B7" s="28" t="s">
        <v>119</v>
      </c>
      <c r="C7" s="29">
        <v>120</v>
      </c>
      <c r="D7" s="29">
        <v>200</v>
      </c>
      <c r="E7" s="29">
        <v>300</v>
      </c>
      <c r="F7" s="29">
        <v>400</v>
      </c>
      <c r="G7" s="29">
        <v>500</v>
      </c>
    </row>
    <row r="8" spans="2:7" x14ac:dyDescent="0.25">
      <c r="B8" s="28" t="s">
        <v>189</v>
      </c>
      <c r="C8" s="30">
        <v>1414000</v>
      </c>
      <c r="D8" s="30">
        <v>2252650</v>
      </c>
      <c r="E8" s="30">
        <v>3345708</v>
      </c>
      <c r="F8" s="30">
        <v>4462886.32</v>
      </c>
      <c r="G8" s="30">
        <v>5634801.762</v>
      </c>
    </row>
    <row r="9" spans="2:7" x14ac:dyDescent="0.25">
      <c r="B9" s="28" t="s">
        <v>190</v>
      </c>
      <c r="C9" s="30">
        <v>985486.2857142857</v>
      </c>
      <c r="D9" s="30">
        <v>1350450.8631428573</v>
      </c>
      <c r="E9" s="30">
        <v>1851580.3737342858</v>
      </c>
      <c r="F9" s="30">
        <v>2322257.9411546146</v>
      </c>
      <c r="G9" s="30">
        <v>2880593.1775544523</v>
      </c>
    </row>
    <row r="10" spans="2:7" x14ac:dyDescent="0.25">
      <c r="B10" s="28" t="s">
        <v>191</v>
      </c>
      <c r="C10" s="30">
        <v>604000</v>
      </c>
      <c r="D10" s="30">
        <v>864193.3333333334</v>
      </c>
      <c r="E10" s="30">
        <v>1385772.8165912519</v>
      </c>
      <c r="F10" s="30">
        <v>2380453.4466264746</v>
      </c>
      <c r="G10" s="30">
        <v>4269943.712657611</v>
      </c>
    </row>
    <row r="11" spans="2:7" x14ac:dyDescent="0.25">
      <c r="B11" s="28" t="s">
        <v>192</v>
      </c>
      <c r="C11" s="30">
        <v>106628.6108154935</v>
      </c>
      <c r="D11" s="30">
        <v>106628.6108154935</v>
      </c>
      <c r="E11" s="30">
        <v>106628.6108154935</v>
      </c>
      <c r="F11" s="30">
        <v>106628.6108154935</v>
      </c>
      <c r="G11" s="30">
        <v>106628.6108154935</v>
      </c>
    </row>
    <row r="12" spans="2:7" x14ac:dyDescent="0.25">
      <c r="B12" s="31" t="s">
        <v>144</v>
      </c>
      <c r="C12" s="33">
        <v>-282114.8965297792</v>
      </c>
      <c r="D12" s="33">
        <v>-68622.80729168432</v>
      </c>
      <c r="E12" s="34">
        <v>1726.1988589687971</v>
      </c>
      <c r="F12" s="33">
        <v>-346453.6785965824</v>
      </c>
      <c r="G12" s="33">
        <v>-1622363.739027556</v>
      </c>
    </row>
    <row r="13" spans="2:7" x14ac:dyDescent="0.25">
      <c r="B13" s="31" t="s">
        <v>157</v>
      </c>
      <c r="C13" s="33">
        <v>-282114.8965297792</v>
      </c>
      <c r="D13" s="33">
        <v>-350737.7038214635</v>
      </c>
      <c r="E13" s="33">
        <v>-349011.5049624947</v>
      </c>
      <c r="F13" s="33">
        <v>-695465.1835590771</v>
      </c>
      <c r="G13" s="33">
        <v>-2317828.922586633</v>
      </c>
    </row>
    <row r="14" spans="2:7" x14ac:dyDescent="0.25">
      <c r="B14" s="31" t="s">
        <v>145</v>
      </c>
      <c r="C14" s="51">
        <v>-0.19951548552318188</v>
      </c>
      <c r="D14" s="51">
        <v>-0.03046314664581019</v>
      </c>
      <c r="E14" s="52">
        <v>0.0005159442661968101</v>
      </c>
      <c r="F14" s="51">
        <v>-0.07762995822770193</v>
      </c>
      <c r="G14" s="51">
        <v>-0.2879185120528036</v>
      </c>
    </row>
    <row r="15" spans="2:8" x14ac:dyDescent="0.25">
      <c r="B15" s="31" t="s">
        <v>193</v>
      </c>
      <c r="C15" s="53">
        <v>11783.333333333334</v>
      </c>
      <c r="D15" s="53">
        <v>11263.25</v>
      </c>
      <c r="E15" s="53">
        <v>11152.36</v>
      </c>
      <c r="F15" s="53">
        <v>11157.2158</v>
      </c>
      <c r="G15" s="53">
        <v>11269.603524</v>
      </c>
      <c r="H15" s="54" t="s">
        <v>194</v>
      </c>
    </row>
    <row r="16" spans="2:7" x14ac:dyDescent="0.25">
      <c r="B16" s="31" t="s">
        <v>195</v>
      </c>
      <c r="C16" s="36">
        <v>14134.290804414828</v>
      </c>
      <c r="D16" s="36">
        <v>11606.36403645842</v>
      </c>
      <c r="E16" s="36">
        <v>11146.606003803437</v>
      </c>
      <c r="F16" s="36">
        <v>12023.349996491457</v>
      </c>
      <c r="G16" s="36">
        <v>14514.331002055113</v>
      </c>
    </row>
    <row r="17" spans="2:7" x14ac:dyDescent="0.25">
      <c r="B17" s="28" t="s">
        <v>196</v>
      </c>
      <c r="C17" s="30">
        <v>650</v>
      </c>
      <c r="D17" s="30">
        <v>1116.6666666666667</v>
      </c>
      <c r="E17" s="30">
        <v>1918.3760683760688</v>
      </c>
      <c r="F17" s="30">
        <v>3295.671707210169</v>
      </c>
      <c r="G17" s="30">
        <v>5661.794984181573</v>
      </c>
    </row>
    <row r="18" spans="2:8" x14ac:dyDescent="0.25">
      <c r="B18" s="28" t="s">
        <v>197</v>
      </c>
      <c r="C18" s="55">
        <v>2683.3333333333335</v>
      </c>
      <c r="D18" s="53">
        <v>1658.3</v>
      </c>
      <c r="E18" s="53">
        <v>1138.6993333333332</v>
      </c>
      <c r="F18" s="53">
        <v>879.645235</v>
      </c>
      <c r="G18" s="53">
        <v>724.8276736400001</v>
      </c>
      <c r="H18" s="54" t="s">
        <v>198</v>
      </c>
    </row>
    <row r="19" spans="2:7" x14ac:dyDescent="0.25">
      <c r="B19" s="31" t="s">
        <v>199</v>
      </c>
      <c r="C19" s="40">
        <v>-2350.957471081493</v>
      </c>
      <c r="D19" s="40">
        <v>-343.1140364584216</v>
      </c>
      <c r="E19" s="56">
        <v>5.753996196562657</v>
      </c>
      <c r="F19" s="40">
        <v>-866.1341964914559</v>
      </c>
      <c r="G19" s="40">
        <v>-3244.727478055112</v>
      </c>
    </row>
    <row r="20" spans="2:8" x14ac:dyDescent="0.25">
      <c r="B20" s="31" t="s">
        <v>200</v>
      </c>
      <c r="C20" s="51">
        <v>0.6969492826833703</v>
      </c>
      <c r="D20" s="52">
        <v>0.5994943125398341</v>
      </c>
      <c r="E20" s="52">
        <v>0.5534195972076122</v>
      </c>
      <c r="F20" s="57">
        <v>0.5203488896294841</v>
      </c>
      <c r="G20" s="57">
        <v>0.5112146441389667</v>
      </c>
      <c r="H20" s="54" t="s">
        <v>201</v>
      </c>
    </row>
    <row r="21" spans="2:8" x14ac:dyDescent="0.25">
      <c r="B21" s="31" t="s">
        <v>202</v>
      </c>
      <c r="C21" s="51">
        <v>0.22772277227722773</v>
      </c>
      <c r="D21" s="57">
        <v>0.14723103899851286</v>
      </c>
      <c r="E21" s="57">
        <v>0.10210388952054393</v>
      </c>
      <c r="F21" s="57">
        <v>0.07884092687353057</v>
      </c>
      <c r="G21" s="57">
        <v>0.06431705180190153</v>
      </c>
      <c r="H21" s="54" t="s">
        <v>203</v>
      </c>
    </row>
    <row r="22" spans="2:8" x14ac:dyDescent="0.25">
      <c r="B22" s="31" t="s">
        <v>142</v>
      </c>
      <c r="C22" s="51">
        <v>-0.12410628409779752</v>
      </c>
      <c r="D22" s="52">
        <v>0.016871597240498658</v>
      </c>
      <c r="E22" s="52">
        <v>0.03238621232769336</v>
      </c>
      <c r="F22" s="51">
        <v>-0.0537376600220211</v>
      </c>
      <c r="G22" s="51">
        <v>-0.26899528896187336</v>
      </c>
      <c r="H22" s="54" t="s">
        <v>204</v>
      </c>
    </row>
    <row r="23" spans="2:8" x14ac:dyDescent="0.25">
      <c r="B23" s="31" t="s">
        <v>205</v>
      </c>
      <c r="C23" s="58">
        <v>3</v>
      </c>
      <c r="D23" s="58">
        <v>3</v>
      </c>
      <c r="E23" s="58">
        <v>3</v>
      </c>
      <c r="F23" s="58">
        <v>3</v>
      </c>
      <c r="G23" s="58">
        <v>3</v>
      </c>
      <c r="H23" s="54" t="s">
        <v>206</v>
      </c>
    </row>
    <row r="24" spans="2:8" x14ac:dyDescent="0.25">
      <c r="B24" s="31" t="s">
        <v>207</v>
      </c>
      <c r="C24" s="59">
        <v>-1.645771096258031</v>
      </c>
      <c r="D24" s="59">
        <v>0.35643157341300485</v>
      </c>
      <c r="E24" s="59">
        <v>1.0161888900715002</v>
      </c>
      <c r="F24" s="59">
        <v>-2.2491624522434597</v>
      </c>
      <c r="G24" s="59">
        <v>-14.215088395316705</v>
      </c>
      <c r="H24" s="54" t="s">
        <v>208</v>
      </c>
    </row>
    <row r="25" spans="2:8" x14ac:dyDescent="0.25">
      <c r="B25" s="31" t="s">
        <v>209</v>
      </c>
      <c r="C25" s="60" t="str">
        <f>IF('5-Year P&amp;L'!C24&gt;=0,"✓ Break-even","")</f>
        <v>0</v>
      </c>
      <c r="D25" s="60" t="str">
        <f>IF(AND('5-Year P&amp;L'!D24&gt;=0,'5-Year P&amp;L'!C24&lt;0),"✓ Break-even","")</f>
        <v>0</v>
      </c>
      <c r="E25" s="60" t="str">
        <f>IF(AND('5-Year P&amp;L'!E24&gt;=0,'5-Year P&amp;L'!D24&lt;0),"✓ Break-even","")</f>
        <v>0</v>
      </c>
      <c r="F25" s="60" t="str">
        <f>IF(AND('5-Year P&amp;L'!F24&gt;=0,'5-Year P&amp;L'!E24&lt;0),"✓ Break-even","")</f>
        <v>0</v>
      </c>
      <c r="G25" s="60" t="str">
        <f>IF(AND('5-Year P&amp;L'!G24&gt;=0,'5-Year P&amp;L'!F24&lt;0),"✓ Break-even","")</f>
        <v>0</v>
      </c>
      <c r="H25" s="54" t="s">
        <v>114</v>
      </c>
    </row>
    <row r="26" spans="2:8" x14ac:dyDescent="0.25">
      <c r="B26" s="31" t="s">
        <v>210</v>
      </c>
      <c r="C26" s="61">
        <v>-2</v>
      </c>
      <c r="D26" s="61">
        <v>-2</v>
      </c>
      <c r="E26" s="61">
        <v>-1</v>
      </c>
      <c r="F26" s="61">
        <v>-2</v>
      </c>
      <c r="G26" s="61">
        <v>-4</v>
      </c>
      <c r="H26" s="54" t="s">
        <v>211</v>
      </c>
    </row>
    <row r="27" spans="2:8" x14ac:dyDescent="0.25">
      <c r="B27" s="31" t="s">
        <v>212</v>
      </c>
      <c r="C27" s="61">
        <v>0</v>
      </c>
      <c r="D27" s="61">
        <v>0</v>
      </c>
      <c r="E27" s="61">
        <v>0</v>
      </c>
      <c r="F27" s="61">
        <v>0</v>
      </c>
      <c r="G27" s="61">
        <v>0</v>
      </c>
      <c r="H27" s="54" t="s">
        <v>213</v>
      </c>
    </row>
    <row r="29" ht="24" customHeight="1" spans="2:8" x14ac:dyDescent="0.25">
      <c r="B29" s="49" t="s">
        <v>214</v>
      </c>
      <c r="C29" s="49" t="s">
        <v>215</v>
      </c>
      <c r="D29" s="49" t="s">
        <v>216</v>
      </c>
      <c r="E29" s="49"/>
      <c r="F29" s="49" t="s">
        <v>217</v>
      </c>
      <c r="G29" s="49"/>
      <c r="H29" s="49"/>
    </row>
    <row r="30" ht="45" customHeight="1" spans="2:8" x14ac:dyDescent="0.25">
      <c r="B30" s="62" t="s">
        <v>218</v>
      </c>
      <c r="C30" s="63" t="s">
        <v>219</v>
      </c>
      <c r="D30" s="64" t="s">
        <v>220</v>
      </c>
      <c r="E30" s="64"/>
      <c r="F30" s="65" t="s">
        <v>221</v>
      </c>
      <c r="G30" s="65"/>
      <c r="H30" s="65"/>
    </row>
    <row r="31" ht="45" customHeight="1" spans="2:8" x14ac:dyDescent="0.25">
      <c r="B31" s="62" t="s">
        <v>222</v>
      </c>
      <c r="C31" s="63" t="s">
        <v>219</v>
      </c>
      <c r="D31" s="64" t="s">
        <v>223</v>
      </c>
      <c r="E31" s="64"/>
      <c r="F31" s="65" t="s">
        <v>224</v>
      </c>
      <c r="G31" s="65"/>
      <c r="H31" s="65"/>
    </row>
    <row r="32" ht="45" customHeight="1" spans="2:8" x14ac:dyDescent="0.25">
      <c r="B32" s="62" t="s">
        <v>225</v>
      </c>
      <c r="C32" s="66" t="s">
        <v>226</v>
      </c>
      <c r="D32" s="64" t="s">
        <v>227</v>
      </c>
      <c r="E32" s="64"/>
      <c r="F32" s="65" t="s">
        <v>228</v>
      </c>
      <c r="G32" s="65"/>
      <c r="H32" s="65"/>
    </row>
    <row r="33" ht="45" customHeight="1" spans="2:8" x14ac:dyDescent="0.25">
      <c r="B33" s="62" t="s">
        <v>229</v>
      </c>
      <c r="C33" s="66" t="s">
        <v>226</v>
      </c>
      <c r="D33" s="64" t="s">
        <v>230</v>
      </c>
      <c r="E33" s="64"/>
      <c r="F33" s="65" t="s">
        <v>231</v>
      </c>
      <c r="G33" s="65"/>
      <c r="H33" s="65"/>
    </row>
    <row r="34" ht="45" customHeight="1" spans="2:8" x14ac:dyDescent="0.25">
      <c r="B34" s="62" t="s">
        <v>232</v>
      </c>
      <c r="C34" s="63" t="s">
        <v>219</v>
      </c>
      <c r="D34" s="64" t="s">
        <v>233</v>
      </c>
      <c r="E34" s="64"/>
      <c r="F34" s="65" t="s">
        <v>234</v>
      </c>
      <c r="G34" s="65"/>
      <c r="H34" s="65"/>
    </row>
    <row r="35" ht="45" customHeight="1" spans="2:8" x14ac:dyDescent="0.25">
      <c r="B35" s="62" t="s">
        <v>235</v>
      </c>
      <c r="C35" s="66" t="s">
        <v>226</v>
      </c>
      <c r="D35" s="64" t="s">
        <v>236</v>
      </c>
      <c r="E35" s="64"/>
      <c r="F35" s="65" t="s">
        <v>237</v>
      </c>
      <c r="G35" s="65"/>
      <c r="H35" s="65"/>
    </row>
    <row r="36" ht="45" customHeight="1" spans="2:8" x14ac:dyDescent="0.25">
      <c r="B36" s="62" t="s">
        <v>238</v>
      </c>
      <c r="C36" s="63" t="s">
        <v>219</v>
      </c>
      <c r="D36" s="64" t="s">
        <v>239</v>
      </c>
      <c r="E36" s="64"/>
      <c r="F36" s="65" t="s">
        <v>240</v>
      </c>
      <c r="G36" s="65"/>
      <c r="H36" s="65"/>
    </row>
    <row r="38" spans="2:6" x14ac:dyDescent="0.25">
      <c r="B38" s="62" t="s">
        <v>39</v>
      </c>
      <c r="C38" s="31" t="s">
        <v>241</v>
      </c>
      <c r="D38" s="31"/>
      <c r="E38" s="31"/>
      <c r="F38" s="31"/>
    </row>
    <row r="40" spans="2:8" x14ac:dyDescent="0.25">
      <c r="B40" s="67" t="s">
        <v>242</v>
      </c>
      <c r="C40" s="67"/>
      <c r="D40" s="67"/>
      <c r="E40" s="67"/>
      <c r="F40" s="67"/>
      <c r="G40" s="67"/>
      <c r="H40" s="67"/>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2026-05-01T17:42:47Z</dcterms:created>
  <dcterms:modified xsi:type="dcterms:W3CDTF">2026-05-01T17:42:47Z</dcterms:modified>
</cp:coreProperties>
</file>