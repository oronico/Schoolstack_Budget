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<sst xmlns="http://schemas.openxmlformats.org/spreadsheetml/2006/main" count="289" uniqueCount="232">
  <si>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</si>
  <si>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</si>
  <si>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</si>
  <si>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</si>
  <si>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</si>
  <si>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</si>
  <si>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</si>
  <si>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</si>
  <si>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</si>
  <si>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</si>
  <si>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</si>
  <si>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</si>
  <si>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</si>
  <si>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</si>
  <si>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</si>
  <si>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</si>
  <si>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</si>
  <si>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</si>
  <si>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</si>
  <si>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</si>
  <si>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</si>
  <si>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</si>
  <si>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</si>
  <si>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</si>
  <si>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</si>
  <si>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</si>
  <si>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</si>
  <si>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</si>
  <si>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</si>
  <si>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</si>
  <si>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</si>
  <si>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</si>
  <si>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</si>
  <si>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</si>
  <si>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</si>
  <si>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</si>
  <si>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</si>
  <si>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</si>
  <si>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</si>
  <si>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</si>
  <si>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</si>
  <si>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</si>
  <si>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</si>
  <si>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</si>
  <si>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</si>
  <si>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</si>
  <si>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</si>
  <si>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</si>
  <si>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</si>
  <si>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</si>
  <si>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</si>
  <si>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</si>
  <si>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</si>
  <si>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</si>
  <si>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</si>
  <si>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</si>
  <si>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</si>
  <si>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</si>
  <si>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</si>
  <si>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</si>
  <si>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</si>
  <si>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</si>
  <si>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</si>
  <si>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</si>
  <si>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</si>
  <si>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</si>
  <si>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</si>
  <si>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</si>
  <si>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</si>
  <si>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</si>
  <si>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</si>
  <si>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</si>
  <si>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</si>
  <si>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</si>
  <si>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</si>
  <si>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</si>
  <si>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</si>
  <si>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</si>
  <si>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</si>
  <si>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</si>
  <si>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</si>
  <si>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</si>
  <si>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</si>
  <si>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</si>
  <si>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</si>
  <si>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</si>
  <si>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</si>
  <si>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</si>
  <si>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</si>
  <si>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</si>
  <si>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</si>
  <si>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</si>
  <si>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</si>
  <si>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</si>
  <si>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</si>
  <si>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</si>
  <si>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</si>
  <si>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</si>
  <si>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</si>
  <si>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</si>
  <si>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</si>
  <si>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</si>
  <si>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</si>
  <si>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</si>
  <si>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</si>
  <si>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</si>
  <si>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</si>
  <si>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</si>
  <si>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</si>
  <si>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</si>
  <si>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</si>
  <si>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</si>
  <si>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</si>
  <si>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</si>
  <si>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</si>
  <si>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</si>
  <si>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</si>
  <si>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</si>
  <si>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</si>
  <si>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</si>
  <si>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</si>
  <si>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</si>
  <si>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</si>
  <si>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</si>
  <si>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</si>
  <si>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</si>
  <si>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</si>
  <si>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</si>
  <si>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</si>
  <si>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</si>
  <si>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</si>
  <si>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</si>
  <si>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</si>
  <si>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</si>
  <si>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</si>
  <si>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</si>
  <si>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</si>
  <si>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</si>
  <si>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</si>
  <si>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</si>
  <si>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</si>
  <si>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</si>
  <si>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</si>
  <si>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</si>
  <si>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</si>
  <si>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</si>
  <si>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</si>
  <si>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</si>
  <si>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</si>
  <si>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</si>
  <si>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</si>
  <si>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</si>
  <si>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</si>
  <si>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</si>
  <si>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</si>
  <si>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</si>
  <si>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</si>
  <si>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</si>
  <si>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</si>
  <si>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</si>
  <si>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</si>
  <si>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</si>
  <si>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</si>
  <si>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</si>
  <si>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</si>
  <si>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</si>
  <si>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</si>
  <si>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</si>
  <si>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</si>
  <si>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</si>
  <si>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</si>
  <si>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</si>
  <si>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</si>
  <si>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</si>
  <si>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</si>
  <si>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</si>
  <si>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</si>
  <si>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</si>
  <si>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</si>
  <si>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</si>
  <si>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</si>
  <si>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</si>
  <si>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</si>
  <si>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</si>
  <si>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</si>
  <si>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</si>
  <si>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</si>
  <si>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</si>
  <si>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</si>
  <si>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</si>
  <si>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</si>
  <si>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</si>
  <si>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</si>
  <si>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</si>
  <si>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</si>
  <si>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</si>
  <si>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</si>
  <si>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</si>
  <si>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</si>
  <si>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</si>
  <si>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</si>
  <si>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</si>
  <si>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</si>
  <si>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</si>
  <si>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</si>
  <si>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</si>
  <si>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</si>
  <si>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</si>
  <si>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</si>
  <si>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</si>
  <si>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</si>
  <si>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</si>
  <si>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</si>
  <si>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</si>
  <si>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</si>
  <si>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</si>
  <si>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</si>
  <si>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</si>
  <si>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</si>
  <si>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</si>
  <si>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</si>
  <si>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</si>
  <si>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</si>
  <si>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</si>
  <si>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</si>
  <si>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</si>
  <si>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</si>
  <si>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</si>
  <si>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</si>
  <si>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</si>
  <si>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3 Healthy  |  0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</si>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</sst>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7" fillId="3" borderId="5" xfId="0" applyNumberFormat="1" applyFont="1" applyFill="1" applyBorder="1" applyAlignment="1">
      <alignment horizontal="right"/>
    </xf>
    <xf numFmtId="164" fontId="17" fillId="3" borderId="5" xfId="0" applyNumberFormat="1" applyFont="1" applyFill="1" applyBorder="1" applyAlignment="1">
      <alignment horizontal="right"/>
    </xf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7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0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4" ht="24" customHeight="1" spans="2:4" x14ac:dyDescent="0.25">
      <c r="B64" s="17" t="s">
        <v>95</v>
      </c>
      <c r="C64" s="17"/>
      <c r="D64" s="17"/>
    </row>
    <row r="66" spans="3:4" x14ac:dyDescent="0.25">
      <c r="C66" s="18" t="s">
        <v>96</v>
      </c>
      <c r="D66" s="19" t="s">
        <v>97</v>
      </c>
    </row>
    <row r="67" spans="3:4" x14ac:dyDescent="0.25">
      <c r="C67" s="18" t="s">
        <v>98</v>
      </c>
      <c r="D67" s="19" t="s">
        <v>99</v>
      </c>
    </row>
    <row r="68" spans="3:4" x14ac:dyDescent="0.25">
      <c r="C68" s="18" t="s">
        <v>100</v>
      </c>
      <c r="D68" s="20">
        <v>0</v>
      </c>
    </row>
    <row r="69" spans="3:4" x14ac:dyDescent="0.25">
      <c r="C69" s="18" t="s">
        <v>101</v>
      </c>
      <c r="D69" s="20">
        <v>0</v>
      </c>
    </row>
    <row r="70" spans="3:4" x14ac:dyDescent="0.25">
      <c r="C70" s="18" t="s">
        <v>102</v>
      </c>
      <c r="D70" s="23">
        <v>0.95</v>
      </c>
    </row>
    <row r="71" spans="3:4" x14ac:dyDescent="0.25">
      <c r="C71" s="18" t="s">
        <v>103</v>
      </c>
      <c r="D71" s="21">
        <v>8200</v>
      </c>
    </row>
    <row r="72" spans="3:4" x14ac:dyDescent="0.25">
      <c r="C72" s="18" t="s">
        <v>104</v>
      </c>
      <c r="D72" s="21">
        <v>9100</v>
      </c>
    </row>
    <row r="73" spans="3:4" x14ac:dyDescent="0.25">
      <c r="C73" s="18" t="s">
        <v>105</v>
      </c>
      <c r="D73" s="21">
        <v>10500</v>
      </c>
    </row>
    <row r="75" spans="3:4" x14ac:dyDescent="0.25">
      <c r="C75" s="24" t="s">
        <v>106</v>
      </c>
      <c r="D75" s="24"/>
    </row>
    <row r="76" spans="3:4" x14ac:dyDescent="0.25">
      <c r="C76" s="18" t="s">
        <v>107</v>
      </c>
      <c r="D76" s="25" t="s">
        <v>108</v>
      </c>
    </row>
    <row r="77" spans="3:4" x14ac:dyDescent="0.25">
      <c r="C77" s="18" t="s">
        <v>109</v>
      </c>
      <c r="D77" s="25" t="s">
        <v>110</v>
      </c>
    </row>
    <row r="78" spans="3:4" x14ac:dyDescent="0.25">
      <c r="C78" s="18" t="s">
        <v>111</v>
      </c>
      <c r="D78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  <row r="19" spans="2:7" x14ac:dyDescent="0.25">
      <c r="B19" s="28" t="s">
        <v>143</v>
      </c>
      <c r="C19" s="30">
        <f>'Cash Flow &amp; DSCR'!C9</f>
        <v>106628.61081549</v>
      </c>
      <c r="D19" s="30">
        <f>'Cash Flow &amp; DSCR'!D9</f>
        <v>106628.61081549</v>
      </c>
      <c r="E19" s="30">
        <f>'Cash Flow &amp; DSCR'!E9</f>
        <v>106628.61081549</v>
      </c>
      <c r="F19" s="30">
        <f>'Cash Flow &amp; DSCR'!F9</f>
        <v>106628.61081549</v>
      </c>
      <c r="G19" s="30">
        <f>'Cash Flow &amp; DSCR'!G9</f>
        <v>106628.61081549</v>
      </c>
    </row>
    <row r="21" spans="2:7" x14ac:dyDescent="0.25">
      <c r="B21" s="31" t="s">
        <v>144</v>
      </c>
      <c r="C21" s="33">
        <f>C16-C19</f>
        <v>-282114.89652978</v>
      </c>
      <c r="D21" s="33">
        <f>D16-D19</f>
        <v>-68622.80729168</v>
      </c>
      <c r="E21" s="34">
        <f>E16-E19</f>
        <v>1726.19885897</v>
      </c>
      <c r="F21" s="33">
        <f>F16-F19</f>
        <v>-346453.67859658</v>
      </c>
      <c r="G21" s="33">
        <f>G16-G19</f>
        <v>-1622363.73902756</v>
      </c>
    </row>
    <row r="22" spans="2:7" x14ac:dyDescent="0.25">
      <c r="B22" s="28" t="s">
        <v>145</v>
      </c>
      <c r="C22" s="35">
        <f>IF(C10&gt;0,C21/C10,0)</f>
        <v>-0.19951549</v>
      </c>
      <c r="D22" s="35">
        <f>IF(D10&gt;0,D21/D10,0)</f>
        <v>-0.03046315</v>
      </c>
      <c r="E22" s="35">
        <f>IF(E10&gt;0,E21/E10,0)</f>
        <v>0.00051594</v>
      </c>
      <c r="F22" s="35">
        <f>IF(F10&gt;0,F21/F10,0)</f>
        <v>-0.07762996</v>
      </c>
      <c r="G22" s="35">
        <f>IF(G10&gt;0,G21/G10,0)</f>
        <v>-0.28791851</v>
      </c>
    </row>
    <row r="24" spans="2:7" x14ac:dyDescent="0.25">
      <c r="B24" s="31" t="s">
        <v>146</v>
      </c>
      <c r="C24" s="36">
        <f>C21</f>
        <v>-282114.89652978</v>
      </c>
      <c r="D24" s="36">
        <f>C24+D21</f>
        <v>-350737.70382146</v>
      </c>
      <c r="E24" s="36">
        <f>D24+E21</f>
        <v>-349011.50496249</v>
      </c>
      <c r="F24" s="36">
        <f>E24+F21</f>
        <v>-695465.18355908</v>
      </c>
      <c r="G24" s="36">
        <f>F24+G21</f>
        <v>-2317828.92258663</v>
      </c>
    </row>
    <row r="25" spans="2:7" x14ac:dyDescent="0.25">
      <c r="B25" s="31" t="s">
        <v>147</v>
      </c>
      <c r="C25" s="37" t="s">
        <v>7</v>
      </c>
      <c r="D25" s="37" t="s">
        <v>7</v>
      </c>
      <c r="E25" s="37" t="s">
        <v>7</v>
      </c>
      <c r="F25" s="37" t="s">
        <v>7</v>
      </c>
      <c r="G25" s="37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31" t="s">
        <v>149</v>
      </c>
      <c r="C4" s="36" t="str">
        <f>Assumptions!D57</f>
        <v>0</v>
      </c>
      <c r="D4" s="36">
        <f>C16</f>
        <v>-282114.89652978</v>
      </c>
      <c r="E4" s="36">
        <f>D16</f>
        <v>-350737.70382146</v>
      </c>
      <c r="F4" s="36">
        <f>E16</f>
        <v>-349011.50496249</v>
      </c>
      <c r="G4" s="36">
        <f>F16</f>
        <v>-695465.18355908</v>
      </c>
    </row>
    <row r="5" spans="2:7" x14ac:dyDescent="0.25">
      <c r="B5" s="28" t="s">
        <v>150</v>
      </c>
      <c r="C5" s="30">
        <f>'5-Year P&amp;L'!C16</f>
        <v>-175486.28571429</v>
      </c>
      <c r="D5" s="30">
        <f>'5-Year P&amp;L'!D16</f>
        <v>38005.80352381</v>
      </c>
      <c r="E5" s="30">
        <f>'5-Year P&amp;L'!E16</f>
        <v>108354.80967446</v>
      </c>
      <c r="F5" s="30">
        <f>'5-Year P&amp;L'!F16</f>
        <v>-239825.06778109</v>
      </c>
      <c r="G5" s="30">
        <f>'5-Year P&amp;L'!G16</f>
        <v>-1515735.12821206</v>
      </c>
    </row>
    <row r="7" spans="2:7" x14ac:dyDescent="0.25">
      <c r="B7" s="28" t="s">
        <v>151</v>
      </c>
      <c r="C7" s="30">
        <f>Assumptions!D58</f>
        <v>60000</v>
      </c>
      <c r="D7" s="30">
        <f>Assumptions!D58</f>
        <v>60000</v>
      </c>
      <c r="E7" s="30">
        <f>Assumptions!D58</f>
        <v>60000</v>
      </c>
      <c r="F7" s="30">
        <f>Assumptions!D58</f>
        <v>60000</v>
      </c>
      <c r="G7" s="30">
        <f>Assumptions!D58</f>
        <v>60000</v>
      </c>
    </row>
    <row r="8" spans="2:7" x14ac:dyDescent="0.25">
      <c r="B8" s="28" t="s">
        <v>152</v>
      </c>
      <c r="C8" s="30">
        <f>IF(Assumptions!D59&gt;0,PMT(Assumptions!D60/12,Assumptions!D61*12,-Assumptions!D59)*12,0)</f>
        <v>46628.61081549</v>
      </c>
      <c r="D8" s="30">
        <f>IF(Assumptions!D59&gt;0,PMT(Assumptions!D60/12,Assumptions!D61*12,-Assumptions!D59)*12,0)</f>
        <v>46628.61081549</v>
      </c>
      <c r="E8" s="30">
        <f>IF(Assumptions!D59&gt;0,PMT(Assumptions!D60/12,Assumptions!D61*12,-Assumptions!D59)*12,0)</f>
        <v>46628.61081549</v>
      </c>
      <c r="F8" s="30">
        <f>IF(Assumptions!D59&gt;0,PMT(Assumptions!D60/12,Assumptions!D61*12,-Assumptions!D59)*12,0)</f>
        <v>46628.61081549</v>
      </c>
      <c r="G8" s="30">
        <f>IF(Assumptions!D59&gt;0,PMT(Assumptions!D60/12,Assumptions!D61*12,-Assumptions!D59)*12,0)</f>
        <v>46628.61081549</v>
      </c>
    </row>
    <row r="9" spans="2:7" x14ac:dyDescent="0.25">
      <c r="B9" s="31" t="s">
        <v>153</v>
      </c>
      <c r="C9" s="32">
        <f>C7+C8</f>
        <v>106628.61081549</v>
      </c>
      <c r="D9" s="32">
        <f>D7+D8</f>
        <v>106628.61081549</v>
      </c>
      <c r="E9" s="32">
        <f>E7+E8</f>
        <v>106628.61081549</v>
      </c>
      <c r="F9" s="32">
        <f>F7+F8</f>
        <v>106628.61081549</v>
      </c>
      <c r="G9" s="32">
        <f>G7+G8</f>
        <v>106628.61081549</v>
      </c>
    </row>
    <row r="11" spans="2:7" x14ac:dyDescent="0.25">
      <c r="B11" s="31" t="s">
        <v>154</v>
      </c>
      <c r="C11" s="38">
        <f>IF(C9&gt;0,C5/C9,IF(C5&gt;0,99.9,0))</f>
        <v>-1.6457711</v>
      </c>
      <c r="D11" s="38">
        <f>IF(D9&gt;0,D5/D9,IF(D5&gt;0,99.9,0))</f>
        <v>0.35643157</v>
      </c>
      <c r="E11" s="39">
        <f>IF(E9&gt;0,E5/E9,IF(E5&gt;0,99.9,0))</f>
        <v>1.01618889</v>
      </c>
      <c r="F11" s="38">
        <f>IF(F9&gt;0,F5/F9,IF(F5&gt;0,99.9,0))</f>
        <v>-2.24916245</v>
      </c>
      <c r="G11" s="38">
        <f>IF(G9&gt;0,G5/G9,IF(G5&gt;0,99.9,0))</f>
        <v>-14.2150884</v>
      </c>
    </row>
    <row r="13" spans="2:7" x14ac:dyDescent="0.25">
      <c r="B13" s="28" t="s">
        <v>155</v>
      </c>
      <c r="C13" s="30">
        <f>C5-C9</f>
        <v>-282114.89652978</v>
      </c>
      <c r="D13" s="30">
        <f>D5-D9</f>
        <v>-68622.80729168</v>
      </c>
      <c r="E13" s="30">
        <f>E5-E9</f>
        <v>1726.19885897</v>
      </c>
      <c r="F13" s="30">
        <f>F5-F9</f>
        <v>-346453.67859658</v>
      </c>
      <c r="G13" s="30">
        <f>G5-G9</f>
        <v>-1622363.73902756</v>
      </c>
    </row>
    <row r="14" spans="2:7" x14ac:dyDescent="0.25">
      <c r="B14" s="31" t="s">
        <v>156</v>
      </c>
      <c r="C14" s="36">
        <f>C5-C9</f>
        <v>-282114.89652978</v>
      </c>
      <c r="D14" s="36">
        <f>D5-D9</f>
        <v>-68622.80729168</v>
      </c>
      <c r="E14" s="36">
        <f>E5-E9</f>
        <v>1726.19885897</v>
      </c>
      <c r="F14" s="36">
        <f>F5-F9</f>
        <v>-346453.67859658</v>
      </c>
      <c r="G14" s="36">
        <f>G5-G9</f>
        <v>-1622363.73902756</v>
      </c>
    </row>
    <row r="16" spans="2:7" x14ac:dyDescent="0.25">
      <c r="B16" s="31" t="s">
        <v>157</v>
      </c>
      <c r="C16" s="33">
        <f>C4+C14</f>
        <v>-282114.89652978</v>
      </c>
      <c r="D16" s="33">
        <f>D4+D14</f>
        <v>-350737.70382146</v>
      </c>
      <c r="E16" s="33">
        <f>E4+E14</f>
        <v>-349011.50496249</v>
      </c>
      <c r="F16" s="33">
        <f>F4+F14</f>
        <v>-695465.18355908</v>
      </c>
      <c r="G16" s="33">
        <f>G4+G14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158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159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160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161</v>
      </c>
      <c r="C6" s="40">
        <f>C4+C5</f>
        <v>15</v>
      </c>
      <c r="D6" s="40">
        <f>D4+D5</f>
        <v>21</v>
      </c>
      <c r="E6" s="40">
        <f>E4+E5</f>
        <v>29</v>
      </c>
      <c r="F6" s="40">
        <f>F4+F5</f>
        <v>36</v>
      </c>
      <c r="G6" s="4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162</v>
      </c>
      <c r="C1" s="13"/>
    </row>
    <row r="3" spans="2:3" x14ac:dyDescent="0.25">
      <c r="B3" s="28" t="s">
        <v>163</v>
      </c>
      <c r="C3" s="30">
        <f>Assumptions!D59</f>
        <v>350000</v>
      </c>
    </row>
    <row r="4" spans="2:3" x14ac:dyDescent="0.25">
      <c r="B4" s="28" t="s">
        <v>164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165</v>
      </c>
      <c r="C6" s="36">
        <f>IF(Assumptions!D59&gt;0,PMT(Assumptions!D60/12,Assumptions!D61*12,-Assumptions!D59)*12,0)</f>
        <v>46628.61081549</v>
      </c>
    </row>
    <row r="8" spans="2:3" x14ac:dyDescent="0.25">
      <c r="B8" s="28" t="s">
        <v>166</v>
      </c>
      <c r="C8" s="38">
        <f>'Cash Flow &amp; DSCR'!C11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167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168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169</v>
      </c>
      <c r="C9" s="30">
        <f>Drivers!G10</f>
        <v>5634801.762</v>
      </c>
    </row>
    <row r="10" spans="2:3" x14ac:dyDescent="0.25">
      <c r="B10" s="28" t="s">
        <v>170</v>
      </c>
      <c r="C10" s="41">
        <f>'5-Year P&amp;L'!G16</f>
        <v>-1515735.12821206</v>
      </c>
    </row>
    <row r="12" ht="24" customHeight="1" spans="2:3" x14ac:dyDescent="0.25">
      <c r="B12" s="42" t="s">
        <v>171</v>
      </c>
      <c r="C12" s="26"/>
    </row>
    <row r="13" spans="2:3" x14ac:dyDescent="0.25">
      <c r="B13" s="28" t="s">
        <v>172</v>
      </c>
      <c r="C13" s="43">
        <f>IF(Drivers!G10&gt;0,'5-Year P&amp;L'!G21/Drivers!G10,0)</f>
        <v>-0.28791851</v>
      </c>
    </row>
    <row r="14" spans="2:3" x14ac:dyDescent="0.25">
      <c r="B14" s="28" t="s">
        <v>173</v>
      </c>
      <c r="C14" s="35">
        <f>IF(Drivers!G10&gt;0,Drivers!G16/Drivers!G10,0)</f>
        <v>0.51121464</v>
      </c>
    </row>
    <row r="15" spans="2:3" x14ac:dyDescent="0.25">
      <c r="B15" s="28" t="s">
        <v>174</v>
      </c>
      <c r="C15" s="30">
        <f>IF(Assumptions!D16&gt;0,Drivers!G10/Assumptions!D16,0)</f>
        <v>11270</v>
      </c>
    </row>
    <row r="16" spans="2:3" x14ac:dyDescent="0.25">
      <c r="B16" s="28" t="s">
        <v>175</v>
      </c>
      <c r="C16" s="30">
        <f>IF(Assumptions!D16&gt;0,('5-Year P&amp;L'!G12+'5-Year P&amp;L'!G13)/Assumptions!D16,0)</f>
        <v>14301</v>
      </c>
    </row>
    <row r="17" spans="2:3" x14ac:dyDescent="0.25">
      <c r="B17" s="28" t="s">
        <v>176</v>
      </c>
      <c r="C17" s="38">
        <f>'Cash Flow &amp; DSCR'!C11</f>
        <v>-1.6457711</v>
      </c>
    </row>
    <row r="18" spans="2:3" x14ac:dyDescent="0.25">
      <c r="B18" s="28" t="s">
        <v>177</v>
      </c>
      <c r="C18" s="38">
        <f>'Cash Flow &amp; DSCR'!G11</f>
        <v>-14.2150884</v>
      </c>
    </row>
    <row r="20" spans="2:3" x14ac:dyDescent="0.25">
      <c r="B20" s="12" t="s">
        <v>178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179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4" t="s">
        <v>180</v>
      </c>
      <c r="D4" s="45" t="s">
        <v>181</v>
      </c>
      <c r="F4" s="46" t="s">
        <v>182</v>
      </c>
    </row>
    <row r="6" ht="24" customHeight="1" spans="2:8" x14ac:dyDescent="0.25">
      <c r="B6" s="47" t="s">
        <v>183</v>
      </c>
      <c r="C6" s="48" t="s">
        <v>114</v>
      </c>
      <c r="D6" s="48" t="s">
        <v>115</v>
      </c>
      <c r="E6" s="48" t="s">
        <v>116</v>
      </c>
      <c r="F6" s="48" t="s">
        <v>117</v>
      </c>
      <c r="G6" s="48" t="s">
        <v>118</v>
      </c>
      <c r="H6" s="48" t="s">
        <v>184</v>
      </c>
    </row>
    <row r="7" spans="2:7" x14ac:dyDescent="0.25">
      <c r="B7" s="28" t="s">
        <v>119</v>
      </c>
      <c r="C7" s="29">
        <v>120</v>
      </c>
      <c r="D7" s="29">
        <v>200</v>
      </c>
      <c r="E7" s="29">
        <v>300</v>
      </c>
      <c r="F7" s="29">
        <v>400</v>
      </c>
      <c r="G7" s="29">
        <v>500</v>
      </c>
    </row>
    <row r="8" spans="2:7" x14ac:dyDescent="0.25">
      <c r="B8" s="28" t="s">
        <v>185</v>
      </c>
      <c r="C8" s="30">
        <v>1414000</v>
      </c>
      <c r="D8" s="30">
        <v>2252650</v>
      </c>
      <c r="E8" s="30">
        <v>3345708</v>
      </c>
      <c r="F8" s="30">
        <v>4462886.32</v>
      </c>
      <c r="G8" s="30">
        <v>5634801.762</v>
      </c>
    </row>
    <row r="9" spans="2:7" x14ac:dyDescent="0.25">
      <c r="B9" s="28" t="s">
        <v>186</v>
      </c>
      <c r="C9" s="30">
        <v>985486.2857142857</v>
      </c>
      <c r="D9" s="30">
        <v>1350450.8631428573</v>
      </c>
      <c r="E9" s="30">
        <v>1851580.3737342858</v>
      </c>
      <c r="F9" s="30">
        <v>2322257.9411546146</v>
      </c>
      <c r="G9" s="30">
        <v>2880593.1775544523</v>
      </c>
    </row>
    <row r="10" spans="2:7" x14ac:dyDescent="0.25">
      <c r="B10" s="28" t="s">
        <v>187</v>
      </c>
      <c r="C10" s="30">
        <v>604000</v>
      </c>
      <c r="D10" s="30">
        <v>864193.3333333334</v>
      </c>
      <c r="E10" s="30">
        <v>1385772.8165912519</v>
      </c>
      <c r="F10" s="30">
        <v>2380453.4466264746</v>
      </c>
      <c r="G10" s="30">
        <v>4269943.712657611</v>
      </c>
    </row>
    <row r="11" spans="2:7" x14ac:dyDescent="0.25">
      <c r="B11" s="28" t="s">
        <v>188</v>
      </c>
      <c r="C11" s="30">
        <v>106628.6108154935</v>
      </c>
      <c r="D11" s="30">
        <v>106628.6108154935</v>
      </c>
      <c r="E11" s="30">
        <v>106628.6108154935</v>
      </c>
      <c r="F11" s="30">
        <v>106628.6108154935</v>
      </c>
      <c r="G11" s="30">
        <v>106628.6108154935</v>
      </c>
    </row>
    <row r="12" spans="2:7" x14ac:dyDescent="0.25">
      <c r="B12" s="31" t="s">
        <v>144</v>
      </c>
      <c r="C12" s="33">
        <v>-282114.8965297792</v>
      </c>
      <c r="D12" s="33">
        <v>-68622.80729168432</v>
      </c>
      <c r="E12" s="34">
        <v>1726.1988589687971</v>
      </c>
      <c r="F12" s="33">
        <v>-346453.6785965824</v>
      </c>
      <c r="G12" s="33">
        <v>-1622363.739027556</v>
      </c>
    </row>
    <row r="13" spans="2:7" x14ac:dyDescent="0.25">
      <c r="B13" s="31" t="s">
        <v>157</v>
      </c>
      <c r="C13" s="33">
        <v>-282114.8965297792</v>
      </c>
      <c r="D13" s="33">
        <v>-350737.7038214635</v>
      </c>
      <c r="E13" s="33">
        <v>-349011.5049624947</v>
      </c>
      <c r="F13" s="33">
        <v>-695465.1835590771</v>
      </c>
      <c r="G13" s="33">
        <v>-2317828.922586633</v>
      </c>
    </row>
    <row r="14" spans="2:7" x14ac:dyDescent="0.25">
      <c r="B14" s="31" t="s">
        <v>145</v>
      </c>
      <c r="C14" s="49">
        <v>-0.19951548552318188</v>
      </c>
      <c r="D14" s="49">
        <v>-0.03046314664581019</v>
      </c>
      <c r="E14" s="50">
        <v>0.0005159442661968101</v>
      </c>
      <c r="F14" s="49">
        <v>-0.07762995822770193</v>
      </c>
      <c r="G14" s="49">
        <v>-0.2879185120528036</v>
      </c>
    </row>
    <row r="15" spans="2:8" x14ac:dyDescent="0.25">
      <c r="B15" s="31" t="s">
        <v>189</v>
      </c>
      <c r="C15" s="51">
        <v>11783.333333333334</v>
      </c>
      <c r="D15" s="51">
        <v>11263.25</v>
      </c>
      <c r="E15" s="51">
        <v>11152.36</v>
      </c>
      <c r="F15" s="51">
        <v>11157.2158</v>
      </c>
      <c r="G15" s="51">
        <v>11269.603524</v>
      </c>
      <c r="H15" s="52" t="s">
        <v>190</v>
      </c>
    </row>
    <row r="16" spans="2:8" x14ac:dyDescent="0.25">
      <c r="B16" s="31" t="s">
        <v>191</v>
      </c>
      <c r="C16" s="49">
        <v>0.6969492826833703</v>
      </c>
      <c r="D16" s="50">
        <v>0.5994943125398341</v>
      </c>
      <c r="E16" s="50">
        <v>0.5534195972076122</v>
      </c>
      <c r="F16" s="53">
        <v>0.5203488896294841</v>
      </c>
      <c r="G16" s="53">
        <v>0.5112146441389667</v>
      </c>
      <c r="H16" s="52" t="s">
        <v>192</v>
      </c>
    </row>
    <row r="17" spans="2:8" x14ac:dyDescent="0.25">
      <c r="B17" s="31" t="s">
        <v>193</v>
      </c>
      <c r="C17" s="49">
        <v>0.22772277227722773</v>
      </c>
      <c r="D17" s="53">
        <v>0.14723103899851286</v>
      </c>
      <c r="E17" s="53">
        <v>0.10210388952054393</v>
      </c>
      <c r="F17" s="53">
        <v>0.07884092687353057</v>
      </c>
      <c r="G17" s="53">
        <v>0.06431705180190153</v>
      </c>
      <c r="H17" s="52" t="s">
        <v>194</v>
      </c>
    </row>
    <row r="18" spans="2:8" x14ac:dyDescent="0.25">
      <c r="B18" s="31" t="s">
        <v>142</v>
      </c>
      <c r="C18" s="49">
        <v>-0.12410628409779752</v>
      </c>
      <c r="D18" s="50">
        <v>0.016871597240498658</v>
      </c>
      <c r="E18" s="50">
        <v>0.03238621232769336</v>
      </c>
      <c r="F18" s="49">
        <v>-0.0537376600220211</v>
      </c>
      <c r="G18" s="49">
        <v>-0.26899528896187336</v>
      </c>
      <c r="H18" s="52" t="s">
        <v>195</v>
      </c>
    </row>
    <row r="19" spans="2:8" x14ac:dyDescent="0.25">
      <c r="B19" s="31" t="s">
        <v>196</v>
      </c>
      <c r="C19" s="54">
        <v>3</v>
      </c>
      <c r="D19" s="54">
        <v>3</v>
      </c>
      <c r="E19" s="54">
        <v>3</v>
      </c>
      <c r="F19" s="54">
        <v>3</v>
      </c>
      <c r="G19" s="54">
        <v>3</v>
      </c>
      <c r="H19" s="52" t="s">
        <v>197</v>
      </c>
    </row>
    <row r="20" spans="2:8" x14ac:dyDescent="0.25">
      <c r="B20" s="31" t="s">
        <v>198</v>
      </c>
      <c r="C20" s="55">
        <v>-1.645771096258031</v>
      </c>
      <c r="D20" s="55">
        <v>0.35643157341300485</v>
      </c>
      <c r="E20" s="56">
        <v>1.0161888900715002</v>
      </c>
      <c r="F20" s="55">
        <v>-2.2491624522434597</v>
      </c>
      <c r="G20" s="55">
        <v>-14.215088395316705</v>
      </c>
      <c r="H20" s="52" t="s">
        <v>199</v>
      </c>
    </row>
    <row r="21" spans="2:8" x14ac:dyDescent="0.25">
      <c r="B21" s="31" t="s">
        <v>200</v>
      </c>
      <c r="C21" s="57" t="str">
        <f>IF('5-Year P&amp;L'!C24&gt;=0,"✓ Break-even","")</f>
        <v>0</v>
      </c>
      <c r="D21" s="57" t="str">
        <f>IF(AND('5-Year P&amp;L'!D24&gt;=0,'5-Year P&amp;L'!C24&lt;0),"✓ Break-even","")</f>
        <v>0</v>
      </c>
      <c r="E21" s="57" t="str">
        <f>IF(AND('5-Year P&amp;L'!E24&gt;=0,'5-Year P&amp;L'!D24&lt;0),"✓ Break-even","")</f>
        <v>0</v>
      </c>
      <c r="F21" s="57" t="str">
        <f>IF(AND('5-Year P&amp;L'!F24&gt;=0,'5-Year P&amp;L'!E24&lt;0),"✓ Break-even","")</f>
        <v>0</v>
      </c>
      <c r="G21" s="57" t="str">
        <f>IF(AND('5-Year P&amp;L'!G24&gt;=0,'5-Year P&amp;L'!F24&lt;0),"✓ Break-even","")</f>
        <v>0</v>
      </c>
      <c r="H21" s="52" t="s">
        <v>114</v>
      </c>
    </row>
    <row r="22" spans="2:8" x14ac:dyDescent="0.25">
      <c r="B22" s="31" t="s">
        <v>201</v>
      </c>
      <c r="C22" s="58">
        <v>-2</v>
      </c>
      <c r="D22" s="58">
        <v>-2</v>
      </c>
      <c r="E22" s="58">
        <v>-1</v>
      </c>
      <c r="F22" s="58">
        <v>-2</v>
      </c>
      <c r="G22" s="58">
        <v>-4</v>
      </c>
      <c r="H22" s="52" t="s">
        <v>202</v>
      </c>
    </row>
    <row r="24" ht="24" customHeight="1" spans="2:8" x14ac:dyDescent="0.25">
      <c r="B24" s="47" t="s">
        <v>203</v>
      </c>
      <c r="C24" s="47" t="s">
        <v>204</v>
      </c>
      <c r="D24" s="47" t="s">
        <v>205</v>
      </c>
      <c r="E24" s="47"/>
      <c r="F24" s="47" t="s">
        <v>206</v>
      </c>
      <c r="G24" s="47"/>
      <c r="H24" s="47"/>
    </row>
    <row r="25" ht="45" customHeight="1" spans="2:8" x14ac:dyDescent="0.25">
      <c r="B25" s="59" t="s">
        <v>207</v>
      </c>
      <c r="C25" s="60" t="s">
        <v>208</v>
      </c>
      <c r="D25" s="61" t="s">
        <v>209</v>
      </c>
      <c r="E25" s="61"/>
      <c r="F25" s="62" t="s">
        <v>210</v>
      </c>
      <c r="G25" s="62"/>
      <c r="H25" s="62"/>
    </row>
    <row r="26" ht="45" customHeight="1" spans="2:8" x14ac:dyDescent="0.25">
      <c r="B26" s="59" t="s">
        <v>211</v>
      </c>
      <c r="C26" s="60" t="s">
        <v>208</v>
      </c>
      <c r="D26" s="61" t="s">
        <v>212</v>
      </c>
      <c r="E26" s="61"/>
      <c r="F26" s="62" t="s">
        <v>213</v>
      </c>
      <c r="G26" s="62"/>
      <c r="H26" s="62"/>
    </row>
    <row r="27" ht="45" customHeight="1" spans="2:8" x14ac:dyDescent="0.25">
      <c r="B27" s="59" t="s">
        <v>214</v>
      </c>
      <c r="C27" s="63" t="s">
        <v>215</v>
      </c>
      <c r="D27" s="61" t="s">
        <v>216</v>
      </c>
      <c r="E27" s="61"/>
      <c r="F27" s="62" t="s">
        <v>217</v>
      </c>
      <c r="G27" s="62"/>
      <c r="H27" s="62"/>
    </row>
    <row r="28" ht="45" customHeight="1" spans="2:8" x14ac:dyDescent="0.25">
      <c r="B28" s="59" t="s">
        <v>218</v>
      </c>
      <c r="C28" s="63" t="s">
        <v>215</v>
      </c>
      <c r="D28" s="61" t="s">
        <v>219</v>
      </c>
      <c r="E28" s="61"/>
      <c r="F28" s="62" t="s">
        <v>220</v>
      </c>
      <c r="G28" s="62"/>
      <c r="H28" s="62"/>
    </row>
    <row r="29" ht="45" customHeight="1" spans="2:8" x14ac:dyDescent="0.25">
      <c r="B29" s="59" t="s">
        <v>221</v>
      </c>
      <c r="C29" s="60" t="s">
        <v>208</v>
      </c>
      <c r="D29" s="61" t="s">
        <v>222</v>
      </c>
      <c r="E29" s="61"/>
      <c r="F29" s="62" t="s">
        <v>223</v>
      </c>
      <c r="G29" s="62"/>
      <c r="H29" s="62"/>
    </row>
    <row r="30" ht="45" customHeight="1" spans="2:8" x14ac:dyDescent="0.25">
      <c r="B30" s="59" t="s">
        <v>224</v>
      </c>
      <c r="C30" s="63" t="s">
        <v>215</v>
      </c>
      <c r="D30" s="61" t="s">
        <v>225</v>
      </c>
      <c r="E30" s="61"/>
      <c r="F30" s="62" t="s">
        <v>226</v>
      </c>
      <c r="G30" s="62"/>
      <c r="H30" s="62"/>
    </row>
    <row r="31" ht="45" customHeight="1" spans="2:8" x14ac:dyDescent="0.25">
      <c r="B31" s="59" t="s">
        <v>227</v>
      </c>
      <c r="C31" s="60" t="s">
        <v>208</v>
      </c>
      <c r="D31" s="61" t="s">
        <v>228</v>
      </c>
      <c r="E31" s="61"/>
      <c r="F31" s="62" t="s">
        <v>229</v>
      </c>
      <c r="G31" s="62"/>
      <c r="H31" s="62"/>
    </row>
    <row r="33" spans="2:6" x14ac:dyDescent="0.25">
      <c r="B33" s="59" t="s">
        <v>39</v>
      </c>
      <c r="C33" s="31" t="s">
        <v>230</v>
      </c>
      <c r="D33" s="31"/>
      <c r="E33" s="31"/>
      <c r="F33" s="31"/>
    </row>
    <row r="35" spans="2:8" x14ac:dyDescent="0.25">
      <c r="B35" s="64" t="s">
        <v>231</v>
      </c>
      <c r="C35" s="64"/>
      <c r="D35" s="64"/>
      <c r="E35" s="64"/>
      <c r="F35" s="64"/>
      <c r="G35" s="64"/>
      <c r="H35" s="6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2026-03-27T00:37:26Z</dcterms:created>
  <dcterms:modified xsi:type="dcterms:W3CDTF">2026-03-27T00:37:26Z</dcterms:modified>
</cp:coreProperties>
</file>