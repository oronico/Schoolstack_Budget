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AR &amp; Restricted Recon" state="visible" r:id="rId10"/>
    <sheet sheetId="8" name="Staffing" state="visible" r:id="rId11"/>
    <sheet sheetId="9" name="Loan Snapshot" state="visible" r:id="rId12"/>
    <sheet sheetId="10" name="Summary" state="visible" r:id="rId13"/>
    <sheet sheetId="11" name="Stress Tests" state="visible" r:id="rId14"/>
    <sheet sheetId="12" name="Decision History" state="visible" r:id="rId15"/>
    <sheet sheetId="13" name="Financial Health" state="visible" r:id="rId16"/>
  </sheets>
  <calcPr calcId="171027"/>
</workbook>
</file>

<file path=xl/sharedStrings.xml><?xml version="1.0" encoding="utf-8"?>
<sst xmlns="http://schemas.openxmlformats.org/spreadsheetml/2006/main" count="477" uniqueCount="277">
  <si>
    <t>How to Use This Workbook</t>
  </si>
  <si>
    <t>Heritage Academy Charter</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</si>
  <si>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</si>
  <si>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</si>
  <si>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</si>
  <si>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</si>
  <si>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</si>
  <si>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</si>
  <si>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</si>
  <si>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</si>
  <si>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</si>
  <si>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</si>
  <si>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</si>
  <si>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</si>
  <si>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</si>
  <si>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</si>
  <si>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</si>
  <si>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</si>
  <si>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</si>
  <si>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</si>
  <si>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</si>
  <si>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</si>
  <si>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</si>
  <si>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</si>
  <si>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</si>
  <si>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</si>
  <si>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</si>
  <si>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</si>
  <si>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</si>
  <si>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</si>
  <si>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</si>
  <si>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</si>
  <si>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</si>
  <si>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</si>
  <si>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</si>
  <si>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</si>
  <si>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</si>
  <si>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</si>
  <si>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</si>
  <si>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</si>
  <si>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9,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</si>
  <si>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</si>
  <si>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</si>
  <si>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</si>
  <si>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</si>
  <si>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</si>
  <si>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</si>
  <si>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</si>
  <si>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</si>
  <si>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</si>
  <si>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Charter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</si>
  <si>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</si>
  <si>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</si>
  <si>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</si>
  <si>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</si>
  <si>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</si>
  <si>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</si>
  <si>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</si>
  <si>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</si>
  <si>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</si>
  <si>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</si>
  <si>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</si>
  <si>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</si>
  <si>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</si>
  <si>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</si>
  <si>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</si>
  <si>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</si>
  <si>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</si>
  <si>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</si>
  <si>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</si>
  <si>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</si>
  <si>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</si>
  <si>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</si>
  <si>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</si>
  <si>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</si>
  <si>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</si>
  <si>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</si>
  <si>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</si>
  <si>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</si>
  <si>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</si>
  <si>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</si>
  <si>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</si>
  <si>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</si>
  <si>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</si>
  <si>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</si>
  <si>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</si>
  <si>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</si>
  <si>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</si>
  <si>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</si>
  <si>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</si>
  <si>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</si>
  <si>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</si>
  <si>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</si>
  <si>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</si>
  <si>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</si>
  <si>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CHARTER FUNDING DETAILS</t>
  </si>
  <si>
    <t>Enrollment Revenue Method</t>
  </si>
  <si>
    <t>ADA (Avg Daily Attendance)</t>
  </si>
  <si>
    <t>Charter Deposit Timing</t>
  </si>
  <si>
    <t>Monthly</t>
  </si>
  <si>
    <t>Prior-Year ADM</t>
  </si>
  <si>
    <t>Prior-Year ADA</t>
  </si>
  <si>
    <t>Attendance Ratio (ADA ÷ ADM)</t>
  </si>
  <si>
    <t>Per-Pupil Rate - K-5</t>
  </si>
  <si>
    <t>Per-Pupil Rate - 6-8</t>
  </si>
  <si>
    <t>Per-Pupil Rate - 9-12</t>
  </si>
  <si>
    <t>Grade-Band Enrollment by Year</t>
  </si>
  <si>
    <t xml:space="preserve">  K-5</t>
  </si>
  <si>
    <t>80  /  130  /  180  /  230  /  260</t>
  </si>
  <si>
    <t xml:space="preserve">  6-8</t>
  </si>
  <si>
    <t>40  /  70  /  100  /  120  /  140</t>
  </si>
  <si>
    <t xml:space="preserve">  9-12</t>
  </si>
  <si>
    <t>0  /  0  /  20  /  50  /  100</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</si>
  <si>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</si>
  <si>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</si>
  <si>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</si>
  <si>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</si>
  <si>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</si>
  <si>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</si>
  <si>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</si>
  <si>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</si>
  <si>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</si>
  <si>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</si>
  <si>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</si>
  <si>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</si>
  <si>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</si>
  <si>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</si>
  <si>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</si>
  <si>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</si>
  <si>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</si>
  <si>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</si>
  <si>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</si>
  <si>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</si>
  <si>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</si>
  <si>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</si>
  <si>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</si>
  <si>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</si>
  <si>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</si>
  <si>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</si>
  <si>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</si>
  <si>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</si>
  <si>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</si>
  <si>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</si>
  <si>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Interest Expense</t>
  </si>
  <si>
    <t>Principal &amp; Capital Outlays</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</si>
  <si>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</si>
  <si>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</si>
  <si>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</si>
  <si>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</si>
  <si>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</si>
  <si>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</si>
  <si>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</si>
  <si>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</si>
  <si>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</si>
  <si>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</si>
  <si>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</si>
  <si>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</si>
  <si>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</si>
  <si>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</si>
  <si>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AR Schedule &amp; Restricted-vs-Unrestricted Cash Recon</t>
  </si>
  <si>
    <t>AR = year's collected tuition × 30-day weighted delay ÷ 365. Bad debt = contracted − collected.</t>
  </si>
  <si>
    <t>Accounts Receivable Schedule</t>
  </si>
  <si>
    <t>Contracted Tuition (gross)</t>
  </si>
  <si>
    <t>Collected Tuition (cash-basis)</t>
  </si>
  <si>
    <t>Bad Debt (contracted − collected)</t>
  </si>
  <si>
    <t>Year-end AR Balance (30-day delay)</t>
  </si>
  <si>
    <t>Restricted vs Unrestricted Cash</t>
  </si>
  <si>
    <t>Total Cash Position (accrual)</t>
  </si>
  <si>
    <t>Restricted Cash (capital/program-restricted)</t>
  </si>
  <si>
    <t>Unrestricted Cash (DSCR/runway basis)</t>
  </si>
  <si>
    <t>Note: DSCR and cash-runway covenants in this packet are computed off Unrestricted Cash (row 14). Restricted gifts cannot legally service debt and are excluded from coverage tests.</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</si>
  <si>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</si>
  <si>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</si>
  <si>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</si>
  <si>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</si>
  <si>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</si>
  <si>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</si>
  <si>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</si>
  <si>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</si>
  <si>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</si>
  <si>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</si>
  <si>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</si>
  <si>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</si>
  <si>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</si>
  <si>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</si>
  <si>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</si>
  <si>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</si>
  <si>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</si>
  <si>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</si>
  <si>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</si>
  <si>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</si>
  <si>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</si>
  <si>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</si>
  <si>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Standard Lender Stress Tests</t>
  </si>
  <si>
    <t>Five fixed downside scenarios re-run on the canonical engine. Identical figures appear on the founder dashboard, consultant view, and lender packet PDF.</t>
  </si>
  <si>
    <t>Scenario</t>
  </si>
  <si>
    <t>Metric</t>
  </si>
  <si>
    <t>Δ vs Base (Y1)</t>
  </si>
  <si>
    <t>Base Case</t>
  </si>
  <si>
    <t>Canonical engine output. All scenarios below are deltas vs this row.</t>
  </si>
  <si>
    <t>—</t>
  </si>
  <si>
    <t>DSCR</t>
  </si>
  <si>
    <t>Break-Even Students</t>
  </si>
  <si>
    <t>Cash Runway (mo)</t>
  </si>
  <si>
    <t>Break-Even Year</t>
  </si>
  <si>
    <t>Enrollment -10%</t>
  </si>
  <si>
    <t>All five enrollment years scaled down by 10% — the standard lender enrollment-miss sensitivity.</t>
  </si>
  <si>
    <t>0y</t>
  </si>
  <si>
    <t>Enrollment -20%</t>
  </si>
  <si>
    <t>All five enrollment years scaled down by 20% — the stretch downside lenders use to confirm the school can survive a soft-launch.</t>
  </si>
  <si>
    <t>ESA / Public Funding Delayed 3 Months</t>
  </si>
  <si>
    <t>Year-1 ESA, school-choice, and public-funding receipts reduced by 25% (≈ 3 months delayed) to simulate a slow first disbursement.</t>
  </si>
  <si>
    <t>Rent Shock +25%</t>
  </si>
  <si>
    <t>Occupancy &amp; facility expense rows escalated by 25% — covers a lease renewal, market-rate reset, or unbudgeted CAM/utilities surprise.</t>
  </si>
  <si>
    <t>Founder Comp Normalized to Market</t>
  </si>
  <si>
    <t>Founder compensation re-cast at the market-rate benchmark (with benefits + payroll tax). The lender / board view of true operating cost.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</si>
  <si>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</si>
  <si>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</si>
  <si>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</si>
  <si>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</si>
  <si>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 Green = healthy</t>
  </si>
  <si>
    <t>◐ Yellow = monitor</t>
  </si>
  <si>
    <t>○ Red = action needed</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</si>
  <si>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</si>
  <si>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</si>
  <si>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</si>
  <si>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</si>
  <si>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</si>
  <si>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</si>
  <si>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</si>
  <si>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</si>
  <si>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</si>
  <si>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</si>
  <si>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</si>
  <si>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</si>
  <si>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</si>
  <si>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</si>
  <si>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</si>
  <si>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</si>
  <si>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</si>
  <si>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</si>
  <si>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</si>
  <si>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</si>
  <si>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</si>
  <si>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</si>
  <si>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</si>
  <si>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</si>
  <si>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</si>
  <si>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</si>
  <si>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</si>
  <si>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</si>
  <si>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</si>
  <si>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</si>
  <si>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</si>
  <si>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</si>
  <si>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</si>
  <si>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</si>
  <si>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</si>
  <si>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</si>
  <si>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</si>
  <si>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 Healthy</t>
  </si>
  <si>
    <t>Staffing at 51%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</si>
  <si>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</si>
  <si>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</si>
  <si>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</si>
  <si>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</si>
  <si>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</si>
  <si>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-14.22x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</si>
  <si>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</si>
  <si>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</si>
  <si>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</si>
  <si>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</si>
  <si>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</si>
  <si>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</si>
  <si>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</si>
  <si>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3 Healthy  |  0 Watch  |  4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</si>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</sst>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4"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color rgb="FF374151"/>
      <sz val="11"/>
      <name val="Calibri"/>
    </font>
    <font>
      <b/>
      <sz val="11"/>
      <name val="Calibri"/>
    </font>
    <font>
      <b/>
      <color rgb="FFFFFFFF"/>
      <sz val="14"/>
      <name val="Calibri"/>
    </font>
    <font>
      <i/>
      <color rgb="FF6B7280"/>
      <sz val="9"/>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10" fontId="12" fillId="2" borderId="3" xfId="0" applyNumberFormat="1" applyFont="1" applyFill="1" applyBorder="1" applyAlignment="1">
      <alignment horizontal="right"/>
    </xf>
    <xf numFmtId="0" fontId="16" fillId="0" borderId="0" xfId="0" applyFont="1"/>
    <xf numFmtId="0" fontId="12" fillId="2" borderId="3" xfId="0" applyFont="1" applyFill="1" applyBorder="1"/>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7" fillId="0" borderId="4" xfId="0" applyFont="1" applyBorder="1"/>
    <xf numFmtId="165" fontId="17" fillId="0" borderId="5" xfId="0" applyNumberFormat="1" applyFont="1" applyBorder="1" applyAlignment="1">
      <alignment horizontal="right"/>
    </xf>
    <xf numFmtId="165" fontId="17" fillId="6" borderId="5" xfId="0" applyNumberFormat="1" applyFont="1" applyFill="1" applyBorder="1" applyAlignment="1">
      <alignment horizontal="right"/>
    </xf>
    <xf numFmtId="165" fontId="17"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7" fillId="0" borderId="4" xfId="0" applyNumberFormat="1" applyFont="1" applyBorder="1" applyAlignment="1">
      <alignment horizontal="right"/>
    </xf>
    <xf numFmtId="0" fontId="0" fillId="0" borderId="4" xfId="0" applyBorder="1" applyAlignment="1">
      <alignment horizontal="center"/>
    </xf>
    <xf numFmtId="167" fontId="17" fillId="6" borderId="4" xfId="0" applyNumberFormat="1" applyFont="1" applyFill="1" applyBorder="1" applyAlignment="1">
      <alignment horizontal="right"/>
    </xf>
    <xf numFmtId="0" fontId="4" fillId="7" borderId="0" xfId="0" applyFont="1" applyFill="1"/>
    <xf numFmtId="0" fontId="3" fillId="0" borderId="0" xfId="0" applyFont="1" applyAlignment="1">
      <alignment vertical="top" wrapText="1"/>
    </xf>
    <xf numFmtId="164" fontId="17" fillId="0" borderId="5" xfId="0" applyNumberFormat="1" applyFont="1" applyBorder="1" applyAlignment="1">
      <alignment horizontal="right"/>
    </xf>
    <xf numFmtId="165" fontId="17"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7" fillId="6" borderId="4" xfId="0" applyNumberFormat="1" applyFont="1" applyFill="1" applyBorder="1" applyAlignment="1">
      <alignment horizontal="right"/>
    </xf>
    <xf numFmtId="0" fontId="18" fillId="5" borderId="0" xfId="0" applyFont="1" applyFill="1" applyAlignment="1">
      <alignment horizontal="left" vertical="center" indent="1"/>
    </xf>
    <xf numFmtId="0" fontId="3" fillId="0" borderId="0" xfId="0" applyFont="1" applyAlignment="1">
      <alignment vertical="center" wrapText="1"/>
    </xf>
    <xf numFmtId="0" fontId="14" fillId="5" borderId="4" xfId="0" applyFont="1" applyFill="1" applyBorder="1" applyAlignment="1">
      <alignment horizontal="left" vertical="center"/>
    </xf>
    <xf numFmtId="0" fontId="14" fillId="5" borderId="4" xfId="0" applyFont="1" applyFill="1" applyBorder="1" applyAlignment="1">
      <alignment horizontal="right" vertical="center"/>
    </xf>
    <xf numFmtId="0" fontId="4" fillId="7" borderId="4" xfId="0" applyFont="1" applyFill="1" applyBorder="1" applyAlignment="1">
      <alignment horizontal="left" vertical="center" indent="1"/>
    </xf>
    <xf numFmtId="0" fontId="19" fillId="0" borderId="0" xfId="0" applyFont="1" applyAlignment="1">
      <alignment vertical="top" wrapText="1" indent="1"/>
    </xf>
    <xf numFmtId="0" fontId="17" fillId="0" borderId="4" xfId="0" applyFont="1" applyBorder="1" applyAlignment="1">
      <alignment horizontal="right"/>
    </xf>
    <xf numFmtId="0" fontId="0" fillId="0" borderId="4" xfId="0" applyBorder="1"/>
    <xf numFmtId="164" fontId="17" fillId="0" borderId="4" xfId="0" applyNumberFormat="1" applyFont="1" applyBorder="1" applyAlignment="1">
      <alignment horizontal="right"/>
    </xf>
    <xf numFmtId="0" fontId="6" fillId="0" borderId="4" xfId="0" applyFont="1" applyBorder="1" applyAlignment="1">
      <alignment horizontal="right"/>
    </xf>
    <xf numFmtId="0" fontId="10" fillId="0" borderId="0" xfId="0" applyFont="1" applyAlignment="1">
      <alignment vertical="top" wrapText="1"/>
    </xf>
    <xf numFmtId="0" fontId="20" fillId="0" borderId="0" xfId="0" applyFont="1"/>
    <xf numFmtId="0" fontId="21" fillId="0" borderId="0" xfId="0" applyFont="1"/>
    <xf numFmtId="0" fontId="22" fillId="0" borderId="0" xfId="0" applyFont="1"/>
    <xf numFmtId="0" fontId="4" fillId="7" borderId="4" xfId="0" applyFont="1" applyFill="1" applyBorder="1"/>
    <xf numFmtId="0" fontId="4" fillId="7" borderId="4" xfId="0" applyFont="1" applyFill="1" applyBorder="1" applyAlignment="1">
      <alignment horizontal="center"/>
    </xf>
    <xf numFmtId="166" fontId="17" fillId="6" borderId="5" xfId="0" applyNumberFormat="1" applyFont="1" applyFill="1" applyBorder="1" applyAlignment="1">
      <alignment horizontal="right"/>
    </xf>
    <xf numFmtId="166" fontId="17" fillId="8"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6" fillId="8" borderId="4" xfId="0" applyNumberFormat="1" applyFont="1" applyFill="1" applyBorder="1" applyAlignment="1">
      <alignment horizontal="right"/>
    </xf>
    <xf numFmtId="165" fontId="17" fillId="3" borderId="4" xfId="0" applyNumberFormat="1" applyFont="1" applyFill="1" applyBorder="1" applyAlignment="1">
      <alignment horizontal="right"/>
    </xf>
    <xf numFmtId="166" fontId="17" fillId="3" borderId="5" xfId="0" applyNumberFormat="1" applyFont="1" applyFill="1" applyBorder="1" applyAlignment="1">
      <alignment horizontal="right"/>
    </xf>
    <xf numFmtId="164" fontId="17" fillId="3" borderId="5" xfId="0" applyNumberFormat="1" applyFont="1" applyFill="1" applyBorder="1" applyAlignment="1">
      <alignment horizontal="right"/>
    </xf>
    <xf numFmtId="167" fontId="17" fillId="6" borderId="5" xfId="0" applyNumberFormat="1" applyFont="1" applyFill="1" applyBorder="1" applyAlignment="1">
      <alignment horizontal="right"/>
    </xf>
    <xf numFmtId="0" fontId="6" fillId="0" borderId="4" xfId="0" applyFont="1" applyBorder="1" applyAlignment="1">
      <alignment horizontal="center"/>
    </xf>
    <xf numFmtId="164" fontId="17" fillId="6" borderId="5" xfId="0" applyNumberFormat="1" applyFont="1" applyFill="1" applyBorder="1" applyAlignment="1">
      <alignment horizontal="right"/>
    </xf>
    <xf numFmtId="0" fontId="4" fillId="0" borderId="4" xfId="0" applyFont="1" applyBorder="1"/>
    <xf numFmtId="0" fontId="22"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20" fillId="0" borderId="4" xfId="0" applyFont="1" applyBorder="1" applyAlignment="1">
      <alignment horizontal="center"/>
    </xf>
    <xf numFmtId="0" fontId="23"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77"/>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120</v>
      </c>
    </row>
    <row r="13" spans="3:4" x14ac:dyDescent="0.25">
      <c r="C13" s="18" t="s">
        <v>54</v>
      </c>
      <c r="D13" s="20">
        <v>200</v>
      </c>
    </row>
    <row r="14" spans="3:4" x14ac:dyDescent="0.25">
      <c r="C14" s="18" t="s">
        <v>55</v>
      </c>
      <c r="D14" s="20">
        <v>300</v>
      </c>
    </row>
    <row r="15" spans="3:4" x14ac:dyDescent="0.25">
      <c r="C15" s="18" t="s">
        <v>56</v>
      </c>
      <c r="D15" s="20">
        <v>400</v>
      </c>
    </row>
    <row r="16" spans="3:4" x14ac:dyDescent="0.25">
      <c r="C16" s="18" t="s">
        <v>57</v>
      </c>
      <c r="D16" s="20">
        <v>500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0</v>
      </c>
    </row>
    <row r="23" spans="3:4" x14ac:dyDescent="0.25">
      <c r="C23" s="18" t="s">
        <v>62</v>
      </c>
      <c r="D23" s="22">
        <v>0</v>
      </c>
    </row>
    <row r="24" spans="3:4" x14ac:dyDescent="0.25">
      <c r="C24" s="18" t="s">
        <v>63</v>
      </c>
      <c r="D24" s="21">
        <v>400</v>
      </c>
    </row>
    <row r="25" spans="3:4" x14ac:dyDescent="0.25">
      <c r="C25" s="18" t="s">
        <v>64</v>
      </c>
      <c r="D25" s="22">
        <v>0.03</v>
      </c>
    </row>
    <row r="26" spans="3:4" x14ac:dyDescent="0.25">
      <c r="C26" s="18" t="s">
        <v>65</v>
      </c>
      <c r="D26" s="22">
        <v>1</v>
      </c>
    </row>
    <row r="27" spans="3:4" x14ac:dyDescent="0.25">
      <c r="C27" s="18" t="s">
        <v>66</v>
      </c>
      <c r="D27" s="21">
        <v>175000</v>
      </c>
    </row>
    <row r="28" spans="3:4" x14ac:dyDescent="0.25">
      <c r="C28" s="18" t="s">
        <v>67</v>
      </c>
      <c r="D28" s="22">
        <v>0</v>
      </c>
    </row>
    <row r="30" ht="24" customHeight="1" spans="2:4" x14ac:dyDescent="0.25">
      <c r="B30" s="17" t="s">
        <v>68</v>
      </c>
      <c r="C30" s="17"/>
      <c r="D30" s="17"/>
    </row>
    <row r="32" spans="3:4" x14ac:dyDescent="0.25">
      <c r="C32" s="18" t="s">
        <v>69</v>
      </c>
      <c r="D32" s="20">
        <v>13</v>
      </c>
    </row>
    <row r="33" spans="3:4" x14ac:dyDescent="0.25">
      <c r="C33" s="18" t="s">
        <v>70</v>
      </c>
      <c r="D33" s="21">
        <v>43667</v>
      </c>
    </row>
    <row r="34" spans="3:4" x14ac:dyDescent="0.25">
      <c r="C34" s="18" t="s">
        <v>71</v>
      </c>
      <c r="D34" s="22">
        <v>0.03</v>
      </c>
    </row>
    <row r="35" spans="3:4" x14ac:dyDescent="0.25">
      <c r="C35" s="18" t="s">
        <v>72</v>
      </c>
      <c r="D35" s="20">
        <v>5</v>
      </c>
    </row>
    <row r="36" spans="3:4" x14ac:dyDescent="0.25">
      <c r="C36" s="18" t="s">
        <v>73</v>
      </c>
      <c r="D36" s="20">
        <v>5</v>
      </c>
    </row>
    <row r="37" spans="3:4" x14ac:dyDescent="0.25">
      <c r="C37" s="18" t="s">
        <v>74</v>
      </c>
      <c r="D37" s="20">
        <v>5</v>
      </c>
    </row>
    <row r="38" spans="3:4" x14ac:dyDescent="0.25">
      <c r="C38" s="18" t="s">
        <v>75</v>
      </c>
      <c r="D38" s="20">
        <v>5</v>
      </c>
    </row>
    <row r="39" spans="3:4" x14ac:dyDescent="0.25">
      <c r="C39" s="18" t="s">
        <v>76</v>
      </c>
      <c r="D39" s="20">
        <v>5</v>
      </c>
    </row>
    <row r="40" spans="3:4" x14ac:dyDescent="0.25">
      <c r="C40" s="18" t="s">
        <v>77</v>
      </c>
      <c r="D40" s="21">
        <v>71250</v>
      </c>
    </row>
    <row r="41" spans="3:4" x14ac:dyDescent="0.25">
      <c r="C41" s="18" t="s">
        <v>78</v>
      </c>
      <c r="D41" s="22">
        <v>0.03</v>
      </c>
    </row>
    <row r="42" spans="3:4" x14ac:dyDescent="0.25">
      <c r="C42" s="18" t="s">
        <v>79</v>
      </c>
      <c r="D42" s="22">
        <v>0.24285714285714285</v>
      </c>
    </row>
    <row r="44" ht="24" customHeight="1" spans="2:4" x14ac:dyDescent="0.25">
      <c r="B44" s="17" t="s">
        <v>80</v>
      </c>
      <c r="C44" s="17"/>
      <c r="D44" s="17"/>
    </row>
    <row r="46" spans="3:4" x14ac:dyDescent="0.25">
      <c r="C46" s="18" t="s">
        <v>81</v>
      </c>
      <c r="D46" s="21">
        <v>322000</v>
      </c>
    </row>
    <row r="47" spans="3:4" x14ac:dyDescent="0.25">
      <c r="C47" s="18" t="s">
        <v>82</v>
      </c>
      <c r="D47" s="22">
        <v>0.03</v>
      </c>
    </row>
    <row r="48" spans="3:4" x14ac:dyDescent="0.25">
      <c r="C48" s="18" t="s">
        <v>83</v>
      </c>
      <c r="D48" s="21">
        <v>0</v>
      </c>
    </row>
    <row r="49" spans="3:4" x14ac:dyDescent="0.25">
      <c r="C49" s="18" t="s">
        <v>84</v>
      </c>
      <c r="D49" s="22">
        <v>0.03</v>
      </c>
    </row>
    <row r="50" spans="3:4" x14ac:dyDescent="0.25">
      <c r="C50" s="18" t="s">
        <v>85</v>
      </c>
      <c r="D50" s="21">
        <v>650</v>
      </c>
    </row>
    <row r="51" spans="3:4" x14ac:dyDescent="0.25">
      <c r="C51" s="18" t="s">
        <v>86</v>
      </c>
      <c r="D51" s="22">
        <v>0.717948717948718</v>
      </c>
    </row>
    <row r="52" spans="3:4" x14ac:dyDescent="0.25">
      <c r="C52" s="18" t="s">
        <v>87</v>
      </c>
      <c r="D52" s="21">
        <v>204000</v>
      </c>
    </row>
    <row r="53" spans="3:4" x14ac:dyDescent="0.25">
      <c r="C53" s="18" t="s">
        <v>88</v>
      </c>
      <c r="D53" s="22">
        <v>0.515686274509804</v>
      </c>
    </row>
    <row r="55" ht="24" customHeight="1" spans="2:4" x14ac:dyDescent="0.25">
      <c r="B55" s="17" t="s">
        <v>89</v>
      </c>
      <c r="C55" s="17"/>
      <c r="D55" s="17"/>
    </row>
    <row r="57" spans="3:4" x14ac:dyDescent="0.25">
      <c r="C57" s="18" t="s">
        <v>90</v>
      </c>
      <c r="D57" s="21">
        <v>0</v>
      </c>
    </row>
    <row r="58" spans="3:4" x14ac:dyDescent="0.25">
      <c r="C58" s="18" t="s">
        <v>91</v>
      </c>
      <c r="D58" s="21">
        <v>60000</v>
      </c>
    </row>
    <row r="59" spans="3:4" x14ac:dyDescent="0.25">
      <c r="C59" s="18" t="s">
        <v>92</v>
      </c>
      <c r="D59" s="21">
        <v>350000</v>
      </c>
    </row>
    <row r="60" spans="3:4" x14ac:dyDescent="0.25">
      <c r="C60" s="18" t="s">
        <v>93</v>
      </c>
      <c r="D60" s="22">
        <v>0.06</v>
      </c>
    </row>
    <row r="61" spans="3:4" x14ac:dyDescent="0.25">
      <c r="C61" s="18" t="s">
        <v>94</v>
      </c>
      <c r="D61" s="20">
        <v>10</v>
      </c>
    </row>
    <row r="63" ht="24" customHeight="1" spans="2:4" x14ac:dyDescent="0.25">
      <c r="B63" s="17" t="s">
        <v>95</v>
      </c>
      <c r="C63" s="17"/>
      <c r="D63" s="17"/>
    </row>
    <row r="65" spans="3:4" x14ac:dyDescent="0.25">
      <c r="C65" s="18" t="s">
        <v>96</v>
      </c>
      <c r="D65" s="19" t="s">
        <v>97</v>
      </c>
    </row>
    <row r="66" spans="3:4" x14ac:dyDescent="0.25">
      <c r="C66" s="18" t="s">
        <v>98</v>
      </c>
      <c r="D66" s="19" t="s">
        <v>99</v>
      </c>
    </row>
    <row r="67" spans="3:4" x14ac:dyDescent="0.25">
      <c r="C67" s="18" t="s">
        <v>100</v>
      </c>
      <c r="D67" s="20">
        <v>0</v>
      </c>
    </row>
    <row r="68" spans="3:4" x14ac:dyDescent="0.25">
      <c r="C68" s="18" t="s">
        <v>101</v>
      </c>
      <c r="D68" s="20">
        <v>0</v>
      </c>
    </row>
    <row r="69" spans="3:4" x14ac:dyDescent="0.25">
      <c r="C69" s="18" t="s">
        <v>102</v>
      </c>
      <c r="D69" s="23">
        <v>0.95</v>
      </c>
    </row>
    <row r="70" spans="3:4" x14ac:dyDescent="0.25">
      <c r="C70" s="18" t="s">
        <v>103</v>
      </c>
      <c r="D70" s="21">
        <v>8200</v>
      </c>
    </row>
    <row r="71" spans="3:4" x14ac:dyDescent="0.25">
      <c r="C71" s="18" t="s">
        <v>104</v>
      </c>
      <c r="D71" s="21">
        <v>9100</v>
      </c>
    </row>
    <row r="72" spans="3:4" x14ac:dyDescent="0.25">
      <c r="C72" s="18" t="s">
        <v>105</v>
      </c>
      <c r="D72" s="21">
        <v>10500</v>
      </c>
    </row>
    <row r="74" spans="3:4" x14ac:dyDescent="0.25">
      <c r="C74" s="24" t="s">
        <v>106</v>
      </c>
      <c r="D74" s="24"/>
    </row>
    <row r="75" spans="3:4" x14ac:dyDescent="0.25">
      <c r="C75" s="18" t="s">
        <v>107</v>
      </c>
      <c r="D75" s="25" t="s">
        <v>108</v>
      </c>
    </row>
    <row r="76" spans="3:4" x14ac:dyDescent="0.25">
      <c r="C76" s="18" t="s">
        <v>109</v>
      </c>
      <c r="D76" s="25" t="s">
        <v>110</v>
      </c>
    </row>
    <row r="77" spans="3:4" x14ac:dyDescent="0.25">
      <c r="C77" s="18" t="s">
        <v>111</v>
      </c>
      <c r="D77" s="25" t="s">
        <v>112</v>
      </c>
    </row>
  </sheetData>
  <mergeCells count="9">
    <mergeCell ref="B1:D1"/>
    <mergeCell ref="B3:D3"/>
    <mergeCell ref="B10:D10"/>
    <mergeCell ref="B18:D18"/>
    <mergeCell ref="B30:D30"/>
    <mergeCell ref="B44:D44"/>
    <mergeCell ref="B55:D55"/>
    <mergeCell ref="B63:D63"/>
    <mergeCell ref="C74:D7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113</v>
      </c>
      <c r="C1" s="13"/>
      <c r="D1" s="13"/>
      <c r="E1" s="13"/>
      <c r="F1" s="13"/>
      <c r="G1" s="13"/>
    </row>
    <row r="3" ht="24" customHeight="1" spans="2:7" x14ac:dyDescent="0.25">
      <c r="B3" s="26"/>
      <c r="C3" s="27" t="s">
        <v>114</v>
      </c>
      <c r="D3" s="27" t="s">
        <v>115</v>
      </c>
      <c r="E3" s="27" t="s">
        <v>116</v>
      </c>
      <c r="F3" s="27" t="s">
        <v>117</v>
      </c>
      <c r="G3" s="27" t="s">
        <v>118</v>
      </c>
    </row>
    <row r="4" spans="2:7" x14ac:dyDescent="0.25">
      <c r="B4" s="28" t="s">
        <v>119</v>
      </c>
      <c r="C4" s="29">
        <f>Assumptions!D12</f>
        <v>120</v>
      </c>
      <c r="D4" s="29">
        <f>Assumptions!D13</f>
        <v>200</v>
      </c>
      <c r="E4" s="29">
        <f>Assumptions!D14</f>
        <v>300</v>
      </c>
      <c r="F4" s="29">
        <f>Assumptions!D15</f>
        <v>400</v>
      </c>
      <c r="G4" s="29">
        <f>Assumptions!D16</f>
        <v>500</v>
      </c>
    </row>
    <row r="5" spans="2:7" x14ac:dyDescent="0.25">
      <c r="B5" s="28" t="s">
        <v>120</v>
      </c>
      <c r="C5" s="30" t="str">
        <f>Assumptions!D12*Assumptions!D20</f>
        <v>0</v>
      </c>
      <c r="D5" s="30" t="str">
        <f>Assumptions!D13*Assumptions!D20*(1+Assumptions!D21)^1</f>
        <v>0</v>
      </c>
      <c r="E5" s="30" t="str">
        <f>Assumptions!D14*Assumptions!D20*(1+Assumptions!D21)^2</f>
        <v>0</v>
      </c>
      <c r="F5" s="30" t="str">
        <f>Assumptions!D15*Assumptions!D20*(1+Assumptions!D21)^3</f>
        <v>0</v>
      </c>
      <c r="G5" s="30" t="str">
        <f>Assumptions!D16*Assumptions!D20*(1+Assumptions!D21)^4</f>
        <v>0</v>
      </c>
    </row>
    <row r="6" spans="2:7" x14ac:dyDescent="0.25">
      <c r="B6" s="28" t="s">
        <v>121</v>
      </c>
      <c r="C6" s="30" t="str">
        <f>C5*Assumptions!D26</f>
        <v>0</v>
      </c>
      <c r="D6" s="30" t="str">
        <f>D5*Assumptions!D26</f>
        <v>0</v>
      </c>
      <c r="E6" s="30" t="str">
        <f>E5*Assumptions!D26</f>
        <v>0</v>
      </c>
      <c r="F6" s="30" t="str">
        <f>F5*Assumptions!D26</f>
        <v>0</v>
      </c>
      <c r="G6" s="30" t="str">
        <f>G5*Assumptions!D26</f>
        <v>0</v>
      </c>
    </row>
    <row r="7" spans="2:7" x14ac:dyDescent="0.25">
      <c r="B7" s="28" t="s">
        <v>122</v>
      </c>
      <c r="C7" s="30">
        <v>1191000</v>
      </c>
      <c r="D7" s="30">
        <v>1995250</v>
      </c>
      <c r="E7" s="30">
        <v>3043400</v>
      </c>
      <c r="F7" s="30">
        <v>4113050</v>
      </c>
      <c r="G7" s="30">
        <v>5234700</v>
      </c>
    </row>
    <row r="8" spans="2:7" x14ac:dyDescent="0.25">
      <c r="B8" s="28" t="s">
        <v>123</v>
      </c>
      <c r="C8" s="30">
        <f>Assumptions!D12*Assumptions!D24</f>
        <v>48000</v>
      </c>
      <c r="D8" s="30">
        <f>Assumptions!D13*Assumptions!D24*(1+Assumptions!D25)^1</f>
        <v>82400</v>
      </c>
      <c r="E8" s="30">
        <f>Assumptions!D14*Assumptions!D24*(1+Assumptions!D25)^2</f>
        <v>127308</v>
      </c>
      <c r="F8" s="30">
        <f>Assumptions!D15*Assumptions!D24*(1+Assumptions!D25)^3</f>
        <v>174836.32</v>
      </c>
      <c r="G8" s="30">
        <f>Assumptions!D16*Assumptions!D24*(1+Assumptions!D25)^4</f>
        <v>225101.762</v>
      </c>
    </row>
    <row r="9" spans="2:7" x14ac:dyDescent="0.25">
      <c r="B9" s="28" t="s">
        <v>124</v>
      </c>
      <c r="C9" s="30">
        <f>Assumptions!D27</f>
        <v>175000</v>
      </c>
      <c r="D9" s="30">
        <f>Assumptions!D27*(1+Assumptions!D28)^1</f>
        <v>175000</v>
      </c>
      <c r="E9" s="30">
        <f>Assumptions!D27*(1+Assumptions!D28)^2</f>
        <v>175000</v>
      </c>
      <c r="F9" s="30">
        <f>Assumptions!D27*(1+Assumptions!D28)^3</f>
        <v>175000</v>
      </c>
      <c r="G9" s="30">
        <f>Assumptions!D27*(1+Assumptions!D28)^4</f>
        <v>175000</v>
      </c>
    </row>
    <row r="10" spans="2:7" x14ac:dyDescent="0.25">
      <c r="B10" s="31" t="s">
        <v>125</v>
      </c>
      <c r="C10" s="32">
        <f>C6+C7+C8+C9</f>
        <v>1414000</v>
      </c>
      <c r="D10" s="32">
        <f>D6+D7+D8+D9</f>
        <v>2252650</v>
      </c>
      <c r="E10" s="32">
        <f>E6+E7+E8+E9</f>
        <v>3345708</v>
      </c>
      <c r="F10" s="32">
        <f>F6+F7+F8+F9</f>
        <v>4462886.32</v>
      </c>
      <c r="G10" s="32">
        <f>G6+G7+G8+G9</f>
        <v>5634801.762</v>
      </c>
    </row>
    <row r="12" spans="2:7" x14ac:dyDescent="0.25">
      <c r="B12" s="28" t="s">
        <v>126</v>
      </c>
      <c r="C12" s="29">
        <f>CEILING(Assumptions!D12/Assumptions!D32,1)</f>
        <v>10</v>
      </c>
      <c r="D12" s="29">
        <f>CEILING(Assumptions!D13/Assumptions!D32,1)</f>
        <v>16</v>
      </c>
      <c r="E12" s="29">
        <f>CEILING(Assumptions!D14/Assumptions!D32,1)</f>
        <v>24</v>
      </c>
      <c r="F12" s="29">
        <f>CEILING(Assumptions!D15/Assumptions!D32,1)</f>
        <v>31</v>
      </c>
      <c r="G12" s="29">
        <f>CEILING(Assumptions!D16/Assumptions!D32,1)</f>
        <v>39</v>
      </c>
    </row>
    <row r="13" spans="2:7" x14ac:dyDescent="0.25">
      <c r="B13" s="28" t="s">
        <v>127</v>
      </c>
      <c r="C13" s="30">
        <f>C12*Assumptions!D33</f>
        <v>436670</v>
      </c>
      <c r="D13" s="30">
        <f>D12*Assumptions!D33*(1+Assumptions!D34)^1</f>
        <v>719632.16</v>
      </c>
      <c r="E13" s="30">
        <f>E12*Assumptions!D33*(1+Assumptions!D34)^2</f>
        <v>1111831.6872</v>
      </c>
      <c r="F13" s="30">
        <f>F12*Assumptions!D33*(1+Assumptions!D34)^3</f>
        <v>1479199.407179</v>
      </c>
      <c r="G13" s="30">
        <f>G12*Assumptions!D33*(1+Assumptions!D34)^4</f>
        <v>1916756.13504453</v>
      </c>
    </row>
    <row r="14" spans="2:7" x14ac:dyDescent="0.25">
      <c r="B14" s="28" t="s">
        <v>128</v>
      </c>
      <c r="C14" s="30">
        <f>Assumptions!D35*Assumptions!D40</f>
        <v>356250</v>
      </c>
      <c r="D14" s="30">
        <f>Assumptions!D36*Assumptions!D40*(1+Assumptions!D41)^1</f>
        <v>366937.5</v>
      </c>
      <c r="E14" s="30">
        <f>Assumptions!D37*Assumptions!D40*(1+Assumptions!D41)^2</f>
        <v>377945.625</v>
      </c>
      <c r="F14" s="30">
        <f>Assumptions!D38*Assumptions!D40*(1+Assumptions!D41)^3</f>
        <v>389283.99375</v>
      </c>
      <c r="G14" s="30">
        <f>Assumptions!D39*Assumptions!D40*(1+Assumptions!D41)^4</f>
        <v>400962.5135625</v>
      </c>
    </row>
    <row r="15" spans="2:7" x14ac:dyDescent="0.25">
      <c r="B15" s="28" t="s">
        <v>129</v>
      </c>
      <c r="C15" s="30">
        <f>(C13+C14)*Assumptions!D42</f>
        <v>192566.28571429</v>
      </c>
      <c r="D15" s="30">
        <f>(D13+D14)*Assumptions!D42</f>
        <v>263881.20314286</v>
      </c>
      <c r="E15" s="30">
        <f>(E13+E14)*Assumptions!D42</f>
        <v>361803.06153429</v>
      </c>
      <c r="F15" s="30">
        <f>(F13+F14)*Assumptions!D42</f>
        <v>453774.54022561</v>
      </c>
      <c r="G15" s="30">
        <f>(G13+G14)*Assumptions!D42</f>
        <v>562874.52894742</v>
      </c>
    </row>
    <row r="16" spans="2:7" x14ac:dyDescent="0.25">
      <c r="B16" s="31" t="s">
        <v>130</v>
      </c>
      <c r="C16" s="32">
        <f>C13+C14+C15</f>
        <v>985486.28571429</v>
      </c>
      <c r="D16" s="32">
        <f>D13+D14+D15</f>
        <v>1350450.86314286</v>
      </c>
      <c r="E16" s="32">
        <f>E13+E14+E15</f>
        <v>1851580.37373429</v>
      </c>
      <c r="F16" s="32">
        <f>F13+F14+F15</f>
        <v>2322257.94115461</v>
      </c>
      <c r="G16" s="32">
        <f>G13+G14+G15</f>
        <v>2880593.17755445</v>
      </c>
    </row>
    <row r="18" spans="2:7" x14ac:dyDescent="0.25">
      <c r="B18" s="28" t="s">
        <v>131</v>
      </c>
      <c r="C18" s="30">
        <f>Assumptions!D46</f>
        <v>322000</v>
      </c>
      <c r="D18" s="30">
        <f>Assumptions!D46*(1+Assumptions!D47)^1</f>
        <v>331660</v>
      </c>
      <c r="E18" s="30">
        <f>Assumptions!D46*(1+Assumptions!D47)^2</f>
        <v>341609.8</v>
      </c>
      <c r="F18" s="30">
        <f>Assumptions!D46*(1+Assumptions!D47)^3</f>
        <v>351858.094</v>
      </c>
      <c r="G18" s="30">
        <f>Assumptions!D46*(1+Assumptions!D47)^4</f>
        <v>362413.83682</v>
      </c>
    </row>
    <row r="19" spans="2:7" x14ac:dyDescent="0.25">
      <c r="B19" s="28" t="s">
        <v>132</v>
      </c>
      <c r="C19" s="30" t="str">
        <f>Assumptions!D48</f>
        <v>0</v>
      </c>
      <c r="D19" s="30" t="str">
        <f>Assumptions!D48*(1+Assumptions!D49)^1</f>
        <v>0</v>
      </c>
      <c r="E19" s="30" t="str">
        <f>Assumptions!D48*(1+Assumptions!D49)^2</f>
        <v>0</v>
      </c>
      <c r="F19" s="30" t="str">
        <f>Assumptions!D48*(1+Assumptions!D49)^3</f>
        <v>0</v>
      </c>
      <c r="G19" s="30" t="str">
        <f>Assumptions!D48*(1+Assumptions!D49)^4</f>
        <v>0</v>
      </c>
    </row>
    <row r="20" spans="2:7" x14ac:dyDescent="0.25">
      <c r="B20" s="28" t="s">
        <v>133</v>
      </c>
      <c r="C20" s="30">
        <f>Assumptions!D12*Assumptions!D50</f>
        <v>78000</v>
      </c>
      <c r="D20" s="30">
        <f>Assumptions!D13*Assumptions!D50*(1+Assumptions!D51)^1</f>
        <v>223333.33333333</v>
      </c>
      <c r="E20" s="30">
        <f>Assumptions!D14*Assumptions!D50*(1+Assumptions!D51)^2</f>
        <v>575512.82051282</v>
      </c>
      <c r="F20" s="30">
        <f>Assumptions!D15*Assumptions!D50*(1+Assumptions!D51)^3</f>
        <v>1318268.68288407</v>
      </c>
      <c r="G20" s="30">
        <f>Assumptions!D16*Assumptions!D50*(1+Assumptions!D51)^4</f>
        <v>2830897.49209079</v>
      </c>
    </row>
    <row r="21" spans="2:7" x14ac:dyDescent="0.25">
      <c r="B21" s="28" t="s">
        <v>134</v>
      </c>
      <c r="C21" s="30">
        <f>Assumptions!D52</f>
        <v>204000</v>
      </c>
      <c r="D21" s="30">
        <f>Assumptions!D52*(1+Assumptions!D53)^1</f>
        <v>309200</v>
      </c>
      <c r="E21" s="30">
        <f>Assumptions!D52*(1+Assumptions!D53)^2</f>
        <v>468650.19607843</v>
      </c>
      <c r="F21" s="30">
        <f>Assumptions!D52*(1+Assumptions!D53)^3</f>
        <v>710326.66974241</v>
      </c>
      <c r="G21" s="30">
        <f>Assumptions!D52*(1+Assumptions!D53)^4</f>
        <v>1076632.38374682</v>
      </c>
    </row>
    <row r="22" spans="2:7" x14ac:dyDescent="0.25">
      <c r="B22" s="31" t="s">
        <v>135</v>
      </c>
      <c r="C22" s="32">
        <f>C18+C19+C20+C21</f>
        <v>604000</v>
      </c>
      <c r="D22" s="32">
        <f>D18+D19+D20+D21</f>
        <v>864193.33333333</v>
      </c>
      <c r="E22" s="32">
        <f>E18+E19+E20+E21</f>
        <v>1385772.81659125</v>
      </c>
      <c r="F22" s="32">
        <f>F18+F19+F20+F21</f>
        <v>2380453.44662647</v>
      </c>
      <c r="G22" s="32">
        <f>G18+G19+G20+G21</f>
        <v>4269943.71265761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136</v>
      </c>
      <c r="C1" s="13"/>
      <c r="D1" s="13"/>
      <c r="E1" s="13"/>
      <c r="F1" s="13"/>
      <c r="G1" s="13"/>
    </row>
    <row r="3" ht="24" customHeight="1" spans="2:7" x14ac:dyDescent="0.25">
      <c r="B3" s="26"/>
      <c r="C3" s="27" t="s">
        <v>114</v>
      </c>
      <c r="D3" s="27" t="s">
        <v>115</v>
      </c>
      <c r="E3" s="27" t="s">
        <v>116</v>
      </c>
      <c r="F3" s="27" t="s">
        <v>117</v>
      </c>
      <c r="G3" s="27" t="s">
        <v>118</v>
      </c>
    </row>
    <row r="5" spans="2:7" x14ac:dyDescent="0.25">
      <c r="B5" s="28" t="s">
        <v>119</v>
      </c>
      <c r="C5" s="29">
        <f>Drivers!C4</f>
        <v>120</v>
      </c>
      <c r="D5" s="29">
        <f>Drivers!D4</f>
        <v>200</v>
      </c>
      <c r="E5" s="29">
        <f>Drivers!E4</f>
        <v>300</v>
      </c>
      <c r="F5" s="29">
        <f>Drivers!F4</f>
        <v>400</v>
      </c>
      <c r="G5" s="29">
        <f>Drivers!G4</f>
        <v>500</v>
      </c>
    </row>
    <row r="6" spans="2:7" x14ac:dyDescent="0.25">
      <c r="B6" s="28" t="s">
        <v>120</v>
      </c>
      <c r="C6" s="30" t="str">
        <f>Drivers!C6</f>
        <v>0</v>
      </c>
      <c r="D6" s="30" t="str">
        <f>Drivers!D6</f>
        <v>0</v>
      </c>
      <c r="E6" s="30" t="str">
        <f>Drivers!E6</f>
        <v>0</v>
      </c>
      <c r="F6" s="30" t="str">
        <f>Drivers!F6</f>
        <v>0</v>
      </c>
      <c r="G6" s="30" t="str">
        <f>Drivers!G6</f>
        <v>0</v>
      </c>
    </row>
    <row r="7" spans="2:7" x14ac:dyDescent="0.25">
      <c r="B7" s="28" t="s">
        <v>137</v>
      </c>
      <c r="C7" s="30">
        <f>Drivers!C7</f>
        <v>1191000</v>
      </c>
      <c r="D7" s="30">
        <f>Drivers!D7</f>
        <v>1995250</v>
      </c>
      <c r="E7" s="30">
        <f>Drivers!E7</f>
        <v>3043400</v>
      </c>
      <c r="F7" s="30">
        <f>Drivers!F7</f>
        <v>4113050</v>
      </c>
      <c r="G7" s="30">
        <f>Drivers!G7</f>
        <v>5234700</v>
      </c>
    </row>
    <row r="8" spans="2:7" x14ac:dyDescent="0.25">
      <c r="B8" s="28" t="s">
        <v>138</v>
      </c>
      <c r="C8" s="30">
        <f>Drivers!C8</f>
        <v>48000</v>
      </c>
      <c r="D8" s="30">
        <f>Drivers!D8</f>
        <v>82400</v>
      </c>
      <c r="E8" s="30">
        <f>Drivers!E8</f>
        <v>127308</v>
      </c>
      <c r="F8" s="30">
        <f>Drivers!F8</f>
        <v>174836.32</v>
      </c>
      <c r="G8" s="30">
        <f>Drivers!G8</f>
        <v>225101.762</v>
      </c>
    </row>
    <row r="9" spans="2:7" x14ac:dyDescent="0.25">
      <c r="B9" s="28" t="s">
        <v>124</v>
      </c>
      <c r="C9" s="30">
        <f>Drivers!C9</f>
        <v>175000</v>
      </c>
      <c r="D9" s="30">
        <f>Drivers!D9</f>
        <v>175000</v>
      </c>
      <c r="E9" s="30">
        <f>Drivers!E9</f>
        <v>175000</v>
      </c>
      <c r="F9" s="30">
        <f>Drivers!F9</f>
        <v>175000</v>
      </c>
      <c r="G9" s="30">
        <f>Drivers!G9</f>
        <v>175000</v>
      </c>
    </row>
    <row r="10" spans="2:7" x14ac:dyDescent="0.25">
      <c r="B10" s="31" t="s">
        <v>125</v>
      </c>
      <c r="C10" s="32">
        <f>Drivers!C10</f>
        <v>1414000</v>
      </c>
      <c r="D10" s="32">
        <f>Drivers!D10</f>
        <v>2252650</v>
      </c>
      <c r="E10" s="32">
        <f>Drivers!E10</f>
        <v>3345708</v>
      </c>
      <c r="F10" s="32">
        <f>Drivers!F10</f>
        <v>4462886.32</v>
      </c>
      <c r="G10" s="32">
        <f>Drivers!G10</f>
        <v>5634801.762</v>
      </c>
    </row>
    <row r="12" spans="2:7" x14ac:dyDescent="0.25">
      <c r="B12" s="28" t="s">
        <v>139</v>
      </c>
      <c r="C12" s="30">
        <f>Drivers!C16</f>
        <v>985486.28571429</v>
      </c>
      <c r="D12" s="30">
        <f>Drivers!D16</f>
        <v>1350450.86314286</v>
      </c>
      <c r="E12" s="30">
        <f>Drivers!E16</f>
        <v>1851580.37373429</v>
      </c>
      <c r="F12" s="30">
        <f>Drivers!F16</f>
        <v>2322257.94115461</v>
      </c>
      <c r="G12" s="30">
        <f>Drivers!G16</f>
        <v>2880593.17755445</v>
      </c>
    </row>
    <row r="13" spans="2:7" x14ac:dyDescent="0.25">
      <c r="B13" s="28" t="s">
        <v>135</v>
      </c>
      <c r="C13" s="30">
        <f>Drivers!C22</f>
        <v>604000</v>
      </c>
      <c r="D13" s="30">
        <f>Drivers!D22</f>
        <v>864193.33333333</v>
      </c>
      <c r="E13" s="30">
        <f>Drivers!E22</f>
        <v>1385772.81659125</v>
      </c>
      <c r="F13" s="30">
        <f>Drivers!F22</f>
        <v>2380453.44662647</v>
      </c>
      <c r="G13" s="30">
        <f>Drivers!G22</f>
        <v>4269943.71265761</v>
      </c>
    </row>
    <row r="15" spans="2:7" x14ac:dyDescent="0.25">
      <c r="B15" s="31" t="s">
        <v>140</v>
      </c>
      <c r="C15" s="32">
        <f>C12+C13</f>
        <v>1589486.28571429</v>
      </c>
      <c r="D15" s="32">
        <f>D12+D13</f>
        <v>2214644.19647619</v>
      </c>
      <c r="E15" s="32">
        <f>E12+E13</f>
        <v>3237353.19032554</v>
      </c>
      <c r="F15" s="32">
        <f>F12+F13</f>
        <v>4702711.38778109</v>
      </c>
      <c r="G15" s="32">
        <f>G12+G13</f>
        <v>7150536.89021206</v>
      </c>
    </row>
    <row r="16" spans="2:7" x14ac:dyDescent="0.25">
      <c r="B16" s="31" t="s">
        <v>141</v>
      </c>
      <c r="C16" s="33">
        <f>C10-C15</f>
        <v>-175486.28571429</v>
      </c>
      <c r="D16" s="34">
        <f>D10-D15</f>
        <v>38005.80352381</v>
      </c>
      <c r="E16" s="34">
        <f>E10-E15</f>
        <v>108354.80967446</v>
      </c>
      <c r="F16" s="33">
        <f>F10-F15</f>
        <v>-239825.06778109</v>
      </c>
      <c r="G16" s="33">
        <f>G10-G15</f>
        <v>-1515735.12821206</v>
      </c>
    </row>
    <row r="17" spans="2:7" x14ac:dyDescent="0.25">
      <c r="B17" s="28" t="s">
        <v>142</v>
      </c>
      <c r="C17" s="35">
        <f>IF(C10&gt;0,C16/C10,0)</f>
        <v>-0.12410628</v>
      </c>
      <c r="D17" s="35">
        <f>IF(D10&gt;0,D16/D10,0)</f>
        <v>0.0168716</v>
      </c>
      <c r="E17" s="35">
        <f>IF(E10&gt;0,E16/E10,0)</f>
        <v>0.03238621</v>
      </c>
      <c r="F17" s="35">
        <f>IF(F10&gt;0,F16/F10,0)</f>
        <v>-0.05373766</v>
      </c>
      <c r="G17" s="35">
        <f>IF(G10&gt;0,G16/G10,0)</f>
        <v>-0.26899529</v>
      </c>
    </row>
    <row r="19" spans="2:7" x14ac:dyDescent="0.25">
      <c r="B19" s="28" t="s">
        <v>143</v>
      </c>
      <c r="C19" s="30">
        <v>20283</v>
      </c>
      <c r="D19" s="30">
        <v>18658</v>
      </c>
      <c r="E19" s="30">
        <v>16933</v>
      </c>
      <c r="F19" s="30">
        <v>15102</v>
      </c>
      <c r="G19" s="30">
        <v>13157</v>
      </c>
    </row>
    <row r="20" spans="2:7" x14ac:dyDescent="0.25">
      <c r="B20" s="28" t="s">
        <v>144</v>
      </c>
      <c r="C20" s="30">
        <f>'Cash Flow &amp; DSCR'!C9-C19</f>
        <v>86345.27727044</v>
      </c>
      <c r="D20" s="30">
        <f>'Cash Flow &amp; DSCR'!D9-D19</f>
        <v>87970.19632545</v>
      </c>
      <c r="E20" s="30">
        <f>'Cash Flow &amp; DSCR'!E9-E19</f>
        <v>89695.33683222</v>
      </c>
      <c r="F20" s="30">
        <f>'Cash Flow &amp; DSCR'!F9-F19</f>
        <v>91526.88023061</v>
      </c>
      <c r="G20" s="30">
        <f>'Cash Flow &amp; DSCR'!G9-G19</f>
        <v>93471.38921815</v>
      </c>
    </row>
    <row r="22" spans="2:7" x14ac:dyDescent="0.25">
      <c r="B22" s="31" t="s">
        <v>145</v>
      </c>
      <c r="C22" s="33">
        <f>C16-C19-C20</f>
        <v>-282114.89652978</v>
      </c>
      <c r="D22" s="33">
        <f>D16-D19-D20</f>
        <v>-68622.80729168</v>
      </c>
      <c r="E22" s="34">
        <f>E16-E19-E20</f>
        <v>1726.19885897</v>
      </c>
      <c r="F22" s="33">
        <f>F16-F19-F20</f>
        <v>-346453.67859658</v>
      </c>
      <c r="G22" s="33">
        <f>G16-G19-G20</f>
        <v>-1622363.73902756</v>
      </c>
    </row>
    <row r="23" spans="2:7" x14ac:dyDescent="0.25">
      <c r="B23" s="28" t="s">
        <v>146</v>
      </c>
      <c r="C23" s="35">
        <f>IF(C10&gt;0,C22/C10,0)</f>
        <v>-0.19951549</v>
      </c>
      <c r="D23" s="35">
        <f>IF(D10&gt;0,D22/D10,0)</f>
        <v>-0.03046315</v>
      </c>
      <c r="E23" s="35">
        <f>IF(E10&gt;0,E22/E10,0)</f>
        <v>0.00051594</v>
      </c>
      <c r="F23" s="35">
        <f>IF(F10&gt;0,F22/F10,0)</f>
        <v>-0.07762996</v>
      </c>
      <c r="G23" s="35">
        <f>IF(G10&gt;0,G22/G10,0)</f>
        <v>-0.28791851</v>
      </c>
    </row>
    <row r="25" spans="2:7" x14ac:dyDescent="0.25">
      <c r="B25" s="31" t="s">
        <v>147</v>
      </c>
      <c r="C25" s="36">
        <f>C22</f>
        <v>-282114.89652978</v>
      </c>
      <c r="D25" s="36">
        <f>C25+D22</f>
        <v>-350737.70382146</v>
      </c>
      <c r="E25" s="36">
        <f>D25+E22</f>
        <v>-349011.50496249</v>
      </c>
      <c r="F25" s="36">
        <f>E25+F22</f>
        <v>-695465.18355908</v>
      </c>
      <c r="G25" s="36">
        <f>F25+G22</f>
        <v>-2317828.92258663</v>
      </c>
    </row>
    <row r="26" spans="2:7" x14ac:dyDescent="0.25">
      <c r="B26" s="31" t="s">
        <v>148</v>
      </c>
      <c r="C26" s="37" t="s">
        <v>7</v>
      </c>
      <c r="D26" s="37" t="s">
        <v>7</v>
      </c>
      <c r="E26" s="37" t="s">
        <v>7</v>
      </c>
      <c r="F26" s="37" t="s">
        <v>7</v>
      </c>
      <c r="G26" s="37"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149</v>
      </c>
      <c r="C1" s="13"/>
      <c r="D1" s="13"/>
      <c r="E1" s="13"/>
      <c r="F1" s="13"/>
      <c r="G1" s="13"/>
    </row>
    <row r="3" ht="24" customHeight="1" spans="2:7" x14ac:dyDescent="0.25">
      <c r="B3" s="26"/>
      <c r="C3" s="27" t="s">
        <v>114</v>
      </c>
      <c r="D3" s="27" t="s">
        <v>115</v>
      </c>
      <c r="E3" s="27" t="s">
        <v>116</v>
      </c>
      <c r="F3" s="27" t="s">
        <v>117</v>
      </c>
      <c r="G3" s="27" t="s">
        <v>118</v>
      </c>
    </row>
    <row r="4" spans="2:7" x14ac:dyDescent="0.25">
      <c r="B4" s="31" t="s">
        <v>150</v>
      </c>
      <c r="C4" s="36" t="str">
        <f>Assumptions!D57</f>
        <v>0</v>
      </c>
      <c r="D4" s="36">
        <f>C16</f>
        <v>-282114.89652978</v>
      </c>
      <c r="E4" s="36">
        <f>D16</f>
        <v>-350737.70382146</v>
      </c>
      <c r="F4" s="36">
        <f>E16</f>
        <v>-349011.50496249</v>
      </c>
      <c r="G4" s="36">
        <f>F16</f>
        <v>-695465.18355908</v>
      </c>
    </row>
    <row r="5" spans="2:7" x14ac:dyDescent="0.25">
      <c r="B5" s="28" t="s">
        <v>151</v>
      </c>
      <c r="C5" s="30">
        <f>'5-Year P&amp;L'!C16</f>
        <v>-175486.28571429</v>
      </c>
      <c r="D5" s="30">
        <f>'5-Year P&amp;L'!D16</f>
        <v>38005.80352381</v>
      </c>
      <c r="E5" s="30">
        <f>'5-Year P&amp;L'!E16</f>
        <v>108354.80967446</v>
      </c>
      <c r="F5" s="30">
        <f>'5-Year P&amp;L'!F16</f>
        <v>-239825.06778109</v>
      </c>
      <c r="G5" s="30">
        <f>'5-Year P&amp;L'!G16</f>
        <v>-1515735.12821206</v>
      </c>
    </row>
    <row r="7" spans="2:7" x14ac:dyDescent="0.25">
      <c r="B7" s="28" t="s">
        <v>152</v>
      </c>
      <c r="C7" s="30">
        <f>Assumptions!D58</f>
        <v>60000</v>
      </c>
      <c r="D7" s="30">
        <f>Assumptions!D58</f>
        <v>60000</v>
      </c>
      <c r="E7" s="30">
        <f>Assumptions!D58</f>
        <v>60000</v>
      </c>
      <c r="F7" s="30">
        <f>Assumptions!D58</f>
        <v>60000</v>
      </c>
      <c r="G7" s="30">
        <f>Assumptions!D58</f>
        <v>60000</v>
      </c>
    </row>
    <row r="8" spans="2:7" x14ac:dyDescent="0.25">
      <c r="B8" s="28" t="s">
        <v>153</v>
      </c>
      <c r="C8" s="30">
        <f>IF(Assumptions!D59&gt;0,PMT(Assumptions!D60/12,Assumptions!D61*12,-Assumptions!D59)*12,0)</f>
        <v>46628.61081549</v>
      </c>
      <c r="D8" s="30">
        <f>IF(Assumptions!D59&gt;0,PMT(Assumptions!D60/12,Assumptions!D61*12,-Assumptions!D59)*12,0)</f>
        <v>46628.61081549</v>
      </c>
      <c r="E8" s="30">
        <f>IF(Assumptions!D59&gt;0,PMT(Assumptions!D60/12,Assumptions!D61*12,-Assumptions!D59)*12,0)</f>
        <v>46628.61081549</v>
      </c>
      <c r="F8" s="30">
        <f>IF(Assumptions!D59&gt;0,PMT(Assumptions!D60/12,Assumptions!D61*12,-Assumptions!D59)*12,0)</f>
        <v>46628.61081549</v>
      </c>
      <c r="G8" s="30">
        <f>IF(Assumptions!D59&gt;0,PMT(Assumptions!D60/12,Assumptions!D61*12,-Assumptions!D59)*12,0)</f>
        <v>46628.61081549</v>
      </c>
    </row>
    <row r="9" spans="2:7" x14ac:dyDescent="0.25">
      <c r="B9" s="31" t="s">
        <v>154</v>
      </c>
      <c r="C9" s="32">
        <f>C7+C8</f>
        <v>106628.61081549</v>
      </c>
      <c r="D9" s="32">
        <f>D7+D8</f>
        <v>106628.61081549</v>
      </c>
      <c r="E9" s="32">
        <f>E7+E8</f>
        <v>106628.61081549</v>
      </c>
      <c r="F9" s="32">
        <f>F7+F8</f>
        <v>106628.61081549</v>
      </c>
      <c r="G9" s="32">
        <f>G7+G8</f>
        <v>106628.61081549</v>
      </c>
    </row>
    <row r="11" spans="2:7" x14ac:dyDescent="0.25">
      <c r="B11" s="31" t="s">
        <v>155</v>
      </c>
      <c r="C11" s="38">
        <f>IF(C9&gt;0,C5/C9,IF(C5&gt;0,99.9,0))</f>
        <v>-1.6457711</v>
      </c>
      <c r="D11" s="38">
        <f>IF(D9&gt;0,D5/D9,IF(D5&gt;0,99.9,0))</f>
        <v>0.35643157</v>
      </c>
      <c r="E11" s="38">
        <f>IF(E9&gt;0,E5/E9,IF(E5&gt;0,99.9,0))</f>
        <v>1.01618889</v>
      </c>
      <c r="F11" s="38">
        <f>IF(F9&gt;0,F5/F9,IF(F5&gt;0,99.9,0))</f>
        <v>-2.24916245</v>
      </c>
      <c r="G11" s="38">
        <f>IF(G9&gt;0,G5/G9,IF(G5&gt;0,99.9,0))</f>
        <v>-14.2150884</v>
      </c>
    </row>
    <row r="13" spans="2:7" x14ac:dyDescent="0.25">
      <c r="B13" s="28" t="s">
        <v>156</v>
      </c>
      <c r="C13" s="30">
        <f>C5-C9</f>
        <v>-282114.89652978</v>
      </c>
      <c r="D13" s="30">
        <f>D5-D9</f>
        <v>-68622.80729168</v>
      </c>
      <c r="E13" s="30">
        <f>E5-E9</f>
        <v>1726.19885897</v>
      </c>
      <c r="F13" s="30">
        <f>F5-F9</f>
        <v>-346453.67859658</v>
      </c>
      <c r="G13" s="30">
        <f>G5-G9</f>
        <v>-1622363.73902756</v>
      </c>
    </row>
    <row r="14" spans="2:7" x14ac:dyDescent="0.25">
      <c r="B14" s="31" t="s">
        <v>157</v>
      </c>
      <c r="C14" s="36">
        <f>C5-C9</f>
        <v>-282114.89652978</v>
      </c>
      <c r="D14" s="36">
        <f>D5-D9</f>
        <v>-68622.80729168</v>
      </c>
      <c r="E14" s="36">
        <f>E5-E9</f>
        <v>1726.19885897</v>
      </c>
      <c r="F14" s="36">
        <f>F5-F9</f>
        <v>-346453.67859658</v>
      </c>
      <c r="G14" s="36">
        <f>G5-G9</f>
        <v>-1622363.73902756</v>
      </c>
    </row>
    <row r="16" spans="2:7" x14ac:dyDescent="0.25">
      <c r="B16" s="31" t="s">
        <v>158</v>
      </c>
      <c r="C16" s="33">
        <f>C4+C14</f>
        <v>-282114.89652978</v>
      </c>
      <c r="D16" s="33">
        <f>D4+D14</f>
        <v>-350737.70382146</v>
      </c>
      <c r="E16" s="33">
        <f>E4+E14</f>
        <v>-349011.50496249</v>
      </c>
      <c r="F16" s="33">
        <f>F4+F14</f>
        <v>-695465.18355908</v>
      </c>
      <c r="G16" s="33">
        <f>G4+G14</f>
        <v>-2317828.92258663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C3AED"/>
    <pageSetUpPr fitToPage="1"/>
  </sheetPr>
  <dimension ref="B1:G17"/>
  <sheetViews>
    <sheetView workbookViewId="0">
      <pane xSplit="2" ySplit="4" topLeftCell="C5" activePane="bottomRight" state="frozen"/>
      <selection pane="bottomRight"/>
    </sheetView>
  </sheetViews>
  <sheetFormatPr defaultRowHeight="15" outlineLevelRow="0" outlineLevelCol="0" x14ac:dyDescent="55"/>
  <cols>
    <col min="1" max="1" width="3" customWidth="1"/>
    <col min="2" max="2" width="36" customWidth="1"/>
    <col min="3" max="7" width="16" customWidth="1"/>
  </cols>
  <sheetData>
    <row r="1" spans="2:7" x14ac:dyDescent="0.25">
      <c r="B1" s="13" t="s">
        <v>159</v>
      </c>
      <c r="C1" s="13"/>
      <c r="D1" s="13"/>
      <c r="E1" s="13"/>
      <c r="F1" s="13"/>
      <c r="G1" s="13"/>
    </row>
    <row r="2" spans="2:7" x14ac:dyDescent="0.25">
      <c r="B2" s="3" t="s">
        <v>160</v>
      </c>
      <c r="C2" s="3"/>
      <c r="D2" s="3"/>
      <c r="E2" s="3"/>
      <c r="F2" s="3"/>
      <c r="G2" s="3"/>
    </row>
    <row r="4" ht="24" customHeight="1" spans="2:7" x14ac:dyDescent="0.25">
      <c r="B4" s="26"/>
      <c r="C4" s="27" t="s">
        <v>114</v>
      </c>
      <c r="D4" s="27" t="s">
        <v>115</v>
      </c>
      <c r="E4" s="27" t="s">
        <v>116</v>
      </c>
      <c r="F4" s="27" t="s">
        <v>117</v>
      </c>
      <c r="G4" s="27" t="s">
        <v>118</v>
      </c>
    </row>
    <row r="5" spans="2:7" x14ac:dyDescent="0.25">
      <c r="B5" s="39" t="s">
        <v>161</v>
      </c>
      <c r="C5" s="39"/>
      <c r="D5" s="39"/>
      <c r="E5" s="39"/>
      <c r="F5" s="39"/>
      <c r="G5" s="39"/>
    </row>
    <row r="6" spans="2:7" x14ac:dyDescent="0.25">
      <c r="B6" s="28" t="s">
        <v>162</v>
      </c>
      <c r="C6" s="30">
        <v>0</v>
      </c>
      <c r="D6" s="30">
        <v>0</v>
      </c>
      <c r="E6" s="30">
        <v>0</v>
      </c>
      <c r="F6" s="30">
        <v>0</v>
      </c>
      <c r="G6" s="30">
        <v>0</v>
      </c>
    </row>
    <row r="7" spans="2:7" x14ac:dyDescent="0.25">
      <c r="B7" s="28" t="s">
        <v>163</v>
      </c>
      <c r="C7" s="30">
        <v>0</v>
      </c>
      <c r="D7" s="30">
        <v>0</v>
      </c>
      <c r="E7" s="30">
        <v>0</v>
      </c>
      <c r="F7" s="30">
        <v>0</v>
      </c>
      <c r="G7" s="30">
        <v>0</v>
      </c>
    </row>
    <row r="8" spans="2:7" x14ac:dyDescent="0.25">
      <c r="B8" s="31" t="s">
        <v>164</v>
      </c>
      <c r="C8" s="34" t="str">
        <f>C6-C7</f>
        <v>0</v>
      </c>
      <c r="D8" s="34" t="str">
        <f>D6-D7</f>
        <v>0</v>
      </c>
      <c r="E8" s="34" t="str">
        <f>E6-E7</f>
        <v>0</v>
      </c>
      <c r="F8" s="34" t="str">
        <f>F6-F7</f>
        <v>0</v>
      </c>
      <c r="G8" s="34" t="str">
        <f>G6-G7</f>
        <v>0</v>
      </c>
    </row>
    <row r="9" spans="2:7" x14ac:dyDescent="0.25">
      <c r="B9" s="31" t="s">
        <v>165</v>
      </c>
      <c r="C9" s="32" t="str">
        <f>C7*30/365</f>
        <v>0</v>
      </c>
      <c r="D9" s="32" t="str">
        <f>D7*30/365</f>
        <v>0</v>
      </c>
      <c r="E9" s="32" t="str">
        <f>E7*30/365</f>
        <v>0</v>
      </c>
      <c r="F9" s="32" t="str">
        <f>F7*30/365</f>
        <v>0</v>
      </c>
      <c r="G9" s="32" t="str">
        <f>G7*30/365</f>
        <v>0</v>
      </c>
    </row>
    <row r="11" spans="2:7" x14ac:dyDescent="0.25">
      <c r="B11" s="39" t="s">
        <v>166</v>
      </c>
      <c r="C11" s="39"/>
      <c r="D11" s="39"/>
      <c r="E11" s="39"/>
      <c r="F11" s="39"/>
      <c r="G11" s="39"/>
    </row>
    <row r="12" spans="2:7" x14ac:dyDescent="0.25">
      <c r="B12" s="28" t="s">
        <v>167</v>
      </c>
      <c r="C12" s="30">
        <v>-282114.8965297792</v>
      </c>
      <c r="D12" s="30">
        <v>-350737.7038214635</v>
      </c>
      <c r="E12" s="30">
        <v>-349011.5049624947</v>
      </c>
      <c r="F12" s="30">
        <v>-695465.1835590771</v>
      </c>
      <c r="G12" s="30">
        <v>-2317828.922586633</v>
      </c>
    </row>
    <row r="13" spans="2:7" x14ac:dyDescent="0.25">
      <c r="B13" s="28" t="s">
        <v>168</v>
      </c>
      <c r="C13" s="30">
        <v>0</v>
      </c>
      <c r="D13" s="30">
        <v>0</v>
      </c>
      <c r="E13" s="30">
        <v>0</v>
      </c>
      <c r="F13" s="30">
        <v>0</v>
      </c>
      <c r="G13" s="30">
        <v>0</v>
      </c>
    </row>
    <row r="14" spans="2:7" x14ac:dyDescent="0.25">
      <c r="B14" s="31" t="s">
        <v>169</v>
      </c>
      <c r="C14" s="33">
        <f>C12-C13</f>
        <v>-282114.89652978</v>
      </c>
      <c r="D14" s="33">
        <f>D12-D13</f>
        <v>-350737.70382146</v>
      </c>
      <c r="E14" s="33">
        <f>E12-E13</f>
        <v>-349011.50496249</v>
      </c>
      <c r="F14" s="33">
        <f>F12-F13</f>
        <v>-695465.18355908</v>
      </c>
      <c r="G14" s="33">
        <f>G12-G13</f>
        <v>-2317828.92258663</v>
      </c>
    </row>
    <row r="16" spans="2:7" x14ac:dyDescent="0.25">
      <c r="B16" s="40" t="s">
        <v>170</v>
      </c>
      <c r="C16" s="40"/>
      <c r="D16" s="40"/>
      <c r="E16" s="40"/>
      <c r="F16" s="40"/>
      <c r="G16" s="40"/>
    </row>
    <row r="17" spans="2:7" x14ac:dyDescent="0.25">
      <c r="B17" s="40"/>
      <c r="C17" s="40"/>
      <c r="D17" s="40"/>
      <c r="E17" s="40"/>
      <c r="F17" s="40"/>
      <c r="G17" s="40"/>
    </row>
  </sheetData>
  <mergeCells count="5">
    <mergeCell ref="B1:G1"/>
    <mergeCell ref="B2:G2"/>
    <mergeCell ref="B5:G5"/>
    <mergeCell ref="B11:G11"/>
    <mergeCell ref="B16:G17"/>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171</v>
      </c>
      <c r="C1" s="13"/>
      <c r="D1" s="13"/>
      <c r="E1" s="13"/>
      <c r="F1" s="13"/>
      <c r="G1" s="13"/>
    </row>
    <row r="3" ht="24" customHeight="1" spans="2:7" x14ac:dyDescent="0.25">
      <c r="B3" s="26"/>
      <c r="C3" s="27" t="s">
        <v>114</v>
      </c>
      <c r="D3" s="27" t="s">
        <v>115</v>
      </c>
      <c r="E3" s="27" t="s">
        <v>116</v>
      </c>
      <c r="F3" s="27" t="s">
        <v>117</v>
      </c>
      <c r="G3" s="27" t="s">
        <v>118</v>
      </c>
    </row>
    <row r="4" spans="2:7" x14ac:dyDescent="0.25">
      <c r="B4" s="28" t="s">
        <v>172</v>
      </c>
      <c r="C4" s="29">
        <f>Drivers!C12</f>
        <v>10</v>
      </c>
      <c r="D4" s="29">
        <f>Drivers!D12</f>
        <v>16</v>
      </c>
      <c r="E4" s="29">
        <f>Drivers!E12</f>
        <v>24</v>
      </c>
      <c r="F4" s="29">
        <f>Drivers!F12</f>
        <v>31</v>
      </c>
      <c r="G4" s="29">
        <f>Drivers!G12</f>
        <v>39</v>
      </c>
    </row>
    <row r="5" spans="2:7" x14ac:dyDescent="0.25">
      <c r="B5" s="28" t="s">
        <v>173</v>
      </c>
      <c r="C5" s="29">
        <f>Assumptions!D35</f>
        <v>5</v>
      </c>
      <c r="D5" s="29">
        <f>Assumptions!D36</f>
        <v>5</v>
      </c>
      <c r="E5" s="29">
        <f>Assumptions!D37</f>
        <v>5</v>
      </c>
      <c r="F5" s="29">
        <f>Assumptions!D38</f>
        <v>5</v>
      </c>
      <c r="G5" s="29">
        <f>Assumptions!D39</f>
        <v>5</v>
      </c>
    </row>
    <row r="6" spans="2:7" x14ac:dyDescent="0.25">
      <c r="B6" s="31" t="s">
        <v>174</v>
      </c>
      <c r="C6" s="41">
        <f>C4+C5</f>
        <v>15</v>
      </c>
      <c r="D6" s="41">
        <f>D4+D5</f>
        <v>21</v>
      </c>
      <c r="E6" s="41">
        <f>E4+E5</f>
        <v>29</v>
      </c>
      <c r="F6" s="41">
        <f>F4+F5</f>
        <v>36</v>
      </c>
      <c r="G6" s="41">
        <f>G4+G5</f>
        <v>44</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175</v>
      </c>
      <c r="C1" s="13"/>
    </row>
    <row r="3" spans="2:3" x14ac:dyDescent="0.25">
      <c r="B3" s="28" t="s">
        <v>176</v>
      </c>
      <c r="C3" s="30">
        <f>Assumptions!D59</f>
        <v>350000</v>
      </c>
    </row>
    <row r="4" spans="2:3" x14ac:dyDescent="0.25">
      <c r="B4" s="28" t="s">
        <v>177</v>
      </c>
      <c r="C4" s="35">
        <f>Assumptions!D60</f>
        <v>0.06</v>
      </c>
    </row>
    <row r="5" spans="2:3" x14ac:dyDescent="0.25">
      <c r="B5" s="28" t="s">
        <v>94</v>
      </c>
      <c r="C5" s="29">
        <f>Assumptions!D61</f>
        <v>10</v>
      </c>
    </row>
    <row r="6" spans="2:3" x14ac:dyDescent="0.25">
      <c r="B6" s="28" t="s">
        <v>178</v>
      </c>
      <c r="C6" s="36">
        <f>IF(Assumptions!D59&gt;0,PMT(Assumptions!D60/12,Assumptions!D61*12,-Assumptions!D59)*12,0)</f>
        <v>46628.61081549</v>
      </c>
    </row>
    <row r="8" spans="2:3" x14ac:dyDescent="0.25">
      <c r="B8" s="28" t="s">
        <v>179</v>
      </c>
      <c r="C8" s="38">
        <f>'Cash Flow &amp; DSCR'!C11</f>
        <v>-1.6457711</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180</v>
      </c>
      <c r="C1" s="13"/>
    </row>
    <row r="3" spans="2:3" x14ac:dyDescent="0.25">
      <c r="B3" s="28" t="s">
        <v>46</v>
      </c>
      <c r="C3" s="28" t="str">
        <f>Assumptions!D5</f>
        <v>Heritage Academy Charter</v>
      </c>
    </row>
    <row r="4" spans="2:3" x14ac:dyDescent="0.25">
      <c r="B4" s="28" t="s">
        <v>49</v>
      </c>
      <c r="C4" s="28" t="str">
        <f>Assumptions!D7</f>
        <v>Charter School</v>
      </c>
    </row>
    <row r="5" spans="2:3" x14ac:dyDescent="0.25">
      <c r="B5" s="28" t="s">
        <v>47</v>
      </c>
      <c r="C5" s="28" t="str">
        <f>Assumptions!D6</f>
        <v>AZ</v>
      </c>
    </row>
    <row r="6" spans="2:3" x14ac:dyDescent="0.25">
      <c r="B6" s="28" t="s">
        <v>181</v>
      </c>
      <c r="C6" s="28">
        <f>Assumptions!D8</f>
        <v>2026</v>
      </c>
    </row>
    <row r="8" spans="2:3" x14ac:dyDescent="0.25">
      <c r="B8" s="28" t="s">
        <v>57</v>
      </c>
      <c r="C8" s="29">
        <f>Assumptions!D16</f>
        <v>500</v>
      </c>
    </row>
    <row r="9" spans="2:3" x14ac:dyDescent="0.25">
      <c r="B9" s="28" t="s">
        <v>182</v>
      </c>
      <c r="C9" s="30">
        <f>Drivers!G10</f>
        <v>5634801.762</v>
      </c>
    </row>
    <row r="10" spans="2:3" x14ac:dyDescent="0.25">
      <c r="B10" s="28" t="s">
        <v>183</v>
      </c>
      <c r="C10" s="42">
        <f>'5-Year P&amp;L'!G16</f>
        <v>-1515735.12821206</v>
      </c>
    </row>
    <row r="12" ht="24" customHeight="1" spans="2:3" x14ac:dyDescent="0.25">
      <c r="B12" s="43" t="s">
        <v>184</v>
      </c>
      <c r="C12" s="26"/>
    </row>
    <row r="13" spans="2:3" x14ac:dyDescent="0.25">
      <c r="B13" s="28" t="s">
        <v>185</v>
      </c>
      <c r="C13" s="44">
        <f>IF(Drivers!G10&gt;0,'5-Year P&amp;L'!G21/Drivers!G10,0)</f>
        <v>-0.28791851</v>
      </c>
    </row>
    <row r="14" spans="2:3" x14ac:dyDescent="0.25">
      <c r="B14" s="28" t="s">
        <v>186</v>
      </c>
      <c r="C14" s="35">
        <f>IF(Drivers!G10&gt;0,Drivers!G16/Drivers!G10,0)</f>
        <v>0.51121464</v>
      </c>
    </row>
    <row r="15" spans="2:3" x14ac:dyDescent="0.25">
      <c r="B15" s="28" t="s">
        <v>187</v>
      </c>
      <c r="C15" s="30">
        <f>IF(Assumptions!D16&gt;0,Drivers!G10/Assumptions!D16,0)</f>
        <v>11270</v>
      </c>
    </row>
    <row r="16" spans="2:3" x14ac:dyDescent="0.25">
      <c r="B16" s="28" t="s">
        <v>188</v>
      </c>
      <c r="C16" s="30">
        <f>IF(Assumptions!D16&gt;0,('5-Year P&amp;L'!G12+'5-Year P&amp;L'!G13)/Assumptions!D16,0)</f>
        <v>14301</v>
      </c>
    </row>
    <row r="17" spans="2:3" x14ac:dyDescent="0.25">
      <c r="B17" s="28" t="s">
        <v>189</v>
      </c>
      <c r="C17" s="38">
        <f>'Cash Flow &amp; DSCR'!C11</f>
        <v>-1.6457711</v>
      </c>
    </row>
    <row r="18" spans="2:3" x14ac:dyDescent="0.25">
      <c r="B18" s="28" t="s">
        <v>190</v>
      </c>
      <c r="C18" s="38">
        <f>'Cash Flow &amp; DSCR'!G11</f>
        <v>-14.2150884</v>
      </c>
    </row>
    <row r="19" spans="2:3" x14ac:dyDescent="0.25">
      <c r="B19" s="28" t="s">
        <v>191</v>
      </c>
      <c r="C19" s="45">
        <v>0</v>
      </c>
    </row>
    <row r="21" spans="2:3" x14ac:dyDescent="0.25">
      <c r="B21" s="12" t="s">
        <v>192</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A1:H57"/>
  <sheetFormatPr defaultRowHeight="15" outlineLevelRow="0" outlineLevelCol="0" x14ac:dyDescent="55"/>
  <cols>
    <col min="1" max="1" width="38" customWidth="1"/>
    <col min="2" max="2" width="18" customWidth="1"/>
    <col min="3" max="8" width="14" customWidth="1"/>
  </cols>
  <sheetData>
    <row r="1" ht="24" customHeight="1" spans="1:8" x14ac:dyDescent="0.25">
      <c r="A1" s="46" t="s">
        <v>193</v>
      </c>
      <c r="B1" s="46"/>
      <c r="C1" s="46"/>
      <c r="D1" s="46"/>
      <c r="E1" s="46"/>
      <c r="F1" s="46"/>
      <c r="G1" s="46"/>
      <c r="H1" s="46"/>
    </row>
    <row r="2" ht="28" customHeight="1" spans="1:8" x14ac:dyDescent="0.25">
      <c r="A2" s="47" t="s">
        <v>194</v>
      </c>
      <c r="B2" s="47"/>
      <c r="C2" s="47"/>
      <c r="D2" s="47"/>
      <c r="E2" s="47"/>
      <c r="F2" s="47"/>
      <c r="G2" s="47"/>
      <c r="H2" s="47"/>
    </row>
    <row r="4" ht="18" customHeight="1" spans="1:8" x14ac:dyDescent="0.25">
      <c r="A4" s="48" t="s">
        <v>195</v>
      </c>
      <c r="B4" s="48" t="s">
        <v>196</v>
      </c>
      <c r="C4" s="49" t="s">
        <v>114</v>
      </c>
      <c r="D4" s="49" t="s">
        <v>115</v>
      </c>
      <c r="E4" s="49" t="s">
        <v>116</v>
      </c>
      <c r="F4" s="49" t="s">
        <v>117</v>
      </c>
      <c r="G4" s="49" t="s">
        <v>118</v>
      </c>
      <c r="H4" s="49" t="s">
        <v>197</v>
      </c>
    </row>
    <row r="5" ht="18" customHeight="1" spans="1:8" x14ac:dyDescent="0.25">
      <c r="A5" s="50" t="s">
        <v>198</v>
      </c>
      <c r="B5" s="50"/>
      <c r="C5" s="50"/>
      <c r="D5" s="50"/>
      <c r="E5" s="50"/>
      <c r="F5" s="50"/>
      <c r="G5" s="50"/>
      <c r="H5" s="50"/>
    </row>
    <row r="6" ht="24" customHeight="1" spans="1:8" x14ac:dyDescent="0.25">
      <c r="A6" s="51" t="s">
        <v>199</v>
      </c>
      <c r="B6" s="51"/>
      <c r="C6" s="51"/>
      <c r="D6" s="51"/>
      <c r="E6" s="51"/>
      <c r="F6" s="51"/>
      <c r="G6" s="51"/>
      <c r="H6" s="51"/>
    </row>
    <row r="7" spans="1:8" x14ac:dyDescent="0.25">
      <c r="A7" s="28" t="s">
        <v>7</v>
      </c>
      <c r="B7" s="28" t="s">
        <v>145</v>
      </c>
      <c r="C7" s="30">
        <v>-169663.61081549362</v>
      </c>
      <c r="D7" s="30">
        <v>550669.3891845066</v>
      </c>
      <c r="E7" s="30">
        <v>1449561.7891845065</v>
      </c>
      <c r="F7" s="30">
        <v>2403509.461184507</v>
      </c>
      <c r="G7" s="30">
        <v>3426280.0633445065</v>
      </c>
      <c r="H7" s="52" t="s">
        <v>200</v>
      </c>
    </row>
    <row r="8" spans="1:8" x14ac:dyDescent="0.25">
      <c r="A8" s="28" t="s">
        <v>7</v>
      </c>
      <c r="B8" s="28" t="s">
        <v>201</v>
      </c>
      <c r="C8" s="29">
        <v>-2.64</v>
      </c>
      <c r="D8" s="29">
        <v>12.81</v>
      </c>
      <c r="E8" s="29">
        <v>32.09</v>
      </c>
      <c r="F8" s="29">
        <v>52.55</v>
      </c>
      <c r="G8" s="29">
        <v>74.48</v>
      </c>
      <c r="H8" s="52" t="s">
        <v>200</v>
      </c>
    </row>
    <row r="9" spans="1:8" x14ac:dyDescent="0.25">
      <c r="A9" s="28" t="s">
        <v>7</v>
      </c>
      <c r="B9" s="28" t="s">
        <v>158</v>
      </c>
      <c r="C9" s="30">
        <v>-94663.61081549362</v>
      </c>
      <c r="D9" s="30">
        <v>456005.778369013</v>
      </c>
      <c r="E9" s="30">
        <v>1905567.5675535195</v>
      </c>
      <c r="F9" s="30">
        <v>4309077.0287380265</v>
      </c>
      <c r="G9" s="30">
        <v>7735357.092082533</v>
      </c>
      <c r="H9" s="52" t="s">
        <v>200</v>
      </c>
    </row>
    <row r="10" spans="1:8" x14ac:dyDescent="0.25">
      <c r="A10" s="28" t="s">
        <v>7</v>
      </c>
      <c r="B10" s="28" t="s">
        <v>202</v>
      </c>
      <c r="C10" s="29">
        <v>133</v>
      </c>
      <c r="D10" s="29">
        <v>142</v>
      </c>
      <c r="E10" s="29">
        <v>146</v>
      </c>
      <c r="F10" s="29">
        <v>147</v>
      </c>
      <c r="G10" s="29">
        <v>146</v>
      </c>
      <c r="H10" s="52" t="s">
        <v>200</v>
      </c>
    </row>
    <row r="11" spans="1:8" x14ac:dyDescent="0.25">
      <c r="A11" s="53" t="s">
        <v>7</v>
      </c>
      <c r="B11" s="28" t="s">
        <v>203</v>
      </c>
      <c r="C11" s="29">
        <v>6</v>
      </c>
      <c r="D11" s="53" t="s">
        <v>7</v>
      </c>
      <c r="E11" s="53" t="s">
        <v>7</v>
      </c>
      <c r="F11" s="53" t="s">
        <v>7</v>
      </c>
      <c r="G11" s="53" t="s">
        <v>7</v>
      </c>
      <c r="H11" s="54" t="s">
        <v>200</v>
      </c>
    </row>
    <row r="12" spans="1:8" x14ac:dyDescent="0.25">
      <c r="A12" s="53" t="s">
        <v>7</v>
      </c>
      <c r="B12" s="28" t="s">
        <v>204</v>
      </c>
      <c r="C12" s="55" t="s">
        <v>115</v>
      </c>
      <c r="D12" s="53" t="s">
        <v>7</v>
      </c>
      <c r="E12" s="53" t="s">
        <v>7</v>
      </c>
      <c r="F12" s="53" t="s">
        <v>7</v>
      </c>
      <c r="G12" s="53" t="s">
        <v>7</v>
      </c>
      <c r="H12" s="52" t="s">
        <v>200</v>
      </c>
    </row>
    <row r="14" ht="18" customHeight="1" spans="1:8" x14ac:dyDescent="0.25">
      <c r="A14" s="50" t="s">
        <v>205</v>
      </c>
      <c r="B14" s="50"/>
      <c r="C14" s="50"/>
      <c r="D14" s="50"/>
      <c r="E14" s="50"/>
      <c r="F14" s="50"/>
      <c r="G14" s="50"/>
      <c r="H14" s="50"/>
    </row>
    <row r="15" ht="24" customHeight="1" spans="1:8" x14ac:dyDescent="0.25">
      <c r="A15" s="51" t="s">
        <v>206</v>
      </c>
      <c r="B15" s="51"/>
      <c r="C15" s="51"/>
      <c r="D15" s="51"/>
      <c r="E15" s="51"/>
      <c r="F15" s="51"/>
      <c r="G15" s="51"/>
      <c r="H15" s="51"/>
    </row>
    <row r="16" spans="1:8" x14ac:dyDescent="0.25">
      <c r="A16" s="28" t="s">
        <v>7</v>
      </c>
      <c r="B16" s="28" t="s">
        <v>145</v>
      </c>
      <c r="C16" s="30">
        <v>-258663.61081549362</v>
      </c>
      <c r="D16" s="30">
        <v>369429.3891845066</v>
      </c>
      <c r="E16" s="30">
        <v>1172751.7891845065</v>
      </c>
      <c r="F16" s="30">
        <v>2027589.4611845068</v>
      </c>
      <c r="G16" s="30">
        <v>2947830.0633445065</v>
      </c>
      <c r="H16" s="36">
        <v>-89000</v>
      </c>
    </row>
    <row r="17" spans="1:8" x14ac:dyDescent="0.25">
      <c r="A17" s="28" t="s">
        <v>7</v>
      </c>
      <c r="B17" s="28" t="s">
        <v>201</v>
      </c>
      <c r="C17" s="29">
        <v>-4.55</v>
      </c>
      <c r="D17" s="29">
        <v>8.92</v>
      </c>
      <c r="E17" s="29">
        <v>26.15</v>
      </c>
      <c r="F17" s="29">
        <v>44.48</v>
      </c>
      <c r="G17" s="29">
        <v>64.22</v>
      </c>
      <c r="H17" s="54">
        <v>-1.9099999999999997</v>
      </c>
    </row>
    <row r="18" spans="1:8" x14ac:dyDescent="0.25">
      <c r="A18" s="28" t="s">
        <v>7</v>
      </c>
      <c r="B18" s="28" t="s">
        <v>158</v>
      </c>
      <c r="C18" s="30">
        <v>-183663.61081549362</v>
      </c>
      <c r="D18" s="30">
        <v>185765.778369013</v>
      </c>
      <c r="E18" s="30">
        <v>1358517.5675535195</v>
      </c>
      <c r="F18" s="30">
        <v>3386107.0287380265</v>
      </c>
      <c r="G18" s="30">
        <v>6333937.092082533</v>
      </c>
      <c r="H18" s="36">
        <v>-89000</v>
      </c>
    </row>
    <row r="19" spans="1:8" x14ac:dyDescent="0.25">
      <c r="A19" s="28" t="s">
        <v>7</v>
      </c>
      <c r="B19" s="28" t="s">
        <v>202</v>
      </c>
      <c r="C19" s="29">
        <v>131</v>
      </c>
      <c r="D19" s="29">
        <v>141</v>
      </c>
      <c r="E19" s="29">
        <v>145</v>
      </c>
      <c r="F19" s="29">
        <v>147</v>
      </c>
      <c r="G19" s="29">
        <v>146</v>
      </c>
      <c r="H19" s="54">
        <v>-2</v>
      </c>
    </row>
    <row r="20" spans="1:8" x14ac:dyDescent="0.25">
      <c r="A20" s="53" t="s">
        <v>7</v>
      </c>
      <c r="B20" s="28" t="s">
        <v>203</v>
      </c>
      <c r="C20" s="29">
        <v>5</v>
      </c>
      <c r="D20" s="53" t="s">
        <v>7</v>
      </c>
      <c r="E20" s="53" t="s">
        <v>7</v>
      </c>
      <c r="F20" s="53" t="s">
        <v>7</v>
      </c>
      <c r="G20" s="53" t="s">
        <v>7</v>
      </c>
      <c r="H20" s="54">
        <v>-1</v>
      </c>
    </row>
    <row r="21" spans="1:8" x14ac:dyDescent="0.25">
      <c r="A21" s="53" t="s">
        <v>7</v>
      </c>
      <c r="B21" s="28" t="s">
        <v>204</v>
      </c>
      <c r="C21" s="55" t="s">
        <v>115</v>
      </c>
      <c r="D21" s="53" t="s">
        <v>7</v>
      </c>
      <c r="E21" s="53" t="s">
        <v>7</v>
      </c>
      <c r="F21" s="53" t="s">
        <v>7</v>
      </c>
      <c r="G21" s="53" t="s">
        <v>7</v>
      </c>
      <c r="H21" s="52" t="s">
        <v>207</v>
      </c>
    </row>
    <row r="23" ht="18" customHeight="1" spans="1:8" x14ac:dyDescent="0.25">
      <c r="A23" s="50" t="s">
        <v>208</v>
      </c>
      <c r="B23" s="50"/>
      <c r="C23" s="50"/>
      <c r="D23" s="50"/>
      <c r="E23" s="50"/>
      <c r="F23" s="50"/>
      <c r="G23" s="50"/>
      <c r="H23" s="50"/>
    </row>
    <row r="24" ht="24" customHeight="1" spans="1:8" x14ac:dyDescent="0.25">
      <c r="A24" s="51" t="s">
        <v>209</v>
      </c>
      <c r="B24" s="51"/>
      <c r="C24" s="51"/>
      <c r="D24" s="51"/>
      <c r="E24" s="51"/>
      <c r="F24" s="51"/>
      <c r="G24" s="51"/>
      <c r="H24" s="51"/>
    </row>
    <row r="25" spans="1:8" x14ac:dyDescent="0.25">
      <c r="A25" s="28" t="s">
        <v>7</v>
      </c>
      <c r="B25" s="28" t="s">
        <v>145</v>
      </c>
      <c r="C25" s="30">
        <v>-347663.6108154935</v>
      </c>
      <c r="D25" s="30">
        <v>188189.3891845066</v>
      </c>
      <c r="E25" s="30">
        <v>895941.7891845065</v>
      </c>
      <c r="F25" s="30">
        <v>1651669.4611845068</v>
      </c>
      <c r="G25" s="30">
        <v>2469380.0633445065</v>
      </c>
      <c r="H25" s="36">
        <v>-177999.99999999988</v>
      </c>
    </row>
    <row r="26" spans="1:8" x14ac:dyDescent="0.25">
      <c r="A26" s="28" t="s">
        <v>7</v>
      </c>
      <c r="B26" s="28" t="s">
        <v>201</v>
      </c>
      <c r="C26" s="29">
        <v>-6.46</v>
      </c>
      <c r="D26" s="29">
        <v>5.04</v>
      </c>
      <c r="E26" s="29">
        <v>20.21</v>
      </c>
      <c r="F26" s="29">
        <v>36.42</v>
      </c>
      <c r="G26" s="29">
        <v>53.96</v>
      </c>
      <c r="H26" s="54">
        <v>-3.82</v>
      </c>
    </row>
    <row r="27" spans="1:8" x14ac:dyDescent="0.25">
      <c r="A27" s="28" t="s">
        <v>7</v>
      </c>
      <c r="B27" s="28" t="s">
        <v>158</v>
      </c>
      <c r="C27" s="30">
        <v>-272663.6108154935</v>
      </c>
      <c r="D27" s="30">
        <v>-84474.2216309869</v>
      </c>
      <c r="E27" s="30">
        <v>811467.5675535196</v>
      </c>
      <c r="F27" s="30">
        <v>2463137.0287380265</v>
      </c>
      <c r="G27" s="30">
        <v>4932517.092082533</v>
      </c>
      <c r="H27" s="36">
        <v>-177999.99999999988</v>
      </c>
    </row>
    <row r="28" spans="1:8" x14ac:dyDescent="0.25">
      <c r="A28" s="28" t="s">
        <v>7</v>
      </c>
      <c r="B28" s="28" t="s">
        <v>202</v>
      </c>
      <c r="C28" s="29">
        <v>129</v>
      </c>
      <c r="D28" s="29">
        <v>139</v>
      </c>
      <c r="E28" s="29">
        <v>145</v>
      </c>
      <c r="F28" s="29">
        <v>147</v>
      </c>
      <c r="G28" s="29">
        <v>146</v>
      </c>
      <c r="H28" s="54">
        <v>-4</v>
      </c>
    </row>
    <row r="29" spans="1:8" x14ac:dyDescent="0.25">
      <c r="A29" s="53" t="s">
        <v>7</v>
      </c>
      <c r="B29" s="28" t="s">
        <v>203</v>
      </c>
      <c r="C29" s="29">
        <v>4</v>
      </c>
      <c r="D29" s="53" t="s">
        <v>7</v>
      </c>
      <c r="E29" s="53" t="s">
        <v>7</v>
      </c>
      <c r="F29" s="53" t="s">
        <v>7</v>
      </c>
      <c r="G29" s="53" t="s">
        <v>7</v>
      </c>
      <c r="H29" s="54">
        <v>-2</v>
      </c>
    </row>
    <row r="30" spans="1:8" x14ac:dyDescent="0.25">
      <c r="A30" s="53" t="s">
        <v>7</v>
      </c>
      <c r="B30" s="28" t="s">
        <v>204</v>
      </c>
      <c r="C30" s="55" t="s">
        <v>115</v>
      </c>
      <c r="D30" s="53" t="s">
        <v>7</v>
      </c>
      <c r="E30" s="53" t="s">
        <v>7</v>
      </c>
      <c r="F30" s="53" t="s">
        <v>7</v>
      </c>
      <c r="G30" s="53" t="s">
        <v>7</v>
      </c>
      <c r="H30" s="52" t="s">
        <v>207</v>
      </c>
    </row>
    <row r="32" ht="18" customHeight="1" spans="1:8" x14ac:dyDescent="0.25">
      <c r="A32" s="50" t="s">
        <v>210</v>
      </c>
      <c r="B32" s="50"/>
      <c r="C32" s="50"/>
      <c r="D32" s="50"/>
      <c r="E32" s="50"/>
      <c r="F32" s="50"/>
      <c r="G32" s="50"/>
      <c r="H32" s="50"/>
    </row>
    <row r="33" ht="24" customHeight="1" spans="1:8" x14ac:dyDescent="0.25">
      <c r="A33" s="51" t="s">
        <v>211</v>
      </c>
      <c r="B33" s="51"/>
      <c r="C33" s="51"/>
      <c r="D33" s="51"/>
      <c r="E33" s="51"/>
      <c r="F33" s="51"/>
      <c r="G33" s="51"/>
      <c r="H33" s="51"/>
    </row>
    <row r="34" spans="1:8" x14ac:dyDescent="0.25">
      <c r="A34" s="28" t="s">
        <v>7</v>
      </c>
      <c r="B34" s="28" t="s">
        <v>145</v>
      </c>
      <c r="C34" s="30">
        <v>-428413.6108154935</v>
      </c>
      <c r="D34" s="30">
        <v>550669.3891845066</v>
      </c>
      <c r="E34" s="30">
        <v>1449561.7891845065</v>
      </c>
      <c r="F34" s="30">
        <v>2403509.461184507</v>
      </c>
      <c r="G34" s="30">
        <v>3426280.0633445065</v>
      </c>
      <c r="H34" s="36">
        <v>-258749.99999999988</v>
      </c>
    </row>
    <row r="35" spans="1:8" x14ac:dyDescent="0.25">
      <c r="A35" s="28" t="s">
        <v>7</v>
      </c>
      <c r="B35" s="28" t="s">
        <v>201</v>
      </c>
      <c r="C35" s="29">
        <v>-8.19</v>
      </c>
      <c r="D35" s="29">
        <v>12.81</v>
      </c>
      <c r="E35" s="29">
        <v>32.09</v>
      </c>
      <c r="F35" s="29">
        <v>52.55</v>
      </c>
      <c r="G35" s="29">
        <v>74.48</v>
      </c>
      <c r="H35" s="54">
        <v>-5.549999999999999</v>
      </c>
    </row>
    <row r="36" spans="1:8" x14ac:dyDescent="0.25">
      <c r="A36" s="28" t="s">
        <v>7</v>
      </c>
      <c r="B36" s="28" t="s">
        <v>158</v>
      </c>
      <c r="C36" s="30">
        <v>-353413.6108154935</v>
      </c>
      <c r="D36" s="30">
        <v>197255.7783690131</v>
      </c>
      <c r="E36" s="30">
        <v>1646817.5675535197</v>
      </c>
      <c r="F36" s="30">
        <v>4050327.0287380265</v>
      </c>
      <c r="G36" s="30">
        <v>7476607.092082533</v>
      </c>
      <c r="H36" s="36">
        <v>-258749.99999999988</v>
      </c>
    </row>
    <row r="37" spans="1:8" x14ac:dyDescent="0.25">
      <c r="A37" s="28" t="s">
        <v>7</v>
      </c>
      <c r="B37" s="28" t="s">
        <v>202</v>
      </c>
      <c r="C37" s="29">
        <v>177</v>
      </c>
      <c r="D37" s="29">
        <v>142</v>
      </c>
      <c r="E37" s="29">
        <v>146</v>
      </c>
      <c r="F37" s="29">
        <v>147</v>
      </c>
      <c r="G37" s="29">
        <v>146</v>
      </c>
      <c r="H37" s="54">
        <v>44</v>
      </c>
    </row>
    <row r="38" spans="1:8" x14ac:dyDescent="0.25">
      <c r="A38" s="53" t="s">
        <v>7</v>
      </c>
      <c r="B38" s="28" t="s">
        <v>203</v>
      </c>
      <c r="C38" s="29">
        <v>4</v>
      </c>
      <c r="D38" s="53" t="s">
        <v>7</v>
      </c>
      <c r="E38" s="53" t="s">
        <v>7</v>
      </c>
      <c r="F38" s="53" t="s">
        <v>7</v>
      </c>
      <c r="G38" s="53" t="s">
        <v>7</v>
      </c>
      <c r="H38" s="54">
        <v>-2</v>
      </c>
    </row>
    <row r="39" spans="1:8" x14ac:dyDescent="0.25">
      <c r="A39" s="53" t="s">
        <v>7</v>
      </c>
      <c r="B39" s="28" t="s">
        <v>204</v>
      </c>
      <c r="C39" s="55" t="s">
        <v>115</v>
      </c>
      <c r="D39" s="53" t="s">
        <v>7</v>
      </c>
      <c r="E39" s="53" t="s">
        <v>7</v>
      </c>
      <c r="F39" s="53" t="s">
        <v>7</v>
      </c>
      <c r="G39" s="53" t="s">
        <v>7</v>
      </c>
      <c r="H39" s="52" t="s">
        <v>207</v>
      </c>
    </row>
    <row r="41" ht="18" customHeight="1" spans="1:8" x14ac:dyDescent="0.25">
      <c r="A41" s="50" t="s">
        <v>212</v>
      </c>
      <c r="B41" s="50"/>
      <c r="C41" s="50"/>
      <c r="D41" s="50"/>
      <c r="E41" s="50"/>
      <c r="F41" s="50"/>
      <c r="G41" s="50"/>
      <c r="H41" s="50"/>
    </row>
    <row r="42" ht="24" customHeight="1" spans="1:8" x14ac:dyDescent="0.25">
      <c r="A42" s="51" t="s">
        <v>213</v>
      </c>
      <c r="B42" s="51"/>
      <c r="C42" s="51"/>
      <c r="D42" s="51"/>
      <c r="E42" s="51"/>
      <c r="F42" s="51"/>
      <c r="G42" s="51"/>
      <c r="H42" s="51"/>
    </row>
    <row r="43" spans="1:8" x14ac:dyDescent="0.25">
      <c r="A43" s="28" t="s">
        <v>7</v>
      </c>
      <c r="B43" s="28" t="s">
        <v>145</v>
      </c>
      <c r="C43" s="30">
        <v>-236746.9441488271</v>
      </c>
      <c r="D43" s="30">
        <v>467754.3891845066</v>
      </c>
      <c r="E43" s="30">
        <v>1364158.3891845066</v>
      </c>
      <c r="F43" s="30">
        <v>2315545.4791845065</v>
      </c>
      <c r="G43" s="30">
        <v>3335675.2318845065</v>
      </c>
      <c r="H43" s="36">
        <v>-67083.33333333349</v>
      </c>
    </row>
    <row r="44" spans="1:8" x14ac:dyDescent="0.25">
      <c r="A44" s="28" t="s">
        <v>7</v>
      </c>
      <c r="B44" s="28" t="s">
        <v>201</v>
      </c>
      <c r="C44" s="29">
        <v>-4.08</v>
      </c>
      <c r="D44" s="29">
        <v>11.03</v>
      </c>
      <c r="E44" s="29">
        <v>30.26</v>
      </c>
      <c r="F44" s="29">
        <v>50.66</v>
      </c>
      <c r="G44" s="29">
        <v>72.54</v>
      </c>
      <c r="H44" s="54">
        <v>-1.44</v>
      </c>
    </row>
    <row r="45" spans="1:8" x14ac:dyDescent="0.25">
      <c r="A45" s="28" t="s">
        <v>7</v>
      </c>
      <c r="B45" s="28" t="s">
        <v>158</v>
      </c>
      <c r="C45" s="30">
        <v>-161746.9441488271</v>
      </c>
      <c r="D45" s="30">
        <v>306007.4450356795</v>
      </c>
      <c r="E45" s="30">
        <v>1670165.834220186</v>
      </c>
      <c r="F45" s="30">
        <v>3985711.3134046923</v>
      </c>
      <c r="G45" s="30">
        <v>7321386.545289199</v>
      </c>
      <c r="H45" s="36">
        <v>-67083.33333333349</v>
      </c>
    </row>
    <row r="46" spans="1:8" x14ac:dyDescent="0.25">
      <c r="A46" s="28" t="s">
        <v>7</v>
      </c>
      <c r="B46" s="28" t="s">
        <v>202</v>
      </c>
      <c r="C46" s="29">
        <v>141</v>
      </c>
      <c r="D46" s="29">
        <v>150</v>
      </c>
      <c r="E46" s="29">
        <v>155</v>
      </c>
      <c r="F46" s="29">
        <v>157</v>
      </c>
      <c r="G46" s="29">
        <v>156</v>
      </c>
      <c r="H46" s="54">
        <v>8</v>
      </c>
    </row>
    <row r="47" spans="1:8" x14ac:dyDescent="0.25">
      <c r="A47" s="53" t="s">
        <v>7</v>
      </c>
      <c r="B47" s="28" t="s">
        <v>203</v>
      </c>
      <c r="C47" s="29">
        <v>5</v>
      </c>
      <c r="D47" s="53" t="s">
        <v>7</v>
      </c>
      <c r="E47" s="53" t="s">
        <v>7</v>
      </c>
      <c r="F47" s="53" t="s">
        <v>7</v>
      </c>
      <c r="G47" s="53" t="s">
        <v>7</v>
      </c>
      <c r="H47" s="54">
        <v>-1</v>
      </c>
    </row>
    <row r="48" spans="1:8" x14ac:dyDescent="0.25">
      <c r="A48" s="53" t="s">
        <v>7</v>
      </c>
      <c r="B48" s="28" t="s">
        <v>204</v>
      </c>
      <c r="C48" s="55" t="s">
        <v>115</v>
      </c>
      <c r="D48" s="53" t="s">
        <v>7</v>
      </c>
      <c r="E48" s="53" t="s">
        <v>7</v>
      </c>
      <c r="F48" s="53" t="s">
        <v>7</v>
      </c>
      <c r="G48" s="53" t="s">
        <v>7</v>
      </c>
      <c r="H48" s="52" t="s">
        <v>207</v>
      </c>
    </row>
    <row r="50" ht="18" customHeight="1" spans="1:8" x14ac:dyDescent="0.25">
      <c r="A50" s="50" t="s">
        <v>214</v>
      </c>
      <c r="B50" s="50"/>
      <c r="C50" s="50"/>
      <c r="D50" s="50"/>
      <c r="E50" s="50"/>
      <c r="F50" s="50"/>
      <c r="G50" s="50"/>
      <c r="H50" s="50"/>
    </row>
    <row r="51" ht="24" customHeight="1" spans="1:8" x14ac:dyDescent="0.25">
      <c r="A51" s="51" t="s">
        <v>215</v>
      </c>
      <c r="B51" s="51"/>
      <c r="C51" s="51"/>
      <c r="D51" s="51"/>
      <c r="E51" s="51"/>
      <c r="F51" s="51"/>
      <c r="G51" s="51"/>
      <c r="H51" s="51"/>
    </row>
    <row r="52" spans="1:8" x14ac:dyDescent="0.25">
      <c r="A52" s="28" t="s">
        <v>7</v>
      </c>
      <c r="B52" s="28" t="s">
        <v>145</v>
      </c>
      <c r="C52" s="30">
        <v>-156298.61081549362</v>
      </c>
      <c r="D52" s="30">
        <v>530621.8891845066</v>
      </c>
      <c r="E52" s="30">
        <v>1389419.2891845065</v>
      </c>
      <c r="F52" s="30">
        <v>2343366.961184507</v>
      </c>
      <c r="G52" s="30">
        <v>3319360.0633445065</v>
      </c>
      <c r="H52" s="36">
        <v>13365</v>
      </c>
    </row>
    <row r="53" spans="1:8" x14ac:dyDescent="0.25">
      <c r="A53" s="28" t="s">
        <v>7</v>
      </c>
      <c r="B53" s="28" t="s">
        <v>201</v>
      </c>
      <c r="C53" s="29">
        <v>-2.35</v>
      </c>
      <c r="D53" s="29">
        <v>12.38</v>
      </c>
      <c r="E53" s="29">
        <v>30.8</v>
      </c>
      <c r="F53" s="29">
        <v>51.26</v>
      </c>
      <c r="G53" s="29">
        <v>72.19</v>
      </c>
      <c r="H53" s="54">
        <v>0.29000000000000004</v>
      </c>
    </row>
    <row r="54" spans="1:8" x14ac:dyDescent="0.25">
      <c r="A54" s="28" t="s">
        <v>7</v>
      </c>
      <c r="B54" s="28" t="s">
        <v>158</v>
      </c>
      <c r="C54" s="30">
        <v>-94663.61081549362</v>
      </c>
      <c r="D54" s="30">
        <v>456005.778369013</v>
      </c>
      <c r="E54" s="30">
        <v>1905567.5675535195</v>
      </c>
      <c r="F54" s="30">
        <v>4309077.0287380265</v>
      </c>
      <c r="G54" s="30">
        <v>7735357.092082533</v>
      </c>
      <c r="H54" s="36">
        <v>0</v>
      </c>
    </row>
    <row r="55" spans="1:8" x14ac:dyDescent="0.25">
      <c r="A55" s="28" t="s">
        <v>7</v>
      </c>
      <c r="B55" s="28" t="s">
        <v>202</v>
      </c>
      <c r="C55" s="29">
        <v>133</v>
      </c>
      <c r="D55" s="29">
        <v>142</v>
      </c>
      <c r="E55" s="29">
        <v>146</v>
      </c>
      <c r="F55" s="29">
        <v>147</v>
      </c>
      <c r="G55" s="29">
        <v>146</v>
      </c>
      <c r="H55" s="54">
        <v>0</v>
      </c>
    </row>
    <row r="56" spans="1:8" x14ac:dyDescent="0.25">
      <c r="A56" s="53" t="s">
        <v>7</v>
      </c>
      <c r="B56" s="28" t="s">
        <v>203</v>
      </c>
      <c r="C56" s="29">
        <v>6</v>
      </c>
      <c r="D56" s="53" t="s">
        <v>7</v>
      </c>
      <c r="E56" s="53" t="s">
        <v>7</v>
      </c>
      <c r="F56" s="53" t="s">
        <v>7</v>
      </c>
      <c r="G56" s="53" t="s">
        <v>7</v>
      </c>
      <c r="H56" s="54">
        <v>0</v>
      </c>
    </row>
    <row r="57" spans="1:8" x14ac:dyDescent="0.25">
      <c r="A57" s="53" t="s">
        <v>7</v>
      </c>
      <c r="B57" s="28" t="s">
        <v>204</v>
      </c>
      <c r="C57" s="55" t="s">
        <v>115</v>
      </c>
      <c r="D57" s="53" t="s">
        <v>7</v>
      </c>
      <c r="E57" s="53" t="s">
        <v>7</v>
      </c>
      <c r="F57" s="53" t="s">
        <v>7</v>
      </c>
      <c r="G57" s="53" t="s">
        <v>7</v>
      </c>
      <c r="H57" s="52" t="s">
        <v>207</v>
      </c>
    </row>
  </sheetData>
  <mergeCells count="14">
    <mergeCell ref="A1:H1"/>
    <mergeCell ref="A2:H2"/>
    <mergeCell ref="A5:H5"/>
    <mergeCell ref="A6:H6"/>
    <mergeCell ref="A14:H14"/>
    <mergeCell ref="A15:H15"/>
    <mergeCell ref="A23:H23"/>
    <mergeCell ref="A24:H24"/>
    <mergeCell ref="A32:H32"/>
    <mergeCell ref="A33:H33"/>
    <mergeCell ref="A41:H41"/>
    <mergeCell ref="A42:H42"/>
    <mergeCell ref="A50:H50"/>
    <mergeCell ref="A51:H5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216</v>
      </c>
      <c r="C1" s="13"/>
      <c r="D1" s="13"/>
      <c r="E1" s="13"/>
      <c r="F1" s="13"/>
      <c r="G1" s="13"/>
      <c r="H1" s="13"/>
    </row>
    <row r="2" ht="60" customHeight="1" spans="2:8" x14ac:dyDescent="0.25">
      <c r="B2" s="56" t="s">
        <v>217</v>
      </c>
      <c r="C2" s="56"/>
      <c r="D2" s="56"/>
      <c r="E2" s="56"/>
      <c r="F2" s="56"/>
      <c r="G2" s="56"/>
      <c r="H2" s="56"/>
    </row>
    <row r="4" ht="30" customHeight="1" spans="2:8" x14ac:dyDescent="0.25">
      <c r="B4" s="40" t="s">
        <v>218</v>
      </c>
      <c r="C4" s="40"/>
      <c r="D4" s="40"/>
      <c r="E4" s="40"/>
      <c r="F4" s="40"/>
      <c r="G4" s="40"/>
      <c r="H4" s="40"/>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219</v>
      </c>
      <c r="C2" s="1"/>
      <c r="D2" s="1"/>
      <c r="E2" s="1"/>
      <c r="F2" s="1"/>
      <c r="G2" s="1"/>
      <c r="H2" s="1"/>
      <c r="I2" s="1"/>
    </row>
    <row r="3" spans="2:9" x14ac:dyDescent="0.25">
      <c r="B3" s="12" t="s">
        <v>40</v>
      </c>
      <c r="C3" s="12"/>
      <c r="D3" s="12"/>
      <c r="E3" s="12"/>
      <c r="F3" s="12"/>
      <c r="G3" s="12"/>
      <c r="H3" s="12"/>
      <c r="I3" s="12"/>
    </row>
    <row r="4" spans="2:6" x14ac:dyDescent="0.25">
      <c r="B4" s="57" t="s">
        <v>220</v>
      </c>
      <c r="D4" s="58" t="s">
        <v>221</v>
      </c>
      <c r="F4" s="59" t="s">
        <v>222</v>
      </c>
    </row>
    <row r="6" ht="24" customHeight="1" spans="2:8" x14ac:dyDescent="0.25">
      <c r="B6" s="60" t="s">
        <v>196</v>
      </c>
      <c r="C6" s="61" t="s">
        <v>114</v>
      </c>
      <c r="D6" s="61" t="s">
        <v>115</v>
      </c>
      <c r="E6" s="61" t="s">
        <v>116</v>
      </c>
      <c r="F6" s="61" t="s">
        <v>117</v>
      </c>
      <c r="G6" s="61" t="s">
        <v>118</v>
      </c>
      <c r="H6" s="61" t="s">
        <v>223</v>
      </c>
    </row>
    <row r="7" spans="2:7" x14ac:dyDescent="0.25">
      <c r="B7" s="28" t="s">
        <v>119</v>
      </c>
      <c r="C7" s="29">
        <v>120</v>
      </c>
      <c r="D7" s="29">
        <v>200</v>
      </c>
      <c r="E7" s="29">
        <v>300</v>
      </c>
      <c r="F7" s="29">
        <v>400</v>
      </c>
      <c r="G7" s="29">
        <v>500</v>
      </c>
    </row>
    <row r="8" spans="2:7" x14ac:dyDescent="0.25">
      <c r="B8" s="28" t="s">
        <v>224</v>
      </c>
      <c r="C8" s="30">
        <v>1414000</v>
      </c>
      <c r="D8" s="30">
        <v>2252650</v>
      </c>
      <c r="E8" s="30">
        <v>3345708</v>
      </c>
      <c r="F8" s="30">
        <v>4462886.32</v>
      </c>
      <c r="G8" s="30">
        <v>5634801.762</v>
      </c>
    </row>
    <row r="9" spans="2:7" x14ac:dyDescent="0.25">
      <c r="B9" s="28" t="s">
        <v>225</v>
      </c>
      <c r="C9" s="30">
        <v>985486.2857142857</v>
      </c>
      <c r="D9" s="30">
        <v>1350450.8631428573</v>
      </c>
      <c r="E9" s="30">
        <v>1851580.3737342858</v>
      </c>
      <c r="F9" s="30">
        <v>2322257.9411546146</v>
      </c>
      <c r="G9" s="30">
        <v>2880593.1775544523</v>
      </c>
    </row>
    <row r="10" spans="2:7" x14ac:dyDescent="0.25">
      <c r="B10" s="28" t="s">
        <v>226</v>
      </c>
      <c r="C10" s="30">
        <v>604000</v>
      </c>
      <c r="D10" s="30">
        <v>864193.3333333334</v>
      </c>
      <c r="E10" s="30">
        <v>1385772.8165912519</v>
      </c>
      <c r="F10" s="30">
        <v>2380453.4466264746</v>
      </c>
      <c r="G10" s="30">
        <v>4269943.712657611</v>
      </c>
    </row>
    <row r="11" spans="2:7" x14ac:dyDescent="0.25">
      <c r="B11" s="28" t="s">
        <v>227</v>
      </c>
      <c r="C11" s="30">
        <v>106628.6108154935</v>
      </c>
      <c r="D11" s="30">
        <v>106628.6108154935</v>
      </c>
      <c r="E11" s="30">
        <v>106628.6108154935</v>
      </c>
      <c r="F11" s="30">
        <v>106628.6108154935</v>
      </c>
      <c r="G11" s="30">
        <v>106628.6108154935</v>
      </c>
    </row>
    <row r="12" spans="2:7" x14ac:dyDescent="0.25">
      <c r="B12" s="31" t="s">
        <v>145</v>
      </c>
      <c r="C12" s="33">
        <v>-282114.8965297792</v>
      </c>
      <c r="D12" s="33">
        <v>-68622.80729168432</v>
      </c>
      <c r="E12" s="34">
        <v>1726.1988589687971</v>
      </c>
      <c r="F12" s="33">
        <v>-346453.6785965824</v>
      </c>
      <c r="G12" s="33">
        <v>-1622363.739027556</v>
      </c>
    </row>
    <row r="13" spans="2:7" x14ac:dyDescent="0.25">
      <c r="B13" s="31" t="s">
        <v>158</v>
      </c>
      <c r="C13" s="33">
        <v>-282114.8965297792</v>
      </c>
      <c r="D13" s="33">
        <v>-350737.7038214635</v>
      </c>
      <c r="E13" s="33">
        <v>-349011.5049624947</v>
      </c>
      <c r="F13" s="33">
        <v>-695465.1835590771</v>
      </c>
      <c r="G13" s="33">
        <v>-2317828.922586633</v>
      </c>
    </row>
    <row r="14" spans="2:7" x14ac:dyDescent="0.25">
      <c r="B14" s="31" t="s">
        <v>146</v>
      </c>
      <c r="C14" s="62">
        <v>-0.19951548552318188</v>
      </c>
      <c r="D14" s="62">
        <v>-0.03046314664581019</v>
      </c>
      <c r="E14" s="63">
        <v>0.0005159442661968101</v>
      </c>
      <c r="F14" s="62">
        <v>-0.07762995822770193</v>
      </c>
      <c r="G14" s="62">
        <v>-0.2879185120528036</v>
      </c>
    </row>
    <row r="15" spans="2:8" x14ac:dyDescent="0.25">
      <c r="B15" s="31" t="s">
        <v>228</v>
      </c>
      <c r="C15" s="64">
        <v>11783.333333333334</v>
      </c>
      <c r="D15" s="64">
        <v>11263.25</v>
      </c>
      <c r="E15" s="64">
        <v>11152.36</v>
      </c>
      <c r="F15" s="64">
        <v>11157.2158</v>
      </c>
      <c r="G15" s="64">
        <v>11269.603524</v>
      </c>
      <c r="H15" s="65" t="s">
        <v>229</v>
      </c>
    </row>
    <row r="16" spans="2:7" x14ac:dyDescent="0.25">
      <c r="B16" s="31" t="s">
        <v>230</v>
      </c>
      <c r="C16" s="36">
        <v>14134.290804414828</v>
      </c>
      <c r="D16" s="36">
        <v>11606.36403645842</v>
      </c>
      <c r="E16" s="36">
        <v>11146.606003803437</v>
      </c>
      <c r="F16" s="36">
        <v>12023.349996491457</v>
      </c>
      <c r="G16" s="36">
        <v>14514.331002055113</v>
      </c>
    </row>
    <row r="17" spans="2:7" x14ac:dyDescent="0.25">
      <c r="B17" s="28" t="s">
        <v>231</v>
      </c>
      <c r="C17" s="30">
        <v>650</v>
      </c>
      <c r="D17" s="30">
        <v>1116.6666666666667</v>
      </c>
      <c r="E17" s="30">
        <v>1918.3760683760688</v>
      </c>
      <c r="F17" s="30">
        <v>3295.671707210169</v>
      </c>
      <c r="G17" s="30">
        <v>5661.794984181573</v>
      </c>
    </row>
    <row r="18" spans="2:8" x14ac:dyDescent="0.25">
      <c r="B18" s="28" t="s">
        <v>232</v>
      </c>
      <c r="C18" s="66">
        <v>2683.3333333333335</v>
      </c>
      <c r="D18" s="64">
        <v>1658.3</v>
      </c>
      <c r="E18" s="64">
        <v>1138.6993333333332</v>
      </c>
      <c r="F18" s="64">
        <v>879.645235</v>
      </c>
      <c r="G18" s="64">
        <v>724.8276736400001</v>
      </c>
      <c r="H18" s="65" t="s">
        <v>233</v>
      </c>
    </row>
    <row r="19" spans="2:7" x14ac:dyDescent="0.25">
      <c r="B19" s="31" t="s">
        <v>234</v>
      </c>
      <c r="C19" s="42">
        <v>-2350.957471081493</v>
      </c>
      <c r="D19" s="42">
        <v>-343.1140364584216</v>
      </c>
      <c r="E19" s="67">
        <v>5.753996196562657</v>
      </c>
      <c r="F19" s="42">
        <v>-866.1341964914559</v>
      </c>
      <c r="G19" s="42">
        <v>-3244.727478055112</v>
      </c>
    </row>
    <row r="20" spans="2:8" x14ac:dyDescent="0.25">
      <c r="B20" s="31" t="s">
        <v>235</v>
      </c>
      <c r="C20" s="62">
        <v>0.6969492826833703</v>
      </c>
      <c r="D20" s="63">
        <v>0.5994943125398341</v>
      </c>
      <c r="E20" s="63">
        <v>0.5534195972076122</v>
      </c>
      <c r="F20" s="68">
        <v>0.5203488896294841</v>
      </c>
      <c r="G20" s="68">
        <v>0.5112146441389667</v>
      </c>
      <c r="H20" s="65" t="s">
        <v>236</v>
      </c>
    </row>
    <row r="21" spans="2:8" x14ac:dyDescent="0.25">
      <c r="B21" s="31" t="s">
        <v>237</v>
      </c>
      <c r="C21" s="62">
        <v>0.22772277227722773</v>
      </c>
      <c r="D21" s="68">
        <v>0.14723103899851286</v>
      </c>
      <c r="E21" s="68">
        <v>0.10210388952054393</v>
      </c>
      <c r="F21" s="68">
        <v>0.07884092687353057</v>
      </c>
      <c r="G21" s="68">
        <v>0.06431705180190153</v>
      </c>
      <c r="H21" s="65" t="s">
        <v>238</v>
      </c>
    </row>
    <row r="22" spans="2:8" x14ac:dyDescent="0.25">
      <c r="B22" s="31" t="s">
        <v>142</v>
      </c>
      <c r="C22" s="62">
        <v>-0.12410628409779752</v>
      </c>
      <c r="D22" s="63">
        <v>0.016871597240498658</v>
      </c>
      <c r="E22" s="63">
        <v>0.03238621232769336</v>
      </c>
      <c r="F22" s="62">
        <v>-0.0537376600220211</v>
      </c>
      <c r="G22" s="62">
        <v>-0.26899528896187336</v>
      </c>
      <c r="H22" s="65" t="s">
        <v>239</v>
      </c>
    </row>
    <row r="23" spans="2:8" x14ac:dyDescent="0.25">
      <c r="B23" s="31" t="s">
        <v>240</v>
      </c>
      <c r="C23" s="69">
        <v>3</v>
      </c>
      <c r="D23" s="69">
        <v>3</v>
      </c>
      <c r="E23" s="69">
        <v>3</v>
      </c>
      <c r="F23" s="69">
        <v>3</v>
      </c>
      <c r="G23" s="69">
        <v>3</v>
      </c>
      <c r="H23" s="65" t="s">
        <v>241</v>
      </c>
    </row>
    <row r="24" spans="2:8" x14ac:dyDescent="0.25">
      <c r="B24" s="31" t="s">
        <v>201</v>
      </c>
      <c r="C24" s="70">
        <v>-1.645771096258031</v>
      </c>
      <c r="D24" s="70">
        <v>0.35643157341300485</v>
      </c>
      <c r="E24" s="70">
        <v>1.0161888900715002</v>
      </c>
      <c r="F24" s="70">
        <v>-2.2491624522434597</v>
      </c>
      <c r="G24" s="70">
        <v>-14.215088395316705</v>
      </c>
      <c r="H24" s="65" t="s">
        <v>242</v>
      </c>
    </row>
    <row r="25" spans="2:8" x14ac:dyDescent="0.25">
      <c r="B25" s="31" t="s">
        <v>243</v>
      </c>
      <c r="C25" s="71" t="str">
        <f>IF('5-Year P&amp;L'!C24&gt;=0,"✓ Break-even","")</f>
        <v>0</v>
      </c>
      <c r="D25" s="71" t="str">
        <f>IF(AND('5-Year P&amp;L'!D24&gt;=0,'5-Year P&amp;L'!C24&lt;0),"✓ Break-even","")</f>
        <v>0</v>
      </c>
      <c r="E25" s="71" t="str">
        <f>IF(AND('5-Year P&amp;L'!E24&gt;=0,'5-Year P&amp;L'!D24&lt;0),"✓ Break-even","")</f>
        <v>0</v>
      </c>
      <c r="F25" s="71" t="str">
        <f>IF(AND('5-Year P&amp;L'!F24&gt;=0,'5-Year P&amp;L'!E24&lt;0),"✓ Break-even","")</f>
        <v>0</v>
      </c>
      <c r="G25" s="71" t="str">
        <f>IF(AND('5-Year P&amp;L'!G24&gt;=0,'5-Year P&amp;L'!F24&lt;0),"✓ Break-even","")</f>
        <v>0</v>
      </c>
      <c r="H25" s="65" t="s">
        <v>114</v>
      </c>
    </row>
    <row r="26" spans="2:8" x14ac:dyDescent="0.25">
      <c r="B26" s="31" t="s">
        <v>244</v>
      </c>
      <c r="C26" s="72">
        <v>-2</v>
      </c>
      <c r="D26" s="72">
        <v>-2</v>
      </c>
      <c r="E26" s="72">
        <v>-1</v>
      </c>
      <c r="F26" s="72">
        <v>-2</v>
      </c>
      <c r="G26" s="72">
        <v>-4</v>
      </c>
      <c r="H26" s="65" t="s">
        <v>245</v>
      </c>
    </row>
    <row r="27" spans="2:8" x14ac:dyDescent="0.25">
      <c r="B27" s="31" t="s">
        <v>246</v>
      </c>
      <c r="C27" s="72">
        <v>0</v>
      </c>
      <c r="D27" s="72">
        <v>0</v>
      </c>
      <c r="E27" s="72">
        <v>0</v>
      </c>
      <c r="F27" s="72">
        <v>0</v>
      </c>
      <c r="G27" s="72">
        <v>0</v>
      </c>
      <c r="H27" s="65" t="s">
        <v>247</v>
      </c>
    </row>
    <row r="29" ht="24" customHeight="1" spans="2:9" x14ac:dyDescent="0.25">
      <c r="B29" s="60" t="s">
        <v>248</v>
      </c>
      <c r="C29" s="60" t="s">
        <v>249</v>
      </c>
      <c r="D29" s="60" t="s">
        <v>250</v>
      </c>
      <c r="E29" s="60"/>
      <c r="F29" s="60" t="s">
        <v>251</v>
      </c>
      <c r="G29" s="60"/>
      <c r="H29" s="60"/>
      <c r="I29" s="60"/>
    </row>
    <row r="30" ht="45" customHeight="1" spans="2:9" x14ac:dyDescent="0.25">
      <c r="B30" s="73" t="s">
        <v>252</v>
      </c>
      <c r="C30" s="74" t="s">
        <v>253</v>
      </c>
      <c r="D30" s="75" t="s">
        <v>254</v>
      </c>
      <c r="E30" s="75"/>
      <c r="F30" s="76" t="s">
        <v>255</v>
      </c>
      <c r="G30" s="76"/>
      <c r="H30" s="76"/>
      <c r="I30" s="76"/>
    </row>
    <row r="31" ht="45" customHeight="1" spans="2:9" x14ac:dyDescent="0.25">
      <c r="B31" s="73" t="s">
        <v>256</v>
      </c>
      <c r="C31" s="74" t="s">
        <v>253</v>
      </c>
      <c r="D31" s="75" t="s">
        <v>257</v>
      </c>
      <c r="E31" s="75"/>
      <c r="F31" s="76" t="s">
        <v>258</v>
      </c>
      <c r="G31" s="76"/>
      <c r="H31" s="76"/>
      <c r="I31" s="76"/>
    </row>
    <row r="32" ht="45" customHeight="1" spans="2:9" x14ac:dyDescent="0.25">
      <c r="B32" s="73" t="s">
        <v>259</v>
      </c>
      <c r="C32" s="77" t="s">
        <v>260</v>
      </c>
      <c r="D32" s="75" t="s">
        <v>261</v>
      </c>
      <c r="E32" s="75"/>
      <c r="F32" s="76" t="s">
        <v>262</v>
      </c>
      <c r="G32" s="76"/>
      <c r="H32" s="76"/>
      <c r="I32" s="76"/>
    </row>
    <row r="33" ht="45" customHeight="1" spans="2:9" x14ac:dyDescent="0.25">
      <c r="B33" s="73" t="s">
        <v>263</v>
      </c>
      <c r="C33" s="77" t="s">
        <v>260</v>
      </c>
      <c r="D33" s="75" t="s">
        <v>264</v>
      </c>
      <c r="E33" s="75"/>
      <c r="F33" s="76" t="s">
        <v>265</v>
      </c>
      <c r="G33" s="76"/>
      <c r="H33" s="76"/>
      <c r="I33" s="76"/>
    </row>
    <row r="34" ht="45" customHeight="1" spans="2:9" x14ac:dyDescent="0.25">
      <c r="B34" s="73" t="s">
        <v>266</v>
      </c>
      <c r="C34" s="74" t="s">
        <v>253</v>
      </c>
      <c r="D34" s="75" t="s">
        <v>267</v>
      </c>
      <c r="E34" s="75"/>
      <c r="F34" s="76" t="s">
        <v>268</v>
      </c>
      <c r="G34" s="76"/>
      <c r="H34" s="76"/>
      <c r="I34" s="76"/>
    </row>
    <row r="35" ht="45" customHeight="1" spans="2:9" x14ac:dyDescent="0.25">
      <c r="B35" s="73" t="s">
        <v>269</v>
      </c>
      <c r="C35" s="77" t="s">
        <v>260</v>
      </c>
      <c r="D35" s="75" t="s">
        <v>270</v>
      </c>
      <c r="E35" s="75"/>
      <c r="F35" s="76" t="s">
        <v>271</v>
      </c>
      <c r="G35" s="76"/>
      <c r="H35" s="76"/>
      <c r="I35" s="76"/>
    </row>
    <row r="36" ht="45" customHeight="1" spans="2:9" x14ac:dyDescent="0.25">
      <c r="B36" s="73" t="s">
        <v>272</v>
      </c>
      <c r="C36" s="74" t="s">
        <v>253</v>
      </c>
      <c r="D36" s="75" t="s">
        <v>273</v>
      </c>
      <c r="E36" s="75"/>
      <c r="F36" s="76" t="s">
        <v>274</v>
      </c>
      <c r="G36" s="76"/>
      <c r="H36" s="76"/>
      <c r="I36" s="76"/>
    </row>
    <row r="38" spans="2:6" x14ac:dyDescent="0.25">
      <c r="B38" s="73" t="s">
        <v>39</v>
      </c>
      <c r="C38" s="31" t="s">
        <v>275</v>
      </c>
      <c r="D38" s="31"/>
      <c r="E38" s="31"/>
      <c r="F38" s="31"/>
    </row>
    <row r="40" spans="2:9" x14ac:dyDescent="0.25">
      <c r="B40" s="78" t="s">
        <v>276</v>
      </c>
      <c r="C40" s="78"/>
      <c r="D40" s="78"/>
      <c r="E40" s="78"/>
      <c r="F40" s="78"/>
      <c r="G40" s="78"/>
      <c r="H40" s="78"/>
      <c r="I40" s="78"/>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Instructions</vt:lpstr>
      <vt:lpstr>Cover</vt:lpstr>
      <vt:lpstr>Assumptions</vt:lpstr>
      <vt:lpstr>Drivers</vt:lpstr>
      <vt:lpstr>5-Year P&amp;L</vt:lpstr>
      <vt:lpstr>Cash Flow &amp; DSCR</vt:lpstr>
      <vt:lpstr>AR &amp; Restricted Recon</vt:lpstr>
      <vt:lpstr>Staffing</vt:lpstr>
      <vt:lpstr>Loan Snapshot</vt:lpstr>
      <vt:lpstr>Summary</vt:lpstr>
      <vt:lpstr>Stress Tests</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2026-05-09T20:32:51Z</dcterms:created>
  <dcterms:modified xsi:type="dcterms:W3CDTF">2026-05-09T20:32:51Z</dcterms:modified>
</cp:coreProperties>
</file>