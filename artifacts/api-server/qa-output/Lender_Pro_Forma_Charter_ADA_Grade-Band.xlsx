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<sst xmlns="http://schemas.openxmlformats.org/spreadsheetml/2006/main" count="160" uniqueCount="134">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</sst>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b/>
      <color rgb="FF374151"/>
      <sz val="10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9925</v>
      </c>
    </row>
    <row r="23" spans="3:4" x14ac:dyDescent="0.25">
      <c r="C23" s="9" t="s">
        <v>31</v>
      </c>
      <c r="D23" s="13">
        <v>0.005163727959697733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f>Assumptions!D12*Assumptions!D22</f>
        <v>1191000</v>
      </c>
      <c r="D7" s="21">
        <f>Assumptions!D13*Assumptions!D22*(1+Assumptions!D23)^1</f>
        <v>1995250</v>
      </c>
      <c r="E7" s="21">
        <f>Assumptions!D14*Assumptions!D22*(1+Assumptions!D23)^2</f>
        <v>3008329.39231738</v>
      </c>
      <c r="F7" s="21">
        <f>Assumptions!D15*Assumptions!D22*(1+Assumptions!D23)^3</f>
        <v>4031818.11588329</v>
      </c>
      <c r="G7" s="21">
        <f>Assumptions!D16*Assumptions!D22*(1+Assumptions!D23)^4</f>
        <v>5065796.65977087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3310637.39231738</v>
      </c>
      <c r="F10" s="23">
        <f>F6+F7+F8+F9</f>
        <v>4381654.43588329</v>
      </c>
      <c r="G10" s="23">
        <f>G6+G7+G8+G9</f>
        <v>5465898.42177087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3008329.39231738</v>
      </c>
      <c r="F7" s="21">
        <f>Drivers!F7</f>
        <v>4031818.11588329</v>
      </c>
      <c r="G7" s="21">
        <f>Drivers!G7</f>
        <v>5065796.65977087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3310637.39231738</v>
      </c>
      <c r="F10" s="23">
        <f>Drivers!F10</f>
        <v>4381654.43588329</v>
      </c>
      <c r="G10" s="23">
        <f>Drivers!G10</f>
        <v>5465898.42177087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73284.20199184</v>
      </c>
      <c r="F16" s="24">
        <f>F10-F15</f>
        <v>-321056.9518978</v>
      </c>
      <c r="G16" s="24">
        <f>G10-G15</f>
        <v>-1684638.46844119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0.02213598</v>
      </c>
      <c r="F17" s="26">
        <f>IF(F10&gt;0,F16/F10,0)</f>
        <v>-0.073273</v>
      </c>
      <c r="G17" s="26">
        <f>IF(G10&gt;0,G16/G10,0)</f>
        <v>-0.30820889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73284.20199184</v>
      </c>
      <c r="F4" s="21">
        <f>'5-Year P&amp;L'!F16</f>
        <v>-321056.9518978</v>
      </c>
      <c r="G4" s="21">
        <f>'5-Year P&amp;L'!G16</f>
        <v>-1684638.46844119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7">
        <f>IF(E8&gt;0,E4/E8,IF(E4&gt;0,99.9,0))</f>
        <v>0.6872846</v>
      </c>
      <c r="F10" s="27">
        <f>IF(F8&gt;0,F4/F8,IF(F4&gt;0,99.9,0))</f>
        <v>-3.01098316</v>
      </c>
      <c r="G10" s="27">
        <f>IF(G8&gt;0,G4/G8,IF(G4&gt;0,99.9,0))</f>
        <v>-15.79912235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-33344.40882365</v>
      </c>
      <c r="F12" s="21">
        <f>F4-F8</f>
        <v>-427685.56271329</v>
      </c>
      <c r="G12" s="21">
        <f>G4-G8</f>
        <v>-1791267.07925669</v>
      </c>
    </row>
    <row r="14" spans="2:7" x14ac:dyDescent="0.25">
      <c r="B14" s="22" t="s">
        <v>119</v>
      </c>
      <c r="C14" s="28">
        <f>Assumptions!D57+C12</f>
        <v>-282114.89652978</v>
      </c>
      <c r="D14" s="28">
        <f>C14+D12</f>
        <v>-350737.70382146</v>
      </c>
      <c r="E14" s="28">
        <f>D14+E12</f>
        <v>-384082.11264511</v>
      </c>
      <c r="F14" s="28">
        <f>E14+F12</f>
        <v>-811767.6753584</v>
      </c>
      <c r="G14" s="28">
        <f>F14+G12</f>
        <v>-2603034.75461509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29">
        <f>C4+C5</f>
        <v>15</v>
      </c>
      <c r="D6" s="29">
        <f>D4+D5</f>
        <v>21</v>
      </c>
      <c r="E6" s="29">
        <f>E4+E5</f>
        <v>29</v>
      </c>
      <c r="F6" s="29">
        <f>F4+F5</f>
        <v>36</v>
      </c>
      <c r="G6" s="2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0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5465898.42177087</v>
      </c>
    </row>
    <row r="10" spans="2:3" x14ac:dyDescent="0.25">
      <c r="B10" s="19" t="s">
        <v>132</v>
      </c>
      <c r="C10" s="28">
        <f>'5-Year P&amp;L'!G16</f>
        <v>-1684638.46844119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