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<sst xmlns="http://schemas.openxmlformats.org/spreadsheetml/2006/main" count="300" uniqueCount="243">
  <si>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</si>
  <si>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</si>
  <si>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</si>
  <si>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</si>
  <si>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</si>
  <si>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</si>
  <si>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</si>
  <si>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</si>
  <si>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</si>
  <si>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</si>
  <si>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</si>
  <si>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</si>
  <si>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</si>
  <si>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</si>
  <si>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</si>
  <si>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</si>
  <si>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</si>
  <si>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</si>
  <si>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</si>
  <si>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</si>
  <si>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</si>
  <si>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</si>
  <si>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</si>
  <si>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</si>
  <si>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</si>
  <si>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</si>
  <si>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</si>
  <si>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</si>
  <si>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</si>
  <si>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</si>
  <si>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</si>
  <si>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</si>
  <si>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</si>
  <si>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</si>
  <si>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</si>
  <si>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</si>
  <si>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</si>
  <si>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</si>
  <si>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</si>
  <si>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</si>
  <si>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</si>
  <si>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</si>
  <si>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</si>
  <si>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</si>
  <si>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</si>
  <si>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</si>
  <si>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</si>
  <si>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</si>
  <si>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</si>
  <si>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</si>
  <si>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</si>
  <si>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</si>
  <si>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</si>
  <si>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</si>
  <si>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</si>
  <si>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</si>
  <si>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</si>
  <si>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</si>
  <si>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</si>
  <si>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</si>
  <si>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</si>
  <si>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</si>
  <si>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</si>
  <si>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</si>
  <si>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</si>
  <si>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</si>
  <si>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</si>
  <si>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</si>
  <si>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</si>
  <si>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</si>
  <si>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</si>
  <si>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</si>
  <si>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</si>
  <si>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</si>
  <si>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</si>
  <si>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</si>
  <si>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</si>
  <si>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</si>
  <si>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</si>
  <si>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</si>
  <si>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</si>
  <si>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</si>
  <si>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</si>
  <si>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</si>
  <si>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</si>
  <si>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</si>
  <si>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</si>
  <si>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</si>
  <si>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</si>
  <si>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</si>
  <si>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</si>
  <si>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</si>
  <si>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</si>
  <si>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</si>
  <si>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</si>
  <si>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CHARTER FUNDING DETAILS</t>
  </si>
  <si>
    <t>Enrollment Revenue Method</t>
  </si>
  <si>
    <t>ADA (Avg Daily Attendance)</t>
  </si>
  <si>
    <t>Charter Deposit Timing</t>
  </si>
  <si>
    <t>Monthly</t>
  </si>
  <si>
    <t>Prior-Year ADM</t>
  </si>
  <si>
    <t>Prior-Year ADA</t>
  </si>
  <si>
    <t>Attendance Ratio (ADA ÷ ADM)</t>
  </si>
  <si>
    <t>Per-Pupil Rate - K-5</t>
  </si>
  <si>
    <t>Per-Pupil Rate - 6-8</t>
  </si>
  <si>
    <t>Per-Pupil Rate - 9-12</t>
  </si>
  <si>
    <t>Grade-Band Enrollment by Year</t>
  </si>
  <si>
    <t xml:space="preserve">  K-5</t>
  </si>
  <si>
    <t>80  /  130  /  180  /  230  /  260</t>
  </si>
  <si>
    <t xml:space="preserve">  6-8</t>
  </si>
  <si>
    <t>40  /  70  /  100  /  120  /  140</t>
  </si>
  <si>
    <t xml:space="preserve">  9-12</t>
  </si>
  <si>
    <t>0  /  0  /  20  /  50  /  100</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</si>
  <si>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</si>
  <si>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</si>
  <si>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</si>
  <si>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</si>
  <si>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</si>
  <si>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</si>
  <si>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</si>
  <si>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</si>
  <si>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</si>
  <si>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</si>
  <si>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</si>
  <si>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</si>
  <si>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</si>
  <si>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</si>
  <si>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</si>
  <si>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</si>
  <si>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</si>
  <si>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</si>
  <si>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</si>
  <si>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</si>
  <si>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</si>
  <si>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</si>
  <si>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</si>
  <si>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</si>
  <si>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</si>
  <si>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</si>
  <si>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</si>
  <si>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</si>
  <si>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</si>
  <si>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</si>
  <si>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</si>
  <si>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</si>
  <si>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</si>
  <si>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</si>
  <si>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</si>
  <si>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</si>
  <si>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</si>
  <si>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</si>
  <si>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</si>
  <si>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</si>
  <si>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</si>
  <si>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</si>
  <si>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</si>
  <si>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</si>
  <si>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</si>
  <si>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</si>
  <si>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</si>
  <si>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</si>
  <si>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</si>
  <si>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</si>
  <si>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</si>
  <si>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</si>
  <si>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</si>
  <si>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</si>
  <si>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</si>
  <si>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</si>
  <si>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</si>
  <si>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</si>
  <si>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</si>
  <si>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</si>
  <si>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</si>
  <si>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</si>
  <si>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</si>
  <si>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</si>
  <si>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</si>
  <si>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</si>
  <si>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</si>
  <si>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</si>
  <si>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</si>
  <si>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</si>
  <si>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</si>
  <si>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</si>
  <si>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</si>
  <si>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</si>
  <si>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</si>
  <si>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</si>
  <si>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</si>
  <si>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</si>
  <si>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</si>
  <si>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</si>
  <si>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</si>
  <si>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</si>
  <si>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</si>
  <si>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</si>
  <si>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</si>
  <si>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</si>
  <si>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</si>
  <si>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</si>
  <si>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</si>
  <si>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</si>
  <si>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</si>
  <si>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</si>
  <si>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</si>
  <si>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</si>
  <si>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</si>
  <si>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</si>
  <si>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</si>
  <si>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</si>
  <si>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</si>
  <si>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</si>
  <si>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</si>
  <si>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</si>
  <si>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</si>
  <si>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</si>
  <si>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</si>
  <si>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</si>
  <si>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</si>
  <si>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</si>
  <si>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</si>
  <si>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</si>
  <si>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</si>
  <si>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</si>
  <si>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</si>
  <si>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Healthy</t>
  </si>
  <si>
    <t>Staffing at 51%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</si>
  <si>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</si>
  <si>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</si>
  <si>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</si>
  <si>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</si>
  <si>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</si>
  <si>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-14.22x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</si>
  <si>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</si>
  <si>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</si>
  <si>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</si>
  <si>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</si>
  <si>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</si>
  <si>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</si>
  <si>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</si>
  <si>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3 Healthy  |  0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</si>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</sst>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2"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10" fontId="12" fillId="2" borderId="3" xfId="0" applyNumberFormat="1" applyFont="1" applyFill="1" applyBorder="1" applyAlignment="1">
      <alignment horizontal="right"/>
    </xf>
    <xf numFmtId="0" fontId="16" fillId="0" borderId="0" xfId="0" applyFont="1"/>
    <xf numFmtId="0" fontId="12" fillId="2" borderId="3" xfId="0" applyFont="1" applyFill="1" applyBorder="1"/>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7" fillId="0" borderId="4" xfId="0" applyFont="1" applyBorder="1"/>
    <xf numFmtId="165" fontId="17" fillId="0" borderId="5" xfId="0" applyNumberFormat="1" applyFont="1" applyBorder="1" applyAlignment="1">
      <alignment horizontal="right"/>
    </xf>
    <xf numFmtId="165" fontId="17" fillId="6" borderId="5" xfId="0" applyNumberFormat="1" applyFont="1" applyFill="1" applyBorder="1" applyAlignment="1">
      <alignment horizontal="right"/>
    </xf>
    <xf numFmtId="165" fontId="17"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7" fillId="0" borderId="4" xfId="0" applyNumberFormat="1" applyFont="1" applyBorder="1" applyAlignment="1">
      <alignment horizontal="right"/>
    </xf>
    <xf numFmtId="0" fontId="0" fillId="0" borderId="4" xfId="0" applyBorder="1" applyAlignment="1">
      <alignment horizontal="center"/>
    </xf>
    <xf numFmtId="167" fontId="17" fillId="6" borderId="4" xfId="0" applyNumberFormat="1" applyFont="1" applyFill="1" applyBorder="1" applyAlignment="1">
      <alignment horizontal="right"/>
    </xf>
    <xf numFmtId="164" fontId="17" fillId="0" borderId="5" xfId="0" applyNumberFormat="1" applyFont="1" applyBorder="1" applyAlignment="1">
      <alignment horizontal="right"/>
    </xf>
    <xf numFmtId="165" fontId="17"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7"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8" fillId="0" borderId="0" xfId="0" applyFont="1"/>
    <xf numFmtId="0" fontId="19" fillId="0" borderId="0" xfId="0" applyFont="1"/>
    <xf numFmtId="0" fontId="20" fillId="0" borderId="0" xfId="0" applyFont="1"/>
    <xf numFmtId="0" fontId="4" fillId="7" borderId="4" xfId="0" applyFont="1" applyFill="1" applyBorder="1"/>
    <xf numFmtId="0" fontId="4" fillId="7" borderId="4" xfId="0" applyFont="1" applyFill="1" applyBorder="1" applyAlignment="1">
      <alignment horizontal="center"/>
    </xf>
    <xf numFmtId="166" fontId="17" fillId="6" borderId="5" xfId="0" applyNumberFormat="1" applyFont="1" applyFill="1" applyBorder="1" applyAlignment="1">
      <alignment horizontal="right"/>
    </xf>
    <xf numFmtId="166" fontId="17" fillId="8"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5" fontId="17" fillId="3" borderId="4" xfId="0" applyNumberFormat="1" applyFont="1" applyFill="1" applyBorder="1" applyAlignment="1">
      <alignment horizontal="right"/>
    </xf>
    <xf numFmtId="166" fontId="17" fillId="3" borderId="5" xfId="0" applyNumberFormat="1" applyFont="1" applyFill="1" applyBorder="1" applyAlignment="1">
      <alignment horizontal="right"/>
    </xf>
    <xf numFmtId="164" fontId="17" fillId="3" borderId="5" xfId="0" applyNumberFormat="1" applyFont="1" applyFill="1" applyBorder="1" applyAlignment="1">
      <alignment horizontal="right"/>
    </xf>
    <xf numFmtId="167" fontId="17" fillId="6" borderId="5" xfId="0" applyNumberFormat="1" applyFont="1" applyFill="1" applyBorder="1" applyAlignment="1">
      <alignment horizontal="right"/>
    </xf>
    <xf numFmtId="0" fontId="6" fillId="0" borderId="4" xfId="0" applyFont="1" applyBorder="1" applyAlignment="1">
      <alignment horizontal="center"/>
    </xf>
    <xf numFmtId="164" fontId="17" fillId="6" borderId="5" xfId="0" applyNumberFormat="1" applyFont="1" applyFill="1" applyBorder="1" applyAlignment="1">
      <alignment horizontal="right"/>
    </xf>
    <xf numFmtId="0" fontId="4" fillId="0" borderId="4" xfId="0" applyFont="1" applyBorder="1"/>
    <xf numFmtId="0" fontId="20"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2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77"/>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400</v>
      </c>
    </row>
    <row r="16" spans="3:4" x14ac:dyDescent="0.25">
      <c r="C16" s="18" t="s">
        <v>57</v>
      </c>
      <c r="D16" s="20">
        <v>500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0</v>
      </c>
    </row>
    <row r="23" spans="3:4" x14ac:dyDescent="0.25">
      <c r="C23" s="18" t="s">
        <v>62</v>
      </c>
      <c r="D23" s="22">
        <v>0</v>
      </c>
    </row>
    <row r="24" spans="3:4" x14ac:dyDescent="0.25">
      <c r="C24" s="18" t="s">
        <v>63</v>
      </c>
      <c r="D24" s="21">
        <v>400</v>
      </c>
    </row>
    <row r="25" spans="3:4" x14ac:dyDescent="0.25">
      <c r="C25" s="18" t="s">
        <v>64</v>
      </c>
      <c r="D25" s="22">
        <v>0.03</v>
      </c>
    </row>
    <row r="26" spans="3:4" x14ac:dyDescent="0.25">
      <c r="C26" s="18" t="s">
        <v>65</v>
      </c>
      <c r="D26" s="22">
        <v>0.95</v>
      </c>
    </row>
    <row r="27" spans="3:4" x14ac:dyDescent="0.25">
      <c r="C27" s="18" t="s">
        <v>66</v>
      </c>
      <c r="D27" s="21">
        <v>175000</v>
      </c>
    </row>
    <row r="28" spans="3:4" x14ac:dyDescent="0.25">
      <c r="C28" s="18" t="s">
        <v>67</v>
      </c>
      <c r="D28" s="22">
        <v>0</v>
      </c>
    </row>
    <row r="30" ht="24" customHeight="1" spans="2:4" x14ac:dyDescent="0.25">
      <c r="B30" s="17" t="s">
        <v>68</v>
      </c>
      <c r="C30" s="17"/>
      <c r="D30" s="17"/>
    </row>
    <row r="32" spans="3:4" x14ac:dyDescent="0.25">
      <c r="C32" s="18" t="s">
        <v>69</v>
      </c>
      <c r="D32" s="20">
        <v>13</v>
      </c>
    </row>
    <row r="33" spans="3:4" x14ac:dyDescent="0.25">
      <c r="C33" s="18" t="s">
        <v>70</v>
      </c>
      <c r="D33" s="21">
        <v>43667</v>
      </c>
    </row>
    <row r="34" spans="3:4" x14ac:dyDescent="0.25">
      <c r="C34" s="18" t="s">
        <v>71</v>
      </c>
      <c r="D34" s="22">
        <v>0.03</v>
      </c>
    </row>
    <row r="35" spans="3:4" x14ac:dyDescent="0.25">
      <c r="C35" s="18" t="s">
        <v>72</v>
      </c>
      <c r="D35" s="20">
        <v>5</v>
      </c>
    </row>
    <row r="36" spans="3:4" x14ac:dyDescent="0.25">
      <c r="C36" s="18" t="s">
        <v>73</v>
      </c>
      <c r="D36" s="20">
        <v>5</v>
      </c>
    </row>
    <row r="37" spans="3:4" x14ac:dyDescent="0.25">
      <c r="C37" s="18" t="s">
        <v>74</v>
      </c>
      <c r="D37" s="20">
        <v>5</v>
      </c>
    </row>
    <row r="38" spans="3:4" x14ac:dyDescent="0.25">
      <c r="C38" s="18" t="s">
        <v>75</v>
      </c>
      <c r="D38" s="20">
        <v>5</v>
      </c>
    </row>
    <row r="39" spans="3:4" x14ac:dyDescent="0.25">
      <c r="C39" s="18" t="s">
        <v>76</v>
      </c>
      <c r="D39" s="20">
        <v>5</v>
      </c>
    </row>
    <row r="40" spans="3:4" x14ac:dyDescent="0.25">
      <c r="C40" s="18" t="s">
        <v>77</v>
      </c>
      <c r="D40" s="21">
        <v>71250</v>
      </c>
    </row>
    <row r="41" spans="3:4" x14ac:dyDescent="0.25">
      <c r="C41" s="18" t="s">
        <v>78</v>
      </c>
      <c r="D41" s="22">
        <v>0.03</v>
      </c>
    </row>
    <row r="42" spans="3:4" x14ac:dyDescent="0.25">
      <c r="C42" s="18" t="s">
        <v>79</v>
      </c>
      <c r="D42" s="22">
        <v>0.24285714285714285</v>
      </c>
    </row>
    <row r="44" ht="24" customHeight="1" spans="2:4" x14ac:dyDescent="0.25">
      <c r="B44" s="17" t="s">
        <v>80</v>
      </c>
      <c r="C44" s="17"/>
      <c r="D44" s="17"/>
    </row>
    <row r="46" spans="3:4" x14ac:dyDescent="0.25">
      <c r="C46" s="18" t="s">
        <v>81</v>
      </c>
      <c r="D46" s="21">
        <v>322000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650</v>
      </c>
    </row>
    <row r="51" spans="3:4" x14ac:dyDescent="0.25">
      <c r="C51" s="18" t="s">
        <v>86</v>
      </c>
      <c r="D51" s="22">
        <v>0.717948717948718</v>
      </c>
    </row>
    <row r="52" spans="3:4" x14ac:dyDescent="0.25">
      <c r="C52" s="18" t="s">
        <v>87</v>
      </c>
      <c r="D52" s="21">
        <v>204000</v>
      </c>
    </row>
    <row r="53" spans="3:4" x14ac:dyDescent="0.25">
      <c r="C53" s="18" t="s">
        <v>88</v>
      </c>
      <c r="D53" s="22">
        <v>0.515686274509804</v>
      </c>
    </row>
    <row r="55" ht="24" customHeight="1" spans="2:4" x14ac:dyDescent="0.25">
      <c r="B55" s="17" t="s">
        <v>89</v>
      </c>
      <c r="C55" s="17"/>
      <c r="D55" s="17"/>
    </row>
    <row r="57" spans="3:4" x14ac:dyDescent="0.25">
      <c r="C57" s="18" t="s">
        <v>90</v>
      </c>
      <c r="D57" s="21">
        <v>0</v>
      </c>
    </row>
    <row r="58" spans="3:4" x14ac:dyDescent="0.25">
      <c r="C58" s="18" t="s">
        <v>91</v>
      </c>
      <c r="D58" s="21">
        <v>60000</v>
      </c>
    </row>
    <row r="59" spans="3:4" x14ac:dyDescent="0.25">
      <c r="C59" s="18" t="s">
        <v>92</v>
      </c>
      <c r="D59" s="21">
        <v>350000</v>
      </c>
    </row>
    <row r="60" spans="3:4" x14ac:dyDescent="0.25">
      <c r="C60" s="18" t="s">
        <v>93</v>
      </c>
      <c r="D60" s="22">
        <v>0.06</v>
      </c>
    </row>
    <row r="61" spans="3:4" x14ac:dyDescent="0.25">
      <c r="C61" s="18" t="s">
        <v>94</v>
      </c>
      <c r="D61" s="20">
        <v>10</v>
      </c>
    </row>
    <row r="63" ht="24" customHeight="1" spans="2:4" x14ac:dyDescent="0.25">
      <c r="B63" s="17" t="s">
        <v>95</v>
      </c>
      <c r="C63" s="17"/>
      <c r="D63" s="17"/>
    </row>
    <row r="65" spans="3:4" x14ac:dyDescent="0.25">
      <c r="C65" s="18" t="s">
        <v>96</v>
      </c>
      <c r="D65" s="19" t="s">
        <v>97</v>
      </c>
    </row>
    <row r="66" spans="3:4" x14ac:dyDescent="0.25">
      <c r="C66" s="18" t="s">
        <v>98</v>
      </c>
      <c r="D66" s="19" t="s">
        <v>99</v>
      </c>
    </row>
    <row r="67" spans="3:4" x14ac:dyDescent="0.25">
      <c r="C67" s="18" t="s">
        <v>100</v>
      </c>
      <c r="D67" s="20">
        <v>0</v>
      </c>
    </row>
    <row r="68" spans="3:4" x14ac:dyDescent="0.25">
      <c r="C68" s="18" t="s">
        <v>101</v>
      </c>
      <c r="D68" s="20">
        <v>0</v>
      </c>
    </row>
    <row r="69" spans="3:4" x14ac:dyDescent="0.25">
      <c r="C69" s="18" t="s">
        <v>102</v>
      </c>
      <c r="D69" s="23">
        <v>0.95</v>
      </c>
    </row>
    <row r="70" spans="3:4" x14ac:dyDescent="0.25">
      <c r="C70" s="18" t="s">
        <v>103</v>
      </c>
      <c r="D70" s="21">
        <v>8200</v>
      </c>
    </row>
    <row r="71" spans="3:4" x14ac:dyDescent="0.25">
      <c r="C71" s="18" t="s">
        <v>104</v>
      </c>
      <c r="D71" s="21">
        <v>9100</v>
      </c>
    </row>
    <row r="72" spans="3:4" x14ac:dyDescent="0.25">
      <c r="C72" s="18" t="s">
        <v>105</v>
      </c>
      <c r="D72" s="21">
        <v>10500</v>
      </c>
    </row>
    <row r="74" spans="3:4" x14ac:dyDescent="0.25">
      <c r="C74" s="24" t="s">
        <v>106</v>
      </c>
      <c r="D74" s="24"/>
    </row>
    <row r="75" spans="3:4" x14ac:dyDescent="0.25">
      <c r="C75" s="18" t="s">
        <v>107</v>
      </c>
      <c r="D75" s="25" t="s">
        <v>108</v>
      </c>
    </row>
    <row r="76" spans="3:4" x14ac:dyDescent="0.25">
      <c r="C76" s="18" t="s">
        <v>109</v>
      </c>
      <c r="D76" s="25" t="s">
        <v>110</v>
      </c>
    </row>
    <row r="77" spans="3:4" x14ac:dyDescent="0.25">
      <c r="C77" s="18" t="s">
        <v>111</v>
      </c>
      <c r="D77" s="25" t="s">
        <v>112</v>
      </c>
    </row>
  </sheetData>
  <mergeCells count="9">
    <mergeCell ref="B1:D1"/>
    <mergeCell ref="B3:D3"/>
    <mergeCell ref="B10:D10"/>
    <mergeCell ref="B18:D18"/>
    <mergeCell ref="B30:D30"/>
    <mergeCell ref="B44:D44"/>
    <mergeCell ref="B55:D55"/>
    <mergeCell ref="B63:D63"/>
    <mergeCell ref="C74:D7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113</v>
      </c>
      <c r="C1" s="13"/>
      <c r="D1" s="13"/>
      <c r="E1" s="13"/>
      <c r="F1" s="13"/>
      <c r="G1" s="13"/>
    </row>
    <row r="3" ht="24" customHeight="1" spans="2:7" x14ac:dyDescent="0.25">
      <c r="B3" s="26"/>
      <c r="C3" s="27" t="s">
        <v>114</v>
      </c>
      <c r="D3" s="27" t="s">
        <v>115</v>
      </c>
      <c r="E3" s="27" t="s">
        <v>116</v>
      </c>
      <c r="F3" s="27" t="s">
        <v>117</v>
      </c>
      <c r="G3" s="27" t="s">
        <v>118</v>
      </c>
    </row>
    <row r="4" spans="2:7" x14ac:dyDescent="0.25">
      <c r="B4" s="28" t="s">
        <v>119</v>
      </c>
      <c r="C4" s="29">
        <f>Assumptions!D12</f>
        <v>120</v>
      </c>
      <c r="D4" s="29">
        <f>Assumptions!D13</f>
        <v>200</v>
      </c>
      <c r="E4" s="29">
        <f>Assumptions!D14</f>
        <v>300</v>
      </c>
      <c r="F4" s="29">
        <f>Assumptions!D15</f>
        <v>400</v>
      </c>
      <c r="G4" s="29">
        <f>Assumptions!D16</f>
        <v>500</v>
      </c>
    </row>
    <row r="5" spans="2:7" x14ac:dyDescent="0.25">
      <c r="B5" s="28" t="s">
        <v>120</v>
      </c>
      <c r="C5" s="30" t="str">
        <f>Assumptions!D12*Assumptions!D20</f>
        <v>0</v>
      </c>
      <c r="D5" s="30" t="str">
        <f>Assumptions!D13*Assumptions!D20*(1+Assumptions!D21)^1</f>
        <v>0</v>
      </c>
      <c r="E5" s="30" t="str">
        <f>Assumptions!D14*Assumptions!D20*(1+Assumptions!D21)^2</f>
        <v>0</v>
      </c>
      <c r="F5" s="30" t="str">
        <f>Assumptions!D15*Assumptions!D20*(1+Assumptions!D21)^3</f>
        <v>0</v>
      </c>
      <c r="G5" s="30" t="str">
        <f>Assumptions!D16*Assumptions!D20*(1+Assumptions!D21)^4</f>
        <v>0</v>
      </c>
    </row>
    <row r="6" spans="2:7" x14ac:dyDescent="0.25">
      <c r="B6" s="28" t="s">
        <v>121</v>
      </c>
      <c r="C6" s="30" t="str">
        <f>C5*Assumptions!D26</f>
        <v>0</v>
      </c>
      <c r="D6" s="30" t="str">
        <f>D5*Assumptions!D26</f>
        <v>0</v>
      </c>
      <c r="E6" s="30" t="str">
        <f>E5*Assumptions!D26</f>
        <v>0</v>
      </c>
      <c r="F6" s="30" t="str">
        <f>F5*Assumptions!D26</f>
        <v>0</v>
      </c>
      <c r="G6" s="30" t="str">
        <f>G5*Assumptions!D26</f>
        <v>0</v>
      </c>
    </row>
    <row r="7" spans="2:7" x14ac:dyDescent="0.25">
      <c r="B7" s="28" t="s">
        <v>122</v>
      </c>
      <c r="C7" s="30">
        <v>1191000</v>
      </c>
      <c r="D7" s="30">
        <v>1995250</v>
      </c>
      <c r="E7" s="30">
        <v>3043400</v>
      </c>
      <c r="F7" s="30">
        <v>4113050</v>
      </c>
      <c r="G7" s="30">
        <v>5234700</v>
      </c>
    </row>
    <row r="8" spans="2:7" x14ac:dyDescent="0.25">
      <c r="B8" s="28" t="s">
        <v>123</v>
      </c>
      <c r="C8" s="30">
        <f>Assumptions!D12*Assumptions!D24</f>
        <v>48000</v>
      </c>
      <c r="D8" s="30">
        <f>Assumptions!D13*Assumptions!D24*(1+Assumptions!D25)^1</f>
        <v>82400</v>
      </c>
      <c r="E8" s="30">
        <f>Assumptions!D14*Assumptions!D24*(1+Assumptions!D25)^2</f>
        <v>127308</v>
      </c>
      <c r="F8" s="30">
        <f>Assumptions!D15*Assumptions!D24*(1+Assumptions!D25)^3</f>
        <v>174836.32</v>
      </c>
      <c r="G8" s="30">
        <f>Assumptions!D16*Assumptions!D24*(1+Assumptions!D25)^4</f>
        <v>225101.762</v>
      </c>
    </row>
    <row r="9" spans="2:7" x14ac:dyDescent="0.25">
      <c r="B9" s="28" t="s">
        <v>124</v>
      </c>
      <c r="C9" s="30">
        <f>Assumptions!D27</f>
        <v>175000</v>
      </c>
      <c r="D9" s="30">
        <f>Assumptions!D27*(1+Assumptions!D28)^1</f>
        <v>175000</v>
      </c>
      <c r="E9" s="30">
        <f>Assumptions!D27*(1+Assumptions!D28)^2</f>
        <v>175000</v>
      </c>
      <c r="F9" s="30">
        <f>Assumptions!D27*(1+Assumptions!D28)^3</f>
        <v>175000</v>
      </c>
      <c r="G9" s="30">
        <f>Assumptions!D27*(1+Assumptions!D28)^4</f>
        <v>175000</v>
      </c>
    </row>
    <row r="10" spans="2:7" x14ac:dyDescent="0.25">
      <c r="B10" s="31" t="s">
        <v>125</v>
      </c>
      <c r="C10" s="32">
        <f>C6+C7+C8+C9</f>
        <v>1414000</v>
      </c>
      <c r="D10" s="32">
        <f>D6+D7+D8+D9</f>
        <v>2252650</v>
      </c>
      <c r="E10" s="32">
        <f>E6+E7+E8+E9</f>
        <v>3345708</v>
      </c>
      <c r="F10" s="32">
        <f>F6+F7+F8+F9</f>
        <v>4462886.32</v>
      </c>
      <c r="G10" s="32">
        <f>G6+G7+G8+G9</f>
        <v>5634801.762</v>
      </c>
    </row>
    <row r="12" spans="2:7" x14ac:dyDescent="0.25">
      <c r="B12" s="28" t="s">
        <v>126</v>
      </c>
      <c r="C12" s="29">
        <f>CEILING(Assumptions!D12/Assumptions!D32,1)</f>
        <v>10</v>
      </c>
      <c r="D12" s="29">
        <f>CEILING(Assumptions!D13/Assumptions!D32,1)</f>
        <v>16</v>
      </c>
      <c r="E12" s="29">
        <f>CEILING(Assumptions!D14/Assumptions!D32,1)</f>
        <v>24</v>
      </c>
      <c r="F12" s="29">
        <f>CEILING(Assumptions!D15/Assumptions!D32,1)</f>
        <v>31</v>
      </c>
      <c r="G12" s="29">
        <f>CEILING(Assumptions!D16/Assumptions!D32,1)</f>
        <v>39</v>
      </c>
    </row>
    <row r="13" spans="2:7" x14ac:dyDescent="0.25">
      <c r="B13" s="28" t="s">
        <v>127</v>
      </c>
      <c r="C13" s="30">
        <f>C12*Assumptions!D33</f>
        <v>436670</v>
      </c>
      <c r="D13" s="30">
        <f>D12*Assumptions!D33*(1+Assumptions!D34)^1</f>
        <v>719632.16</v>
      </c>
      <c r="E13" s="30">
        <f>E12*Assumptions!D33*(1+Assumptions!D34)^2</f>
        <v>1111831.6872</v>
      </c>
      <c r="F13" s="30">
        <f>F12*Assumptions!D33*(1+Assumptions!D34)^3</f>
        <v>1479199.407179</v>
      </c>
      <c r="G13" s="30">
        <f>G12*Assumptions!D33*(1+Assumptions!D34)^4</f>
        <v>1916756.13504453</v>
      </c>
    </row>
    <row r="14" spans="2:7" x14ac:dyDescent="0.25">
      <c r="B14" s="28" t="s">
        <v>128</v>
      </c>
      <c r="C14" s="30">
        <f>Assumptions!D35*Assumptions!D40</f>
        <v>356250</v>
      </c>
      <c r="D14" s="30">
        <f>Assumptions!D36*Assumptions!D40*(1+Assumptions!D41)^1</f>
        <v>366937.5</v>
      </c>
      <c r="E14" s="30">
        <f>Assumptions!D37*Assumptions!D40*(1+Assumptions!D41)^2</f>
        <v>377945.625</v>
      </c>
      <c r="F14" s="30">
        <f>Assumptions!D38*Assumptions!D40*(1+Assumptions!D41)^3</f>
        <v>389283.99375</v>
      </c>
      <c r="G14" s="30">
        <f>Assumptions!D39*Assumptions!D40*(1+Assumptions!D41)^4</f>
        <v>400962.5135625</v>
      </c>
    </row>
    <row r="15" spans="2:7" x14ac:dyDescent="0.25">
      <c r="B15" s="28" t="s">
        <v>129</v>
      </c>
      <c r="C15" s="30">
        <f>(C13+C14)*Assumptions!D42</f>
        <v>192566.28571429</v>
      </c>
      <c r="D15" s="30">
        <f>(D13+D14)*Assumptions!D42</f>
        <v>263881.20314286</v>
      </c>
      <c r="E15" s="30">
        <f>(E13+E14)*Assumptions!D42</f>
        <v>361803.06153429</v>
      </c>
      <c r="F15" s="30">
        <f>(F13+F14)*Assumptions!D42</f>
        <v>453774.54022561</v>
      </c>
      <c r="G15" s="30">
        <f>(G13+G14)*Assumptions!D42</f>
        <v>562874.52894742</v>
      </c>
    </row>
    <row r="16" spans="2:7" x14ac:dyDescent="0.25">
      <c r="B16" s="31" t="s">
        <v>130</v>
      </c>
      <c r="C16" s="32">
        <f>C13+C14+C15</f>
        <v>985486.28571429</v>
      </c>
      <c r="D16" s="32">
        <f>D13+D14+D15</f>
        <v>1350450.86314286</v>
      </c>
      <c r="E16" s="32">
        <f>E13+E14+E15</f>
        <v>1851580.37373429</v>
      </c>
      <c r="F16" s="32">
        <f>F13+F14+F15</f>
        <v>2322257.94115461</v>
      </c>
      <c r="G16" s="32">
        <f>G13+G14+G15</f>
        <v>2880593.17755445</v>
      </c>
    </row>
    <row r="18" spans="2:7" x14ac:dyDescent="0.25">
      <c r="B18" s="28" t="s">
        <v>131</v>
      </c>
      <c r="C18" s="30">
        <f>Assumptions!D46</f>
        <v>322000</v>
      </c>
      <c r="D18" s="30">
        <f>Assumptions!D46*(1+Assumptions!D47)^1</f>
        <v>331660</v>
      </c>
      <c r="E18" s="30">
        <f>Assumptions!D46*(1+Assumptions!D47)^2</f>
        <v>341609.8</v>
      </c>
      <c r="F18" s="30">
        <f>Assumptions!D46*(1+Assumptions!D47)^3</f>
        <v>351858.094</v>
      </c>
      <c r="G18" s="30">
        <f>Assumptions!D46*(1+Assumptions!D47)^4</f>
        <v>362413.83682</v>
      </c>
    </row>
    <row r="19" spans="2:7" x14ac:dyDescent="0.25">
      <c r="B19" s="28" t="s">
        <v>132</v>
      </c>
      <c r="C19" s="30" t="str">
        <f>Assumptions!D48</f>
        <v>0</v>
      </c>
      <c r="D19" s="30" t="str">
        <f>Assumptions!D48*(1+Assumptions!D49)^1</f>
        <v>0</v>
      </c>
      <c r="E19" s="30" t="str">
        <f>Assumptions!D48*(1+Assumptions!D49)^2</f>
        <v>0</v>
      </c>
      <c r="F19" s="30" t="str">
        <f>Assumptions!D48*(1+Assumptions!D49)^3</f>
        <v>0</v>
      </c>
      <c r="G19" s="30" t="str">
        <f>Assumptions!D48*(1+Assumptions!D49)^4</f>
        <v>0</v>
      </c>
    </row>
    <row r="20" spans="2:7" x14ac:dyDescent="0.25">
      <c r="B20" s="28" t="s">
        <v>133</v>
      </c>
      <c r="C20" s="30">
        <f>Assumptions!D12*Assumptions!D50</f>
        <v>78000</v>
      </c>
      <c r="D20" s="30">
        <f>Assumptions!D13*Assumptions!D50*(1+Assumptions!D51)^1</f>
        <v>223333.33333333</v>
      </c>
      <c r="E20" s="30">
        <f>Assumptions!D14*Assumptions!D50*(1+Assumptions!D51)^2</f>
        <v>575512.82051282</v>
      </c>
      <c r="F20" s="30">
        <f>Assumptions!D15*Assumptions!D50*(1+Assumptions!D51)^3</f>
        <v>1318268.68288407</v>
      </c>
      <c r="G20" s="30">
        <f>Assumptions!D16*Assumptions!D50*(1+Assumptions!D51)^4</f>
        <v>2830897.49209079</v>
      </c>
    </row>
    <row r="21" spans="2:7" x14ac:dyDescent="0.25">
      <c r="B21" s="28" t="s">
        <v>134</v>
      </c>
      <c r="C21" s="30">
        <f>Assumptions!D52</f>
        <v>204000</v>
      </c>
      <c r="D21" s="30">
        <f>Assumptions!D52*(1+Assumptions!D53)^1</f>
        <v>309200</v>
      </c>
      <c r="E21" s="30">
        <f>Assumptions!D52*(1+Assumptions!D53)^2</f>
        <v>468650.19607843</v>
      </c>
      <c r="F21" s="30">
        <f>Assumptions!D52*(1+Assumptions!D53)^3</f>
        <v>710326.66974241</v>
      </c>
      <c r="G21" s="30">
        <f>Assumptions!D52*(1+Assumptions!D53)^4</f>
        <v>1076632.38374682</v>
      </c>
    </row>
    <row r="22" spans="2:7" x14ac:dyDescent="0.25">
      <c r="B22" s="31" t="s">
        <v>135</v>
      </c>
      <c r="C22" s="32">
        <f>C18+C19+C20+C21</f>
        <v>604000</v>
      </c>
      <c r="D22" s="32">
        <f>D18+D19+D20+D21</f>
        <v>864193.33333333</v>
      </c>
      <c r="E22" s="32">
        <f>E18+E19+E20+E21</f>
        <v>1385772.81659125</v>
      </c>
      <c r="F22" s="32">
        <f>F18+F19+F20+F21</f>
        <v>2380453.44662647</v>
      </c>
      <c r="G22" s="32">
        <f>G18+G19+G20+G21</f>
        <v>4269943.71265761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136</v>
      </c>
      <c r="C1" s="13"/>
      <c r="D1" s="13"/>
      <c r="E1" s="13"/>
      <c r="F1" s="13"/>
      <c r="G1" s="13"/>
    </row>
    <row r="3" ht="24" customHeight="1" spans="2:7" x14ac:dyDescent="0.25">
      <c r="B3" s="26"/>
      <c r="C3" s="27" t="s">
        <v>114</v>
      </c>
      <c r="D3" s="27" t="s">
        <v>115</v>
      </c>
      <c r="E3" s="27" t="s">
        <v>116</v>
      </c>
      <c r="F3" s="27" t="s">
        <v>117</v>
      </c>
      <c r="G3" s="27" t="s">
        <v>118</v>
      </c>
    </row>
    <row r="5" spans="2:7" x14ac:dyDescent="0.25">
      <c r="B5" s="28" t="s">
        <v>119</v>
      </c>
      <c r="C5" s="29">
        <f>Drivers!C4</f>
        <v>120</v>
      </c>
      <c r="D5" s="29">
        <f>Drivers!D4</f>
        <v>200</v>
      </c>
      <c r="E5" s="29">
        <f>Drivers!E4</f>
        <v>300</v>
      </c>
      <c r="F5" s="29">
        <f>Drivers!F4</f>
        <v>400</v>
      </c>
      <c r="G5" s="29">
        <f>Drivers!G4</f>
        <v>500</v>
      </c>
    </row>
    <row r="6" spans="2:7" x14ac:dyDescent="0.25">
      <c r="B6" s="28" t="s">
        <v>120</v>
      </c>
      <c r="C6" s="30" t="str">
        <f>Drivers!C6</f>
        <v>0</v>
      </c>
      <c r="D6" s="30" t="str">
        <f>Drivers!D6</f>
        <v>0</v>
      </c>
      <c r="E6" s="30" t="str">
        <f>Drivers!E6</f>
        <v>0</v>
      </c>
      <c r="F6" s="30" t="str">
        <f>Drivers!F6</f>
        <v>0</v>
      </c>
      <c r="G6" s="30" t="str">
        <f>Drivers!G6</f>
        <v>0</v>
      </c>
    </row>
    <row r="7" spans="2:7" x14ac:dyDescent="0.25">
      <c r="B7" s="28" t="s">
        <v>137</v>
      </c>
      <c r="C7" s="30">
        <f>Drivers!C7</f>
        <v>1191000</v>
      </c>
      <c r="D7" s="30">
        <f>Drivers!D7</f>
        <v>1995250</v>
      </c>
      <c r="E7" s="30">
        <f>Drivers!E7</f>
        <v>3043400</v>
      </c>
      <c r="F7" s="30">
        <f>Drivers!F7</f>
        <v>4113050</v>
      </c>
      <c r="G7" s="30">
        <f>Drivers!G7</f>
        <v>5234700</v>
      </c>
    </row>
    <row r="8" spans="2:7" x14ac:dyDescent="0.25">
      <c r="B8" s="28" t="s">
        <v>138</v>
      </c>
      <c r="C8" s="30">
        <f>Drivers!C8</f>
        <v>48000</v>
      </c>
      <c r="D8" s="30">
        <f>Drivers!D8</f>
        <v>82400</v>
      </c>
      <c r="E8" s="30">
        <f>Drivers!E8</f>
        <v>127308</v>
      </c>
      <c r="F8" s="30">
        <f>Drivers!F8</f>
        <v>174836.32</v>
      </c>
      <c r="G8" s="30">
        <f>Drivers!G8</f>
        <v>225101.762</v>
      </c>
    </row>
    <row r="9" spans="2:7" x14ac:dyDescent="0.25">
      <c r="B9" s="28" t="s">
        <v>124</v>
      </c>
      <c r="C9" s="30">
        <f>Drivers!C9</f>
        <v>175000</v>
      </c>
      <c r="D9" s="30">
        <f>Drivers!D9</f>
        <v>175000</v>
      </c>
      <c r="E9" s="30">
        <f>Drivers!E9</f>
        <v>175000</v>
      </c>
      <c r="F9" s="30">
        <f>Drivers!F9</f>
        <v>175000</v>
      </c>
      <c r="G9" s="30">
        <f>Drivers!G9</f>
        <v>175000</v>
      </c>
    </row>
    <row r="10" spans="2:7" x14ac:dyDescent="0.25">
      <c r="B10" s="31" t="s">
        <v>125</v>
      </c>
      <c r="C10" s="32">
        <f>Drivers!C10</f>
        <v>1414000</v>
      </c>
      <c r="D10" s="32">
        <f>Drivers!D10</f>
        <v>2252650</v>
      </c>
      <c r="E10" s="32">
        <f>Drivers!E10</f>
        <v>3345708</v>
      </c>
      <c r="F10" s="32">
        <f>Drivers!F10</f>
        <v>4462886.32</v>
      </c>
      <c r="G10" s="32">
        <f>Drivers!G10</f>
        <v>5634801.762</v>
      </c>
    </row>
    <row r="12" spans="2:7" x14ac:dyDescent="0.25">
      <c r="B12" s="28" t="s">
        <v>139</v>
      </c>
      <c r="C12" s="30">
        <f>Drivers!C16</f>
        <v>985486.28571429</v>
      </c>
      <c r="D12" s="30">
        <f>Drivers!D16</f>
        <v>1350450.86314286</v>
      </c>
      <c r="E12" s="30">
        <f>Drivers!E16</f>
        <v>1851580.37373429</v>
      </c>
      <c r="F12" s="30">
        <f>Drivers!F16</f>
        <v>2322257.94115461</v>
      </c>
      <c r="G12" s="30">
        <f>Drivers!G16</f>
        <v>2880593.17755445</v>
      </c>
    </row>
    <row r="13" spans="2:7" x14ac:dyDescent="0.25">
      <c r="B13" s="28" t="s">
        <v>135</v>
      </c>
      <c r="C13" s="30">
        <f>Drivers!C22</f>
        <v>604000</v>
      </c>
      <c r="D13" s="30">
        <f>Drivers!D22</f>
        <v>864193.33333333</v>
      </c>
      <c r="E13" s="30">
        <f>Drivers!E22</f>
        <v>1385772.81659125</v>
      </c>
      <c r="F13" s="30">
        <f>Drivers!F22</f>
        <v>2380453.44662647</v>
      </c>
      <c r="G13" s="30">
        <f>Drivers!G22</f>
        <v>4269943.71265761</v>
      </c>
    </row>
    <row r="15" spans="2:7" x14ac:dyDescent="0.25">
      <c r="B15" s="31" t="s">
        <v>140</v>
      </c>
      <c r="C15" s="32">
        <f>C12+C13</f>
        <v>1589486.28571429</v>
      </c>
      <c r="D15" s="32">
        <f>D12+D13</f>
        <v>2214644.19647619</v>
      </c>
      <c r="E15" s="32">
        <f>E12+E13</f>
        <v>3237353.19032554</v>
      </c>
      <c r="F15" s="32">
        <f>F12+F13</f>
        <v>4702711.38778109</v>
      </c>
      <c r="G15" s="32">
        <f>G12+G13</f>
        <v>7150536.89021206</v>
      </c>
    </row>
    <row r="16" spans="2:7" x14ac:dyDescent="0.25">
      <c r="B16" s="31" t="s">
        <v>141</v>
      </c>
      <c r="C16" s="33">
        <f>C10-C15</f>
        <v>-175486.28571429</v>
      </c>
      <c r="D16" s="34">
        <f>D10-D15</f>
        <v>38005.80352381</v>
      </c>
      <c r="E16" s="34">
        <f>E10-E15</f>
        <v>108354.80967446</v>
      </c>
      <c r="F16" s="33">
        <f>F10-F15</f>
        <v>-239825.06778109</v>
      </c>
      <c r="G16" s="33">
        <f>G10-G15</f>
        <v>-1515735.12821206</v>
      </c>
    </row>
    <row r="17" spans="2:7" x14ac:dyDescent="0.25">
      <c r="B17" s="28" t="s">
        <v>142</v>
      </c>
      <c r="C17" s="35">
        <f>IF(C10&gt;0,C16/C10,0)</f>
        <v>-0.12410628</v>
      </c>
      <c r="D17" s="35">
        <f>IF(D10&gt;0,D16/D10,0)</f>
        <v>0.0168716</v>
      </c>
      <c r="E17" s="35">
        <f>IF(E10&gt;0,E16/E10,0)</f>
        <v>0.03238621</v>
      </c>
      <c r="F17" s="35">
        <f>IF(F10&gt;0,F16/F10,0)</f>
        <v>-0.05373766</v>
      </c>
      <c r="G17" s="35">
        <f>IF(G10&gt;0,G16/G10,0)</f>
        <v>-0.26899529</v>
      </c>
    </row>
    <row r="19" spans="2:7" x14ac:dyDescent="0.25">
      <c r="B19" s="28" t="s">
        <v>143</v>
      </c>
      <c r="C19" s="30">
        <f>'Cash Flow &amp; DSCR'!C9</f>
        <v>106628.61081549</v>
      </c>
      <c r="D19" s="30">
        <f>'Cash Flow &amp; DSCR'!D9</f>
        <v>106628.61081549</v>
      </c>
      <c r="E19" s="30">
        <f>'Cash Flow &amp; DSCR'!E9</f>
        <v>106628.61081549</v>
      </c>
      <c r="F19" s="30">
        <f>'Cash Flow &amp; DSCR'!F9</f>
        <v>106628.61081549</v>
      </c>
      <c r="G19" s="30">
        <f>'Cash Flow &amp; DSCR'!G9</f>
        <v>106628.61081549</v>
      </c>
    </row>
    <row r="21" spans="2:7" x14ac:dyDescent="0.25">
      <c r="B21" s="31" t="s">
        <v>144</v>
      </c>
      <c r="C21" s="33">
        <f>C16-C19</f>
        <v>-282114.89652978</v>
      </c>
      <c r="D21" s="33">
        <f>D16-D19</f>
        <v>-68622.80729168</v>
      </c>
      <c r="E21" s="34">
        <f>E16-E19</f>
        <v>1726.19885897</v>
      </c>
      <c r="F21" s="33">
        <f>F16-F19</f>
        <v>-346453.67859658</v>
      </c>
      <c r="G21" s="33">
        <f>G16-G19</f>
        <v>-1622363.73902756</v>
      </c>
    </row>
    <row r="22" spans="2:7" x14ac:dyDescent="0.25">
      <c r="B22" s="28" t="s">
        <v>145</v>
      </c>
      <c r="C22" s="35">
        <f>IF(C10&gt;0,C21/C10,0)</f>
        <v>-0.19951549</v>
      </c>
      <c r="D22" s="35">
        <f>IF(D10&gt;0,D21/D10,0)</f>
        <v>-0.03046315</v>
      </c>
      <c r="E22" s="35">
        <f>IF(E10&gt;0,E21/E10,0)</f>
        <v>0.00051594</v>
      </c>
      <c r="F22" s="35">
        <f>IF(F10&gt;0,F21/F10,0)</f>
        <v>-0.07762996</v>
      </c>
      <c r="G22" s="35">
        <f>IF(G10&gt;0,G21/G10,0)</f>
        <v>-0.28791851</v>
      </c>
    </row>
    <row r="24" spans="2:7" x14ac:dyDescent="0.25">
      <c r="B24" s="31" t="s">
        <v>146</v>
      </c>
      <c r="C24" s="36">
        <f>C21</f>
        <v>-282114.89652978</v>
      </c>
      <c r="D24" s="36">
        <f>C24+D21</f>
        <v>-350737.70382146</v>
      </c>
      <c r="E24" s="36">
        <f>D24+E21</f>
        <v>-349011.50496249</v>
      </c>
      <c r="F24" s="36">
        <f>E24+F21</f>
        <v>-695465.18355908</v>
      </c>
      <c r="G24" s="36">
        <f>F24+G21</f>
        <v>-2317828.92258663</v>
      </c>
    </row>
    <row r="25" spans="2:7" x14ac:dyDescent="0.25">
      <c r="B25" s="31" t="s">
        <v>147</v>
      </c>
      <c r="C25" s="37" t="s">
        <v>7</v>
      </c>
      <c r="D25" s="37" t="s">
        <v>7</v>
      </c>
      <c r="E25" s="37" t="s">
        <v>7</v>
      </c>
      <c r="F25" s="37" t="s">
        <v>7</v>
      </c>
      <c r="G25" s="37"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6"/>
      <c r="C3" s="27" t="s">
        <v>114</v>
      </c>
      <c r="D3" s="27" t="s">
        <v>115</v>
      </c>
      <c r="E3" s="27" t="s">
        <v>116</v>
      </c>
      <c r="F3" s="27" t="s">
        <v>117</v>
      </c>
      <c r="G3" s="27" t="s">
        <v>118</v>
      </c>
    </row>
    <row r="4" spans="2:7" x14ac:dyDescent="0.25">
      <c r="B4" s="31" t="s">
        <v>149</v>
      </c>
      <c r="C4" s="36" t="str">
        <f>Assumptions!D57</f>
        <v>0</v>
      </c>
      <c r="D4" s="36">
        <f>C16</f>
        <v>-282114.89652978</v>
      </c>
      <c r="E4" s="36">
        <f>D16</f>
        <v>-350737.70382146</v>
      </c>
      <c r="F4" s="36">
        <f>E16</f>
        <v>-349011.50496249</v>
      </c>
      <c r="G4" s="36">
        <f>F16</f>
        <v>-695465.18355908</v>
      </c>
    </row>
    <row r="5" spans="2:7" x14ac:dyDescent="0.25">
      <c r="B5" s="28" t="s">
        <v>150</v>
      </c>
      <c r="C5" s="30">
        <f>'5-Year P&amp;L'!C16</f>
        <v>-175486.28571429</v>
      </c>
      <c r="D5" s="30">
        <f>'5-Year P&amp;L'!D16</f>
        <v>38005.80352381</v>
      </c>
      <c r="E5" s="30">
        <f>'5-Year P&amp;L'!E16</f>
        <v>108354.80967446</v>
      </c>
      <c r="F5" s="30">
        <f>'5-Year P&amp;L'!F16</f>
        <v>-239825.06778109</v>
      </c>
      <c r="G5" s="30">
        <f>'5-Year P&amp;L'!G16</f>
        <v>-1515735.12821206</v>
      </c>
    </row>
    <row r="7" spans="2:7" x14ac:dyDescent="0.25">
      <c r="B7" s="28" t="s">
        <v>151</v>
      </c>
      <c r="C7" s="30">
        <f>Assumptions!D58</f>
        <v>60000</v>
      </c>
      <c r="D7" s="30">
        <f>Assumptions!D58</f>
        <v>60000</v>
      </c>
      <c r="E7" s="30">
        <f>Assumptions!D58</f>
        <v>60000</v>
      </c>
      <c r="F7" s="30">
        <f>Assumptions!D58</f>
        <v>60000</v>
      </c>
      <c r="G7" s="30">
        <f>Assumptions!D58</f>
        <v>60000</v>
      </c>
    </row>
    <row r="8" spans="2:7" x14ac:dyDescent="0.25">
      <c r="B8" s="28" t="s">
        <v>152</v>
      </c>
      <c r="C8" s="30">
        <f>IF(Assumptions!D59&gt;0,PMT(Assumptions!D60/12,Assumptions!D61*12,-Assumptions!D59)*12,0)</f>
        <v>46628.61081549</v>
      </c>
      <c r="D8" s="30">
        <f>IF(Assumptions!D59&gt;0,PMT(Assumptions!D60/12,Assumptions!D61*12,-Assumptions!D59)*12,0)</f>
        <v>46628.61081549</v>
      </c>
      <c r="E8" s="30">
        <f>IF(Assumptions!D59&gt;0,PMT(Assumptions!D60/12,Assumptions!D61*12,-Assumptions!D59)*12,0)</f>
        <v>46628.61081549</v>
      </c>
      <c r="F8" s="30">
        <f>IF(Assumptions!D59&gt;0,PMT(Assumptions!D60/12,Assumptions!D61*12,-Assumptions!D59)*12,0)</f>
        <v>46628.61081549</v>
      </c>
      <c r="G8" s="30">
        <f>IF(Assumptions!D59&gt;0,PMT(Assumptions!D60/12,Assumptions!D61*12,-Assumptions!D59)*12,0)</f>
        <v>46628.61081549</v>
      </c>
    </row>
    <row r="9" spans="2:7" x14ac:dyDescent="0.25">
      <c r="B9" s="31" t="s">
        <v>153</v>
      </c>
      <c r="C9" s="32">
        <f>C7+C8</f>
        <v>106628.61081549</v>
      </c>
      <c r="D9" s="32">
        <f>D7+D8</f>
        <v>106628.61081549</v>
      </c>
      <c r="E9" s="32">
        <f>E7+E8</f>
        <v>106628.61081549</v>
      </c>
      <c r="F9" s="32">
        <f>F7+F8</f>
        <v>106628.61081549</v>
      </c>
      <c r="G9" s="32">
        <f>G7+G8</f>
        <v>106628.61081549</v>
      </c>
    </row>
    <row r="11" spans="2:7" x14ac:dyDescent="0.25">
      <c r="B11" s="31" t="s">
        <v>154</v>
      </c>
      <c r="C11" s="38">
        <f>IF(C9&gt;0,C5/C9,IF(C5&gt;0,99.9,0))</f>
        <v>-1.6457711</v>
      </c>
      <c r="D11" s="38">
        <f>IF(D9&gt;0,D5/D9,IF(D5&gt;0,99.9,0))</f>
        <v>0.35643157</v>
      </c>
      <c r="E11" s="38">
        <f>IF(E9&gt;0,E5/E9,IF(E5&gt;0,99.9,0))</f>
        <v>1.01618889</v>
      </c>
      <c r="F11" s="38">
        <f>IF(F9&gt;0,F5/F9,IF(F5&gt;0,99.9,0))</f>
        <v>-2.24916245</v>
      </c>
      <c r="G11" s="38">
        <f>IF(G9&gt;0,G5/G9,IF(G5&gt;0,99.9,0))</f>
        <v>-14.2150884</v>
      </c>
    </row>
    <row r="13" spans="2:7" x14ac:dyDescent="0.25">
      <c r="B13" s="28" t="s">
        <v>155</v>
      </c>
      <c r="C13" s="30">
        <f>C5-C9</f>
        <v>-282114.89652978</v>
      </c>
      <c r="D13" s="30">
        <f>D5-D9</f>
        <v>-68622.80729168</v>
      </c>
      <c r="E13" s="30">
        <f>E5-E9</f>
        <v>1726.19885897</v>
      </c>
      <c r="F13" s="30">
        <f>F5-F9</f>
        <v>-346453.67859658</v>
      </c>
      <c r="G13" s="30">
        <f>G5-G9</f>
        <v>-1622363.73902756</v>
      </c>
    </row>
    <row r="14" spans="2:7" x14ac:dyDescent="0.25">
      <c r="B14" s="31" t="s">
        <v>156</v>
      </c>
      <c r="C14" s="36">
        <f>C5-C9</f>
        <v>-282114.89652978</v>
      </c>
      <c r="D14" s="36">
        <f>D5-D9</f>
        <v>-68622.80729168</v>
      </c>
      <c r="E14" s="36">
        <f>E5-E9</f>
        <v>1726.19885897</v>
      </c>
      <c r="F14" s="36">
        <f>F5-F9</f>
        <v>-346453.67859658</v>
      </c>
      <c r="G14" s="36">
        <f>G5-G9</f>
        <v>-1622363.73902756</v>
      </c>
    </row>
    <row r="16" spans="2:7" x14ac:dyDescent="0.25">
      <c r="B16" s="31" t="s">
        <v>157</v>
      </c>
      <c r="C16" s="33">
        <f>C4+C14</f>
        <v>-282114.89652978</v>
      </c>
      <c r="D16" s="33">
        <f>D4+D14</f>
        <v>-350737.70382146</v>
      </c>
      <c r="E16" s="33">
        <f>E4+E14</f>
        <v>-349011.50496249</v>
      </c>
      <c r="F16" s="33">
        <f>F4+F14</f>
        <v>-695465.18355908</v>
      </c>
      <c r="G16" s="33">
        <f>G4+G14</f>
        <v>-2317828.92258663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158</v>
      </c>
      <c r="C1" s="13"/>
      <c r="D1" s="13"/>
      <c r="E1" s="13"/>
      <c r="F1" s="13"/>
      <c r="G1" s="13"/>
    </row>
    <row r="3" ht="24" customHeight="1" spans="2:7" x14ac:dyDescent="0.25">
      <c r="B3" s="26"/>
      <c r="C3" s="27" t="s">
        <v>114</v>
      </c>
      <c r="D3" s="27" t="s">
        <v>115</v>
      </c>
      <c r="E3" s="27" t="s">
        <v>116</v>
      </c>
      <c r="F3" s="27" t="s">
        <v>117</v>
      </c>
      <c r="G3" s="27" t="s">
        <v>118</v>
      </c>
    </row>
    <row r="4" spans="2:7" x14ac:dyDescent="0.25">
      <c r="B4" s="28" t="s">
        <v>159</v>
      </c>
      <c r="C4" s="29">
        <f>Drivers!C12</f>
        <v>10</v>
      </c>
      <c r="D4" s="29">
        <f>Drivers!D12</f>
        <v>16</v>
      </c>
      <c r="E4" s="29">
        <f>Drivers!E12</f>
        <v>24</v>
      </c>
      <c r="F4" s="29">
        <f>Drivers!F12</f>
        <v>31</v>
      </c>
      <c r="G4" s="29">
        <f>Drivers!G12</f>
        <v>39</v>
      </c>
    </row>
    <row r="5" spans="2:7" x14ac:dyDescent="0.25">
      <c r="B5" s="28" t="s">
        <v>160</v>
      </c>
      <c r="C5" s="29">
        <f>Assumptions!D35</f>
        <v>5</v>
      </c>
      <c r="D5" s="29">
        <f>Assumptions!D36</f>
        <v>5</v>
      </c>
      <c r="E5" s="29">
        <f>Assumptions!D37</f>
        <v>5</v>
      </c>
      <c r="F5" s="29">
        <f>Assumptions!D38</f>
        <v>5</v>
      </c>
      <c r="G5" s="29">
        <f>Assumptions!D39</f>
        <v>5</v>
      </c>
    </row>
    <row r="6" spans="2:7" x14ac:dyDescent="0.25">
      <c r="B6" s="31" t="s">
        <v>161</v>
      </c>
      <c r="C6" s="39">
        <f>C4+C5</f>
        <v>15</v>
      </c>
      <c r="D6" s="39">
        <f>D4+D5</f>
        <v>21</v>
      </c>
      <c r="E6" s="39">
        <f>E4+E5</f>
        <v>29</v>
      </c>
      <c r="F6" s="39">
        <f>F4+F5</f>
        <v>36</v>
      </c>
      <c r="G6" s="39">
        <f>G4+G5</f>
        <v>44</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162</v>
      </c>
      <c r="C1" s="13"/>
    </row>
    <row r="3" spans="2:3" x14ac:dyDescent="0.25">
      <c r="B3" s="28" t="s">
        <v>163</v>
      </c>
      <c r="C3" s="30">
        <f>Assumptions!D59</f>
        <v>350000</v>
      </c>
    </row>
    <row r="4" spans="2:3" x14ac:dyDescent="0.25">
      <c r="B4" s="28" t="s">
        <v>164</v>
      </c>
      <c r="C4" s="35">
        <f>Assumptions!D60</f>
        <v>0.06</v>
      </c>
    </row>
    <row r="5" spans="2:3" x14ac:dyDescent="0.25">
      <c r="B5" s="28" t="s">
        <v>94</v>
      </c>
      <c r="C5" s="29">
        <f>Assumptions!D61</f>
        <v>10</v>
      </c>
    </row>
    <row r="6" spans="2:3" x14ac:dyDescent="0.25">
      <c r="B6" s="28" t="s">
        <v>165</v>
      </c>
      <c r="C6" s="36">
        <f>IF(Assumptions!D59&gt;0,PMT(Assumptions!D60/12,Assumptions!D61*12,-Assumptions!D59)*12,0)</f>
        <v>46628.61081549</v>
      </c>
    </row>
    <row r="8" spans="2:3" x14ac:dyDescent="0.25">
      <c r="B8" s="28" t="s">
        <v>166</v>
      </c>
      <c r="C8" s="38">
        <f>'Cash Flow &amp; DSCR'!C11</f>
        <v>-1.6457711</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167</v>
      </c>
      <c r="C1" s="13"/>
    </row>
    <row r="3" spans="2:3" x14ac:dyDescent="0.25">
      <c r="B3" s="28" t="s">
        <v>46</v>
      </c>
      <c r="C3" s="28" t="str">
        <f>Assumptions!D5</f>
        <v>Heritage Academy Charter</v>
      </c>
    </row>
    <row r="4" spans="2:3" x14ac:dyDescent="0.25">
      <c r="B4" s="28" t="s">
        <v>49</v>
      </c>
      <c r="C4" s="28" t="str">
        <f>Assumptions!D7</f>
        <v>Charter School</v>
      </c>
    </row>
    <row r="5" spans="2:3" x14ac:dyDescent="0.25">
      <c r="B5" s="28" t="s">
        <v>47</v>
      </c>
      <c r="C5" s="28" t="str">
        <f>Assumptions!D6</f>
        <v>AZ</v>
      </c>
    </row>
    <row r="6" spans="2:3" x14ac:dyDescent="0.25">
      <c r="B6" s="28" t="s">
        <v>168</v>
      </c>
      <c r="C6" s="28">
        <f>Assumptions!D8</f>
        <v>2026</v>
      </c>
    </row>
    <row r="8" spans="2:3" x14ac:dyDescent="0.25">
      <c r="B8" s="28" t="s">
        <v>57</v>
      </c>
      <c r="C8" s="29">
        <f>Assumptions!D16</f>
        <v>500</v>
      </c>
    </row>
    <row r="9" spans="2:3" x14ac:dyDescent="0.25">
      <c r="B9" s="28" t="s">
        <v>169</v>
      </c>
      <c r="C9" s="30">
        <f>Drivers!G10</f>
        <v>5634801.762</v>
      </c>
    </row>
    <row r="10" spans="2:3" x14ac:dyDescent="0.25">
      <c r="B10" s="28" t="s">
        <v>170</v>
      </c>
      <c r="C10" s="40">
        <f>'5-Year P&amp;L'!G16</f>
        <v>-1515735.12821206</v>
      </c>
    </row>
    <row r="12" ht="24" customHeight="1" spans="2:3" x14ac:dyDescent="0.25">
      <c r="B12" s="41" t="s">
        <v>171</v>
      </c>
      <c r="C12" s="26"/>
    </row>
    <row r="13" spans="2:3" x14ac:dyDescent="0.25">
      <c r="B13" s="28" t="s">
        <v>172</v>
      </c>
      <c r="C13" s="42">
        <f>IF(Drivers!G10&gt;0,'5-Year P&amp;L'!G21/Drivers!G10,0)</f>
        <v>-0.28791851</v>
      </c>
    </row>
    <row r="14" spans="2:3" x14ac:dyDescent="0.25">
      <c r="B14" s="28" t="s">
        <v>173</v>
      </c>
      <c r="C14" s="35">
        <f>IF(Drivers!G10&gt;0,Drivers!G16/Drivers!G10,0)</f>
        <v>0.51121464</v>
      </c>
    </row>
    <row r="15" spans="2:3" x14ac:dyDescent="0.25">
      <c r="B15" s="28" t="s">
        <v>174</v>
      </c>
      <c r="C15" s="30">
        <f>IF(Assumptions!D16&gt;0,Drivers!G10/Assumptions!D16,0)</f>
        <v>11270</v>
      </c>
    </row>
    <row r="16" spans="2:3" x14ac:dyDescent="0.25">
      <c r="B16" s="28" t="s">
        <v>175</v>
      </c>
      <c r="C16" s="30">
        <f>IF(Assumptions!D16&gt;0,('5-Year P&amp;L'!G12+'5-Year P&amp;L'!G13)/Assumptions!D16,0)</f>
        <v>14301</v>
      </c>
    </row>
    <row r="17" spans="2:3" x14ac:dyDescent="0.25">
      <c r="B17" s="28" t="s">
        <v>176</v>
      </c>
      <c r="C17" s="38">
        <f>'Cash Flow &amp; DSCR'!C11</f>
        <v>-1.6457711</v>
      </c>
    </row>
    <row r="18" spans="2:3" x14ac:dyDescent="0.25">
      <c r="B18" s="28" t="s">
        <v>177</v>
      </c>
      <c r="C18" s="38">
        <f>'Cash Flow &amp; DSCR'!G11</f>
        <v>-14.2150884</v>
      </c>
    </row>
    <row r="19" spans="2:3" x14ac:dyDescent="0.25">
      <c r="B19" s="28" t="s">
        <v>178</v>
      </c>
      <c r="C19" s="43">
        <v>0</v>
      </c>
    </row>
    <row r="21" spans="2:3" x14ac:dyDescent="0.25">
      <c r="B21" s="12" t="s">
        <v>179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180</v>
      </c>
      <c r="C1" s="13"/>
      <c r="D1" s="13"/>
      <c r="E1" s="13"/>
      <c r="F1" s="13"/>
      <c r="G1" s="13"/>
      <c r="H1" s="13"/>
    </row>
    <row r="2" ht="60" customHeight="1" spans="2:8" x14ac:dyDescent="0.25">
      <c r="B2" s="44" t="s">
        <v>181</v>
      </c>
      <c r="C2" s="44"/>
      <c r="D2" s="44"/>
      <c r="E2" s="44"/>
      <c r="F2" s="44"/>
      <c r="G2" s="44"/>
      <c r="H2" s="44"/>
    </row>
    <row r="4" ht="30" customHeight="1" spans="2:8" x14ac:dyDescent="0.25">
      <c r="B4" s="45" t="s">
        <v>182</v>
      </c>
      <c r="C4" s="45"/>
      <c r="D4" s="45"/>
      <c r="E4" s="45"/>
      <c r="F4" s="45"/>
      <c r="G4" s="45"/>
      <c r="H4" s="4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183</v>
      </c>
      <c r="C2" s="1"/>
      <c r="D2" s="1"/>
      <c r="E2" s="1"/>
      <c r="F2" s="1"/>
      <c r="G2" s="1"/>
      <c r="H2" s="1"/>
    </row>
    <row r="3" spans="2:8" x14ac:dyDescent="0.25">
      <c r="B3" s="12" t="s">
        <v>40</v>
      </c>
      <c r="C3" s="12"/>
      <c r="D3" s="12"/>
      <c r="E3" s="12"/>
      <c r="F3" s="12"/>
      <c r="G3" s="12"/>
      <c r="H3" s="12"/>
    </row>
    <row r="4" spans="2:6" x14ac:dyDescent="0.25">
      <c r="B4" s="46" t="s">
        <v>184</v>
      </c>
      <c r="D4" s="47" t="s">
        <v>185</v>
      </c>
      <c r="F4" s="48" t="s">
        <v>186</v>
      </c>
    </row>
    <row r="6" ht="24" customHeight="1" spans="2:8" x14ac:dyDescent="0.25">
      <c r="B6" s="49" t="s">
        <v>187</v>
      </c>
      <c r="C6" s="50" t="s">
        <v>114</v>
      </c>
      <c r="D6" s="50" t="s">
        <v>115</v>
      </c>
      <c r="E6" s="50" t="s">
        <v>116</v>
      </c>
      <c r="F6" s="50" t="s">
        <v>117</v>
      </c>
      <c r="G6" s="50" t="s">
        <v>118</v>
      </c>
      <c r="H6" s="50" t="s">
        <v>188</v>
      </c>
    </row>
    <row r="7" spans="2:7" x14ac:dyDescent="0.25">
      <c r="B7" s="28" t="s">
        <v>119</v>
      </c>
      <c r="C7" s="29">
        <v>120</v>
      </c>
      <c r="D7" s="29">
        <v>200</v>
      </c>
      <c r="E7" s="29">
        <v>300</v>
      </c>
      <c r="F7" s="29">
        <v>400</v>
      </c>
      <c r="G7" s="29">
        <v>500</v>
      </c>
    </row>
    <row r="8" spans="2:7" x14ac:dyDescent="0.25">
      <c r="B8" s="28" t="s">
        <v>189</v>
      </c>
      <c r="C8" s="30">
        <v>1414000</v>
      </c>
      <c r="D8" s="30">
        <v>2252650</v>
      </c>
      <c r="E8" s="30">
        <v>3345708</v>
      </c>
      <c r="F8" s="30">
        <v>4462886.32</v>
      </c>
      <c r="G8" s="30">
        <v>5634801.762</v>
      </c>
    </row>
    <row r="9" spans="2:7" x14ac:dyDescent="0.25">
      <c r="B9" s="28" t="s">
        <v>190</v>
      </c>
      <c r="C9" s="30">
        <v>985486.2857142857</v>
      </c>
      <c r="D9" s="30">
        <v>1350450.8631428573</v>
      </c>
      <c r="E9" s="30">
        <v>1851580.3737342858</v>
      </c>
      <c r="F9" s="30">
        <v>2322257.9411546146</v>
      </c>
      <c r="G9" s="30">
        <v>2880593.1775544523</v>
      </c>
    </row>
    <row r="10" spans="2:7" x14ac:dyDescent="0.25">
      <c r="B10" s="28" t="s">
        <v>191</v>
      </c>
      <c r="C10" s="30">
        <v>604000</v>
      </c>
      <c r="D10" s="30">
        <v>864193.3333333334</v>
      </c>
      <c r="E10" s="30">
        <v>1385772.8165912519</v>
      </c>
      <c r="F10" s="30">
        <v>2380453.4466264746</v>
      </c>
      <c r="G10" s="30">
        <v>4269943.712657611</v>
      </c>
    </row>
    <row r="11" spans="2:7" x14ac:dyDescent="0.25">
      <c r="B11" s="28" t="s">
        <v>192</v>
      </c>
      <c r="C11" s="30">
        <v>106628.6108154935</v>
      </c>
      <c r="D11" s="30">
        <v>106628.6108154935</v>
      </c>
      <c r="E11" s="30">
        <v>106628.6108154935</v>
      </c>
      <c r="F11" s="30">
        <v>106628.6108154935</v>
      </c>
      <c r="G11" s="30">
        <v>106628.6108154935</v>
      </c>
    </row>
    <row r="12" spans="2:7" x14ac:dyDescent="0.25">
      <c r="B12" s="31" t="s">
        <v>144</v>
      </c>
      <c r="C12" s="33">
        <v>-282114.8965297792</v>
      </c>
      <c r="D12" s="33">
        <v>-68622.80729168432</v>
      </c>
      <c r="E12" s="34">
        <v>1726.1988589687971</v>
      </c>
      <c r="F12" s="33">
        <v>-346453.6785965824</v>
      </c>
      <c r="G12" s="33">
        <v>-1622363.739027556</v>
      </c>
    </row>
    <row r="13" spans="2:7" x14ac:dyDescent="0.25">
      <c r="B13" s="31" t="s">
        <v>157</v>
      </c>
      <c r="C13" s="33">
        <v>-282114.8965297792</v>
      </c>
      <c r="D13" s="33">
        <v>-350737.7038214635</v>
      </c>
      <c r="E13" s="33">
        <v>-349011.5049624947</v>
      </c>
      <c r="F13" s="33">
        <v>-695465.1835590771</v>
      </c>
      <c r="G13" s="33">
        <v>-2317828.922586633</v>
      </c>
    </row>
    <row r="14" spans="2:7" x14ac:dyDescent="0.25">
      <c r="B14" s="31" t="s">
        <v>145</v>
      </c>
      <c r="C14" s="51">
        <v>-0.19951548552318188</v>
      </c>
      <c r="D14" s="51">
        <v>-0.03046314664581019</v>
      </c>
      <c r="E14" s="52">
        <v>0.0005159442661968101</v>
      </c>
      <c r="F14" s="51">
        <v>-0.07762995822770193</v>
      </c>
      <c r="G14" s="51">
        <v>-0.2879185120528036</v>
      </c>
    </row>
    <row r="15" spans="2:8" x14ac:dyDescent="0.25">
      <c r="B15" s="31" t="s">
        <v>193</v>
      </c>
      <c r="C15" s="53">
        <v>11783.333333333334</v>
      </c>
      <c r="D15" s="53">
        <v>11263.25</v>
      </c>
      <c r="E15" s="53">
        <v>11152.36</v>
      </c>
      <c r="F15" s="53">
        <v>11157.2158</v>
      </c>
      <c r="G15" s="53">
        <v>11269.603524</v>
      </c>
      <c r="H15" s="54" t="s">
        <v>194</v>
      </c>
    </row>
    <row r="16" spans="2:7" x14ac:dyDescent="0.25">
      <c r="B16" s="31" t="s">
        <v>195</v>
      </c>
      <c r="C16" s="36">
        <v>14134.290804414828</v>
      </c>
      <c r="D16" s="36">
        <v>11606.36403645842</v>
      </c>
      <c r="E16" s="36">
        <v>11146.606003803437</v>
      </c>
      <c r="F16" s="36">
        <v>12023.349996491457</v>
      </c>
      <c r="G16" s="36">
        <v>14514.331002055113</v>
      </c>
    </row>
    <row r="17" spans="2:7" x14ac:dyDescent="0.25">
      <c r="B17" s="28" t="s">
        <v>196</v>
      </c>
      <c r="C17" s="30">
        <v>650</v>
      </c>
      <c r="D17" s="30">
        <v>1116.6666666666667</v>
      </c>
      <c r="E17" s="30">
        <v>1918.3760683760688</v>
      </c>
      <c r="F17" s="30">
        <v>3295.671707210169</v>
      </c>
      <c r="G17" s="30">
        <v>5661.794984181573</v>
      </c>
    </row>
    <row r="18" spans="2:8" x14ac:dyDescent="0.25">
      <c r="B18" s="28" t="s">
        <v>197</v>
      </c>
      <c r="C18" s="55">
        <v>2683.3333333333335</v>
      </c>
      <c r="D18" s="53">
        <v>1658.3</v>
      </c>
      <c r="E18" s="53">
        <v>1138.6993333333332</v>
      </c>
      <c r="F18" s="53">
        <v>879.645235</v>
      </c>
      <c r="G18" s="53">
        <v>724.8276736400001</v>
      </c>
      <c r="H18" s="54" t="s">
        <v>198</v>
      </c>
    </row>
    <row r="19" spans="2:7" x14ac:dyDescent="0.25">
      <c r="B19" s="31" t="s">
        <v>199</v>
      </c>
      <c r="C19" s="40">
        <v>-2350.957471081493</v>
      </c>
      <c r="D19" s="40">
        <v>-343.1140364584216</v>
      </c>
      <c r="E19" s="56">
        <v>5.753996196562657</v>
      </c>
      <c r="F19" s="40">
        <v>-866.1341964914559</v>
      </c>
      <c r="G19" s="40">
        <v>-3244.727478055112</v>
      </c>
    </row>
    <row r="20" spans="2:8" x14ac:dyDescent="0.25">
      <c r="B20" s="31" t="s">
        <v>200</v>
      </c>
      <c r="C20" s="51">
        <v>0.6969492826833703</v>
      </c>
      <c r="D20" s="52">
        <v>0.5994943125398341</v>
      </c>
      <c r="E20" s="52">
        <v>0.5534195972076122</v>
      </c>
      <c r="F20" s="57">
        <v>0.5203488896294841</v>
      </c>
      <c r="G20" s="57">
        <v>0.5112146441389667</v>
      </c>
      <c r="H20" s="54" t="s">
        <v>201</v>
      </c>
    </row>
    <row r="21" spans="2:8" x14ac:dyDescent="0.25">
      <c r="B21" s="31" t="s">
        <v>202</v>
      </c>
      <c r="C21" s="51">
        <v>0.22772277227722773</v>
      </c>
      <c r="D21" s="57">
        <v>0.14723103899851286</v>
      </c>
      <c r="E21" s="57">
        <v>0.10210388952054393</v>
      </c>
      <c r="F21" s="57">
        <v>0.07884092687353057</v>
      </c>
      <c r="G21" s="57">
        <v>0.06431705180190153</v>
      </c>
      <c r="H21" s="54" t="s">
        <v>203</v>
      </c>
    </row>
    <row r="22" spans="2:8" x14ac:dyDescent="0.25">
      <c r="B22" s="31" t="s">
        <v>142</v>
      </c>
      <c r="C22" s="51">
        <v>-0.12410628409779752</v>
      </c>
      <c r="D22" s="52">
        <v>0.016871597240498658</v>
      </c>
      <c r="E22" s="52">
        <v>0.03238621232769336</v>
      </c>
      <c r="F22" s="51">
        <v>-0.0537376600220211</v>
      </c>
      <c r="G22" s="51">
        <v>-0.26899528896187336</v>
      </c>
      <c r="H22" s="54" t="s">
        <v>204</v>
      </c>
    </row>
    <row r="23" spans="2:8" x14ac:dyDescent="0.25">
      <c r="B23" s="31" t="s">
        <v>205</v>
      </c>
      <c r="C23" s="58">
        <v>3</v>
      </c>
      <c r="D23" s="58">
        <v>3</v>
      </c>
      <c r="E23" s="58">
        <v>3</v>
      </c>
      <c r="F23" s="58">
        <v>3</v>
      </c>
      <c r="G23" s="58">
        <v>3</v>
      </c>
      <c r="H23" s="54" t="s">
        <v>206</v>
      </c>
    </row>
    <row r="24" spans="2:8" x14ac:dyDescent="0.25">
      <c r="B24" s="31" t="s">
        <v>207</v>
      </c>
      <c r="C24" s="59">
        <v>-1.645771096258031</v>
      </c>
      <c r="D24" s="59">
        <v>0.35643157341300485</v>
      </c>
      <c r="E24" s="59">
        <v>1.0161888900715002</v>
      </c>
      <c r="F24" s="59">
        <v>-2.2491624522434597</v>
      </c>
      <c r="G24" s="59">
        <v>-14.215088395316705</v>
      </c>
      <c r="H24" s="54" t="s">
        <v>208</v>
      </c>
    </row>
    <row r="25" spans="2:8" x14ac:dyDescent="0.25">
      <c r="B25" s="31" t="s">
        <v>209</v>
      </c>
      <c r="C25" s="60" t="str">
        <f>IF('5-Year P&amp;L'!C24&gt;=0,"✓ Break-even","")</f>
        <v>0</v>
      </c>
      <c r="D25" s="60" t="str">
        <f>IF(AND('5-Year P&amp;L'!D24&gt;=0,'5-Year P&amp;L'!C24&lt;0),"✓ Break-even","")</f>
        <v>0</v>
      </c>
      <c r="E25" s="60" t="str">
        <f>IF(AND('5-Year P&amp;L'!E24&gt;=0,'5-Year P&amp;L'!D24&lt;0),"✓ Break-even","")</f>
        <v>0</v>
      </c>
      <c r="F25" s="60" t="str">
        <f>IF(AND('5-Year P&amp;L'!F24&gt;=0,'5-Year P&amp;L'!E24&lt;0),"✓ Break-even","")</f>
        <v>0</v>
      </c>
      <c r="G25" s="60" t="str">
        <f>IF(AND('5-Year P&amp;L'!G24&gt;=0,'5-Year P&amp;L'!F24&lt;0),"✓ Break-even","")</f>
        <v>0</v>
      </c>
      <c r="H25" s="54" t="s">
        <v>114</v>
      </c>
    </row>
    <row r="26" spans="2:8" x14ac:dyDescent="0.25">
      <c r="B26" s="31" t="s">
        <v>210</v>
      </c>
      <c r="C26" s="61">
        <v>-2</v>
      </c>
      <c r="D26" s="61">
        <v>-2</v>
      </c>
      <c r="E26" s="61">
        <v>-1</v>
      </c>
      <c r="F26" s="61">
        <v>-2</v>
      </c>
      <c r="G26" s="61">
        <v>-4</v>
      </c>
      <c r="H26" s="54" t="s">
        <v>211</v>
      </c>
    </row>
    <row r="27" spans="2:8" x14ac:dyDescent="0.25">
      <c r="B27" s="31" t="s">
        <v>212</v>
      </c>
      <c r="C27" s="61">
        <v>0</v>
      </c>
      <c r="D27" s="61">
        <v>0</v>
      </c>
      <c r="E27" s="61">
        <v>0</v>
      </c>
      <c r="F27" s="61">
        <v>0</v>
      </c>
      <c r="G27" s="61">
        <v>0</v>
      </c>
      <c r="H27" s="54" t="s">
        <v>213</v>
      </c>
    </row>
    <row r="29" ht="24" customHeight="1" spans="2:8" x14ac:dyDescent="0.25">
      <c r="B29" s="49" t="s">
        <v>214</v>
      </c>
      <c r="C29" s="49" t="s">
        <v>215</v>
      </c>
      <c r="D29" s="49" t="s">
        <v>216</v>
      </c>
      <c r="E29" s="49"/>
      <c r="F29" s="49" t="s">
        <v>217</v>
      </c>
      <c r="G29" s="49"/>
      <c r="H29" s="49"/>
    </row>
    <row r="30" ht="45" customHeight="1" spans="2:8" x14ac:dyDescent="0.25">
      <c r="B30" s="62" t="s">
        <v>218</v>
      </c>
      <c r="C30" s="63" t="s">
        <v>219</v>
      </c>
      <c r="D30" s="64" t="s">
        <v>220</v>
      </c>
      <c r="E30" s="64"/>
      <c r="F30" s="65" t="s">
        <v>221</v>
      </c>
      <c r="G30" s="65"/>
      <c r="H30" s="65"/>
    </row>
    <row r="31" ht="45" customHeight="1" spans="2:8" x14ac:dyDescent="0.25">
      <c r="B31" s="62" t="s">
        <v>222</v>
      </c>
      <c r="C31" s="63" t="s">
        <v>219</v>
      </c>
      <c r="D31" s="64" t="s">
        <v>223</v>
      </c>
      <c r="E31" s="64"/>
      <c r="F31" s="65" t="s">
        <v>224</v>
      </c>
      <c r="G31" s="65"/>
      <c r="H31" s="65"/>
    </row>
    <row r="32" ht="45" customHeight="1" spans="2:8" x14ac:dyDescent="0.25">
      <c r="B32" s="62" t="s">
        <v>225</v>
      </c>
      <c r="C32" s="66" t="s">
        <v>226</v>
      </c>
      <c r="D32" s="64" t="s">
        <v>227</v>
      </c>
      <c r="E32" s="64"/>
      <c r="F32" s="65" t="s">
        <v>228</v>
      </c>
      <c r="G32" s="65"/>
      <c r="H32" s="65"/>
    </row>
    <row r="33" ht="45" customHeight="1" spans="2:8" x14ac:dyDescent="0.25">
      <c r="B33" s="62" t="s">
        <v>229</v>
      </c>
      <c r="C33" s="66" t="s">
        <v>226</v>
      </c>
      <c r="D33" s="64" t="s">
        <v>230</v>
      </c>
      <c r="E33" s="64"/>
      <c r="F33" s="65" t="s">
        <v>231</v>
      </c>
      <c r="G33" s="65"/>
      <c r="H33" s="65"/>
    </row>
    <row r="34" ht="45" customHeight="1" spans="2:8" x14ac:dyDescent="0.25">
      <c r="B34" s="62" t="s">
        <v>232</v>
      </c>
      <c r="C34" s="63" t="s">
        <v>219</v>
      </c>
      <c r="D34" s="64" t="s">
        <v>233</v>
      </c>
      <c r="E34" s="64"/>
      <c r="F34" s="65" t="s">
        <v>234</v>
      </c>
      <c r="G34" s="65"/>
      <c r="H34" s="65"/>
    </row>
    <row r="35" ht="45" customHeight="1" spans="2:8" x14ac:dyDescent="0.25">
      <c r="B35" s="62" t="s">
        <v>235</v>
      </c>
      <c r="C35" s="66" t="s">
        <v>226</v>
      </c>
      <c r="D35" s="64" t="s">
        <v>236</v>
      </c>
      <c r="E35" s="64"/>
      <c r="F35" s="65" t="s">
        <v>237</v>
      </c>
      <c r="G35" s="65"/>
      <c r="H35" s="65"/>
    </row>
    <row r="36" ht="45" customHeight="1" spans="2:8" x14ac:dyDescent="0.25">
      <c r="B36" s="62" t="s">
        <v>238</v>
      </c>
      <c r="C36" s="63" t="s">
        <v>219</v>
      </c>
      <c r="D36" s="64" t="s">
        <v>239</v>
      </c>
      <c r="E36" s="64"/>
      <c r="F36" s="65" t="s">
        <v>240</v>
      </c>
      <c r="G36" s="65"/>
      <c r="H36" s="65"/>
    </row>
    <row r="38" spans="2:6" x14ac:dyDescent="0.25">
      <c r="B38" s="62" t="s">
        <v>39</v>
      </c>
      <c r="C38" s="31" t="s">
        <v>241</v>
      </c>
      <c r="D38" s="31"/>
      <c r="E38" s="31"/>
      <c r="F38" s="31"/>
    </row>
    <row r="40" spans="2:8" x14ac:dyDescent="0.25">
      <c r="B40" s="67" t="s">
        <v>242</v>
      </c>
      <c r="C40" s="67"/>
      <c r="D40" s="67"/>
      <c r="E40" s="67"/>
      <c r="F40" s="67"/>
      <c r="G40" s="67"/>
      <c r="H40" s="67"/>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2026-04-29T01:01:50Z</dcterms:created>
  <dcterms:modified xsi:type="dcterms:W3CDTF">2026-04-29T01:01:50Z</dcterms:modified>
</cp:coreProperties>
</file>