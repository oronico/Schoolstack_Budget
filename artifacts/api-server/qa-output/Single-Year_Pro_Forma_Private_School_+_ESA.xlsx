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ssumptions" state="visible" r:id="rId4"/>
    <sheet sheetId="2" name="Revenue" state="visible" r:id="rId5"/>
    <sheet sheetId="3" name="Personnel" state="visible" r:id="rId6"/>
    <sheet sheetId="4" name="Operating Expenses" state="visible" r:id="rId7"/>
    <sheet sheetId="5" name="P&amp;L Summary" state="visible" r:id="rId8"/>
  </sheets>
  <definedNames>
    <definedName name="_xlnm.Print_Area" localSheetId="0">'Assumptions'!$A1:$E11</definedName>
    <definedName name="_xlnm.Print_Titles" localSheetId="0">'Assumptions'!$1:$1</definedName>
    <definedName name="_xlnm.Print_Area" localSheetId="1">'Revenue'!$A1:$N9</definedName>
    <definedName name="_xlnm.Print_Titles" localSheetId="1">'Revenue'!$1:$1</definedName>
    <definedName name="_xlnm.Print_Area" localSheetId="2">'Personnel'!$A1:$N8</definedName>
    <definedName name="_xlnm.Print_Titles" localSheetId="2">'Personnel'!$1:$1</definedName>
    <definedName name="_xlnm.Print_Area" localSheetId="3">'Operating Expenses'!$A1:$N11</definedName>
    <definedName name="_xlnm.Print_Titles" localSheetId="3">'Operating Expenses'!$1:$1</definedName>
    <definedName name="_xlnm.Print_Area" localSheetId="4">'P&amp;L Summary'!$A1:$N7</definedName>
    <definedName name="_xlnm.Print_Titles" localSheetId="4">'P&amp;L Summary'!$1:$1</definedName>
  </definedNames>
  <calcPr calcId="171027"/>
</workbook>
</file>

<file path=xl/sharedStrings.xml><?xml version="1.0" encoding="utf-8"?>
<sst xmlns="http://schemas.openxmlformats.org/spreadsheetml/2006/main" count="101" uniqueCount="57">
  <si>
    <t>Year 1 Budget Assumptions</t>
  </si>
  <si>
    <t/>
  </si>
  <si>
    <t>Editable assumption — change this value</t>
  </si>
  <si>
    <t>Calculated — driven by formula</t>
  </si>
  <si>
    <t>School Name</t>
  </si>
  <si>
    <t>Heritage Academy</t>
  </si>
  <si>
    <t>School Type</t>
  </si>
  <si>
    <t>private_school</t>
  </si>
  <si>
    <t>KEY ASSUMPTIONS</t>
  </si>
  <si>
    <t>Enrollment</t>
  </si>
  <si>
    <t>Salary Escalation</t>
  </si>
  <si>
    <t>Cost Inflation</t>
  </si>
  <si>
    <t>Year 1 Proration Factor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</si>
  <si>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</si>
  <si>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</si>
  <si>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</si>
  <si>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</si>
  <si>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</si>
  <si>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</si>
  <si>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</si>
  <si>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</si>
  <si>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</si>
  <si>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</si>
  <si>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</si>
  <si>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</si>
  <si>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Year 1 Total</t>
  </si>
  <si>
    <t>Tuition</t>
  </si>
  <si>
    <t>Registration Fee</t>
  </si>
  <si>
    <t>Scholarship Discount</t>
  </si>
  <si>
    <t>FL FTC Scholarship</t>
  </si>
  <si>
    <t>Foundation Grant</t>
  </si>
  <si>
    <t>Annual Fund</t>
  </si>
  <si>
    <t>After-School Programs</t>
  </si>
  <si>
    <t>TOTAL REVENUE</t>
  </si>
  <si>
    <t>Head of School</t>
  </si>
  <si>
    <t>Assistant Principal</t>
  </si>
  <si>
    <t>Teachers</t>
  </si>
  <si>
    <t>Paraprofessionals</t>
  </si>
  <si>
    <t>Office Manager</t>
  </si>
  <si>
    <t>School Counselor</t>
  </si>
  <si>
    <t>TOTAL PERSONNEL</t>
  </si>
  <si>
    <t>Rent</t>
  </si>
  <si>
    <t>Utilities</t>
  </si>
  <si>
    <t>Insurance</t>
  </si>
  <si>
    <t>Maintenance</t>
  </si>
  <si>
    <t>Curriculum</t>
  </si>
  <si>
    <t>Technology</t>
  </si>
  <si>
    <t>Marketing</t>
  </si>
  <si>
    <t>Professional Development</t>
  </si>
  <si>
    <t>Accounting &amp; Legal</t>
  </si>
  <si>
    <t>TOTAL OPERATING EXPENSES</t>
  </si>
  <si>
    <t>Total Revenue</t>
  </si>
  <si>
    <t>Personnel</t>
  </si>
  <si>
    <t>Operating Expenses</t>
  </si>
  <si>
    <t>Capital &amp; Debt</t>
  </si>
  <si>
    <t>Total Expenses</t>
  </si>
  <si>
    <t>Net 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</si>
</sst>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;#,##0;&quot;-&quot;"/>
    <numFmt numFmtId="165" formatCode="0.0%"/>
    <numFmt numFmtId="166" formatCode="_(&quot;$&quot;* #,##0_);_(&quot;$&quot;* (#,##0);_(&quot;$&quot;* &quot;-&quot;??_);_(@_)"/>
  </numFmts>
  <fonts count="7" x14ac:knownFonts="1">
    <font>
      <color theme="1"/>
      <family val="2"/>
      <scheme val="minor"/>
      <sz val="11"/>
      <name val="Calibri"/>
    </font>
    <font>
      <b/>
      <color rgb="FF1E293B"/>
      <sz val="11"/>
      <name val="Calibri"/>
    </font>
    <font>
      <i/>
      <color rgb="FF666666"/>
      <sz val="11"/>
      <name val="Calibri"/>
    </font>
    <font>
      <sz val="11"/>
      <name val="Calibri"/>
    </font>
    <font>
      <color rgb="FF1E3A5F"/>
      <sz val="11"/>
      <name val="Calibri"/>
    </font>
    <font>
      <b/>
      <color rgb="FFFFFFFF"/>
      <sz val="11"/>
      <name val="Calibri"/>
    </font>
    <font>
      <b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E8EDF2"/>
      </patternFill>
    </fill>
    <fill>
      <patternFill patternType="solid">
        <fgColor rgb="FFDBEAFE"/>
      </patternFill>
    </fill>
    <fill>
      <patternFill patternType="solid">
        <fgColor rgb="FFFFFFFF"/>
      </patternFill>
    </fill>
    <fill>
      <patternFill patternType="solid">
        <fgColor rgb="FF1E293B"/>
      </patternFill>
    </fill>
    <fill>
      <patternFill patternType="solid">
        <fgColor rgb="FFE8F5E9"/>
      </patternFill>
    </fill>
  </fills>
  <borders count="5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/>
      <right/>
      <top/>
      <bottom style="thin">
        <color rgb="FF93C5FD"/>
      </bottom>
      <diagonal/>
    </border>
    <border>
      <left/>
      <right/>
      <top/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rgb="FF1E293B"/>
      </top>
      <bottom style="double">
        <color rgb="FF1E293B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/>
    <xf numFmtId="0" fontId="0" fillId="3" borderId="2" xfId="0" applyFill="1" applyBorder="1"/>
    <xf numFmtId="0" fontId="2" fillId="0" borderId="0" xfId="0" applyFont="1"/>
    <xf numFmtId="0" fontId="0" fillId="4" borderId="3" xfId="0" applyFill="1" applyBorder="1"/>
    <xf numFmtId="0" fontId="3" fillId="0" borderId="0" xfId="0" applyFont="1"/>
    <xf numFmtId="164" fontId="4" fillId="3" borderId="2" xfId="0" applyNumberFormat="1" applyFont="1" applyFill="1" applyBorder="1"/>
    <xf numFmtId="165" fontId="4" fillId="3" borderId="2" xfId="0" applyNumberFormat="1" applyFont="1" applyFill="1" applyBorder="1"/>
    <xf numFmtId="2" fontId="4" fillId="3" borderId="2" xfId="0" applyNumberFormat="1" applyFont="1" applyFill="1" applyBorder="1"/>
    <xf numFmtId="0" fontId="5" fillId="5" borderId="1" xfId="0" applyFont="1" applyFill="1" applyBorder="1" applyAlignment="1">
      <alignment horizontal="center" vertical="center"/>
    </xf>
    <xf numFmtId="166" fontId="3" fillId="0" borderId="1" xfId="0" applyNumberFormat="1" applyFont="1" applyBorder="1"/>
    <xf numFmtId="166" fontId="6" fillId="2" borderId="1" xfId="0" applyNumberFormat="1" applyFont="1" applyFill="1" applyBorder="1"/>
    <xf numFmtId="0" fontId="6" fillId="0" borderId="0" xfId="0" applyFont="1"/>
    <xf numFmtId="166" fontId="6" fillId="0" borderId="1" xfId="0" applyNumberFormat="1" applyFont="1" applyBorder="1"/>
    <xf numFmtId="166" fontId="6" fillId="2" borderId="4" xfId="0" applyNumberFormat="1" applyFont="1" applyFill="1" applyBorder="1"/>
    <xf numFmtId="166" fontId="6" fillId="6" borderId="4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11"/>
  <sheetViews>
    <sheetView workbookViewId="0">
      <pane xSplit="1" ySplit="1" topLeftCell="B2" activePane="bottomRight" state="frozen"/>
      <selection pane="bottomRight" activeCell="B2" sqref="B2"/>
    </sheetView>
  </sheetViews>
  <sheetFormatPr defaultRowHeight="15" outlineLevelRow="0" outlineLevelCol="0" x14ac:dyDescent="55"/>
  <cols>
    <col min="1" max="1" width="35" customWidth="1"/>
    <col min="2" max="2" width="20" customWidth="1"/>
  </cols>
  <sheetData>
    <row r="1" ht="24" customHeight="1" spans="1:2" x14ac:dyDescent="0.25">
      <c r="A1" s="1" t="s">
        <v>0</v>
      </c>
      <c r="B1" s="1"/>
    </row>
    <row r="2" spans="1:5" x14ac:dyDescent="0.25">
      <c r="A2" s="2" t="s">
        <v>1</v>
      </c>
      <c r="B2" s="3" t="s">
        <v>2</v>
      </c>
      <c r="D2" s="4" t="s">
        <v>1</v>
      </c>
      <c r="E2" s="3" t="s">
        <v>3</v>
      </c>
    </row>
    <row r="4" spans="1:2" x14ac:dyDescent="0.25">
      <c r="A4" s="5" t="s">
        <v>4</v>
      </c>
      <c r="B4" t="s">
        <v>5</v>
      </c>
    </row>
    <row r="5" spans="1:2" x14ac:dyDescent="0.25">
      <c r="A5" s="5" t="s">
        <v>6</v>
      </c>
      <c r="B5" t="s">
        <v>7</v>
      </c>
    </row>
    <row r="7" ht="24" customHeight="1" spans="1:2" x14ac:dyDescent="0.25">
      <c r="A7" s="1" t="s">
        <v>8</v>
      </c>
      <c r="B7" s="1"/>
    </row>
    <row r="8" spans="1:2" x14ac:dyDescent="0.25">
      <c r="A8" s="5" t="s">
        <v>9</v>
      </c>
      <c r="B8" s="6">
        <v>100</v>
      </c>
    </row>
    <row r="9" spans="1:2" x14ac:dyDescent="0.25">
      <c r="A9" s="5" t="s">
        <v>10</v>
      </c>
      <c r="B9" s="7">
        <v>0</v>
      </c>
    </row>
    <row r="10" spans="1:2" x14ac:dyDescent="0.25">
      <c r="A10" s="5" t="s">
        <v>11</v>
      </c>
      <c r="B10" s="7">
        <v>0</v>
      </c>
    </row>
    <row r="11" spans="1:2" x14ac:dyDescent="0.25">
      <c r="A11" s="5" t="s">
        <v>12</v>
      </c>
      <c r="B11" s="8">
        <v>1</v>
      </c>
    </row>
  </sheetData>
  <pageMargins left="0.7" right="0.7" top="0.75" bottom="0.75" header="0.3" footer="0.3"/>
  <pageSetup paperSize="1" orientation="portrait" horizontalDpi="4294967295" verticalDpi="4294967295" scale="100" fitToWidth="1" fitToHeight="0"/>
  <headerFooter>
    <oddHeader>&amp;L&amp;10&amp;BHeritage Academy&amp;R&amp;8&amp;IAssumptions</oddHeader>
    <oddFooter>&amp;L&amp;8Built by SchoolStack Budget  •  budget.schoolstack.ai&amp;C&amp;8Page &amp;P of &amp;N&amp;R&amp;8&amp;D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9"/>
  <sheetViews>
    <sheetView workbookViewId="0">
      <pane xSplit="1" ySplit="1" topLeftCell="B2" activePane="bottomRight" state="frozen"/>
      <selection pane="bottomRight" activeCell="B2" sqref="B2"/>
    </sheetView>
  </sheetViews>
  <sheetFormatPr defaultRowHeight="15" outlineLevelRow="0" outlineLevelCol="0" x14ac:dyDescent="55"/>
  <cols>
    <col min="1" max="1" width="30" customWidth="1"/>
    <col min="2" max="13" width="14" customWidth="1"/>
    <col min="14" max="14" width="16" customWidth="1"/>
  </cols>
  <sheetData>
    <row r="1" ht="28" customHeight="1" spans="1:14" x14ac:dyDescent="0.25">
      <c r="A1" s="9" t="s">
        <v>1</v>
      </c>
      <c r="B1" s="9" t="s">
        <v>13</v>
      </c>
      <c r="C1" s="9" t="s">
        <v>14</v>
      </c>
      <c r="D1" s="9" t="s">
        <v>15</v>
      </c>
      <c r="E1" s="9" t="s">
        <v>16</v>
      </c>
      <c r="F1" s="9" t="s">
        <v>17</v>
      </c>
      <c r="G1" s="9" t="s">
        <v>18</v>
      </c>
      <c r="H1" s="9" t="s">
        <v>19</v>
      </c>
      <c r="I1" s="9" t="s">
        <v>20</v>
      </c>
      <c r="J1" s="9" t="s">
        <v>21</v>
      </c>
      <c r="K1" s="9" t="s">
        <v>22</v>
      </c>
      <c r="L1" s="9" t="s">
        <v>23</v>
      </c>
      <c r="M1" s="9" t="s">
        <v>24</v>
      </c>
      <c r="N1" s="9" t="s">
        <v>25</v>
      </c>
    </row>
    <row r="2" spans="1:14" x14ac:dyDescent="0.25">
      <c r="A2" s="5" t="s">
        <v>26</v>
      </c>
      <c r="B2" s="10">
        <v>87500</v>
      </c>
      <c r="C2" s="10">
        <v>87500</v>
      </c>
      <c r="D2" s="10">
        <v>87500</v>
      </c>
      <c r="E2" s="10">
        <v>87500</v>
      </c>
      <c r="F2" s="10">
        <v>87500</v>
      </c>
      <c r="G2" s="10">
        <v>87500</v>
      </c>
      <c r="H2" s="10">
        <v>87500</v>
      </c>
      <c r="I2" s="10">
        <v>87500</v>
      </c>
      <c r="J2" s="10">
        <v>87500</v>
      </c>
      <c r="K2" s="10">
        <v>87500</v>
      </c>
      <c r="L2" s="10">
        <v>87500</v>
      </c>
      <c r="M2" s="10">
        <v>87500</v>
      </c>
      <c r="N2" s="10">
        <f>SUM(B2:M2)</f>
        <v>1050000</v>
      </c>
    </row>
    <row r="3" spans="1:14" x14ac:dyDescent="0.25">
      <c r="A3" s="5" t="s">
        <v>27</v>
      </c>
      <c r="B3" s="10">
        <v>2917</v>
      </c>
      <c r="C3" s="10">
        <v>2917</v>
      </c>
      <c r="D3" s="10">
        <v>2917</v>
      </c>
      <c r="E3" s="10">
        <v>2917</v>
      </c>
      <c r="F3" s="10">
        <v>2917</v>
      </c>
      <c r="G3" s="10">
        <v>2917</v>
      </c>
      <c r="H3" s="10">
        <v>2917</v>
      </c>
      <c r="I3" s="10">
        <v>2917</v>
      </c>
      <c r="J3" s="10">
        <v>2917</v>
      </c>
      <c r="K3" s="10">
        <v>2917</v>
      </c>
      <c r="L3" s="10">
        <v>2917</v>
      </c>
      <c r="M3" s="10">
        <v>2917</v>
      </c>
      <c r="N3" s="10">
        <f>SUM(B3:M3)</f>
        <v>35000</v>
      </c>
    </row>
    <row r="4" spans="1:14" x14ac:dyDescent="0.25">
      <c r="A4" s="5" t="s">
        <v>28</v>
      </c>
      <c r="B4" s="10">
        <v>-8750</v>
      </c>
      <c r="C4" s="10">
        <v>-8750</v>
      </c>
      <c r="D4" s="10">
        <v>-8750</v>
      </c>
      <c r="E4" s="10">
        <v>-8750</v>
      </c>
      <c r="F4" s="10">
        <v>-8750</v>
      </c>
      <c r="G4" s="10">
        <v>-8750</v>
      </c>
      <c r="H4" s="10">
        <v>-8750</v>
      </c>
      <c r="I4" s="10">
        <v>-8750</v>
      </c>
      <c r="J4" s="10">
        <v>-8750</v>
      </c>
      <c r="K4" s="10">
        <v>-8750</v>
      </c>
      <c r="L4" s="10">
        <v>-8750</v>
      </c>
      <c r="M4" s="10">
        <v>-8750</v>
      </c>
      <c r="N4" s="10">
        <f>SUM(B4:M4)</f>
        <v>-105000</v>
      </c>
    </row>
    <row r="5" spans="1:14" x14ac:dyDescent="0.25">
      <c r="A5" s="5" t="s">
        <v>29</v>
      </c>
      <c r="B5" s="10">
        <v>72500</v>
      </c>
      <c r="C5" s="10">
        <v>72500</v>
      </c>
      <c r="D5" s="10">
        <v>72500</v>
      </c>
      <c r="E5" s="10">
        <v>72500</v>
      </c>
      <c r="F5" s="10">
        <v>72500</v>
      </c>
      <c r="G5" s="10">
        <v>72500</v>
      </c>
      <c r="H5" s="10">
        <v>72500</v>
      </c>
      <c r="I5" s="10">
        <v>72500</v>
      </c>
      <c r="J5" s="10">
        <v>72500</v>
      </c>
      <c r="K5" s="10">
        <v>72500</v>
      </c>
      <c r="L5" s="10">
        <v>72500</v>
      </c>
      <c r="M5" s="10">
        <v>72500</v>
      </c>
      <c r="N5" s="10">
        <f>SUM(B5:M5)</f>
        <v>870000</v>
      </c>
    </row>
    <row r="6" spans="1:14" x14ac:dyDescent="0.25">
      <c r="A6" s="5" t="s">
        <v>30</v>
      </c>
      <c r="B6" s="10">
        <v>4167</v>
      </c>
      <c r="C6" s="10">
        <v>4167</v>
      </c>
      <c r="D6" s="10">
        <v>4167</v>
      </c>
      <c r="E6" s="10">
        <v>4167</v>
      </c>
      <c r="F6" s="10">
        <v>4167</v>
      </c>
      <c r="G6" s="10">
        <v>4167</v>
      </c>
      <c r="H6" s="10">
        <v>4167</v>
      </c>
      <c r="I6" s="10">
        <v>4167</v>
      </c>
      <c r="J6" s="10">
        <v>4167</v>
      </c>
      <c r="K6" s="10">
        <v>4167</v>
      </c>
      <c r="L6" s="10">
        <v>4167</v>
      </c>
      <c r="M6" s="10">
        <v>4167</v>
      </c>
      <c r="N6" s="10">
        <f>SUM(B6:M6)</f>
        <v>50000</v>
      </c>
    </row>
    <row r="7" spans="1:14" x14ac:dyDescent="0.25">
      <c r="A7" s="5" t="s">
        <v>31</v>
      </c>
      <c r="B7" s="10">
        <v>2083</v>
      </c>
      <c r="C7" s="10">
        <v>2083</v>
      </c>
      <c r="D7" s="10">
        <v>2083</v>
      </c>
      <c r="E7" s="10">
        <v>2083</v>
      </c>
      <c r="F7" s="10">
        <v>2083</v>
      </c>
      <c r="G7" s="10">
        <v>2083</v>
      </c>
      <c r="H7" s="10">
        <v>2083</v>
      </c>
      <c r="I7" s="10">
        <v>2083</v>
      </c>
      <c r="J7" s="10">
        <v>2083</v>
      </c>
      <c r="K7" s="10">
        <v>2083</v>
      </c>
      <c r="L7" s="10">
        <v>2083</v>
      </c>
      <c r="M7" s="10">
        <v>2083</v>
      </c>
      <c r="N7" s="10">
        <f>SUM(B7:M7)</f>
        <v>25000</v>
      </c>
    </row>
    <row r="8" spans="1:14" x14ac:dyDescent="0.25">
      <c r="A8" s="5" t="s">
        <v>32</v>
      </c>
      <c r="B8" s="10">
        <v>4167</v>
      </c>
      <c r="C8" s="10">
        <v>4167</v>
      </c>
      <c r="D8" s="10">
        <v>4167</v>
      </c>
      <c r="E8" s="10">
        <v>4167</v>
      </c>
      <c r="F8" s="10">
        <v>4167</v>
      </c>
      <c r="G8" s="10">
        <v>4167</v>
      </c>
      <c r="H8" s="10">
        <v>4167</v>
      </c>
      <c r="I8" s="10">
        <v>4167</v>
      </c>
      <c r="J8" s="10">
        <v>4167</v>
      </c>
      <c r="K8" s="10">
        <v>4167</v>
      </c>
      <c r="L8" s="10">
        <v>4167</v>
      </c>
      <c r="M8" s="10">
        <v>4167</v>
      </c>
      <c r="N8" s="10">
        <f>SUM(B8:M8)</f>
        <v>50000</v>
      </c>
    </row>
    <row r="9" ht="24" customHeight="1" spans="1:14" x14ac:dyDescent="0.25">
      <c r="A9" s="1" t="s">
        <v>33</v>
      </c>
      <c r="B9" s="11">
        <f>SUM(B2:B8)</f>
        <v>1167917</v>
      </c>
      <c r="C9" s="11">
        <f>SUM(C2:C8)</f>
        <v>72417</v>
      </c>
      <c r="D9" s="11">
        <f>SUM(D2:D8)</f>
        <v>72417</v>
      </c>
      <c r="E9" s="11">
        <f>SUM(E2:E8)</f>
        <v>72417</v>
      </c>
      <c r="F9" s="11">
        <f>SUM(F2:F8)</f>
        <v>72417</v>
      </c>
      <c r="G9" s="11">
        <f>SUM(G2:G8)</f>
        <v>72417</v>
      </c>
      <c r="H9" s="11">
        <f>SUM(H2:H8)</f>
        <v>72417</v>
      </c>
      <c r="I9" s="11">
        <f>SUM(I2:I8)</f>
        <v>72417</v>
      </c>
      <c r="J9" s="11">
        <f>SUM(J2:J8)</f>
        <v>72417</v>
      </c>
      <c r="K9" s="11">
        <f>SUM(K2:K8)</f>
        <v>72417</v>
      </c>
      <c r="L9" s="11">
        <f>SUM(L2:L8)</f>
        <v>72417</v>
      </c>
      <c r="M9" s="11">
        <f>SUM(M2:M8)</f>
        <v>82917</v>
      </c>
      <c r="N9" s="11">
        <f>SUM(B9:M9)</f>
        <v>1975004</v>
      </c>
    </row>
  </sheetData>
  <pageMargins left="0.7" right="0.7" top="0.75" bottom="0.75" header="0.3" footer="0.3"/>
  <pageSetup paperSize="1" orientation="portrait" horizontalDpi="4294967295" verticalDpi="4294967295" scale="100" fitToWidth="1" fitToHeight="0"/>
  <headerFooter>
    <oddHeader>&amp;L&amp;10&amp;BHeritage Academy&amp;R&amp;8&amp;IRevenue</oddHeader>
    <oddFooter>&amp;L&amp;8Built by SchoolStack Budget  •  budget.schoolstack.ai&amp;C&amp;8Page &amp;P of &amp;N&amp;R&amp;8&amp;D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8"/>
  <sheetViews>
    <sheetView workbookViewId="0">
      <pane xSplit="1" ySplit="1" topLeftCell="B2" activePane="bottomRight" state="frozen"/>
      <selection pane="bottomRight" activeCell="B2" sqref="B2"/>
    </sheetView>
  </sheetViews>
  <sheetFormatPr defaultRowHeight="15" outlineLevelRow="0" outlineLevelCol="0" x14ac:dyDescent="55"/>
  <cols>
    <col min="1" max="1" width="30" customWidth="1"/>
    <col min="2" max="13" width="14" customWidth="1"/>
    <col min="14" max="14" width="16" customWidth="1"/>
  </cols>
  <sheetData>
    <row r="1" ht="28" customHeight="1" spans="1:14" x14ac:dyDescent="0.25">
      <c r="A1" s="9" t="s">
        <v>1</v>
      </c>
      <c r="B1" s="9" t="s">
        <v>13</v>
      </c>
      <c r="C1" s="9" t="s">
        <v>14</v>
      </c>
      <c r="D1" s="9" t="s">
        <v>15</v>
      </c>
      <c r="E1" s="9" t="s">
        <v>16</v>
      </c>
      <c r="F1" s="9" t="s">
        <v>17</v>
      </c>
      <c r="G1" s="9" t="s">
        <v>18</v>
      </c>
      <c r="H1" s="9" t="s">
        <v>19</v>
      </c>
      <c r="I1" s="9" t="s">
        <v>20</v>
      </c>
      <c r="J1" s="9" t="s">
        <v>21</v>
      </c>
      <c r="K1" s="9" t="s">
        <v>22</v>
      </c>
      <c r="L1" s="9" t="s">
        <v>23</v>
      </c>
      <c r="M1" s="9" t="s">
        <v>24</v>
      </c>
      <c r="N1" s="9" t="s">
        <v>25</v>
      </c>
    </row>
    <row r="2" spans="1:14" x14ac:dyDescent="0.25">
      <c r="A2" s="5" t="s">
        <v>34</v>
      </c>
      <c r="B2" s="10">
        <v>266396</v>
      </c>
      <c r="C2" s="10">
        <v>266396</v>
      </c>
      <c r="D2" s="10">
        <v>266396</v>
      </c>
      <c r="E2" s="10">
        <v>266396</v>
      </c>
      <c r="F2" s="10">
        <v>266396</v>
      </c>
      <c r="G2" s="10">
        <v>266396</v>
      </c>
      <c r="H2" s="10">
        <v>266396</v>
      </c>
      <c r="I2" s="10">
        <v>266396</v>
      </c>
      <c r="J2" s="10">
        <v>266396</v>
      </c>
      <c r="K2" s="10">
        <v>266396</v>
      </c>
      <c r="L2" s="10">
        <v>266396</v>
      </c>
      <c r="M2" s="10">
        <v>266396</v>
      </c>
      <c r="N2" s="10">
        <f>SUM(B2:M2)</f>
        <v>3196750</v>
      </c>
    </row>
    <row r="3" spans="1:14" x14ac:dyDescent="0.25">
      <c r="A3" s="5" t="s">
        <v>35</v>
      </c>
      <c r="B3" s="10">
        <v>210313</v>
      </c>
      <c r="C3" s="10">
        <v>210313</v>
      </c>
      <c r="D3" s="10">
        <v>210313</v>
      </c>
      <c r="E3" s="10">
        <v>210313</v>
      </c>
      <c r="F3" s="10">
        <v>210313</v>
      </c>
      <c r="G3" s="10">
        <v>210313</v>
      </c>
      <c r="H3" s="10">
        <v>210313</v>
      </c>
      <c r="I3" s="10">
        <v>210313</v>
      </c>
      <c r="J3" s="10">
        <v>210313</v>
      </c>
      <c r="K3" s="10">
        <v>210313</v>
      </c>
      <c r="L3" s="10">
        <v>210313</v>
      </c>
      <c r="M3" s="10">
        <v>210313</v>
      </c>
      <c r="N3" s="10">
        <f>SUM(B3:M3)</f>
        <v>2523750</v>
      </c>
    </row>
    <row r="4" spans="1:14" x14ac:dyDescent="0.25">
      <c r="A4" s="5" t="s">
        <v>36</v>
      </c>
      <c r="B4" s="10">
        <v>807600</v>
      </c>
      <c r="C4" s="10">
        <v>807600</v>
      </c>
      <c r="D4" s="10">
        <v>807600</v>
      </c>
      <c r="E4" s="10">
        <v>807600</v>
      </c>
      <c r="F4" s="10">
        <v>807600</v>
      </c>
      <c r="G4" s="10">
        <v>807600</v>
      </c>
      <c r="H4" s="10">
        <v>807600</v>
      </c>
      <c r="I4" s="10">
        <v>807600</v>
      </c>
      <c r="J4" s="10">
        <v>807600</v>
      </c>
      <c r="K4" s="10">
        <v>807600</v>
      </c>
      <c r="L4" s="10">
        <v>807600</v>
      </c>
      <c r="M4" s="10">
        <v>807600</v>
      </c>
      <c r="N4" s="10">
        <f>SUM(B4:M4)</f>
        <v>9691200</v>
      </c>
    </row>
    <row r="5" spans="1:14" x14ac:dyDescent="0.25">
      <c r="A5" s="5" t="s">
        <v>37</v>
      </c>
      <c r="B5" s="10">
        <v>229200</v>
      </c>
      <c r="C5" s="10">
        <v>229200</v>
      </c>
      <c r="D5" s="10">
        <v>229200</v>
      </c>
      <c r="E5" s="10">
        <v>229200</v>
      </c>
      <c r="F5" s="10">
        <v>229200</v>
      </c>
      <c r="G5" s="10">
        <v>229200</v>
      </c>
      <c r="H5" s="10">
        <v>229200</v>
      </c>
      <c r="I5" s="10">
        <v>229200</v>
      </c>
      <c r="J5" s="10">
        <v>229200</v>
      </c>
      <c r="K5" s="10">
        <v>229200</v>
      </c>
      <c r="L5" s="10">
        <v>229200</v>
      </c>
      <c r="M5" s="10">
        <v>229200</v>
      </c>
      <c r="N5" s="10">
        <f>SUM(B5:M5)</f>
        <v>2750400</v>
      </c>
    </row>
    <row r="6" spans="1:14" x14ac:dyDescent="0.25">
      <c r="A6" s="5" t="s">
        <v>38</v>
      </c>
      <c r="B6" s="10">
        <v>117775</v>
      </c>
      <c r="C6" s="10">
        <v>117775</v>
      </c>
      <c r="D6" s="10">
        <v>117775</v>
      </c>
      <c r="E6" s="10">
        <v>117775</v>
      </c>
      <c r="F6" s="10">
        <v>117775</v>
      </c>
      <c r="G6" s="10">
        <v>117775</v>
      </c>
      <c r="H6" s="10">
        <v>117775</v>
      </c>
      <c r="I6" s="10">
        <v>117775</v>
      </c>
      <c r="J6" s="10">
        <v>117775</v>
      </c>
      <c r="K6" s="10">
        <v>117775</v>
      </c>
      <c r="L6" s="10">
        <v>117775</v>
      </c>
      <c r="M6" s="10">
        <v>117775</v>
      </c>
      <c r="N6" s="10">
        <f>SUM(B6:M6)</f>
        <v>1413300</v>
      </c>
    </row>
    <row r="7" spans="1:14" x14ac:dyDescent="0.25">
      <c r="A7" s="5" t="s">
        <v>39</v>
      </c>
      <c r="B7" s="10">
        <v>145817</v>
      </c>
      <c r="C7" s="10">
        <v>145817</v>
      </c>
      <c r="D7" s="10">
        <v>145817</v>
      </c>
      <c r="E7" s="10">
        <v>145817</v>
      </c>
      <c r="F7" s="10">
        <v>145817</v>
      </c>
      <c r="G7" s="10">
        <v>145817</v>
      </c>
      <c r="H7" s="10">
        <v>145817</v>
      </c>
      <c r="I7" s="10">
        <v>145817</v>
      </c>
      <c r="J7" s="10">
        <v>145817</v>
      </c>
      <c r="K7" s="10">
        <v>145817</v>
      </c>
      <c r="L7" s="10">
        <v>145817</v>
      </c>
      <c r="M7" s="10">
        <v>145817</v>
      </c>
      <c r="N7" s="10">
        <f>SUM(B7:M7)</f>
        <v>1749800</v>
      </c>
    </row>
    <row r="8" ht="24" customHeight="1" spans="1:14" x14ac:dyDescent="0.25">
      <c r="A8" s="1" t="s">
        <v>40</v>
      </c>
      <c r="B8" s="11" t="str">
        <f>SUM(B2:B7)</f>
        <v>0</v>
      </c>
      <c r="C8" s="11" t="str">
        <f>SUM(C2:C7)</f>
        <v>0</v>
      </c>
      <c r="D8" s="11" t="str">
        <f>SUM(D2:D7)</f>
        <v>0</v>
      </c>
      <c r="E8" s="11" t="str">
        <f>SUM(E2:E7)</f>
        <v>0</v>
      </c>
      <c r="F8" s="11" t="str">
        <f>SUM(F2:F7)</f>
        <v>0</v>
      </c>
      <c r="G8" s="11" t="str">
        <f>SUM(G2:G7)</f>
        <v>0</v>
      </c>
      <c r="H8" s="11" t="str">
        <f>SUM(H2:H7)</f>
        <v>0</v>
      </c>
      <c r="I8" s="11" t="str">
        <f>SUM(I2:I7)</f>
        <v>0</v>
      </c>
      <c r="J8" s="11" t="str">
        <f>SUM(J2:J7)</f>
        <v>0</v>
      </c>
      <c r="K8" s="11" t="str">
        <f>SUM(K2:K7)</f>
        <v>0</v>
      </c>
      <c r="L8" s="11" t="str">
        <f>SUM(L2:L7)</f>
        <v>0</v>
      </c>
      <c r="M8" s="11" t="str">
        <f>SUM(M2:M7)</f>
        <v>0</v>
      </c>
      <c r="N8" s="11" t="str">
        <f>SUM(B8:M8)</f>
        <v>0</v>
      </c>
    </row>
  </sheetData>
  <pageMargins left="0.7" right="0.7" top="0.75" bottom="0.75" header="0.3" footer="0.3"/>
  <pageSetup paperSize="1" orientation="portrait" horizontalDpi="4294967295" verticalDpi="4294967295" scale="100" fitToWidth="1" fitToHeight="0"/>
  <headerFooter>
    <oddHeader>&amp;L&amp;10&amp;BHeritage Academy&amp;R&amp;8&amp;IPersonnel</oddHeader>
    <oddFooter>&amp;L&amp;8Built by SchoolStack Budget  •  budget.schoolstack.ai&amp;C&amp;8Page &amp;P of &amp;N&amp;R&amp;8&amp;D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11"/>
  <sheetViews>
    <sheetView workbookViewId="0">
      <pane xSplit="1" ySplit="1" topLeftCell="B2" activePane="bottomRight" state="frozen"/>
      <selection pane="bottomRight" activeCell="B2" sqref="B2"/>
    </sheetView>
  </sheetViews>
  <sheetFormatPr defaultRowHeight="15" outlineLevelRow="0" outlineLevelCol="0" x14ac:dyDescent="55"/>
  <cols>
    <col min="1" max="1" width="30" customWidth="1"/>
    <col min="2" max="13" width="14" customWidth="1"/>
    <col min="14" max="14" width="16" customWidth="1"/>
  </cols>
  <sheetData>
    <row r="1" ht="28" customHeight="1" spans="1:14" x14ac:dyDescent="0.25">
      <c r="A1" s="9" t="s">
        <v>1</v>
      </c>
      <c r="B1" s="9" t="s">
        <v>13</v>
      </c>
      <c r="C1" s="9" t="s">
        <v>14</v>
      </c>
      <c r="D1" s="9" t="s">
        <v>15</v>
      </c>
      <c r="E1" s="9" t="s">
        <v>16</v>
      </c>
      <c r="F1" s="9" t="s">
        <v>17</v>
      </c>
      <c r="G1" s="9" t="s">
        <v>18</v>
      </c>
      <c r="H1" s="9" t="s">
        <v>19</v>
      </c>
      <c r="I1" s="9" t="s">
        <v>20</v>
      </c>
      <c r="J1" s="9" t="s">
        <v>21</v>
      </c>
      <c r="K1" s="9" t="s">
        <v>22</v>
      </c>
      <c r="L1" s="9" t="s">
        <v>23</v>
      </c>
      <c r="M1" s="9" t="s">
        <v>24</v>
      </c>
      <c r="N1" s="9" t="s">
        <v>25</v>
      </c>
    </row>
    <row r="2" spans="1:14" x14ac:dyDescent="0.25">
      <c r="A2" s="5" t="s">
        <v>41</v>
      </c>
      <c r="B2" s="10">
        <v>8500</v>
      </c>
      <c r="C2" s="10">
        <v>8500</v>
      </c>
      <c r="D2" s="10">
        <v>8500</v>
      </c>
      <c r="E2" s="10">
        <v>8500</v>
      </c>
      <c r="F2" s="10">
        <v>8500</v>
      </c>
      <c r="G2" s="10">
        <v>8500</v>
      </c>
      <c r="H2" s="10">
        <v>8500</v>
      </c>
      <c r="I2" s="10">
        <v>8500</v>
      </c>
      <c r="J2" s="10">
        <v>8500</v>
      </c>
      <c r="K2" s="10">
        <v>8500</v>
      </c>
      <c r="L2" s="10">
        <v>8500</v>
      </c>
      <c r="M2" s="10">
        <v>8500</v>
      </c>
      <c r="N2" s="10">
        <f>SUM(B2:M2)</f>
        <v>102000</v>
      </c>
    </row>
    <row r="3" spans="1:14" x14ac:dyDescent="0.25">
      <c r="A3" s="5" t="s">
        <v>42</v>
      </c>
      <c r="B3" s="10">
        <v>1200</v>
      </c>
      <c r="C3" s="10">
        <v>1200</v>
      </c>
      <c r="D3" s="10">
        <v>1200</v>
      </c>
      <c r="E3" s="10">
        <v>1200</v>
      </c>
      <c r="F3" s="10">
        <v>1200</v>
      </c>
      <c r="G3" s="10">
        <v>1200</v>
      </c>
      <c r="H3" s="10">
        <v>1200</v>
      </c>
      <c r="I3" s="10">
        <v>1200</v>
      </c>
      <c r="J3" s="10">
        <v>1200</v>
      </c>
      <c r="K3" s="10">
        <v>1200</v>
      </c>
      <c r="L3" s="10">
        <v>1200</v>
      </c>
      <c r="M3" s="10">
        <v>1200</v>
      </c>
      <c r="N3" s="10">
        <f>SUM(B3:M3)</f>
        <v>14400</v>
      </c>
    </row>
    <row r="4" spans="1:14" x14ac:dyDescent="0.25">
      <c r="A4" s="5" t="s">
        <v>43</v>
      </c>
      <c r="B4" s="10">
        <v>1000</v>
      </c>
      <c r="C4" s="10">
        <v>1000</v>
      </c>
      <c r="D4" s="10">
        <v>1000</v>
      </c>
      <c r="E4" s="10">
        <v>1000</v>
      </c>
      <c r="F4" s="10">
        <v>1000</v>
      </c>
      <c r="G4" s="10">
        <v>1000</v>
      </c>
      <c r="H4" s="10">
        <v>1000</v>
      </c>
      <c r="I4" s="10">
        <v>1000</v>
      </c>
      <c r="J4" s="10">
        <v>1000</v>
      </c>
      <c r="K4" s="10">
        <v>1000</v>
      </c>
      <c r="L4" s="10">
        <v>1000</v>
      </c>
      <c r="M4" s="10">
        <v>1000</v>
      </c>
      <c r="N4" s="10">
        <f>SUM(B4:M4)</f>
        <v>12000</v>
      </c>
    </row>
    <row r="5" spans="1:14" x14ac:dyDescent="0.25">
      <c r="A5" s="5" t="s">
        <v>44</v>
      </c>
      <c r="B5" s="10">
        <v>667</v>
      </c>
      <c r="C5" s="10">
        <v>667</v>
      </c>
      <c r="D5" s="10">
        <v>667</v>
      </c>
      <c r="E5" s="10">
        <v>667</v>
      </c>
      <c r="F5" s="10">
        <v>667</v>
      </c>
      <c r="G5" s="10">
        <v>667</v>
      </c>
      <c r="H5" s="10">
        <v>667</v>
      </c>
      <c r="I5" s="10">
        <v>667</v>
      </c>
      <c r="J5" s="10">
        <v>667</v>
      </c>
      <c r="K5" s="10">
        <v>667</v>
      </c>
      <c r="L5" s="10">
        <v>667</v>
      </c>
      <c r="M5" s="10">
        <v>667</v>
      </c>
      <c r="N5" s="10">
        <f>SUM(B5:M5)</f>
        <v>8000</v>
      </c>
    </row>
    <row r="6" spans="1:14" x14ac:dyDescent="0.25">
      <c r="A6" s="5" t="s">
        <v>45</v>
      </c>
      <c r="B6" s="10">
        <v>5000</v>
      </c>
      <c r="C6" s="10">
        <v>5000</v>
      </c>
      <c r="D6" s="10">
        <v>5000</v>
      </c>
      <c r="E6" s="10">
        <v>5000</v>
      </c>
      <c r="F6" s="10">
        <v>5000</v>
      </c>
      <c r="G6" s="10">
        <v>5000</v>
      </c>
      <c r="H6" s="10">
        <v>5000</v>
      </c>
      <c r="I6" s="10">
        <v>5000</v>
      </c>
      <c r="J6" s="10">
        <v>5000</v>
      </c>
      <c r="K6" s="10">
        <v>5000</v>
      </c>
      <c r="L6" s="10">
        <v>5000</v>
      </c>
      <c r="M6" s="10">
        <v>5000</v>
      </c>
      <c r="N6" s="10">
        <f>SUM(B6:M6)</f>
        <v>60000</v>
      </c>
    </row>
    <row r="7" spans="1:14" x14ac:dyDescent="0.25">
      <c r="A7" s="5" t="s">
        <v>46</v>
      </c>
      <c r="B7" s="10">
        <v>3333</v>
      </c>
      <c r="C7" s="10">
        <v>3333</v>
      </c>
      <c r="D7" s="10">
        <v>3333</v>
      </c>
      <c r="E7" s="10">
        <v>3333</v>
      </c>
      <c r="F7" s="10">
        <v>3333</v>
      </c>
      <c r="G7" s="10">
        <v>3333</v>
      </c>
      <c r="H7" s="10">
        <v>3333</v>
      </c>
      <c r="I7" s="10">
        <v>3333</v>
      </c>
      <c r="J7" s="10">
        <v>3333</v>
      </c>
      <c r="K7" s="10">
        <v>3333</v>
      </c>
      <c r="L7" s="10">
        <v>3333</v>
      </c>
      <c r="M7" s="10">
        <v>3333</v>
      </c>
      <c r="N7" s="10">
        <f>SUM(B7:M7)</f>
        <v>40000</v>
      </c>
    </row>
    <row r="8" spans="1:14" x14ac:dyDescent="0.25">
      <c r="A8" s="5" t="s">
        <v>47</v>
      </c>
      <c r="B8" s="10">
        <v>1250</v>
      </c>
      <c r="C8" s="10">
        <v>1250</v>
      </c>
      <c r="D8" s="10">
        <v>1250</v>
      </c>
      <c r="E8" s="10">
        <v>1250</v>
      </c>
      <c r="F8" s="10">
        <v>1250</v>
      </c>
      <c r="G8" s="10">
        <v>1250</v>
      </c>
      <c r="H8" s="10">
        <v>1250</v>
      </c>
      <c r="I8" s="10">
        <v>1250</v>
      </c>
      <c r="J8" s="10">
        <v>1250</v>
      </c>
      <c r="K8" s="10">
        <v>1250</v>
      </c>
      <c r="L8" s="10">
        <v>1250</v>
      </c>
      <c r="M8" s="10">
        <v>1250</v>
      </c>
      <c r="N8" s="10">
        <f>SUM(B8:M8)</f>
        <v>15000</v>
      </c>
    </row>
    <row r="9" spans="1:14" x14ac:dyDescent="0.25">
      <c r="A9" s="5" t="s">
        <v>48</v>
      </c>
      <c r="B9" s="10">
        <v>667</v>
      </c>
      <c r="C9" s="10">
        <v>667</v>
      </c>
      <c r="D9" s="10">
        <v>667</v>
      </c>
      <c r="E9" s="10">
        <v>667</v>
      </c>
      <c r="F9" s="10">
        <v>667</v>
      </c>
      <c r="G9" s="10">
        <v>667</v>
      </c>
      <c r="H9" s="10">
        <v>667</v>
      </c>
      <c r="I9" s="10">
        <v>667</v>
      </c>
      <c r="J9" s="10">
        <v>667</v>
      </c>
      <c r="K9" s="10">
        <v>667</v>
      </c>
      <c r="L9" s="10">
        <v>667</v>
      </c>
      <c r="M9" s="10">
        <v>667</v>
      </c>
      <c r="N9" s="10">
        <f>SUM(B9:M9)</f>
        <v>8000</v>
      </c>
    </row>
    <row r="10" spans="1:14" x14ac:dyDescent="0.25">
      <c r="A10" s="5" t="s">
        <v>49</v>
      </c>
      <c r="B10" s="10">
        <v>1000</v>
      </c>
      <c r="C10" s="10">
        <v>1000</v>
      </c>
      <c r="D10" s="10">
        <v>1000</v>
      </c>
      <c r="E10" s="10">
        <v>1000</v>
      </c>
      <c r="F10" s="10">
        <v>1000</v>
      </c>
      <c r="G10" s="10">
        <v>1000</v>
      </c>
      <c r="H10" s="10">
        <v>1000</v>
      </c>
      <c r="I10" s="10">
        <v>1000</v>
      </c>
      <c r="J10" s="10">
        <v>1000</v>
      </c>
      <c r="K10" s="10">
        <v>1000</v>
      </c>
      <c r="L10" s="10">
        <v>1000</v>
      </c>
      <c r="M10" s="10">
        <v>1000</v>
      </c>
      <c r="N10" s="10">
        <f>SUM(B10:M10)</f>
        <v>12000</v>
      </c>
    </row>
    <row r="11" ht="24" customHeight="1" spans="1:14" x14ac:dyDescent="0.25">
      <c r="A11" s="1" t="s">
        <v>50</v>
      </c>
      <c r="B11" s="11" t="str">
        <f>SUM(B2:B10)</f>
        <v>0</v>
      </c>
      <c r="C11" s="11" t="str">
        <f>SUM(C2:C10)</f>
        <v>0</v>
      </c>
      <c r="D11" s="11" t="str">
        <f>SUM(D2:D10)</f>
        <v>0</v>
      </c>
      <c r="E11" s="11" t="str">
        <f>SUM(E2:E10)</f>
        <v>0</v>
      </c>
      <c r="F11" s="11" t="str">
        <f>SUM(F2:F10)</f>
        <v>0</v>
      </c>
      <c r="G11" s="11" t="str">
        <f>SUM(G2:G10)</f>
        <v>0</v>
      </c>
      <c r="H11" s="11" t="str">
        <f>SUM(H2:H10)</f>
        <v>0</v>
      </c>
      <c r="I11" s="11" t="str">
        <f>SUM(I2:I10)</f>
        <v>0</v>
      </c>
      <c r="J11" s="11" t="str">
        <f>SUM(J2:J10)</f>
        <v>0</v>
      </c>
      <c r="K11" s="11" t="str">
        <f>SUM(K2:K10)</f>
        <v>0</v>
      </c>
      <c r="L11" s="11" t="str">
        <f>SUM(L2:L10)</f>
        <v>0</v>
      </c>
      <c r="M11" s="11" t="str">
        <f>SUM(M2:M10)</f>
        <v>0</v>
      </c>
      <c r="N11" s="11" t="str">
        <f>SUM(B11:M11)</f>
        <v>0</v>
      </c>
    </row>
  </sheetData>
  <pageMargins left="0.7" right="0.7" top="0.75" bottom="0.75" header="0.3" footer="0.3"/>
  <pageSetup paperSize="1" orientation="portrait" horizontalDpi="4294967295" verticalDpi="4294967295" scale="100" fitToWidth="1" fitToHeight="0"/>
  <headerFooter>
    <oddHeader>&amp;L&amp;10&amp;BHeritage Academy&amp;R&amp;8&amp;IOperating Expenses</oddHeader>
    <oddFooter>&amp;L&amp;8Built by SchoolStack Budget  •  budget.schoolstack.ai&amp;C&amp;8Page &amp;P of &amp;N&amp;R&amp;8&amp;D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7"/>
  <sheetViews>
    <sheetView workbookViewId="0">
      <pane xSplit="1" ySplit="1" topLeftCell="B2" activePane="bottomRight" state="frozen"/>
      <selection pane="bottomRight" activeCell="B2" sqref="B2"/>
    </sheetView>
  </sheetViews>
  <sheetFormatPr defaultRowHeight="15" outlineLevelRow="0" outlineLevelCol="0" x14ac:dyDescent="55"/>
  <cols>
    <col min="1" max="1" width="30" customWidth="1"/>
    <col min="2" max="13" width="14" customWidth="1"/>
    <col min="14" max="14" width="16" customWidth="1"/>
  </cols>
  <sheetData>
    <row r="1" ht="28" customHeight="1" spans="1:14" x14ac:dyDescent="0.25">
      <c r="A1" s="9" t="s">
        <v>1</v>
      </c>
      <c r="B1" s="9" t="s">
        <v>13</v>
      </c>
      <c r="C1" s="9" t="s">
        <v>14</v>
      </c>
      <c r="D1" s="9" t="s">
        <v>15</v>
      </c>
      <c r="E1" s="9" t="s">
        <v>16</v>
      </c>
      <c r="F1" s="9" t="s">
        <v>17</v>
      </c>
      <c r="G1" s="9" t="s">
        <v>18</v>
      </c>
      <c r="H1" s="9" t="s">
        <v>19</v>
      </c>
      <c r="I1" s="9" t="s">
        <v>20</v>
      </c>
      <c r="J1" s="9" t="s">
        <v>21</v>
      </c>
      <c r="K1" s="9" t="s">
        <v>22</v>
      </c>
      <c r="L1" s="9" t="s">
        <v>23</v>
      </c>
      <c r="M1" s="9" t="s">
        <v>24</v>
      </c>
      <c r="N1" s="9" t="s">
        <v>25</v>
      </c>
    </row>
    <row r="2" spans="1:14" x14ac:dyDescent="0.25">
      <c r="A2" s="12" t="s">
        <v>51</v>
      </c>
      <c r="B2" s="13">
        <f>Revenue!B9</f>
        <v>1167917</v>
      </c>
      <c r="C2" s="13">
        <f>Revenue!C9</f>
        <v>72417</v>
      </c>
      <c r="D2" s="13">
        <f>Revenue!D9</f>
        <v>72417</v>
      </c>
      <c r="E2" s="13">
        <f>Revenue!E9</f>
        <v>72417</v>
      </c>
      <c r="F2" s="13">
        <f>Revenue!F9</f>
        <v>72417</v>
      </c>
      <c r="G2" s="13">
        <f>Revenue!G9</f>
        <v>72417</v>
      </c>
      <c r="H2" s="13">
        <f>Revenue!H9</f>
        <v>72417</v>
      </c>
      <c r="I2" s="13">
        <f>Revenue!I9</f>
        <v>72417</v>
      </c>
      <c r="J2" s="13">
        <f>Revenue!J9</f>
        <v>72417</v>
      </c>
      <c r="K2" s="13">
        <f>Revenue!K9</f>
        <v>72417</v>
      </c>
      <c r="L2" s="13">
        <f>Revenue!L9</f>
        <v>72417</v>
      </c>
      <c r="M2" s="13">
        <f>Revenue!M9</f>
        <v>82917</v>
      </c>
      <c r="N2" s="13">
        <f>SUM(B2:M2)</f>
        <v>1975004</v>
      </c>
    </row>
    <row r="3" spans="1:14" x14ac:dyDescent="0.25">
      <c r="A3" s="5" t="s">
        <v>52</v>
      </c>
      <c r="B3" s="10">
        <f>Personnel!B8</f>
        <v>71231</v>
      </c>
      <c r="C3" s="10">
        <f>Personnel!C8</f>
        <v>71231</v>
      </c>
      <c r="D3" s="10">
        <f>Personnel!D8</f>
        <v>71231</v>
      </c>
      <c r="E3" s="10">
        <f>Personnel!E8</f>
        <v>71231</v>
      </c>
      <c r="F3" s="10">
        <f>Personnel!F8</f>
        <v>71231</v>
      </c>
      <c r="G3" s="10">
        <f>Personnel!G8</f>
        <v>71231</v>
      </c>
      <c r="H3" s="10">
        <f>Personnel!H8</f>
        <v>71231</v>
      </c>
      <c r="I3" s="10">
        <f>Personnel!I8</f>
        <v>71231</v>
      </c>
      <c r="J3" s="10">
        <f>Personnel!J8</f>
        <v>71231</v>
      </c>
      <c r="K3" s="10">
        <f>Personnel!K8</f>
        <v>71231</v>
      </c>
      <c r="L3" s="10">
        <f>Personnel!L8</f>
        <v>71231</v>
      </c>
      <c r="M3" s="10">
        <f>Personnel!M8</f>
        <v>71231</v>
      </c>
      <c r="N3" s="10">
        <f>SUM(B3:M3)</f>
        <v>854772</v>
      </c>
    </row>
    <row r="4" spans="1:14" x14ac:dyDescent="0.25">
      <c r="A4" s="5" t="s">
        <v>53</v>
      </c>
      <c r="B4" s="10">
        <f>'Operating Expenses'!B11</f>
        <v>22617</v>
      </c>
      <c r="C4" s="10">
        <f>'Operating Expenses'!C11</f>
        <v>22617</v>
      </c>
      <c r="D4" s="10">
        <f>'Operating Expenses'!D11</f>
        <v>22617</v>
      </c>
      <c r="E4" s="10">
        <f>'Operating Expenses'!E11</f>
        <v>22617</v>
      </c>
      <c r="F4" s="10">
        <f>'Operating Expenses'!F11</f>
        <v>22617</v>
      </c>
      <c r="G4" s="10">
        <f>'Operating Expenses'!G11</f>
        <v>22617</v>
      </c>
      <c r="H4" s="10">
        <f>'Operating Expenses'!H11</f>
        <v>22617</v>
      </c>
      <c r="I4" s="10">
        <f>'Operating Expenses'!I11</f>
        <v>22617</v>
      </c>
      <c r="J4" s="10">
        <f>'Operating Expenses'!J11</f>
        <v>22617</v>
      </c>
      <c r="K4" s="10">
        <f>'Operating Expenses'!K11</f>
        <v>22617</v>
      </c>
      <c r="L4" s="10">
        <f>'Operating Expenses'!L11</f>
        <v>22617</v>
      </c>
      <c r="M4" s="10">
        <f>'Operating Expenses'!M11</f>
        <v>22617</v>
      </c>
      <c r="N4" s="10">
        <f>SUM(B4:M4)</f>
        <v>271400</v>
      </c>
    </row>
    <row r="5" spans="1:14" x14ac:dyDescent="0.25">
      <c r="A5" s="5" t="s">
        <v>54</v>
      </c>
      <c r="B5" s="10">
        <v>4922</v>
      </c>
      <c r="C5" s="10">
        <v>4922</v>
      </c>
      <c r="D5" s="10">
        <v>4922</v>
      </c>
      <c r="E5" s="10">
        <v>4922</v>
      </c>
      <c r="F5" s="10">
        <v>4922</v>
      </c>
      <c r="G5" s="10">
        <v>4922</v>
      </c>
      <c r="H5" s="10">
        <v>4922</v>
      </c>
      <c r="I5" s="10">
        <v>4922</v>
      </c>
      <c r="J5" s="10">
        <v>4922</v>
      </c>
      <c r="K5" s="10">
        <v>4922</v>
      </c>
      <c r="L5" s="10">
        <v>4922</v>
      </c>
      <c r="M5" s="10">
        <v>4922</v>
      </c>
      <c r="N5" s="10">
        <f>SUM(B5:M5)</f>
        <v>59064</v>
      </c>
    </row>
    <row r="6" ht="24" customHeight="1" spans="1:14" x14ac:dyDescent="0.25">
      <c r="A6" s="1" t="s">
        <v>55</v>
      </c>
      <c r="B6" s="14" t="str">
        <f>SUM(B3:B5)</f>
        <v>0</v>
      </c>
      <c r="C6" s="14" t="str">
        <f>SUM(C3:C5)</f>
        <v>0</v>
      </c>
      <c r="D6" s="14" t="str">
        <f>SUM(D3:D5)</f>
        <v>0</v>
      </c>
      <c r="E6" s="14" t="str">
        <f>SUM(E3:E5)</f>
        <v>0</v>
      </c>
      <c r="F6" s="14" t="str">
        <f>SUM(F3:F5)</f>
        <v>0</v>
      </c>
      <c r="G6" s="14" t="str">
        <f>SUM(G3:G5)</f>
        <v>0</v>
      </c>
      <c r="H6" s="14" t="str">
        <f>SUM(H3:H5)</f>
        <v>0</v>
      </c>
      <c r="I6" s="14" t="str">
        <f>SUM(I3:I5)</f>
        <v>0</v>
      </c>
      <c r="J6" s="14" t="str">
        <f>SUM(J3:J5)</f>
        <v>0</v>
      </c>
      <c r="K6" s="14" t="str">
        <f>SUM(K3:K5)</f>
        <v>0</v>
      </c>
      <c r="L6" s="14" t="str">
        <f>SUM(L3:L5)</f>
        <v>0</v>
      </c>
      <c r="M6" s="14" t="str">
        <f>SUM(M3:M5)</f>
        <v>0</v>
      </c>
      <c r="N6" s="14">
        <f>SUM(B6:M6)</f>
        <v>1185236</v>
      </c>
    </row>
    <row r="7" spans="1:14" x14ac:dyDescent="0.25">
      <c r="A7" s="12" t="s">
        <v>56</v>
      </c>
      <c r="B7" s="15" t="str">
        <f>B2-B6</f>
        <v>0</v>
      </c>
      <c r="C7" s="15" t="str">
        <f>C2-C6</f>
        <v>0</v>
      </c>
      <c r="D7" s="15" t="str">
        <f>D2-D6</f>
        <v>0</v>
      </c>
      <c r="E7" s="15" t="str">
        <f>E2-E6</f>
        <v>0</v>
      </c>
      <c r="F7" s="15" t="str">
        <f>F2-F6</f>
        <v>0</v>
      </c>
      <c r="G7" s="15" t="str">
        <f>G2-G6</f>
        <v>0</v>
      </c>
      <c r="H7" s="15" t="str">
        <f>H2-H6</f>
        <v>0</v>
      </c>
      <c r="I7" s="15" t="str">
        <f>I2-I6</f>
        <v>0</v>
      </c>
      <c r="J7" s="15" t="str">
        <f>J2-J6</f>
        <v>0</v>
      </c>
      <c r="K7" s="15" t="str">
        <f>K2-K6</f>
        <v>0</v>
      </c>
      <c r="L7" s="15" t="str">
        <f>L2-L6</f>
        <v>0</v>
      </c>
      <c r="M7" s="15" t="str">
        <f>M2-M6</f>
        <v>0</v>
      </c>
      <c r="N7" s="15">
        <f>N2-N6</f>
        <v>789764</v>
      </c>
    </row>
  </sheetData>
  <pageMargins left="0.7" right="0.7" top="0.75" bottom="0.75" header="0.3" footer="0.3"/>
  <pageSetup paperSize="1" orientation="portrait" horizontalDpi="4294967295" verticalDpi="4294967295" scale="100" fitToWidth="1" fitToHeight="0"/>
  <headerFooter>
    <oddHeader>&amp;L&amp;10&amp;BHeritage Academy&amp;R&amp;8&amp;IP&amp;L Summary</oddHeader>
    <oddFooter>&amp;L&amp;8Built by SchoolStack Budget  •  budget.schoolstack.ai&amp;C&amp;8Page &amp;P of &amp;N&amp;R&amp;8&amp;D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Assumptions</vt:lpstr>
      <vt:lpstr>Revenue</vt:lpstr>
      <vt:lpstr>Personnel</vt:lpstr>
      <vt:lpstr>Operating Expenses</vt:lpstr>
      <vt:lpstr>P&amp;L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SchoolStack Budget</dc:creator>
  <dc:title/>
  <dc:subject/>
  <dc:description/>
  <cp:keywords/>
  <cp:category/>
  <cp:lastModifiedBy>Unknown</cp:lastModifiedBy>
  <dcterms:created xsi:type="dcterms:W3CDTF">2026-03-27T12:05:11Z</dcterms:created>
  <dcterms:modified xsi:type="dcterms:W3CDTF">2026-03-27T12:05:11Z</dcterms:modified>
</cp:coreProperties>
</file>