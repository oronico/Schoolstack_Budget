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<sst xmlns="http://schemas.openxmlformats.org/spreadsheetml/2006/main" count="101" uniqueCount="57">
  <si>
    <t>Year 1 Budget Assumptions</t>
  </si>
  <si>
    <t/>
  </si>
  <si>
    <t>Editable assumption — change this value</t>
  </si>
  <si>
    <t>Calculated — driven by formula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</si>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</sst>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100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87500</v>
      </c>
      <c r="C2" s="10">
        <v>87500</v>
      </c>
      <c r="D2" s="10">
        <v>87500</v>
      </c>
      <c r="E2" s="10">
        <v>87500</v>
      </c>
      <c r="F2" s="10">
        <v>87500</v>
      </c>
      <c r="G2" s="10">
        <v>87500</v>
      </c>
      <c r="H2" s="10">
        <v>87500</v>
      </c>
      <c r="I2" s="10">
        <v>87500</v>
      </c>
      <c r="J2" s="10">
        <v>87500</v>
      </c>
      <c r="K2" s="10">
        <v>87500</v>
      </c>
      <c r="L2" s="10">
        <v>87500</v>
      </c>
      <c r="M2" s="10">
        <v>87500</v>
      </c>
      <c r="N2" s="10">
        <f>SUM(B2:M2)</f>
        <v>1050000</v>
      </c>
    </row>
    <row r="3" spans="1:14" x14ac:dyDescent="0.25">
      <c r="A3" s="5" t="s">
        <v>27</v>
      </c>
      <c r="B3" s="10">
        <v>2917</v>
      </c>
      <c r="C3" s="10">
        <v>2917</v>
      </c>
      <c r="D3" s="10">
        <v>2917</v>
      </c>
      <c r="E3" s="10">
        <v>2917</v>
      </c>
      <c r="F3" s="10">
        <v>2917</v>
      </c>
      <c r="G3" s="10">
        <v>2917</v>
      </c>
      <c r="H3" s="10">
        <v>2917</v>
      </c>
      <c r="I3" s="10">
        <v>2917</v>
      </c>
      <c r="J3" s="10">
        <v>2917</v>
      </c>
      <c r="K3" s="10">
        <v>2917</v>
      </c>
      <c r="L3" s="10">
        <v>2917</v>
      </c>
      <c r="M3" s="10">
        <v>2917</v>
      </c>
      <c r="N3" s="10">
        <f>SUM(B3:M3)</f>
        <v>35000</v>
      </c>
    </row>
    <row r="4" spans="1:14" x14ac:dyDescent="0.25">
      <c r="A4" s="5" t="s">
        <v>28</v>
      </c>
      <c r="B4" s="10">
        <v>-8750</v>
      </c>
      <c r="C4" s="10">
        <v>-8750</v>
      </c>
      <c r="D4" s="10">
        <v>-8750</v>
      </c>
      <c r="E4" s="10">
        <v>-8750</v>
      </c>
      <c r="F4" s="10">
        <v>-8750</v>
      </c>
      <c r="G4" s="10">
        <v>-8750</v>
      </c>
      <c r="H4" s="10">
        <v>-8750</v>
      </c>
      <c r="I4" s="10">
        <v>-8750</v>
      </c>
      <c r="J4" s="10">
        <v>-8750</v>
      </c>
      <c r="K4" s="10">
        <v>-8750</v>
      </c>
      <c r="L4" s="10">
        <v>-8750</v>
      </c>
      <c r="M4" s="10">
        <v>-8750</v>
      </c>
      <c r="N4" s="10">
        <f>SUM(B4:M4)</f>
        <v>-105000</v>
      </c>
    </row>
    <row r="5" spans="1:14" x14ac:dyDescent="0.25">
      <c r="A5" s="5" t="s">
        <v>29</v>
      </c>
      <c r="B5" s="10">
        <v>72500</v>
      </c>
      <c r="C5" s="10">
        <v>72500</v>
      </c>
      <c r="D5" s="10">
        <v>72500</v>
      </c>
      <c r="E5" s="10">
        <v>72500</v>
      </c>
      <c r="F5" s="10">
        <v>72500</v>
      </c>
      <c r="G5" s="10">
        <v>72500</v>
      </c>
      <c r="H5" s="10">
        <v>72500</v>
      </c>
      <c r="I5" s="10">
        <v>72500</v>
      </c>
      <c r="J5" s="10">
        <v>72500</v>
      </c>
      <c r="K5" s="10">
        <v>72500</v>
      </c>
      <c r="L5" s="10">
        <v>72500</v>
      </c>
      <c r="M5" s="10">
        <v>72500</v>
      </c>
      <c r="N5" s="10">
        <f>SUM(B5:M5)</f>
        <v>870000</v>
      </c>
    </row>
    <row r="6" spans="1:14" x14ac:dyDescent="0.25">
      <c r="A6" s="5" t="s">
        <v>30</v>
      </c>
      <c r="B6" s="10">
        <v>4167</v>
      </c>
      <c r="C6" s="10">
        <v>4167</v>
      </c>
      <c r="D6" s="10">
        <v>4167</v>
      </c>
      <c r="E6" s="10">
        <v>4167</v>
      </c>
      <c r="F6" s="10">
        <v>4167</v>
      </c>
      <c r="G6" s="10">
        <v>4167</v>
      </c>
      <c r="H6" s="10">
        <v>4167</v>
      </c>
      <c r="I6" s="10">
        <v>4167</v>
      </c>
      <c r="J6" s="10">
        <v>4167</v>
      </c>
      <c r="K6" s="10">
        <v>4167</v>
      </c>
      <c r="L6" s="10">
        <v>4167</v>
      </c>
      <c r="M6" s="10">
        <v>4167</v>
      </c>
      <c r="N6" s="10">
        <f>SUM(B6:M6)</f>
        <v>50000</v>
      </c>
    </row>
    <row r="7" spans="1:14" x14ac:dyDescent="0.25">
      <c r="A7" s="5" t="s">
        <v>31</v>
      </c>
      <c r="B7" s="10">
        <v>2083</v>
      </c>
      <c r="C7" s="10">
        <v>2083</v>
      </c>
      <c r="D7" s="10">
        <v>2083</v>
      </c>
      <c r="E7" s="10">
        <v>2083</v>
      </c>
      <c r="F7" s="10">
        <v>2083</v>
      </c>
      <c r="G7" s="10">
        <v>2083</v>
      </c>
      <c r="H7" s="10">
        <v>2083</v>
      </c>
      <c r="I7" s="10">
        <v>2083</v>
      </c>
      <c r="J7" s="10">
        <v>2083</v>
      </c>
      <c r="K7" s="10">
        <v>2083</v>
      </c>
      <c r="L7" s="10">
        <v>2083</v>
      </c>
      <c r="M7" s="10">
        <v>2083</v>
      </c>
      <c r="N7" s="10">
        <f>SUM(B7:M7)</f>
        <v>25000</v>
      </c>
    </row>
    <row r="8" spans="1:14" x14ac:dyDescent="0.25">
      <c r="A8" s="5" t="s">
        <v>32</v>
      </c>
      <c r="B8" s="10">
        <v>4167</v>
      </c>
      <c r="C8" s="10">
        <v>4167</v>
      </c>
      <c r="D8" s="10">
        <v>4167</v>
      </c>
      <c r="E8" s="10">
        <v>4167</v>
      </c>
      <c r="F8" s="10">
        <v>4167</v>
      </c>
      <c r="G8" s="10">
        <v>4167</v>
      </c>
      <c r="H8" s="10">
        <v>4167</v>
      </c>
      <c r="I8" s="10">
        <v>4167</v>
      </c>
      <c r="J8" s="10">
        <v>4167</v>
      </c>
      <c r="K8" s="10">
        <v>4167</v>
      </c>
      <c r="L8" s="10">
        <v>4167</v>
      </c>
      <c r="M8" s="10">
        <v>4167</v>
      </c>
      <c r="N8" s="10">
        <f>SUM(B8:M8)</f>
        <v>50000</v>
      </c>
    </row>
    <row r="9" ht="24" customHeight="1" spans="1:14" x14ac:dyDescent="0.25">
      <c r="A9" s="1" t="s">
        <v>33</v>
      </c>
      <c r="B9" s="11">
        <f>SUM(B2:B8)</f>
        <v>1167917</v>
      </c>
      <c r="C9" s="11">
        <f>SUM(C2:C8)</f>
        <v>72417</v>
      </c>
      <c r="D9" s="11">
        <f>SUM(D2:D8)</f>
        <v>72417</v>
      </c>
      <c r="E9" s="11">
        <f>SUM(E2:E8)</f>
        <v>72417</v>
      </c>
      <c r="F9" s="11">
        <f>SUM(F2:F8)</f>
        <v>72417</v>
      </c>
      <c r="G9" s="11">
        <f>SUM(G2:G8)</f>
        <v>72417</v>
      </c>
      <c r="H9" s="11">
        <f>SUM(H2:H8)</f>
        <v>72417</v>
      </c>
      <c r="I9" s="11">
        <f>SUM(I2:I8)</f>
        <v>72417</v>
      </c>
      <c r="J9" s="11">
        <f>SUM(J2:J8)</f>
        <v>72417</v>
      </c>
      <c r="K9" s="11">
        <f>SUM(K2:K8)</f>
        <v>72417</v>
      </c>
      <c r="L9" s="11">
        <f>SUM(L2:L8)</f>
        <v>72417</v>
      </c>
      <c r="M9" s="11">
        <f>SUM(M2:M8)</f>
        <v>82917</v>
      </c>
      <c r="N9" s="11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34</v>
      </c>
      <c r="B2" s="10">
        <v>266396</v>
      </c>
      <c r="C2" s="10">
        <v>266396</v>
      </c>
      <c r="D2" s="10">
        <v>266396</v>
      </c>
      <c r="E2" s="10">
        <v>266396</v>
      </c>
      <c r="F2" s="10">
        <v>266396</v>
      </c>
      <c r="G2" s="10">
        <v>266396</v>
      </c>
      <c r="H2" s="10">
        <v>266396</v>
      </c>
      <c r="I2" s="10">
        <v>266396</v>
      </c>
      <c r="J2" s="10">
        <v>266396</v>
      </c>
      <c r="K2" s="10">
        <v>266396</v>
      </c>
      <c r="L2" s="10">
        <v>266396</v>
      </c>
      <c r="M2" s="10">
        <v>266396</v>
      </c>
      <c r="N2" s="10">
        <f>SUM(B2:M2)</f>
        <v>3196750</v>
      </c>
    </row>
    <row r="3" spans="1:14" x14ac:dyDescent="0.25">
      <c r="A3" s="5" t="s">
        <v>35</v>
      </c>
      <c r="B3" s="10">
        <v>210313</v>
      </c>
      <c r="C3" s="10">
        <v>210313</v>
      </c>
      <c r="D3" s="10">
        <v>210313</v>
      </c>
      <c r="E3" s="10">
        <v>210313</v>
      </c>
      <c r="F3" s="10">
        <v>210313</v>
      </c>
      <c r="G3" s="10">
        <v>210313</v>
      </c>
      <c r="H3" s="10">
        <v>210313</v>
      </c>
      <c r="I3" s="10">
        <v>210313</v>
      </c>
      <c r="J3" s="10">
        <v>210313</v>
      </c>
      <c r="K3" s="10">
        <v>210313</v>
      </c>
      <c r="L3" s="10">
        <v>210313</v>
      </c>
      <c r="M3" s="10">
        <v>210313</v>
      </c>
      <c r="N3" s="10">
        <f>SUM(B3:M3)</f>
        <v>2523750</v>
      </c>
    </row>
    <row r="4" spans="1:14" x14ac:dyDescent="0.25">
      <c r="A4" s="5" t="s">
        <v>36</v>
      </c>
      <c r="B4" s="10">
        <v>807600</v>
      </c>
      <c r="C4" s="10">
        <v>807600</v>
      </c>
      <c r="D4" s="10">
        <v>807600</v>
      </c>
      <c r="E4" s="10">
        <v>807600</v>
      </c>
      <c r="F4" s="10">
        <v>807600</v>
      </c>
      <c r="G4" s="10">
        <v>807600</v>
      </c>
      <c r="H4" s="10">
        <v>807600</v>
      </c>
      <c r="I4" s="10">
        <v>807600</v>
      </c>
      <c r="J4" s="10">
        <v>807600</v>
      </c>
      <c r="K4" s="10">
        <v>807600</v>
      </c>
      <c r="L4" s="10">
        <v>807600</v>
      </c>
      <c r="M4" s="10">
        <v>807600</v>
      </c>
      <c r="N4" s="10">
        <f>SUM(B4:M4)</f>
        <v>9691200</v>
      </c>
    </row>
    <row r="5" spans="1:14" x14ac:dyDescent="0.25">
      <c r="A5" s="5" t="s">
        <v>37</v>
      </c>
      <c r="B5" s="10">
        <v>229200</v>
      </c>
      <c r="C5" s="10">
        <v>229200</v>
      </c>
      <c r="D5" s="10">
        <v>229200</v>
      </c>
      <c r="E5" s="10">
        <v>229200</v>
      </c>
      <c r="F5" s="10">
        <v>229200</v>
      </c>
      <c r="G5" s="10">
        <v>229200</v>
      </c>
      <c r="H5" s="10">
        <v>229200</v>
      </c>
      <c r="I5" s="10">
        <v>229200</v>
      </c>
      <c r="J5" s="10">
        <v>229200</v>
      </c>
      <c r="K5" s="10">
        <v>229200</v>
      </c>
      <c r="L5" s="10">
        <v>229200</v>
      </c>
      <c r="M5" s="10">
        <v>229200</v>
      </c>
      <c r="N5" s="10">
        <f>SUM(B5:M5)</f>
        <v>2750400</v>
      </c>
    </row>
    <row r="6" spans="1:14" x14ac:dyDescent="0.25">
      <c r="A6" s="5" t="s">
        <v>38</v>
      </c>
      <c r="B6" s="10">
        <v>117775</v>
      </c>
      <c r="C6" s="10">
        <v>117775</v>
      </c>
      <c r="D6" s="10">
        <v>117775</v>
      </c>
      <c r="E6" s="10">
        <v>117775</v>
      </c>
      <c r="F6" s="10">
        <v>117775</v>
      </c>
      <c r="G6" s="10">
        <v>117775</v>
      </c>
      <c r="H6" s="10">
        <v>117775</v>
      </c>
      <c r="I6" s="10">
        <v>117775</v>
      </c>
      <c r="J6" s="10">
        <v>117775</v>
      </c>
      <c r="K6" s="10">
        <v>117775</v>
      </c>
      <c r="L6" s="10">
        <v>117775</v>
      </c>
      <c r="M6" s="10">
        <v>117775</v>
      </c>
      <c r="N6" s="10">
        <f>SUM(B6:M6)</f>
        <v>1413300</v>
      </c>
    </row>
    <row r="7" spans="1:14" x14ac:dyDescent="0.25">
      <c r="A7" s="5" t="s">
        <v>39</v>
      </c>
      <c r="B7" s="10">
        <v>145817</v>
      </c>
      <c r="C7" s="10">
        <v>145817</v>
      </c>
      <c r="D7" s="10">
        <v>145817</v>
      </c>
      <c r="E7" s="10">
        <v>145817</v>
      </c>
      <c r="F7" s="10">
        <v>145817</v>
      </c>
      <c r="G7" s="10">
        <v>145817</v>
      </c>
      <c r="H7" s="10">
        <v>145817</v>
      </c>
      <c r="I7" s="10">
        <v>145817</v>
      </c>
      <c r="J7" s="10">
        <v>145817</v>
      </c>
      <c r="K7" s="10">
        <v>145817</v>
      </c>
      <c r="L7" s="10">
        <v>145817</v>
      </c>
      <c r="M7" s="10">
        <v>145817</v>
      </c>
      <c r="N7" s="10">
        <f>SUM(B7:M7)</f>
        <v>1749800</v>
      </c>
    </row>
    <row r="8" ht="24" customHeight="1" spans="1:14" x14ac:dyDescent="0.25">
      <c r="A8" s="1" t="s">
        <v>40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41</v>
      </c>
      <c r="B2" s="10">
        <v>8500</v>
      </c>
      <c r="C2" s="10">
        <v>8500</v>
      </c>
      <c r="D2" s="10">
        <v>8500</v>
      </c>
      <c r="E2" s="10">
        <v>8500</v>
      </c>
      <c r="F2" s="10">
        <v>8500</v>
      </c>
      <c r="G2" s="10">
        <v>8500</v>
      </c>
      <c r="H2" s="10">
        <v>8500</v>
      </c>
      <c r="I2" s="10">
        <v>8500</v>
      </c>
      <c r="J2" s="10">
        <v>8500</v>
      </c>
      <c r="K2" s="10">
        <v>8500</v>
      </c>
      <c r="L2" s="10">
        <v>8500</v>
      </c>
      <c r="M2" s="10">
        <v>8500</v>
      </c>
      <c r="N2" s="10">
        <f>SUM(B2:M2)</f>
        <v>102000</v>
      </c>
    </row>
    <row r="3" spans="1:14" x14ac:dyDescent="0.25">
      <c r="A3" s="5" t="s">
        <v>42</v>
      </c>
      <c r="B3" s="10">
        <v>1200</v>
      </c>
      <c r="C3" s="10">
        <v>1200</v>
      </c>
      <c r="D3" s="10">
        <v>1200</v>
      </c>
      <c r="E3" s="10">
        <v>1200</v>
      </c>
      <c r="F3" s="10">
        <v>1200</v>
      </c>
      <c r="G3" s="10">
        <v>1200</v>
      </c>
      <c r="H3" s="10">
        <v>1200</v>
      </c>
      <c r="I3" s="10">
        <v>1200</v>
      </c>
      <c r="J3" s="10">
        <v>1200</v>
      </c>
      <c r="K3" s="10">
        <v>1200</v>
      </c>
      <c r="L3" s="10">
        <v>1200</v>
      </c>
      <c r="M3" s="10">
        <v>1200</v>
      </c>
      <c r="N3" s="10">
        <f>SUM(B3:M3)</f>
        <v>14400</v>
      </c>
    </row>
    <row r="4" spans="1:14" x14ac:dyDescent="0.25">
      <c r="A4" s="5" t="s">
        <v>43</v>
      </c>
      <c r="B4" s="10">
        <v>1000</v>
      </c>
      <c r="C4" s="10">
        <v>1000</v>
      </c>
      <c r="D4" s="10">
        <v>1000</v>
      </c>
      <c r="E4" s="10">
        <v>1000</v>
      </c>
      <c r="F4" s="10">
        <v>1000</v>
      </c>
      <c r="G4" s="10">
        <v>1000</v>
      </c>
      <c r="H4" s="10">
        <v>1000</v>
      </c>
      <c r="I4" s="10">
        <v>1000</v>
      </c>
      <c r="J4" s="10">
        <v>1000</v>
      </c>
      <c r="K4" s="10">
        <v>1000</v>
      </c>
      <c r="L4" s="10">
        <v>1000</v>
      </c>
      <c r="M4" s="10">
        <v>1000</v>
      </c>
      <c r="N4" s="10">
        <f>SUM(B4:M4)</f>
        <v>12000</v>
      </c>
    </row>
    <row r="5" spans="1:14" x14ac:dyDescent="0.25">
      <c r="A5" s="5" t="s">
        <v>44</v>
      </c>
      <c r="B5" s="10">
        <v>667</v>
      </c>
      <c r="C5" s="10">
        <v>667</v>
      </c>
      <c r="D5" s="10">
        <v>667</v>
      </c>
      <c r="E5" s="10">
        <v>667</v>
      </c>
      <c r="F5" s="10">
        <v>667</v>
      </c>
      <c r="G5" s="10">
        <v>667</v>
      </c>
      <c r="H5" s="10">
        <v>667</v>
      </c>
      <c r="I5" s="10">
        <v>667</v>
      </c>
      <c r="J5" s="10">
        <v>667</v>
      </c>
      <c r="K5" s="10">
        <v>667</v>
      </c>
      <c r="L5" s="10">
        <v>667</v>
      </c>
      <c r="M5" s="10">
        <v>667</v>
      </c>
      <c r="N5" s="10">
        <f>SUM(B5:M5)</f>
        <v>8000</v>
      </c>
    </row>
    <row r="6" spans="1:14" x14ac:dyDescent="0.25">
      <c r="A6" s="5" t="s">
        <v>45</v>
      </c>
      <c r="B6" s="10">
        <v>5000</v>
      </c>
      <c r="C6" s="10">
        <v>5000</v>
      </c>
      <c r="D6" s="10">
        <v>5000</v>
      </c>
      <c r="E6" s="10">
        <v>5000</v>
      </c>
      <c r="F6" s="10">
        <v>5000</v>
      </c>
      <c r="G6" s="10">
        <v>5000</v>
      </c>
      <c r="H6" s="10">
        <v>5000</v>
      </c>
      <c r="I6" s="10">
        <v>5000</v>
      </c>
      <c r="J6" s="10">
        <v>5000</v>
      </c>
      <c r="K6" s="10">
        <v>5000</v>
      </c>
      <c r="L6" s="10">
        <v>5000</v>
      </c>
      <c r="M6" s="10">
        <v>5000</v>
      </c>
      <c r="N6" s="10">
        <f>SUM(B6:M6)</f>
        <v>60000</v>
      </c>
    </row>
    <row r="7" spans="1:14" x14ac:dyDescent="0.25">
      <c r="A7" s="5" t="s">
        <v>46</v>
      </c>
      <c r="B7" s="10">
        <v>3333</v>
      </c>
      <c r="C7" s="10">
        <v>3333</v>
      </c>
      <c r="D7" s="10">
        <v>3333</v>
      </c>
      <c r="E7" s="10">
        <v>3333</v>
      </c>
      <c r="F7" s="10">
        <v>3333</v>
      </c>
      <c r="G7" s="10">
        <v>3333</v>
      </c>
      <c r="H7" s="10">
        <v>3333</v>
      </c>
      <c r="I7" s="10">
        <v>3333</v>
      </c>
      <c r="J7" s="10">
        <v>3333</v>
      </c>
      <c r="K7" s="10">
        <v>3333</v>
      </c>
      <c r="L7" s="10">
        <v>3333</v>
      </c>
      <c r="M7" s="10">
        <v>3333</v>
      </c>
      <c r="N7" s="10">
        <f>SUM(B7:M7)</f>
        <v>40000</v>
      </c>
    </row>
    <row r="8" spans="1:14" x14ac:dyDescent="0.25">
      <c r="A8" s="5" t="s">
        <v>47</v>
      </c>
      <c r="B8" s="10">
        <v>1250</v>
      </c>
      <c r="C8" s="10">
        <v>1250</v>
      </c>
      <c r="D8" s="10">
        <v>1250</v>
      </c>
      <c r="E8" s="10">
        <v>1250</v>
      </c>
      <c r="F8" s="10">
        <v>1250</v>
      </c>
      <c r="G8" s="10">
        <v>1250</v>
      </c>
      <c r="H8" s="10">
        <v>1250</v>
      </c>
      <c r="I8" s="10">
        <v>1250</v>
      </c>
      <c r="J8" s="10">
        <v>1250</v>
      </c>
      <c r="K8" s="10">
        <v>1250</v>
      </c>
      <c r="L8" s="10">
        <v>1250</v>
      </c>
      <c r="M8" s="10">
        <v>1250</v>
      </c>
      <c r="N8" s="10">
        <f>SUM(B8:M8)</f>
        <v>15000</v>
      </c>
    </row>
    <row r="9" spans="1:14" x14ac:dyDescent="0.25">
      <c r="A9" s="5" t="s">
        <v>48</v>
      </c>
      <c r="B9" s="10">
        <v>667</v>
      </c>
      <c r="C9" s="10">
        <v>667</v>
      </c>
      <c r="D9" s="10">
        <v>667</v>
      </c>
      <c r="E9" s="10">
        <v>667</v>
      </c>
      <c r="F9" s="10">
        <v>667</v>
      </c>
      <c r="G9" s="10">
        <v>667</v>
      </c>
      <c r="H9" s="10">
        <v>667</v>
      </c>
      <c r="I9" s="10">
        <v>667</v>
      </c>
      <c r="J9" s="10">
        <v>667</v>
      </c>
      <c r="K9" s="10">
        <v>667</v>
      </c>
      <c r="L9" s="10">
        <v>667</v>
      </c>
      <c r="M9" s="10">
        <v>667</v>
      </c>
      <c r="N9" s="10">
        <f>SUM(B9:M9)</f>
        <v>8000</v>
      </c>
    </row>
    <row r="10" spans="1:14" x14ac:dyDescent="0.25">
      <c r="A10" s="5" t="s">
        <v>49</v>
      </c>
      <c r="B10" s="10">
        <v>1000</v>
      </c>
      <c r="C10" s="10">
        <v>1000</v>
      </c>
      <c r="D10" s="10">
        <v>1000</v>
      </c>
      <c r="E10" s="10">
        <v>1000</v>
      </c>
      <c r="F10" s="10">
        <v>1000</v>
      </c>
      <c r="G10" s="10">
        <v>1000</v>
      </c>
      <c r="H10" s="10">
        <v>1000</v>
      </c>
      <c r="I10" s="10">
        <v>1000</v>
      </c>
      <c r="J10" s="10">
        <v>1000</v>
      </c>
      <c r="K10" s="10">
        <v>1000</v>
      </c>
      <c r="L10" s="10">
        <v>1000</v>
      </c>
      <c r="M10" s="10">
        <v>1000</v>
      </c>
      <c r="N10" s="10">
        <f>SUM(B10:M10)</f>
        <v>12000</v>
      </c>
    </row>
    <row r="11" ht="24" customHeight="1" spans="1:14" x14ac:dyDescent="0.25">
      <c r="A11" s="1" t="s">
        <v>50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51</v>
      </c>
      <c r="B2" s="13">
        <f>Revenue!B9</f>
        <v>1167917</v>
      </c>
      <c r="C2" s="13">
        <f>Revenue!C9</f>
        <v>72417</v>
      </c>
      <c r="D2" s="13">
        <f>Revenue!D9</f>
        <v>72417</v>
      </c>
      <c r="E2" s="13">
        <f>Revenue!E9</f>
        <v>72417</v>
      </c>
      <c r="F2" s="13">
        <f>Revenue!F9</f>
        <v>72417</v>
      </c>
      <c r="G2" s="13">
        <f>Revenue!G9</f>
        <v>72417</v>
      </c>
      <c r="H2" s="13">
        <f>Revenue!H9</f>
        <v>72417</v>
      </c>
      <c r="I2" s="13">
        <f>Revenue!I9</f>
        <v>72417</v>
      </c>
      <c r="J2" s="13">
        <f>Revenue!J9</f>
        <v>72417</v>
      </c>
      <c r="K2" s="13">
        <f>Revenue!K9</f>
        <v>72417</v>
      </c>
      <c r="L2" s="13">
        <f>Revenue!L9</f>
        <v>72417</v>
      </c>
      <c r="M2" s="13">
        <f>Revenue!M9</f>
        <v>82917</v>
      </c>
      <c r="N2" s="13">
        <f>SUM(B2:M2)</f>
        <v>1975004</v>
      </c>
    </row>
    <row r="3" spans="1:14" x14ac:dyDescent="0.25">
      <c r="A3" s="5" t="s">
        <v>52</v>
      </c>
      <c r="B3" s="10">
        <f>Personnel!B8</f>
        <v>71231</v>
      </c>
      <c r="C3" s="10">
        <f>Personnel!C8</f>
        <v>71231</v>
      </c>
      <c r="D3" s="10">
        <f>Personnel!D8</f>
        <v>71231</v>
      </c>
      <c r="E3" s="10">
        <f>Personnel!E8</f>
        <v>71231</v>
      </c>
      <c r="F3" s="10">
        <f>Personnel!F8</f>
        <v>71231</v>
      </c>
      <c r="G3" s="10">
        <f>Personnel!G8</f>
        <v>71231</v>
      </c>
      <c r="H3" s="10">
        <f>Personnel!H8</f>
        <v>71231</v>
      </c>
      <c r="I3" s="10">
        <f>Personnel!I8</f>
        <v>71231</v>
      </c>
      <c r="J3" s="10">
        <f>Personnel!J8</f>
        <v>71231</v>
      </c>
      <c r="K3" s="10">
        <f>Personnel!K8</f>
        <v>71231</v>
      </c>
      <c r="L3" s="10">
        <f>Personnel!L8</f>
        <v>71231</v>
      </c>
      <c r="M3" s="10">
        <f>Personnel!M8</f>
        <v>71231</v>
      </c>
      <c r="N3" s="10">
        <f>SUM(B3:M3)</f>
        <v>854772</v>
      </c>
    </row>
    <row r="4" spans="1:14" x14ac:dyDescent="0.25">
      <c r="A4" s="5" t="s">
        <v>53</v>
      </c>
      <c r="B4" s="10">
        <f>'Operating Expenses'!B11</f>
        <v>22617</v>
      </c>
      <c r="C4" s="10">
        <f>'Operating Expenses'!C11</f>
        <v>22617</v>
      </c>
      <c r="D4" s="10">
        <f>'Operating Expenses'!D11</f>
        <v>22617</v>
      </c>
      <c r="E4" s="10">
        <f>'Operating Expenses'!E11</f>
        <v>22617</v>
      </c>
      <c r="F4" s="10">
        <f>'Operating Expenses'!F11</f>
        <v>22617</v>
      </c>
      <c r="G4" s="10">
        <f>'Operating Expenses'!G11</f>
        <v>22617</v>
      </c>
      <c r="H4" s="10">
        <f>'Operating Expenses'!H11</f>
        <v>22617</v>
      </c>
      <c r="I4" s="10">
        <f>'Operating Expenses'!I11</f>
        <v>22617</v>
      </c>
      <c r="J4" s="10">
        <f>'Operating Expenses'!J11</f>
        <v>22617</v>
      </c>
      <c r="K4" s="10">
        <f>'Operating Expenses'!K11</f>
        <v>22617</v>
      </c>
      <c r="L4" s="10">
        <f>'Operating Expenses'!L11</f>
        <v>22617</v>
      </c>
      <c r="M4" s="10">
        <f>'Operating Expenses'!M11</f>
        <v>22617</v>
      </c>
      <c r="N4" s="10">
        <f>SUM(B4:M4)</f>
        <v>271400</v>
      </c>
    </row>
    <row r="5" spans="1:14" x14ac:dyDescent="0.25">
      <c r="A5" s="5" t="s">
        <v>54</v>
      </c>
      <c r="B5" s="10">
        <v>4922</v>
      </c>
      <c r="C5" s="10">
        <v>4922</v>
      </c>
      <c r="D5" s="10">
        <v>4922</v>
      </c>
      <c r="E5" s="10">
        <v>4922</v>
      </c>
      <c r="F5" s="10">
        <v>4922</v>
      </c>
      <c r="G5" s="10">
        <v>4922</v>
      </c>
      <c r="H5" s="10">
        <v>4922</v>
      </c>
      <c r="I5" s="10">
        <v>4922</v>
      </c>
      <c r="J5" s="10">
        <v>4922</v>
      </c>
      <c r="K5" s="10">
        <v>4922</v>
      </c>
      <c r="L5" s="10">
        <v>4922</v>
      </c>
      <c r="M5" s="10">
        <v>4922</v>
      </c>
      <c r="N5" s="10">
        <f>SUM(B5:M5)</f>
        <v>59064</v>
      </c>
    </row>
    <row r="6" ht="24" customHeight="1" spans="1:14" x14ac:dyDescent="0.25">
      <c r="A6" s="1" t="s">
        <v>55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1185236</v>
      </c>
    </row>
    <row r="7" spans="1:14" x14ac:dyDescent="0.25">
      <c r="A7" s="12" t="s">
        <v>56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2026-03-26T12:59:27Z</dcterms:created>
  <dcterms:modified xsi:type="dcterms:W3CDTF">2026-03-26T12:59:27Z</dcterms:modified>
</cp:coreProperties>
</file>