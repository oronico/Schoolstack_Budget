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<sst xmlns="http://schemas.openxmlformats.org/spreadsheetml/2006/main" count="222" uniqueCount="153">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</sst>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9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138</v>
      </c>
      <c r="B1" s="40"/>
      <c r="C1" s="40"/>
      <c r="D1" s="40"/>
      <c r="E1" s="40"/>
      <c r="F1" s="40"/>
    </row>
    <row r="2" spans="1:1" x14ac:dyDescent="0.25">
      <c r="A2" s="41" t="s">
        <v>139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140</v>
      </c>
    </row>
    <row r="14" ht="24" customHeight="1" spans="1:6" x14ac:dyDescent="0.25">
      <c r="A14" s="8" t="s">
        <v>141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142</v>
      </c>
      <c r="B17" s="9" t="s">
        <v>143</v>
      </c>
      <c r="C17" s="42">
        <f>IF(B16=0,0,(C16-B16)/B16)</f>
        <v>0.5</v>
      </c>
      <c r="D17" s="42">
        <f>IF(C16=0,0,(D16-C16)/C16)</f>
        <v>0.2222222222222222</v>
      </c>
      <c r="E17" s="42">
        <f>IF(D16=0,0,(E16-D16)/D16)</f>
        <v>0.13636363636363635</v>
      </c>
      <c r="F17" s="42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3">
        <f>'Financial Model'!B7</f>
        <v>47106</v>
      </c>
      <c r="C24" s="43">
        <f>'Financial Model'!C7</f>
        <v>131586</v>
      </c>
      <c r="D24" s="43">
        <f>'Financial Model'!D7</f>
        <v>209627</v>
      </c>
      <c r="E24" s="43">
        <f>'Financial Model'!E7</f>
        <v>273265</v>
      </c>
      <c r="F24" s="43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144</v>
      </c>
      <c r="B28" s="8"/>
      <c r="C28" s="8"/>
      <c r="D28" s="8"/>
      <c r="E28" s="8"/>
      <c r="F28" s="8"/>
    </row>
    <row r="29" spans="1:6" x14ac:dyDescent="0.25">
      <c r="A29" s="22" t="s">
        <v>145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146</v>
      </c>
      <c r="B30" s="42">
        <f>IF(B20=0,0,'Financial Model'!B3/B20)</f>
        <v>0.5367057761732852</v>
      </c>
      <c r="C30" s="42">
        <f>IF(C20=0,0,'Financial Model'!C3/C20)</f>
        <v>0.43171165773893433</v>
      </c>
      <c r="D30" s="42">
        <f>IF(D20=0,0,'Financial Model'!D3/D20)</f>
        <v>0.3538133315885649</v>
      </c>
      <c r="E30" s="42">
        <f>IF(E20=0,0,'Financial Model'!E3/E20)</f>
        <v>0.31158719566529075</v>
      </c>
      <c r="F30" s="42">
        <f>IF(F20=0,0,'Financial Model'!F3/F20)</f>
        <v>0.3112549289361249</v>
      </c>
    </row>
    <row r="31" spans="1:6" x14ac:dyDescent="0.25">
      <c r="A31" s="22" t="s">
        <v>147</v>
      </c>
      <c r="B31" s="42">
        <f>IF(B20=0,0,'Financial Model'!B4/B20)</f>
        <v>0.21931407942238268</v>
      </c>
      <c r="C31" s="42">
        <f>IF(C20=0,0,'Financial Model'!C4/C20)</f>
        <v>0.16141281364533408</v>
      </c>
      <c r="D31" s="42">
        <f>IF(D20=0,0,'Financial Model'!D4/D20)</f>
        <v>0.14007842110920538</v>
      </c>
      <c r="E31" s="42">
        <f>IF(E20=0,0,'Financial Model'!E4/E20)</f>
        <v>0.12854282962850486</v>
      </c>
      <c r="F31" s="42">
        <f>IF(F20=0,0,'Financial Model'!F4/F20)</f>
        <v>0.12830057064243294</v>
      </c>
    </row>
    <row r="32" spans="1:6" x14ac:dyDescent="0.25">
      <c r="A32" s="34" t="s">
        <v>148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149</v>
      </c>
      <c r="B34" s="8"/>
      <c r="C34" s="8"/>
      <c r="D34" s="8"/>
      <c r="E34" s="8"/>
      <c r="F34" s="8"/>
    </row>
    <row r="35" spans="1:6" x14ac:dyDescent="0.25">
      <c r="A35" s="22" t="s">
        <v>150</v>
      </c>
      <c r="B35" s="42">
        <v>0.5983754512635379</v>
      </c>
      <c r="C35" s="42">
        <v>0.6012475331265859</v>
      </c>
      <c r="D35" s="42">
        <v>0.6018841638357006</v>
      </c>
      <c r="E35" s="42">
        <v>0.6019619693617106</v>
      </c>
      <c r="F35" s="42">
        <v>0.6009378300086227</v>
      </c>
    </row>
    <row r="36" spans="1:6" x14ac:dyDescent="0.25">
      <c r="A36" s="22" t="s">
        <v>151</v>
      </c>
      <c r="B36" s="42">
        <v>0.37906137184115524</v>
      </c>
      <c r="C36" s="42">
        <v>0.3811319424866084</v>
      </c>
      <c r="D36" s="42">
        <v>0.3817586245734857</v>
      </c>
      <c r="E36" s="42">
        <v>0.38205457351641053</v>
      </c>
      <c r="F36" s="42">
        <v>0.3816231822277338</v>
      </c>
    </row>
    <row r="37" spans="1:6" x14ac:dyDescent="0.25">
      <c r="A37" s="22" t="s">
        <v>152</v>
      </c>
      <c r="B37" s="42">
        <v>0.02256317689530686</v>
      </c>
      <c r="C37" s="42">
        <v>0.017620524386805753</v>
      </c>
      <c r="D37" s="42">
        <v>0.016357211590813603</v>
      </c>
      <c r="E37" s="42">
        <v>0.015983457121878854</v>
      </c>
      <c r="F37" s="42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2026-03-26T11:53:47Z</dcterms:created>
  <dcterms:modified xsi:type="dcterms:W3CDTF">2026-03-26T11:53:47Z</dcterms:modified>
</cp:coreProperties>
</file>