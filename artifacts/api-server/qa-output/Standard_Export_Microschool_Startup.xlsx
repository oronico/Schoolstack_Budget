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<sst xmlns="http://schemas.openxmlformats.org/spreadsheetml/2006/main" count="299" uniqueCount="211">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</sst>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5">
        <v>0.0657942238267148</v>
      </c>
      <c r="D17" s="55">
        <v>0.04842384409360022</v>
      </c>
      <c r="E17" s="55">
        <v>0.04202352633276161</v>
      </c>
      <c r="F17" s="55">
        <v>0.03856284888855146</v>
      </c>
      <c r="G17" s="55">
        <v>0.038490171192729884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8">
        <v>3</v>
      </c>
      <c r="D19" s="58">
        <v>3</v>
      </c>
      <c r="E19" s="58">
        <v>3</v>
      </c>
      <c r="F19" s="58">
        <v>3</v>
      </c>
      <c r="G19" s="58">
        <v>3</v>
      </c>
      <c r="H19" s="57" t="s">
        <v>177</v>
      </c>
    </row>
    <row r="20" spans="2:8" x14ac:dyDescent="0.25">
      <c r="B20" s="53" t="s">
        <v>178</v>
      </c>
      <c r="C20" s="59">
        <v>7.768317132140687</v>
      </c>
      <c r="D20" s="59">
        <v>19.906582055072757</v>
      </c>
      <c r="E20" s="59">
        <v>31.11967785112557</v>
      </c>
      <c r="F20" s="59">
        <v>40.26332017079355</v>
      </c>
      <c r="G20" s="59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0" t="str">
        <f>IF(AND('Financial Model'!C8&gt;=0,'Financial Model'!B8&lt;0),"✓ Break-even","")</f>
        <v>0</v>
      </c>
      <c r="E21" s="60" t="str">
        <f>IF(AND('Financial Model'!D8&gt;=0,'Financial Model'!C8&lt;0),"✓ Break-even","")</f>
        <v>0</v>
      </c>
      <c r="F21" s="60" t="str">
        <f>IF(AND('Financial Model'!E8&gt;=0,'Financial Model'!D8&lt;0),"✓ Break-even","")</f>
        <v>0</v>
      </c>
      <c r="G21" s="60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1">
        <v>3</v>
      </c>
      <c r="D22" s="61">
        <v>10</v>
      </c>
      <c r="E22" s="62">
        <v>21</v>
      </c>
      <c r="F22" s="58">
        <v>35</v>
      </c>
      <c r="G22" s="58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3" t="s">
        <v>187</v>
      </c>
      <c r="C25" s="40" t="s">
        <v>188</v>
      </c>
      <c r="D25" s="64" t="s">
        <v>189</v>
      </c>
      <c r="E25" s="64"/>
      <c r="F25" s="65" t="s">
        <v>190</v>
      </c>
      <c r="G25" s="65"/>
      <c r="H25" s="65"/>
    </row>
    <row r="26" ht="45" customHeight="1" spans="2:8" x14ac:dyDescent="0.25">
      <c r="B26" s="63" t="s">
        <v>191</v>
      </c>
      <c r="C26" s="40" t="s">
        <v>188</v>
      </c>
      <c r="D26" s="64" t="s">
        <v>192</v>
      </c>
      <c r="E26" s="64"/>
      <c r="F26" s="65" t="s">
        <v>193</v>
      </c>
      <c r="G26" s="65"/>
      <c r="H26" s="65"/>
    </row>
    <row r="27" ht="45" customHeight="1" spans="2:8" x14ac:dyDescent="0.25">
      <c r="B27" s="63" t="s">
        <v>194</v>
      </c>
      <c r="C27" s="40" t="s">
        <v>188</v>
      </c>
      <c r="D27" s="64" t="s">
        <v>195</v>
      </c>
      <c r="E27" s="64"/>
      <c r="F27" s="65" t="s">
        <v>196</v>
      </c>
      <c r="G27" s="65"/>
      <c r="H27" s="65"/>
    </row>
    <row r="28" ht="45" customHeight="1" spans="2:8" x14ac:dyDescent="0.25">
      <c r="B28" s="63" t="s">
        <v>197</v>
      </c>
      <c r="C28" s="40" t="s">
        <v>188</v>
      </c>
      <c r="D28" s="64" t="s">
        <v>198</v>
      </c>
      <c r="E28" s="64"/>
      <c r="F28" s="65" t="s">
        <v>199</v>
      </c>
      <c r="G28" s="65"/>
      <c r="H28" s="65"/>
    </row>
    <row r="29" ht="45" customHeight="1" spans="2:8" x14ac:dyDescent="0.25">
      <c r="B29" s="63" t="s">
        <v>200</v>
      </c>
      <c r="C29" s="40" t="s">
        <v>188</v>
      </c>
      <c r="D29" s="64" t="s">
        <v>201</v>
      </c>
      <c r="E29" s="64"/>
      <c r="F29" s="65" t="s">
        <v>202</v>
      </c>
      <c r="G29" s="65"/>
      <c r="H29" s="65"/>
    </row>
    <row r="30" ht="45" customHeight="1" spans="2:8" x14ac:dyDescent="0.25">
      <c r="B30" s="63" t="s">
        <v>203</v>
      </c>
      <c r="C30" s="40" t="s">
        <v>188</v>
      </c>
      <c r="D30" s="64" t="s">
        <v>204</v>
      </c>
      <c r="E30" s="64"/>
      <c r="F30" s="65" t="s">
        <v>205</v>
      </c>
      <c r="G30" s="65"/>
      <c r="H30" s="65"/>
    </row>
    <row r="31" ht="45" customHeight="1" spans="2:8" x14ac:dyDescent="0.25">
      <c r="B31" s="63" t="s">
        <v>206</v>
      </c>
      <c r="C31" s="40" t="s">
        <v>188</v>
      </c>
      <c r="D31" s="64" t="s">
        <v>207</v>
      </c>
      <c r="E31" s="64"/>
      <c r="F31" s="65" t="s">
        <v>208</v>
      </c>
      <c r="G31" s="65"/>
      <c r="H31" s="65"/>
    </row>
    <row r="33" spans="2:6" x14ac:dyDescent="0.25">
      <c r="B33" s="63" t="s">
        <v>20</v>
      </c>
      <c r="C33" s="53" t="s">
        <v>209</v>
      </c>
      <c r="D33" s="53"/>
      <c r="E33" s="53"/>
      <c r="F33" s="53"/>
    </row>
    <row r="35" spans="2:8" x14ac:dyDescent="0.25">
      <c r="B35" s="66" t="s">
        <v>210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2026-03-26T12:38:16Z</dcterms:created>
  <dcterms:modified xsi:type="dcterms:W3CDTF">2026-03-26T12:38:16Z</dcterms:modified>
</cp:coreProperties>
</file>