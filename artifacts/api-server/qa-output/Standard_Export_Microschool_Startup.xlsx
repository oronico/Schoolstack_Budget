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Health'!$A1:$H40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<sst xmlns="http://schemas.openxmlformats.org/spreadsheetml/2006/main" count="306" uniqueCount="218">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</sst>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7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>
        <f>SUM(B14:B14)</f>
        <v>5000</v>
      </c>
      <c r="C15" s="31">
        <f>SUM(C14:C14)</f>
        <v>6000</v>
      </c>
      <c r="D15" s="31">
        <f>SUM(D14:D14)</f>
        <v>7000</v>
      </c>
      <c r="E15" s="31">
        <f>SUM(E14:E14)</f>
        <v>8000</v>
      </c>
      <c r="F15" s="31">
        <f>SUM(F14:F14)</f>
        <v>9000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7" x14ac:dyDescent="0.25">
      <c r="B16" s="53" t="s">
        <v>170</v>
      </c>
      <c r="C16" s="58">
        <v>14541.150712549514</v>
      </c>
      <c r="D16" s="58">
        <v>11606.989363921899</v>
      </c>
      <c r="E16" s="58">
        <v>9923.582206845189</v>
      </c>
      <c r="F16" s="58">
        <v>9090.112342023767</v>
      </c>
      <c r="G16" s="58">
        <v>9352.312342023766</v>
      </c>
    </row>
    <row r="17" spans="2:7" x14ac:dyDescent="0.25">
      <c r="B17" s="9" t="s">
        <v>171</v>
      </c>
      <c r="C17" s="52">
        <v>500</v>
      </c>
      <c r="D17" s="52">
        <v>515</v>
      </c>
      <c r="E17" s="52">
        <v>530</v>
      </c>
      <c r="F17" s="52">
        <v>546</v>
      </c>
      <c r="G17" s="52">
        <v>562</v>
      </c>
    </row>
    <row r="18" spans="2:8" x14ac:dyDescent="0.25">
      <c r="B18" s="9" t="s">
        <v>172</v>
      </c>
      <c r="C18" s="59">
        <v>3000</v>
      </c>
      <c r="D18" s="59">
        <v>2058.6666666666665</v>
      </c>
      <c r="E18" s="56">
        <v>1733.6818181818182</v>
      </c>
      <c r="F18" s="56">
        <v>1570.1924</v>
      </c>
      <c r="G18" s="56">
        <v>1615.9705720000002</v>
      </c>
      <c r="H18" s="57" t="s">
        <v>173</v>
      </c>
    </row>
    <row r="19" spans="2:7" x14ac:dyDescent="0.25">
      <c r="B19" s="53" t="s">
        <v>174</v>
      </c>
      <c r="C19" s="60">
        <v>3925.5</v>
      </c>
      <c r="D19" s="60">
        <v>7310.333333333333</v>
      </c>
      <c r="E19" s="60">
        <v>9528.5</v>
      </c>
      <c r="F19" s="60">
        <v>10930.6</v>
      </c>
      <c r="G19" s="60">
        <v>11291.08</v>
      </c>
    </row>
    <row r="20" spans="2:8" x14ac:dyDescent="0.25">
      <c r="B20" s="53" t="s">
        <v>175</v>
      </c>
      <c r="C20" s="55">
        <v>0.5367057761732852</v>
      </c>
      <c r="D20" s="55">
        <v>0.43171165773893433</v>
      </c>
      <c r="E20" s="55">
        <v>0.3538133315885649</v>
      </c>
      <c r="F20" s="55">
        <v>0.31158719566529075</v>
      </c>
      <c r="G20" s="55">
        <v>0.3112549289361249</v>
      </c>
      <c r="H20" s="57" t="s">
        <v>176</v>
      </c>
    </row>
    <row r="21" spans="2:8" x14ac:dyDescent="0.25">
      <c r="B21" s="53" t="s">
        <v>177</v>
      </c>
      <c r="C21" s="61">
        <v>0.1624548736462094</v>
      </c>
      <c r="D21" s="55">
        <v>0.10882435861291231</v>
      </c>
      <c r="E21" s="55">
        <v>0.08912573081650489</v>
      </c>
      <c r="F21" s="55">
        <v>0.07842836821053388</v>
      </c>
      <c r="G21" s="55">
        <v>0.07828025286532257</v>
      </c>
      <c r="H21" s="57" t="s">
        <v>178</v>
      </c>
    </row>
    <row r="22" spans="2:8" x14ac:dyDescent="0.25">
      <c r="B22" s="53" t="s">
        <v>179</v>
      </c>
      <c r="C22" s="55">
        <v>0.24398014440433213</v>
      </c>
      <c r="D22" s="55">
        <v>0.4068755286157316</v>
      </c>
      <c r="E22" s="55">
        <v>0.5061082473022297</v>
      </c>
      <c r="F22" s="55">
        <v>0.5598699747062044</v>
      </c>
      <c r="G22" s="55">
        <v>0.5604445004214422</v>
      </c>
      <c r="H22" s="57" t="s">
        <v>180</v>
      </c>
    </row>
    <row r="23" spans="2:8" x14ac:dyDescent="0.25">
      <c r="B23" s="53" t="s">
        <v>181</v>
      </c>
      <c r="C23" s="62">
        <v>3</v>
      </c>
      <c r="D23" s="62">
        <v>3</v>
      </c>
      <c r="E23" s="62">
        <v>3</v>
      </c>
      <c r="F23" s="62">
        <v>3</v>
      </c>
      <c r="G23" s="62">
        <v>3</v>
      </c>
      <c r="H23" s="57" t="s">
        <v>182</v>
      </c>
    </row>
    <row r="24" spans="2:8" x14ac:dyDescent="0.25">
      <c r="B24" s="53" t="s">
        <v>183</v>
      </c>
      <c r="C24" s="63">
        <v>7.768317132140687</v>
      </c>
      <c r="D24" s="63">
        <v>19.906582055072757</v>
      </c>
      <c r="E24" s="63">
        <v>31.11967785112557</v>
      </c>
      <c r="F24" s="63">
        <v>40.26332017079355</v>
      </c>
      <c r="G24" s="63">
        <v>41.558183374930195</v>
      </c>
      <c r="H24" s="57" t="s">
        <v>184</v>
      </c>
    </row>
    <row r="25" spans="2:8" x14ac:dyDescent="0.25">
      <c r="B25" s="53" t="s">
        <v>185</v>
      </c>
      <c r="C25" s="40" t="str">
        <f>IF('Financial Model'!B8&gt;=0,"✓ Break-even","")</f>
        <v>✓ Break-even</v>
      </c>
      <c r="D25" s="64" t="str">
        <f>IF(AND('Financial Model'!C8&gt;=0,'Financial Model'!B8&lt;0),"✓ Break-even","")</f>
        <v>0</v>
      </c>
      <c r="E25" s="64" t="str">
        <f>IF(AND('Financial Model'!D8&gt;=0,'Financial Model'!C8&lt;0),"✓ Break-even","")</f>
        <v>0</v>
      </c>
      <c r="F25" s="64" t="str">
        <f>IF(AND('Financial Model'!E8&gt;=0,'Financial Model'!D8&lt;0),"✓ Break-even","")</f>
        <v>0</v>
      </c>
      <c r="G25" s="64" t="str">
        <f>IF(AND('Financial Model'!F8&gt;=0,'Financial Model'!E8&lt;0),"✓ Break-even","")</f>
        <v>0</v>
      </c>
      <c r="H25" s="57" t="s">
        <v>66</v>
      </c>
    </row>
    <row r="26" spans="2:8" x14ac:dyDescent="0.25">
      <c r="B26" s="53" t="s">
        <v>186</v>
      </c>
      <c r="C26" s="65">
        <v>3</v>
      </c>
      <c r="D26" s="65">
        <v>10</v>
      </c>
      <c r="E26" s="66">
        <v>21</v>
      </c>
      <c r="F26" s="62">
        <v>35</v>
      </c>
      <c r="G26" s="62">
        <v>48</v>
      </c>
      <c r="H26" s="57" t="s">
        <v>187</v>
      </c>
    </row>
    <row r="27" spans="2:8" x14ac:dyDescent="0.25">
      <c r="B27" s="53" t="s">
        <v>188</v>
      </c>
      <c r="C27" s="62">
        <v>99</v>
      </c>
      <c r="D27" s="62">
        <v>312</v>
      </c>
      <c r="E27" s="62">
        <v>649</v>
      </c>
      <c r="F27" s="62">
        <v>1063</v>
      </c>
      <c r="G27" s="62">
        <v>1473</v>
      </c>
      <c r="H27" s="57" t="s">
        <v>189</v>
      </c>
    </row>
    <row r="29" ht="24" customHeight="1" spans="2:8" x14ac:dyDescent="0.25">
      <c r="B29" s="8" t="s">
        <v>190</v>
      </c>
      <c r="C29" s="8" t="s">
        <v>191</v>
      </c>
      <c r="D29" s="8" t="s">
        <v>192</v>
      </c>
      <c r="E29" s="8"/>
      <c r="F29" s="8" t="s">
        <v>193</v>
      </c>
      <c r="G29" s="8"/>
      <c r="H29" s="8"/>
    </row>
    <row r="30" ht="45" customHeight="1" spans="2:8" x14ac:dyDescent="0.25">
      <c r="B30" s="67" t="s">
        <v>194</v>
      </c>
      <c r="C30" s="40" t="s">
        <v>195</v>
      </c>
      <c r="D30" s="68" t="s">
        <v>196</v>
      </c>
      <c r="E30" s="68"/>
      <c r="F30" s="69" t="s">
        <v>197</v>
      </c>
      <c r="G30" s="69"/>
      <c r="H30" s="69"/>
    </row>
    <row r="31" ht="45" customHeight="1" spans="2:8" x14ac:dyDescent="0.25">
      <c r="B31" s="67" t="s">
        <v>198</v>
      </c>
      <c r="C31" s="40" t="s">
        <v>195</v>
      </c>
      <c r="D31" s="68" t="s">
        <v>199</v>
      </c>
      <c r="E31" s="68"/>
      <c r="F31" s="69" t="s">
        <v>200</v>
      </c>
      <c r="G31" s="69"/>
      <c r="H31" s="69"/>
    </row>
    <row r="32" ht="45" customHeight="1" spans="2:8" x14ac:dyDescent="0.25">
      <c r="B32" s="67" t="s">
        <v>201</v>
      </c>
      <c r="C32" s="40" t="s">
        <v>195</v>
      </c>
      <c r="D32" s="68" t="s">
        <v>202</v>
      </c>
      <c r="E32" s="68"/>
      <c r="F32" s="69" t="s">
        <v>203</v>
      </c>
      <c r="G32" s="69"/>
      <c r="H32" s="69"/>
    </row>
    <row r="33" ht="45" customHeight="1" spans="2:8" x14ac:dyDescent="0.25">
      <c r="B33" s="67" t="s">
        <v>204</v>
      </c>
      <c r="C33" s="40" t="s">
        <v>195</v>
      </c>
      <c r="D33" s="68" t="s">
        <v>205</v>
      </c>
      <c r="E33" s="68"/>
      <c r="F33" s="69" t="s">
        <v>206</v>
      </c>
      <c r="G33" s="69"/>
      <c r="H33" s="69"/>
    </row>
    <row r="34" ht="45" customHeight="1" spans="2:8" x14ac:dyDescent="0.25">
      <c r="B34" s="67" t="s">
        <v>207</v>
      </c>
      <c r="C34" s="40" t="s">
        <v>195</v>
      </c>
      <c r="D34" s="68" t="s">
        <v>208</v>
      </c>
      <c r="E34" s="68"/>
      <c r="F34" s="69" t="s">
        <v>209</v>
      </c>
      <c r="G34" s="69"/>
      <c r="H34" s="69"/>
    </row>
    <row r="35" ht="45" customHeight="1" spans="2:8" x14ac:dyDescent="0.25">
      <c r="B35" s="67" t="s">
        <v>210</v>
      </c>
      <c r="C35" s="40" t="s">
        <v>195</v>
      </c>
      <c r="D35" s="68" t="s">
        <v>211</v>
      </c>
      <c r="E35" s="68"/>
      <c r="F35" s="69" t="s">
        <v>212</v>
      </c>
      <c r="G35" s="69"/>
      <c r="H35" s="69"/>
    </row>
    <row r="36" ht="45" customHeight="1" spans="2:8" x14ac:dyDescent="0.25">
      <c r="B36" s="67" t="s">
        <v>213</v>
      </c>
      <c r="C36" s="40" t="s">
        <v>195</v>
      </c>
      <c r="D36" s="68" t="s">
        <v>214</v>
      </c>
      <c r="E36" s="68"/>
      <c r="F36" s="69" t="s">
        <v>215</v>
      </c>
      <c r="G36" s="69"/>
      <c r="H36" s="69"/>
    </row>
    <row r="38" spans="2:6" x14ac:dyDescent="0.25">
      <c r="B38" s="67" t="s">
        <v>20</v>
      </c>
      <c r="C38" s="53" t="s">
        <v>216</v>
      </c>
      <c r="D38" s="53"/>
      <c r="E38" s="53"/>
      <c r="F38" s="53"/>
    </row>
    <row r="40" spans="2:8" x14ac:dyDescent="0.25">
      <c r="B40" s="70" t="s">
        <v>217</v>
      </c>
      <c r="C40" s="70"/>
      <c r="D40" s="70"/>
      <c r="E40" s="70"/>
      <c r="F40" s="70"/>
      <c r="G40" s="70"/>
      <c r="H40" s="70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2026-03-27T03:49:34Z</dcterms:created>
  <dcterms:modified xsi:type="dcterms:W3CDTF">2026-03-27T03:49:34Z</dcterms:modified>
</cp:coreProperties>
</file>