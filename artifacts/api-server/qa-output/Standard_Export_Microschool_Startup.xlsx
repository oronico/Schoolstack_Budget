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Personnel'!$A1:$H30</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<sst xmlns="http://schemas.openxmlformats.org/spreadsheetml/2006/main" count="329" uniqueCount="235">
  <si>
    <t>SchoolStack Budget</t>
  </si>
  <si>
    <t>5-Year Financial Model</t>
  </si>
  <si>
    <t>Prepared for</t>
  </si>
  <si>
    <t>Bright Horizons Microschool</t>
  </si>
  <si>
    <t>Microschool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</si>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</sst>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row r="24" ht="24" customHeight="1" spans="1:7" x14ac:dyDescent="0.25">
      <c r="A24" s="8" t="s">
        <v>117</v>
      </c>
      <c r="B24" s="8"/>
      <c r="C24" s="8"/>
      <c r="D24" s="8"/>
      <c r="E24" s="8"/>
      <c r="F24" s="8"/>
      <c r="G24" s="8" t="s">
        <v>118</v>
      </c>
    </row>
    <row r="25" spans="1:7" x14ac:dyDescent="0.25">
      <c r="A25" s="22" t="s">
        <v>119</v>
      </c>
      <c r="B25" s="30">
        <v>55000</v>
      </c>
      <c r="C25" s="30">
        <v>56650</v>
      </c>
      <c r="D25" s="30">
        <v>58350</v>
      </c>
      <c r="E25" s="30">
        <v>60100</v>
      </c>
      <c r="F25" s="30">
        <v>61903</v>
      </c>
      <c r="G25" s="30">
        <f>SUM(B25:F25)</f>
        <v>292003</v>
      </c>
    </row>
    <row r="26" spans="1:7" x14ac:dyDescent="0.25">
      <c r="A26" s="22" t="s">
        <v>120</v>
      </c>
      <c r="B26" s="30">
        <v>70208</v>
      </c>
      <c r="C26" s="30">
        <v>72314</v>
      </c>
      <c r="D26" s="30">
        <v>74484</v>
      </c>
      <c r="E26" s="30">
        <v>76718</v>
      </c>
      <c r="F26" s="30">
        <v>79019</v>
      </c>
      <c r="G26" s="30">
        <f>SUM(B26:F26)</f>
        <v>372743</v>
      </c>
    </row>
    <row r="27" spans="1:7" x14ac:dyDescent="0.25">
      <c r="A27" s="22" t="s">
        <v>121</v>
      </c>
      <c r="B27" s="30">
        <v>70000</v>
      </c>
      <c r="C27" s="30">
        <v>72000</v>
      </c>
      <c r="D27" s="30">
        <v>74000</v>
      </c>
      <c r="E27" s="30">
        <v>76000</v>
      </c>
      <c r="F27" s="30">
        <v>79000</v>
      </c>
      <c r="G27" s="30">
        <f>SUM(B27:F27)</f>
        <v>371000</v>
      </c>
    </row>
    <row r="28" spans="1:7" x14ac:dyDescent="0.25">
      <c r="A28" s="22" t="s">
        <v>120</v>
      </c>
      <c r="B28" s="30">
        <v>89355</v>
      </c>
      <c r="C28" s="30">
        <v>91908</v>
      </c>
      <c r="D28" s="30">
        <v>94461</v>
      </c>
      <c r="E28" s="30">
        <v>97014</v>
      </c>
      <c r="F28" s="30">
        <v>100844</v>
      </c>
      <c r="G28" s="30">
        <f>SUM(B28:F28)</f>
        <v>473582</v>
      </c>
    </row>
    <row r="29" spans="1:7" x14ac:dyDescent="0.25">
      <c r="A29" s="34" t="s">
        <v>122</v>
      </c>
      <c r="B29" s="10">
        <v>19148</v>
      </c>
      <c r="C29" s="10">
        <v>19594</v>
      </c>
      <c r="D29" s="10">
        <v>19977</v>
      </c>
      <c r="E29" s="10">
        <v>20296</v>
      </c>
      <c r="F29" s="10">
        <v>21824</v>
      </c>
      <c r="G29" s="10">
        <f>SUM(B29:F29)</f>
        <v>100839</v>
      </c>
    </row>
    <row r="30" ht="32" customHeight="1" spans="1:7" s="39" customFormat="1" x14ac:dyDescent="0.25">
      <c r="A30" s="40" t="s">
        <v>123</v>
      </c>
      <c r="B30" s="40"/>
      <c r="C30" s="40"/>
      <c r="D30" s="40"/>
      <c r="E30" s="40"/>
      <c r="F30" s="40"/>
      <c r="G30" s="40"/>
    </row>
  </sheetData>
  <mergeCells count="2">
    <mergeCell ref="A1:H1"/>
    <mergeCell ref="A30:G30"/>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124</v>
      </c>
      <c r="B3" s="8"/>
      <c r="C3" s="8"/>
      <c r="D3" s="8"/>
      <c r="E3" s="8"/>
      <c r="F3" s="8"/>
    </row>
    <row r="4" spans="1:6" x14ac:dyDescent="0.25">
      <c r="A4" s="22" t="s">
        <v>125</v>
      </c>
      <c r="B4" s="30">
        <f>500*Assumptions!B23</f>
        <v>6000</v>
      </c>
      <c r="C4" s="30">
        <f>515*Assumptions!B24</f>
        <v>9270</v>
      </c>
      <c r="D4" s="30">
        <f>530*Assumptions!B25</f>
        <v>11660</v>
      </c>
      <c r="E4" s="30">
        <f>546*Assumptions!B26</f>
        <v>13650</v>
      </c>
      <c r="F4" s="30">
        <f>562*Assumptions!B27</f>
        <v>14050</v>
      </c>
    </row>
    <row r="5" ht="24" customHeight="1" spans="1:6" x14ac:dyDescent="0.25">
      <c r="A5" s="8" t="s">
        <v>126</v>
      </c>
      <c r="B5" s="31">
        <f>SUM(B4:B4)</f>
        <v>6000</v>
      </c>
      <c r="C5" s="31">
        <f>SUM(C4:C4)</f>
        <v>9270</v>
      </c>
      <c r="D5" s="31">
        <f>SUM(D4:D4)</f>
        <v>11660</v>
      </c>
      <c r="E5" s="31">
        <f>SUM(E4:E4)</f>
        <v>13650</v>
      </c>
      <c r="F5" s="31">
        <f>SUM(F4:F4)</f>
        <v>14050</v>
      </c>
    </row>
    <row r="6" ht="24" customHeight="1" spans="1:6" x14ac:dyDescent="0.25">
      <c r="A6" s="8" t="s">
        <v>127</v>
      </c>
      <c r="B6" s="8"/>
      <c r="C6" s="8"/>
      <c r="D6" s="8"/>
      <c r="E6" s="8"/>
      <c r="F6" s="8"/>
    </row>
    <row r="7" spans="1:6" x14ac:dyDescent="0.25">
      <c r="A7" s="22" t="s">
        <v>128</v>
      </c>
      <c r="B7" s="30">
        <f>300*Assumptions!B23</f>
        <v>3600</v>
      </c>
      <c r="C7" s="30">
        <f>309*Assumptions!B24</f>
        <v>5562</v>
      </c>
      <c r="D7" s="30">
        <f>318*Assumptions!B25</f>
        <v>6996</v>
      </c>
      <c r="E7" s="30">
        <f>328*Assumptions!B26</f>
        <v>8200</v>
      </c>
      <c r="F7" s="30">
        <f>338*Assumptions!B27</f>
        <v>8450</v>
      </c>
    </row>
    <row r="8" ht="24" customHeight="1" spans="1:6" x14ac:dyDescent="0.25">
      <c r="A8" s="8" t="s">
        <v>129</v>
      </c>
      <c r="B8" s="31">
        <f>SUM(B7:B7)</f>
        <v>3600</v>
      </c>
      <c r="C8" s="31">
        <f>SUM(C7:C7)</f>
        <v>5562</v>
      </c>
      <c r="D8" s="31">
        <f>SUM(D7:D7)</f>
        <v>6996</v>
      </c>
      <c r="E8" s="31">
        <f>SUM(E7:E7)</f>
        <v>8200</v>
      </c>
      <c r="F8" s="31">
        <f>SUM(F7:F7)</f>
        <v>8450</v>
      </c>
    </row>
    <row r="9" ht="24" customHeight="1" spans="1:6" x14ac:dyDescent="0.25">
      <c r="A9" s="8" t="s">
        <v>130</v>
      </c>
      <c r="B9" s="8"/>
      <c r="C9" s="8"/>
      <c r="D9" s="8"/>
      <c r="E9" s="8"/>
      <c r="F9" s="8"/>
    </row>
    <row r="10" spans="1:6" x14ac:dyDescent="0.25">
      <c r="A10" s="22" t="s">
        <v>131</v>
      </c>
      <c r="B10" s="30">
        <f>2500*12</f>
        <v>30000</v>
      </c>
      <c r="C10" s="30">
        <f>2575*12</f>
        <v>30900</v>
      </c>
      <c r="D10" s="30">
        <f>2652*12</f>
        <v>31824</v>
      </c>
      <c r="E10" s="30">
        <f>2732*12</f>
        <v>32784</v>
      </c>
      <c r="F10" s="30">
        <f>2814*12</f>
        <v>33768</v>
      </c>
    </row>
    <row r="11" spans="1:6" x14ac:dyDescent="0.25">
      <c r="A11" s="22" t="s">
        <v>132</v>
      </c>
      <c r="B11" s="30">
        <f>300*12</f>
        <v>3600</v>
      </c>
      <c r="C11" s="30">
        <f>308*12</f>
        <v>3696</v>
      </c>
      <c r="D11" s="30">
        <f>316*12</f>
        <v>3792</v>
      </c>
      <c r="E11" s="30">
        <f>324*12</f>
        <v>3888</v>
      </c>
      <c r="F11" s="30">
        <f>332*12</f>
        <v>3984</v>
      </c>
    </row>
    <row r="12" spans="1:6" x14ac:dyDescent="0.25">
      <c r="A12" s="22" t="s">
        <v>133</v>
      </c>
      <c r="B12" s="30">
        <v>2400</v>
      </c>
      <c r="C12" s="30">
        <v>2460</v>
      </c>
      <c r="D12" s="30">
        <v>2522</v>
      </c>
      <c r="E12" s="30">
        <v>2585</v>
      </c>
      <c r="F12" s="30">
        <v>2650</v>
      </c>
    </row>
    <row r="13" ht="24" customHeight="1" spans="1:6" x14ac:dyDescent="0.25">
      <c r="A13" s="8" t="s">
        <v>134</v>
      </c>
      <c r="B13" s="31">
        <f>SUM(B10:B12)</f>
        <v>36000</v>
      </c>
      <c r="C13" s="31">
        <f>SUM(C10:C12)</f>
        <v>37056</v>
      </c>
      <c r="D13" s="31">
        <f>SUM(D10:D12)</f>
        <v>38138</v>
      </c>
      <c r="E13" s="31">
        <f>SUM(E10:E12)</f>
        <v>39257</v>
      </c>
      <c r="F13" s="31">
        <f>SUM(F10:F12)</f>
        <v>40402</v>
      </c>
    </row>
    <row r="14" ht="24" customHeight="1" spans="1:6" x14ac:dyDescent="0.25">
      <c r="A14" s="8" t="s">
        <v>135</v>
      </c>
      <c r="B14" s="8"/>
      <c r="C14" s="8"/>
      <c r="D14" s="8"/>
      <c r="E14" s="8"/>
      <c r="F14" s="8"/>
    </row>
    <row r="15" spans="1:6" x14ac:dyDescent="0.25">
      <c r="A15" s="22" t="s">
        <v>136</v>
      </c>
      <c r="B15" s="30">
        <v>3000</v>
      </c>
      <c r="C15" s="30">
        <v>3075</v>
      </c>
      <c r="D15" s="30">
        <v>3152</v>
      </c>
      <c r="E15" s="30">
        <v>3231</v>
      </c>
      <c r="F15" s="30">
        <v>3312</v>
      </c>
    </row>
    <row r="16" ht="24" customHeight="1" spans="1:6" x14ac:dyDescent="0.25">
      <c r="A16" s="8" t="s">
        <v>137</v>
      </c>
      <c r="B16" s="31">
        <f>SUM(B15:B15)</f>
        <v>3000</v>
      </c>
      <c r="C16" s="31">
        <f>SUM(C15:C15)</f>
        <v>3075</v>
      </c>
      <c r="D16" s="31">
        <f>SUM(D15:D15)</f>
        <v>3152</v>
      </c>
      <c r="E16" s="31">
        <f>SUM(E15:E15)</f>
        <v>3231</v>
      </c>
      <c r="F16" s="31">
        <f>SUM(F15:F15)</f>
        <v>3312</v>
      </c>
    </row>
    <row r="18" ht="24" customHeight="1" spans="1:6" x14ac:dyDescent="0.25">
      <c r="A18" s="8" t="s">
        <v>138</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6959.808550594178</v>
      </c>
      <c r="C3" s="30">
        <v>6959.808550594178</v>
      </c>
      <c r="D3" s="30">
        <v>6959.808550594178</v>
      </c>
      <c r="E3" s="30">
        <v>6959.808550594178</v>
      </c>
      <c r="F3" s="30">
        <v>6959.808550594178</v>
      </c>
    </row>
    <row r="4" ht="24" customHeight="1" spans="1:6" x14ac:dyDescent="0.25">
      <c r="A4" s="8" t="s">
        <v>141</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142</v>
      </c>
      <c r="B2" s="30">
        <f>'Revenue Schedule'!B17</f>
        <v>221600</v>
      </c>
      <c r="C2" s="30">
        <f>'Revenue Schedule'!C17</f>
        <v>340512</v>
      </c>
      <c r="D2" s="30">
        <f>'Revenue Schedule'!D17</f>
        <v>427946</v>
      </c>
      <c r="E2" s="30">
        <f>'Revenue Schedule'!E17</f>
        <v>500518</v>
      </c>
      <c r="F2" s="30">
        <f>'Revenue Schedule'!F17</f>
        <v>516085</v>
      </c>
    </row>
    <row r="3" spans="1:6" x14ac:dyDescent="0.25">
      <c r="A3" s="22" t="s">
        <v>143</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144</v>
      </c>
      <c r="B6" s="31">
        <f>B3+B4+B5</f>
        <v>174494</v>
      </c>
      <c r="C6" s="31">
        <f>C3+C4+C5</f>
        <v>208926</v>
      </c>
      <c r="D6" s="31">
        <f>D3+D4+D5</f>
        <v>218319</v>
      </c>
      <c r="E6" s="31">
        <f>E3+E4+E5</f>
        <v>227253</v>
      </c>
      <c r="F6" s="31">
        <f>F3+F4+F5</f>
        <v>233808</v>
      </c>
    </row>
    <row r="7" ht="24" customHeight="1" spans="1:6" x14ac:dyDescent="0.25">
      <c r="A7" s="8" t="s">
        <v>145</v>
      </c>
      <c r="B7" s="31">
        <f>B2-B6</f>
        <v>47106</v>
      </c>
      <c r="C7" s="31">
        <f>C2-C6</f>
        <v>131586</v>
      </c>
      <c r="D7" s="31">
        <f>D2-D6</f>
        <v>209627</v>
      </c>
      <c r="E7" s="31">
        <f>E2-E6</f>
        <v>273265</v>
      </c>
      <c r="F7" s="31">
        <f>F2-F6</f>
        <v>282277</v>
      </c>
    </row>
    <row r="8" spans="1:6" x14ac:dyDescent="0.25">
      <c r="A8" s="22" t="s">
        <v>146</v>
      </c>
      <c r="B8" s="30">
        <f>B7</f>
        <v>47106</v>
      </c>
      <c r="C8" s="30">
        <f>B8+C7</f>
        <v>178692</v>
      </c>
      <c r="D8" s="30">
        <f>C8+D7</f>
        <v>388319</v>
      </c>
      <c r="E8" s="30">
        <f>D8+E7</f>
        <v>661584</v>
      </c>
      <c r="F8" s="30">
        <f>E8+F7</f>
        <v>943861</v>
      </c>
    </row>
    <row r="9" spans="1:6" x14ac:dyDescent="0.25">
      <c r="A9" s="22" t="s">
        <v>11</v>
      </c>
      <c r="B9" s="41">
        <f>IF(B6=0,0,IF(B8&gt;0,B8/(B6/12),0))</f>
        <v>3.2394924753859735</v>
      </c>
      <c r="C9" s="41">
        <f>IF(C6=0,0,IF(C8&gt;0,C8/(C6/12),0))</f>
        <v>10.263461704144051</v>
      </c>
      <c r="D9" s="41">
        <f>IF(D6=0,0,IF(D8&gt;0,D8/(D6/12),0))</f>
        <v>21.34412488148077</v>
      </c>
      <c r="E9" s="41">
        <f>IF(E6=0,0,IF(E8&gt;0,E8/(E6/12),0))</f>
        <v>34.93466752914153</v>
      </c>
      <c r="F9" s="41">
        <f>IF(F6=0,0,IF(F8&gt;0,F8/(F6/12),0))</f>
        <v>48.44287620611784</v>
      </c>
    </row>
    <row r="11" ht="24" customHeight="1" spans="1:7" x14ac:dyDescent="0.25">
      <c r="A11" s="8" t="s">
        <v>147</v>
      </c>
      <c r="B11" s="8"/>
      <c r="C11" s="8"/>
      <c r="D11" s="8"/>
      <c r="E11" s="8"/>
      <c r="F11" s="8"/>
      <c r="G11" s="8" t="s">
        <v>118</v>
      </c>
    </row>
    <row r="12" spans="1:7" x14ac:dyDescent="0.25">
      <c r="A12" s="22" t="s">
        <v>148</v>
      </c>
      <c r="B12" s="30">
        <v>70208</v>
      </c>
      <c r="C12" s="30">
        <v>72314</v>
      </c>
      <c r="D12" s="30">
        <v>74484</v>
      </c>
      <c r="E12" s="30">
        <v>76718</v>
      </c>
      <c r="F12" s="30">
        <v>79019</v>
      </c>
      <c r="G12" s="30">
        <f>SUM(B12:F12)</f>
        <v>372743</v>
      </c>
    </row>
    <row r="13" spans="1:7" x14ac:dyDescent="0.25">
      <c r="A13" s="22" t="s">
        <v>149</v>
      </c>
      <c r="B13" s="30">
        <v>89355</v>
      </c>
      <c r="C13" s="30">
        <v>91908</v>
      </c>
      <c r="D13" s="30">
        <v>94461</v>
      </c>
      <c r="E13" s="30">
        <v>97014</v>
      </c>
      <c r="F13" s="30">
        <v>100844</v>
      </c>
      <c r="G13" s="30">
        <f>SUM(B13:F13)</f>
        <v>473582</v>
      </c>
    </row>
    <row r="14" spans="1:7" x14ac:dyDescent="0.25">
      <c r="A14" s="34" t="s">
        <v>150</v>
      </c>
      <c r="B14" s="10">
        <v>19148</v>
      </c>
      <c r="C14" s="10">
        <v>19594</v>
      </c>
      <c r="D14" s="10">
        <v>19977</v>
      </c>
      <c r="E14" s="10">
        <v>20296</v>
      </c>
      <c r="F14" s="10">
        <v>21824</v>
      </c>
      <c r="G14" s="10">
        <f>SUM(B14:F14)</f>
        <v>100839</v>
      </c>
    </row>
    <row r="15" ht="30" customHeight="1" spans="1:7" s="39" customFormat="1" x14ac:dyDescent="0.25">
      <c r="A15" s="40" t="s">
        <v>151</v>
      </c>
      <c r="B15" s="40"/>
      <c r="C15" s="40"/>
      <c r="D15" s="40"/>
      <c r="E15" s="40"/>
      <c r="F15" s="40"/>
      <c r="G15" s="40"/>
    </row>
    <row r="16" spans="1:6" x14ac:dyDescent="0.25">
      <c r="A16" s="34" t="s">
        <v>152</v>
      </c>
      <c r="B16" s="42" t="s">
        <v>153</v>
      </c>
      <c r="C16" s="43" t="s">
        <v>24</v>
      </c>
      <c r="D16" s="43" t="s">
        <v>24</v>
      </c>
      <c r="E16" s="43" t="s">
        <v>24</v>
      </c>
      <c r="F16" s="43"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154</v>
      </c>
      <c r="B1" s="44"/>
      <c r="C1" s="44"/>
      <c r="D1" s="44"/>
      <c r="E1" s="44"/>
      <c r="F1" s="44"/>
    </row>
    <row r="2" spans="1:1" x14ac:dyDescent="0.25">
      <c r="A2" s="45" t="s">
        <v>155</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156</v>
      </c>
    </row>
    <row r="15" ht="24" customHeight="1" spans="1:6" x14ac:dyDescent="0.25">
      <c r="A15" s="8" t="s">
        <v>157</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158</v>
      </c>
      <c r="B18" s="9" t="s">
        <v>159</v>
      </c>
      <c r="C18" s="46">
        <f>IF(B17=0,0,(C17-B17)/B17)</f>
        <v>0.5</v>
      </c>
      <c r="D18" s="46">
        <f>IF(C17=0,0,(D17-C17)/C17)</f>
        <v>0.2222222222222222</v>
      </c>
      <c r="E18" s="46">
        <f>IF(D17=0,0,(E17-D17)/D17)</f>
        <v>0.13636363636363635</v>
      </c>
      <c r="F18" s="46" t="str">
        <f>IF(E17=0,0,(F17-E17)/E17)</f>
        <v>0</v>
      </c>
    </row>
    <row r="20" ht="28" customHeight="1" spans="1:6" x14ac:dyDescent="0.25">
      <c r="A20" s="28" t="s">
        <v>24</v>
      </c>
      <c r="B20" s="28" t="s">
        <v>68</v>
      </c>
      <c r="C20" s="28" t="s">
        <v>69</v>
      </c>
      <c r="D20" s="28" t="s">
        <v>70</v>
      </c>
      <c r="E20" s="28" t="s">
        <v>71</v>
      </c>
      <c r="F20" s="28" t="s">
        <v>72</v>
      </c>
    </row>
    <row r="21" spans="1:6" x14ac:dyDescent="0.25">
      <c r="A21" s="22" t="s">
        <v>142</v>
      </c>
      <c r="B21" s="30">
        <f>'Financial Model'!B2</f>
        <v>221600</v>
      </c>
      <c r="C21" s="30">
        <f>'Financial Model'!C2</f>
        <v>340512</v>
      </c>
      <c r="D21" s="30">
        <f>'Financial Model'!D2</f>
        <v>427946</v>
      </c>
      <c r="E21" s="30">
        <f>'Financial Model'!E2</f>
        <v>500518</v>
      </c>
      <c r="F21" s="30">
        <f>'Financial Model'!F2</f>
        <v>516085</v>
      </c>
    </row>
    <row r="22" spans="1:6" x14ac:dyDescent="0.25">
      <c r="A22" s="22" t="s">
        <v>143</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144</v>
      </c>
      <c r="B24" s="31">
        <f>'Financial Model'!B6</f>
        <v>174494</v>
      </c>
      <c r="C24" s="31">
        <f>'Financial Model'!C6</f>
        <v>208926</v>
      </c>
      <c r="D24" s="31">
        <f>'Financial Model'!D6</f>
        <v>218319</v>
      </c>
      <c r="E24" s="31">
        <f>'Financial Model'!E6</f>
        <v>227253</v>
      </c>
      <c r="F24" s="31">
        <f>'Financial Model'!F6</f>
        <v>233808</v>
      </c>
    </row>
    <row r="25" spans="1:6" x14ac:dyDescent="0.25">
      <c r="A25" s="34" t="s">
        <v>145</v>
      </c>
      <c r="B25" s="47">
        <f>'Financial Model'!B7</f>
        <v>47106</v>
      </c>
      <c r="C25" s="47">
        <f>'Financial Model'!C7</f>
        <v>131586</v>
      </c>
      <c r="D25" s="47">
        <f>'Financial Model'!D7</f>
        <v>209627</v>
      </c>
      <c r="E25" s="47">
        <f>'Financial Model'!E7</f>
        <v>273265</v>
      </c>
      <c r="F25" s="47">
        <f>'Financial Model'!F7</f>
        <v>282277</v>
      </c>
    </row>
    <row r="26" spans="1:6" x14ac:dyDescent="0.25">
      <c r="A26" s="22" t="s">
        <v>146</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160</v>
      </c>
      <c r="B29" s="8"/>
      <c r="C29" s="8"/>
      <c r="D29" s="8"/>
      <c r="E29" s="8"/>
      <c r="F29" s="8"/>
    </row>
    <row r="30" spans="1:6" x14ac:dyDescent="0.25">
      <c r="A30" s="22" t="s">
        <v>161</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162</v>
      </c>
      <c r="B31" s="46">
        <f>IF(B21=0,0,'Financial Model'!B3/B21)</f>
        <v>0.5367057761732852</v>
      </c>
      <c r="C31" s="46">
        <f>IF(C21=0,0,'Financial Model'!C3/C21)</f>
        <v>0.43171165773893433</v>
      </c>
      <c r="D31" s="46">
        <f>IF(D21=0,0,'Financial Model'!D3/D21)</f>
        <v>0.3538133315885649</v>
      </c>
      <c r="E31" s="46">
        <f>IF(E21=0,0,'Financial Model'!E3/E21)</f>
        <v>0.31158719566529075</v>
      </c>
      <c r="F31" s="46">
        <f>IF(F21=0,0,'Financial Model'!F3/F21)</f>
        <v>0.3112549289361249</v>
      </c>
    </row>
    <row r="32" spans="1:6" x14ac:dyDescent="0.25">
      <c r="A32" s="22" t="s">
        <v>163</v>
      </c>
      <c r="B32" s="46">
        <f>IF(B21=0,0,'Financial Model'!B4/B21)</f>
        <v>0.21931407942238268</v>
      </c>
      <c r="C32" s="46">
        <f>IF(C21=0,0,'Financial Model'!C4/C21)</f>
        <v>0.16141281364533408</v>
      </c>
      <c r="D32" s="46">
        <f>IF(D21=0,0,'Financial Model'!D4/D21)</f>
        <v>0.14007842110920538</v>
      </c>
      <c r="E32" s="46">
        <f>IF(E21=0,0,'Financial Model'!E4/E21)</f>
        <v>0.12854282962850486</v>
      </c>
      <c r="F32" s="46">
        <f>IF(F21=0,0,'Financial Model'!F4/F21)</f>
        <v>0.12830057064243294</v>
      </c>
    </row>
    <row r="33" spans="1:6" x14ac:dyDescent="0.25">
      <c r="A33" s="34" t="s">
        <v>164</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165</v>
      </c>
      <c r="B35" s="8"/>
      <c r="C35" s="8"/>
      <c r="D35" s="8"/>
      <c r="E35" s="8"/>
      <c r="F35" s="8"/>
    </row>
    <row r="36" spans="1:6" x14ac:dyDescent="0.25">
      <c r="A36" s="22" t="s">
        <v>166</v>
      </c>
      <c r="B36" s="46">
        <v>0.5983754512635379</v>
      </c>
      <c r="C36" s="46">
        <v>0.6012475331265859</v>
      </c>
      <c r="D36" s="46">
        <v>0.6018841638357006</v>
      </c>
      <c r="E36" s="46">
        <v>0.6019619693617106</v>
      </c>
      <c r="F36" s="46">
        <v>0.6009378300086227</v>
      </c>
    </row>
    <row r="37" spans="1:6" x14ac:dyDescent="0.25">
      <c r="A37" s="22" t="s">
        <v>167</v>
      </c>
      <c r="B37" s="46">
        <v>0.37906137184115524</v>
      </c>
      <c r="C37" s="46">
        <v>0.3811319424866084</v>
      </c>
      <c r="D37" s="46">
        <v>0.3817586245734857</v>
      </c>
      <c r="E37" s="46">
        <v>0.38205457351641053</v>
      </c>
      <c r="F37" s="46">
        <v>0.3816231822277338</v>
      </c>
    </row>
    <row r="38" spans="1:6" x14ac:dyDescent="0.25">
      <c r="A38" s="22" t="s">
        <v>168</v>
      </c>
      <c r="B38" s="46">
        <v>0.02256317689530686</v>
      </c>
      <c r="C38" s="46">
        <v>0.017620524386805753</v>
      </c>
      <c r="D38" s="46">
        <v>0.016357211590813603</v>
      </c>
      <c r="E38" s="46">
        <v>0.015983457121878854</v>
      </c>
      <c r="F38" s="46">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8" t="s">
        <v>169</v>
      </c>
      <c r="C2" s="48"/>
      <c r="D2" s="48"/>
      <c r="E2" s="48"/>
      <c r="F2" s="48"/>
      <c r="G2" s="48"/>
      <c r="H2" s="48"/>
    </row>
    <row r="4" ht="30" customHeight="1" spans="2:8" x14ac:dyDescent="0.25">
      <c r="B4" s="49" t="s">
        <v>170</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171</v>
      </c>
      <c r="C2" s="44"/>
      <c r="D2" s="44"/>
      <c r="E2" s="44"/>
      <c r="F2" s="44"/>
      <c r="G2" s="44"/>
      <c r="H2" s="44"/>
      <c r="I2" s="44"/>
    </row>
    <row r="3" spans="2:9" x14ac:dyDescent="0.25">
      <c r="B3" s="50" t="s">
        <v>172</v>
      </c>
      <c r="C3" s="50"/>
      <c r="D3" s="50"/>
      <c r="E3" s="50"/>
      <c r="F3" s="50"/>
      <c r="G3" s="50"/>
      <c r="H3" s="50"/>
      <c r="I3" s="50"/>
    </row>
    <row r="4" spans="2:9" x14ac:dyDescent="0.25">
      <c r="B4" s="51" t="s">
        <v>173</v>
      </c>
      <c r="C4" s="51"/>
      <c r="D4" s="51"/>
      <c r="E4" s="51"/>
      <c r="F4" s="51"/>
      <c r="G4" s="51"/>
      <c r="H4" s="51"/>
      <c r="I4" s="51"/>
    </row>
    <row r="5" spans="2:6" x14ac:dyDescent="0.25">
      <c r="B5" s="52" t="s">
        <v>174</v>
      </c>
      <c r="D5" s="53" t="s">
        <v>175</v>
      </c>
      <c r="F5" s="54" t="s">
        <v>176</v>
      </c>
    </row>
    <row r="7" ht="24" customHeight="1" spans="2:8" x14ac:dyDescent="0.25">
      <c r="B7" s="8" t="s">
        <v>177</v>
      </c>
      <c r="C7" s="55" t="s">
        <v>68</v>
      </c>
      <c r="D7" s="55" t="s">
        <v>69</v>
      </c>
      <c r="E7" s="55" t="s">
        <v>70</v>
      </c>
      <c r="F7" s="55" t="s">
        <v>71</v>
      </c>
      <c r="G7" s="55" t="s">
        <v>72</v>
      </c>
      <c r="H7" s="55" t="s">
        <v>178</v>
      </c>
    </row>
    <row r="8" spans="2:7" x14ac:dyDescent="0.25">
      <c r="B8" s="9" t="s">
        <v>179</v>
      </c>
      <c r="C8" s="56">
        <v>12</v>
      </c>
      <c r="D8" s="56">
        <v>18</v>
      </c>
      <c r="E8" s="56">
        <v>22</v>
      </c>
      <c r="F8" s="56">
        <v>25</v>
      </c>
      <c r="G8" s="56">
        <v>25</v>
      </c>
    </row>
    <row r="9" spans="2:7" x14ac:dyDescent="0.25">
      <c r="B9" s="9" t="s">
        <v>180</v>
      </c>
      <c r="C9" s="57">
        <v>221600</v>
      </c>
      <c r="D9" s="57">
        <v>340512</v>
      </c>
      <c r="E9" s="57">
        <v>427946</v>
      </c>
      <c r="F9" s="57">
        <v>500518</v>
      </c>
      <c r="G9" s="57">
        <v>516085</v>
      </c>
    </row>
    <row r="10" spans="2:7" x14ac:dyDescent="0.25">
      <c r="B10" s="9" t="s">
        <v>181</v>
      </c>
      <c r="C10" s="57">
        <v>118934</v>
      </c>
      <c r="D10" s="57">
        <v>147003</v>
      </c>
      <c r="E10" s="57">
        <v>151413</v>
      </c>
      <c r="F10" s="57">
        <v>155955</v>
      </c>
      <c r="G10" s="57">
        <v>160634</v>
      </c>
    </row>
    <row r="11" spans="2:7" x14ac:dyDescent="0.25">
      <c r="B11" s="9" t="s">
        <v>17</v>
      </c>
      <c r="C11" s="57">
        <v>48600</v>
      </c>
      <c r="D11" s="57">
        <v>54963</v>
      </c>
      <c r="E11" s="57">
        <v>59946</v>
      </c>
      <c r="F11" s="57">
        <v>64338</v>
      </c>
      <c r="G11" s="57">
        <v>66214</v>
      </c>
    </row>
    <row r="12" spans="2:7" x14ac:dyDescent="0.25">
      <c r="B12" s="9" t="s">
        <v>182</v>
      </c>
      <c r="C12" s="57">
        <v>6959.808550594178</v>
      </c>
      <c r="D12" s="57">
        <v>6959.808550594178</v>
      </c>
      <c r="E12" s="57">
        <v>6959.808550594178</v>
      </c>
      <c r="F12" s="57">
        <v>6959.808550594178</v>
      </c>
      <c r="G12" s="57">
        <v>6959.808550594178</v>
      </c>
    </row>
    <row r="13" spans="2:7" x14ac:dyDescent="0.25">
      <c r="B13" s="58" t="s">
        <v>183</v>
      </c>
      <c r="C13" s="59">
        <v>47106</v>
      </c>
      <c r="D13" s="59">
        <v>131586</v>
      </c>
      <c r="E13" s="59">
        <v>209627</v>
      </c>
      <c r="F13" s="59">
        <v>273265</v>
      </c>
      <c r="G13" s="59">
        <v>282277</v>
      </c>
    </row>
    <row r="14" spans="2:7" x14ac:dyDescent="0.25">
      <c r="B14" s="58" t="s">
        <v>184</v>
      </c>
      <c r="C14" s="59">
        <v>47106</v>
      </c>
      <c r="D14" s="59">
        <v>178692</v>
      </c>
      <c r="E14" s="59">
        <v>388319</v>
      </c>
      <c r="F14" s="59">
        <v>661584</v>
      </c>
      <c r="G14" s="59">
        <v>943861</v>
      </c>
    </row>
    <row r="15" spans="2:7" x14ac:dyDescent="0.25">
      <c r="B15" s="58" t="s">
        <v>185</v>
      </c>
      <c r="C15" s="60">
        <v>0.21257220216606498</v>
      </c>
      <c r="D15" s="60">
        <v>0.38643572032703694</v>
      </c>
      <c r="E15" s="60">
        <v>0.4898445130927734</v>
      </c>
      <c r="F15" s="60">
        <v>0.5459643809013862</v>
      </c>
      <c r="G15" s="60">
        <v>0.5469583498842245</v>
      </c>
    </row>
    <row r="16" spans="2:8" x14ac:dyDescent="0.25">
      <c r="B16" s="58" t="s">
        <v>161</v>
      </c>
      <c r="C16" s="61">
        <v>18466.666666666668</v>
      </c>
      <c r="D16" s="61">
        <v>18917.333333333332</v>
      </c>
      <c r="E16" s="61">
        <v>19452.090909090908</v>
      </c>
      <c r="F16" s="61">
        <v>20020.72</v>
      </c>
      <c r="G16" s="61">
        <v>20643.4</v>
      </c>
      <c r="H16" s="62" t="s">
        <v>186</v>
      </c>
    </row>
    <row r="17" spans="2:7" x14ac:dyDescent="0.25">
      <c r="B17" s="58" t="s">
        <v>187</v>
      </c>
      <c r="C17" s="63">
        <v>14541.150712549514</v>
      </c>
      <c r="D17" s="63">
        <v>11606.989363921899</v>
      </c>
      <c r="E17" s="63">
        <v>9923.582206845189</v>
      </c>
      <c r="F17" s="63">
        <v>9090.112342023767</v>
      </c>
      <c r="G17" s="63">
        <v>9352.312342023766</v>
      </c>
    </row>
    <row r="18" spans="2:7" x14ac:dyDescent="0.25">
      <c r="B18" s="9" t="s">
        <v>188</v>
      </c>
      <c r="C18" s="57">
        <v>500</v>
      </c>
      <c r="D18" s="57">
        <v>515</v>
      </c>
      <c r="E18" s="57">
        <v>530</v>
      </c>
      <c r="F18" s="57">
        <v>546</v>
      </c>
      <c r="G18" s="57">
        <v>562</v>
      </c>
    </row>
    <row r="19" spans="2:8" x14ac:dyDescent="0.25">
      <c r="B19" s="9" t="s">
        <v>189</v>
      </c>
      <c r="C19" s="64">
        <v>3000</v>
      </c>
      <c r="D19" s="64">
        <v>2058.6666666666665</v>
      </c>
      <c r="E19" s="61">
        <v>1733.6818181818182</v>
      </c>
      <c r="F19" s="61">
        <v>1570.1924</v>
      </c>
      <c r="G19" s="61">
        <v>1615.9705720000002</v>
      </c>
      <c r="H19" s="62" t="s">
        <v>190</v>
      </c>
    </row>
    <row r="20" spans="2:7" x14ac:dyDescent="0.25">
      <c r="B20" s="58" t="s">
        <v>191</v>
      </c>
      <c r="C20" s="65">
        <v>3925.5</v>
      </c>
      <c r="D20" s="65">
        <v>7310.333333333333</v>
      </c>
      <c r="E20" s="65">
        <v>9528.5</v>
      </c>
      <c r="F20" s="65">
        <v>10930.6</v>
      </c>
      <c r="G20" s="65">
        <v>11291.08</v>
      </c>
    </row>
    <row r="21" spans="2:8" x14ac:dyDescent="0.25">
      <c r="B21" s="58" t="s">
        <v>192</v>
      </c>
      <c r="C21" s="60">
        <v>0.5367057761732852</v>
      </c>
      <c r="D21" s="60">
        <v>0.43171165773893433</v>
      </c>
      <c r="E21" s="60">
        <v>0.3538133315885649</v>
      </c>
      <c r="F21" s="60">
        <v>0.31158719566529075</v>
      </c>
      <c r="G21" s="60">
        <v>0.3112549289361249</v>
      </c>
      <c r="H21" s="62" t="s">
        <v>193</v>
      </c>
    </row>
    <row r="22" spans="2:8" x14ac:dyDescent="0.25">
      <c r="B22" s="58" t="s">
        <v>194</v>
      </c>
      <c r="C22" s="66">
        <v>0.1624548736462094</v>
      </c>
      <c r="D22" s="60">
        <v>0.10882435861291231</v>
      </c>
      <c r="E22" s="60">
        <v>0.08912573081650489</v>
      </c>
      <c r="F22" s="60">
        <v>0.07842836821053388</v>
      </c>
      <c r="G22" s="60">
        <v>0.07828025286532257</v>
      </c>
      <c r="H22" s="62" t="s">
        <v>195</v>
      </c>
    </row>
    <row r="23" spans="2:8" x14ac:dyDescent="0.25">
      <c r="B23" s="58" t="s">
        <v>196</v>
      </c>
      <c r="C23" s="60">
        <v>0.24398014440433213</v>
      </c>
      <c r="D23" s="60">
        <v>0.4068755286157316</v>
      </c>
      <c r="E23" s="60">
        <v>0.5061082473022297</v>
      </c>
      <c r="F23" s="60">
        <v>0.5598699747062044</v>
      </c>
      <c r="G23" s="60">
        <v>0.5604445004214422</v>
      </c>
      <c r="H23" s="62" t="s">
        <v>197</v>
      </c>
    </row>
    <row r="24" spans="2:8" x14ac:dyDescent="0.25">
      <c r="B24" s="58" t="s">
        <v>198</v>
      </c>
      <c r="C24" s="67">
        <v>3</v>
      </c>
      <c r="D24" s="67">
        <v>3</v>
      </c>
      <c r="E24" s="67">
        <v>3</v>
      </c>
      <c r="F24" s="67">
        <v>3</v>
      </c>
      <c r="G24" s="67">
        <v>3</v>
      </c>
      <c r="H24" s="62" t="s">
        <v>199</v>
      </c>
    </row>
    <row r="25" spans="2:8" x14ac:dyDescent="0.25">
      <c r="B25" s="58" t="s">
        <v>200</v>
      </c>
      <c r="C25" s="68">
        <v>7.768317132140687</v>
      </c>
      <c r="D25" s="68">
        <v>19.906582055072757</v>
      </c>
      <c r="E25" s="68">
        <v>31.11967785112557</v>
      </c>
      <c r="F25" s="68">
        <v>40.26332017079355</v>
      </c>
      <c r="G25" s="68">
        <v>41.558183374930195</v>
      </c>
      <c r="H25" s="62" t="s">
        <v>201</v>
      </c>
    </row>
    <row r="26" spans="2:8" x14ac:dyDescent="0.25">
      <c r="B26" s="58" t="s">
        <v>202</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2" t="s">
        <v>68</v>
      </c>
    </row>
    <row r="27" spans="2:8" x14ac:dyDescent="0.25">
      <c r="B27" s="58" t="s">
        <v>203</v>
      </c>
      <c r="C27" s="70">
        <v>3</v>
      </c>
      <c r="D27" s="70">
        <v>10</v>
      </c>
      <c r="E27" s="71">
        <v>21</v>
      </c>
      <c r="F27" s="67">
        <v>35</v>
      </c>
      <c r="G27" s="67">
        <v>48</v>
      </c>
      <c r="H27" s="62" t="s">
        <v>204</v>
      </c>
    </row>
    <row r="28" spans="2:8" x14ac:dyDescent="0.25">
      <c r="B28" s="58" t="s">
        <v>205</v>
      </c>
      <c r="C28" s="67">
        <v>99</v>
      </c>
      <c r="D28" s="67">
        <v>312</v>
      </c>
      <c r="E28" s="67">
        <v>649</v>
      </c>
      <c r="F28" s="67">
        <v>1063</v>
      </c>
      <c r="G28" s="67">
        <v>1473</v>
      </c>
      <c r="H28" s="62" t="s">
        <v>206</v>
      </c>
    </row>
    <row r="30" ht="24" customHeight="1" spans="2:9" x14ac:dyDescent="0.25">
      <c r="B30" s="8" t="s">
        <v>207</v>
      </c>
      <c r="C30" s="8" t="s">
        <v>208</v>
      </c>
      <c r="D30" s="8" t="s">
        <v>209</v>
      </c>
      <c r="E30" s="8"/>
      <c r="F30" s="8" t="s">
        <v>210</v>
      </c>
      <c r="G30" s="8"/>
      <c r="H30" s="8"/>
      <c r="I30" s="8"/>
    </row>
    <row r="31" ht="45" customHeight="1" spans="2:9" x14ac:dyDescent="0.25">
      <c r="B31" s="72" t="s">
        <v>211</v>
      </c>
      <c r="C31" s="42" t="s">
        <v>212</v>
      </c>
      <c r="D31" s="73" t="s">
        <v>213</v>
      </c>
      <c r="E31" s="73"/>
      <c r="F31" s="74" t="s">
        <v>214</v>
      </c>
      <c r="G31" s="74"/>
      <c r="H31" s="74"/>
      <c r="I31" s="74"/>
    </row>
    <row r="32" ht="45" customHeight="1" spans="2:9" x14ac:dyDescent="0.25">
      <c r="B32" s="72" t="s">
        <v>215</v>
      </c>
      <c r="C32" s="42" t="s">
        <v>212</v>
      </c>
      <c r="D32" s="73" t="s">
        <v>216</v>
      </c>
      <c r="E32" s="73"/>
      <c r="F32" s="74" t="s">
        <v>217</v>
      </c>
      <c r="G32" s="74"/>
      <c r="H32" s="74"/>
      <c r="I32" s="74"/>
    </row>
    <row r="33" ht="45" customHeight="1" spans="2:9" x14ac:dyDescent="0.25">
      <c r="B33" s="72" t="s">
        <v>218</v>
      </c>
      <c r="C33" s="42" t="s">
        <v>212</v>
      </c>
      <c r="D33" s="73" t="s">
        <v>219</v>
      </c>
      <c r="E33" s="73"/>
      <c r="F33" s="74" t="s">
        <v>220</v>
      </c>
      <c r="G33" s="74"/>
      <c r="H33" s="74"/>
      <c r="I33" s="74"/>
    </row>
    <row r="34" ht="45" customHeight="1" spans="2:9" x14ac:dyDescent="0.25">
      <c r="B34" s="72" t="s">
        <v>221</v>
      </c>
      <c r="C34" s="42" t="s">
        <v>212</v>
      </c>
      <c r="D34" s="73" t="s">
        <v>222</v>
      </c>
      <c r="E34" s="73"/>
      <c r="F34" s="74" t="s">
        <v>223</v>
      </c>
      <c r="G34" s="74"/>
      <c r="H34" s="74"/>
      <c r="I34" s="74"/>
    </row>
    <row r="35" ht="45" customHeight="1" spans="2:9" x14ac:dyDescent="0.25">
      <c r="B35" s="72" t="s">
        <v>224</v>
      </c>
      <c r="C35" s="42" t="s">
        <v>212</v>
      </c>
      <c r="D35" s="73" t="s">
        <v>225</v>
      </c>
      <c r="E35" s="73"/>
      <c r="F35" s="74" t="s">
        <v>226</v>
      </c>
      <c r="G35" s="74"/>
      <c r="H35" s="74"/>
      <c r="I35" s="74"/>
    </row>
    <row r="36" ht="45" customHeight="1" spans="2:9" x14ac:dyDescent="0.25">
      <c r="B36" s="72" t="s">
        <v>227</v>
      </c>
      <c r="C36" s="42" t="s">
        <v>212</v>
      </c>
      <c r="D36" s="73" t="s">
        <v>228</v>
      </c>
      <c r="E36" s="73"/>
      <c r="F36" s="74" t="s">
        <v>229</v>
      </c>
      <c r="G36" s="74"/>
      <c r="H36" s="74"/>
      <c r="I36" s="74"/>
    </row>
    <row r="37" ht="45" customHeight="1" spans="2:9" x14ac:dyDescent="0.25">
      <c r="B37" s="72" t="s">
        <v>230</v>
      </c>
      <c r="C37" s="42" t="s">
        <v>212</v>
      </c>
      <c r="D37" s="73" t="s">
        <v>231</v>
      </c>
      <c r="E37" s="73"/>
      <c r="F37" s="74" t="s">
        <v>232</v>
      </c>
      <c r="G37" s="74"/>
      <c r="H37" s="74"/>
      <c r="I37" s="74"/>
    </row>
    <row r="39" spans="2:6" x14ac:dyDescent="0.25">
      <c r="B39" s="72" t="s">
        <v>20</v>
      </c>
      <c r="C39" s="58" t="s">
        <v>233</v>
      </c>
      <c r="D39" s="58"/>
      <c r="E39" s="58"/>
      <c r="F39" s="58"/>
    </row>
    <row r="41" spans="2:9" x14ac:dyDescent="0.25">
      <c r="B41" s="75" t="s">
        <v>234</v>
      </c>
      <c r="C41" s="75"/>
      <c r="D41" s="75"/>
      <c r="E41" s="75"/>
      <c r="F41" s="75"/>
      <c r="G41" s="75"/>
      <c r="H41" s="75"/>
      <c r="I41" s="75"/>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2026-05-09T20:32:49Z</dcterms:created>
  <dcterms:modified xsi:type="dcterms:W3CDTF">2026-05-09T20:32:49Z</dcterms:modified>
</cp:coreProperties>
</file>