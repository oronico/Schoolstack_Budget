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</sheets>
  <definedNames>
    <definedName name="_xlnm.Print_Area" localSheetId="1">'Assumptions'!$A1:$E32</definedName>
    <definedName name="_xlnm.Print_Titles" localSheetId="1">'Assumptions'!$1:$1</definedName>
    <definedName name="_xlnm.Print_Area" localSheetId="2">'Revenue Schedule'!$A1:$F17</definedName>
    <definedName name="_xlnm.Print_Titles" localSheetId="2">'Revenue Schedule'!$1:$1</definedName>
    <definedName name="_xlnm.Print_Area" localSheetId="3">'Staffing &amp; Personnel'!$A1:$H22</definedName>
    <definedName name="_xlnm.Print_Titles" localSheetId="3">'Staffing &amp; Personnel'!$1:$1</definedName>
    <definedName name="_xlnm.Print_Area" localSheetId="4">'Operating Expenses'!$A1:$F18</definedName>
    <definedName name="_xlnm.Print_Titles" localSheetId="4">'Operating Expenses'!$1:$1</definedName>
    <definedName name="_xlnm.Print_Area" localSheetId="5">'Capital &amp; Debt'!$A1:$F4</definedName>
    <definedName name="_xlnm.Print_Titles" localSheetId="5">'Capital &amp; Debt'!$1:$1</definedName>
    <definedName name="_xlnm.Print_Area" localSheetId="6">'Financial Model'!$A1:$F9</definedName>
    <definedName name="_xlnm.Print_Titles" localSheetId="6">'Financial Model'!$1:$1</definedName>
    <definedName name="_xlnm.Print_Area" localSheetId="7">'Summary'!$A1:$F37</definedName>
    <definedName name="_xlnm.Print_Titles" localSheetId="7">'Summary'!$1:$1</definedName>
  </definedNames>
  <calcPr calcId="171027" fullCalcOnLoad="1"/>
</workbook>
</file>

<file path=xl/sharedStrings.xml><?xml version="1.0" encoding="utf-8"?>
<sst xmlns="http://schemas.openxmlformats.org/spreadsheetml/2006/main" count="222" uniqueCount="153">
  <si>
    <t>SchoolStack Budget</t>
  </si>
  <si>
    <t>5-Year Financial Model</t>
  </si>
  <si>
    <t>Prepared for</t>
  </si>
  <si>
    <t>Bright Horizons Microschool</t>
  </si>
  <si>
    <t>Microschool  •  LLC - Single Member  •  AZ</t>
  </si>
  <si>
    <t>Date Prepared</t>
  </si>
  <si>
    <t>March 26,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</si>
  <si>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</si>
  <si>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</si>
  <si>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</si>
  <si>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</si>
  <si>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</si>
  <si>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</si>
  <si>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</si>
  <si>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</si>
  <si>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</si>
  <si>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</si>
  <si>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</si>
  <si>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</si>
  <si>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</si>
  <si>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</si>
  <si>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Generated by SchoolStack Budget  •  budget.schoolstack.ai</t>
  </si>
  <si>
    <t>SchoolStack Budget - Assumptions</t>
  </si>
  <si>
    <t/>
  </si>
  <si>
    <t>Editable assumption — change this value</t>
  </si>
  <si>
    <t>Calculated — driven by formula</t>
  </si>
  <si>
    <t>SCHOOL INFORMATION</t>
  </si>
  <si>
    <t>School Name</t>
  </si>
  <si>
    <t>State</t>
  </si>
  <si>
    <t>AZ</t>
  </si>
  <si>
    <t>School Type</t>
  </si>
  <si>
    <t>Microschool</t>
  </si>
  <si>
    <t>Entity Type</t>
  </si>
  <si>
    <t>LLC - Single Member</t>
  </si>
  <si>
    <t>EIN</t>
  </si>
  <si>
    <t>88-1234567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</si>
  <si>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</si>
  <si>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</si>
  <si>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</si>
  <si>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</si>
  <si>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</si>
  <si>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</si>
  <si>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</si>
  <si>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Year 1 Operating Months</t>
  </si>
  <si>
    <t>Location Secured</t>
  </si>
  <si>
    <t>Yes</t>
  </si>
  <si>
    <t>Facility Address</t>
  </si>
  <si>
    <t>123 Main St, Scottsdale, AZ, 85251</t>
  </si>
  <si>
    <t>Facility Ownership</t>
  </si>
  <si>
    <t>Rented / Leased</t>
  </si>
  <si>
    <t>Monthly Rent</t>
  </si>
  <si>
    <t>$2,500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</si>
  <si>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</si>
  <si>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</si>
  <si>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</si>
  <si>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</si>
  <si>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</si>
  <si>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</si>
  <si>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</si>
  <si>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</si>
  <si>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</si>
  <si>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</si>
  <si>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</si>
  <si>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</si>
  <si>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</si>
  <si>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</si>
  <si>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>Year 1</t>
  </si>
  <si>
    <t>Year 2</t>
  </si>
  <si>
    <t>Year 3</t>
  </si>
  <si>
    <t>Year 4</t>
  </si>
  <si>
    <t>Year 5</t>
  </si>
  <si>
    <t>Students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</si>
  <si>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</si>
  <si>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</si>
  <si>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</si>
  <si>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</si>
  <si>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</si>
  <si>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</si>
  <si>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</si>
  <si>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/ CHOICE FUNDING</t>
  </si>
  <si>
    <t>AZ ESA Funds</t>
  </si>
  <si>
    <t>Total SCHOOL CHOICE / CHOICE FUNDING</t>
  </si>
  <si>
    <t>PHILANTHROPY</t>
  </si>
  <si>
    <t>Annual Fundraising</t>
  </si>
  <si>
    <t>Total PHILANTHROPY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</si>
  <si>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</si>
  <si>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</si>
  <si>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</si>
  <si>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</si>
  <si>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</si>
  <si>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</si>
  <si>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</si>
  <si>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</si>
  <si>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</si>
  <si>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</si>
  <si>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Founder / Head of School</t>
  </si>
  <si>
    <t>School Leadership</t>
  </si>
  <si>
    <t>Full-Time</t>
  </si>
  <si>
    <t>Lead Teacher</t>
  </si>
  <si>
    <t>Instructional</t>
  </si>
  <si>
    <t>Teaching Assistant</t>
  </si>
  <si>
    <t>Part-Time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</si>
  <si>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</si>
  <si>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</si>
  <si>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</si>
  <si>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</si>
  <si>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</si>
  <si>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</si>
  <si>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</si>
  <si>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</si>
  <si>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</si>
  <si>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</si>
  <si>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</si>
  <si>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</si>
  <si>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</si>
  <si>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</si>
  <si>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 &amp; Materials</t>
  </si>
  <si>
    <t>Total INSTRUCTIONAL</t>
  </si>
  <si>
    <t>TECHNOLOGY</t>
  </si>
  <si>
    <t>Technology</t>
  </si>
  <si>
    <t>Total TECHNOLOGY</t>
  </si>
  <si>
    <t>OCCUPANCY / FACILITY</t>
  </si>
  <si>
    <t>Rent</t>
  </si>
  <si>
    <t>Utilities</t>
  </si>
  <si>
    <t>Insurance</t>
  </si>
  <si>
    <t>Total OCCUPANCY</t>
  </si>
  <si>
    <t>ADMINISTRATIVE / GENERAL</t>
  </si>
  <si>
    <t>Marketing</t>
  </si>
  <si>
    <t>Total ADMINISTRATIVE</t>
  </si>
  <si>
    <t>TOTAL OPERATING EXPENSES</t>
  </si>
  <si>
    <t>CAPITAL EXPENDITURES &amp; DEBT SERVICE</t>
  </si>
  <si>
    <t>Equipment Loan</t>
  </si>
  <si>
    <t>TOTAL CAPITAL &amp; DEBT</t>
  </si>
  <si>
    <t>Total Revenue</t>
  </si>
  <si>
    <t>Personnel Costs</t>
  </si>
  <si>
    <t>Total Expenses</t>
  </si>
  <si>
    <t>Profit</t>
  </si>
  <si>
    <t>Cumulative Profit</t>
  </si>
  <si>
    <t>Financial Model Summary</t>
  </si>
  <si>
    <t>Prepared by SchoolStack Budget</t>
  </si>
  <si>
    <t>25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</si>
  <si>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</si>
  <si>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</si>
  <si>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</si>
  <si>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</si>
  <si>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</si>
  <si>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</si>
  <si>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</si>
  <si>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Profit Margin %</t>
  </si>
  <si>
    <t>REVENUE MIX TREND</t>
  </si>
  <si>
    <t>Tuition &amp; Fees %</t>
  </si>
  <si>
    <t>Public Funding %</t>
  </si>
  <si>
    <t>Philanthropy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</si>
</sst>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19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color rgb="FF1E3A5F"/>
      <sz val="11"/>
      <name val="Calibri"/>
    </font>
    <font>
      <color rgb="FF1E293B"/>
      <sz val="11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2" xfId="0" applyFont="1" applyBorder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0" fillId="4" borderId="3" xfId="0" applyFill="1" applyBorder="1"/>
    <xf numFmtId="0" fontId="13" fillId="0" borderId="0" xfId="0" applyFont="1"/>
    <xf numFmtId="0" fontId="0" fillId="5" borderId="4" xfId="0" applyFill="1" applyBorder="1"/>
    <xf numFmtId="0" fontId="7" fillId="0" borderId="0" xfId="0" applyFont="1"/>
    <xf numFmtId="0" fontId="14" fillId="4" borderId="3" xfId="0" applyFont="1" applyFill="1" applyBorder="1"/>
    <xf numFmtId="167" fontId="14" fillId="4" borderId="3" xfId="0" applyNumberFormat="1" applyFont="1" applyFill="1" applyBorder="1"/>
    <xf numFmtId="165" fontId="14" fillId="4" borderId="3" xfId="0" applyNumberFormat="1" applyFont="1" applyFill="1" applyBorder="1"/>
    <xf numFmtId="2" fontId="14" fillId="4" borderId="3" xfId="0" applyNumberFormat="1" applyFont="1" applyFill="1" applyBorder="1"/>
    <xf numFmtId="0" fontId="15" fillId="0" borderId="0" xfId="0" applyFont="1"/>
    <xf numFmtId="0" fontId="16" fillId="6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164" fontId="14" fillId="4" borderId="3" xfId="0" applyNumberFormat="1" applyFont="1" applyFill="1" applyBorder="1"/>
    <xf numFmtId="164" fontId="15" fillId="0" borderId="0" xfId="0" applyNumberFormat="1" applyFont="1"/>
    <xf numFmtId="0" fontId="8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17" fillId="0" borderId="0" xfId="0" applyFont="1"/>
    <xf numFmtId="0" fontId="18" fillId="0" borderId="0" xfId="0" applyFont="1"/>
    <xf numFmtId="165" fontId="7" fillId="0" borderId="2" xfId="0" applyNumberFormat="1" applyFont="1" applyBorder="1"/>
    <xf numFmtId="164" fontId="9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22</v>
      </c>
      <c r="B1" s="18"/>
    </row>
    <row r="2" spans="1:5" x14ac:dyDescent="0.25">
      <c r="A2" s="19" t="s">
        <v>23</v>
      </c>
      <c r="B2" s="20" t="s">
        <v>24</v>
      </c>
      <c r="D2" s="21" t="s">
        <v>23</v>
      </c>
      <c r="E2" s="20" t="s">
        <v>25</v>
      </c>
    </row>
    <row r="3" ht="24" customHeight="1" spans="1:2" x14ac:dyDescent="0.25">
      <c r="A3" s="8" t="s">
        <v>26</v>
      </c>
      <c r="B3" s="8"/>
    </row>
    <row r="4" spans="1:2" x14ac:dyDescent="0.25">
      <c r="A4" s="22" t="s">
        <v>27</v>
      </c>
      <c r="B4" s="23" t="s">
        <v>3</v>
      </c>
    </row>
    <row r="5" spans="1:2" x14ac:dyDescent="0.25">
      <c r="A5" s="22" t="s">
        <v>28</v>
      </c>
      <c r="B5" s="23" t="s">
        <v>29</v>
      </c>
    </row>
    <row r="6" spans="1:2" x14ac:dyDescent="0.25">
      <c r="A6" s="22" t="s">
        <v>30</v>
      </c>
      <c r="B6" s="23" t="s">
        <v>31</v>
      </c>
    </row>
    <row r="7" spans="1:2" x14ac:dyDescent="0.25">
      <c r="A7" s="22" t="s">
        <v>32</v>
      </c>
      <c r="B7" s="23" t="s">
        <v>33</v>
      </c>
    </row>
    <row r="8" spans="1:2" x14ac:dyDescent="0.25">
      <c r="A8" s="22" t="s">
        <v>34</v>
      </c>
      <c r="B8" s="23" t="s">
        <v>35</v>
      </c>
    </row>
    <row r="9" spans="1:2" x14ac:dyDescent="0.25">
      <c r="A9" s="22" t="s">
        <v>36</v>
      </c>
      <c r="B9" s="23" t="s">
        <v>37</v>
      </c>
    </row>
    <row r="10" spans="1:2" x14ac:dyDescent="0.25">
      <c r="A10" s="22" t="s">
        <v>38</v>
      </c>
      <c r="B10" s="23">
        <v>2026</v>
      </c>
    </row>
    <row r="11" spans="1:2" x14ac:dyDescent="0.25">
      <c r="A11" s="22" t="s">
        <v>39</v>
      </c>
      <c r="B11" s="23">
        <v>0</v>
      </c>
    </row>
    <row r="12" spans="1:2" x14ac:dyDescent="0.25">
      <c r="A12" s="22" t="s">
        <v>40</v>
      </c>
      <c r="B12" s="23">
        <v>25</v>
      </c>
    </row>
    <row r="13" spans="1:2" x14ac:dyDescent="0.25">
      <c r="A13" s="22" t="s">
        <v>41</v>
      </c>
      <c r="B13" s="23" t="s">
        <v>42</v>
      </c>
    </row>
    <row r="14" spans="1:2" x14ac:dyDescent="0.25">
      <c r="A14" s="22" t="s">
        <v>43</v>
      </c>
      <c r="B14" s="23">
        <v>10</v>
      </c>
    </row>
    <row r="15" spans="1:2" x14ac:dyDescent="0.25">
      <c r="A15" s="22" t="s">
        <v>44</v>
      </c>
      <c r="B15" s="23" t="s">
        <v>45</v>
      </c>
    </row>
    <row r="16" spans="1:2" x14ac:dyDescent="0.25">
      <c r="A16" s="22" t="s">
        <v>46</v>
      </c>
      <c r="B16" s="23" t="s">
        <v>47</v>
      </c>
    </row>
    <row r="17" spans="1:2" x14ac:dyDescent="0.25">
      <c r="A17" s="22" t="s">
        <v>48</v>
      </c>
      <c r="B17" s="23" t="s">
        <v>49</v>
      </c>
    </row>
    <row r="18" spans="1:2" x14ac:dyDescent="0.25">
      <c r="A18" s="22" t="s">
        <v>50</v>
      </c>
      <c r="B18" s="23" t="s">
        <v>51</v>
      </c>
    </row>
    <row r="19" spans="1:2" x14ac:dyDescent="0.25">
      <c r="A19" s="22" t="s">
        <v>52</v>
      </c>
      <c r="B19" s="23" t="s">
        <v>53</v>
      </c>
    </row>
    <row r="21" ht="24" customHeight="1" spans="1:2" x14ac:dyDescent="0.25">
      <c r="A21" s="8" t="s">
        <v>54</v>
      </c>
      <c r="B21" s="8"/>
    </row>
    <row r="22" spans="1:2" x14ac:dyDescent="0.25">
      <c r="A22" s="22" t="s">
        <v>55</v>
      </c>
      <c r="B22" s="24">
        <v>12</v>
      </c>
    </row>
    <row r="23" spans="1:2" x14ac:dyDescent="0.25">
      <c r="A23" s="22" t="s">
        <v>56</v>
      </c>
      <c r="B23" s="24">
        <v>18</v>
      </c>
    </row>
    <row r="24" spans="1:2" x14ac:dyDescent="0.25">
      <c r="A24" s="22" t="s">
        <v>57</v>
      </c>
      <c r="B24" s="24">
        <v>22</v>
      </c>
    </row>
    <row r="25" spans="1:2" x14ac:dyDescent="0.25">
      <c r="A25" s="22" t="s">
        <v>58</v>
      </c>
      <c r="B25" s="24">
        <v>25</v>
      </c>
    </row>
    <row r="26" spans="1:2" x14ac:dyDescent="0.25">
      <c r="A26" s="22" t="s">
        <v>59</v>
      </c>
      <c r="B26" s="24">
        <v>25</v>
      </c>
    </row>
    <row r="28" ht="24" customHeight="1" spans="1:2" x14ac:dyDescent="0.25">
      <c r="A28" s="8" t="s">
        <v>60</v>
      </c>
      <c r="B28" s="8"/>
    </row>
    <row r="29" spans="1:2" x14ac:dyDescent="0.25">
      <c r="A29" s="22" t="s">
        <v>61</v>
      </c>
      <c r="B29" s="25">
        <v>0.03</v>
      </c>
    </row>
    <row r="30" spans="1:2" x14ac:dyDescent="0.25">
      <c r="A30" s="22" t="s">
        <v>62</v>
      </c>
      <c r="B30" s="25">
        <v>0.025</v>
      </c>
    </row>
    <row r="31" spans="1:2" x14ac:dyDescent="0.25">
      <c r="A31" s="22" t="s">
        <v>63</v>
      </c>
      <c r="B31" s="26">
        <v>0.8333333333333334</v>
      </c>
    </row>
    <row r="32" spans="1:2" x14ac:dyDescent="0.25">
      <c r="A32" s="22" t="s">
        <v>64</v>
      </c>
      <c r="B32" s="27" t="s">
        <v>65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23</v>
      </c>
      <c r="B1" s="28" t="s">
        <v>66</v>
      </c>
      <c r="C1" s="28" t="s">
        <v>67</v>
      </c>
      <c r="D1" s="28" t="s">
        <v>68</v>
      </c>
      <c r="E1" s="28" t="s">
        <v>69</v>
      </c>
      <c r="F1" s="28" t="s">
        <v>70</v>
      </c>
    </row>
    <row r="2" spans="1:6" x14ac:dyDescent="0.25">
      <c r="A2" s="22" t="s">
        <v>71</v>
      </c>
      <c r="B2" s="29">
        <f>Assumptions!B22</f>
        <v>12</v>
      </c>
      <c r="C2" s="29">
        <f>Assumptions!B23</f>
        <v>18</v>
      </c>
      <c r="D2" s="29">
        <f>Assumptions!B24</f>
        <v>22</v>
      </c>
      <c r="E2" s="29">
        <f>Assumptions!B25</f>
        <v>25</v>
      </c>
      <c r="F2" s="29">
        <f>Assumptions!B26</f>
        <v>25</v>
      </c>
    </row>
    <row r="3" ht="24" customHeight="1" spans="1:6" x14ac:dyDescent="0.25">
      <c r="A3" s="8" t="s">
        <v>72</v>
      </c>
      <c r="B3" s="8"/>
      <c r="C3" s="8"/>
      <c r="D3" s="8"/>
      <c r="E3" s="8"/>
      <c r="F3" s="8"/>
    </row>
    <row r="4" spans="1:6" x14ac:dyDescent="0.25">
      <c r="A4" s="22" t="s">
        <v>73</v>
      </c>
      <c r="B4" s="30">
        <f>12000*Assumptions!B22</f>
        <v>144000</v>
      </c>
      <c r="C4" s="30">
        <f>12360*Assumptions!B23</f>
        <v>222480</v>
      </c>
      <c r="D4" s="30">
        <f>12731*Assumptions!B24</f>
        <v>280082</v>
      </c>
      <c r="E4" s="30">
        <f>13113*Assumptions!B25</f>
        <v>327825</v>
      </c>
      <c r="F4" s="30">
        <f>13506*Assumptions!B26</f>
        <v>337650</v>
      </c>
    </row>
    <row r="5" spans="1:6" x14ac:dyDescent="0.25">
      <c r="A5" s="22" t="s">
        <v>74</v>
      </c>
      <c r="B5" s="30">
        <f>250*Assumptions!B22</f>
        <v>3000</v>
      </c>
      <c r="C5" s="30">
        <f>250*Assumptions!B23</f>
        <v>4500</v>
      </c>
      <c r="D5" s="30">
        <f>250*Assumptions!B24</f>
        <v>5500</v>
      </c>
      <c r="E5" s="30">
        <f>250*Assumptions!B25</f>
        <v>6250</v>
      </c>
      <c r="F5" s="30">
        <f>250*Assumptions!B26</f>
        <v>6250</v>
      </c>
    </row>
    <row r="6" ht="24" customHeight="1" spans="1:6" x14ac:dyDescent="0.25">
      <c r="A6" s="8" t="s">
        <v>75</v>
      </c>
      <c r="B6" s="31">
        <f>SUM(B4:B5)</f>
        <v>147000</v>
      </c>
      <c r="C6" s="31">
        <f>SUM(C4:C5)</f>
        <v>226980</v>
      </c>
      <c r="D6" s="31">
        <f>SUM(D4:D5)</f>
        <v>285582</v>
      </c>
      <c r="E6" s="31">
        <f>SUM(E4:E5)</f>
        <v>334075</v>
      </c>
      <c r="F6" s="31">
        <f>SUM(F4:F5)</f>
        <v>343900</v>
      </c>
    </row>
    <row r="7" ht="24" customHeight="1" spans="1:6" x14ac:dyDescent="0.25">
      <c r="A7" s="8" t="s">
        <v>76</v>
      </c>
      <c r="B7" s="8"/>
      <c r="C7" s="8"/>
      <c r="D7" s="8"/>
      <c r="E7" s="8"/>
      <c r="F7" s="8"/>
    </row>
    <row r="8" spans="1:6" x14ac:dyDescent="0.25">
      <c r="A8" s="22" t="s">
        <v>77</v>
      </c>
      <c r="B8" s="30">
        <f>-B4*0.1</f>
        <v>-14400</v>
      </c>
      <c r="C8" s="30">
        <f>-C4*0.1</f>
        <v>-22248</v>
      </c>
      <c r="D8" s="30">
        <f>-D4*0.1</f>
        <v>-28008.2</v>
      </c>
      <c r="E8" s="30">
        <f>-E4*0.1</f>
        <v>-32782.5</v>
      </c>
      <c r="F8" s="30">
        <f>-F4*0.1</f>
        <v>-33765</v>
      </c>
    </row>
    <row r="9" ht="24" customHeight="1" spans="1:6" x14ac:dyDescent="0.25">
      <c r="A9" s="8" t="s">
        <v>78</v>
      </c>
      <c r="B9" s="31">
        <f>SUM(B8:B8)</f>
        <v>-14400</v>
      </c>
      <c r="C9" s="31">
        <f>SUM(C8:C8)</f>
        <v>-22248</v>
      </c>
      <c r="D9" s="31">
        <f>SUM(D8:D8)</f>
        <v>-28008</v>
      </c>
      <c r="E9" s="31">
        <f>SUM(E8:E8)</f>
        <v>-32782</v>
      </c>
      <c r="F9" s="31">
        <f>SUM(F8:F8)</f>
        <v>-33765</v>
      </c>
    </row>
    <row r="10" ht="24" customHeight="1" spans="1:6" x14ac:dyDescent="0.25">
      <c r="A10" s="8" t="s">
        <v>79</v>
      </c>
      <c r="B10" s="8"/>
      <c r="C10" s="8"/>
      <c r="D10" s="8"/>
      <c r="E10" s="8"/>
      <c r="F10" s="8"/>
    </row>
    <row r="11" spans="1:6" x14ac:dyDescent="0.25">
      <c r="A11" s="22" t="s">
        <v>80</v>
      </c>
      <c r="B11" s="30">
        <f>7000*Assumptions!B22</f>
        <v>84000</v>
      </c>
      <c r="C11" s="30">
        <f>7210*Assumptions!B23</f>
        <v>129780</v>
      </c>
      <c r="D11" s="30">
        <f>7426*Assumptions!B24</f>
        <v>163372</v>
      </c>
      <c r="E11" s="30">
        <f>7649*Assumptions!B25</f>
        <v>191225</v>
      </c>
      <c r="F11" s="30">
        <f>7878*Assumptions!B26</f>
        <v>196950</v>
      </c>
    </row>
    <row r="12" ht="24" customHeight="1" spans="1:6" x14ac:dyDescent="0.25">
      <c r="A12" s="8" t="s">
        <v>81</v>
      </c>
      <c r="B12" s="31">
        <f>SUM(B11:B11)</f>
        <v>84000</v>
      </c>
      <c r="C12" s="31">
        <f>SUM(C11:C11)</f>
        <v>129780</v>
      </c>
      <c r="D12" s="31">
        <f>SUM(D11:D11)</f>
        <v>163372</v>
      </c>
      <c r="E12" s="31">
        <f>SUM(E11:E11)</f>
        <v>191225</v>
      </c>
      <c r="F12" s="31">
        <f>SUM(F11:F11)</f>
        <v>196950</v>
      </c>
    </row>
    <row r="13" ht="24" customHeight="1" spans="1:6" x14ac:dyDescent="0.25">
      <c r="A13" s="8" t="s">
        <v>82</v>
      </c>
      <c r="B13" s="8"/>
      <c r="C13" s="8"/>
      <c r="D13" s="8"/>
      <c r="E13" s="8"/>
      <c r="F13" s="8"/>
    </row>
    <row r="14" spans="1:6" x14ac:dyDescent="0.25">
      <c r="A14" s="22" t="s">
        <v>83</v>
      </c>
      <c r="B14" s="30">
        <v>5000</v>
      </c>
      <c r="C14" s="30">
        <v>6000</v>
      </c>
      <c r="D14" s="30">
        <v>7000</v>
      </c>
      <c r="E14" s="30">
        <v>8000</v>
      </c>
      <c r="F14" s="30">
        <v>9000</v>
      </c>
    </row>
    <row r="15" ht="24" customHeight="1" spans="1:6" x14ac:dyDescent="0.25">
      <c r="A15" s="8" t="s">
        <v>84</v>
      </c>
      <c r="B15" s="31" t="str">
        <f>SUM(B14:B14)</f>
        <v>0</v>
      </c>
      <c r="C15" s="31" t="str">
        <f>SUM(C14:C14)</f>
        <v>0</v>
      </c>
      <c r="D15" s="31" t="str">
        <f>SUM(D14:D14)</f>
        <v>0</v>
      </c>
      <c r="E15" s="31" t="str">
        <f>SUM(E14:E14)</f>
        <v>0</v>
      </c>
      <c r="F15" s="31" t="str">
        <f>SUM(F14:F14)</f>
        <v>0</v>
      </c>
    </row>
    <row r="17" ht="24" customHeight="1" spans="1:6" x14ac:dyDescent="0.25">
      <c r="A17" s="8" t="s">
        <v>85</v>
      </c>
      <c r="B17" s="31">
        <f>B6+B9+B12+B15</f>
        <v>221600</v>
      </c>
      <c r="C17" s="31">
        <f>C6+C9+C12+C15</f>
        <v>340512</v>
      </c>
      <c r="D17" s="31">
        <f>D6+D9+D12+D15</f>
        <v>427946</v>
      </c>
      <c r="E17" s="31">
        <f>E6+E9+E12+E15</f>
        <v>500518</v>
      </c>
      <c r="F17" s="31">
        <f>F6+F9+F12+F15</f>
        <v>516085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8" t="s">
        <v>86</v>
      </c>
      <c r="B1" s="18"/>
      <c r="C1" s="18"/>
      <c r="D1" s="18"/>
      <c r="E1" s="18"/>
      <c r="F1" s="18"/>
      <c r="G1" s="18"/>
      <c r="H1" s="18"/>
    </row>
    <row r="3" ht="28" customHeight="1" spans="1:8" x14ac:dyDescent="0.25">
      <c r="A3" s="28" t="s">
        <v>87</v>
      </c>
      <c r="B3" s="28" t="s">
        <v>88</v>
      </c>
      <c r="C3" s="28" t="s">
        <v>89</v>
      </c>
      <c r="D3" s="28" t="s">
        <v>90</v>
      </c>
      <c r="E3" s="28" t="s">
        <v>91</v>
      </c>
      <c r="F3" s="28" t="s">
        <v>92</v>
      </c>
      <c r="G3" s="28" t="s">
        <v>93</v>
      </c>
      <c r="H3" s="28" t="s">
        <v>94</v>
      </c>
    </row>
    <row r="4" spans="1:8" x14ac:dyDescent="0.25">
      <c r="A4" s="22" t="s">
        <v>95</v>
      </c>
      <c r="B4" s="22" t="s">
        <v>96</v>
      </c>
      <c r="C4" s="22" t="s">
        <v>97</v>
      </c>
      <c r="D4" s="26">
        <v>1</v>
      </c>
      <c r="E4" s="32">
        <v>55000</v>
      </c>
      <c r="F4" s="25">
        <v>0.2</v>
      </c>
      <c r="G4" s="25">
        <v>0.0765</v>
      </c>
      <c r="H4" s="33">
        <v>70207.5</v>
      </c>
    </row>
    <row r="5" spans="1:8" x14ac:dyDescent="0.25">
      <c r="A5" s="22" t="s">
        <v>98</v>
      </c>
      <c r="B5" s="22" t="s">
        <v>99</v>
      </c>
      <c r="C5" s="22" t="s">
        <v>97</v>
      </c>
      <c r="D5" s="26">
        <v>1</v>
      </c>
      <c r="E5" s="32">
        <v>45000</v>
      </c>
      <c r="F5" s="25">
        <v>0.2</v>
      </c>
      <c r="G5" s="25">
        <v>0.0765</v>
      </c>
      <c r="H5" s="33">
        <v>57442.5</v>
      </c>
    </row>
    <row r="6" spans="1:8" x14ac:dyDescent="0.25">
      <c r="A6" s="22" t="s">
        <v>100</v>
      </c>
      <c r="B6" s="22" t="s">
        <v>99</v>
      </c>
      <c r="C6" s="22" t="s">
        <v>101</v>
      </c>
      <c r="D6" s="26">
        <v>0.5</v>
      </c>
      <c r="E6" s="32">
        <v>28000</v>
      </c>
      <c r="F6" s="25">
        <v>0</v>
      </c>
      <c r="G6" s="25">
        <v>0.0765</v>
      </c>
      <c r="H6" s="33">
        <v>15071</v>
      </c>
    </row>
    <row r="8" ht="24" customHeight="1" spans="1:8" x14ac:dyDescent="0.25">
      <c r="A8" s="8" t="s">
        <v>102</v>
      </c>
      <c r="B8" s="8"/>
      <c r="C8" s="8"/>
      <c r="D8" s="8"/>
      <c r="E8" s="8"/>
      <c r="F8" s="8"/>
      <c r="G8" s="8"/>
      <c r="H8" s="8"/>
    </row>
    <row r="9" spans="1:2" x14ac:dyDescent="0.25">
      <c r="A9" s="22" t="s">
        <v>103</v>
      </c>
      <c r="B9" s="34">
        <v>3</v>
      </c>
    </row>
    <row r="10" spans="1:2" x14ac:dyDescent="0.25">
      <c r="A10" s="22" t="s">
        <v>104</v>
      </c>
      <c r="B10" s="34">
        <v>2.5</v>
      </c>
    </row>
    <row r="11" spans="1:2" x14ac:dyDescent="0.25">
      <c r="A11" s="22" t="s">
        <v>105</v>
      </c>
      <c r="B11" s="35">
        <v>114000</v>
      </c>
    </row>
    <row r="12" spans="1:2" x14ac:dyDescent="0.25">
      <c r="A12" s="22" t="s">
        <v>106</v>
      </c>
      <c r="B12" s="35">
        <v>20000</v>
      </c>
    </row>
    <row r="13" spans="1:2" x14ac:dyDescent="0.25">
      <c r="A13" s="22" t="s">
        <v>107</v>
      </c>
      <c r="B13" s="35">
        <v>8721</v>
      </c>
    </row>
    <row r="14" spans="1:2" x14ac:dyDescent="0.25">
      <c r="A14" s="22" t="s">
        <v>108</v>
      </c>
      <c r="B14" s="35">
        <v>0</v>
      </c>
    </row>
    <row r="15" spans="1:2" x14ac:dyDescent="0.25">
      <c r="A15" s="34" t="s">
        <v>109</v>
      </c>
      <c r="B15" s="36">
        <v>142721</v>
      </c>
    </row>
    <row r="17" ht="24" customHeight="1" spans="1:6" x14ac:dyDescent="0.25">
      <c r="A17" s="8" t="s">
        <v>110</v>
      </c>
      <c r="B17" s="8"/>
      <c r="C17" s="8"/>
      <c r="D17" s="8"/>
      <c r="E17" s="8"/>
      <c r="F17" s="8"/>
    </row>
    <row r="18" ht="28" customHeight="1" spans="1:6" x14ac:dyDescent="0.25">
      <c r="A18" s="28" t="s">
        <v>23</v>
      </c>
      <c r="B18" s="28" t="s">
        <v>66</v>
      </c>
      <c r="C18" s="28" t="s">
        <v>67</v>
      </c>
      <c r="D18" s="28" t="s">
        <v>68</v>
      </c>
      <c r="E18" s="28" t="s">
        <v>69</v>
      </c>
      <c r="F18" s="28" t="s">
        <v>70</v>
      </c>
    </row>
    <row r="19" spans="1:6" x14ac:dyDescent="0.25">
      <c r="A19" s="22" t="s">
        <v>111</v>
      </c>
      <c r="B19" s="30">
        <v>142721</v>
      </c>
      <c r="C19" s="30">
        <v>142721</v>
      </c>
      <c r="D19" s="30">
        <v>142721</v>
      </c>
      <c r="E19" s="30">
        <v>142721</v>
      </c>
      <c r="F19" s="30">
        <v>142721</v>
      </c>
    </row>
    <row r="20" spans="1:6" x14ac:dyDescent="0.25">
      <c r="A20" s="22" t="s">
        <v>112</v>
      </c>
      <c r="B20" s="37">
        <f>(1+Assumptions!B29)^0</f>
        <v>1</v>
      </c>
      <c r="C20" s="37">
        <f>(1+Assumptions!B29)^1</f>
        <v>1.03</v>
      </c>
      <c r="D20" s="37">
        <f>(1+Assumptions!B29)^2</f>
        <v>1.0609</v>
      </c>
      <c r="E20" s="37">
        <f>(1+Assumptions!B29)^3</f>
        <v>1.092727</v>
      </c>
      <c r="F20" s="37">
        <f>(1+Assumptions!B29)^4</f>
        <v>1.1255088100000001</v>
      </c>
    </row>
    <row r="21" spans="1:6" x14ac:dyDescent="0.25">
      <c r="A21" s="22" t="s">
        <v>113</v>
      </c>
      <c r="B21" s="38">
        <f>Assumptions!B31</f>
        <v>0.8333333333333334</v>
      </c>
      <c r="C21" s="38">
        <v>1</v>
      </c>
      <c r="D21" s="38">
        <v>1</v>
      </c>
      <c r="E21" s="38">
        <v>1</v>
      </c>
      <c r="F21" s="38">
        <v>1</v>
      </c>
    </row>
    <row r="22" ht="24" customHeight="1" spans="1:6" x14ac:dyDescent="0.25">
      <c r="A22" s="8" t="s">
        <v>114</v>
      </c>
      <c r="B22" s="31">
        <f>B19*B20*B21</f>
        <v>118934</v>
      </c>
      <c r="C22" s="31">
        <f>C19*C20*C21</f>
        <v>147003</v>
      </c>
      <c r="D22" s="31">
        <f>D19*D20*D21</f>
        <v>151413</v>
      </c>
      <c r="E22" s="31">
        <f>E19*E20*E21</f>
        <v>155955</v>
      </c>
      <c r="F22" s="31">
        <f>F19*F20*F21</f>
        <v>160634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23</v>
      </c>
      <c r="B1" s="28" t="s">
        <v>66</v>
      </c>
      <c r="C1" s="28" t="s">
        <v>67</v>
      </c>
      <c r="D1" s="28" t="s">
        <v>68</v>
      </c>
      <c r="E1" s="28" t="s">
        <v>69</v>
      </c>
      <c r="F1" s="28" t="s">
        <v>70</v>
      </c>
    </row>
    <row r="2" spans="1:6" x14ac:dyDescent="0.25">
      <c r="A2" s="22" t="s">
        <v>71</v>
      </c>
      <c r="B2" s="29">
        <f>Assumptions!B22</f>
        <v>12</v>
      </c>
      <c r="C2" s="29">
        <f>Assumptions!B23</f>
        <v>18</v>
      </c>
      <c r="D2" s="29">
        <f>Assumptions!B24</f>
        <v>22</v>
      </c>
      <c r="E2" s="29">
        <f>Assumptions!B25</f>
        <v>25</v>
      </c>
      <c r="F2" s="29">
        <f>Assumptions!B26</f>
        <v>25</v>
      </c>
    </row>
    <row r="3" ht="24" customHeight="1" spans="1:6" x14ac:dyDescent="0.25">
      <c r="A3" s="8" t="s">
        <v>115</v>
      </c>
      <c r="B3" s="8"/>
      <c r="C3" s="8"/>
      <c r="D3" s="8"/>
      <c r="E3" s="8"/>
      <c r="F3" s="8"/>
    </row>
    <row r="4" spans="1:6" x14ac:dyDescent="0.25">
      <c r="A4" s="22" t="s">
        <v>116</v>
      </c>
      <c r="B4" s="30">
        <f>500*Assumptions!B22</f>
        <v>6000</v>
      </c>
      <c r="C4" s="30">
        <f>515*Assumptions!B23</f>
        <v>9270</v>
      </c>
      <c r="D4" s="30">
        <f>530*Assumptions!B24</f>
        <v>11660</v>
      </c>
      <c r="E4" s="30">
        <f>546*Assumptions!B25</f>
        <v>13650</v>
      </c>
      <c r="F4" s="30">
        <f>562*Assumptions!B26</f>
        <v>14050</v>
      </c>
    </row>
    <row r="5" ht="24" customHeight="1" spans="1:6" x14ac:dyDescent="0.25">
      <c r="A5" s="8" t="s">
        <v>117</v>
      </c>
      <c r="B5" s="31">
        <f>SUM(B4:B4)</f>
        <v>6000</v>
      </c>
      <c r="C5" s="31">
        <f>SUM(C4:C4)</f>
        <v>9270</v>
      </c>
      <c r="D5" s="31">
        <f>SUM(D4:D4)</f>
        <v>11660</v>
      </c>
      <c r="E5" s="31">
        <f>SUM(E4:E4)</f>
        <v>13650</v>
      </c>
      <c r="F5" s="31">
        <f>SUM(F4:F4)</f>
        <v>14050</v>
      </c>
    </row>
    <row r="6" ht="24" customHeight="1" spans="1:6" x14ac:dyDescent="0.25">
      <c r="A6" s="8" t="s">
        <v>118</v>
      </c>
      <c r="B6" s="8"/>
      <c r="C6" s="8"/>
      <c r="D6" s="8"/>
      <c r="E6" s="8"/>
      <c r="F6" s="8"/>
    </row>
    <row r="7" spans="1:6" x14ac:dyDescent="0.25">
      <c r="A7" s="22" t="s">
        <v>119</v>
      </c>
      <c r="B7" s="30">
        <f>300*Assumptions!B22</f>
        <v>3600</v>
      </c>
      <c r="C7" s="30">
        <f>309*Assumptions!B23</f>
        <v>5562</v>
      </c>
      <c r="D7" s="30">
        <f>318*Assumptions!B24</f>
        <v>6996</v>
      </c>
      <c r="E7" s="30">
        <f>328*Assumptions!B25</f>
        <v>8200</v>
      </c>
      <c r="F7" s="30">
        <f>338*Assumptions!B26</f>
        <v>8450</v>
      </c>
    </row>
    <row r="8" ht="24" customHeight="1" spans="1:6" x14ac:dyDescent="0.25">
      <c r="A8" s="8" t="s">
        <v>120</v>
      </c>
      <c r="B8" s="31">
        <f>SUM(B7:B7)</f>
        <v>3600</v>
      </c>
      <c r="C8" s="31">
        <f>SUM(C7:C7)</f>
        <v>5562</v>
      </c>
      <c r="D8" s="31">
        <f>SUM(D7:D7)</f>
        <v>6996</v>
      </c>
      <c r="E8" s="31">
        <f>SUM(E7:E7)</f>
        <v>8200</v>
      </c>
      <c r="F8" s="31">
        <f>SUM(F7:F7)</f>
        <v>8450</v>
      </c>
    </row>
    <row r="9" ht="24" customHeight="1" spans="1:6" x14ac:dyDescent="0.25">
      <c r="A9" s="8" t="s">
        <v>121</v>
      </c>
      <c r="B9" s="8"/>
      <c r="C9" s="8"/>
      <c r="D9" s="8"/>
      <c r="E9" s="8"/>
      <c r="F9" s="8"/>
    </row>
    <row r="10" spans="1:6" x14ac:dyDescent="0.25">
      <c r="A10" s="22" t="s">
        <v>122</v>
      </c>
      <c r="B10" s="30">
        <f>2500*12</f>
        <v>30000</v>
      </c>
      <c r="C10" s="30">
        <f>2575*12</f>
        <v>30900</v>
      </c>
      <c r="D10" s="30">
        <f>2652*12</f>
        <v>31824</v>
      </c>
      <c r="E10" s="30">
        <f>2732*12</f>
        <v>32784</v>
      </c>
      <c r="F10" s="30">
        <f>2814*12</f>
        <v>33768</v>
      </c>
    </row>
    <row r="11" spans="1:6" x14ac:dyDescent="0.25">
      <c r="A11" s="22" t="s">
        <v>123</v>
      </c>
      <c r="B11" s="30">
        <f>300*12</f>
        <v>3600</v>
      </c>
      <c r="C11" s="30">
        <f>308*12</f>
        <v>3696</v>
      </c>
      <c r="D11" s="30">
        <f>316*12</f>
        <v>3792</v>
      </c>
      <c r="E11" s="30">
        <f>324*12</f>
        <v>3888</v>
      </c>
      <c r="F11" s="30">
        <f>332*12</f>
        <v>3984</v>
      </c>
    </row>
    <row r="12" spans="1:6" x14ac:dyDescent="0.25">
      <c r="A12" s="22" t="s">
        <v>124</v>
      </c>
      <c r="B12" s="30">
        <v>2400</v>
      </c>
      <c r="C12" s="30">
        <v>2460</v>
      </c>
      <c r="D12" s="30">
        <v>2522</v>
      </c>
      <c r="E12" s="30">
        <v>2585</v>
      </c>
      <c r="F12" s="30">
        <v>2650</v>
      </c>
    </row>
    <row r="13" ht="24" customHeight="1" spans="1:6" x14ac:dyDescent="0.25">
      <c r="A13" s="8" t="s">
        <v>125</v>
      </c>
      <c r="B13" s="31">
        <f>SUM(B10:B12)</f>
        <v>36000</v>
      </c>
      <c r="C13" s="31">
        <f>SUM(C10:C12)</f>
        <v>37056</v>
      </c>
      <c r="D13" s="31">
        <f>SUM(D10:D12)</f>
        <v>38138</v>
      </c>
      <c r="E13" s="31">
        <f>SUM(E10:E12)</f>
        <v>39257</v>
      </c>
      <c r="F13" s="31">
        <f>SUM(F10:F12)</f>
        <v>40402</v>
      </c>
    </row>
    <row r="14" ht="24" customHeight="1" spans="1:6" x14ac:dyDescent="0.25">
      <c r="A14" s="8" t="s">
        <v>126</v>
      </c>
      <c r="B14" s="8"/>
      <c r="C14" s="8"/>
      <c r="D14" s="8"/>
      <c r="E14" s="8"/>
      <c r="F14" s="8"/>
    </row>
    <row r="15" spans="1:6" x14ac:dyDescent="0.25">
      <c r="A15" s="22" t="s">
        <v>127</v>
      </c>
      <c r="B15" s="30">
        <v>3000</v>
      </c>
      <c r="C15" s="30">
        <v>3075</v>
      </c>
      <c r="D15" s="30">
        <v>3152</v>
      </c>
      <c r="E15" s="30">
        <v>3231</v>
      </c>
      <c r="F15" s="30">
        <v>3312</v>
      </c>
    </row>
    <row r="16" ht="24" customHeight="1" spans="1:6" x14ac:dyDescent="0.25">
      <c r="A16" s="8" t="s">
        <v>128</v>
      </c>
      <c r="B16" s="31">
        <f>SUM(B15:B15)</f>
        <v>3000</v>
      </c>
      <c r="C16" s="31">
        <f>SUM(C15:C15)</f>
        <v>3075</v>
      </c>
      <c r="D16" s="31">
        <f>SUM(D15:D15)</f>
        <v>3152</v>
      </c>
      <c r="E16" s="31">
        <f>SUM(E15:E15)</f>
        <v>3231</v>
      </c>
      <c r="F16" s="31">
        <f>SUM(F15:F15)</f>
        <v>3312</v>
      </c>
    </row>
    <row r="18" ht="24" customHeight="1" spans="1:6" x14ac:dyDescent="0.25">
      <c r="A18" s="8" t="s">
        <v>129</v>
      </c>
      <c r="B18" s="31">
        <f>B5+B8+B13+B16</f>
        <v>48600</v>
      </c>
      <c r="C18" s="31">
        <f>C5+C8+C13+C16</f>
        <v>54963</v>
      </c>
      <c r="D18" s="31">
        <f>D5+D8+D13+D16</f>
        <v>59946</v>
      </c>
      <c r="E18" s="31">
        <f>E5+E8+E13+E16</f>
        <v>64338</v>
      </c>
      <c r="F18" s="31">
        <f>F5+F8+F13+F16</f>
        <v>66214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23</v>
      </c>
      <c r="B1" s="28" t="s">
        <v>66</v>
      </c>
      <c r="C1" s="28" t="s">
        <v>67</v>
      </c>
      <c r="D1" s="28" t="s">
        <v>68</v>
      </c>
      <c r="E1" s="28" t="s">
        <v>69</v>
      </c>
      <c r="F1" s="28" t="s">
        <v>70</v>
      </c>
    </row>
    <row r="2" ht="24" customHeight="1" spans="1:6" x14ac:dyDescent="0.25">
      <c r="A2" s="8" t="s">
        <v>130</v>
      </c>
      <c r="B2" s="8"/>
      <c r="C2" s="8"/>
      <c r="D2" s="8"/>
      <c r="E2" s="8"/>
      <c r="F2" s="8"/>
    </row>
    <row r="3" spans="1:6" x14ac:dyDescent="0.25">
      <c r="A3" s="22" t="s">
        <v>131</v>
      </c>
      <c r="B3" s="30">
        <v>6959.808550594178</v>
      </c>
      <c r="C3" s="30">
        <v>6959.808550594178</v>
      </c>
      <c r="D3" s="30">
        <v>6959.808550594178</v>
      </c>
      <c r="E3" s="30">
        <v>6959.808550594178</v>
      </c>
      <c r="F3" s="30">
        <v>6959.808550594178</v>
      </c>
    </row>
    <row r="4" ht="24" customHeight="1" spans="1:6" x14ac:dyDescent="0.25">
      <c r="A4" s="8" t="s">
        <v>132</v>
      </c>
      <c r="B4" s="31">
        <f>SUM(B3:B3)</f>
        <v>6960</v>
      </c>
      <c r="C4" s="31">
        <f>SUM(C3:C3)</f>
        <v>6960</v>
      </c>
      <c r="D4" s="31">
        <f>SUM(D3:D3)</f>
        <v>6960</v>
      </c>
      <c r="E4" s="31">
        <f>SUM(E3:E3)</f>
        <v>6960</v>
      </c>
      <c r="F4" s="31">
        <f>SUM(F3:F3)</f>
        <v>6960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8" t="s">
        <v>1</v>
      </c>
      <c r="B1" s="28" t="s">
        <v>66</v>
      </c>
      <c r="C1" s="28" t="s">
        <v>67</v>
      </c>
      <c r="D1" s="28" t="s">
        <v>68</v>
      </c>
      <c r="E1" s="28" t="s">
        <v>69</v>
      </c>
      <c r="F1" s="28" t="s">
        <v>70</v>
      </c>
    </row>
    <row r="2" spans="1:6" x14ac:dyDescent="0.25">
      <c r="A2" s="22" t="s">
        <v>133</v>
      </c>
      <c r="B2" s="30">
        <f>'Revenue Schedule'!B17</f>
        <v>221600</v>
      </c>
      <c r="C2" s="30">
        <f>'Revenue Schedule'!C17</f>
        <v>340512</v>
      </c>
      <c r="D2" s="30">
        <f>'Revenue Schedule'!D17</f>
        <v>427946</v>
      </c>
      <c r="E2" s="30">
        <f>'Revenue Schedule'!E17</f>
        <v>500518</v>
      </c>
      <c r="F2" s="30">
        <f>'Revenue Schedule'!F17</f>
        <v>516085</v>
      </c>
    </row>
    <row r="3" spans="1:6" x14ac:dyDescent="0.25">
      <c r="A3" s="22" t="s">
        <v>134</v>
      </c>
      <c r="B3" s="30">
        <f>'Staffing &amp; Personnel'!B22</f>
        <v>118934</v>
      </c>
      <c r="C3" s="30">
        <f>'Staffing &amp; Personnel'!C22</f>
        <v>147003</v>
      </c>
      <c r="D3" s="30">
        <f>'Staffing &amp; Personnel'!D22</f>
        <v>151413</v>
      </c>
      <c r="E3" s="30">
        <f>'Staffing &amp; Personnel'!E22</f>
        <v>155955</v>
      </c>
      <c r="F3" s="30">
        <f>'Staffing &amp; Personnel'!F22</f>
        <v>160634</v>
      </c>
    </row>
    <row r="4" spans="1:6" x14ac:dyDescent="0.25">
      <c r="A4" s="22" t="s">
        <v>17</v>
      </c>
      <c r="B4" s="30">
        <f>'Operating Expenses'!B18</f>
        <v>48600</v>
      </c>
      <c r="C4" s="30">
        <f>'Operating Expenses'!C18</f>
        <v>54963</v>
      </c>
      <c r="D4" s="30">
        <f>'Operating Expenses'!D18</f>
        <v>59946</v>
      </c>
      <c r="E4" s="30">
        <f>'Operating Expenses'!E18</f>
        <v>64338</v>
      </c>
      <c r="F4" s="30">
        <f>'Operating Expenses'!F18</f>
        <v>66214</v>
      </c>
    </row>
    <row r="5" spans="1:6" x14ac:dyDescent="0.25">
      <c r="A5" s="22" t="s">
        <v>18</v>
      </c>
      <c r="B5" s="30">
        <f>'Capital &amp; Debt'!B4</f>
        <v>6960</v>
      </c>
      <c r="C5" s="30">
        <f>'Capital &amp; Debt'!C4</f>
        <v>6960</v>
      </c>
      <c r="D5" s="30">
        <f>'Capital &amp; Debt'!D4</f>
        <v>6960</v>
      </c>
      <c r="E5" s="30">
        <f>'Capital &amp; Debt'!E4</f>
        <v>6960</v>
      </c>
      <c r="F5" s="30">
        <f>'Capital &amp; Debt'!F4</f>
        <v>6960</v>
      </c>
    </row>
    <row r="6" ht="24" customHeight="1" spans="1:6" x14ac:dyDescent="0.25">
      <c r="A6" s="8" t="s">
        <v>135</v>
      </c>
      <c r="B6" s="31">
        <f>B3+B4+B5</f>
        <v>174494</v>
      </c>
      <c r="C6" s="31">
        <f>C3+C4+C5</f>
        <v>208926</v>
      </c>
      <c r="D6" s="31">
        <f>D3+D4+D5</f>
        <v>218319</v>
      </c>
      <c r="E6" s="31">
        <f>E3+E4+E5</f>
        <v>227253</v>
      </c>
      <c r="F6" s="31">
        <f>F3+F4+F5</f>
        <v>233808</v>
      </c>
    </row>
    <row r="7" ht="24" customHeight="1" spans="1:6" x14ac:dyDescent="0.25">
      <c r="A7" s="8" t="s">
        <v>136</v>
      </c>
      <c r="B7" s="31">
        <f>B2-B6</f>
        <v>47106</v>
      </c>
      <c r="C7" s="31">
        <f>C2-C6</f>
        <v>131586</v>
      </c>
      <c r="D7" s="31">
        <f>D2-D6</f>
        <v>209627</v>
      </c>
      <c r="E7" s="31">
        <f>E2-E6</f>
        <v>273265</v>
      </c>
      <c r="F7" s="31">
        <f>F2-F6</f>
        <v>282277</v>
      </c>
    </row>
    <row r="8" spans="1:6" x14ac:dyDescent="0.25">
      <c r="A8" s="22" t="s">
        <v>137</v>
      </c>
      <c r="B8" s="30">
        <f>B7</f>
        <v>47106</v>
      </c>
      <c r="C8" s="30">
        <f>B8+C7</f>
        <v>178692</v>
      </c>
      <c r="D8" s="30">
        <f>C8+D7</f>
        <v>388319</v>
      </c>
      <c r="E8" s="30">
        <f>D8+E7</f>
        <v>661584</v>
      </c>
      <c r="F8" s="30">
        <f>E8+F7</f>
        <v>943861</v>
      </c>
    </row>
    <row r="9" spans="1:6" x14ac:dyDescent="0.25">
      <c r="A9" s="22" t="s">
        <v>11</v>
      </c>
      <c r="B9" s="39">
        <f>IF(B6=0,0,IF(B8&gt;0,B8/(B6/12),0))</f>
        <v>3.2394924753859735</v>
      </c>
      <c r="C9" s="39">
        <f>IF(C6=0,0,IF(C8&gt;0,C8/(C6/12),0))</f>
        <v>10.263461704144051</v>
      </c>
      <c r="D9" s="39">
        <f>IF(D6=0,0,IF(D8&gt;0,D8/(D6/12),0))</f>
        <v>21.34412488148077</v>
      </c>
      <c r="E9" s="39">
        <f>IF(E6=0,0,IF(E8&gt;0,E8/(E6/12),0))</f>
        <v>34.93466752914153</v>
      </c>
      <c r="F9" s="39">
        <f>IF(F6=0,0,IF(F8&gt;0,F8/(F6/12),0))</f>
        <v>48.44287620611784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40" t="s">
        <v>138</v>
      </c>
      <c r="B1" s="40"/>
      <c r="C1" s="40"/>
      <c r="D1" s="40"/>
      <c r="E1" s="40"/>
      <c r="F1" s="40"/>
    </row>
    <row r="2" spans="1:1" x14ac:dyDescent="0.25">
      <c r="A2" s="41" t="s">
        <v>139</v>
      </c>
    </row>
    <row r="4" ht="24" customHeight="1" spans="1:6" x14ac:dyDescent="0.25">
      <c r="A4" s="8" t="s">
        <v>26</v>
      </c>
      <c r="B4" s="8"/>
      <c r="C4" s="8"/>
      <c r="D4" s="8"/>
      <c r="E4" s="8"/>
      <c r="F4" s="8"/>
    </row>
    <row r="5" spans="1:2" x14ac:dyDescent="0.25">
      <c r="A5" s="22" t="s">
        <v>27</v>
      </c>
      <c r="B5" s="34" t="s">
        <v>3</v>
      </c>
    </row>
    <row r="6" spans="1:2" x14ac:dyDescent="0.25">
      <c r="A6" s="22" t="s">
        <v>30</v>
      </c>
      <c r="B6" s="34" t="s">
        <v>31</v>
      </c>
    </row>
    <row r="7" spans="1:2" x14ac:dyDescent="0.25">
      <c r="A7" s="22" t="s">
        <v>32</v>
      </c>
      <c r="B7" s="34" t="s">
        <v>33</v>
      </c>
    </row>
    <row r="8" spans="1:2" x14ac:dyDescent="0.25">
      <c r="A8" s="22" t="s">
        <v>34</v>
      </c>
      <c r="B8" s="34" t="s">
        <v>35</v>
      </c>
    </row>
    <row r="9" spans="1:2" x14ac:dyDescent="0.25">
      <c r="A9" s="22" t="s">
        <v>36</v>
      </c>
      <c r="B9" s="34" t="s">
        <v>37</v>
      </c>
    </row>
    <row r="10" spans="1:2" x14ac:dyDescent="0.25">
      <c r="A10" s="22" t="s">
        <v>28</v>
      </c>
      <c r="B10" s="34" t="s">
        <v>29</v>
      </c>
    </row>
    <row r="11" spans="1:2" x14ac:dyDescent="0.25">
      <c r="A11" s="22" t="s">
        <v>41</v>
      </c>
      <c r="B11" s="34" t="s">
        <v>42</v>
      </c>
    </row>
    <row r="12" spans="1:2" x14ac:dyDescent="0.25">
      <c r="A12" s="22" t="s">
        <v>40</v>
      </c>
      <c r="B12" s="34" t="s">
        <v>140</v>
      </c>
    </row>
    <row r="14" ht="24" customHeight="1" spans="1:6" x14ac:dyDescent="0.25">
      <c r="A14" s="8" t="s">
        <v>141</v>
      </c>
      <c r="B14" s="8"/>
      <c r="C14" s="8"/>
      <c r="D14" s="8"/>
      <c r="E14" s="8"/>
      <c r="F14" s="8"/>
    </row>
    <row r="15" ht="28" customHeight="1" spans="1:6" x14ac:dyDescent="0.25">
      <c r="A15" s="28" t="s">
        <v>23</v>
      </c>
      <c r="B15" s="28" t="s">
        <v>66</v>
      </c>
      <c r="C15" s="28" t="s">
        <v>67</v>
      </c>
      <c r="D15" s="28" t="s">
        <v>68</v>
      </c>
      <c r="E15" s="28" t="s">
        <v>69</v>
      </c>
      <c r="F15" s="28" t="s">
        <v>70</v>
      </c>
    </row>
    <row r="16" spans="1:6" x14ac:dyDescent="0.25">
      <c r="A16" s="22" t="s">
        <v>71</v>
      </c>
      <c r="B16" s="29">
        <f>'Revenue Schedule'!B2</f>
        <v>12</v>
      </c>
      <c r="C16" s="29">
        <f>'Revenue Schedule'!C2</f>
        <v>18</v>
      </c>
      <c r="D16" s="29">
        <f>'Revenue Schedule'!D2</f>
        <v>22</v>
      </c>
      <c r="E16" s="29">
        <f>'Revenue Schedule'!E2</f>
        <v>25</v>
      </c>
      <c r="F16" s="29">
        <f>'Revenue Schedule'!F2</f>
        <v>25</v>
      </c>
    </row>
    <row r="17" spans="1:6" x14ac:dyDescent="0.25">
      <c r="A17" s="22" t="s">
        <v>142</v>
      </c>
      <c r="B17" s="9" t="s">
        <v>143</v>
      </c>
      <c r="C17" s="42">
        <f>IF(B16=0,0,(C16-B16)/B16)</f>
        <v>0.5</v>
      </c>
      <c r="D17" s="42">
        <f>IF(C16=0,0,(D16-C16)/C16)</f>
        <v>0.2222222222222222</v>
      </c>
      <c r="E17" s="42">
        <f>IF(D16=0,0,(E16-D16)/D16)</f>
        <v>0.13636363636363635</v>
      </c>
      <c r="F17" s="42" t="str">
        <f>IF(E16=0,0,(F16-E16)/E16)</f>
        <v>0</v>
      </c>
    </row>
    <row r="19" ht="28" customHeight="1" spans="1:6" x14ac:dyDescent="0.25">
      <c r="A19" s="28" t="s">
        <v>23</v>
      </c>
      <c r="B19" s="28" t="s">
        <v>66</v>
      </c>
      <c r="C19" s="28" t="s">
        <v>67</v>
      </c>
      <c r="D19" s="28" t="s">
        <v>68</v>
      </c>
      <c r="E19" s="28" t="s">
        <v>69</v>
      </c>
      <c r="F19" s="28" t="s">
        <v>70</v>
      </c>
    </row>
    <row r="20" spans="1:6" x14ac:dyDescent="0.25">
      <c r="A20" s="22" t="s">
        <v>133</v>
      </c>
      <c r="B20" s="30">
        <f>'Financial Model'!B2</f>
        <v>221600</v>
      </c>
      <c r="C20" s="30">
        <f>'Financial Model'!C2</f>
        <v>340512</v>
      </c>
      <c r="D20" s="30">
        <f>'Financial Model'!D2</f>
        <v>427946</v>
      </c>
      <c r="E20" s="30">
        <f>'Financial Model'!E2</f>
        <v>500518</v>
      </c>
      <c r="F20" s="30">
        <f>'Financial Model'!F2</f>
        <v>516085</v>
      </c>
    </row>
    <row r="21" spans="1:6" x14ac:dyDescent="0.25">
      <c r="A21" s="22" t="s">
        <v>134</v>
      </c>
      <c r="B21" s="30">
        <f>'Financial Model'!B3</f>
        <v>118934</v>
      </c>
      <c r="C21" s="30">
        <f>'Financial Model'!C3</f>
        <v>147003</v>
      </c>
      <c r="D21" s="30">
        <f>'Financial Model'!D3</f>
        <v>151413</v>
      </c>
      <c r="E21" s="30">
        <f>'Financial Model'!E3</f>
        <v>155955</v>
      </c>
      <c r="F21" s="30">
        <f>'Financial Model'!F3</f>
        <v>160634</v>
      </c>
    </row>
    <row r="22" spans="1:6" x14ac:dyDescent="0.25">
      <c r="A22" s="22" t="s">
        <v>17</v>
      </c>
      <c r="B22" s="30">
        <f>'Financial Model'!B4</f>
        <v>48600</v>
      </c>
      <c r="C22" s="30">
        <f>'Financial Model'!C4</f>
        <v>54963</v>
      </c>
      <c r="D22" s="30">
        <f>'Financial Model'!D4</f>
        <v>59946</v>
      </c>
      <c r="E22" s="30">
        <f>'Financial Model'!E4</f>
        <v>64338</v>
      </c>
      <c r="F22" s="30">
        <f>'Financial Model'!F4</f>
        <v>66214</v>
      </c>
    </row>
    <row r="23" ht="24" customHeight="1" spans="1:6" x14ac:dyDescent="0.25">
      <c r="A23" s="8" t="s">
        <v>135</v>
      </c>
      <c r="B23" s="31">
        <f>'Financial Model'!B6</f>
        <v>174494</v>
      </c>
      <c r="C23" s="31">
        <f>'Financial Model'!C6</f>
        <v>208926</v>
      </c>
      <c r="D23" s="31">
        <f>'Financial Model'!D6</f>
        <v>218319</v>
      </c>
      <c r="E23" s="31">
        <f>'Financial Model'!E6</f>
        <v>227253</v>
      </c>
      <c r="F23" s="31">
        <f>'Financial Model'!F6</f>
        <v>233808</v>
      </c>
    </row>
    <row r="24" spans="1:6" x14ac:dyDescent="0.25">
      <c r="A24" s="34" t="s">
        <v>136</v>
      </c>
      <c r="B24" s="43">
        <f>'Financial Model'!B7</f>
        <v>47106</v>
      </c>
      <c r="C24" s="43">
        <f>'Financial Model'!C7</f>
        <v>131586</v>
      </c>
      <c r="D24" s="43">
        <f>'Financial Model'!D7</f>
        <v>209627</v>
      </c>
      <c r="E24" s="43">
        <f>'Financial Model'!E7</f>
        <v>273265</v>
      </c>
      <c r="F24" s="43">
        <f>'Financial Model'!F7</f>
        <v>282277</v>
      </c>
    </row>
    <row r="25" spans="1:6" x14ac:dyDescent="0.25">
      <c r="A25" s="22" t="s">
        <v>137</v>
      </c>
      <c r="B25" s="30">
        <f>'Financial Model'!B8</f>
        <v>47106</v>
      </c>
      <c r="C25" s="30">
        <f>'Financial Model'!C8</f>
        <v>178692</v>
      </c>
      <c r="D25" s="30">
        <f>'Financial Model'!D8</f>
        <v>388319</v>
      </c>
      <c r="E25" s="30">
        <f>'Financial Model'!E8</f>
        <v>661584</v>
      </c>
      <c r="F25" s="30">
        <f>'Financial Model'!F8</f>
        <v>943861</v>
      </c>
    </row>
    <row r="26" spans="1:6" x14ac:dyDescent="0.25">
      <c r="A26" s="34" t="s">
        <v>11</v>
      </c>
      <c r="B26" s="13">
        <f>'Financial Model'!B9</f>
        <v>3.2394924753859735</v>
      </c>
      <c r="C26" s="13">
        <f>'Financial Model'!C9</f>
        <v>10.263461704144051</v>
      </c>
      <c r="D26" s="13">
        <f>'Financial Model'!D9</f>
        <v>21.34412488148077</v>
      </c>
      <c r="E26" s="13">
        <f>'Financial Model'!E9</f>
        <v>34.93466752914153</v>
      </c>
      <c r="F26" s="13">
        <f>'Financial Model'!F9</f>
        <v>48.44287620611784</v>
      </c>
    </row>
    <row r="28" ht="24" customHeight="1" spans="1:6" x14ac:dyDescent="0.25">
      <c r="A28" s="8" t="s">
        <v>144</v>
      </c>
      <c r="B28" s="8"/>
      <c r="C28" s="8"/>
      <c r="D28" s="8"/>
      <c r="E28" s="8"/>
      <c r="F28" s="8"/>
    </row>
    <row r="29" spans="1:6" x14ac:dyDescent="0.25">
      <c r="A29" s="22" t="s">
        <v>145</v>
      </c>
      <c r="B29" s="30">
        <f>IF('Revenue Schedule'!B2=0,0,B20/'Revenue Schedule'!B2)</f>
        <v>18466.666666666668</v>
      </c>
      <c r="C29" s="30">
        <f>IF('Revenue Schedule'!C2=0,0,C20/'Revenue Schedule'!C2)</f>
        <v>18917.333333333332</v>
      </c>
      <c r="D29" s="30">
        <f>IF('Revenue Schedule'!D2=0,0,D20/'Revenue Schedule'!D2)</f>
        <v>19452.090909090908</v>
      </c>
      <c r="E29" s="30">
        <f>IF('Revenue Schedule'!E2=0,0,E20/'Revenue Schedule'!E2)</f>
        <v>20020.72</v>
      </c>
      <c r="F29" s="30">
        <f>IF('Revenue Schedule'!F2=0,0,F20/'Revenue Schedule'!F2)</f>
        <v>20643.4</v>
      </c>
    </row>
    <row r="30" spans="1:6" x14ac:dyDescent="0.25">
      <c r="A30" s="22" t="s">
        <v>146</v>
      </c>
      <c r="B30" s="42">
        <f>IF(B20=0,0,'Financial Model'!B3/B20)</f>
        <v>0.5367057761732852</v>
      </c>
      <c r="C30" s="42">
        <f>IF(C20=0,0,'Financial Model'!C3/C20)</f>
        <v>0.43171165773893433</v>
      </c>
      <c r="D30" s="42">
        <f>IF(D20=0,0,'Financial Model'!D3/D20)</f>
        <v>0.3538133315885649</v>
      </c>
      <c r="E30" s="42">
        <f>IF(E20=0,0,'Financial Model'!E3/E20)</f>
        <v>0.31158719566529075</v>
      </c>
      <c r="F30" s="42">
        <f>IF(F20=0,0,'Financial Model'!F3/F20)</f>
        <v>0.3112549289361249</v>
      </c>
    </row>
    <row r="31" spans="1:6" x14ac:dyDescent="0.25">
      <c r="A31" s="22" t="s">
        <v>147</v>
      </c>
      <c r="B31" s="42">
        <f>IF(B20=0,0,'Financial Model'!B4/B20)</f>
        <v>0.21931407942238268</v>
      </c>
      <c r="C31" s="42">
        <f>IF(C20=0,0,'Financial Model'!C4/C20)</f>
        <v>0.16141281364533408</v>
      </c>
      <c r="D31" s="42">
        <f>IF(D20=0,0,'Financial Model'!D4/D20)</f>
        <v>0.14007842110920538</v>
      </c>
      <c r="E31" s="42">
        <f>IF(E20=0,0,'Financial Model'!E4/E20)</f>
        <v>0.12854282962850486</v>
      </c>
      <c r="F31" s="42">
        <f>IF(F20=0,0,'Financial Model'!F4/F20)</f>
        <v>0.12830057064243294</v>
      </c>
    </row>
    <row r="32" spans="1:6" x14ac:dyDescent="0.25">
      <c r="A32" s="34" t="s">
        <v>148</v>
      </c>
      <c r="B32" s="12">
        <f>IF(B20=0,0,B24/B20)</f>
        <v>0.21257220216606498</v>
      </c>
      <c r="C32" s="12">
        <f>IF(C20=0,0,C24/C20)</f>
        <v>0.38643572032703694</v>
      </c>
      <c r="D32" s="12">
        <f>IF(D20=0,0,D24/D20)</f>
        <v>0.4898445130927734</v>
      </c>
      <c r="E32" s="12">
        <f>IF(E20=0,0,E24/E20)</f>
        <v>0.5459643809013862</v>
      </c>
      <c r="F32" s="12">
        <f>IF(F20=0,0,F24/F20)</f>
        <v>0.5469583498842245</v>
      </c>
    </row>
    <row r="34" ht="24" customHeight="1" spans="1:6" x14ac:dyDescent="0.25">
      <c r="A34" s="8" t="s">
        <v>149</v>
      </c>
      <c r="B34" s="8"/>
      <c r="C34" s="8"/>
      <c r="D34" s="8"/>
      <c r="E34" s="8"/>
      <c r="F34" s="8"/>
    </row>
    <row r="35" spans="1:6" x14ac:dyDescent="0.25">
      <c r="A35" s="22" t="s">
        <v>150</v>
      </c>
      <c r="B35" s="42">
        <v>0.5983754512635379</v>
      </c>
      <c r="C35" s="42">
        <v>0.6012475331265859</v>
      </c>
      <c r="D35" s="42">
        <v>0.6018841638357006</v>
      </c>
      <c r="E35" s="42">
        <v>0.6019619693617106</v>
      </c>
      <c r="F35" s="42">
        <v>0.6009378300086227</v>
      </c>
    </row>
    <row r="36" spans="1:6" x14ac:dyDescent="0.25">
      <c r="A36" s="22" t="s">
        <v>151</v>
      </c>
      <c r="B36" s="42">
        <v>0.37906137184115524</v>
      </c>
      <c r="C36" s="42">
        <v>0.3811319424866084</v>
      </c>
      <c r="D36" s="42">
        <v>0.3817586245734857</v>
      </c>
      <c r="E36" s="42">
        <v>0.38205457351641053</v>
      </c>
      <c r="F36" s="42">
        <v>0.3816231822277338</v>
      </c>
    </row>
    <row r="37" spans="1:6" x14ac:dyDescent="0.25">
      <c r="A37" s="22" t="s">
        <v>152</v>
      </c>
      <c r="B37" s="42">
        <v>0.02256317689530686</v>
      </c>
      <c r="C37" s="42">
        <v>0.017620524386805753</v>
      </c>
      <c r="D37" s="42">
        <v>0.016357211590813603</v>
      </c>
      <c r="E37" s="42">
        <v>0.015983457121878854</v>
      </c>
      <c r="F37" s="42">
        <v>0.017438987763643585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3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516085</v>
      </c>
    </row>
    <row r="17" spans="2:3" x14ac:dyDescent="0.25">
      <c r="B17" s="9" t="s">
        <v>9</v>
      </c>
      <c r="C17" s="11">
        <v>282277</v>
      </c>
    </row>
    <row r="18" spans="2:3" x14ac:dyDescent="0.25">
      <c r="B18" s="9" t="s">
        <v>10</v>
      </c>
      <c r="C18" s="12">
        <v>0.5469583498842245</v>
      </c>
    </row>
    <row r="19" spans="2:3" x14ac:dyDescent="0.25">
      <c r="B19" s="9" t="s">
        <v>11</v>
      </c>
      <c r="C19" s="13">
        <v>48.44287620611784</v>
      </c>
    </row>
    <row r="20" spans="2:3" x14ac:dyDescent="0.25">
      <c r="B20" s="9" t="s">
        <v>12</v>
      </c>
      <c r="C20" s="14">
        <v>25</v>
      </c>
    </row>
    <row r="23" ht="24" customHeight="1" spans="2:3" x14ac:dyDescent="0.25">
      <c r="B23" s="8" t="s">
        <v>13</v>
      </c>
      <c r="C23" s="8"/>
    </row>
    <row r="24" spans="2:3" x14ac:dyDescent="0.25">
      <c r="B24" s="15" t="s">
        <v>14</v>
      </c>
      <c r="C24" s="16"/>
    </row>
    <row r="25" spans="2:3" x14ac:dyDescent="0.25">
      <c r="B25" s="15" t="s">
        <v>15</v>
      </c>
      <c r="C25" s="16"/>
    </row>
    <row r="26" spans="2:3" x14ac:dyDescent="0.25">
      <c r="B26" s="15" t="s">
        <v>16</v>
      </c>
      <c r="C26" s="16"/>
    </row>
    <row r="27" spans="2:3" x14ac:dyDescent="0.25">
      <c r="B27" s="15" t="s">
        <v>17</v>
      </c>
      <c r="C27" s="16"/>
    </row>
    <row r="28" spans="2:3" x14ac:dyDescent="0.25">
      <c r="B28" s="15" t="s">
        <v>18</v>
      </c>
      <c r="C28" s="16"/>
    </row>
    <row r="29" spans="2:3" x14ac:dyDescent="0.25">
      <c r="B29" s="15" t="s">
        <v>19</v>
      </c>
      <c r="C29" s="16"/>
    </row>
    <row r="30" spans="2:3" x14ac:dyDescent="0.25">
      <c r="B30" s="15" t="s">
        <v>20</v>
      </c>
      <c r="C30" s="16"/>
    </row>
    <row r="33" spans="2:3" x14ac:dyDescent="0.25">
      <c r="B33" s="17" t="s">
        <v>21</v>
      </c>
      <c r="C33" s="17"/>
    </row>
  </sheetData>
  <mergeCells count="5">
    <mergeCell ref="B3:C3"/>
    <mergeCell ref="B4:C4"/>
    <mergeCell ref="B9:C9"/>
    <mergeCell ref="B10:C10"/>
    <mergeCell ref="B33:C33"/>
  </mergeCells>
  <hyperlinks>
    <hyperlink ref="B24" r:id="rId1" location="#'Assumptions'!A1"/>
    <hyperlink ref="B25" r:id="rId2" location="#'Revenue Schedule'!A1"/>
    <hyperlink ref="B26" r:id="rId3" location="#'Staffing &amp; Personnel'!A1"/>
    <hyperlink ref="B27" r:id="rId4" location="#'Operating Expenses'!A1"/>
    <hyperlink ref="B28" r:id="rId5" location="#'Capital &amp; Debt'!A1"/>
    <hyperlink ref="B29" r:id="rId6" location="#'Financial Model'!A1"/>
    <hyperlink ref="B30" r:id="rId7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2026-03-26T11:50:31Z</dcterms:created>
  <dcterms:modified xsi:type="dcterms:W3CDTF">2026-03-26T11:50:31Z</dcterms:modified>
</cp:coreProperties>
</file>