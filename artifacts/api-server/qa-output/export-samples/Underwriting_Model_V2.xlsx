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<sst xmlns="http://schemas.openxmlformats.org/spreadsheetml/2006/main" count="664" uniqueCount="326">
  <si>
    <t>How to Use This Workbook</t>
  </si>
  <si>
    <t>Generated March 27, 2026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</si>
  <si>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</si>
  <si>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</si>
  <si>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</si>
  <si>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</si>
  <si>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</si>
  <si>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</si>
  <si>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</si>
  <si>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</si>
  <si>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</si>
  <si>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</si>
  <si>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</si>
  <si>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</si>
  <si>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</si>
  <si>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</si>
  <si>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</si>
  <si>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</si>
  <si>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</si>
  <si>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</si>
  <si>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</si>
  <si>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</si>
  <si>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</si>
  <si>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</si>
  <si>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</si>
  <si>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</si>
  <si>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</si>
  <si>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</si>
  <si>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</si>
  <si>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</si>
  <si>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</si>
  <si>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</si>
  <si>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-</t>
  </si>
  <si>
    <t>School Type</t>
  </si>
  <si>
    <t>Entity Type</t>
  </si>
  <si>
    <t>State</t>
  </si>
  <si>
    <t>Fiscal Year Start</t>
  </si>
  <si>
    <t>July</t>
  </si>
  <si>
    <t>Model Date</t>
  </si>
  <si>
    <t>March 27, 2026</t>
  </si>
  <si>
    <t>Stage</t>
  </si>
  <si>
    <t>Startup / Pre-Opening</t>
  </si>
  <si>
    <t>Funding Profile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</si>
  <si>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</si>
  <si>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</si>
  <si>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</si>
  <si>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</si>
  <si>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</si>
  <si>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</si>
  <si>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</si>
  <si>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</si>
  <si>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</si>
  <si>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</si>
  <si>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</si>
  <si>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</si>
  <si>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</si>
  <si>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</si>
  <si>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</si>
  <si>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</si>
  <si>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</si>
  <si>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</si>
  <si>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</si>
  <si>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</si>
  <si>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</si>
  <si>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</si>
  <si>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</si>
  <si>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</si>
  <si>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</si>
  <si>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</si>
  <si>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</si>
  <si>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</si>
  <si>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</si>
  <si>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</si>
  <si>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</si>
  <si>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</si>
  <si>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</si>
  <si>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</si>
  <si>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</si>
  <si>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</si>
  <si>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</si>
  <si>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</si>
  <si>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</si>
  <si>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</si>
  <si>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</si>
  <si>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</si>
  <si>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</si>
  <si>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</si>
  <si>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</si>
  <si>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</si>
  <si>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School - Assumptions</t>
  </si>
  <si>
    <t>Editable assumption — change this value</t>
  </si>
  <si>
    <t>Calculated — driven by formula</t>
  </si>
  <si>
    <t>SCHOOL PROFILE</t>
  </si>
  <si>
    <t>EIN</t>
  </si>
  <si>
    <t>Fiscal Year Start Month</t>
  </si>
  <si>
    <t>Max Capacity</t>
  </si>
  <si>
    <t>ENROLLMENT</t>
  </si>
  <si>
    <t>Year 1</t>
  </si>
  <si>
    <t>Year 2</t>
  </si>
  <si>
    <t>Year 3</t>
  </si>
  <si>
    <t>Year 4</t>
  </si>
  <si>
    <t>Year 5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</si>
  <si>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</si>
  <si>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</si>
  <si>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</si>
  <si>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</si>
  <si>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</si>
  <si>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</si>
  <si>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</si>
  <si>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STAFFING</t>
  </si>
  <si>
    <t>Role</t>
  </si>
  <si>
    <t>Type</t>
  </si>
  <si>
    <t>FTE</t>
  </si>
  <si>
    <t>Rate</t>
  </si>
  <si>
    <t>Benefits %</t>
  </si>
  <si>
    <t>Tax %</t>
  </si>
  <si>
    <t>OPERATING EXPENSES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</si>
  <si>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</si>
  <si>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</si>
  <si>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</si>
  <si>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</si>
  <si>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</si>
  <si>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</si>
  <si>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</si>
  <si>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</si>
  <si>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</si>
  <si>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</si>
  <si>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</si>
  <si>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</si>
  <si>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</si>
  <si>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</si>
  <si>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</si>
  <si>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</si>
  <si>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For-Profit (Profit &amp; Loss / Equity)</t>
  </si>
  <si>
    <t>Funding Mix</t>
  </si>
  <si>
    <t>7</t>
  </si>
  <si>
    <t>Year 1 Operating Months</t>
  </si>
  <si>
    <t>12</t>
  </si>
  <si>
    <t>Proration Factor</t>
  </si>
  <si>
    <t>100.0%</t>
  </si>
  <si>
    <t>N/A</t>
  </si>
  <si>
    <t>Accredited</t>
  </si>
  <si>
    <t>No</t>
  </si>
  <si>
    <t>Location</t>
  </si>
  <si>
    <t>Not yet secured</t>
  </si>
  <si>
    <t>Facility</t>
  </si>
  <si>
    <t>Leased</t>
  </si>
  <si>
    <t>TOTAL ENROLLMENT</t>
  </si>
  <si>
    <t>Capacity Utilization</t>
  </si>
  <si>
    <t>Enrollment Growth Rate</t>
  </si>
  <si>
    <t>Tuition &amp; Funding Drivers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</si>
  <si>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</si>
  <si>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</si>
  <si>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</si>
  <si>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</si>
  <si>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</si>
  <si>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</si>
  <si>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</si>
  <si>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</si>
  <si>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</si>
  <si>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</si>
  <si>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</si>
  <si>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</si>
  <si>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</si>
  <si>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</si>
  <si>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</si>
  <si>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</si>
  <si>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</si>
  <si>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</si>
  <si>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>TOTAL PERSONNEL</t>
  </si>
  <si>
    <t>School - Budget Detail</t>
  </si>
  <si>
    <t>REVENUE</t>
  </si>
  <si>
    <t>Total Revenue</t>
  </si>
  <si>
    <t>PERSONNEL</t>
  </si>
  <si>
    <t>Total Operating Expenses</t>
  </si>
  <si>
    <t>CAPITAL &amp; DEBT SERVICE</t>
  </si>
  <si>
    <t>Total Capital &amp; Debt</t>
  </si>
  <si>
    <t>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</si>
  <si>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</si>
  <si>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</si>
  <si>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</si>
  <si>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</si>
  <si>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</si>
  <si>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</si>
  <si>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</si>
  <si>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School - Year 1 Monthly Cash Flow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</si>
  <si>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</si>
  <si>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</si>
  <si>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</si>
  <si>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</si>
  <si>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</si>
  <si>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</si>
  <si>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</si>
  <si>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</si>
  <si>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</si>
  <si>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</si>
  <si>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</si>
  <si>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</si>
  <si>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</si>
  <si>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</si>
  <si>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</si>
  <si>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</si>
  <si>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</si>
  <si>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</si>
  <si>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</si>
  <si>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</si>
  <si>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</si>
  <si>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</si>
  <si>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</si>
  <si>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</si>
  <si>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</si>
  <si>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</si>
  <si>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</si>
  <si>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</si>
  <si>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</si>
  <si>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</si>
  <si>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</si>
  <si>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</si>
  <si>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</si>
  <si>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</si>
  <si>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</si>
  <si>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</si>
  <si>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</si>
  <si>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</si>
  <si>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</si>
  <si>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</si>
  <si>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</si>
  <si>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</si>
  <si>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</si>
  <si>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</si>
  <si>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</si>
  <si>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</si>
  <si>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</si>
  <si>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</si>
  <si>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</si>
  <si>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</si>
  <si>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</si>
  <si>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</si>
  <si>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</si>
  <si>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</si>
  <si>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</si>
  <si>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</si>
  <si>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</si>
  <si>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</si>
  <si>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</si>
  <si>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</si>
  <si>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Positive Net Income</t>
  </si>
  <si>
    <t>FAIL</t>
  </si>
  <si>
    <t>Capacity ≥ 70%</t>
  </si>
  <si>
    <t>Cash Reserve ≥ 2 months</t>
  </si>
  <si>
    <t>Days Cash ≥ 45</t>
  </si>
  <si>
    <t>SOURCES</t>
  </si>
  <si>
    <t>USES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</si>
  <si>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</si>
  <si>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</si>
  <si>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</si>
  <si>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</si>
  <si>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</si>
  <si>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</si>
  <si>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</si>
  <si>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STRESS CASE</t>
  </si>
  <si>
    <t>Enrollment: -20%  |  Revenue: -10%  |  Staffing: +0%  |  Facility: +0%  |  Expenses: +0%</t>
  </si>
  <si>
    <t>OPTIMISTIC CASE</t>
  </si>
  <si>
    <t>Enrollment: +15%  |  Revenue: +5%  |  Staffing: +0%  |  Facility: +0%  |  Expenses: -5%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</si>
  <si>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</si>
  <si>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</si>
  <si>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</si>
  <si>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</si>
  <si>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</si>
  <si>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</si>
  <si>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</si>
  <si>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</si>
  <si>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</si>
  <si>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</si>
  <si>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School — Financial Health Dashboard</t>
  </si>
  <si>
    <t>● Green = healthy</t>
  </si>
  <si>
    <t>◐ Yellow = monitor</t>
  </si>
  <si>
    <t>○ Red = action needed</t>
  </si>
  <si>
    <t>Metric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</si>
  <si>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</si>
  <si>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</si>
  <si>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</si>
  <si>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</si>
  <si>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</si>
  <si>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</si>
  <si>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</si>
  <si>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</si>
  <si>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</si>
  <si>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</si>
  <si>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</si>
  <si>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</si>
  <si>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</si>
  <si>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</si>
  <si>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</si>
  <si>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</si>
  <si>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</si>
  <si>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</si>
  <si>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</si>
  <si>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</si>
  <si>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</si>
  <si>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</si>
  <si>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</si>
  <si>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</si>
  <si>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</si>
  <si>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1, but margins remain thin. A revenue shortfall could push it negative.</t>
  </si>
  <si>
    <t>Track monthly revenue vs. budget and have a contingency plan if you miss targets.</t>
  </si>
  <si>
    <t>Liquidity</t>
  </si>
  <si>
    <t>Cash stays positive but reserves are thin. Build a buffer before unexpected costs arise.</t>
  </si>
  <si>
    <t>Target at least 1 month of operating reserves.</t>
  </si>
  <si>
    <t>Staffing Burden</t>
  </si>
  <si>
    <t>● Healthy</t>
  </si>
  <si>
    <t>Staffing at 0% of revenue leaves room for facilities, programs, and reserves.</t>
  </si>
  <si>
    <t>As you add staff, ensure staffing stays below 60% of revenue.</t>
  </si>
  <si>
    <t>Facility Burden</t>
  </si>
  <si>
    <t>Facility costs at 0%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</si>
  <si>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</si>
  <si>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</si>
  <si>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</si>
  <si>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</si>
  <si>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</si>
  <si>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○ Needs attention</t>
  </si>
  <si>
    <t>Less than 1 month of reserves by Year 5. The school has no financial cushion.</t>
  </si>
  <si>
    <t>Prioritize building reserves — even a small surplus each year compounds into meaningful protection.</t>
  </si>
  <si>
    <t>Summary</t>
  </si>
  <si>
    <t>3 Healthy  |  2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</si>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</sst>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0" borderId="0" xfId="0" applyFont="1"/>
    <xf numFmtId="0" fontId="5" fillId="3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1" xfId="0" applyFont="1" applyBorder="1"/>
    <xf numFmtId="0" fontId="5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center"/>
    </xf>
    <xf numFmtId="0" fontId="7" fillId="0" borderId="0" xfId="0" applyFont="1"/>
    <xf numFmtId="0" fontId="0" fillId="2" borderId="0" xfId="0" applyFill="1"/>
    <xf numFmtId="0" fontId="12" fillId="0" borderId="0" xfId="0" applyFont="1"/>
    <xf numFmtId="0" fontId="0" fillId="4" borderId="2" xfId="0" applyFill="1" applyBorder="1"/>
    <xf numFmtId="0" fontId="3" fillId="5" borderId="1" xfId="0" applyFont="1" applyFill="1" applyBorder="1"/>
    <xf numFmtId="0" fontId="4" fillId="2" borderId="1" xfId="0" applyFont="1" applyFill="1" applyBorder="1"/>
    <xf numFmtId="0" fontId="13" fillId="6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14" fillId="0" borderId="0" xfId="0" applyFont="1"/>
    <xf numFmtId="2" fontId="4" fillId="2" borderId="1" xfId="0" applyNumberFormat="1" applyFont="1" applyFill="1" applyBorder="1"/>
    <xf numFmtId="166" fontId="4" fillId="2" borderId="1" xfId="0" applyNumberFormat="1" applyFont="1" applyFill="1" applyBorder="1"/>
    <xf numFmtId="164" fontId="8" fillId="3" borderId="3" xfId="0" applyNumberFormat="1" applyFont="1" applyFill="1" applyBorder="1"/>
    <xf numFmtId="165" fontId="5" fillId="3" borderId="1" xfId="0" applyNumberFormat="1" applyFont="1" applyFill="1" applyBorder="1"/>
    <xf numFmtId="165" fontId="5" fillId="0" borderId="1" xfId="0" applyNumberFormat="1" applyFont="1" applyBorder="1"/>
    <xf numFmtId="166" fontId="8" fillId="3" borderId="3" xfId="0" applyNumberFormat="1" applyFont="1" applyFill="1" applyBorder="1"/>
    <xf numFmtId="167" fontId="5" fillId="0" borderId="1" xfId="0" applyNumberFormat="1" applyFont="1" applyBorder="1"/>
    <xf numFmtId="166" fontId="8" fillId="0" borderId="3" xfId="0" applyNumberFormat="1" applyFont="1" applyBorder="1"/>
    <xf numFmtId="164" fontId="8" fillId="0" borderId="1" xfId="0" applyNumberFormat="1" applyFont="1" applyBorder="1"/>
    <xf numFmtId="166" fontId="5" fillId="0" borderId="1" xfId="0" applyNumberFormat="1" applyFont="1" applyBorder="1"/>
    <xf numFmtId="166" fontId="8" fillId="0" borderId="1" xfId="0" applyNumberFormat="1" applyFont="1" applyBorder="1"/>
    <xf numFmtId="166" fontId="8" fillId="3" borderId="1" xfId="0" applyNumberFormat="1" applyFont="1" applyFill="1" applyBorder="1"/>
    <xf numFmtId="0" fontId="8" fillId="0" borderId="3" xfId="0" applyFont="1" applyBorder="1"/>
    <xf numFmtId="0" fontId="1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/>
    <xf numFmtId="166" fontId="3" fillId="0" borderId="1" xfId="0" applyNumberFormat="1" applyFont="1" applyBorder="1"/>
    <xf numFmtId="165" fontId="3" fillId="0" borderId="1" xfId="0" applyNumberFormat="1" applyFont="1" applyBorder="1"/>
    <xf numFmtId="166" fontId="5" fillId="3" borderId="1" xfId="0" applyNumberFormat="1" applyFont="1" applyFill="1" applyBorder="1"/>
    <xf numFmtId="166" fontId="16" fillId="0" borderId="1" xfId="0" applyNumberFormat="1" applyFont="1" applyBorder="1"/>
    <xf numFmtId="168" fontId="8" fillId="3" borderId="1" xfId="0" applyNumberFormat="1" applyFont="1" applyFill="1" applyBorder="1"/>
    <xf numFmtId="164" fontId="5" fillId="0" borderId="1" xfId="0" applyNumberFormat="1" applyFont="1" applyBorder="1"/>
    <xf numFmtId="164" fontId="8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3" fillId="6" borderId="1" xfId="0" applyFont="1" applyFill="1" applyBorder="1"/>
    <xf numFmtId="168" fontId="5" fillId="0" borderId="1" xfId="0" applyNumberFormat="1" applyFont="1" applyBorder="1"/>
    <xf numFmtId="0" fontId="13" fillId="6" borderId="1" xfId="0" applyFont="1" applyFill="1" applyBorder="1" applyAlignment="1">
      <alignment horizontal="center"/>
    </xf>
    <xf numFmtId="0" fontId="19" fillId="0" borderId="0" xfId="0" applyFont="1"/>
    <xf numFmtId="0" fontId="15" fillId="0" borderId="0" xfId="0" applyFont="1"/>
    <xf numFmtId="0" fontId="20" fillId="0" borderId="0" xfId="0" applyFont="1"/>
    <xf numFmtId="0" fontId="21" fillId="0" borderId="0" xfId="0" applyFont="1"/>
    <xf numFmtId="0" fontId="3" fillId="5" borderId="1" xfId="0" applyFont="1" applyFill="1" applyBorder="1" applyAlignment="1">
      <alignment horizontal="center"/>
    </xf>
    <xf numFmtId="164" fontId="5" fillId="0" borderId="1" xfId="0" applyNumberFormat="1" applyFont="1" applyBorder="1" applyAlignment="1">
      <alignment horizontal="right"/>
    </xf>
    <xf numFmtId="166" fontId="5" fillId="0" borderId="1" xfId="0" applyNumberFormat="1" applyFont="1" applyBorder="1" applyAlignment="1">
      <alignment horizontal="right"/>
    </xf>
    <xf numFmtId="166" fontId="8" fillId="3" borderId="3" xfId="0" applyNumberFormat="1" applyFont="1" applyFill="1" applyBorder="1" applyAlignment="1">
      <alignment horizontal="right"/>
    </xf>
    <xf numFmtId="165" fontId="8" fillId="7" borderId="3" xfId="0" applyNumberFormat="1" applyFont="1" applyFill="1" applyBorder="1" applyAlignment="1">
      <alignment horizontal="right"/>
    </xf>
    <xf numFmtId="166" fontId="5" fillId="8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8" fillId="0" borderId="1" xfId="0" applyNumberFormat="1" applyFont="1" applyBorder="1" applyAlignment="1">
      <alignment horizontal="right"/>
    </xf>
    <xf numFmtId="166" fontId="5" fillId="3" borderId="1" xfId="0" applyNumberFormat="1" applyFont="1" applyFill="1" applyBorder="1" applyAlignment="1">
      <alignment horizontal="right"/>
    </xf>
    <xf numFmtId="166" fontId="8" fillId="3" borderId="1" xfId="0" applyNumberFormat="1" applyFont="1" applyFill="1" applyBorder="1" applyAlignment="1">
      <alignment horizontal="right"/>
    </xf>
    <xf numFmtId="165" fontId="8" fillId="3" borderId="3" xfId="0" applyNumberFormat="1" applyFont="1" applyFill="1" applyBorder="1" applyAlignment="1">
      <alignment horizontal="right"/>
    </xf>
    <xf numFmtId="164" fontId="8" fillId="8" borderId="3" xfId="0" applyNumberFormat="1" applyFont="1" applyFill="1" applyBorder="1" applyAlignment="1">
      <alignment horizontal="right"/>
    </xf>
    <xf numFmtId="49" fontId="8" fillId="0" borderId="3" xfId="0" applyNumberFormat="1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49" fontId="8" fillId="3" borderId="3" xfId="0" applyNumberFormat="1" applyFont="1" applyFill="1" applyBorder="1" applyAlignment="1">
      <alignment horizontal="right"/>
    </xf>
    <xf numFmtId="164" fontId="8" fillId="3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5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6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5" spans="2:2" x14ac:dyDescent="0.25">
      <c r="B5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5" t="s">
        <v>6</v>
      </c>
    </row>
    <row r="10" spans="2:2" x14ac:dyDescent="0.25">
      <c r="B10" s="3" t="s">
        <v>7</v>
      </c>
    </row>
    <row r="11" spans="2:2" x14ac:dyDescent="0.25">
      <c r="B11" s="5" t="s">
        <v>8</v>
      </c>
    </row>
    <row r="12" spans="2:2" x14ac:dyDescent="0.25">
      <c r="B12" s="5" t="s">
        <v>6</v>
      </c>
    </row>
    <row r="13" spans="2:2" x14ac:dyDescent="0.25">
      <c r="B13" s="3" t="s">
        <v>9</v>
      </c>
    </row>
    <row r="14" spans="2:2" x14ac:dyDescent="0.25">
      <c r="B14" s="5" t="s">
        <v>10</v>
      </c>
    </row>
    <row r="15" spans="2:2" x14ac:dyDescent="0.25">
      <c r="B15" s="5" t="s">
        <v>11</v>
      </c>
    </row>
    <row r="16" spans="2:2" x14ac:dyDescent="0.25">
      <c r="B16" s="5" t="s">
        <v>12</v>
      </c>
    </row>
    <row r="17" spans="2:2" x14ac:dyDescent="0.25">
      <c r="B17" s="5" t="s">
        <v>13</v>
      </c>
    </row>
    <row r="18" spans="2:2" x14ac:dyDescent="0.25">
      <c r="B18" s="5" t="s">
        <v>6</v>
      </c>
    </row>
    <row r="19" spans="2:2" x14ac:dyDescent="0.25">
      <c r="B19" s="3" t="s">
        <v>14</v>
      </c>
    </row>
    <row r="20" spans="2:2" x14ac:dyDescent="0.25">
      <c r="B20" s="5" t="s">
        <v>15</v>
      </c>
    </row>
    <row r="21" spans="2:2" x14ac:dyDescent="0.25">
      <c r="B21" s="5" t="s">
        <v>16</v>
      </c>
    </row>
    <row r="22" spans="2:2" x14ac:dyDescent="0.25">
      <c r="B22" s="5" t="s">
        <v>17</v>
      </c>
    </row>
    <row r="23" spans="2:2" x14ac:dyDescent="0.25">
      <c r="B23" s="5" t="s">
        <v>6</v>
      </c>
    </row>
    <row r="24" spans="2:2" x14ac:dyDescent="0.25">
      <c r="B24" s="3" t="s">
        <v>18</v>
      </c>
    </row>
    <row r="25" spans="2:2" x14ac:dyDescent="0.25">
      <c r="B25" s="5" t="s">
        <v>19</v>
      </c>
    </row>
    <row r="26" spans="2:2" x14ac:dyDescent="0.25">
      <c r="B26" s="5" t="s">
        <v>20</v>
      </c>
    </row>
    <row r="27" spans="2:2" x14ac:dyDescent="0.25">
      <c r="B27" s="5" t="s">
        <v>6</v>
      </c>
    </row>
    <row r="28" spans="2:2" x14ac:dyDescent="0.25">
      <c r="B28" s="3" t="s">
        <v>21</v>
      </c>
    </row>
    <row r="29" spans="2:2" x14ac:dyDescent="0.25">
      <c r="B29" s="5" t="s">
        <v>22</v>
      </c>
    </row>
    <row r="30" spans="2:2" x14ac:dyDescent="0.25">
      <c r="B30" s="5" t="s">
        <v>23</v>
      </c>
    </row>
    <row r="31" spans="2:2" x14ac:dyDescent="0.25">
      <c r="B31" s="5" t="s">
        <v>24</v>
      </c>
    </row>
    <row r="32" spans="2:2" x14ac:dyDescent="0.25">
      <c r="B32" s="5" t="s">
        <v>25</v>
      </c>
    </row>
    <row r="33" spans="2:2" x14ac:dyDescent="0.25">
      <c r="B33" s="5" t="s">
        <v>6</v>
      </c>
    </row>
    <row r="34" spans="2:2" x14ac:dyDescent="0.25">
      <c r="B34" s="3" t="s">
        <v>26</v>
      </c>
    </row>
    <row r="35" spans="2:2" x14ac:dyDescent="0.25">
      <c r="B35" s="5" t="s">
        <v>27</v>
      </c>
    </row>
    <row r="36" spans="2:2" x14ac:dyDescent="0.25">
      <c r="B36" s="5" t="s">
        <v>28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7" t="s">
        <v>29</v>
      </c>
      <c r="C3" s="7"/>
    </row>
    <row r="5" spans="2:3" x14ac:dyDescent="0.25">
      <c r="B5" s="8" t="s">
        <v>30</v>
      </c>
      <c r="C5" s="8"/>
    </row>
    <row r="8" spans="2:3" x14ac:dyDescent="0.25">
      <c r="B8" s="9" t="s">
        <v>31</v>
      </c>
      <c r="C8" s="10" t="s">
        <v>32</v>
      </c>
    </row>
    <row r="9" spans="2:3" x14ac:dyDescent="0.25">
      <c r="B9" s="9" t="s">
        <v>33</v>
      </c>
      <c r="C9" s="10" t="s">
        <v>6</v>
      </c>
    </row>
    <row r="10" spans="2:3" x14ac:dyDescent="0.25">
      <c r="B10" s="9" t="s">
        <v>34</v>
      </c>
      <c r="C10" s="10" t="s">
        <v>6</v>
      </c>
    </row>
    <row r="11" spans="2:3" x14ac:dyDescent="0.25">
      <c r="B11" s="9" t="s">
        <v>35</v>
      </c>
      <c r="C11" s="10" t="s">
        <v>32</v>
      </c>
    </row>
    <row r="12" spans="2:3" x14ac:dyDescent="0.25">
      <c r="B12" s="9" t="s">
        <v>36</v>
      </c>
      <c r="C12" s="10" t="s">
        <v>37</v>
      </c>
    </row>
    <row r="13" spans="2:3" x14ac:dyDescent="0.25">
      <c r="B13" s="9" t="s">
        <v>38</v>
      </c>
      <c r="C13" s="10" t="s">
        <v>39</v>
      </c>
    </row>
    <row r="14" spans="2:3" x14ac:dyDescent="0.25">
      <c r="B14" s="9" t="s">
        <v>40</v>
      </c>
      <c r="C14" s="10" t="s">
        <v>41</v>
      </c>
    </row>
    <row r="15" spans="2:3" x14ac:dyDescent="0.25">
      <c r="B15" s="9" t="s">
        <v>42</v>
      </c>
      <c r="C15" s="10" t="s">
        <v>6</v>
      </c>
    </row>
    <row r="18" spans="2:3" x14ac:dyDescent="0.25">
      <c r="B18" s="11" t="s">
        <v>43</v>
      </c>
      <c r="C18" s="11"/>
    </row>
    <row r="19" spans="2:3" x14ac:dyDescent="0.25">
      <c r="B19" s="5" t="s">
        <v>44</v>
      </c>
      <c r="C19" s="12" t="s">
        <v>45</v>
      </c>
    </row>
    <row r="20" spans="2:3" x14ac:dyDescent="0.25">
      <c r="B20" s="5" t="s">
        <v>46</v>
      </c>
      <c r="C20" s="12" t="s">
        <v>47</v>
      </c>
    </row>
    <row r="21" spans="2:3" x14ac:dyDescent="0.25">
      <c r="B21" s="5" t="s">
        <v>48</v>
      </c>
      <c r="C21" s="12" t="s">
        <v>49</v>
      </c>
    </row>
    <row r="22" spans="2:3" x14ac:dyDescent="0.25">
      <c r="B22" s="5" t="s">
        <v>50</v>
      </c>
      <c r="C22" s="12" t="s">
        <v>51</v>
      </c>
    </row>
    <row r="23" spans="2:3" x14ac:dyDescent="0.25">
      <c r="B23" s="5" t="s">
        <v>52</v>
      </c>
      <c r="C23" s="12" t="s">
        <v>53</v>
      </c>
    </row>
    <row r="24" spans="2:3" x14ac:dyDescent="0.25">
      <c r="B24" s="5" t="s">
        <v>54</v>
      </c>
      <c r="C24" s="12" t="s">
        <v>55</v>
      </c>
    </row>
    <row r="25" spans="2:3" x14ac:dyDescent="0.25">
      <c r="B25" s="5" t="s">
        <v>56</v>
      </c>
      <c r="C25" s="12" t="s">
        <v>57</v>
      </c>
    </row>
    <row r="26" spans="2:3" x14ac:dyDescent="0.25">
      <c r="B26" s="5" t="s">
        <v>58</v>
      </c>
      <c r="C26" s="12" t="s">
        <v>59</v>
      </c>
    </row>
    <row r="27" spans="2:3" x14ac:dyDescent="0.25">
      <c r="B27" s="5" t="s">
        <v>60</v>
      </c>
      <c r="C27" s="12" t="s">
        <v>61</v>
      </c>
    </row>
    <row r="28" spans="2:3" x14ac:dyDescent="0.25">
      <c r="B28" s="5" t="s">
        <v>62</v>
      </c>
      <c r="C28" s="12" t="s">
        <v>63</v>
      </c>
    </row>
    <row r="29" spans="2:3" x14ac:dyDescent="0.25">
      <c r="B29" s="5" t="s">
        <v>64</v>
      </c>
      <c r="C29" s="12" t="s">
        <v>65</v>
      </c>
    </row>
    <row r="30" spans="2:3" x14ac:dyDescent="0.25">
      <c r="B30" s="5" t="s">
        <v>66</v>
      </c>
      <c r="C30" s="12" t="s">
        <v>67</v>
      </c>
    </row>
    <row r="31" spans="2:3" x14ac:dyDescent="0.25">
      <c r="B31" s="5" t="s">
        <v>68</v>
      </c>
      <c r="C31" s="12" t="s">
        <v>69</v>
      </c>
    </row>
    <row r="32" spans="2:3" x14ac:dyDescent="0.25">
      <c r="B32" s="5" t="s">
        <v>70</v>
      </c>
      <c r="C32" s="12" t="s">
        <v>71</v>
      </c>
    </row>
    <row r="33" spans="2:3" x14ac:dyDescent="0.25">
      <c r="B33" s="5" t="s">
        <v>72</v>
      </c>
      <c r="C33" s="12" t="s">
        <v>73</v>
      </c>
    </row>
    <row r="34" spans="2:3" x14ac:dyDescent="0.25">
      <c r="B34" s="5" t="s">
        <v>74</v>
      </c>
      <c r="C34" s="12" t="s">
        <v>75</v>
      </c>
    </row>
    <row r="35" spans="2:3" x14ac:dyDescent="0.25">
      <c r="B35" s="5" t="s">
        <v>76</v>
      </c>
      <c r="C35" s="12" t="s">
        <v>77</v>
      </c>
    </row>
    <row r="36" spans="2:3" x14ac:dyDescent="0.25">
      <c r="B36" s="5" t="s">
        <v>78</v>
      </c>
      <c r="C36" s="12" t="s">
        <v>79</v>
      </c>
    </row>
    <row r="37" spans="2:3" x14ac:dyDescent="0.25">
      <c r="B37" s="5" t="s">
        <v>80</v>
      </c>
      <c r="C37" s="12" t="s">
        <v>81</v>
      </c>
    </row>
    <row r="38" spans="2:3" x14ac:dyDescent="0.25">
      <c r="B38" s="5" t="s">
        <v>82</v>
      </c>
      <c r="C38" s="12" t="s">
        <v>83</v>
      </c>
    </row>
    <row r="39" spans="2:3" x14ac:dyDescent="0.25">
      <c r="B39" s="5" t="s">
        <v>84</v>
      </c>
      <c r="C39" s="12" t="s">
        <v>85</v>
      </c>
    </row>
    <row r="40" spans="2:3" x14ac:dyDescent="0.25">
      <c r="B40" s="5" t="s">
        <v>86</v>
      </c>
      <c r="C40" s="12" t="s">
        <v>87</v>
      </c>
    </row>
    <row r="43" spans="2:3" x14ac:dyDescent="0.25">
      <c r="B43" s="13" t="s">
        <v>88</v>
      </c>
      <c r="C43" s="13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6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4" t="s">
        <v>89</v>
      </c>
      <c r="B1" s="14"/>
      <c r="C1" s="14"/>
      <c r="D1" s="14"/>
      <c r="E1" s="14"/>
      <c r="F1" s="14"/>
      <c r="G1" s="14"/>
    </row>
    <row r="2" spans="1:5" x14ac:dyDescent="0.25">
      <c r="A2" s="15" t="s">
        <v>6</v>
      </c>
      <c r="B2" s="16" t="s">
        <v>90</v>
      </c>
      <c r="D2" s="17" t="s">
        <v>6</v>
      </c>
      <c r="E2" s="16" t="s">
        <v>91</v>
      </c>
    </row>
    <row r="4" ht="24" customHeight="1" spans="1:7" x14ac:dyDescent="0.25">
      <c r="A4" s="18" t="s">
        <v>92</v>
      </c>
      <c r="B4" s="18"/>
      <c r="C4" s="18"/>
      <c r="D4" s="18"/>
      <c r="E4" s="18"/>
      <c r="F4" s="18"/>
      <c r="G4" s="18"/>
    </row>
    <row r="5" spans="1:2" x14ac:dyDescent="0.25">
      <c r="A5" s="10" t="s">
        <v>31</v>
      </c>
      <c r="B5" s="19" t="s">
        <v>6</v>
      </c>
    </row>
    <row r="6" spans="1:2" x14ac:dyDescent="0.25">
      <c r="A6" s="10" t="s">
        <v>33</v>
      </c>
      <c r="B6" s="19" t="s">
        <v>6</v>
      </c>
    </row>
    <row r="7" spans="1:2" x14ac:dyDescent="0.25">
      <c r="A7" s="10" t="s">
        <v>34</v>
      </c>
      <c r="B7" s="19" t="s">
        <v>6</v>
      </c>
    </row>
    <row r="8" spans="1:2" x14ac:dyDescent="0.25">
      <c r="A8" s="10" t="s">
        <v>35</v>
      </c>
      <c r="B8" s="19" t="s">
        <v>6</v>
      </c>
    </row>
    <row r="9" spans="1:2" x14ac:dyDescent="0.25">
      <c r="A9" s="10" t="s">
        <v>93</v>
      </c>
      <c r="B9" s="19" t="s">
        <v>6</v>
      </c>
    </row>
    <row r="10" spans="1:2" x14ac:dyDescent="0.25">
      <c r="A10" s="10" t="s">
        <v>40</v>
      </c>
      <c r="B10" s="19" t="s">
        <v>41</v>
      </c>
    </row>
    <row r="11" spans="1:2" x14ac:dyDescent="0.25">
      <c r="A11" s="10" t="s">
        <v>42</v>
      </c>
      <c r="B11" s="19" t="s">
        <v>6</v>
      </c>
    </row>
    <row r="12" spans="1:2" x14ac:dyDescent="0.25">
      <c r="A12" s="10" t="s">
        <v>94</v>
      </c>
      <c r="B12" s="19">
        <v>7</v>
      </c>
    </row>
    <row r="13" spans="1:2" x14ac:dyDescent="0.25">
      <c r="A13" s="10" t="s">
        <v>95</v>
      </c>
      <c r="B13" s="19">
        <v>0</v>
      </c>
    </row>
    <row r="15" ht="24" customHeight="1" spans="1:7" x14ac:dyDescent="0.25">
      <c r="A15" s="18" t="s">
        <v>96</v>
      </c>
      <c r="B15" s="18"/>
      <c r="C15" s="18"/>
      <c r="D15" s="18"/>
      <c r="E15" s="18"/>
      <c r="F15" s="18"/>
      <c r="G15" s="18"/>
    </row>
    <row r="16" ht="28" customHeight="1" spans="1:6" x14ac:dyDescent="0.25">
      <c r="A16" s="20" t="s">
        <v>6</v>
      </c>
      <c r="B16" s="20" t="s">
        <v>97</v>
      </c>
      <c r="C16" s="20" t="s">
        <v>98</v>
      </c>
      <c r="D16" s="20" t="s">
        <v>99</v>
      </c>
      <c r="E16" s="20" t="s">
        <v>100</v>
      </c>
      <c r="F16" s="20" t="s">
        <v>101</v>
      </c>
    </row>
    <row r="17" spans="1:6" x14ac:dyDescent="0.25">
      <c r="A17" s="10" t="s">
        <v>102</v>
      </c>
      <c r="B17" s="21">
        <v>0</v>
      </c>
      <c r="C17" s="21">
        <v>0</v>
      </c>
      <c r="D17" s="21">
        <v>0</v>
      </c>
      <c r="E17" s="21">
        <v>0</v>
      </c>
      <c r="F17" s="21">
        <v>0</v>
      </c>
    </row>
    <row r="19" ht="24" customHeight="1" spans="1:7" x14ac:dyDescent="0.25">
      <c r="A19" s="18" t="s">
        <v>103</v>
      </c>
      <c r="B19" s="18"/>
      <c r="C19" s="18"/>
      <c r="D19" s="18"/>
      <c r="E19" s="18"/>
      <c r="F19" s="18"/>
      <c r="G19" s="18"/>
    </row>
    <row r="20" ht="28" customHeight="1" spans="1:5" x14ac:dyDescent="0.25">
      <c r="A20" s="20" t="s">
        <v>104</v>
      </c>
      <c r="B20" s="20" t="s">
        <v>105</v>
      </c>
      <c r="C20" s="20" t="s">
        <v>106</v>
      </c>
      <c r="D20" s="20" t="s">
        <v>107</v>
      </c>
      <c r="E20" s="20" t="s">
        <v>108</v>
      </c>
    </row>
    <row r="22" ht="24" customHeight="1" spans="1:7" x14ac:dyDescent="0.25">
      <c r="A22" s="18" t="s">
        <v>109</v>
      </c>
      <c r="B22" s="18"/>
      <c r="C22" s="18"/>
      <c r="D22" s="18"/>
      <c r="E22" s="18"/>
      <c r="F22" s="18"/>
      <c r="G22" s="18"/>
    </row>
    <row r="23" ht="28" customHeight="1" spans="1:7" x14ac:dyDescent="0.25">
      <c r="A23" s="20" t="s">
        <v>110</v>
      </c>
      <c r="B23" s="20" t="s">
        <v>105</v>
      </c>
      <c r="C23" s="20" t="s">
        <v>111</v>
      </c>
      <c r="D23" s="20" t="s">
        <v>112</v>
      </c>
      <c r="E23" s="20" t="s">
        <v>113</v>
      </c>
      <c r="F23" s="20" t="s">
        <v>114</v>
      </c>
      <c r="G23" s="20" t="s">
        <v>115</v>
      </c>
    </row>
    <row r="25" ht="24" customHeight="1" spans="1:7" x14ac:dyDescent="0.25">
      <c r="A25" s="18" t="s">
        <v>116</v>
      </c>
      <c r="B25" s="18"/>
      <c r="C25" s="18"/>
      <c r="D25" s="18"/>
      <c r="E25" s="18"/>
      <c r="F25" s="18"/>
      <c r="G25" s="18"/>
    </row>
    <row r="26" ht="28" customHeight="1" spans="1:5" x14ac:dyDescent="0.25">
      <c r="A26" s="20" t="s">
        <v>104</v>
      </c>
      <c r="B26" s="20" t="s">
        <v>105</v>
      </c>
      <c r="C26" s="20" t="s">
        <v>106</v>
      </c>
      <c r="D26" s="20" t="s">
        <v>107</v>
      </c>
      <c r="E26" s="20" t="s">
        <v>108</v>
      </c>
    </row>
    <row r="28" ht="24" customHeight="1" spans="1:7" x14ac:dyDescent="0.25">
      <c r="A28" s="18" t="s">
        <v>117</v>
      </c>
      <c r="B28" s="18"/>
      <c r="C28" s="18"/>
      <c r="D28" s="18"/>
      <c r="E28" s="18"/>
      <c r="F28" s="18"/>
      <c r="G28" s="18"/>
    </row>
    <row r="29" ht="28" customHeight="1" spans="1:5" x14ac:dyDescent="0.25">
      <c r="A29" s="20" t="s">
        <v>118</v>
      </c>
      <c r="B29" s="20" t="s">
        <v>111</v>
      </c>
      <c r="C29" s="20" t="s">
        <v>119</v>
      </c>
      <c r="D29" s="20" t="s">
        <v>113</v>
      </c>
      <c r="E29" s="20" t="s">
        <v>120</v>
      </c>
    </row>
    <row r="31" ht="24" customHeight="1" spans="1:7" x14ac:dyDescent="0.25">
      <c r="A31" s="18" t="s">
        <v>121</v>
      </c>
      <c r="B31" s="18"/>
      <c r="C31" s="18"/>
      <c r="D31" s="18"/>
      <c r="E31" s="18"/>
      <c r="F31" s="18"/>
      <c r="G31" s="18"/>
    </row>
    <row r="32" spans="1:3" x14ac:dyDescent="0.25">
      <c r="A32" s="10" t="s">
        <v>122</v>
      </c>
      <c r="B32" s="22">
        <v>0.03</v>
      </c>
      <c r="C32" s="23" t="s">
        <v>123</v>
      </c>
    </row>
    <row r="33" spans="1:3" x14ac:dyDescent="0.25">
      <c r="A33" s="10" t="s">
        <v>124</v>
      </c>
      <c r="B33" s="22">
        <v>0.03</v>
      </c>
      <c r="C33" s="23" t="s">
        <v>125</v>
      </c>
    </row>
    <row r="34" spans="1:2" x14ac:dyDescent="0.25">
      <c r="A34" s="10" t="s">
        <v>126</v>
      </c>
      <c r="B34" s="24">
        <v>1</v>
      </c>
    </row>
    <row r="35" spans="1:2" x14ac:dyDescent="0.25">
      <c r="A35" s="10" t="s">
        <v>127</v>
      </c>
      <c r="B35" s="25">
        <v>0</v>
      </c>
    </row>
    <row r="36" spans="1:2" x14ac:dyDescent="0.25">
      <c r="A36" s="10" t="s">
        <v>128</v>
      </c>
      <c r="B36" s="19" t="s">
        <v>129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4" t="s">
        <v>51</v>
      </c>
      <c r="B1" s="14"/>
    </row>
    <row r="3" spans="1:2" x14ac:dyDescent="0.25">
      <c r="A3" s="9" t="s">
        <v>130</v>
      </c>
      <c r="B3" s="10" t="s">
        <v>131</v>
      </c>
    </row>
    <row r="4" spans="1:2" x14ac:dyDescent="0.25">
      <c r="A4" s="9" t="s">
        <v>33</v>
      </c>
      <c r="B4" s="10" t="s">
        <v>6</v>
      </c>
    </row>
    <row r="5" spans="1:2" x14ac:dyDescent="0.25">
      <c r="A5" s="9" t="s">
        <v>34</v>
      </c>
      <c r="B5" s="10" t="s">
        <v>6</v>
      </c>
    </row>
    <row r="6" spans="1:2" x14ac:dyDescent="0.25">
      <c r="A6" s="9" t="s">
        <v>132</v>
      </c>
      <c r="B6" s="10" t="s">
        <v>133</v>
      </c>
    </row>
    <row r="7" spans="1:2" x14ac:dyDescent="0.25">
      <c r="A7" s="9" t="s">
        <v>40</v>
      </c>
      <c r="B7" s="10" t="s">
        <v>41</v>
      </c>
    </row>
    <row r="8" spans="1:2" x14ac:dyDescent="0.25">
      <c r="A8" s="9" t="s">
        <v>134</v>
      </c>
      <c r="B8" s="10" t="s">
        <v>6</v>
      </c>
    </row>
    <row r="9" spans="1:2" x14ac:dyDescent="0.25">
      <c r="A9" s="9" t="s">
        <v>94</v>
      </c>
      <c r="B9" s="10" t="s">
        <v>135</v>
      </c>
    </row>
    <row r="10" spans="1:2" x14ac:dyDescent="0.25">
      <c r="A10" s="9" t="s">
        <v>136</v>
      </c>
      <c r="B10" s="10" t="s">
        <v>137</v>
      </c>
    </row>
    <row r="11" spans="1:2" x14ac:dyDescent="0.25">
      <c r="A11" s="9" t="s">
        <v>138</v>
      </c>
      <c r="B11" s="10" t="s">
        <v>139</v>
      </c>
    </row>
    <row r="12" spans="1:2" x14ac:dyDescent="0.25">
      <c r="A12" s="9" t="s">
        <v>128</v>
      </c>
      <c r="B12" s="10" t="s">
        <v>129</v>
      </c>
    </row>
    <row r="13" spans="1:2" x14ac:dyDescent="0.25">
      <c r="A13" s="9" t="s">
        <v>95</v>
      </c>
      <c r="B13" s="10" t="s">
        <v>140</v>
      </c>
    </row>
    <row r="14" spans="1:2" x14ac:dyDescent="0.25">
      <c r="A14" s="9" t="s">
        <v>141</v>
      </c>
      <c r="B14" s="10" t="s">
        <v>142</v>
      </c>
    </row>
    <row r="15" spans="1:2" x14ac:dyDescent="0.25">
      <c r="A15" s="9" t="s">
        <v>143</v>
      </c>
      <c r="B15" s="10" t="s">
        <v>144</v>
      </c>
    </row>
    <row r="16" spans="1:2" x14ac:dyDescent="0.25">
      <c r="A16" s="9" t="s">
        <v>145</v>
      </c>
      <c r="B16" s="10" t="s">
        <v>146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4" t="s">
        <v>53</v>
      </c>
      <c r="B1" s="14"/>
      <c r="C1" s="14"/>
      <c r="D1" s="14"/>
      <c r="E1" s="14"/>
      <c r="F1" s="14"/>
      <c r="G1" s="14"/>
    </row>
    <row r="3" ht="28" customHeight="1" spans="1:6" x14ac:dyDescent="0.25">
      <c r="A3" s="20" t="s">
        <v>6</v>
      </c>
      <c r="B3" s="20" t="s">
        <v>97</v>
      </c>
      <c r="C3" s="20" t="s">
        <v>98</v>
      </c>
      <c r="D3" s="20" t="s">
        <v>99</v>
      </c>
      <c r="E3" s="20" t="s">
        <v>100</v>
      </c>
      <c r="F3" s="20" t="s">
        <v>101</v>
      </c>
    </row>
    <row r="5" ht="24" customHeight="1" spans="1:6" x14ac:dyDescent="0.25">
      <c r="A5" s="18" t="s">
        <v>147</v>
      </c>
      <c r="B5" s="18"/>
      <c r="C5" s="18"/>
      <c r="D5" s="18"/>
      <c r="E5" s="18"/>
      <c r="F5" s="18"/>
    </row>
    <row r="6" spans="1:6" x14ac:dyDescent="0.25">
      <c r="A6" s="9" t="s">
        <v>102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2" x14ac:dyDescent="0.25">
      <c r="A7" s="10" t="s">
        <v>95</v>
      </c>
      <c r="B7" s="21">
        <v>0</v>
      </c>
    </row>
    <row r="8" spans="1:6" x14ac:dyDescent="0.25">
      <c r="A8" s="10" t="s">
        <v>148</v>
      </c>
      <c r="B8" s="27">
        <v>0</v>
      </c>
      <c r="C8" s="27">
        <v>0</v>
      </c>
      <c r="D8" s="27">
        <v>0</v>
      </c>
      <c r="E8" s="27">
        <v>0</v>
      </c>
      <c r="F8" s="27">
        <v>0</v>
      </c>
    </row>
    <row r="10" spans="1:6" x14ac:dyDescent="0.25">
      <c r="A10" s="10" t="s">
        <v>149</v>
      </c>
      <c r="B10" s="10" t="s">
        <v>32</v>
      </c>
      <c r="C10" s="28" t="str">
        <f>IF(B6=0,0,(C6-B6)/B6)</f>
        <v>0</v>
      </c>
      <c r="D10" s="28" t="str">
        <f>IF(C6=0,0,(D6-C6)/C6)</f>
        <v>0</v>
      </c>
      <c r="E10" s="28" t="str">
        <f>IF(D6=0,0,(E6-D6)/D6)</f>
        <v>0</v>
      </c>
      <c r="F10" s="28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4" t="s">
        <v>150</v>
      </c>
      <c r="B1" s="14"/>
      <c r="C1" s="14"/>
      <c r="D1" s="14"/>
      <c r="E1" s="14"/>
      <c r="F1" s="14"/>
    </row>
    <row r="3" ht="28" customHeight="1" spans="1:6" x14ac:dyDescent="0.25">
      <c r="A3" s="20" t="s">
        <v>6</v>
      </c>
      <c r="B3" s="20" t="s">
        <v>97</v>
      </c>
      <c r="C3" s="20" t="s">
        <v>98</v>
      </c>
      <c r="D3" s="20" t="s">
        <v>99</v>
      </c>
      <c r="E3" s="20" t="s">
        <v>100</v>
      </c>
      <c r="F3" s="20" t="s">
        <v>101</v>
      </c>
    </row>
    <row r="5" ht="24" customHeight="1" spans="1:6" x14ac:dyDescent="0.25">
      <c r="A5" s="18" t="s">
        <v>151</v>
      </c>
      <c r="B5" s="29" t="str">
        <f>SUM()</f>
        <v>0</v>
      </c>
      <c r="C5" s="29" t="str">
        <f>SUM()</f>
        <v>0</v>
      </c>
      <c r="D5" s="29" t="str">
        <f>SUM()</f>
        <v>0</v>
      </c>
      <c r="E5" s="29" t="str">
        <f>SUM()</f>
        <v>0</v>
      </c>
      <c r="F5" s="29" t="str">
        <f>SUM()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9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4" t="s">
        <v>57</v>
      </c>
      <c r="B1" s="14"/>
      <c r="C1" s="14"/>
      <c r="D1" s="14"/>
      <c r="E1" s="14"/>
      <c r="F1" s="14"/>
      <c r="G1" s="14"/>
    </row>
    <row r="3" ht="28" customHeight="1" spans="1:7" x14ac:dyDescent="0.25">
      <c r="A3" s="20" t="s">
        <v>110</v>
      </c>
      <c r="B3" s="20" t="s">
        <v>105</v>
      </c>
      <c r="C3" s="20" t="s">
        <v>112</v>
      </c>
      <c r="D3" s="20" t="s">
        <v>152</v>
      </c>
      <c r="E3" s="20" t="s">
        <v>114</v>
      </c>
      <c r="F3" s="20" t="s">
        <v>115</v>
      </c>
      <c r="G3" s="20" t="s">
        <v>153</v>
      </c>
    </row>
    <row r="5" ht="24" customHeight="1" spans="1:7" x14ac:dyDescent="0.25">
      <c r="A5" s="18" t="s">
        <v>154</v>
      </c>
      <c r="B5" s="18"/>
      <c r="C5" s="18"/>
      <c r="D5" s="18"/>
      <c r="E5" s="18"/>
      <c r="F5" s="18"/>
      <c r="G5" s="18"/>
    </row>
    <row r="6" ht="28" customHeight="1" spans="1:6" x14ac:dyDescent="0.25">
      <c r="A6" s="20" t="s">
        <v>6</v>
      </c>
      <c r="B6" s="20" t="s">
        <v>97</v>
      </c>
      <c r="C6" s="20" t="s">
        <v>98</v>
      </c>
      <c r="D6" s="20" t="s">
        <v>99</v>
      </c>
      <c r="E6" s="20" t="s">
        <v>100</v>
      </c>
      <c r="F6" s="20" t="s">
        <v>101</v>
      </c>
    </row>
    <row r="7" spans="1:6" x14ac:dyDescent="0.25">
      <c r="A7" s="9" t="s">
        <v>155</v>
      </c>
      <c r="B7" s="29">
        <v>0</v>
      </c>
      <c r="C7" s="29">
        <v>0</v>
      </c>
      <c r="D7" s="29">
        <v>0</v>
      </c>
      <c r="E7" s="29">
        <v>0</v>
      </c>
      <c r="F7" s="29">
        <v>0</v>
      </c>
    </row>
    <row r="8" spans="1:6" x14ac:dyDescent="0.25">
      <c r="A8" s="10" t="s">
        <v>156</v>
      </c>
      <c r="B8" s="28">
        <v>0</v>
      </c>
      <c r="C8" s="28">
        <v>0</v>
      </c>
      <c r="D8" s="28">
        <v>0</v>
      </c>
      <c r="E8" s="28">
        <v>0</v>
      </c>
      <c r="F8" s="28">
        <v>0</v>
      </c>
    </row>
    <row r="9" spans="1:6" x14ac:dyDescent="0.25">
      <c r="A9" s="10" t="s">
        <v>157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4" t="s">
        <v>158</v>
      </c>
      <c r="B1" s="14"/>
      <c r="C1" s="14"/>
      <c r="D1" s="14"/>
      <c r="E1" s="14"/>
      <c r="F1" s="14"/>
    </row>
    <row r="3" ht="28" customHeight="1" spans="1:6" x14ac:dyDescent="0.25">
      <c r="A3" s="20" t="s">
        <v>6</v>
      </c>
      <c r="B3" s="20" t="s">
        <v>97</v>
      </c>
      <c r="C3" s="20" t="s">
        <v>98</v>
      </c>
      <c r="D3" s="20" t="s">
        <v>99</v>
      </c>
      <c r="E3" s="20" t="s">
        <v>100</v>
      </c>
      <c r="F3" s="20" t="s">
        <v>101</v>
      </c>
    </row>
    <row r="5" ht="24" customHeight="1" spans="1:6" x14ac:dyDescent="0.25">
      <c r="A5" s="18" t="s">
        <v>159</v>
      </c>
      <c r="B5" s="29">
        <v>0</v>
      </c>
      <c r="C5" s="29">
        <v>0</v>
      </c>
      <c r="D5" s="29">
        <v>0</v>
      </c>
      <c r="E5" s="29">
        <v>0</v>
      </c>
      <c r="F5" s="2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4" t="s">
        <v>160</v>
      </c>
      <c r="B1" s="14"/>
      <c r="C1" s="14"/>
      <c r="D1" s="14"/>
      <c r="E1" s="14"/>
      <c r="F1" s="14"/>
    </row>
    <row r="3" ht="28" customHeight="1" spans="1:6" x14ac:dyDescent="0.25">
      <c r="A3" s="20" t="s">
        <v>118</v>
      </c>
      <c r="B3" s="20" t="s">
        <v>111</v>
      </c>
      <c r="C3" s="20" t="s">
        <v>119</v>
      </c>
      <c r="D3" s="20" t="s">
        <v>113</v>
      </c>
      <c r="E3" s="20" t="s">
        <v>120</v>
      </c>
      <c r="F3" s="20" t="s">
        <v>161</v>
      </c>
    </row>
    <row r="5" spans="1:6" x14ac:dyDescent="0.25">
      <c r="A5" s="9" t="s">
        <v>162</v>
      </c>
      <c r="F5" s="29">
        <v>0</v>
      </c>
    </row>
    <row r="6" spans="1:6" x14ac:dyDescent="0.25">
      <c r="A6" s="9" t="s">
        <v>163</v>
      </c>
      <c r="F6" s="31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4" t="s">
        <v>164</v>
      </c>
      <c r="B1" s="14"/>
      <c r="C1" s="14"/>
      <c r="D1" s="14"/>
      <c r="E1" s="14"/>
      <c r="F1" s="14"/>
    </row>
    <row r="3" ht="28" customHeight="1" spans="1:6" x14ac:dyDescent="0.25">
      <c r="A3" s="20" t="s">
        <v>6</v>
      </c>
      <c r="B3" s="20" t="s">
        <v>97</v>
      </c>
      <c r="C3" s="20" t="s">
        <v>98</v>
      </c>
      <c r="D3" s="20" t="s">
        <v>99</v>
      </c>
      <c r="E3" s="20" t="s">
        <v>100</v>
      </c>
      <c r="F3" s="20" t="s">
        <v>101</v>
      </c>
    </row>
    <row r="4" spans="1:6" x14ac:dyDescent="0.25">
      <c r="A4" s="9" t="s">
        <v>102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</row>
    <row r="6" ht="24" customHeight="1" spans="1:6" x14ac:dyDescent="0.25">
      <c r="A6" s="18" t="s">
        <v>165</v>
      </c>
      <c r="B6" s="18"/>
      <c r="C6" s="18"/>
      <c r="D6" s="18"/>
      <c r="E6" s="18"/>
      <c r="F6" s="18"/>
    </row>
    <row r="7" ht="24" customHeight="1" spans="1:6" x14ac:dyDescent="0.25">
      <c r="A7" s="18" t="s">
        <v>166</v>
      </c>
      <c r="B7" s="29" t="str">
        <f>SUM(B7:B6)</f>
        <v>0</v>
      </c>
      <c r="C7" s="29" t="str">
        <f>SUM(C7:C6)</f>
        <v>0</v>
      </c>
      <c r="D7" s="29" t="str">
        <f>SUM(D7:D6)</f>
        <v>0</v>
      </c>
      <c r="E7" s="29" t="str">
        <f>SUM(E7:E6)</f>
        <v>0</v>
      </c>
      <c r="F7" s="29" t="str">
        <f>SUM(F7:F6)</f>
        <v>0</v>
      </c>
    </row>
    <row r="9" spans="1:6" x14ac:dyDescent="0.25">
      <c r="A9" s="10" t="s">
        <v>167</v>
      </c>
      <c r="B9" s="33">
        <v>0</v>
      </c>
      <c r="C9" s="33">
        <v>0</v>
      </c>
      <c r="D9" s="33">
        <v>0</v>
      </c>
      <c r="E9" s="33">
        <v>0</v>
      </c>
      <c r="F9" s="33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4" t="s">
        <v>168</v>
      </c>
      <c r="B1" s="14"/>
      <c r="C1" s="14"/>
      <c r="D1" s="14"/>
      <c r="E1" s="14"/>
      <c r="F1" s="14"/>
    </row>
    <row r="3" ht="28" customHeight="1" spans="1:6" x14ac:dyDescent="0.25">
      <c r="A3" s="20" t="s">
        <v>6</v>
      </c>
      <c r="B3" s="20" t="s">
        <v>97</v>
      </c>
      <c r="C3" s="20" t="s">
        <v>98</v>
      </c>
      <c r="D3" s="20" t="s">
        <v>99</v>
      </c>
      <c r="E3" s="20" t="s">
        <v>100</v>
      </c>
      <c r="F3" s="20" t="s">
        <v>101</v>
      </c>
    </row>
    <row r="5" ht="24" customHeight="1" spans="1:6" x14ac:dyDescent="0.25">
      <c r="A5" s="18" t="s">
        <v>169</v>
      </c>
      <c r="B5" s="29">
        <v>0</v>
      </c>
      <c r="C5" s="29">
        <v>0</v>
      </c>
      <c r="D5" s="29">
        <v>0</v>
      </c>
      <c r="E5" s="29">
        <v>0</v>
      </c>
      <c r="F5" s="2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4" t="s">
        <v>170</v>
      </c>
      <c r="B1" s="14"/>
      <c r="C1" s="14"/>
      <c r="D1" s="14"/>
      <c r="E1" s="14"/>
      <c r="F1" s="14"/>
    </row>
    <row r="3" ht="28" customHeight="1" spans="1:6" x14ac:dyDescent="0.25">
      <c r="A3" s="20" t="s">
        <v>6</v>
      </c>
      <c r="B3" s="20" t="s">
        <v>97</v>
      </c>
      <c r="C3" s="20" t="s">
        <v>98</v>
      </c>
      <c r="D3" s="20" t="s">
        <v>99</v>
      </c>
      <c r="E3" s="20" t="s">
        <v>100</v>
      </c>
      <c r="F3" s="20" t="s">
        <v>101</v>
      </c>
    </row>
    <row r="4" ht="24" customHeight="1" spans="1:6" x14ac:dyDescent="0.25">
      <c r="A4" s="18" t="s">
        <v>171</v>
      </c>
      <c r="B4" s="18"/>
      <c r="C4" s="18"/>
      <c r="D4" s="18"/>
      <c r="E4" s="18"/>
      <c r="F4" s="18"/>
    </row>
    <row r="5" spans="1:6" x14ac:dyDescent="0.25">
      <c r="A5" s="9" t="s">
        <v>172</v>
      </c>
      <c r="B5" s="31" t="str">
        <f>SUM(B5:B4)</f>
        <v>0</v>
      </c>
      <c r="C5" s="31" t="str">
        <f>SUM(C5:C4)</f>
        <v>0</v>
      </c>
      <c r="D5" s="31" t="str">
        <f>SUM(D5:D4)</f>
        <v>0</v>
      </c>
      <c r="E5" s="31" t="str">
        <f>SUM(E5:E4)</f>
        <v>0</v>
      </c>
      <c r="F5" s="31" t="str">
        <f>SUM(F5:F4)</f>
        <v>0</v>
      </c>
    </row>
    <row r="7" ht="24" customHeight="1" spans="1:6" x14ac:dyDescent="0.25">
      <c r="A7" s="18" t="s">
        <v>173</v>
      </c>
      <c r="B7" s="18"/>
      <c r="C7" s="18"/>
      <c r="D7" s="18"/>
      <c r="E7" s="18"/>
      <c r="F7" s="18"/>
    </row>
    <row r="8" spans="1:6" x14ac:dyDescent="0.25">
      <c r="A8" s="9" t="s">
        <v>155</v>
      </c>
      <c r="B8" s="31" t="str">
        <f>SUM(B8:B7)</f>
        <v>0</v>
      </c>
      <c r="C8" s="31" t="str">
        <f>SUM(C8:C7)</f>
        <v>0</v>
      </c>
      <c r="D8" s="31" t="str">
        <f>SUM(D8:D7)</f>
        <v>0</v>
      </c>
      <c r="E8" s="31" t="str">
        <f>SUM(E8:E7)</f>
        <v>0</v>
      </c>
      <c r="F8" s="31" t="str">
        <f>SUM(F8:F7)</f>
        <v>0</v>
      </c>
    </row>
    <row r="10" ht="24" customHeight="1" spans="1:6" x14ac:dyDescent="0.25">
      <c r="A10" s="18" t="s">
        <v>116</v>
      </c>
      <c r="B10" s="18"/>
      <c r="C10" s="18"/>
      <c r="D10" s="18"/>
      <c r="E10" s="18"/>
      <c r="F10" s="18"/>
    </row>
    <row r="11" spans="1:6" x14ac:dyDescent="0.25">
      <c r="A11" s="9" t="s">
        <v>174</v>
      </c>
      <c r="B11" s="31">
        <v>0</v>
      </c>
      <c r="C11" s="31">
        <v>0</v>
      </c>
      <c r="D11" s="31">
        <v>0</v>
      </c>
      <c r="E11" s="31">
        <v>0</v>
      </c>
      <c r="F11" s="31">
        <v>0</v>
      </c>
    </row>
    <row r="13" ht="24" customHeight="1" spans="1:6" x14ac:dyDescent="0.25">
      <c r="A13" s="18" t="s">
        <v>175</v>
      </c>
      <c r="B13" s="18"/>
      <c r="C13" s="18"/>
      <c r="D13" s="18"/>
      <c r="E13" s="18"/>
      <c r="F13" s="18"/>
    </row>
    <row r="14" spans="1:6" x14ac:dyDescent="0.25">
      <c r="A14" s="9" t="s">
        <v>176</v>
      </c>
      <c r="B14" s="31" t="str">
        <f>SUM(B14:B13)</f>
        <v>0</v>
      </c>
      <c r="C14" s="31" t="str">
        <f>SUM(C14:C13)</f>
        <v>0</v>
      </c>
      <c r="D14" s="31" t="str">
        <f>SUM(D14:D13)</f>
        <v>0</v>
      </c>
      <c r="E14" s="31" t="str">
        <f>SUM(E14:E13)</f>
        <v>0</v>
      </c>
      <c r="F14" s="31" t="str">
        <f>SUM(F14:F13)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4" t="s">
        <v>177</v>
      </c>
      <c r="B1" s="14"/>
      <c r="C1" s="14"/>
      <c r="D1" s="14"/>
      <c r="E1" s="14"/>
      <c r="F1" s="14"/>
    </row>
    <row r="3" ht="28" customHeight="1" spans="1:6" x14ac:dyDescent="0.25">
      <c r="A3" s="20" t="s">
        <v>6</v>
      </c>
      <c r="B3" s="20" t="s">
        <v>97</v>
      </c>
      <c r="C3" s="20" t="s">
        <v>98</v>
      </c>
      <c r="D3" s="20" t="s">
        <v>99</v>
      </c>
      <c r="E3" s="20" t="s">
        <v>100</v>
      </c>
      <c r="F3" s="20" t="s">
        <v>101</v>
      </c>
    </row>
    <row r="4" spans="1:6" x14ac:dyDescent="0.25">
      <c r="A4" s="9" t="s">
        <v>172</v>
      </c>
      <c r="B4" s="34" t="str">
        <f>'Budget Detail'!B5</f>
        <v>0</v>
      </c>
      <c r="C4" s="34" t="str">
        <f>'Budget Detail'!C5</f>
        <v>0</v>
      </c>
      <c r="D4" s="34" t="str">
        <f>'Budget Detail'!D5</f>
        <v>0</v>
      </c>
      <c r="E4" s="34" t="str">
        <f>'Budget Detail'!E5</f>
        <v>0</v>
      </c>
      <c r="F4" s="34" t="str">
        <f>'Budget Detail'!F5</f>
        <v>0</v>
      </c>
    </row>
    <row r="5" spans="1:6" x14ac:dyDescent="0.25">
      <c r="A5" s="9" t="s">
        <v>155</v>
      </c>
      <c r="B5" s="34" t="str">
        <f>'Budget Detail'!B8</f>
        <v>0</v>
      </c>
      <c r="C5" s="34" t="str">
        <f>'Budget Detail'!C8</f>
        <v>0</v>
      </c>
      <c r="D5" s="34" t="str">
        <f>'Budget Detail'!D8</f>
        <v>0</v>
      </c>
      <c r="E5" s="34" t="str">
        <f>'Budget Detail'!E8</f>
        <v>0</v>
      </c>
      <c r="F5" s="34" t="str">
        <f>'Budget Detail'!F8</f>
        <v>0</v>
      </c>
    </row>
    <row r="6" spans="1:6" x14ac:dyDescent="0.25">
      <c r="A6" s="9" t="s">
        <v>174</v>
      </c>
      <c r="B6" s="34" t="str">
        <f>'Budget Detail'!B11</f>
        <v>0</v>
      </c>
      <c r="C6" s="34" t="str">
        <f>'Budget Detail'!C11</f>
        <v>0</v>
      </c>
      <c r="D6" s="34" t="str">
        <f>'Budget Detail'!D11</f>
        <v>0</v>
      </c>
      <c r="E6" s="34" t="str">
        <f>'Budget Detail'!E11</f>
        <v>0</v>
      </c>
      <c r="F6" s="34" t="str">
        <f>'Budget Detail'!F11</f>
        <v>0</v>
      </c>
    </row>
    <row r="7" spans="1:6" x14ac:dyDescent="0.25">
      <c r="A7" s="9" t="s">
        <v>178</v>
      </c>
      <c r="B7" s="34" t="str">
        <f>'Budget Detail'!B14</f>
        <v>0</v>
      </c>
      <c r="C7" s="34" t="str">
        <f>'Budget Detail'!C14</f>
        <v>0</v>
      </c>
      <c r="D7" s="34" t="str">
        <f>'Budget Detail'!D14</f>
        <v>0</v>
      </c>
      <c r="E7" s="34" t="str">
        <f>'Budget Detail'!E14</f>
        <v>0</v>
      </c>
      <c r="F7" s="34" t="str">
        <f>'Budget Detail'!F14</f>
        <v>0</v>
      </c>
    </row>
    <row r="8" spans="1:6" x14ac:dyDescent="0.25">
      <c r="A8" s="9" t="s">
        <v>179</v>
      </c>
      <c r="B8" s="31" t="str">
        <f>SUM(B5:B7)</f>
        <v>0</v>
      </c>
      <c r="C8" s="31" t="str">
        <f>SUM(C5:C7)</f>
        <v>0</v>
      </c>
      <c r="D8" s="31" t="str">
        <f>SUM(D5:D7)</f>
        <v>0</v>
      </c>
      <c r="E8" s="31" t="str">
        <f>SUM(E5:E7)</f>
        <v>0</v>
      </c>
      <c r="F8" s="31" t="str">
        <f>SUM(F5:F7)</f>
        <v>0</v>
      </c>
    </row>
    <row r="10" ht="24" customHeight="1" spans="1:6" x14ac:dyDescent="0.25">
      <c r="A10" s="18" t="s">
        <v>180</v>
      </c>
      <c r="B10" s="18"/>
      <c r="C10" s="18"/>
      <c r="D10" s="18"/>
      <c r="E10" s="18"/>
      <c r="F10" s="18"/>
    </row>
    <row r="11" spans="1:6" x14ac:dyDescent="0.25">
      <c r="A11" s="9" t="s">
        <v>181</v>
      </c>
      <c r="B11" s="29" t="str">
        <f>B4-B8</f>
        <v>0</v>
      </c>
      <c r="C11" s="29" t="str">
        <f>C4-C8</f>
        <v>0</v>
      </c>
      <c r="D11" s="29" t="str">
        <f>D4-D8</f>
        <v>0</v>
      </c>
      <c r="E11" s="29" t="str">
        <f>E4-E8</f>
        <v>0</v>
      </c>
      <c r="F11" s="29" t="str">
        <f>F4-F8</f>
        <v>0</v>
      </c>
    </row>
    <row r="12" spans="1:6" x14ac:dyDescent="0.25">
      <c r="A12" s="10" t="s">
        <v>182</v>
      </c>
      <c r="B12" s="28" t="str">
        <f>IF(B4=0,0,B11/B4)</f>
        <v>0</v>
      </c>
      <c r="C12" s="28" t="str">
        <f>IF(C4=0,0,C11/C4)</f>
        <v>0</v>
      </c>
      <c r="D12" s="28" t="str">
        <f>IF(D4=0,0,D11/D4)</f>
        <v>0</v>
      </c>
      <c r="E12" s="28" t="str">
        <f>IF(E4=0,0,E11/E4)</f>
        <v>0</v>
      </c>
      <c r="F12" s="28" t="str">
        <f>IF(F4=0,0,F11/F4)</f>
        <v>0</v>
      </c>
    </row>
    <row r="13" spans="1:6" x14ac:dyDescent="0.25">
      <c r="A13" s="10" t="s">
        <v>183</v>
      </c>
      <c r="B13" s="33">
        <v>0</v>
      </c>
      <c r="C13" s="33">
        <v>0</v>
      </c>
      <c r="D13" s="33">
        <v>0</v>
      </c>
      <c r="E13" s="33">
        <v>0</v>
      </c>
      <c r="F13" s="33">
        <v>0</v>
      </c>
    </row>
    <row r="14" spans="1:6" x14ac:dyDescent="0.25">
      <c r="A14" s="10" t="s">
        <v>167</v>
      </c>
      <c r="B14" s="33">
        <v>0</v>
      </c>
      <c r="C14" s="33">
        <v>0</v>
      </c>
      <c r="D14" s="33">
        <v>0</v>
      </c>
      <c r="E14" s="33">
        <v>0</v>
      </c>
      <c r="F14" s="33">
        <v>0</v>
      </c>
    </row>
    <row r="15" spans="1:6" x14ac:dyDescent="0.25">
      <c r="A15" s="10" t="s">
        <v>184</v>
      </c>
      <c r="B15" s="33">
        <v>0</v>
      </c>
      <c r="C15" s="33">
        <v>0</v>
      </c>
      <c r="D15" s="33">
        <v>0</v>
      </c>
      <c r="E15" s="33">
        <v>0</v>
      </c>
      <c r="F15" s="33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4" t="s">
        <v>185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ht="28" customHeight="1" spans="1:14" x14ac:dyDescent="0.25">
      <c r="A2" s="20" t="s">
        <v>6</v>
      </c>
      <c r="B2" s="20" t="s">
        <v>37</v>
      </c>
      <c r="C2" s="20" t="s">
        <v>186</v>
      </c>
      <c r="D2" s="20" t="s">
        <v>187</v>
      </c>
      <c r="E2" s="20" t="s">
        <v>188</v>
      </c>
      <c r="F2" s="20" t="s">
        <v>189</v>
      </c>
      <c r="G2" s="20" t="s">
        <v>190</v>
      </c>
      <c r="H2" s="20" t="s">
        <v>191</v>
      </c>
      <c r="I2" s="20" t="s">
        <v>192</v>
      </c>
      <c r="J2" s="20" t="s">
        <v>193</v>
      </c>
      <c r="K2" s="20" t="s">
        <v>194</v>
      </c>
      <c r="L2" s="20" t="s">
        <v>195</v>
      </c>
      <c r="M2" s="20" t="s">
        <v>196</v>
      </c>
      <c r="N2" s="20" t="s">
        <v>197</v>
      </c>
    </row>
    <row r="3" ht="24" customHeight="1" spans="1:14" x14ac:dyDescent="0.25">
      <c r="A3" s="18" t="s">
        <v>171</v>
      </c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</row>
    <row r="4" spans="1:14" x14ac:dyDescent="0.25">
      <c r="A4" s="9" t="s">
        <v>172</v>
      </c>
      <c r="B4" s="31">
        <v>0</v>
      </c>
      <c r="C4" s="31">
        <v>0</v>
      </c>
      <c r="D4" s="31">
        <v>0</v>
      </c>
      <c r="E4" s="31">
        <v>0</v>
      </c>
      <c r="F4" s="31">
        <v>0</v>
      </c>
      <c r="G4" s="31">
        <v>0</v>
      </c>
      <c r="H4" s="31">
        <v>0</v>
      </c>
      <c r="I4" s="31">
        <v>0</v>
      </c>
      <c r="J4" s="31">
        <v>0</v>
      </c>
      <c r="K4" s="31">
        <v>0</v>
      </c>
      <c r="L4" s="31">
        <v>0</v>
      </c>
      <c r="M4" s="31">
        <v>0</v>
      </c>
      <c r="N4" s="31" t="str">
        <f>SUM(B4:M4)</f>
        <v>0</v>
      </c>
    </row>
    <row r="6" ht="24" customHeight="1" spans="1:14" x14ac:dyDescent="0.25">
      <c r="A6" s="18" t="s">
        <v>198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</row>
    <row r="7" spans="1:14" x14ac:dyDescent="0.25">
      <c r="A7" s="10" t="s">
        <v>199</v>
      </c>
      <c r="B7" s="33">
        <v>0</v>
      </c>
      <c r="C7" s="33">
        <v>0</v>
      </c>
      <c r="D7" s="33">
        <v>0</v>
      </c>
      <c r="E7" s="33">
        <v>0</v>
      </c>
      <c r="F7" s="33">
        <v>0</v>
      </c>
      <c r="G7" s="33">
        <v>0</v>
      </c>
      <c r="H7" s="33">
        <v>0</v>
      </c>
      <c r="I7" s="33">
        <v>0</v>
      </c>
      <c r="J7" s="33">
        <v>0</v>
      </c>
      <c r="K7" s="33">
        <v>0</v>
      </c>
      <c r="L7" s="33">
        <v>0</v>
      </c>
      <c r="M7" s="33">
        <v>0</v>
      </c>
      <c r="N7" s="33" t="str">
        <f>SUM(B7:M7)</f>
        <v>0</v>
      </c>
    </row>
    <row r="8" spans="1:14" x14ac:dyDescent="0.25">
      <c r="A8" s="10" t="s">
        <v>200</v>
      </c>
      <c r="B8" s="33">
        <v>0</v>
      </c>
      <c r="C8" s="33">
        <v>0</v>
      </c>
      <c r="D8" s="33">
        <v>0</v>
      </c>
      <c r="E8" s="33">
        <v>0</v>
      </c>
      <c r="F8" s="33">
        <v>0</v>
      </c>
      <c r="G8" s="33">
        <v>0</v>
      </c>
      <c r="H8" s="33">
        <v>0</v>
      </c>
      <c r="I8" s="33">
        <v>0</v>
      </c>
      <c r="J8" s="33">
        <v>0</v>
      </c>
      <c r="K8" s="33">
        <v>0</v>
      </c>
      <c r="L8" s="33">
        <v>0</v>
      </c>
      <c r="M8" s="33">
        <v>0</v>
      </c>
      <c r="N8" s="33" t="str">
        <f>SUM(B8:M8)</f>
        <v>0</v>
      </c>
    </row>
    <row r="9" spans="1:14" x14ac:dyDescent="0.25">
      <c r="A9" s="10" t="s">
        <v>201</v>
      </c>
      <c r="B9" s="33">
        <v>0</v>
      </c>
      <c r="C9" s="33">
        <v>0</v>
      </c>
      <c r="D9" s="33">
        <v>0</v>
      </c>
      <c r="E9" s="33">
        <v>0</v>
      </c>
      <c r="F9" s="33">
        <v>0</v>
      </c>
      <c r="G9" s="33">
        <v>0</v>
      </c>
      <c r="H9" s="33">
        <v>0</v>
      </c>
      <c r="I9" s="33">
        <v>0</v>
      </c>
      <c r="J9" s="33">
        <v>0</v>
      </c>
      <c r="K9" s="33">
        <v>0</v>
      </c>
      <c r="L9" s="33">
        <v>0</v>
      </c>
      <c r="M9" s="33">
        <v>0</v>
      </c>
      <c r="N9" s="33" t="str">
        <f>SUM(B9:M9)</f>
        <v>0</v>
      </c>
    </row>
    <row r="11" ht="24" customHeight="1" spans="1:14" x14ac:dyDescent="0.25">
      <c r="A11" s="18" t="s">
        <v>202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</row>
    <row r="12" spans="1:14" x14ac:dyDescent="0.25">
      <c r="A12" s="9" t="s">
        <v>179</v>
      </c>
      <c r="B12" s="34" t="str">
        <f>B7+B8+B9</f>
        <v>0</v>
      </c>
      <c r="C12" s="34" t="str">
        <f>C7+C8+C9</f>
        <v>0</v>
      </c>
      <c r="D12" s="34" t="str">
        <f>D7+D8+D9</f>
        <v>0</v>
      </c>
      <c r="E12" s="34" t="str">
        <f>E7+E8+E9</f>
        <v>0</v>
      </c>
      <c r="F12" s="34" t="str">
        <f>F7+F8+F9</f>
        <v>0</v>
      </c>
      <c r="G12" s="34" t="str">
        <f>G7+G8+G9</f>
        <v>0</v>
      </c>
      <c r="H12" s="34" t="str">
        <f>H7+H8+H9</f>
        <v>0</v>
      </c>
      <c r="I12" s="34" t="str">
        <f>I7+I8+I9</f>
        <v>0</v>
      </c>
      <c r="J12" s="34" t="str">
        <f>J7+J8+J9</f>
        <v>0</v>
      </c>
      <c r="K12" s="34" t="str">
        <f>K7+K8+K9</f>
        <v>0</v>
      </c>
      <c r="L12" s="34" t="str">
        <f>L7+L8+L9</f>
        <v>0</v>
      </c>
      <c r="M12" s="34" t="str">
        <f>M7+M8+M9</f>
        <v>0</v>
      </c>
      <c r="N12" s="34" t="str">
        <f>SUM(B12:M12)</f>
        <v>0</v>
      </c>
    </row>
    <row r="13" spans="1:14" x14ac:dyDescent="0.25">
      <c r="A13" s="9" t="s">
        <v>203</v>
      </c>
      <c r="B13" s="34" t="str">
        <f>B4-B12</f>
        <v>0</v>
      </c>
      <c r="C13" s="34" t="str">
        <f>C4-C12</f>
        <v>0</v>
      </c>
      <c r="D13" s="34" t="str">
        <f>D4-D12</f>
        <v>0</v>
      </c>
      <c r="E13" s="34" t="str">
        <f>E4-E12</f>
        <v>0</v>
      </c>
      <c r="F13" s="34" t="str">
        <f>F4-F12</f>
        <v>0</v>
      </c>
      <c r="G13" s="34" t="str">
        <f>G4-G12</f>
        <v>0</v>
      </c>
      <c r="H13" s="34" t="str">
        <f>H4-H12</f>
        <v>0</v>
      </c>
      <c r="I13" s="34" t="str">
        <f>I4-I12</f>
        <v>0</v>
      </c>
      <c r="J13" s="34" t="str">
        <f>J4-J12</f>
        <v>0</v>
      </c>
      <c r="K13" s="34" t="str">
        <f>K4-K12</f>
        <v>0</v>
      </c>
      <c r="L13" s="34" t="str">
        <f>L4-L12</f>
        <v>0</v>
      </c>
      <c r="M13" s="34" t="str">
        <f>M4-M12</f>
        <v>0</v>
      </c>
      <c r="N13" s="34" t="str">
        <f>SUM(B13:M13)</f>
        <v>0</v>
      </c>
    </row>
    <row r="14" spans="1:14" x14ac:dyDescent="0.25">
      <c r="A14" s="9" t="s">
        <v>204</v>
      </c>
      <c r="B14" s="35" t="str">
        <f>B17+B13</f>
        <v>0</v>
      </c>
      <c r="C14" s="35" t="str">
        <f>B14+C13</f>
        <v>0</v>
      </c>
      <c r="D14" s="35" t="str">
        <f>C14+D13</f>
        <v>0</v>
      </c>
      <c r="E14" s="35" t="str">
        <f>D14+E13</f>
        <v>0</v>
      </c>
      <c r="F14" s="35" t="str">
        <f>E14+F13</f>
        <v>0</v>
      </c>
      <c r="G14" s="35" t="str">
        <f>F14+G13</f>
        <v>0</v>
      </c>
      <c r="H14" s="35" t="str">
        <f>G14+H13</f>
        <v>0</v>
      </c>
      <c r="I14" s="35" t="str">
        <f>H14+I13</f>
        <v>0</v>
      </c>
      <c r="J14" s="35" t="str">
        <f>I14+J13</f>
        <v>0</v>
      </c>
      <c r="K14" s="35" t="str">
        <f>J14+K13</f>
        <v>0</v>
      </c>
      <c r="L14" s="35" t="str">
        <f>K14+L13</f>
        <v>0</v>
      </c>
      <c r="M14" s="35" t="str">
        <f>L14+M13</f>
        <v>0</v>
      </c>
      <c r="N14" s="29" t="str">
        <f>M14</f>
        <v>0</v>
      </c>
    </row>
    <row r="16" ht="24" customHeight="1" spans="1:3" x14ac:dyDescent="0.25">
      <c r="A16" s="18" t="s">
        <v>205</v>
      </c>
      <c r="B16" s="18"/>
      <c r="C16" s="18"/>
    </row>
    <row r="17" spans="1:2" x14ac:dyDescent="0.25">
      <c r="A17" s="10" t="s">
        <v>127</v>
      </c>
      <c r="B17" s="25">
        <v>0</v>
      </c>
    </row>
    <row r="18" spans="1:2" x14ac:dyDescent="0.25">
      <c r="A18" s="10" t="s">
        <v>206</v>
      </c>
      <c r="B18" s="35" t="str">
        <f>M14</f>
        <v>0</v>
      </c>
    </row>
    <row r="19" spans="1:2" x14ac:dyDescent="0.25">
      <c r="A19" s="10" t="s">
        <v>207</v>
      </c>
      <c r="B19" s="33" t="str">
        <f>MIN(B14:M14)</f>
        <v>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4" t="s">
        <v>208</v>
      </c>
      <c r="B1" s="14"/>
      <c r="C1" s="14"/>
      <c r="D1" s="14"/>
      <c r="E1" s="14"/>
      <c r="F1" s="14"/>
    </row>
    <row r="3" ht="28" customHeight="1" spans="1:6" x14ac:dyDescent="0.25">
      <c r="A3" s="20" t="s">
        <v>6</v>
      </c>
      <c r="B3" s="20" t="s">
        <v>97</v>
      </c>
      <c r="C3" s="20" t="s">
        <v>98</v>
      </c>
      <c r="D3" s="20" t="s">
        <v>99</v>
      </c>
      <c r="E3" s="20" t="s">
        <v>100</v>
      </c>
      <c r="F3" s="20" t="s">
        <v>101</v>
      </c>
    </row>
    <row r="4" ht="24" customHeight="1" spans="1:6" x14ac:dyDescent="0.25">
      <c r="A4" s="18" t="s">
        <v>171</v>
      </c>
      <c r="B4" s="18"/>
      <c r="C4" s="18"/>
      <c r="D4" s="18"/>
      <c r="E4" s="18"/>
      <c r="F4" s="18"/>
    </row>
    <row r="5" spans="1:6" x14ac:dyDescent="0.25">
      <c r="A5" s="36" t="s">
        <v>172</v>
      </c>
      <c r="B5" s="31">
        <v>0</v>
      </c>
      <c r="C5" s="31">
        <v>0</v>
      </c>
      <c r="D5" s="31">
        <v>0</v>
      </c>
      <c r="E5" s="31">
        <v>0</v>
      </c>
      <c r="F5" s="31">
        <v>0</v>
      </c>
    </row>
    <row r="7" ht="24" customHeight="1" spans="1:6" x14ac:dyDescent="0.25">
      <c r="A7" s="18" t="s">
        <v>198</v>
      </c>
      <c r="B7" s="18"/>
      <c r="C7" s="18"/>
      <c r="D7" s="18"/>
      <c r="E7" s="18"/>
      <c r="F7" s="18"/>
    </row>
    <row r="8" spans="1:6" x14ac:dyDescent="0.25">
      <c r="A8" s="9" t="s">
        <v>199</v>
      </c>
      <c r="B8" s="34">
        <v>0</v>
      </c>
      <c r="C8" s="34">
        <v>0</v>
      </c>
      <c r="D8" s="34">
        <v>0</v>
      </c>
      <c r="E8" s="34">
        <v>0</v>
      </c>
      <c r="F8" s="34">
        <v>0</v>
      </c>
    </row>
    <row r="9" spans="1:6" x14ac:dyDescent="0.25">
      <c r="A9" s="9" t="s">
        <v>200</v>
      </c>
      <c r="B9" s="34">
        <v>0</v>
      </c>
      <c r="C9" s="34">
        <v>0</v>
      </c>
      <c r="D9" s="34">
        <v>0</v>
      </c>
      <c r="E9" s="34">
        <v>0</v>
      </c>
      <c r="F9" s="34">
        <v>0</v>
      </c>
    </row>
    <row r="10" spans="1:6" x14ac:dyDescent="0.25">
      <c r="A10" s="9" t="s">
        <v>209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36" t="s">
        <v>179</v>
      </c>
      <c r="B11" s="31" t="str">
        <f>SUM(B8:B10)</f>
        <v>0</v>
      </c>
      <c r="C11" s="31" t="str">
        <f>SUM(C8:C10)</f>
        <v>0</v>
      </c>
      <c r="D11" s="31" t="str">
        <f>SUM(D8:D10)</f>
        <v>0</v>
      </c>
      <c r="E11" s="31" t="str">
        <f>SUM(E8:E10)</f>
        <v>0</v>
      </c>
      <c r="F11" s="31" t="str">
        <f>SUM(F8:F10)</f>
        <v>0</v>
      </c>
    </row>
    <row r="13" ht="24" customHeight="1" spans="1:6" x14ac:dyDescent="0.25">
      <c r="A13" s="18" t="s">
        <v>210</v>
      </c>
      <c r="B13" s="18"/>
      <c r="C13" s="18"/>
      <c r="D13" s="18"/>
      <c r="E13" s="18"/>
      <c r="F13" s="18"/>
    </row>
    <row r="14" spans="1:6" x14ac:dyDescent="0.25">
      <c r="A14" s="36" t="s">
        <v>181</v>
      </c>
      <c r="B14" s="29" t="str">
        <f>B5-B11</f>
        <v>0</v>
      </c>
      <c r="C14" s="29" t="str">
        <f>C5-C11</f>
        <v>0</v>
      </c>
      <c r="D14" s="29" t="str">
        <f>D5-D11</f>
        <v>0</v>
      </c>
      <c r="E14" s="29" t="str">
        <f>E5-E11</f>
        <v>0</v>
      </c>
      <c r="F14" s="29" t="str">
        <f>F5-F11</f>
        <v>0</v>
      </c>
    </row>
    <row r="15" spans="1:6" x14ac:dyDescent="0.25">
      <c r="A15" s="10" t="s">
        <v>182</v>
      </c>
      <c r="B15" s="28" t="str">
        <f>IF(B5=0,0,B14/B5)</f>
        <v>0</v>
      </c>
      <c r="C15" s="28" t="str">
        <f>IF(C5=0,0,C14/C5)</f>
        <v>0</v>
      </c>
      <c r="D15" s="28" t="str">
        <f>IF(D5=0,0,D14/D5)</f>
        <v>0</v>
      </c>
      <c r="E15" s="28" t="str">
        <f>IF(E5=0,0,E14/E5)</f>
        <v>0</v>
      </c>
      <c r="F15" s="28" t="str">
        <f>IF(F5=0,0,F14/F5)</f>
        <v>0</v>
      </c>
    </row>
    <row r="16" spans="1:6" x14ac:dyDescent="0.25">
      <c r="A16" s="9" t="s">
        <v>183</v>
      </c>
      <c r="B16" s="34" t="str">
        <f>B14</f>
        <v>0</v>
      </c>
      <c r="C16" s="34" t="str">
        <f>B16+C14</f>
        <v>0</v>
      </c>
      <c r="D16" s="34" t="str">
        <f>C16+D14</f>
        <v>0</v>
      </c>
      <c r="E16" s="34" t="str">
        <f>D16+E14</f>
        <v>0</v>
      </c>
      <c r="F16" s="34" t="str">
        <f>E16+F14</f>
        <v>0</v>
      </c>
    </row>
    <row r="17" spans="1:6" x14ac:dyDescent="0.25">
      <c r="A17" s="9" t="s">
        <v>211</v>
      </c>
      <c r="B17" s="37" t="s">
        <v>212</v>
      </c>
      <c r="C17" s="38" t="s">
        <v>6</v>
      </c>
      <c r="D17" s="38" t="s">
        <v>6</v>
      </c>
      <c r="E17" s="38" t="s">
        <v>6</v>
      </c>
      <c r="F17" s="38" t="s">
        <v>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4" t="s">
        <v>75</v>
      </c>
      <c r="B1" s="14"/>
      <c r="C1" s="14"/>
      <c r="D1" s="14"/>
      <c r="E1" s="14"/>
      <c r="F1" s="14"/>
    </row>
    <row r="3" ht="28" customHeight="1" spans="1:6" x14ac:dyDescent="0.25">
      <c r="A3" s="20" t="s">
        <v>6</v>
      </c>
      <c r="B3" s="20" t="s">
        <v>97</v>
      </c>
      <c r="C3" s="20" t="s">
        <v>98</v>
      </c>
      <c r="D3" s="20" t="s">
        <v>99</v>
      </c>
      <c r="E3" s="20" t="s">
        <v>100</v>
      </c>
      <c r="F3" s="20" t="s">
        <v>101</v>
      </c>
    </row>
    <row r="4" ht="24" customHeight="1" spans="1:6" x14ac:dyDescent="0.25">
      <c r="A4" s="18" t="s">
        <v>213</v>
      </c>
      <c r="B4" s="18"/>
      <c r="C4" s="18"/>
      <c r="D4" s="18"/>
      <c r="E4" s="18"/>
      <c r="F4" s="18"/>
    </row>
    <row r="5" spans="1:5" x14ac:dyDescent="0.25">
      <c r="A5" s="39" t="s">
        <v>214</v>
      </c>
      <c r="B5" s="40" t="s">
        <v>119</v>
      </c>
      <c r="C5" s="41" t="s">
        <v>215</v>
      </c>
      <c r="D5" s="39" t="s">
        <v>216</v>
      </c>
      <c r="E5" s="40" t="s">
        <v>161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4" t="s">
        <v>217</v>
      </c>
      <c r="B1" s="14"/>
      <c r="C1" s="14"/>
      <c r="D1" s="14"/>
      <c r="E1" s="14"/>
      <c r="F1" s="14"/>
    </row>
    <row r="3" ht="28" customHeight="1" spans="1:6" x14ac:dyDescent="0.25">
      <c r="A3" s="20" t="s">
        <v>6</v>
      </c>
      <c r="B3" s="20" t="s">
        <v>97</v>
      </c>
      <c r="C3" s="20" t="s">
        <v>98</v>
      </c>
      <c r="D3" s="20" t="s">
        <v>99</v>
      </c>
      <c r="E3" s="20" t="s">
        <v>100</v>
      </c>
      <c r="F3" s="20" t="s">
        <v>101</v>
      </c>
    </row>
    <row r="4" ht="24" customHeight="1" spans="1:6" x14ac:dyDescent="0.25">
      <c r="A4" s="18" t="s">
        <v>218</v>
      </c>
      <c r="B4" s="18"/>
      <c r="C4" s="18"/>
      <c r="D4" s="18"/>
      <c r="E4" s="18"/>
      <c r="F4" s="18"/>
    </row>
    <row r="5" spans="1:6" x14ac:dyDescent="0.25">
      <c r="A5" s="10" t="s">
        <v>219</v>
      </c>
      <c r="B5" s="42" t="str">
        <f>'Monthly Cash Flow Y1'!M14</f>
        <v>0</v>
      </c>
      <c r="C5" s="42" t="str">
        <f>B5+'5-Year Operating Stmt'!C14</f>
        <v>0</v>
      </c>
      <c r="D5" s="42" t="str">
        <f>B5+'5-Year Operating Stmt'!C14+'5-Year Operating Stmt'!D14</f>
        <v>0</v>
      </c>
      <c r="E5" s="42" t="str">
        <f>B5+'5-Year Operating Stmt'!C14+'5-Year Operating Stmt'!D14+'5-Year Operating Stmt'!E14</f>
        <v>0</v>
      </c>
      <c r="F5" s="42" t="str">
        <f>B5+'5-Year Operating Stmt'!C14+'5-Year Operating Stmt'!D14+'5-Year Operating Stmt'!E14+'5-Year Operating Stmt'!F14</f>
        <v>0</v>
      </c>
    </row>
    <row r="6" spans="1:6" x14ac:dyDescent="0.25">
      <c r="A6" s="10" t="s">
        <v>220</v>
      </c>
      <c r="B6" s="33">
        <v>0</v>
      </c>
      <c r="C6" s="33">
        <v>0</v>
      </c>
      <c r="D6" s="33">
        <v>0</v>
      </c>
      <c r="E6" s="33">
        <v>0</v>
      </c>
      <c r="F6" s="33">
        <v>0</v>
      </c>
    </row>
    <row r="7" spans="1:6" x14ac:dyDescent="0.25">
      <c r="A7" s="10" t="s">
        <v>221</v>
      </c>
      <c r="B7" s="33">
        <v>0</v>
      </c>
      <c r="C7" s="33">
        <v>0</v>
      </c>
      <c r="D7" s="33">
        <v>0</v>
      </c>
      <c r="E7" s="33">
        <v>0</v>
      </c>
      <c r="F7" s="33">
        <v>0</v>
      </c>
    </row>
    <row r="8" spans="1:6" x14ac:dyDescent="0.25">
      <c r="A8" s="10" t="s">
        <v>222</v>
      </c>
      <c r="B8" s="33">
        <v>0</v>
      </c>
      <c r="C8" s="33">
        <v>0</v>
      </c>
      <c r="D8" s="33">
        <v>0</v>
      </c>
      <c r="E8" s="33">
        <v>0</v>
      </c>
      <c r="F8" s="33">
        <v>0</v>
      </c>
    </row>
    <row r="9" spans="1:6" x14ac:dyDescent="0.25">
      <c r="A9" s="9" t="s">
        <v>223</v>
      </c>
      <c r="B9" s="31" t="str">
        <f>SUM(B5:B8)</f>
        <v>0</v>
      </c>
      <c r="C9" s="31" t="str">
        <f>SUM(C5:C8)</f>
        <v>0</v>
      </c>
      <c r="D9" s="31" t="str">
        <f>SUM(D5:D8)</f>
        <v>0</v>
      </c>
      <c r="E9" s="31" t="str">
        <f>SUM(E5:E8)</f>
        <v>0</v>
      </c>
      <c r="F9" s="31" t="str">
        <f>SUM(F5:F8)</f>
        <v>0</v>
      </c>
    </row>
    <row r="11" ht="24" customHeight="1" spans="1:6" x14ac:dyDescent="0.25">
      <c r="A11" s="18" t="s">
        <v>224</v>
      </c>
      <c r="B11" s="18"/>
      <c r="C11" s="18"/>
      <c r="D11" s="18"/>
      <c r="E11" s="18"/>
      <c r="F11" s="18"/>
    </row>
    <row r="12" spans="1:6" x14ac:dyDescent="0.25">
      <c r="A12" s="10" t="s">
        <v>225</v>
      </c>
      <c r="B12" s="33">
        <v>0</v>
      </c>
      <c r="C12" s="33">
        <v>0</v>
      </c>
      <c r="D12" s="33">
        <v>0</v>
      </c>
      <c r="E12" s="33">
        <v>0</v>
      </c>
      <c r="F12" s="33">
        <v>0</v>
      </c>
    </row>
    <row r="13" spans="1:6" x14ac:dyDescent="0.25">
      <c r="A13" s="10" t="s">
        <v>226</v>
      </c>
      <c r="B13" s="33">
        <v>0</v>
      </c>
      <c r="C13" s="33">
        <v>0</v>
      </c>
      <c r="D13" s="33">
        <v>0</v>
      </c>
      <c r="E13" s="33">
        <v>0</v>
      </c>
      <c r="F13" s="33">
        <v>0</v>
      </c>
    </row>
    <row r="14" spans="1:6" x14ac:dyDescent="0.25">
      <c r="A14" s="9" t="s">
        <v>227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8" t="s">
        <v>228</v>
      </c>
      <c r="B16" s="18"/>
      <c r="C16" s="18"/>
      <c r="D16" s="18"/>
      <c r="E16" s="18"/>
      <c r="F16" s="18"/>
    </row>
    <row r="17" spans="1:6" x14ac:dyDescent="0.25">
      <c r="A17" s="9" t="s">
        <v>229</v>
      </c>
      <c r="B17" s="29" t="str">
        <f>B9-B14</f>
        <v>0</v>
      </c>
      <c r="C17" s="29" t="str">
        <f>C9-C14</f>
        <v>0</v>
      </c>
      <c r="D17" s="29" t="str">
        <f>D9-D14</f>
        <v>0</v>
      </c>
      <c r="E17" s="29" t="str">
        <f>E9-E14</f>
        <v>0</v>
      </c>
      <c r="F17" s="29" t="str">
        <f>F9-F14</f>
        <v>0</v>
      </c>
    </row>
    <row r="19" spans="1:6" x14ac:dyDescent="0.25">
      <c r="A19" s="9" t="s">
        <v>230</v>
      </c>
      <c r="B19" s="43" t="str">
        <f>B9-B14-B17</f>
        <v>0</v>
      </c>
      <c r="C19" s="43" t="str">
        <f>C9-C14-C17</f>
        <v>0</v>
      </c>
      <c r="D19" s="43" t="str">
        <f>D9-D14-D17</f>
        <v>0</v>
      </c>
      <c r="E19" s="43" t="str">
        <f>E9-E14-E17</f>
        <v>0</v>
      </c>
      <c r="F19" s="43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4" t="s">
        <v>231</v>
      </c>
      <c r="B1" s="14"/>
      <c r="C1" s="14"/>
      <c r="D1" s="14"/>
      <c r="E1" s="14"/>
      <c r="F1" s="14"/>
    </row>
    <row r="3" ht="28" customHeight="1" spans="1:6" x14ac:dyDescent="0.25">
      <c r="A3" s="20" t="s">
        <v>6</v>
      </c>
      <c r="B3" s="20" t="s">
        <v>97</v>
      </c>
      <c r="C3" s="20" t="s">
        <v>98</v>
      </c>
      <c r="D3" s="20" t="s">
        <v>99</v>
      </c>
      <c r="E3" s="20" t="s">
        <v>100</v>
      </c>
      <c r="F3" s="20" t="s">
        <v>101</v>
      </c>
    </row>
    <row r="4" ht="24" customHeight="1" spans="1:6" x14ac:dyDescent="0.25">
      <c r="A4" s="18" t="s">
        <v>232</v>
      </c>
      <c r="B4" s="18"/>
      <c r="C4" s="18"/>
      <c r="D4" s="18"/>
      <c r="E4" s="18"/>
      <c r="F4" s="18"/>
    </row>
    <row r="5" spans="1:6" x14ac:dyDescent="0.25">
      <c r="A5" s="10" t="s">
        <v>233</v>
      </c>
      <c r="B5" s="33">
        <v>0</v>
      </c>
      <c r="C5" s="33">
        <v>0</v>
      </c>
      <c r="D5" s="33">
        <v>0</v>
      </c>
      <c r="E5" s="33">
        <v>0</v>
      </c>
      <c r="F5" s="33">
        <v>0</v>
      </c>
    </row>
    <row r="6" spans="1:6" x14ac:dyDescent="0.25">
      <c r="A6" s="10" t="s">
        <v>199</v>
      </c>
      <c r="B6" s="33">
        <v>0</v>
      </c>
      <c r="C6" s="33">
        <v>0</v>
      </c>
      <c r="D6" s="33">
        <v>0</v>
      </c>
      <c r="E6" s="33">
        <v>0</v>
      </c>
      <c r="F6" s="33">
        <v>0</v>
      </c>
    </row>
    <row r="7" spans="1:6" x14ac:dyDescent="0.25">
      <c r="A7" s="10" t="s">
        <v>200</v>
      </c>
      <c r="B7" s="33">
        <v>0</v>
      </c>
      <c r="C7" s="33">
        <v>0</v>
      </c>
      <c r="D7" s="33">
        <v>0</v>
      </c>
      <c r="E7" s="33">
        <v>0</v>
      </c>
      <c r="F7" s="33">
        <v>0</v>
      </c>
    </row>
    <row r="8" spans="1:6" x14ac:dyDescent="0.25">
      <c r="A8" s="9" t="s">
        <v>234</v>
      </c>
      <c r="B8" s="34" t="str">
        <f>B5-B6-B7</f>
        <v>0</v>
      </c>
      <c r="C8" s="34" t="str">
        <f>C5-C6-C7</f>
        <v>0</v>
      </c>
      <c r="D8" s="34" t="str">
        <f>D5-D6-D7</f>
        <v>0</v>
      </c>
      <c r="E8" s="34" t="str">
        <f>E5-E6-E7</f>
        <v>0</v>
      </c>
      <c r="F8" s="34" t="str">
        <f>F5-F6-F7</f>
        <v>0</v>
      </c>
    </row>
    <row r="9" spans="1:6" x14ac:dyDescent="0.25">
      <c r="A9" s="10" t="s">
        <v>201</v>
      </c>
      <c r="B9" s="33">
        <v>0</v>
      </c>
      <c r="C9" s="33">
        <v>0</v>
      </c>
      <c r="D9" s="33">
        <v>0</v>
      </c>
      <c r="E9" s="33">
        <v>0</v>
      </c>
      <c r="F9" s="33">
        <v>0</v>
      </c>
    </row>
    <row r="10" spans="1:6" x14ac:dyDescent="0.25">
      <c r="A10" s="9" t="s">
        <v>235</v>
      </c>
      <c r="B10" s="44" t="s">
        <v>140</v>
      </c>
      <c r="C10" s="44" t="s">
        <v>140</v>
      </c>
      <c r="D10" s="44" t="s">
        <v>140</v>
      </c>
      <c r="E10" s="44" t="s">
        <v>140</v>
      </c>
      <c r="F10" s="44" t="s">
        <v>140</v>
      </c>
    </row>
    <row r="12" ht="24" customHeight="1" spans="1:6" x14ac:dyDescent="0.25">
      <c r="A12" s="18" t="s">
        <v>236</v>
      </c>
      <c r="B12" s="18"/>
      <c r="C12" s="18"/>
      <c r="D12" s="18"/>
      <c r="E12" s="18"/>
      <c r="F12" s="18"/>
    </row>
    <row r="13" spans="1:6" x14ac:dyDescent="0.25">
      <c r="A13" s="10" t="s">
        <v>237</v>
      </c>
      <c r="B13" s="33">
        <v>0</v>
      </c>
      <c r="C13" s="33">
        <v>0</v>
      </c>
      <c r="D13" s="33">
        <v>0</v>
      </c>
      <c r="E13" s="33">
        <v>0</v>
      </c>
      <c r="F13" s="33">
        <v>0</v>
      </c>
    </row>
    <row r="14" spans="1:6" x14ac:dyDescent="0.25">
      <c r="A14" s="10" t="s">
        <v>238</v>
      </c>
      <c r="B14" s="45" t="str">
        <f>IF((B6+B7+B9)=0,0,(B13/(B6+B7+B9))*365)</f>
        <v>0</v>
      </c>
      <c r="C14" s="45" t="str">
        <f>IF((C6+C7+C9)=0,0,(C13/(C6+C7+C9))*365)</f>
        <v>0</v>
      </c>
      <c r="D14" s="45" t="str">
        <f>IF((D6+D7+D9)=0,0,(D13/(D6+D7+D9))*365)</f>
        <v>0</v>
      </c>
      <c r="E14" s="45" t="str">
        <f>IF((E6+E7+E9)=0,0,(E13/(E6+E7+E9))*365)</f>
        <v>0</v>
      </c>
      <c r="F14" s="45" t="str">
        <f>IF((F6+F7+F9)=0,0,(F13/(F6+F7+F9))*365)</f>
        <v>0</v>
      </c>
    </row>
    <row r="15" spans="1:6" x14ac:dyDescent="0.25">
      <c r="A15" s="10" t="s">
        <v>239</v>
      </c>
      <c r="B15" s="30" t="str">
        <f>IF((B6+B7+B9)=0,0,B13/((B6+B7+B9)/12))</f>
        <v>0</v>
      </c>
      <c r="C15" s="30" t="str">
        <f>IF((C6+C7+C9)=0,0,C13/((C6+C7+C9)/12))</f>
        <v>0</v>
      </c>
      <c r="D15" s="30" t="str">
        <f>IF((D6+D7+D9)=0,0,D13/((D6+D7+D9)/12))</f>
        <v>0</v>
      </c>
      <c r="E15" s="30" t="str">
        <f>IF((E6+E7+E9)=0,0,E13/((E6+E7+E9)/12))</f>
        <v>0</v>
      </c>
      <c r="F15" s="30" t="str">
        <f>IF((F6+F7+F9)=0,0,F13/((F6+F7+F9)/12))</f>
        <v>0</v>
      </c>
    </row>
    <row r="16" spans="1:6" x14ac:dyDescent="0.25">
      <c r="A16" s="10" t="s">
        <v>148</v>
      </c>
      <c r="B16" s="28">
        <v>0</v>
      </c>
      <c r="C16" s="28">
        <v>0</v>
      </c>
      <c r="D16" s="28">
        <v>0</v>
      </c>
      <c r="E16" s="28">
        <v>0</v>
      </c>
      <c r="F16" s="28">
        <v>0</v>
      </c>
    </row>
    <row r="18" ht="24" customHeight="1" spans="1:6" x14ac:dyDescent="0.25">
      <c r="A18" s="18" t="s">
        <v>240</v>
      </c>
      <c r="B18" s="18"/>
      <c r="C18" s="18"/>
      <c r="D18" s="18"/>
      <c r="E18" s="18"/>
      <c r="F18" s="18"/>
    </row>
    <row r="19" spans="1:6" x14ac:dyDescent="0.25">
      <c r="A19" s="10" t="s">
        <v>167</v>
      </c>
      <c r="B19" s="33">
        <v>0</v>
      </c>
      <c r="C19" s="33">
        <v>0</v>
      </c>
      <c r="D19" s="33">
        <v>0</v>
      </c>
      <c r="E19" s="33">
        <v>0</v>
      </c>
      <c r="F19" s="33">
        <v>0</v>
      </c>
    </row>
    <row r="20" spans="1:6" x14ac:dyDescent="0.25">
      <c r="A20" s="10" t="s">
        <v>241</v>
      </c>
      <c r="B20" s="33">
        <v>0</v>
      </c>
      <c r="C20" s="33">
        <v>0</v>
      </c>
      <c r="D20" s="33">
        <v>0</v>
      </c>
      <c r="E20" s="33">
        <v>0</v>
      </c>
      <c r="F20" s="33">
        <v>0</v>
      </c>
    </row>
    <row r="21" spans="1:6" x14ac:dyDescent="0.25">
      <c r="A21" s="10" t="s">
        <v>242</v>
      </c>
      <c r="B21" s="33">
        <v>0</v>
      </c>
      <c r="C21" s="33">
        <v>0</v>
      </c>
      <c r="D21" s="33">
        <v>0</v>
      </c>
      <c r="E21" s="33">
        <v>0</v>
      </c>
      <c r="F21" s="33">
        <v>0</v>
      </c>
    </row>
    <row r="22" spans="1:6" x14ac:dyDescent="0.25">
      <c r="A22" s="9" t="s">
        <v>243</v>
      </c>
      <c r="B22" s="46" t="s">
        <v>140</v>
      </c>
      <c r="C22" s="46" t="s">
        <v>140</v>
      </c>
      <c r="D22" s="46" t="s">
        <v>140</v>
      </c>
      <c r="E22" s="46" t="s">
        <v>140</v>
      </c>
      <c r="F22" s="46" t="s">
        <v>140</v>
      </c>
    </row>
    <row r="24" ht="24" customHeight="1" spans="1:6" x14ac:dyDescent="0.25">
      <c r="A24" s="18" t="s">
        <v>244</v>
      </c>
      <c r="B24" s="18"/>
      <c r="C24" s="18"/>
      <c r="D24" s="18"/>
      <c r="E24" s="18"/>
      <c r="F24" s="18"/>
    </row>
    <row r="25" spans="1:6" x14ac:dyDescent="0.25">
      <c r="A25" s="10" t="s">
        <v>245</v>
      </c>
      <c r="B25" s="47" t="s">
        <v>140</v>
      </c>
      <c r="C25" s="47" t="s">
        <v>140</v>
      </c>
      <c r="D25" s="47" t="s">
        <v>140</v>
      </c>
      <c r="E25" s="47" t="s">
        <v>140</v>
      </c>
      <c r="F25" s="47" t="s">
        <v>140</v>
      </c>
    </row>
    <row r="26" spans="1:6" x14ac:dyDescent="0.25">
      <c r="A26" s="10" t="s">
        <v>246</v>
      </c>
      <c r="B26" s="48" t="s">
        <v>247</v>
      </c>
      <c r="C26" s="48" t="s">
        <v>247</v>
      </c>
      <c r="D26" s="48" t="s">
        <v>247</v>
      </c>
      <c r="E26" s="48" t="s">
        <v>247</v>
      </c>
      <c r="F26" s="48" t="s">
        <v>247</v>
      </c>
    </row>
    <row r="27" spans="1:6" x14ac:dyDescent="0.25">
      <c r="A27" s="10" t="s">
        <v>248</v>
      </c>
      <c r="B27" s="47" t="s">
        <v>140</v>
      </c>
      <c r="C27" s="47" t="s">
        <v>140</v>
      </c>
      <c r="D27" s="47" t="s">
        <v>140</v>
      </c>
      <c r="E27" s="47" t="s">
        <v>140</v>
      </c>
      <c r="F27" s="47" t="s">
        <v>140</v>
      </c>
    </row>
    <row r="28" spans="1:6" x14ac:dyDescent="0.25">
      <c r="A28" s="10" t="s">
        <v>249</v>
      </c>
      <c r="B28" s="47" t="s">
        <v>140</v>
      </c>
      <c r="C28" s="47" t="s">
        <v>140</v>
      </c>
      <c r="D28" s="47" t="s">
        <v>140</v>
      </c>
      <c r="E28" s="47" t="s">
        <v>140</v>
      </c>
      <c r="F28" s="47" t="s">
        <v>140</v>
      </c>
    </row>
    <row r="29" spans="1:6" x14ac:dyDescent="0.25">
      <c r="A29" s="10" t="s">
        <v>250</v>
      </c>
      <c r="B29" s="47" t="s">
        <v>140</v>
      </c>
      <c r="C29" s="47" t="s">
        <v>140</v>
      </c>
      <c r="D29" s="47" t="s">
        <v>140</v>
      </c>
      <c r="E29" s="47" t="s">
        <v>140</v>
      </c>
      <c r="F29" s="47" t="s">
        <v>140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4" t="s">
        <v>81</v>
      </c>
      <c r="B1" s="14"/>
      <c r="C1" s="14"/>
      <c r="D1" s="14"/>
      <c r="E1" s="14"/>
    </row>
    <row r="3" spans="1:5" x14ac:dyDescent="0.25">
      <c r="A3" s="49" t="s">
        <v>251</v>
      </c>
      <c r="B3" s="49" t="s">
        <v>107</v>
      </c>
      <c r="D3" s="49" t="s">
        <v>252</v>
      </c>
      <c r="E3" s="49" t="s">
        <v>107</v>
      </c>
    </row>
    <row r="4" spans="4:5" x14ac:dyDescent="0.25">
      <c r="D4" s="10" t="s">
        <v>253</v>
      </c>
      <c r="E4" s="33">
        <v>0</v>
      </c>
    </row>
    <row r="6" spans="1:5" x14ac:dyDescent="0.25">
      <c r="A6" s="9" t="s">
        <v>254</v>
      </c>
      <c r="B6" s="29">
        <v>0</v>
      </c>
      <c r="D6" s="9" t="s">
        <v>255</v>
      </c>
      <c r="E6" s="29">
        <v>0</v>
      </c>
    </row>
    <row r="7" spans="1:2" x14ac:dyDescent="0.25">
      <c r="A7" s="9" t="s">
        <v>256</v>
      </c>
      <c r="B7" s="43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4" t="s">
        <v>257</v>
      </c>
      <c r="B1" s="14"/>
      <c r="C1" s="14"/>
      <c r="D1" s="14"/>
      <c r="E1" s="14"/>
      <c r="F1" s="14"/>
    </row>
    <row r="3" ht="24" customHeight="1" spans="1:6" x14ac:dyDescent="0.25">
      <c r="A3" s="18" t="s">
        <v>258</v>
      </c>
      <c r="B3" s="18"/>
      <c r="C3" s="18"/>
      <c r="D3" s="18"/>
      <c r="E3" s="18"/>
      <c r="F3" s="18"/>
    </row>
    <row r="4" spans="1:1" x14ac:dyDescent="0.25">
      <c r="A4" s="16" t="s">
        <v>259</v>
      </c>
    </row>
    <row r="5" ht="28" customHeight="1" spans="1:6" x14ac:dyDescent="0.25">
      <c r="A5" s="20" t="s">
        <v>6</v>
      </c>
      <c r="B5" s="20" t="s">
        <v>97</v>
      </c>
      <c r="C5" s="20" t="s">
        <v>98</v>
      </c>
      <c r="D5" s="20" t="s">
        <v>99</v>
      </c>
      <c r="E5" s="20" t="s">
        <v>100</v>
      </c>
      <c r="F5" s="20" t="s">
        <v>101</v>
      </c>
    </row>
    <row r="6" spans="1:6" x14ac:dyDescent="0.25">
      <c r="A6" s="10" t="s">
        <v>233</v>
      </c>
      <c r="B6" s="33">
        <v>0</v>
      </c>
      <c r="C6" s="33">
        <v>0</v>
      </c>
      <c r="D6" s="33">
        <v>0</v>
      </c>
      <c r="E6" s="33">
        <v>0</v>
      </c>
      <c r="F6" s="33">
        <v>0</v>
      </c>
    </row>
    <row r="7" spans="1:6" x14ac:dyDescent="0.25">
      <c r="A7" s="10" t="s">
        <v>179</v>
      </c>
      <c r="B7" s="33">
        <v>0</v>
      </c>
      <c r="C7" s="33">
        <v>0</v>
      </c>
      <c r="D7" s="33">
        <v>0</v>
      </c>
      <c r="E7" s="33">
        <v>0</v>
      </c>
      <c r="F7" s="33">
        <v>0</v>
      </c>
    </row>
    <row r="8" spans="1:6" x14ac:dyDescent="0.25">
      <c r="A8" s="9" t="s">
        <v>181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</row>
    <row r="9" spans="1:6" x14ac:dyDescent="0.25">
      <c r="A9" s="10" t="s">
        <v>182</v>
      </c>
      <c r="B9" s="28">
        <v>0</v>
      </c>
      <c r="C9" s="28">
        <v>0</v>
      </c>
      <c r="D9" s="28">
        <v>0</v>
      </c>
      <c r="E9" s="28">
        <v>0</v>
      </c>
      <c r="F9" s="28">
        <v>0</v>
      </c>
    </row>
    <row r="10" spans="1:6" x14ac:dyDescent="0.25">
      <c r="A10" s="10" t="s">
        <v>235</v>
      </c>
      <c r="B10" s="50" t="s">
        <v>140</v>
      </c>
      <c r="C10" s="50" t="s">
        <v>140</v>
      </c>
      <c r="D10" s="50" t="s">
        <v>140</v>
      </c>
      <c r="E10" s="50" t="s">
        <v>140</v>
      </c>
      <c r="F10" s="50" t="s">
        <v>140</v>
      </c>
    </row>
    <row r="11" spans="1:6" x14ac:dyDescent="0.25">
      <c r="A11" s="10" t="s">
        <v>243</v>
      </c>
      <c r="B11" s="45" t="s">
        <v>140</v>
      </c>
      <c r="C11" s="45" t="s">
        <v>140</v>
      </c>
      <c r="D11" s="45" t="s">
        <v>140</v>
      </c>
      <c r="E11" s="45" t="s">
        <v>140</v>
      </c>
      <c r="F11" s="45" t="s">
        <v>140</v>
      </c>
    </row>
    <row r="13" ht="24" customHeight="1" spans="1:6" x14ac:dyDescent="0.25">
      <c r="A13" s="18" t="s">
        <v>260</v>
      </c>
      <c r="B13" s="18"/>
      <c r="C13" s="18"/>
      <c r="D13" s="18"/>
      <c r="E13" s="18"/>
      <c r="F13" s="18"/>
    </row>
    <row r="14" spans="1:1" x14ac:dyDescent="0.25">
      <c r="A14" s="16" t="s">
        <v>261</v>
      </c>
    </row>
    <row r="15" ht="28" customHeight="1" spans="1:6" x14ac:dyDescent="0.25">
      <c r="A15" s="20" t="s">
        <v>6</v>
      </c>
      <c r="B15" s="20" t="s">
        <v>97</v>
      </c>
      <c r="C15" s="20" t="s">
        <v>98</v>
      </c>
      <c r="D15" s="20" t="s">
        <v>99</v>
      </c>
      <c r="E15" s="20" t="s">
        <v>100</v>
      </c>
      <c r="F15" s="20" t="s">
        <v>101</v>
      </c>
    </row>
    <row r="16" spans="1:6" x14ac:dyDescent="0.25">
      <c r="A16" s="10" t="s">
        <v>233</v>
      </c>
      <c r="B16" s="33">
        <v>0</v>
      </c>
      <c r="C16" s="33">
        <v>0</v>
      </c>
      <c r="D16" s="33">
        <v>0</v>
      </c>
      <c r="E16" s="33">
        <v>0</v>
      </c>
      <c r="F16" s="33">
        <v>0</v>
      </c>
    </row>
    <row r="17" spans="1:6" x14ac:dyDescent="0.25">
      <c r="A17" s="10" t="s">
        <v>179</v>
      </c>
      <c r="B17" s="33">
        <v>0</v>
      </c>
      <c r="C17" s="33">
        <v>0</v>
      </c>
      <c r="D17" s="33">
        <v>0</v>
      </c>
      <c r="E17" s="33">
        <v>0</v>
      </c>
      <c r="F17" s="33">
        <v>0</v>
      </c>
    </row>
    <row r="18" spans="1:6" x14ac:dyDescent="0.25">
      <c r="A18" s="9" t="s">
        <v>181</v>
      </c>
      <c r="B18" s="29">
        <v>0</v>
      </c>
      <c r="C18" s="29">
        <v>0</v>
      </c>
      <c r="D18" s="29">
        <v>0</v>
      </c>
      <c r="E18" s="29">
        <v>0</v>
      </c>
      <c r="F18" s="29">
        <v>0</v>
      </c>
    </row>
    <row r="19" spans="1:6" x14ac:dyDescent="0.25">
      <c r="A19" s="10" t="s">
        <v>182</v>
      </c>
      <c r="B19" s="28">
        <v>0</v>
      </c>
      <c r="C19" s="28">
        <v>0</v>
      </c>
      <c r="D19" s="28">
        <v>0</v>
      </c>
      <c r="E19" s="28">
        <v>0</v>
      </c>
      <c r="F19" s="28">
        <v>0</v>
      </c>
    </row>
    <row r="20" spans="1:6" x14ac:dyDescent="0.25">
      <c r="A20" s="10" t="s">
        <v>235</v>
      </c>
      <c r="B20" s="50" t="s">
        <v>140</v>
      </c>
      <c r="C20" s="50" t="s">
        <v>140</v>
      </c>
      <c r="D20" s="50" t="s">
        <v>140</v>
      </c>
      <c r="E20" s="50" t="s">
        <v>140</v>
      </c>
      <c r="F20" s="50" t="s">
        <v>140</v>
      </c>
    </row>
    <row r="21" spans="1:6" x14ac:dyDescent="0.25">
      <c r="A21" s="10" t="s">
        <v>243</v>
      </c>
      <c r="B21" s="45" t="s">
        <v>140</v>
      </c>
      <c r="C21" s="45" t="s">
        <v>140</v>
      </c>
      <c r="D21" s="45" t="s">
        <v>140</v>
      </c>
      <c r="E21" s="45" t="s">
        <v>140</v>
      </c>
      <c r="F21" s="45" t="s">
        <v>140</v>
      </c>
    </row>
    <row r="23" ht="24" customHeight="1" spans="1:6" x14ac:dyDescent="0.25">
      <c r="A23" s="18" t="s">
        <v>262</v>
      </c>
      <c r="B23" s="18"/>
      <c r="C23" s="18"/>
      <c r="D23" s="18"/>
      <c r="E23" s="18"/>
      <c r="F23" s="18"/>
    </row>
    <row r="24" spans="1:1" x14ac:dyDescent="0.25">
      <c r="A24" s="16" t="s">
        <v>263</v>
      </c>
    </row>
    <row r="25" ht="28" customHeight="1" spans="1:6" x14ac:dyDescent="0.25">
      <c r="A25" s="20" t="s">
        <v>6</v>
      </c>
      <c r="B25" s="20" t="s">
        <v>97</v>
      </c>
      <c r="C25" s="20" t="s">
        <v>98</v>
      </c>
      <c r="D25" s="20" t="s">
        <v>99</v>
      </c>
      <c r="E25" s="20" t="s">
        <v>100</v>
      </c>
      <c r="F25" s="20" t="s">
        <v>101</v>
      </c>
    </row>
    <row r="26" spans="1:6" x14ac:dyDescent="0.25">
      <c r="A26" s="10" t="s">
        <v>233</v>
      </c>
      <c r="B26" s="33">
        <v>0</v>
      </c>
      <c r="C26" s="33">
        <v>0</v>
      </c>
      <c r="D26" s="33">
        <v>0</v>
      </c>
      <c r="E26" s="33">
        <v>0</v>
      </c>
      <c r="F26" s="33">
        <v>0</v>
      </c>
    </row>
    <row r="27" spans="1:6" x14ac:dyDescent="0.25">
      <c r="A27" s="10" t="s">
        <v>179</v>
      </c>
      <c r="B27" s="33">
        <v>0</v>
      </c>
      <c r="C27" s="33">
        <v>0</v>
      </c>
      <c r="D27" s="33">
        <v>0</v>
      </c>
      <c r="E27" s="33">
        <v>0</v>
      </c>
      <c r="F27" s="33">
        <v>0</v>
      </c>
    </row>
    <row r="28" spans="1:6" x14ac:dyDescent="0.25">
      <c r="A28" s="9" t="s">
        <v>181</v>
      </c>
      <c r="B28" s="29">
        <v>0</v>
      </c>
      <c r="C28" s="29">
        <v>0</v>
      </c>
      <c r="D28" s="29">
        <v>0</v>
      </c>
      <c r="E28" s="29">
        <v>0</v>
      </c>
      <c r="F28" s="29">
        <v>0</v>
      </c>
    </row>
    <row r="29" spans="1:6" x14ac:dyDescent="0.25">
      <c r="A29" s="10" t="s">
        <v>182</v>
      </c>
      <c r="B29" s="28">
        <v>0</v>
      </c>
      <c r="C29" s="28">
        <v>0</v>
      </c>
      <c r="D29" s="28">
        <v>0</v>
      </c>
      <c r="E29" s="28">
        <v>0</v>
      </c>
      <c r="F29" s="28">
        <v>0</v>
      </c>
    </row>
    <row r="30" spans="1:6" x14ac:dyDescent="0.25">
      <c r="A30" s="10" t="s">
        <v>235</v>
      </c>
      <c r="B30" s="50" t="s">
        <v>140</v>
      </c>
      <c r="C30" s="50" t="s">
        <v>140</v>
      </c>
      <c r="D30" s="50" t="s">
        <v>140</v>
      </c>
      <c r="E30" s="50" t="s">
        <v>140</v>
      </c>
      <c r="F30" s="50" t="s">
        <v>140</v>
      </c>
    </row>
    <row r="31" spans="1:6" x14ac:dyDescent="0.25">
      <c r="A31" s="10" t="s">
        <v>243</v>
      </c>
      <c r="B31" s="45" t="s">
        <v>140</v>
      </c>
      <c r="C31" s="45" t="s">
        <v>140</v>
      </c>
      <c r="D31" s="45" t="s">
        <v>140</v>
      </c>
      <c r="E31" s="45" t="s">
        <v>140</v>
      </c>
      <c r="F31" s="45" t="s">
        <v>140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4" t="s">
        <v>264</v>
      </c>
      <c r="B1" s="14"/>
      <c r="C1" s="14"/>
      <c r="D1" s="14"/>
      <c r="E1" s="14"/>
      <c r="F1" s="14"/>
      <c r="G1" s="14"/>
      <c r="H1" s="14"/>
    </row>
    <row r="3" ht="24" customHeight="1" spans="1:2" x14ac:dyDescent="0.25">
      <c r="A3" s="18" t="s">
        <v>92</v>
      </c>
      <c r="B3" s="18"/>
    </row>
    <row r="4" spans="1:2" x14ac:dyDescent="0.25">
      <c r="A4" s="10" t="s">
        <v>31</v>
      </c>
      <c r="B4" s="10" t="s">
        <v>32</v>
      </c>
    </row>
    <row r="5" spans="1:2" x14ac:dyDescent="0.25">
      <c r="A5" s="10" t="s">
        <v>111</v>
      </c>
      <c r="B5" s="10" t="s">
        <v>6</v>
      </c>
    </row>
    <row r="6" spans="1:2" x14ac:dyDescent="0.25">
      <c r="A6" s="10" t="s">
        <v>265</v>
      </c>
      <c r="B6" s="10" t="s">
        <v>6</v>
      </c>
    </row>
    <row r="7" spans="1:2" x14ac:dyDescent="0.25">
      <c r="A7" s="10" t="s">
        <v>40</v>
      </c>
      <c r="B7" s="10" t="s">
        <v>41</v>
      </c>
    </row>
    <row r="8" spans="1:2" x14ac:dyDescent="0.25">
      <c r="A8" s="10" t="s">
        <v>35</v>
      </c>
      <c r="B8" s="10" t="s">
        <v>32</v>
      </c>
    </row>
    <row r="9" spans="1:2" x14ac:dyDescent="0.25">
      <c r="A9" s="10" t="s">
        <v>266</v>
      </c>
      <c r="B9" s="10" t="s">
        <v>6</v>
      </c>
    </row>
    <row r="11" ht="24" customHeight="1" spans="1:8" x14ac:dyDescent="0.25">
      <c r="A11" s="18" t="s">
        <v>267</v>
      </c>
      <c r="B11" s="18"/>
      <c r="C11" s="18"/>
      <c r="D11" s="18"/>
      <c r="E11" s="18"/>
      <c r="F11" s="18"/>
      <c r="G11" s="18"/>
      <c r="H11" s="18"/>
    </row>
    <row r="12" spans="1:8" x14ac:dyDescent="0.25">
      <c r="A12" t="s">
        <v>6</v>
      </c>
      <c r="B12" t="s">
        <v>6</v>
      </c>
      <c r="C12" t="s">
        <v>6</v>
      </c>
      <c r="D12" s="51" t="s">
        <v>97</v>
      </c>
      <c r="E12" s="51" t="s">
        <v>98</v>
      </c>
      <c r="F12" s="51" t="s">
        <v>99</v>
      </c>
      <c r="G12" s="51" t="s">
        <v>100</v>
      </c>
      <c r="H12" s="51" t="s">
        <v>101</v>
      </c>
    </row>
    <row r="13" spans="1:8" x14ac:dyDescent="0.25">
      <c r="A13" s="10" t="s">
        <v>233</v>
      </c>
      <c r="D13" s="33">
        <v>0</v>
      </c>
      <c r="E13" s="33">
        <v>0</v>
      </c>
      <c r="F13" s="33">
        <v>0</v>
      </c>
      <c r="G13" s="33">
        <v>0</v>
      </c>
      <c r="H13" s="33">
        <v>0</v>
      </c>
    </row>
    <row r="14" spans="1:8" x14ac:dyDescent="0.25">
      <c r="A14" s="10" t="s">
        <v>179</v>
      </c>
      <c r="D14" s="33">
        <v>0</v>
      </c>
      <c r="E14" s="33">
        <v>0</v>
      </c>
      <c r="F14" s="33">
        <v>0</v>
      </c>
      <c r="G14" s="33">
        <v>0</v>
      </c>
      <c r="H14" s="33">
        <v>0</v>
      </c>
    </row>
    <row r="15" spans="1:8" x14ac:dyDescent="0.25">
      <c r="A15" s="10" t="s">
        <v>181</v>
      </c>
      <c r="D15" s="33">
        <v>0</v>
      </c>
      <c r="E15" s="33">
        <v>0</v>
      </c>
      <c r="F15" s="33">
        <v>0</v>
      </c>
      <c r="G15" s="33">
        <v>0</v>
      </c>
      <c r="H15" s="33">
        <v>0</v>
      </c>
    </row>
    <row r="16" spans="1:8" x14ac:dyDescent="0.25">
      <c r="A16" s="10" t="s">
        <v>268</v>
      </c>
      <c r="D16" s="33">
        <v>0</v>
      </c>
      <c r="E16" s="33">
        <v>0</v>
      </c>
      <c r="F16" s="33">
        <v>0</v>
      </c>
      <c r="G16" s="33">
        <v>0</v>
      </c>
      <c r="H16" s="33">
        <v>0</v>
      </c>
    </row>
    <row r="17" spans="1:8" x14ac:dyDescent="0.25">
      <c r="A17" s="10" t="s">
        <v>269</v>
      </c>
      <c r="D17" s="33">
        <v>0</v>
      </c>
      <c r="E17" s="33">
        <v>0</v>
      </c>
      <c r="F17" s="33">
        <v>0</v>
      </c>
      <c r="G17" s="33">
        <v>0</v>
      </c>
      <c r="H17" s="33">
        <v>0</v>
      </c>
    </row>
    <row r="19" ht="24" customHeight="1" spans="1:8" x14ac:dyDescent="0.25">
      <c r="A19" s="18" t="s">
        <v>270</v>
      </c>
      <c r="B19" s="18"/>
      <c r="C19" s="18"/>
      <c r="D19" s="18"/>
      <c r="E19" s="18"/>
      <c r="F19" s="18"/>
      <c r="G19" s="18"/>
      <c r="H19" s="18"/>
    </row>
    <row r="20" spans="1:8" x14ac:dyDescent="0.25">
      <c r="A20" t="s">
        <v>6</v>
      </c>
      <c r="B20" t="s">
        <v>6</v>
      </c>
      <c r="C20" t="s">
        <v>6</v>
      </c>
      <c r="D20" s="51" t="s">
        <v>97</v>
      </c>
      <c r="E20" s="51" t="s">
        <v>98</v>
      </c>
      <c r="F20" s="51" t="s">
        <v>99</v>
      </c>
      <c r="G20" s="51" t="s">
        <v>100</v>
      </c>
      <c r="H20" s="51" t="s">
        <v>101</v>
      </c>
    </row>
    <row r="21" spans="1:8" x14ac:dyDescent="0.25">
      <c r="A21" s="10" t="s">
        <v>271</v>
      </c>
      <c r="D21" s="28">
        <v>0</v>
      </c>
      <c r="E21" s="28">
        <v>0</v>
      </c>
      <c r="F21" s="28">
        <v>0</v>
      </c>
      <c r="G21" s="28">
        <v>0</v>
      </c>
      <c r="H21" s="28">
        <v>0</v>
      </c>
    </row>
    <row r="22" spans="1:8" x14ac:dyDescent="0.25">
      <c r="A22" s="10" t="s">
        <v>235</v>
      </c>
      <c r="D22" s="50" t="s">
        <v>140</v>
      </c>
      <c r="E22" s="50" t="s">
        <v>140</v>
      </c>
      <c r="F22" s="50" t="s">
        <v>140</v>
      </c>
      <c r="G22" s="50" t="s">
        <v>140</v>
      </c>
      <c r="H22" s="50" t="s">
        <v>140</v>
      </c>
    </row>
    <row r="23" spans="1:8" x14ac:dyDescent="0.25">
      <c r="A23" s="10" t="s">
        <v>148</v>
      </c>
      <c r="D23" s="28">
        <v>0</v>
      </c>
      <c r="E23" s="28">
        <v>0</v>
      </c>
      <c r="F23" s="28">
        <v>0</v>
      </c>
      <c r="G23" s="28">
        <v>0</v>
      </c>
      <c r="H23" s="28">
        <v>0</v>
      </c>
    </row>
    <row r="24" spans="1:8" x14ac:dyDescent="0.25">
      <c r="A24" s="10" t="s">
        <v>272</v>
      </c>
      <c r="D24" s="45">
        <v>0</v>
      </c>
      <c r="E24" s="45">
        <v>0</v>
      </c>
      <c r="F24" s="45">
        <v>0</v>
      </c>
      <c r="G24" s="45">
        <v>0</v>
      </c>
      <c r="H24" s="45">
        <v>0</v>
      </c>
    </row>
    <row r="26" spans="1:8" x14ac:dyDescent="0.25">
      <c r="A26" s="13" t="s">
        <v>273</v>
      </c>
      <c r="B26" s="13"/>
      <c r="C26" s="13"/>
      <c r="D26" s="13"/>
      <c r="E26" s="13"/>
      <c r="F26" s="13"/>
      <c r="G26" s="13"/>
      <c r="H26" s="13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274</v>
      </c>
      <c r="C2" s="1"/>
      <c r="D2" s="1"/>
      <c r="E2" s="1"/>
      <c r="F2" s="1"/>
      <c r="G2" s="1"/>
      <c r="H2" s="1"/>
    </row>
    <row r="3" spans="2:8" x14ac:dyDescent="0.25">
      <c r="B3" s="52" t="s">
        <v>1</v>
      </c>
      <c r="C3" s="52"/>
      <c r="D3" s="52"/>
      <c r="E3" s="52"/>
      <c r="F3" s="52"/>
      <c r="G3" s="52"/>
      <c r="H3" s="52"/>
    </row>
    <row r="4" spans="2:6" x14ac:dyDescent="0.25">
      <c r="B4" s="53" t="s">
        <v>275</v>
      </c>
      <c r="D4" s="54" t="s">
        <v>276</v>
      </c>
      <c r="F4" s="55" t="s">
        <v>277</v>
      </c>
    </row>
    <row r="6" ht="24" customHeight="1" spans="2:8" x14ac:dyDescent="0.25">
      <c r="B6" s="18" t="s">
        <v>278</v>
      </c>
      <c r="C6" s="56" t="s">
        <v>97</v>
      </c>
      <c r="D6" s="56" t="s">
        <v>98</v>
      </c>
      <c r="E6" s="56" t="s">
        <v>99</v>
      </c>
      <c r="F6" s="56" t="s">
        <v>100</v>
      </c>
      <c r="G6" s="56" t="s">
        <v>101</v>
      </c>
      <c r="H6" s="56" t="s">
        <v>279</v>
      </c>
    </row>
    <row r="7" spans="2:7" x14ac:dyDescent="0.25">
      <c r="B7" s="10" t="s">
        <v>272</v>
      </c>
      <c r="C7" s="57">
        <v>0</v>
      </c>
      <c r="D7" s="57">
        <v>0</v>
      </c>
      <c r="E7" s="57">
        <v>0</v>
      </c>
      <c r="F7" s="57">
        <v>0</v>
      </c>
      <c r="G7" s="57">
        <v>0</v>
      </c>
    </row>
    <row r="8" spans="2:7" x14ac:dyDescent="0.25">
      <c r="B8" s="10" t="s">
        <v>233</v>
      </c>
      <c r="C8" s="58">
        <v>0</v>
      </c>
      <c r="D8" s="58">
        <v>0</v>
      </c>
      <c r="E8" s="58">
        <v>0</v>
      </c>
      <c r="F8" s="58">
        <v>0</v>
      </c>
      <c r="G8" s="58">
        <v>0</v>
      </c>
    </row>
    <row r="9" spans="2:7" x14ac:dyDescent="0.25">
      <c r="B9" s="10" t="s">
        <v>199</v>
      </c>
      <c r="C9" s="58">
        <v>0</v>
      </c>
      <c r="D9" s="58">
        <v>0</v>
      </c>
      <c r="E9" s="58">
        <v>0</v>
      </c>
      <c r="F9" s="58">
        <v>0</v>
      </c>
      <c r="G9" s="58">
        <v>0</v>
      </c>
    </row>
    <row r="10" spans="2:7" x14ac:dyDescent="0.25">
      <c r="B10" s="10" t="s">
        <v>200</v>
      </c>
      <c r="C10" s="58">
        <v>0</v>
      </c>
      <c r="D10" s="58">
        <v>0</v>
      </c>
      <c r="E10" s="58">
        <v>0</v>
      </c>
      <c r="F10" s="58">
        <v>0</v>
      </c>
      <c r="G10" s="58">
        <v>0</v>
      </c>
    </row>
    <row r="11" spans="2:7" x14ac:dyDescent="0.25">
      <c r="B11" s="10" t="s">
        <v>201</v>
      </c>
      <c r="C11" s="58">
        <v>0</v>
      </c>
      <c r="D11" s="58">
        <v>0</v>
      </c>
      <c r="E11" s="58">
        <v>0</v>
      </c>
      <c r="F11" s="58">
        <v>0</v>
      </c>
      <c r="G11" s="58">
        <v>0</v>
      </c>
    </row>
    <row r="12" spans="2:7" x14ac:dyDescent="0.25">
      <c r="B12" s="9" t="s">
        <v>181</v>
      </c>
      <c r="C12" s="59">
        <v>0</v>
      </c>
      <c r="D12" s="59">
        <v>0</v>
      </c>
      <c r="E12" s="59">
        <v>0</v>
      </c>
      <c r="F12" s="59">
        <v>0</v>
      </c>
      <c r="G12" s="59">
        <v>0</v>
      </c>
    </row>
    <row r="13" spans="2:7" x14ac:dyDescent="0.25">
      <c r="B13" s="9" t="s">
        <v>237</v>
      </c>
      <c r="C13" s="59">
        <v>0</v>
      </c>
      <c r="D13" s="59">
        <v>0</v>
      </c>
      <c r="E13" s="59">
        <v>0</v>
      </c>
      <c r="F13" s="59">
        <v>0</v>
      </c>
      <c r="G13" s="59">
        <v>0</v>
      </c>
    </row>
    <row r="14" spans="2:7" x14ac:dyDescent="0.25">
      <c r="B14" s="9" t="s">
        <v>271</v>
      </c>
      <c r="C14" s="60">
        <v>0</v>
      </c>
      <c r="D14" s="60">
        <v>0</v>
      </c>
      <c r="E14" s="60">
        <v>0</v>
      </c>
      <c r="F14" s="60">
        <v>0</v>
      </c>
      <c r="G14" s="60">
        <v>0</v>
      </c>
    </row>
    <row r="15" spans="2:8" x14ac:dyDescent="0.25">
      <c r="B15" s="9" t="s">
        <v>167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2" t="s">
        <v>280</v>
      </c>
    </row>
    <row r="16" spans="2:7" x14ac:dyDescent="0.25">
      <c r="B16" s="9" t="s">
        <v>184</v>
      </c>
      <c r="C16" s="63">
        <v>0</v>
      </c>
      <c r="D16" s="63">
        <v>0</v>
      </c>
      <c r="E16" s="63">
        <v>0</v>
      </c>
      <c r="F16" s="63">
        <v>0</v>
      </c>
      <c r="G16" s="63">
        <v>0</v>
      </c>
    </row>
    <row r="17" spans="2:7" x14ac:dyDescent="0.25">
      <c r="B17" s="10" t="s">
        <v>281</v>
      </c>
      <c r="C17" s="58">
        <v>0</v>
      </c>
      <c r="D17" s="58">
        <v>0</v>
      </c>
      <c r="E17" s="58">
        <v>0</v>
      </c>
      <c r="F17" s="58">
        <v>0</v>
      </c>
      <c r="G17" s="58">
        <v>0</v>
      </c>
    </row>
    <row r="18" spans="2:8" x14ac:dyDescent="0.25">
      <c r="B18" s="10" t="s">
        <v>282</v>
      </c>
      <c r="C18" s="64">
        <v>0</v>
      </c>
      <c r="D18" s="64">
        <v>0</v>
      </c>
      <c r="E18" s="64">
        <v>0</v>
      </c>
      <c r="F18" s="64">
        <v>0</v>
      </c>
      <c r="G18" s="64">
        <v>0</v>
      </c>
      <c r="H18" s="62" t="s">
        <v>283</v>
      </c>
    </row>
    <row r="19" spans="2:7" x14ac:dyDescent="0.25">
      <c r="B19" s="9" t="s">
        <v>284</v>
      </c>
      <c r="C19" s="65">
        <v>0</v>
      </c>
      <c r="D19" s="65">
        <v>0</v>
      </c>
      <c r="E19" s="65">
        <v>0</v>
      </c>
      <c r="F19" s="65">
        <v>0</v>
      </c>
      <c r="G19" s="65">
        <v>0</v>
      </c>
    </row>
    <row r="20" spans="2:8" x14ac:dyDescent="0.25">
      <c r="B20" s="9" t="s">
        <v>285</v>
      </c>
      <c r="C20" s="66">
        <v>0</v>
      </c>
      <c r="D20" s="66">
        <v>0</v>
      </c>
      <c r="E20" s="66">
        <v>0</v>
      </c>
      <c r="F20" s="66">
        <v>0</v>
      </c>
      <c r="G20" s="66">
        <v>0</v>
      </c>
      <c r="H20" s="62" t="s">
        <v>286</v>
      </c>
    </row>
    <row r="21" spans="2:8" x14ac:dyDescent="0.25">
      <c r="B21" s="9" t="s">
        <v>287</v>
      </c>
      <c r="C21" s="66">
        <v>0</v>
      </c>
      <c r="D21" s="66">
        <v>0</v>
      </c>
      <c r="E21" s="66">
        <v>0</v>
      </c>
      <c r="F21" s="66">
        <v>0</v>
      </c>
      <c r="G21" s="66">
        <v>0</v>
      </c>
      <c r="H21" s="62" t="s">
        <v>288</v>
      </c>
    </row>
    <row r="22" spans="2:8" x14ac:dyDescent="0.25">
      <c r="B22" s="9" t="s">
        <v>289</v>
      </c>
      <c r="C22" s="60">
        <v>0</v>
      </c>
      <c r="D22" s="60">
        <v>0</v>
      </c>
      <c r="E22" s="60">
        <v>0</v>
      </c>
      <c r="F22" s="60">
        <v>0</v>
      </c>
      <c r="G22" s="60">
        <v>0</v>
      </c>
      <c r="H22" s="62" t="s">
        <v>290</v>
      </c>
    </row>
    <row r="23" spans="2:8" x14ac:dyDescent="0.25">
      <c r="B23" s="9" t="s">
        <v>291</v>
      </c>
      <c r="C23" s="67">
        <v>0</v>
      </c>
      <c r="D23" s="67">
        <v>0</v>
      </c>
      <c r="E23" s="67">
        <v>0</v>
      </c>
      <c r="F23" s="67">
        <v>0</v>
      </c>
      <c r="G23" s="67">
        <v>0</v>
      </c>
      <c r="H23" s="62" t="s">
        <v>292</v>
      </c>
    </row>
    <row r="24" spans="2:8" x14ac:dyDescent="0.25">
      <c r="B24" s="9" t="s">
        <v>235</v>
      </c>
      <c r="C24" s="68" t="s">
        <v>140</v>
      </c>
      <c r="D24" s="68" t="s">
        <v>140</v>
      </c>
      <c r="E24" s="68" t="s">
        <v>140</v>
      </c>
      <c r="F24" s="68" t="s">
        <v>140</v>
      </c>
      <c r="G24" s="68" t="s">
        <v>140</v>
      </c>
      <c r="H24" s="62" t="s">
        <v>140</v>
      </c>
    </row>
    <row r="25" spans="2:8" x14ac:dyDescent="0.25">
      <c r="B25" s="9" t="s">
        <v>293</v>
      </c>
      <c r="C25" s="37" t="str">
        <f>IF('5-Year Operating Stmt'!B16&gt;=0,"✓ Break-even","")</f>
        <v>✓ Break-even</v>
      </c>
      <c r="D25" s="69" t="str">
        <f>IF(AND('5-Year Operating Stmt'!C16&gt;=0,'5-Year Operating Stmt'!B16&lt;0),"✓ Break-even","")</f>
        <v>0</v>
      </c>
      <c r="E25" s="69" t="str">
        <f>IF(AND('5-Year Operating Stmt'!D16&gt;=0,'5-Year Operating Stmt'!C16&lt;0),"✓ Break-even","")</f>
        <v>0</v>
      </c>
      <c r="F25" s="69" t="str">
        <f>IF(AND('5-Year Operating Stmt'!E16&gt;=0,'5-Year Operating Stmt'!D16&lt;0),"✓ Break-even","")</f>
        <v>0</v>
      </c>
      <c r="G25" s="69" t="str">
        <f>IF(AND('5-Year Operating Stmt'!F16&gt;=0,'5-Year Operating Stmt'!E16&lt;0),"✓ Break-even","")</f>
        <v>0</v>
      </c>
      <c r="H25" s="62" t="s">
        <v>97</v>
      </c>
    </row>
    <row r="26" spans="2:8" x14ac:dyDescent="0.25">
      <c r="B26" s="9" t="s">
        <v>294</v>
      </c>
      <c r="C26" s="70" t="s">
        <v>295</v>
      </c>
      <c r="D26" s="70" t="s">
        <v>295</v>
      </c>
      <c r="E26" s="70" t="s">
        <v>295</v>
      </c>
      <c r="F26" s="70" t="s">
        <v>295</v>
      </c>
      <c r="G26" s="70" t="s">
        <v>295</v>
      </c>
      <c r="H26" s="62" t="s">
        <v>296</v>
      </c>
    </row>
    <row r="27" spans="2:8" x14ac:dyDescent="0.25">
      <c r="B27" s="9" t="s">
        <v>238</v>
      </c>
      <c r="C27" s="71">
        <v>365</v>
      </c>
      <c r="D27" s="71">
        <v>365</v>
      </c>
      <c r="E27" s="71">
        <v>365</v>
      </c>
      <c r="F27" s="71">
        <v>365</v>
      </c>
      <c r="G27" s="71">
        <v>365</v>
      </c>
      <c r="H27" s="62" t="s">
        <v>297</v>
      </c>
    </row>
    <row r="29" ht="24" customHeight="1" spans="2:8" x14ac:dyDescent="0.25">
      <c r="B29" s="18" t="s">
        <v>298</v>
      </c>
      <c r="C29" s="18" t="s">
        <v>299</v>
      </c>
      <c r="D29" s="18" t="s">
        <v>300</v>
      </c>
      <c r="E29" s="18"/>
      <c r="F29" s="18" t="s">
        <v>301</v>
      </c>
      <c r="G29" s="18"/>
      <c r="H29" s="18"/>
    </row>
    <row r="30" ht="45" customHeight="1" spans="2:8" x14ac:dyDescent="0.25">
      <c r="B30" s="39" t="s">
        <v>302</v>
      </c>
      <c r="C30" s="72" t="s">
        <v>303</v>
      </c>
      <c r="D30" s="73" t="s">
        <v>304</v>
      </c>
      <c r="E30" s="73"/>
      <c r="F30" s="74" t="s">
        <v>305</v>
      </c>
      <c r="G30" s="74"/>
      <c r="H30" s="74"/>
    </row>
    <row r="31" ht="45" customHeight="1" spans="2:8" x14ac:dyDescent="0.25">
      <c r="B31" s="39" t="s">
        <v>306</v>
      </c>
      <c r="C31" s="72" t="s">
        <v>303</v>
      </c>
      <c r="D31" s="73" t="s">
        <v>307</v>
      </c>
      <c r="E31" s="73"/>
      <c r="F31" s="74" t="s">
        <v>308</v>
      </c>
      <c r="G31" s="74"/>
      <c r="H31" s="74"/>
    </row>
    <row r="32" ht="45" customHeight="1" spans="2:8" x14ac:dyDescent="0.25">
      <c r="B32" s="39" t="s">
        <v>309</v>
      </c>
      <c r="C32" s="37" t="s">
        <v>310</v>
      </c>
      <c r="D32" s="73" t="s">
        <v>311</v>
      </c>
      <c r="E32" s="73"/>
      <c r="F32" s="74" t="s">
        <v>312</v>
      </c>
      <c r="G32" s="74"/>
      <c r="H32" s="74"/>
    </row>
    <row r="33" ht="45" customHeight="1" spans="2:8" x14ac:dyDescent="0.25">
      <c r="B33" s="39" t="s">
        <v>313</v>
      </c>
      <c r="C33" s="37" t="s">
        <v>310</v>
      </c>
      <c r="D33" s="73" t="s">
        <v>314</v>
      </c>
      <c r="E33" s="73"/>
      <c r="F33" s="74" t="s">
        <v>315</v>
      </c>
      <c r="G33" s="74"/>
      <c r="H33" s="74"/>
    </row>
    <row r="34" ht="45" customHeight="1" spans="2:8" x14ac:dyDescent="0.25">
      <c r="B34" s="39" t="s">
        <v>316</v>
      </c>
      <c r="C34" s="37" t="s">
        <v>310</v>
      </c>
      <c r="D34" s="73" t="s">
        <v>317</v>
      </c>
      <c r="E34" s="73"/>
      <c r="F34" s="74" t="s">
        <v>318</v>
      </c>
      <c r="G34" s="74"/>
      <c r="H34" s="74"/>
    </row>
    <row r="35" ht="45" customHeight="1" spans="2:8" x14ac:dyDescent="0.25">
      <c r="B35" s="39" t="s">
        <v>319</v>
      </c>
      <c r="C35" s="75" t="s">
        <v>320</v>
      </c>
      <c r="D35" s="73" t="s">
        <v>321</v>
      </c>
      <c r="E35" s="73"/>
      <c r="F35" s="74" t="s">
        <v>322</v>
      </c>
      <c r="G35" s="74"/>
      <c r="H35" s="74"/>
    </row>
    <row r="37" spans="2:6" x14ac:dyDescent="0.25">
      <c r="B37" s="39" t="s">
        <v>323</v>
      </c>
      <c r="C37" s="9" t="s">
        <v>324</v>
      </c>
      <c r="D37" s="9"/>
      <c r="E37" s="9"/>
      <c r="F37" s="9"/>
    </row>
    <row r="39" spans="2:8" x14ac:dyDescent="0.25">
      <c r="B39" s="76" t="s">
        <v>325</v>
      </c>
      <c r="C39" s="76"/>
      <c r="D39" s="76"/>
      <c r="E39" s="76"/>
      <c r="F39" s="76"/>
      <c r="G39" s="76"/>
      <c r="H39" s="76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2026-03-27T03:41:32Z</dcterms:created>
  <dcterms:modified xsi:type="dcterms:W3CDTF">2026-03-27T03:41:32Z</dcterms:modified>
</cp:coreProperties>
</file>