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5" name="Cover" state="visible" r:id="rId4"/>
    <sheet sheetId="1" name="Assumptions" state="visible" r:id="rId5"/>
    <sheet sheetId="2" name="Financial Model" state="visible" r:id="rId6"/>
    <sheet sheetId="3" name="Summary" state="visible" r:id="rId7"/>
    <sheet sheetId="4" name="Consultant Notes" state="visible" r:id="rId8"/>
    <sheet sheetId="6" name="Financial Health" state="visible" r:id="rId9"/>
  </sheets>
  <definedNames>
    <definedName name="_xlnm.Print_Area" localSheetId="1">'Assumptions'!$A1:$E25</definedName>
    <definedName name="_xlnm.Print_Titles" localSheetId="1">'Assumptions'!$1:$1</definedName>
    <definedName name="_xlnm.Print_Area" localSheetId="2">'Financial Model'!$A1:$F10</definedName>
    <definedName name="_xlnm.Print_Titles" localSheetId="2">'Financial Model'!$1:$1</definedName>
    <definedName name="_xlnm.Print_Area" localSheetId="3">'Summary'!$A1:$F37</definedName>
    <definedName name="_xlnm.Print_Titles" localSheetId="3">'Summary'!$1:$1</definedName>
    <definedName name="_xlnm.Print_Area" localSheetId="4">'Consultant Notes'!$A1:$B21</definedName>
    <definedName name="_xlnm.Print_Titles" localSheetId="4">'Consultant Notes'!$1:$1</definedName>
    <definedName name="_xlnm.Print_Area" localSheetId="5">'Financial Health'!$A1:$H39</definedName>
    <definedName name="_xlnm.Print_Titles" localSheetId="5">'Financial Health'!$1:$1</definedName>
  </definedNames>
  <calcPr calcId="171027" fullCalcOnLoad="1"/>
</workbook>
</file>

<file path=xl/sharedStrings.xml><?xml version="1.0" encoding="utf-8"?>
<sst xmlns="http://schemas.openxmlformats.org/spreadsheetml/2006/main" count="222" uniqueCount="151">
  <si>
    <t>SchoolStack Budget</t>
  </si>
  <si>
    <t>5-Year Financial Model</t>
  </si>
  <si>
    <t>Prepared for</t>
  </si>
  <si>
    <t>School</t>
  </si>
  <si>
    <t/>
  </si>
  <si>
    <t>Date Prepared</t>
  </si>
  <si>
    <t>March 27, 2026</t>
  </si>
  <si>
    <t>Lender Readiness</t>
  </si>
  <si>
    <t>Not Yet Ready</t>
  </si>
  <si>
    <t>TABLE OF CONTENTS</t>
  </si>
  <si>
    <t>Assumptions</t>
  </si>
  <si>
    <t>Financial Model</t>
  </si>
  <si>
    <t>Summary</t>
  </si>
  <si>
    <t>Consultant Notes</t>
  </si>
  <si>
    <t>Generated by SchoolStack Budget  •  budget.schoolstack.ai</t>
  </si>
  <si>
    <t>SchoolStack Budget - Assumptions</t>
  </si>
  <si>
    <t>Editable assumption — change this value</t>
  </si>
  <si>
    <t>Calculated — driven by formula</t>
  </si>
  <si>
    <t>SCHOOL INFORMATION</t>
  </si>
  <si>
    <t>School Name</t>
  </si>
  <si>
    <t>State</t>
  </si>
  <si>
    <t>School Type</t>
  </si>
  <si>
    <t>Entity Type</t>
  </si>
  <si>
    <t>School Stage</t>
  </si>
  <si>
    <t>New School</t>
  </si>
  <si>
    <t>Opening Year</t>
  </si>
  <si>
    <t>Current Students</t>
  </si>
  <si>
    <t>Max Student Capacity</t>
  </si>
  <si>
    <t>Fiscal Year Start</t>
  </si>
  <si>
    <t>July</t>
  </si>
  <si>
    <t>ENROLLMENT BY YEAR</t>
  </si>
  <si>
    <t>Year 1 Students</t>
  </si>
  <si>
    <t>Year 2 Students</t>
  </si>
  <si>
    <t>Year 3 Students</t>
  </si>
  <si>
    <t>Year 4 Students</t>
  </si>
  <si>
    <t>Year 5 Students</t>
  </si>
  <si>
    <t>GROWTH &amp; ESCALATION ASSUMPTIONS</t>
  </si>
  <si>
    <t>Annual Salary Escalation</t>
  </si>
  <si>
    <t>General Cost Inflation</t>
  </si>
  <si>
    <t>Year 1 Proration Factor</t>
  </si>
  <si>
    <t>Projection Period</t>
  </si>
  <si>
    <t>5 Years</t>
  </si>
  <si>
    <t>Year 1</t>
  </si>
  <si>
    <t>Year 2</t>
  </si>
  <si>
    <t>Year 3</t>
  </si>
  <si>
    <t>Year 4</t>
  </si>
  <si>
    <t>Year 5</t>
  </si>
  <si>
    <t>Students</t>
  </si>
  <si>
    <t>Net Revenue</t>
  </si>
  <si>
    <t>Staffing Costs</t>
  </si>
  <si>
    <t>Operating Expenses</t>
  </si>
  <si>
    <t>Total Expenses</t>
  </si>
  <si>
    <t>Profit</t>
  </si>
  <si>
    <t>Cumulative Profit</t>
  </si>
  <si>
    <t>Operating Reserve (Months)</t>
  </si>
  <si>
    <t>Break-even</t>
  </si>
  <si>
    <t>Financial Model Summary</t>
  </si>
  <si>
    <t>Prepared by SchoolStack Budget</t>
  </si>
  <si>
    <t>N/A</t>
  </si>
  <si>
    <t>ENROLLMENT TREND</t>
  </si>
  <si>
    <t>Enrollment Growth %</t>
  </si>
  <si>
    <t>-</t>
  </si>
  <si>
    <t>Total Revenue</t>
  </si>
  <si>
    <t>Personnel Costs</t>
  </si>
  <si>
    <t>KEY RATIOS</t>
  </si>
  <si>
    <t>Revenue per Student</t>
  </si>
  <si>
    <t>Personnel Cost as % of Revenue</t>
  </si>
  <si>
    <t>Operating Cost as % of Revenue</t>
  </si>
  <si>
    <t>Profit Margin %</t>
  </si>
  <si>
    <t>LENDER READINESS ASSESSMENT</t>
  </si>
  <si>
    <t>Readiness Status</t>
  </si>
  <si>
    <t>Assessment</t>
  </si>
  <si>
    <t>Your model is a solid starting point, and now it's time to refine it. Focus on the high-priority recommendations first, and you'll see real progress. Every great school's financial story started as a first draft.</t>
  </si>
  <si>
    <t>Biggest Strength</t>
  </si>
  <si>
    <t>Well-controlled staffing costs</t>
  </si>
  <si>
    <t>Biggest Risk</t>
  </si>
  <si>
    <t>No facility location secured yet, so facility costs are estimated</t>
  </si>
  <si>
    <t>SchoolStack Budget - Consultant Notes</t>
  </si>
  <si>
    <t>EXECUTIVE SUMMARY</t>
  </si>
  <si>
    <t>Your school projects $0 in Year 5 revenue, with 4 of 9 key metrics that need attention. This is a starting point, and working through the recommendations below will help you build the financial story your mission deserves.</t>
  </si>
  <si>
    <t>LENDER READINESS</t>
  </si>
  <si>
    <t>Status</t>
  </si>
  <si>
    <t>RECOMMENDATIONS</t>
  </si>
  <si>
    <t>[HIGH] Grow Your Per-Student Revenue</t>
  </si>
  <si>
    <t>At $0 per student, there's an opportunity to strengthen this number. Consider modest tuition adjustments, ESA/voucher programs in your state, or fee-based enrichment programs that add value for families.</t>
  </si>
  <si>
    <t>[MEDIUM] Grow Your Cash Reserve Over Time</t>
  </si>
  <si>
    <t>By Year 5, your projected reserve covers 0.0 months of expenses. The goal is 3–6 months, and you'll get there by building surplus in your early profit years. Every month of reserve you add makes your school more resilient.</t>
  </si>
  <si>
    <t>[HIGH] Secure Your Facility Location</t>
  </si>
  <si>
    <t>Your model is based on an estimated facility budget. Once you have a signed lease or purchase agreement, update your model with actual numbers because real lease terms make your projections far more reliable.</t>
  </si>
  <si>
    <t>[HIGH] No facility costs in your model</t>
  </si>
  <si>
    <t>Your model doesn't include rent or facility expenses. Use SchoolStack Space (space.schoolstack.ai) to calculate how much space your school needs and estimate facility costs before finalizing your budget.</t>
  </si>
  <si>
    <t>School — Financial Health Dashboard</t>
  </si>
  <si>
    <t>Generated March 27, 2026</t>
  </si>
  <si>
    <t>● Green = healthy</t>
  </si>
  <si>
    <t>◐ Yellow = monitor</t>
  </si>
  <si>
    <t>○ Red = action needed</t>
  </si>
  <si>
    <t>Metric</t>
  </si>
  <si>
    <t>Benchmark</t>
  </si>
  <si>
    <t>Enrollment</t>
  </si>
  <si>
    <t>Revenue</t>
  </si>
  <si>
    <t>Personnel</t>
  </si>
  <si>
    <t>Debt Service</t>
  </si>
  <si>
    <t>Net Income</t>
  </si>
  <si>
    <t>Ending Cash</t>
  </si>
  <si>
    <t>Net Margin</t>
  </si>
  <si>
    <t>≥ $10,000</t>
  </si>
  <si>
    <t>Cost per Student</t>
  </si>
  <si>
    <t xml:space="preserve">  Instructional / Student</t>
  </si>
  <si>
    <t xml:space="preserve">  Facility / Student</t>
  </si>
  <si>
    <t>≤ $2,000 / $2k–$3.5k / &gt; $3,500</t>
  </si>
  <si>
    <t>Surplus per Student</t>
  </si>
  <si>
    <t>Payroll %</t>
  </si>
  <si>
    <t>≤ 55%</t>
  </si>
  <si>
    <t>Facility %</t>
  </si>
  <si>
    <t>≤ 15%</t>
  </si>
  <si>
    <t>Operating Margin</t>
  </si>
  <si>
    <t>≥ 10%</t>
  </si>
  <si>
    <t>Revenue Sources</t>
  </si>
  <si>
    <t>≥ 3 sources</t>
  </si>
  <si>
    <t>DSCR</t>
  </si>
  <si>
    <t>Break-even Year</t>
  </si>
  <si>
    <t>Cash Runway (Months)</t>
  </si>
  <si>
    <t>60+</t>
  </si>
  <si>
    <t>≥ 24 months</t>
  </si>
  <si>
    <t>Days Cash on Hand</t>
  </si>
  <si>
    <t>≥ 90 days</t>
  </si>
  <si>
    <t>FINANCIAL HEALTH SIGNALS</t>
  </si>
  <si>
    <t>Watch Item</t>
  </si>
  <si>
    <t>Viability</t>
  </si>
  <si>
    <t>◐ Watch closely</t>
  </si>
  <si>
    <t>The model reaches break-even by Year 1, but margins remain thin. A revenue shortfall could push it negative.</t>
  </si>
  <si>
    <t>Track monthly revenue vs. budget and have a contingency plan if you miss targets.</t>
  </si>
  <si>
    <t>Liquidity</t>
  </si>
  <si>
    <t>Cash stays positive but reserves are thin. Build a buffer before unexpected costs arise.</t>
  </si>
  <si>
    <t>Target at least 1 month of operating reserves.</t>
  </si>
  <si>
    <t>Staffing Burden</t>
  </si>
  <si>
    <t>● Healthy</t>
  </si>
  <si>
    <t>Staffing at 0% of revenue leaves room for facilities, programs, and reserves.</t>
  </si>
  <si>
    <t>As you add staff, ensure staffing stays below 60% of revenue.</t>
  </si>
  <si>
    <t>Facility Burden</t>
  </si>
  <si>
    <t>Facility costs at 0% of revenue are well-managed and leave budget for programs.</t>
  </si>
  <si>
    <t>Watch for rent escalation clauses that could push this higher over time.</t>
  </si>
  <si>
    <t>Revenue Concentration</t>
  </si>
  <si>
    <t>Revenue is anchored to enrollment-driven income — the strongest foundation for a school model. A focused revenue stream is a strength when backed by dependable demand.</t>
  </si>
  <si>
    <t>Continue to pressure-test enrollment assumptions: recruitment pipeline, waitlist depth, retention rates, and collection reliability.</t>
  </si>
  <si>
    <t>Reserve Strength</t>
  </si>
  <si>
    <t>○ Needs attention</t>
  </si>
  <si>
    <t>Less than 1 month of reserves by Year 5. The school has no financial cushion.</t>
  </si>
  <si>
    <t>Prioritize building reserves — even a small surplus each year compounds into meaningful protection.</t>
  </si>
  <si>
    <t>3 Healthy  |  2 Watch  |  1 Needs Attention</t>
  </si>
  <si>
    <t>Built by SchoolStack Budget  •  budget.schoolstack.ai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</si>
</sst>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quot;-&quot;"/>
    <numFmt numFmtId="165" formatCode="0.0%;[Red](0.0%);&quot;-&quot;"/>
    <numFmt numFmtId="166" formatCode="_(&quot;$&quot;* #,##0_);_(&quot;$&quot;* (#,##0);_(&quot;$&quot;* &quot;-&quot;??_);_(@_)"/>
    <numFmt numFmtId="167" formatCode="0.0"/>
  </numFmts>
  <fonts count="23" x14ac:knownFonts="1">
    <font>
      <color theme="1"/>
      <family val="2"/>
      <scheme val="minor"/>
      <sz val="11"/>
      <name val="Calibri"/>
    </font>
    <font>
      <b/>
      <color rgb="FF1E293B"/>
      <sz val="24"/>
      <name val="Calibri"/>
    </font>
    <font>
      <b/>
      <color rgb="FF64748B"/>
      <sz val="16"/>
      <name val="Calibri"/>
    </font>
    <font>
      <color rgb="FF94A3B8"/>
      <sz val="11"/>
      <name val="Calibri"/>
    </font>
    <font>
      <b/>
      <color rgb="FF1E293B"/>
      <sz val="18"/>
      <name val="Calibri"/>
    </font>
    <font>
      <color rgb="FF64748B"/>
      <sz val="11"/>
      <name val="Calibri"/>
    </font>
    <font>
      <b/>
      <color rgb="FF1E293B"/>
      <sz val="11"/>
      <name val="Calibri"/>
    </font>
    <font>
      <b/>
      <color rgb="FFDC2626"/>
      <sz val="14"/>
      <name val="Calibri"/>
    </font>
    <font>
      <u/>
      <color rgb="FF2563EB"/>
      <sz val="11"/>
      <name val="Calibri"/>
    </font>
    <font>
      <i/>
      <color rgb="FF9CA3AF"/>
      <sz val="11"/>
      <name val="Calibri"/>
    </font>
    <font>
      <b/>
      <color rgb="FF1E293B"/>
      <sz val="14"/>
      <name val="Calibri"/>
    </font>
    <font>
      <i/>
      <color rgb="FF666666"/>
      <sz val="11"/>
      <name val="Calibri"/>
    </font>
    <font>
      <sz val="11"/>
      <name val="Calibri"/>
    </font>
    <font>
      <color rgb="FF1E3A5F"/>
      <sz val="11"/>
      <name val="Calibri"/>
    </font>
    <font>
      <color rgb="FF1E293B"/>
      <sz val="11"/>
      <name val="Calibri"/>
    </font>
    <font>
      <b/>
      <color rgb="FFFFFFFF"/>
      <sz val="11"/>
      <name val="Calibri"/>
    </font>
    <font>
      <b/>
      <sz val="11"/>
      <name val="Calibri"/>
    </font>
    <font>
      <b/>
      <color rgb="FF16A34A"/>
      <sz val="11"/>
      <name val="Calibri"/>
    </font>
    <font>
      <b/>
      <color rgb="FF1E293B"/>
      <sz val="16"/>
      <name val="Calibri"/>
    </font>
    <font>
      <i/>
      <color rgb="FF888888"/>
      <sz val="11"/>
      <name val="Calibri"/>
    </font>
    <font>
      <b/>
      <color rgb="FFDC2626"/>
      <sz val="11"/>
      <name val="Calibri"/>
    </font>
    <font>
      <i/>
      <color rgb="FF6B7280"/>
      <sz val="11"/>
      <name val="Calibri"/>
    </font>
    <font>
      <b/>
      <color rgb="FFD97706"/>
      <sz val="11"/>
      <name val="Calibri"/>
    </font>
  </fonts>
  <fills count="9">
    <fill>
      <patternFill patternType="none"/>
    </fill>
    <fill>
      <patternFill patternType="gray125"/>
    </fill>
    <fill>
      <patternFill patternType="solid">
        <fgColor rgb="FFE8EDF2"/>
      </patternFill>
    </fill>
    <fill>
      <patternFill patternType="solid">
        <fgColor rgb="FFDBEAFE"/>
      </patternFill>
    </fill>
    <fill>
      <patternFill patternType="solid">
        <fgColor rgb="FFFFFFFF"/>
      </patternFill>
    </fill>
    <fill>
      <patternFill patternType="solid">
        <fgColor rgb="FF1E293B"/>
      </patternFill>
    </fill>
    <fill>
      <patternFill patternType="solid">
        <fgColor rgb="FFE8F5E9"/>
      </patternFill>
    </fill>
    <fill>
      <patternFill patternType="solid">
        <fgColor rgb="FFFFF8E1"/>
      </patternFill>
    </fill>
    <fill>
      <patternFill patternType="solid">
        <fgColor rgb="FFFCE4EC"/>
      </patternFill>
    </fill>
  </fills>
  <borders count="7">
    <border>
      <left/>
      <right/>
      <top/>
      <bottom/>
      <diagonal/>
    </border>
    <border>
      <left/>
      <right/>
      <top/>
      <bottom style="medium">
        <color rgb="FFD97706"/>
      </bottom>
      <diagonal/>
    </border>
    <border>
      <left style="thin">
        <color rgb="FFD0D0D0"/>
      </left>
      <right style="thin">
        <color rgb="FFD0D0D0"/>
      </right>
      <top style="thin">
        <color rgb="FFD0D0D0"/>
      </top>
      <bottom style="thin">
        <color rgb="FFD0D0D0"/>
      </bottom>
      <diagonal/>
    </border>
    <border>
      <left/>
      <right/>
      <top/>
      <bottom style="thin">
        <color rgb="FF93C5FD"/>
      </bottom>
      <diagonal/>
    </border>
    <border>
      <left/>
      <right/>
      <top/>
      <bottom style="thin">
        <color rgb="FFD0D0D0"/>
      </bottom>
      <diagonal/>
    </border>
    <border>
      <left/>
      <right/>
      <top/>
      <bottom style="thin">
        <color rgb="FFE2E8F0"/>
      </bottom>
      <diagonal/>
    </border>
    <border>
      <left style="thin">
        <color rgb="FFD0D0D0"/>
      </left>
      <right style="thin">
        <color rgb="FFD0D0D0"/>
      </right>
      <top style="thin">
        <color rgb="FF1E293B"/>
      </top>
      <bottom style="double">
        <color rgb="FF1E293B"/>
      </bottom>
      <diagonal/>
    </border>
  </borders>
  <cellStyleXfs count="1">
    <xf numFmtId="0" fontId="0" fillId="0" borderId="0"/>
  </cellStyleXfs>
  <cellXfs count="68">
    <xf numFmtId="0" fontId="0" fillId="0" borderId="0" xfId="0"/>
    <xf numFmtId="0" fontId="1" fillId="0" borderId="0" xfId="0" applyFont="1"/>
    <xf numFmtId="0" fontId="2" fillId="0" borderId="0" xfId="0" applyFont="1"/>
    <xf numFmtId="0" fontId="0" fillId="0" borderId="1" xfId="0" applyBorder="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6" fillId="2" borderId="2" xfId="0" applyFont="1" applyFill="1" applyBorder="1"/>
    <xf numFmtId="0" fontId="8" fillId="0" borderId="2" xfId="0" applyFont="1" applyBorder="1"/>
    <xf numFmtId="0" fontId="0" fillId="0" borderId="2" xfId="0" applyBorder="1"/>
    <xf numFmtId="0" fontId="9" fillId="0" borderId="0" xfId="0" applyFont="1"/>
    <xf numFmtId="0" fontId="10" fillId="0" borderId="0" xfId="0" applyFont="1"/>
    <xf numFmtId="0" fontId="0" fillId="3" borderId="3" xfId="0" applyFill="1" applyBorder="1"/>
    <xf numFmtId="0" fontId="11" fillId="0" borderId="0" xfId="0" applyFont="1"/>
    <xf numFmtId="0" fontId="0" fillId="4" borderId="4" xfId="0" applyFill="1" applyBorder="1"/>
    <xf numFmtId="0" fontId="12" fillId="0" borderId="0" xfId="0" applyFont="1"/>
    <xf numFmtId="0" fontId="13" fillId="3" borderId="3" xfId="0" applyFont="1" applyFill="1" applyBorder="1"/>
    <xf numFmtId="164" fontId="13" fillId="3" borderId="3" xfId="0" applyNumberFormat="1" applyFont="1" applyFill="1" applyBorder="1"/>
    <xf numFmtId="165" fontId="13" fillId="3" borderId="3" xfId="0" applyNumberFormat="1" applyFont="1" applyFill="1" applyBorder="1"/>
    <xf numFmtId="2" fontId="13" fillId="3" borderId="3" xfId="0" applyNumberFormat="1" applyFont="1" applyFill="1" applyBorder="1"/>
    <xf numFmtId="0" fontId="14" fillId="0" borderId="0" xfId="0" applyFont="1"/>
    <xf numFmtId="0" fontId="15" fillId="5" borderId="2" xfId="0" applyFont="1" applyFill="1" applyBorder="1" applyAlignment="1">
      <alignment horizontal="center" vertical="center"/>
    </xf>
    <xf numFmtId="164" fontId="12" fillId="0" borderId="2" xfId="0" applyNumberFormat="1" applyFont="1" applyBorder="1"/>
    <xf numFmtId="166" fontId="12" fillId="0" borderId="2" xfId="0" applyNumberFormat="1" applyFont="1" applyBorder="1"/>
    <xf numFmtId="166" fontId="6" fillId="2" borderId="2" xfId="0" applyNumberFormat="1" applyFont="1" applyFill="1" applyBorder="1"/>
    <xf numFmtId="167" fontId="12" fillId="0" borderId="2" xfId="0" applyNumberFormat="1" applyFont="1" applyBorder="1"/>
    <xf numFmtId="0" fontId="16" fillId="0" borderId="0" xfId="0" applyFont="1"/>
    <xf numFmtId="0" fontId="17" fillId="0" borderId="5" xfId="0" applyFont="1" applyBorder="1" applyAlignment="1">
      <alignment horizontal="center"/>
    </xf>
    <xf numFmtId="0" fontId="12" fillId="0" borderId="5" xfId="0" applyFont="1" applyBorder="1" applyAlignment="1">
      <alignment horizontal="center"/>
    </xf>
    <xf numFmtId="0" fontId="18" fillId="0" borderId="0" xfId="0" applyFont="1"/>
    <xf numFmtId="0" fontId="19" fillId="0" borderId="0" xfId="0" applyFont="1"/>
    <xf numFmtId="0" fontId="12" fillId="0" borderId="2" xfId="0" applyFont="1" applyBorder="1"/>
    <xf numFmtId="165" fontId="12" fillId="0" borderId="2" xfId="0" applyNumberFormat="1" applyFont="1" applyBorder="1"/>
    <xf numFmtId="166" fontId="16" fillId="0" borderId="6" xfId="0" applyNumberFormat="1" applyFont="1" applyBorder="1"/>
    <xf numFmtId="167" fontId="16" fillId="0" borderId="2" xfId="0" applyNumberFormat="1" applyFont="1" applyBorder="1"/>
    <xf numFmtId="165" fontId="16" fillId="0" borderId="2" xfId="0" applyNumberFormat="1" applyFont="1" applyBorder="1"/>
    <xf numFmtId="0" fontId="20" fillId="0" borderId="0" xfId="0" applyFont="1"/>
    <xf numFmtId="0" fontId="0" fillId="0" borderId="0" xfId="0" applyAlignment="1">
      <alignment vertical="top" wrapText="1"/>
    </xf>
    <xf numFmtId="0" fontId="12" fillId="0" borderId="0" xfId="0" applyFont="1" applyAlignment="1">
      <alignment vertical="top" wrapText="1"/>
    </xf>
    <xf numFmtId="0" fontId="21" fillId="0" borderId="0" xfId="0" applyFont="1"/>
    <xf numFmtId="0" fontId="17" fillId="0" borderId="0" xfId="0" applyFont="1"/>
    <xf numFmtId="0" fontId="22" fillId="0" borderId="0" xfId="0" applyFont="1"/>
    <xf numFmtId="0" fontId="6" fillId="2" borderId="2" xfId="0" applyFont="1" applyFill="1" applyBorder="1" applyAlignment="1">
      <alignment horizontal="center"/>
    </xf>
    <xf numFmtId="164" fontId="12" fillId="0" borderId="2" xfId="0" applyNumberFormat="1" applyFont="1" applyBorder="1" applyAlignment="1">
      <alignment horizontal="right"/>
    </xf>
    <xf numFmtId="166" fontId="12" fillId="0" borderId="2" xfId="0" applyNumberFormat="1" applyFont="1" applyBorder="1" applyAlignment="1">
      <alignment horizontal="right"/>
    </xf>
    <xf numFmtId="0" fontId="16" fillId="0" borderId="2" xfId="0" applyFont="1" applyBorder="1"/>
    <xf numFmtId="166" fontId="16" fillId="6" borderId="6" xfId="0" applyNumberFormat="1" applyFont="1" applyFill="1" applyBorder="1" applyAlignment="1">
      <alignment horizontal="right"/>
    </xf>
    <xf numFmtId="165" fontId="16" fillId="7" borderId="6" xfId="0" applyNumberFormat="1" applyFont="1" applyFill="1" applyBorder="1" applyAlignment="1">
      <alignment horizontal="right"/>
    </xf>
    <xf numFmtId="166" fontId="12" fillId="8" borderId="2" xfId="0" applyNumberFormat="1" applyFont="1" applyFill="1" applyBorder="1" applyAlignment="1">
      <alignment horizontal="right"/>
    </xf>
    <xf numFmtId="0" fontId="21" fillId="0" borderId="2" xfId="0" applyFont="1" applyBorder="1"/>
    <xf numFmtId="166" fontId="16" fillId="0" borderId="2" xfId="0" applyNumberFormat="1" applyFont="1" applyBorder="1" applyAlignment="1">
      <alignment horizontal="right"/>
    </xf>
    <xf numFmtId="166" fontId="12" fillId="6" borderId="2" xfId="0" applyNumberFormat="1" applyFont="1" applyFill="1" applyBorder="1" applyAlignment="1">
      <alignment horizontal="right"/>
    </xf>
    <xf numFmtId="166" fontId="16" fillId="6" borderId="2" xfId="0" applyNumberFormat="1" applyFont="1" applyFill="1" applyBorder="1" applyAlignment="1">
      <alignment horizontal="right"/>
    </xf>
    <xf numFmtId="165" fontId="16" fillId="6" borderId="6" xfId="0" applyNumberFormat="1" applyFont="1" applyFill="1" applyBorder="1" applyAlignment="1">
      <alignment horizontal="right"/>
    </xf>
    <xf numFmtId="164" fontId="16" fillId="8" borderId="6" xfId="0" applyNumberFormat="1" applyFont="1" applyFill="1" applyBorder="1" applyAlignment="1">
      <alignment horizontal="right"/>
    </xf>
    <xf numFmtId="49" fontId="16" fillId="0" borderId="6" xfId="0" applyNumberFormat="1" applyFont="1" applyBorder="1" applyAlignment="1">
      <alignment horizontal="right"/>
    </xf>
    <xf numFmtId="0" fontId="17" fillId="0" borderId="2" xfId="0" applyFont="1" applyBorder="1" applyAlignment="1">
      <alignment horizontal="center"/>
    </xf>
    <xf numFmtId="0" fontId="12" fillId="0" borderId="2" xfId="0" applyFont="1" applyBorder="1" applyAlignment="1">
      <alignment horizontal="center"/>
    </xf>
    <xf numFmtId="49" fontId="16" fillId="6" borderId="6" xfId="0" applyNumberFormat="1" applyFont="1" applyFill="1" applyBorder="1" applyAlignment="1">
      <alignment horizontal="right"/>
    </xf>
    <xf numFmtId="164" fontId="16" fillId="6" borderId="6" xfId="0" applyNumberFormat="1" applyFont="1" applyFill="1" applyBorder="1" applyAlignment="1">
      <alignment horizontal="right"/>
    </xf>
    <xf numFmtId="0" fontId="6" fillId="0" borderId="2" xfId="0" applyFont="1" applyBorder="1"/>
    <xf numFmtId="0" fontId="22" fillId="0" borderId="2" xfId="0" applyFont="1" applyBorder="1" applyAlignment="1">
      <alignment horizontal="center"/>
    </xf>
    <xf numFmtId="0" fontId="12" fillId="0" borderId="2" xfId="0" applyFont="1" applyBorder="1" applyAlignment="1">
      <alignment wrapText="1"/>
    </xf>
    <xf numFmtId="0" fontId="21" fillId="0" borderId="2" xfId="0" applyFont="1" applyBorder="1" applyAlignment="1">
      <alignment wrapText="1"/>
    </xf>
    <xf numFmtId="0" fontId="20" fillId="0" borderId="2" xfId="0" applyFont="1" applyBorder="1" applyAlignment="1">
      <alignment horizontal="center"/>
    </xf>
    <xf numFmtId="0" fontId="9" fillId="0" borderId="0" xfId="0" applyFont="1" applyAlignment="1">
      <alignment horizontal="center"/>
    </xf>
  </cellXfs>
  <cellStyles count="1">
    <cellStyle name="Normal" xfId="0" builtinId="0"/>
  </cellStyles>
  <dxfs count="21">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
      <fill>
        <patternFill patternType="solid">
          <bgColor rgb="FFE8F5E9"/>
        </patternFill>
      </fill>
    </dxf>
    <dxf>
      <fill>
        <patternFill patternType="solid">
          <bgColor rgb="FFFFF8E1"/>
        </patternFill>
      </fill>
    </dxf>
    <dxf>
      <fill>
        <patternFill patternType="solid">
          <bgColor rgb="FFFCE4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apos;Assumptions&apos;!A1" TargetMode="External"/><Relationship Id="rId2" Type="http://schemas.openxmlformats.org/officeDocument/2006/relationships/hyperlink" Target="#&apos;Financial Model&apos;!A1" TargetMode="External"/><Relationship Id="rId3" Type="http://schemas.openxmlformats.org/officeDocument/2006/relationships/hyperlink" Target="#&apos;Summary&apos;!A1" TargetMode="External"/><Relationship Id="rId4" Type="http://schemas.openxmlformats.org/officeDocument/2006/relationships/hyperlink" Target="#&apos;Consultant Notes&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5"/>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35" customWidth="1"/>
    <col min="2" max="2" width="25" customWidth="1"/>
  </cols>
  <sheetData>
    <row r="1" ht="32" customHeight="1" spans="1:2" x14ac:dyDescent="0.25">
      <c r="A1" s="13" t="s">
        <v>15</v>
      </c>
      <c r="B1" s="13"/>
    </row>
    <row r="2" spans="1:5" x14ac:dyDescent="0.25">
      <c r="A2" s="14" t="s">
        <v>4</v>
      </c>
      <c r="B2" s="15" t="s">
        <v>16</v>
      </c>
      <c r="D2" s="16" t="s">
        <v>4</v>
      </c>
      <c r="E2" s="15" t="s">
        <v>17</v>
      </c>
    </row>
    <row r="3" ht="24" customHeight="1" spans="1:2" x14ac:dyDescent="0.25">
      <c r="A3" s="9" t="s">
        <v>18</v>
      </c>
      <c r="B3" s="9"/>
    </row>
    <row r="4" spans="1:2" x14ac:dyDescent="0.25">
      <c r="A4" s="17" t="s">
        <v>19</v>
      </c>
      <c r="B4" s="18" t="s">
        <v>4</v>
      </c>
    </row>
    <row r="5" spans="1:2" x14ac:dyDescent="0.25">
      <c r="A5" s="17" t="s">
        <v>20</v>
      </c>
      <c r="B5" s="18" t="s">
        <v>4</v>
      </c>
    </row>
    <row r="6" spans="1:2" x14ac:dyDescent="0.25">
      <c r="A6" s="17" t="s">
        <v>21</v>
      </c>
      <c r="B6" s="18" t="s">
        <v>4</v>
      </c>
    </row>
    <row r="7" spans="1:2" x14ac:dyDescent="0.25">
      <c r="A7" s="17" t="s">
        <v>22</v>
      </c>
      <c r="B7" s="18" t="s">
        <v>4</v>
      </c>
    </row>
    <row r="8" spans="1:2" x14ac:dyDescent="0.25">
      <c r="A8" s="17" t="s">
        <v>23</v>
      </c>
      <c r="B8" s="18" t="s">
        <v>24</v>
      </c>
    </row>
    <row r="9" spans="1:2" x14ac:dyDescent="0.25">
      <c r="A9" s="17" t="s">
        <v>25</v>
      </c>
      <c r="B9" s="18">
        <v>0</v>
      </c>
    </row>
    <row r="10" spans="1:2" x14ac:dyDescent="0.25">
      <c r="A10" s="17" t="s">
        <v>26</v>
      </c>
      <c r="B10" s="18">
        <v>0</v>
      </c>
    </row>
    <row r="11" spans="1:2" x14ac:dyDescent="0.25">
      <c r="A11" s="17" t="s">
        <v>27</v>
      </c>
      <c r="B11" s="18">
        <v>0</v>
      </c>
    </row>
    <row r="12" spans="1:2" x14ac:dyDescent="0.25">
      <c r="A12" s="17" t="s">
        <v>28</v>
      </c>
      <c r="B12" s="18" t="s">
        <v>29</v>
      </c>
    </row>
    <row r="14" ht="24" customHeight="1" spans="1:2" x14ac:dyDescent="0.25">
      <c r="A14" s="9" t="s">
        <v>30</v>
      </c>
      <c r="B14" s="9"/>
    </row>
    <row r="15" spans="1:2" x14ac:dyDescent="0.25">
      <c r="A15" s="17" t="s">
        <v>31</v>
      </c>
      <c r="B15" s="19">
        <v>0</v>
      </c>
    </row>
    <row r="16" spans="1:2" x14ac:dyDescent="0.25">
      <c r="A16" s="17" t="s">
        <v>32</v>
      </c>
      <c r="B16" s="19">
        <v>0</v>
      </c>
    </row>
    <row r="17" spans="1:2" x14ac:dyDescent="0.25">
      <c r="A17" s="17" t="s">
        <v>33</v>
      </c>
      <c r="B17" s="19">
        <v>0</v>
      </c>
    </row>
    <row r="18" spans="1:2" x14ac:dyDescent="0.25">
      <c r="A18" s="17" t="s">
        <v>34</v>
      </c>
      <c r="B18" s="19">
        <v>0</v>
      </c>
    </row>
    <row r="19" spans="1:2" x14ac:dyDescent="0.25">
      <c r="A19" s="17" t="s">
        <v>35</v>
      </c>
      <c r="B19" s="19">
        <v>0</v>
      </c>
    </row>
    <row r="21" ht="24" customHeight="1" spans="1:2" x14ac:dyDescent="0.25">
      <c r="A21" s="9" t="s">
        <v>36</v>
      </c>
      <c r="B21" s="9"/>
    </row>
    <row r="22" spans="1:2" x14ac:dyDescent="0.25">
      <c r="A22" s="17" t="s">
        <v>37</v>
      </c>
      <c r="B22" s="20">
        <v>0</v>
      </c>
    </row>
    <row r="23" spans="1:2" x14ac:dyDescent="0.25">
      <c r="A23" s="17" t="s">
        <v>38</v>
      </c>
      <c r="B23" s="20">
        <v>0</v>
      </c>
    </row>
    <row r="24" spans="1:2" x14ac:dyDescent="0.25">
      <c r="A24" s="17" t="s">
        <v>39</v>
      </c>
      <c r="B24" s="21">
        <v>1</v>
      </c>
    </row>
    <row r="25" spans="1:2" x14ac:dyDescent="0.25">
      <c r="A25" s="17" t="s">
        <v>40</v>
      </c>
      <c r="B25" s="22" t="s">
        <v>41</v>
      </c>
    </row>
  </sheetData>
  <mergeCells count="1">
    <mergeCell ref="A1:B1"/>
  </mergeCells>
  <pageMargins left="0.7" right="0.7" top="0.75" bottom="0.75" header="0.3" footer="0.3"/>
  <pageSetup paperSize="1" orientation="portrait" horizontalDpi="4294967295" verticalDpi="4294967295" scale="100" fitToWidth="1" fitToHeight="0"/>
  <headerFooter>
    <oddHeader>&amp;L&amp;10&amp;BSchool&amp;R&amp;8&amp;IAssumptions</oddHeader>
    <oddFooter>&amp;L&amp;8Built by SchoolStack Budget  •  budget.schoolstack.ai&amp;C&amp;8Page &amp;P of &amp;N&amp;R&amp;8&amp;D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0"/>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35" customWidth="1"/>
    <col min="2" max="6" width="18" customWidth="1"/>
  </cols>
  <sheetData>
    <row r="1" ht="28" customHeight="1" spans="1:6" x14ac:dyDescent="0.25">
      <c r="A1" s="23" t="s">
        <v>1</v>
      </c>
      <c r="B1" s="23" t="s">
        <v>42</v>
      </c>
      <c r="C1" s="23" t="s">
        <v>43</v>
      </c>
      <c r="D1" s="23" t="s">
        <v>44</v>
      </c>
      <c r="E1" s="23" t="s">
        <v>45</v>
      </c>
      <c r="F1" s="23" t="s">
        <v>46</v>
      </c>
    </row>
    <row r="2" spans="1:6" x14ac:dyDescent="0.25">
      <c r="A2" s="17" t="s">
        <v>47</v>
      </c>
      <c r="B2" s="24">
        <v>0</v>
      </c>
      <c r="C2" s="24">
        <v>0</v>
      </c>
      <c r="D2" s="24">
        <v>0</v>
      </c>
      <c r="E2" s="24">
        <v>0</v>
      </c>
      <c r="F2" s="24">
        <v>0</v>
      </c>
    </row>
    <row r="3" spans="1:6" x14ac:dyDescent="0.25">
      <c r="A3" s="17" t="s">
        <v>48</v>
      </c>
      <c r="B3" s="25">
        <v>0</v>
      </c>
      <c r="C3" s="25">
        <v>0</v>
      </c>
      <c r="D3" s="25">
        <v>0</v>
      </c>
      <c r="E3" s="25">
        <v>0</v>
      </c>
      <c r="F3" s="25">
        <v>0</v>
      </c>
    </row>
    <row r="4" spans="1:6" x14ac:dyDescent="0.25">
      <c r="A4" s="17" t="s">
        <v>49</v>
      </c>
      <c r="B4" s="25">
        <v>0</v>
      </c>
      <c r="C4" s="25">
        <v>0</v>
      </c>
      <c r="D4" s="25">
        <v>0</v>
      </c>
      <c r="E4" s="25">
        <v>0</v>
      </c>
      <c r="F4" s="25">
        <v>0</v>
      </c>
    </row>
    <row r="5" spans="1:6" x14ac:dyDescent="0.25">
      <c r="A5" s="17" t="s">
        <v>50</v>
      </c>
      <c r="B5" s="25">
        <v>0</v>
      </c>
      <c r="C5" s="25">
        <v>0</v>
      </c>
      <c r="D5" s="25">
        <v>0</v>
      </c>
      <c r="E5" s="25">
        <v>0</v>
      </c>
      <c r="F5" s="25">
        <v>0</v>
      </c>
    </row>
    <row r="6" ht="24" customHeight="1" spans="1:6" x14ac:dyDescent="0.25">
      <c r="A6" s="9" t="s">
        <v>51</v>
      </c>
      <c r="B6" s="26" t="str">
        <f>B4+B5</f>
        <v>0</v>
      </c>
      <c r="C6" s="26" t="str">
        <f>C4+C5</f>
        <v>0</v>
      </c>
      <c r="D6" s="26" t="str">
        <f>D4+D5</f>
        <v>0</v>
      </c>
      <c r="E6" s="26" t="str">
        <f>E4+E5</f>
        <v>0</v>
      </c>
      <c r="F6" s="26" t="str">
        <f>F4+F5</f>
        <v>0</v>
      </c>
    </row>
    <row r="7" ht="24" customHeight="1" spans="1:6" x14ac:dyDescent="0.25">
      <c r="A7" s="9" t="s">
        <v>52</v>
      </c>
      <c r="B7" s="26" t="str">
        <f>B3-B6</f>
        <v>0</v>
      </c>
      <c r="C7" s="26" t="str">
        <f>C3-C6</f>
        <v>0</v>
      </c>
      <c r="D7" s="26" t="str">
        <f>D3-D6</f>
        <v>0</v>
      </c>
      <c r="E7" s="26" t="str">
        <f>E3-E6</f>
        <v>0</v>
      </c>
      <c r="F7" s="26" t="str">
        <f>F3-F6</f>
        <v>0</v>
      </c>
    </row>
    <row r="8" spans="1:6" x14ac:dyDescent="0.25">
      <c r="A8" s="17" t="s">
        <v>53</v>
      </c>
      <c r="B8" s="25" t="str">
        <f>B7</f>
        <v>0</v>
      </c>
      <c r="C8" s="25" t="str">
        <f>B8+C7</f>
        <v>0</v>
      </c>
      <c r="D8" s="25" t="str">
        <f>C8+D7</f>
        <v>0</v>
      </c>
      <c r="E8" s="25" t="str">
        <f>D8+E7</f>
        <v>0</v>
      </c>
      <c r="F8" s="25" t="str">
        <f>E8+F7</f>
        <v>0</v>
      </c>
    </row>
    <row r="9" spans="1:6" x14ac:dyDescent="0.25">
      <c r="A9" s="17" t="s">
        <v>54</v>
      </c>
      <c r="B9" s="27" t="str">
        <f>IF(B6=0,0,IF(B8&gt;0,B8/(B6/12),0))</f>
        <v>0</v>
      </c>
      <c r="C9" s="27" t="str">
        <f>IF(C6=0,0,IF(C8&gt;0,C8/(C6/12),0))</f>
        <v>0</v>
      </c>
      <c r="D9" s="27" t="str">
        <f>IF(D6=0,0,IF(D8&gt;0,D8/(D6/12),0))</f>
        <v>0</v>
      </c>
      <c r="E9" s="27" t="str">
        <f>IF(E6=0,0,IF(E8&gt;0,E8/(E6/12),0))</f>
        <v>0</v>
      </c>
      <c r="F9" s="27" t="str">
        <f>IF(F6=0,0,IF(F8&gt;0,F8/(F6/12),0))</f>
        <v>0</v>
      </c>
    </row>
    <row r="10" spans="1:6" x14ac:dyDescent="0.25">
      <c r="A10" s="28" t="s">
        <v>55</v>
      </c>
      <c r="B10" s="29" t="str">
        <f>IF(B8&gt;=0,"✓ Break-even","")</f>
        <v>✓ Break-even</v>
      </c>
      <c r="C10" s="30" t="str">
        <f>IF(AND(C8&gt;=0,B8&lt;0),"✓ Break-even","")</f>
        <v>0</v>
      </c>
      <c r="D10" s="30" t="str">
        <f>IF(AND(D8&gt;=0,C8&lt;0),"✓ Break-even","")</f>
        <v>0</v>
      </c>
      <c r="E10" s="30" t="str">
        <f>IF(AND(E8&gt;=0,D8&lt;0),"✓ Break-even","")</f>
        <v>0</v>
      </c>
      <c r="F10" s="30" t="str">
        <f>IF(AND(F8&gt;=0,E8&lt;0),"✓ Break-even","")</f>
        <v>0</v>
      </c>
    </row>
  </sheetData>
  <pageMargins left="0.7" right="0.7" top="0.75" bottom="0.75" header="0.3" footer="0.3"/>
  <pageSetup paperSize="1" orientation="portrait" horizontalDpi="4294967295" verticalDpi="4294967295" scale="100" fitToWidth="1" fitToHeight="0"/>
  <headerFooter>
    <oddHeader>&amp;L&amp;10&amp;BSchool&amp;R&amp;8&amp;IFinancial Model</oddHeader>
    <oddFooter>&amp;L&amp;8Built by SchoolStack Budget  •  budget.schoolstack.ai&amp;C&amp;8Page &amp;P of &amp;N&amp;R&amp;8&amp;D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7"/>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35" customWidth="1"/>
    <col min="2" max="6" width="18" customWidth="1"/>
  </cols>
  <sheetData>
    <row r="1" ht="36" customHeight="1" spans="1:6" x14ac:dyDescent="0.25">
      <c r="A1" s="31" t="s">
        <v>56</v>
      </c>
      <c r="B1" s="31"/>
      <c r="C1" s="31"/>
      <c r="D1" s="31"/>
      <c r="E1" s="31"/>
      <c r="F1" s="31"/>
    </row>
    <row r="2" spans="1:1" x14ac:dyDescent="0.25">
      <c r="A2" s="32" t="s">
        <v>57</v>
      </c>
    </row>
    <row r="4" ht="24" customHeight="1" spans="1:6" x14ac:dyDescent="0.25">
      <c r="A4" s="9" t="s">
        <v>18</v>
      </c>
      <c r="B4" s="9"/>
      <c r="C4" s="9"/>
      <c r="D4" s="9"/>
      <c r="E4" s="9"/>
      <c r="F4" s="9"/>
    </row>
    <row r="5" spans="1:2" x14ac:dyDescent="0.25">
      <c r="A5" s="17" t="s">
        <v>19</v>
      </c>
      <c r="B5" s="28" t="s">
        <v>4</v>
      </c>
    </row>
    <row r="6" spans="1:2" x14ac:dyDescent="0.25">
      <c r="A6" s="17" t="s">
        <v>21</v>
      </c>
      <c r="B6" s="28" t="s">
        <v>4</v>
      </c>
    </row>
    <row r="7" spans="1:2" x14ac:dyDescent="0.25">
      <c r="A7" s="17" t="s">
        <v>22</v>
      </c>
      <c r="B7" s="28" t="s">
        <v>4</v>
      </c>
    </row>
    <row r="8" spans="1:2" x14ac:dyDescent="0.25">
      <c r="A8" s="17" t="s">
        <v>23</v>
      </c>
      <c r="B8" s="28" t="s">
        <v>24</v>
      </c>
    </row>
    <row r="9" spans="1:2" x14ac:dyDescent="0.25">
      <c r="A9" s="17" t="s">
        <v>20</v>
      </c>
      <c r="B9" s="28" t="s">
        <v>4</v>
      </c>
    </row>
    <row r="10" spans="1:2" x14ac:dyDescent="0.25">
      <c r="A10" s="17" t="s">
        <v>28</v>
      </c>
      <c r="B10" s="28" t="s">
        <v>29</v>
      </c>
    </row>
    <row r="11" spans="1:2" x14ac:dyDescent="0.25">
      <c r="A11" s="17" t="s">
        <v>27</v>
      </c>
      <c r="B11" s="28" t="s">
        <v>58</v>
      </c>
    </row>
    <row r="13" ht="24" customHeight="1" spans="1:6" x14ac:dyDescent="0.25">
      <c r="A13" s="9" t="s">
        <v>59</v>
      </c>
      <c r="B13" s="9"/>
      <c r="C13" s="9"/>
      <c r="D13" s="9"/>
      <c r="E13" s="9"/>
      <c r="F13" s="9"/>
    </row>
    <row r="14" ht="28" customHeight="1" spans="1:6" x14ac:dyDescent="0.25">
      <c r="A14" s="23" t="s">
        <v>4</v>
      </c>
      <c r="B14" s="23" t="s">
        <v>42</v>
      </c>
      <c r="C14" s="23" t="s">
        <v>43</v>
      </c>
      <c r="D14" s="23" t="s">
        <v>44</v>
      </c>
      <c r="E14" s="23" t="s">
        <v>45</v>
      </c>
      <c r="F14" s="23" t="s">
        <v>46</v>
      </c>
    </row>
    <row r="15" spans="1:6" x14ac:dyDescent="0.25">
      <c r="A15" s="17" t="s">
        <v>47</v>
      </c>
      <c r="B15" s="24" t="str">
        <f>'Financial Model'!B2</f>
        <v>0</v>
      </c>
      <c r="C15" s="24" t="str">
        <f>'Financial Model'!C2</f>
        <v>0</v>
      </c>
      <c r="D15" s="24" t="str">
        <f>'Financial Model'!D2</f>
        <v>0</v>
      </c>
      <c r="E15" s="24" t="str">
        <f>'Financial Model'!E2</f>
        <v>0</v>
      </c>
      <c r="F15" s="24" t="str">
        <f>'Financial Model'!F2</f>
        <v>0</v>
      </c>
    </row>
    <row r="16" spans="1:6" x14ac:dyDescent="0.25">
      <c r="A16" s="17" t="s">
        <v>60</v>
      </c>
      <c r="B16" s="33" t="s">
        <v>61</v>
      </c>
      <c r="C16" s="34" t="str">
        <f>IF(B15=0,0,(C15-B15)/B15)</f>
        <v>0</v>
      </c>
      <c r="D16" s="34" t="str">
        <f>IF(C15=0,0,(D15-C15)/C15)</f>
        <v>0</v>
      </c>
      <c r="E16" s="34" t="str">
        <f>IF(D15=0,0,(E15-D15)/D15)</f>
        <v>0</v>
      </c>
      <c r="F16" s="34" t="str">
        <f>IF(E15=0,0,(F15-E15)/E15)</f>
        <v>0</v>
      </c>
    </row>
    <row r="18" ht="28" customHeight="1" spans="1:6" x14ac:dyDescent="0.25">
      <c r="A18" s="23" t="s">
        <v>4</v>
      </c>
      <c r="B18" s="23" t="s">
        <v>42</v>
      </c>
      <c r="C18" s="23" t="s">
        <v>43</v>
      </c>
      <c r="D18" s="23" t="s">
        <v>44</v>
      </c>
      <c r="E18" s="23" t="s">
        <v>45</v>
      </c>
      <c r="F18" s="23" t="s">
        <v>46</v>
      </c>
    </row>
    <row r="19" spans="1:6" x14ac:dyDescent="0.25">
      <c r="A19" s="17" t="s">
        <v>62</v>
      </c>
      <c r="B19" s="25" t="str">
        <f>'Financial Model'!B3</f>
        <v>0</v>
      </c>
      <c r="C19" s="25" t="str">
        <f>'Financial Model'!C3</f>
        <v>0</v>
      </c>
      <c r="D19" s="25" t="str">
        <f>'Financial Model'!D3</f>
        <v>0</v>
      </c>
      <c r="E19" s="25" t="str">
        <f>'Financial Model'!E3</f>
        <v>0</v>
      </c>
      <c r="F19" s="25" t="str">
        <f>'Financial Model'!F3</f>
        <v>0</v>
      </c>
    </row>
    <row r="20" spans="1:6" x14ac:dyDescent="0.25">
      <c r="A20" s="17" t="s">
        <v>63</v>
      </c>
      <c r="B20" s="25" t="str">
        <f>'Financial Model'!B4</f>
        <v>0</v>
      </c>
      <c r="C20" s="25" t="str">
        <f>'Financial Model'!C4</f>
        <v>0</v>
      </c>
      <c r="D20" s="25" t="str">
        <f>'Financial Model'!D4</f>
        <v>0</v>
      </c>
      <c r="E20" s="25" t="str">
        <f>'Financial Model'!E4</f>
        <v>0</v>
      </c>
      <c r="F20" s="25" t="str">
        <f>'Financial Model'!F4</f>
        <v>0</v>
      </c>
    </row>
    <row r="21" spans="1:6" x14ac:dyDescent="0.25">
      <c r="A21" s="17" t="s">
        <v>50</v>
      </c>
      <c r="B21" s="25" t="str">
        <f>'Financial Model'!B5</f>
        <v>0</v>
      </c>
      <c r="C21" s="25" t="str">
        <f>'Financial Model'!C5</f>
        <v>0</v>
      </c>
      <c r="D21" s="25" t="str">
        <f>'Financial Model'!D5</f>
        <v>0</v>
      </c>
      <c r="E21" s="25" t="str">
        <f>'Financial Model'!E5</f>
        <v>0</v>
      </c>
      <c r="F21" s="25" t="str">
        <f>'Financial Model'!F5</f>
        <v>0</v>
      </c>
    </row>
    <row r="22" ht="24" customHeight="1" spans="1:6" x14ac:dyDescent="0.25">
      <c r="A22" s="9" t="s">
        <v>51</v>
      </c>
      <c r="B22" s="26" t="str">
        <f>'Financial Model'!B6</f>
        <v>0</v>
      </c>
      <c r="C22" s="26" t="str">
        <f>'Financial Model'!C6</f>
        <v>0</v>
      </c>
      <c r="D22" s="26" t="str">
        <f>'Financial Model'!D6</f>
        <v>0</v>
      </c>
      <c r="E22" s="26" t="str">
        <f>'Financial Model'!E6</f>
        <v>0</v>
      </c>
      <c r="F22" s="26" t="str">
        <f>'Financial Model'!F6</f>
        <v>0</v>
      </c>
    </row>
    <row r="23" spans="1:6" x14ac:dyDescent="0.25">
      <c r="A23" s="28" t="s">
        <v>52</v>
      </c>
      <c r="B23" s="35" t="str">
        <f>'Financial Model'!B7</f>
        <v>0</v>
      </c>
      <c r="C23" s="35" t="str">
        <f>'Financial Model'!C7</f>
        <v>0</v>
      </c>
      <c r="D23" s="35" t="str">
        <f>'Financial Model'!D7</f>
        <v>0</v>
      </c>
      <c r="E23" s="35" t="str">
        <f>'Financial Model'!E7</f>
        <v>0</v>
      </c>
      <c r="F23" s="35" t="str">
        <f>'Financial Model'!F7</f>
        <v>0</v>
      </c>
    </row>
    <row r="24" spans="1:6" x14ac:dyDescent="0.25">
      <c r="A24" s="17" t="s">
        <v>53</v>
      </c>
      <c r="B24" s="25" t="str">
        <f>'Financial Model'!B8</f>
        <v>0</v>
      </c>
      <c r="C24" s="25" t="str">
        <f>'Financial Model'!C8</f>
        <v>0</v>
      </c>
      <c r="D24" s="25" t="str">
        <f>'Financial Model'!D8</f>
        <v>0</v>
      </c>
      <c r="E24" s="25" t="str">
        <f>'Financial Model'!E8</f>
        <v>0</v>
      </c>
      <c r="F24" s="25" t="str">
        <f>'Financial Model'!F8</f>
        <v>0</v>
      </c>
    </row>
    <row r="25" spans="1:6" x14ac:dyDescent="0.25">
      <c r="A25" s="28" t="s">
        <v>54</v>
      </c>
      <c r="B25" s="36" t="str">
        <f>'Financial Model'!B9</f>
        <v>0</v>
      </c>
      <c r="C25" s="36" t="str">
        <f>'Financial Model'!C9</f>
        <v>0</v>
      </c>
      <c r="D25" s="36" t="str">
        <f>'Financial Model'!D9</f>
        <v>0</v>
      </c>
      <c r="E25" s="36" t="str">
        <f>'Financial Model'!E9</f>
        <v>0</v>
      </c>
      <c r="F25" s="36" t="str">
        <f>'Financial Model'!F9</f>
        <v>0</v>
      </c>
    </row>
    <row r="27" ht="24" customHeight="1" spans="1:6" x14ac:dyDescent="0.25">
      <c r="A27" s="9" t="s">
        <v>64</v>
      </c>
      <c r="B27" s="9"/>
      <c r="C27" s="9"/>
      <c r="D27" s="9"/>
      <c r="E27" s="9"/>
      <c r="F27" s="9"/>
    </row>
    <row r="28" spans="1:6" x14ac:dyDescent="0.25">
      <c r="A28" s="17" t="s">
        <v>65</v>
      </c>
      <c r="B28" s="25" t="str">
        <f>IF('Financial Model'!B2=0,0,B19/'Financial Model'!B2)</f>
        <v>0</v>
      </c>
      <c r="C28" s="25" t="str">
        <f>IF('Financial Model'!C2=0,0,C19/'Financial Model'!C2)</f>
        <v>0</v>
      </c>
      <c r="D28" s="25" t="str">
        <f>IF('Financial Model'!D2=0,0,D19/'Financial Model'!D2)</f>
        <v>0</v>
      </c>
      <c r="E28" s="25" t="str">
        <f>IF('Financial Model'!E2=0,0,E19/'Financial Model'!E2)</f>
        <v>0</v>
      </c>
      <c r="F28" s="25" t="str">
        <f>IF('Financial Model'!F2=0,0,F19/'Financial Model'!F2)</f>
        <v>0</v>
      </c>
    </row>
    <row r="29" spans="1:6" x14ac:dyDescent="0.25">
      <c r="A29" s="17" t="s">
        <v>66</v>
      </c>
      <c r="B29" s="34" t="str">
        <f>IF(B19=0,0,'Financial Model'!B4/B19)</f>
        <v>0</v>
      </c>
      <c r="C29" s="34" t="str">
        <f>IF(C19=0,0,'Financial Model'!C4/C19)</f>
        <v>0</v>
      </c>
      <c r="D29" s="34" t="str">
        <f>IF(D19=0,0,'Financial Model'!D4/D19)</f>
        <v>0</v>
      </c>
      <c r="E29" s="34" t="str">
        <f>IF(E19=0,0,'Financial Model'!E4/E19)</f>
        <v>0</v>
      </c>
      <c r="F29" s="34" t="str">
        <f>IF(F19=0,0,'Financial Model'!F4/F19)</f>
        <v>0</v>
      </c>
    </row>
    <row r="30" spans="1:6" x14ac:dyDescent="0.25">
      <c r="A30" s="17" t="s">
        <v>67</v>
      </c>
      <c r="B30" s="34" t="str">
        <f>IF(B19=0,0,'Financial Model'!B5/B19)</f>
        <v>0</v>
      </c>
      <c r="C30" s="34" t="str">
        <f>IF(C19=0,0,'Financial Model'!C5/C19)</f>
        <v>0</v>
      </c>
      <c r="D30" s="34" t="str">
        <f>IF(D19=0,0,'Financial Model'!D5/D19)</f>
        <v>0</v>
      </c>
      <c r="E30" s="34" t="str">
        <f>IF(E19=0,0,'Financial Model'!E5/E19)</f>
        <v>0</v>
      </c>
      <c r="F30" s="34" t="str">
        <f>IF(F19=0,0,'Financial Model'!F5/F19)</f>
        <v>0</v>
      </c>
    </row>
    <row r="31" spans="1:6" x14ac:dyDescent="0.25">
      <c r="A31" s="28" t="s">
        <v>68</v>
      </c>
      <c r="B31" s="37" t="str">
        <f>IF(B19=0,0,B23/B19)</f>
        <v>0</v>
      </c>
      <c r="C31" s="37" t="str">
        <f>IF(C19=0,0,C23/C19)</f>
        <v>0</v>
      </c>
      <c r="D31" s="37" t="str">
        <f>IF(D19=0,0,D23/D19)</f>
        <v>0</v>
      </c>
      <c r="E31" s="37" t="str">
        <f>IF(E19=0,0,E23/E19)</f>
        <v>0</v>
      </c>
      <c r="F31" s="37" t="str">
        <f>IF(F19=0,0,F23/F19)</f>
        <v>0</v>
      </c>
    </row>
    <row r="33" ht="24" customHeight="1" spans="1:6" x14ac:dyDescent="0.25">
      <c r="A33" s="9" t="s">
        <v>69</v>
      </c>
      <c r="B33" s="9"/>
      <c r="C33" s="9"/>
      <c r="D33" s="9"/>
      <c r="E33" s="9"/>
      <c r="F33" s="9"/>
    </row>
    <row r="34" spans="1:2" x14ac:dyDescent="0.25">
      <c r="A34" s="17" t="s">
        <v>70</v>
      </c>
      <c r="B34" s="38" t="s">
        <v>8</v>
      </c>
    </row>
    <row r="35" ht="30" customHeight="1" spans="1:6" s="39" customFormat="1" x14ac:dyDescent="0.25">
      <c r="A35" s="40" t="s">
        <v>71</v>
      </c>
      <c r="B35" s="40" t="s">
        <v>72</v>
      </c>
      <c r="C35" s="40"/>
      <c r="D35" s="40"/>
      <c r="E35" s="40"/>
      <c r="F35" s="40"/>
    </row>
    <row r="36" spans="1:6" x14ac:dyDescent="0.25">
      <c r="A36" s="17" t="s">
        <v>73</v>
      </c>
      <c r="B36" s="28" t="s">
        <v>74</v>
      </c>
      <c r="C36" s="28"/>
      <c r="D36" s="28"/>
      <c r="E36" s="28"/>
      <c r="F36" s="28"/>
    </row>
    <row r="37" spans="1:6" x14ac:dyDescent="0.25">
      <c r="A37" s="17" t="s">
        <v>75</v>
      </c>
      <c r="B37" s="28" t="s">
        <v>76</v>
      </c>
      <c r="C37" s="28"/>
      <c r="D37" s="28"/>
      <c r="E37" s="28"/>
      <c r="F37" s="28"/>
    </row>
  </sheetData>
  <mergeCells count="4">
    <mergeCell ref="A1:F1"/>
    <mergeCell ref="B35:F35"/>
    <mergeCell ref="B36:F36"/>
    <mergeCell ref="B37:F37"/>
  </mergeCells>
  <pageMargins left="0.7" right="0.7" top="0.75" bottom="0.75" header="0.3" footer="0.3"/>
  <pageSetup paperSize="1" orientation="portrait" horizontalDpi="4294967295" verticalDpi="4294967295" scale="100" fitToWidth="1" fitToHeight="0"/>
  <headerFooter>
    <oddHeader>&amp;L&amp;10&amp;BSchool&amp;R&amp;8&amp;ISummary</oddHeader>
    <oddFooter>&amp;L&amp;8Built by SchoolStack Budget  •  budget.schoolstack.ai&amp;C&amp;8Page &amp;P of &amp;N&amp;R&amp;8&amp;D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1"/>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25" customWidth="1"/>
    <col min="2" max="2" width="80" customWidth="1"/>
  </cols>
  <sheetData>
    <row r="1" ht="32" customHeight="1" spans="1:2" x14ac:dyDescent="0.25">
      <c r="A1" s="13" t="s">
        <v>77</v>
      </c>
      <c r="B1" s="13"/>
    </row>
    <row r="3" ht="24" customHeight="1" spans="1:2" x14ac:dyDescent="0.25">
      <c r="A3" s="9" t="s">
        <v>78</v>
      </c>
      <c r="B3" s="9"/>
    </row>
    <row r="4" ht="40" customHeight="1" spans="1:2" s="39" customFormat="1" x14ac:dyDescent="0.25">
      <c r="A4" s="40" t="s">
        <v>79</v>
      </c>
      <c r="B4" s="40"/>
    </row>
    <row r="6" ht="24" customHeight="1" spans="1:2" x14ac:dyDescent="0.25">
      <c r="A6" s="9" t="s">
        <v>80</v>
      </c>
      <c r="B6" s="9"/>
    </row>
    <row r="7" spans="1:2" x14ac:dyDescent="0.25">
      <c r="A7" s="17" t="s">
        <v>81</v>
      </c>
      <c r="B7" s="28" t="s">
        <v>8</v>
      </c>
    </row>
    <row r="8" ht="30" customHeight="1" spans="1:2" s="39" customFormat="1" x14ac:dyDescent="0.25">
      <c r="A8" s="40" t="s">
        <v>71</v>
      </c>
      <c r="B8" s="40" t="s">
        <v>72</v>
      </c>
    </row>
    <row r="10" spans="1:2" x14ac:dyDescent="0.25">
      <c r="A10" s="17" t="s">
        <v>73</v>
      </c>
      <c r="B10" s="28" t="s">
        <v>74</v>
      </c>
    </row>
    <row r="11" spans="1:2" x14ac:dyDescent="0.25">
      <c r="A11" s="17" t="s">
        <v>75</v>
      </c>
      <c r="B11" s="28" t="s">
        <v>76</v>
      </c>
    </row>
    <row r="13" ht="24" customHeight="1" spans="1:2" x14ac:dyDescent="0.25">
      <c r="A13" s="9" t="s">
        <v>82</v>
      </c>
      <c r="B13" s="9"/>
    </row>
    <row r="14" spans="1:1" x14ac:dyDescent="0.25">
      <c r="A14" s="28" t="s">
        <v>83</v>
      </c>
    </row>
    <row r="15" ht="40" customHeight="1" spans="1:2" s="39" customFormat="1" x14ac:dyDescent="0.25">
      <c r="A15" s="40" t="s">
        <v>84</v>
      </c>
      <c r="B15" s="40"/>
    </row>
    <row r="16" spans="1:1" x14ac:dyDescent="0.25">
      <c r="A16" s="28" t="s">
        <v>85</v>
      </c>
    </row>
    <row r="17" ht="40" customHeight="1" spans="1:2" s="39" customFormat="1" x14ac:dyDescent="0.25">
      <c r="A17" s="40" t="s">
        <v>86</v>
      </c>
      <c r="B17" s="40"/>
    </row>
    <row r="18" spans="1:1" x14ac:dyDescent="0.25">
      <c r="A18" s="28" t="s">
        <v>87</v>
      </c>
    </row>
    <row r="19" ht="40" customHeight="1" spans="1:2" s="39" customFormat="1" x14ac:dyDescent="0.25">
      <c r="A19" s="40" t="s">
        <v>88</v>
      </c>
      <c r="B19" s="40"/>
    </row>
    <row r="20" spans="1:1" x14ac:dyDescent="0.25">
      <c r="A20" s="28" t="s">
        <v>89</v>
      </c>
    </row>
    <row r="21" ht="40" customHeight="1" spans="1:2" s="39" customFormat="1" x14ac:dyDescent="0.25">
      <c r="A21" s="40" t="s">
        <v>90</v>
      </c>
      <c r="B21" s="40"/>
    </row>
  </sheetData>
  <mergeCells count="6">
    <mergeCell ref="A1:B1"/>
    <mergeCell ref="A4:B4"/>
    <mergeCell ref="A15:B15"/>
    <mergeCell ref="A17:B17"/>
    <mergeCell ref="A19:B19"/>
    <mergeCell ref="A21:B21"/>
  </mergeCells>
  <pageMargins left="0.7" right="0.7" top="0.75" bottom="0.75" header="0.3" footer="0.3"/>
  <pageSetup paperSize="1" orientation="portrait" horizontalDpi="4294967295" verticalDpi="4294967295" scale="100" fitToWidth="1" fitToHeight="0"/>
  <headerFooter>
    <oddHeader>&amp;L&amp;10&amp;BSchool&amp;R&amp;8&amp;IConsultant Notes</oddHeader>
    <oddFooter>&amp;L&amp;8Built by SchoolStack Budget  •  budget.schoolstack.ai&amp;C&amp;8Page &amp;P of &amp;N&amp;R&amp;8&amp;D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C24"/>
  <sheetFormatPr defaultRowHeight="15" outlineLevelRow="0" outlineLevelCol="0" x14ac:dyDescent="55"/>
  <cols>
    <col min="1" max="1" width="5" customWidth="1"/>
    <col min="2" max="2" width="35" customWidth="1"/>
    <col min="3" max="3" width="30" customWidth="1"/>
    <col min="4" max="4" width="5" customWidth="1"/>
  </cols>
  <sheetData>
    <row r="1" ht="20" customHeight="1" x14ac:dyDescent="0.25"/>
    <row r="2" ht="10" customHeight="1" x14ac:dyDescent="0.25"/>
    <row r="3" ht="40" customHeight="1" spans="2:3" x14ac:dyDescent="0.25">
      <c r="B3" s="1" t="s">
        <v>0</v>
      </c>
      <c r="C3" s="1"/>
    </row>
    <row r="4" ht="28" customHeight="1" spans="2:3" x14ac:dyDescent="0.25">
      <c r="B4" s="2" t="s">
        <v>1</v>
      </c>
      <c r="C4" s="2"/>
    </row>
    <row r="6" ht="4" customHeight="1" spans="2:3" x14ac:dyDescent="0.25">
      <c r="B6" s="3"/>
      <c r="C6" s="3"/>
    </row>
    <row r="8" spans="2:2" x14ac:dyDescent="0.25">
      <c r="B8" s="4" t="s">
        <v>2</v>
      </c>
    </row>
    <row r="9" ht="32" customHeight="1" spans="2:3" x14ac:dyDescent="0.25">
      <c r="B9" s="5" t="s">
        <v>3</v>
      </c>
      <c r="C9" s="5"/>
    </row>
    <row r="10" spans="2:3" x14ac:dyDescent="0.25">
      <c r="B10" s="6" t="s">
        <v>4</v>
      </c>
      <c r="C10" s="6"/>
    </row>
    <row r="12" spans="2:3" x14ac:dyDescent="0.25">
      <c r="B12" s="4" t="s">
        <v>5</v>
      </c>
      <c r="C12" s="7" t="s">
        <v>6</v>
      </c>
    </row>
    <row r="14" spans="2:3" x14ac:dyDescent="0.25">
      <c r="B14" s="4" t="s">
        <v>7</v>
      </c>
      <c r="C14" s="8" t="s">
        <v>8</v>
      </c>
    </row>
    <row r="17" ht="24" customHeight="1" spans="2:3" x14ac:dyDescent="0.25">
      <c r="B17" s="9" t="s">
        <v>9</v>
      </c>
      <c r="C17" s="9"/>
    </row>
    <row r="18" spans="2:3" x14ac:dyDescent="0.25">
      <c r="B18" s="10" t="s">
        <v>10</v>
      </c>
      <c r="C18" s="11"/>
    </row>
    <row r="19" spans="2:3" x14ac:dyDescent="0.25">
      <c r="B19" s="10" t="s">
        <v>11</v>
      </c>
      <c r="C19" s="11"/>
    </row>
    <row r="20" spans="2:3" x14ac:dyDescent="0.25">
      <c r="B20" s="10" t="s">
        <v>12</v>
      </c>
      <c r="C20" s="11"/>
    </row>
    <row r="21" spans="2:3" x14ac:dyDescent="0.25">
      <c r="B21" s="10" t="s">
        <v>13</v>
      </c>
      <c r="C21" s="11"/>
    </row>
    <row r="24" spans="2:3" x14ac:dyDescent="0.25">
      <c r="B24" s="12" t="s">
        <v>14</v>
      </c>
      <c r="C24" s="12"/>
    </row>
  </sheetData>
  <mergeCells count="5">
    <mergeCell ref="B3:C3"/>
    <mergeCell ref="B4:C4"/>
    <mergeCell ref="B9:C9"/>
    <mergeCell ref="B10:C10"/>
    <mergeCell ref="B24:C24"/>
  </mergeCells>
  <hyperlinks>
    <hyperlink ref="B18" r:id="rId1" location="#'Assumptions'!A1"/>
    <hyperlink ref="B19" r:id="rId2" location="#'Financial Model'!A1"/>
    <hyperlink ref="B20" r:id="rId3" location="#'Summary'!A1"/>
    <hyperlink ref="B21" r:id="rId4" location="#'Consultant Notes'!A1"/>
  </hyperlinks>
  <pageMargins left="0.75" right="0.75" top="1" bottom="1" header="0.3" footer="0.3"/>
  <pageSetup paperSize="1" orientation="portrait"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28555"/>
    <pageSetUpPr fitToPage="1"/>
  </sheetPr>
  <dimension ref="B2:H39"/>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4" customWidth="1"/>
    <col min="2" max="2" width="28" customWidth="1"/>
    <col min="3" max="7" width="16" customWidth="1"/>
    <col min="8" max="8" width="20" customWidth="1"/>
    <col min="9" max="9" width="40" customWidth="1"/>
  </cols>
  <sheetData>
    <row r="2" ht="30" customHeight="1" spans="2:8" x14ac:dyDescent="0.25">
      <c r="B2" s="31" t="s">
        <v>91</v>
      </c>
      <c r="C2" s="31"/>
      <c r="D2" s="31"/>
      <c r="E2" s="31"/>
      <c r="F2" s="31"/>
      <c r="G2" s="31"/>
      <c r="H2" s="31"/>
    </row>
    <row r="3" spans="2:8" x14ac:dyDescent="0.25">
      <c r="B3" s="41" t="s">
        <v>92</v>
      </c>
      <c r="C3" s="41"/>
      <c r="D3" s="41"/>
      <c r="E3" s="41"/>
      <c r="F3" s="41"/>
      <c r="G3" s="41"/>
      <c r="H3" s="41"/>
    </row>
    <row r="4" spans="2:6" x14ac:dyDescent="0.25">
      <c r="B4" s="42" t="s">
        <v>93</v>
      </c>
      <c r="D4" s="43" t="s">
        <v>94</v>
      </c>
      <c r="F4" s="38" t="s">
        <v>95</v>
      </c>
    </row>
    <row r="6" ht="24" customHeight="1" spans="2:8" x14ac:dyDescent="0.25">
      <c r="B6" s="9" t="s">
        <v>96</v>
      </c>
      <c r="C6" s="44" t="s">
        <v>42</v>
      </c>
      <c r="D6" s="44" t="s">
        <v>43</v>
      </c>
      <c r="E6" s="44" t="s">
        <v>44</v>
      </c>
      <c r="F6" s="44" t="s">
        <v>45</v>
      </c>
      <c r="G6" s="44" t="s">
        <v>46</v>
      </c>
      <c r="H6" s="44" t="s">
        <v>97</v>
      </c>
    </row>
    <row r="7" spans="2:7" x14ac:dyDescent="0.25">
      <c r="B7" s="33" t="s">
        <v>98</v>
      </c>
      <c r="C7" s="45">
        <v>0</v>
      </c>
      <c r="D7" s="45">
        <v>0</v>
      </c>
      <c r="E7" s="45">
        <v>0</v>
      </c>
      <c r="F7" s="45">
        <v>0</v>
      </c>
      <c r="G7" s="45">
        <v>0</v>
      </c>
    </row>
    <row r="8" spans="2:7" x14ac:dyDescent="0.25">
      <c r="B8" s="33" t="s">
        <v>99</v>
      </c>
      <c r="C8" s="46">
        <v>0</v>
      </c>
      <c r="D8" s="46">
        <v>0</v>
      </c>
      <c r="E8" s="46">
        <v>0</v>
      </c>
      <c r="F8" s="46">
        <v>0</v>
      </c>
      <c r="G8" s="46">
        <v>0</v>
      </c>
    </row>
    <row r="9" spans="2:7" x14ac:dyDescent="0.25">
      <c r="B9" s="33" t="s">
        <v>100</v>
      </c>
      <c r="C9" s="46">
        <v>0</v>
      </c>
      <c r="D9" s="46">
        <v>0</v>
      </c>
      <c r="E9" s="46">
        <v>0</v>
      </c>
      <c r="F9" s="46">
        <v>0</v>
      </c>
      <c r="G9" s="46">
        <v>0</v>
      </c>
    </row>
    <row r="10" spans="2:7" x14ac:dyDescent="0.25">
      <c r="B10" s="33" t="s">
        <v>50</v>
      </c>
      <c r="C10" s="46">
        <v>0</v>
      </c>
      <c r="D10" s="46">
        <v>0</v>
      </c>
      <c r="E10" s="46">
        <v>0</v>
      </c>
      <c r="F10" s="46">
        <v>0</v>
      </c>
      <c r="G10" s="46">
        <v>0</v>
      </c>
    </row>
    <row r="11" spans="2:7" x14ac:dyDescent="0.25">
      <c r="B11" s="33" t="s">
        <v>101</v>
      </c>
      <c r="C11" s="46">
        <v>0</v>
      </c>
      <c r="D11" s="46">
        <v>0</v>
      </c>
      <c r="E11" s="46">
        <v>0</v>
      </c>
      <c r="F11" s="46">
        <v>0</v>
      </c>
      <c r="G11" s="46">
        <v>0</v>
      </c>
    </row>
    <row r="12" spans="2:7" x14ac:dyDescent="0.25">
      <c r="B12" s="47" t="s">
        <v>102</v>
      </c>
      <c r="C12" s="48">
        <v>0</v>
      </c>
      <c r="D12" s="48">
        <v>0</v>
      </c>
      <c r="E12" s="48">
        <v>0</v>
      </c>
      <c r="F12" s="48">
        <v>0</v>
      </c>
      <c r="G12" s="48">
        <v>0</v>
      </c>
    </row>
    <row r="13" spans="2:7" x14ac:dyDescent="0.25">
      <c r="B13" s="47" t="s">
        <v>103</v>
      </c>
      <c r="C13" s="48">
        <v>0</v>
      </c>
      <c r="D13" s="48">
        <v>0</v>
      </c>
      <c r="E13" s="48">
        <v>0</v>
      </c>
      <c r="F13" s="48">
        <v>0</v>
      </c>
      <c r="G13" s="48">
        <v>0</v>
      </c>
    </row>
    <row r="14" spans="2:7" x14ac:dyDescent="0.25">
      <c r="B14" s="47" t="s">
        <v>104</v>
      </c>
      <c r="C14" s="49">
        <v>0</v>
      </c>
      <c r="D14" s="49">
        <v>0</v>
      </c>
      <c r="E14" s="49">
        <v>0</v>
      </c>
      <c r="F14" s="49">
        <v>0</v>
      </c>
      <c r="G14" s="49">
        <v>0</v>
      </c>
    </row>
    <row r="15" spans="2:8" x14ac:dyDescent="0.25">
      <c r="B15" s="47" t="s">
        <v>65</v>
      </c>
      <c r="C15" s="50">
        <v>0</v>
      </c>
      <c r="D15" s="50">
        <v>0</v>
      </c>
      <c r="E15" s="50">
        <v>0</v>
      </c>
      <c r="F15" s="50">
        <v>0</v>
      </c>
      <c r="G15" s="50">
        <v>0</v>
      </c>
      <c r="H15" s="51" t="s">
        <v>105</v>
      </c>
    </row>
    <row r="16" spans="2:7" x14ac:dyDescent="0.25">
      <c r="B16" s="47" t="s">
        <v>106</v>
      </c>
      <c r="C16" s="52">
        <v>0</v>
      </c>
      <c r="D16" s="52">
        <v>0</v>
      </c>
      <c r="E16" s="52">
        <v>0</v>
      </c>
      <c r="F16" s="52">
        <v>0</v>
      </c>
      <c r="G16" s="52">
        <v>0</v>
      </c>
    </row>
    <row r="17" spans="2:7" x14ac:dyDescent="0.25">
      <c r="B17" s="33" t="s">
        <v>107</v>
      </c>
      <c r="C17" s="46">
        <v>0</v>
      </c>
      <c r="D17" s="46">
        <v>0</v>
      </c>
      <c r="E17" s="46">
        <v>0</v>
      </c>
      <c r="F17" s="46">
        <v>0</v>
      </c>
      <c r="G17" s="46">
        <v>0</v>
      </c>
    </row>
    <row r="18" spans="2:8" x14ac:dyDescent="0.25">
      <c r="B18" s="33" t="s">
        <v>108</v>
      </c>
      <c r="C18" s="53">
        <v>0</v>
      </c>
      <c r="D18" s="53">
        <v>0</v>
      </c>
      <c r="E18" s="53">
        <v>0</v>
      </c>
      <c r="F18" s="53">
        <v>0</v>
      </c>
      <c r="G18" s="53">
        <v>0</v>
      </c>
      <c r="H18" s="51" t="s">
        <v>109</v>
      </c>
    </row>
    <row r="19" spans="2:7" x14ac:dyDescent="0.25">
      <c r="B19" s="47" t="s">
        <v>110</v>
      </c>
      <c r="C19" s="54">
        <v>0</v>
      </c>
      <c r="D19" s="54">
        <v>0</v>
      </c>
      <c r="E19" s="54">
        <v>0</v>
      </c>
      <c r="F19" s="54">
        <v>0</v>
      </c>
      <c r="G19" s="54">
        <v>0</v>
      </c>
    </row>
    <row r="20" spans="2:8" x14ac:dyDescent="0.25">
      <c r="B20" s="47" t="s">
        <v>111</v>
      </c>
      <c r="C20" s="55">
        <v>0</v>
      </c>
      <c r="D20" s="55">
        <v>0</v>
      </c>
      <c r="E20" s="55">
        <v>0</v>
      </c>
      <c r="F20" s="55">
        <v>0</v>
      </c>
      <c r="G20" s="55">
        <v>0</v>
      </c>
      <c r="H20" s="51" t="s">
        <v>112</v>
      </c>
    </row>
    <row r="21" spans="2:8" x14ac:dyDescent="0.25">
      <c r="B21" s="47" t="s">
        <v>113</v>
      </c>
      <c r="C21" s="55">
        <v>0</v>
      </c>
      <c r="D21" s="55">
        <v>0</v>
      </c>
      <c r="E21" s="55">
        <v>0</v>
      </c>
      <c r="F21" s="55">
        <v>0</v>
      </c>
      <c r="G21" s="55">
        <v>0</v>
      </c>
      <c r="H21" s="51" t="s">
        <v>114</v>
      </c>
    </row>
    <row r="22" spans="2:8" x14ac:dyDescent="0.25">
      <c r="B22" s="47" t="s">
        <v>115</v>
      </c>
      <c r="C22" s="49">
        <v>0</v>
      </c>
      <c r="D22" s="49">
        <v>0</v>
      </c>
      <c r="E22" s="49">
        <v>0</v>
      </c>
      <c r="F22" s="49">
        <v>0</v>
      </c>
      <c r="G22" s="49">
        <v>0</v>
      </c>
      <c r="H22" s="51" t="s">
        <v>116</v>
      </c>
    </row>
    <row r="23" spans="2:8" x14ac:dyDescent="0.25">
      <c r="B23" s="47" t="s">
        <v>117</v>
      </c>
      <c r="C23" s="56">
        <v>0</v>
      </c>
      <c r="D23" s="56">
        <v>0</v>
      </c>
      <c r="E23" s="56">
        <v>0</v>
      </c>
      <c r="F23" s="56">
        <v>0</v>
      </c>
      <c r="G23" s="56">
        <v>0</v>
      </c>
      <c r="H23" s="51" t="s">
        <v>118</v>
      </c>
    </row>
    <row r="24" spans="2:8" x14ac:dyDescent="0.25">
      <c r="B24" s="47" t="s">
        <v>119</v>
      </c>
      <c r="C24" s="57" t="s">
        <v>58</v>
      </c>
      <c r="D24" s="57" t="s">
        <v>58</v>
      </c>
      <c r="E24" s="57" t="s">
        <v>58</v>
      </c>
      <c r="F24" s="57" t="s">
        <v>58</v>
      </c>
      <c r="G24" s="57" t="s">
        <v>58</v>
      </c>
      <c r="H24" s="51" t="s">
        <v>58</v>
      </c>
    </row>
    <row r="25" spans="2:8" x14ac:dyDescent="0.25">
      <c r="B25" s="47" t="s">
        <v>120</v>
      </c>
      <c r="C25" s="58" t="str">
        <f>IF('Financial Model'!B8&gt;=0,"✓ Break-even","")</f>
        <v>✓ Break-even</v>
      </c>
      <c r="D25" s="59" t="str">
        <f>IF(AND('Financial Model'!C8&gt;=0,'Financial Model'!B8&lt;0),"✓ Break-even","")</f>
        <v>0</v>
      </c>
      <c r="E25" s="59" t="str">
        <f>IF(AND('Financial Model'!D8&gt;=0,'Financial Model'!C8&lt;0),"✓ Break-even","")</f>
        <v>0</v>
      </c>
      <c r="F25" s="59" t="str">
        <f>IF(AND('Financial Model'!E8&gt;=0,'Financial Model'!D8&lt;0),"✓ Break-even","")</f>
        <v>0</v>
      </c>
      <c r="G25" s="59" t="str">
        <f>IF(AND('Financial Model'!F8&gt;=0,'Financial Model'!E8&lt;0),"✓ Break-even","")</f>
        <v>0</v>
      </c>
      <c r="H25" s="51" t="s">
        <v>42</v>
      </c>
    </row>
    <row r="26" spans="2:8" x14ac:dyDescent="0.25">
      <c r="B26" s="47" t="s">
        <v>121</v>
      </c>
      <c r="C26" s="60" t="s">
        <v>122</v>
      </c>
      <c r="D26" s="60" t="s">
        <v>122</v>
      </c>
      <c r="E26" s="60" t="s">
        <v>122</v>
      </c>
      <c r="F26" s="60" t="s">
        <v>122</v>
      </c>
      <c r="G26" s="60" t="s">
        <v>122</v>
      </c>
      <c r="H26" s="51" t="s">
        <v>123</v>
      </c>
    </row>
    <row r="27" spans="2:8" x14ac:dyDescent="0.25">
      <c r="B27" s="47" t="s">
        <v>124</v>
      </c>
      <c r="C27" s="61">
        <v>365</v>
      </c>
      <c r="D27" s="61">
        <v>365</v>
      </c>
      <c r="E27" s="61">
        <v>365</v>
      </c>
      <c r="F27" s="61">
        <v>365</v>
      </c>
      <c r="G27" s="61">
        <v>365</v>
      </c>
      <c r="H27" s="51" t="s">
        <v>125</v>
      </c>
    </row>
    <row r="29" ht="24" customHeight="1" spans="2:8" x14ac:dyDescent="0.25">
      <c r="B29" s="9" t="s">
        <v>126</v>
      </c>
      <c r="C29" s="9" t="s">
        <v>81</v>
      </c>
      <c r="D29" s="9" t="s">
        <v>71</v>
      </c>
      <c r="E29" s="9"/>
      <c r="F29" s="9" t="s">
        <v>127</v>
      </c>
      <c r="G29" s="9"/>
      <c r="H29" s="9"/>
    </row>
    <row r="30" ht="45" customHeight="1" spans="2:8" x14ac:dyDescent="0.25">
      <c r="B30" s="62" t="s">
        <v>128</v>
      </c>
      <c r="C30" s="63" t="s">
        <v>129</v>
      </c>
      <c r="D30" s="64" t="s">
        <v>130</v>
      </c>
      <c r="E30" s="64"/>
      <c r="F30" s="65" t="s">
        <v>131</v>
      </c>
      <c r="G30" s="65"/>
      <c r="H30" s="65"/>
    </row>
    <row r="31" ht="45" customHeight="1" spans="2:8" x14ac:dyDescent="0.25">
      <c r="B31" s="62" t="s">
        <v>132</v>
      </c>
      <c r="C31" s="63" t="s">
        <v>129</v>
      </c>
      <c r="D31" s="64" t="s">
        <v>133</v>
      </c>
      <c r="E31" s="64"/>
      <c r="F31" s="65" t="s">
        <v>134</v>
      </c>
      <c r="G31" s="65"/>
      <c r="H31" s="65"/>
    </row>
    <row r="32" ht="45" customHeight="1" spans="2:8" x14ac:dyDescent="0.25">
      <c r="B32" s="62" t="s">
        <v>135</v>
      </c>
      <c r="C32" s="58" t="s">
        <v>136</v>
      </c>
      <c r="D32" s="64" t="s">
        <v>137</v>
      </c>
      <c r="E32" s="64"/>
      <c r="F32" s="65" t="s">
        <v>138</v>
      </c>
      <c r="G32" s="65"/>
      <c r="H32" s="65"/>
    </row>
    <row r="33" ht="45" customHeight="1" spans="2:8" x14ac:dyDescent="0.25">
      <c r="B33" s="62" t="s">
        <v>139</v>
      </c>
      <c r="C33" s="58" t="s">
        <v>136</v>
      </c>
      <c r="D33" s="64" t="s">
        <v>140</v>
      </c>
      <c r="E33" s="64"/>
      <c r="F33" s="65" t="s">
        <v>141</v>
      </c>
      <c r="G33" s="65"/>
      <c r="H33" s="65"/>
    </row>
    <row r="34" ht="45" customHeight="1" spans="2:8" x14ac:dyDescent="0.25">
      <c r="B34" s="62" t="s">
        <v>142</v>
      </c>
      <c r="C34" s="58" t="s">
        <v>136</v>
      </c>
      <c r="D34" s="64" t="s">
        <v>143</v>
      </c>
      <c r="E34" s="64"/>
      <c r="F34" s="65" t="s">
        <v>144</v>
      </c>
      <c r="G34" s="65"/>
      <c r="H34" s="65"/>
    </row>
    <row r="35" ht="45" customHeight="1" spans="2:8" x14ac:dyDescent="0.25">
      <c r="B35" s="62" t="s">
        <v>145</v>
      </c>
      <c r="C35" s="66" t="s">
        <v>146</v>
      </c>
      <c r="D35" s="64" t="s">
        <v>147</v>
      </c>
      <c r="E35" s="64"/>
      <c r="F35" s="65" t="s">
        <v>148</v>
      </c>
      <c r="G35" s="65"/>
      <c r="H35" s="65"/>
    </row>
    <row r="37" spans="2:6" x14ac:dyDescent="0.25">
      <c r="B37" s="62" t="s">
        <v>12</v>
      </c>
      <c r="C37" s="47" t="s">
        <v>149</v>
      </c>
      <c r="D37" s="47"/>
      <c r="E37" s="47"/>
      <c r="F37" s="47"/>
    </row>
    <row r="39" spans="2:8" x14ac:dyDescent="0.25">
      <c r="B39" s="67" t="s">
        <v>150</v>
      </c>
      <c r="C39" s="67"/>
      <c r="D39" s="67"/>
      <c r="E39" s="67"/>
      <c r="F39" s="67"/>
      <c r="G39" s="67"/>
      <c r="H39" s="67"/>
    </row>
  </sheetData>
  <mergeCells count="18">
    <mergeCell ref="B2:H2"/>
    <mergeCell ref="B3:H3"/>
    <mergeCell ref="D29:E29"/>
    <mergeCell ref="F29:H29"/>
    <mergeCell ref="D30:E30"/>
    <mergeCell ref="F30:H30"/>
    <mergeCell ref="D31:E31"/>
    <mergeCell ref="F31:H31"/>
    <mergeCell ref="D32:E32"/>
    <mergeCell ref="F32:H32"/>
    <mergeCell ref="D33:E33"/>
    <mergeCell ref="F33:H33"/>
    <mergeCell ref="D34:E34"/>
    <mergeCell ref="F34:H34"/>
    <mergeCell ref="D35:E35"/>
    <mergeCell ref="F35:H35"/>
    <mergeCell ref="C37:F37"/>
    <mergeCell ref="B39:H39"/>
  </mergeCells>
  <conditionalFormatting sqref="C12:G12">
    <cfRule type="expression" dxfId="0" priority="1">
      <formula>C12&gt;=0</formula>
    </cfRule>
    <cfRule type="expression" dxfId="1" priority="2">
      <formula>C12&gt;=-1</formula>
    </cfRule>
    <cfRule type="expression" dxfId="2" priority="3">
      <formula>C12&lt;-1</formula>
    </cfRule>
  </conditionalFormatting>
  <conditionalFormatting sqref="C13:G13">
    <cfRule type="expression" dxfId="3" priority="1">
      <formula>C13&gt;=0</formula>
    </cfRule>
    <cfRule type="expression" dxfId="4" priority="2">
      <formula>C13&gt;=-1</formula>
    </cfRule>
    <cfRule type="expression" dxfId="5" priority="3">
      <formula>C13&lt;-1</formula>
    </cfRule>
  </conditionalFormatting>
  <conditionalFormatting sqref="C14:G14">
    <cfRule type="expression" dxfId="6" priority="1">
      <formula>C14&gt;=0.05</formula>
    </cfRule>
    <cfRule type="expression" dxfId="7" priority="2">
      <formula>C14&gt;=0</formula>
    </cfRule>
    <cfRule type="expression" dxfId="8" priority="3">
      <formula>C14&lt;0</formula>
    </cfRule>
  </conditionalFormatting>
  <conditionalFormatting sqref="C15:G15">
    <cfRule type="expression" dxfId="9" priority="1">
      <formula>C15&gt;=10000</formula>
    </cfRule>
    <cfRule type="expression" dxfId="10" priority="2">
      <formula>C15&gt;=7000</formula>
    </cfRule>
    <cfRule type="expression" dxfId="11" priority="3">
      <formula>C15&lt;7000</formula>
    </cfRule>
  </conditionalFormatting>
  <conditionalFormatting sqref="C20:G20">
    <cfRule type="expression" dxfId="12" priority="1">
      <formula>C20&lt;=0.55</formula>
    </cfRule>
    <cfRule type="expression" dxfId="13" priority="2">
      <formula>C20&lt;=0.65</formula>
    </cfRule>
    <cfRule type="expression" dxfId="14" priority="3">
      <formula>C20&gt;0.65</formula>
    </cfRule>
  </conditionalFormatting>
  <conditionalFormatting sqref="C21:G21">
    <cfRule type="expression" dxfId="15" priority="1">
      <formula>C21&lt;=0.15</formula>
    </cfRule>
    <cfRule type="expression" dxfId="16" priority="2">
      <formula>C21&lt;=0.22</formula>
    </cfRule>
    <cfRule type="expression" dxfId="17" priority="3">
      <formula>C21&gt;0.22</formula>
    </cfRule>
  </conditionalFormatting>
  <conditionalFormatting sqref="C22:G22">
    <cfRule type="expression" dxfId="18" priority="1">
      <formula>C22&gt;=0.10</formula>
    </cfRule>
    <cfRule type="expression" dxfId="19" priority="2">
      <formula>C22&gt;=0</formula>
    </cfRule>
    <cfRule type="expression" dxfId="20" priority="3">
      <formula>C22&lt;0</formula>
    </cfRule>
  </conditionalFormatting>
  <pageMargins left="0.5" right="0.5" top="0.75" bottom="0.75" header="0.3" footer="0.3"/>
  <pageSetup paperSize="1" orientation="landscape" fitToWidth="1" fitToHeight="0"/>
  <headerFooter>
    <oddHeader>&amp;L&amp;10&amp;BSchool&amp;R&amp;8&amp;IFinancial Health</oddHeader>
    <oddFooter>&amp;L&amp;8Built by SchoolStack Budget  •  budget.schoolstack.ai&amp;C&amp;8Page &amp;P of &amp;N&amp;R&amp;8&amp;D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Assumptions</vt:lpstr>
      <vt:lpstr>Financial Model</vt:lpstr>
      <vt:lpstr>Summary</vt:lpstr>
      <vt:lpstr>Consultant Notes</vt:lpstr>
      <vt:lpstr>Financial Health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SchoolStack Budget</dc:creator>
  <dc:title/>
  <dc:subject/>
  <dc:description/>
  <cp:keywords/>
  <cp:category/>
  <cp:lastModifiedBy>Unknown</cp:lastModifiedBy>
  <dcterms:created xsi:type="dcterms:W3CDTF">2026-03-27T03:41:31Z</dcterms:created>
  <dcterms:modified xsi:type="dcterms:W3CDTF">2026-03-27T03:41:31Z</dcterms:modified>
</cp:coreProperties>
</file>