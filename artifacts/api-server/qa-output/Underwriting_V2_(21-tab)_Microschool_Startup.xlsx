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<sst xmlns="http://schemas.openxmlformats.org/spreadsheetml/2006/main" count="605" uniqueCount="318">
  <si>
    <t>SchoolStack Budget</t>
  </si>
  <si>
    <t>5-Year Financial Model &amp; Underwriting Workbook</t>
  </si>
  <si>
    <t>School Name</t>
  </si>
  <si>
    <t>Bright Horizons Microschool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</si>
  <si>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</si>
  <si>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</si>
  <si>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</si>
  <si>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</si>
  <si>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</si>
  <si>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</si>
  <si>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</si>
  <si>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</si>
  <si>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</si>
  <si>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</si>
  <si>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</si>
  <si>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</si>
  <si>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</si>
  <si>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Tuition-Based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</si>
  <si>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</si>
  <si>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</si>
  <si>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</si>
  <si>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</si>
  <si>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</si>
  <si>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</si>
  <si>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</si>
  <si>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</si>
  <si>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</si>
  <si>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</si>
  <si>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</si>
  <si>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</si>
  <si>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</si>
  <si>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</si>
  <si>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</si>
  <si>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</si>
  <si>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</si>
  <si>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</si>
  <si>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</si>
  <si>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</si>
  <si>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</si>
  <si>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</si>
  <si>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</si>
  <si>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</si>
  <si>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</si>
  <si>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</si>
  <si>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</si>
  <si>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</si>
  <si>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</si>
  <si>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</si>
  <si>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</si>
  <si>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</si>
  <si>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</si>
  <si>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</si>
  <si>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</si>
  <si>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</si>
  <si>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</si>
  <si>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</si>
  <si>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</si>
  <si>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</si>
  <si>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</si>
  <si>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</si>
  <si>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</si>
  <si>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— Prepared by SchoolStack Budget (budget.schoolstack.ai)</t>
  </si>
  <si>
    <t>How to Use This Workbook</t>
  </si>
  <si>
    <t>Color Legend</t>
  </si>
  <si>
    <t>Yellow cells are editable inputs — change these to update your model.</t>
  </si>
  <si>
    <t>Gray cells contain formulas — do not edit.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</si>
  <si>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</si>
  <si>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</si>
  <si>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</si>
  <si>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</si>
  <si>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</si>
  <si>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</si>
  <si>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</si>
  <si>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</si>
  <si>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</si>
  <si>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</si>
  <si>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</si>
  <si>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</si>
  <si>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</si>
  <si>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</si>
  <si>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</si>
  <si>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</si>
  <si>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— Assumptions</t>
  </si>
  <si>
    <t>Yellow cells are editable inputs. All other cells are formulas.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</si>
  <si>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</si>
  <si>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</si>
  <si>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</si>
  <si>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</si>
  <si>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</si>
  <si>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</si>
  <si>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</si>
  <si>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</si>
  <si>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</si>
  <si>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</si>
  <si>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</si>
  <si>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</si>
  <si>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</si>
  <si>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</si>
  <si>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</si>
  <si>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</si>
  <si>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</si>
  <si>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</si>
  <si>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</si>
  <si>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</si>
  <si>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</si>
  <si>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</si>
  <si>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</si>
  <si>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</si>
  <si>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</si>
  <si>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</si>
  <si>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</si>
  <si>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</si>
  <si>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</si>
  <si>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</si>
  <si>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</si>
  <si>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</si>
  <si>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</si>
  <si>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</si>
  <si>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</si>
  <si>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</si>
  <si>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</si>
  <si>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</si>
  <si>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</si>
  <si>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</si>
  <si>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</si>
  <si>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</si>
  <si>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</si>
  <si>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</si>
  <si>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</si>
  <si>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</si>
  <si>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</si>
  <si>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</si>
  <si>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</si>
  <si>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</si>
  <si>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</si>
  <si>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</si>
  <si>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</si>
  <si>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</si>
  <si>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</si>
  <si>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</si>
  <si>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GROWTH &amp; TIMING</t>
  </si>
  <si>
    <t>Salary Escalation Rate</t>
  </si>
  <si>
    <t>Cost Inflation Rate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</si>
  <si>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</si>
  <si>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</si>
  <si>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</si>
  <si>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</si>
  <si>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</si>
  <si>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</si>
  <si>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</si>
  <si>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</si>
  <si>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</si>
  <si>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</si>
  <si>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</si>
  <si>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</si>
  <si>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</si>
  <si>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</si>
  <si>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</si>
  <si>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</si>
  <si>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</si>
  <si>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</si>
  <si>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</si>
  <si>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</si>
  <si>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</si>
  <si>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</si>
  <si>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</si>
  <si>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—</t>
  </si>
  <si>
    <t>Tuition &amp; Funding Drivers</t>
  </si>
  <si>
    <t>REVENUE BY LINE ITEM</t>
  </si>
  <si>
    <t>Tuition (Tuition &amp; Fees)</t>
  </si>
  <si>
    <t>Registration Fee (Tuition &amp; Fees)</t>
  </si>
  <si>
    <t>AZ ESA Funds (School Choice)</t>
  </si>
  <si>
    <t>Annual Fundraising (Philanthropy)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</si>
  <si>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</si>
  <si>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</si>
  <si>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</si>
  <si>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</si>
  <si>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</si>
  <si>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</si>
  <si>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</si>
  <si>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</si>
  <si>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</si>
  <si>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</si>
  <si>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</si>
  <si>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</si>
  <si>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</si>
  <si>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</si>
  <si>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</si>
  <si>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</si>
  <si>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</si>
  <si>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</si>
  <si>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</si>
  <si>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</si>
  <si>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</si>
  <si>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</si>
  <si>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</si>
  <si>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</si>
  <si>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</si>
  <si>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</si>
  <si>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</si>
  <si>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</si>
  <si>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</si>
  <si>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</si>
  <si>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</si>
  <si>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</si>
  <si>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</si>
  <si>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—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</si>
  <si>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</si>
  <si>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</si>
  <si>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</si>
  <si>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</si>
  <si>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</si>
  <si>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</si>
  <si>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</si>
  <si>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</si>
  <si>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</si>
  <si>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</si>
  <si>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</si>
  <si>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</si>
  <si>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</si>
  <si>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</si>
  <si>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</si>
  <si>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</si>
  <si>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</si>
  <si>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—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</si>
  <si>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</si>
  <si>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</si>
  <si>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</si>
  <si>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</si>
  <si>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</si>
  <si>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</si>
  <si>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</si>
  <si>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—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</si>
  <si>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</si>
  <si>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</si>
  <si>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</si>
  <si>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</si>
  <si>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</si>
  <si>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</si>
  <si>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</si>
  <si>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</si>
  <si>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</si>
  <si>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</si>
  <si>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</si>
  <si>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</si>
  <si>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</si>
  <si>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</si>
  <si>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</si>
  <si>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</si>
  <si>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</si>
  <si>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</si>
  <si>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</si>
  <si>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</si>
  <si>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</si>
  <si>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</si>
  <si>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</si>
  <si>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5-Year Operating Statement</t>
  </si>
  <si>
    <t>Capital &amp; Debt Service</t>
  </si>
  <si>
    <t>BOTTOM LINE</t>
  </si>
  <si>
    <t>Bright Horizons Microschool —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</si>
  <si>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</si>
  <si>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</si>
  <si>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</si>
  <si>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</si>
  <si>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</si>
  <si>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</si>
  <si>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</si>
  <si>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</si>
  <si>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</si>
  <si>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</si>
  <si>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</si>
  <si>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</si>
  <si>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</si>
  <si>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</si>
  <si>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</si>
  <si>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</si>
  <si>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</si>
  <si>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</si>
  <si>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</si>
  <si>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</si>
  <si>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</si>
  <si>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</si>
  <si>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</si>
  <si>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</si>
  <si>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</si>
  <si>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</si>
  <si>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</si>
  <si>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</si>
  <si>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</si>
  <si>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</si>
  <si>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</si>
  <si>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</si>
  <si>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</si>
  <si>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</si>
  <si>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</si>
  <si>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</si>
  <si>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</si>
  <si>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</si>
  <si>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</si>
  <si>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</si>
  <si>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</si>
  <si>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</si>
  <si>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</si>
  <si>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</si>
  <si>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</si>
  <si>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Expenses: +0%</t>
  </si>
  <si>
    <t>LOW ENROLLMENT</t>
  </si>
  <si>
    <t>Enrollment: -20%  |  Revenue: +0%  |  Expenses: +0%</t>
  </si>
  <si>
    <t>Underwriting Snapshot —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</si>
  <si>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</si>
  <si>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</si>
  <si>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</si>
  <si>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</si>
  <si>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</si>
  <si>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</si>
  <si>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</si>
  <si>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</si>
  <si>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—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</si>
</sst>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2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3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49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25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</v>
      </c>
      <c r="C17" s="16">
        <v>18</v>
      </c>
      <c r="D17" s="16">
        <v>22</v>
      </c>
      <c r="E17" s="16">
        <v>25</v>
      </c>
      <c r="F17" s="16">
        <v>25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12000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250</v>
      </c>
      <c r="E22" s="18">
        <v>0</v>
      </c>
    </row>
    <row r="23" spans="1:5" x14ac:dyDescent="0.25">
      <c r="A23" s="4" t="s">
        <v>106</v>
      </c>
      <c r="B23" s="4" t="s">
        <v>107</v>
      </c>
      <c r="C23" s="4" t="s">
        <v>104</v>
      </c>
      <c r="D23" s="17">
        <v>7000</v>
      </c>
      <c r="E23" s="18">
        <v>0</v>
      </c>
    </row>
    <row r="24" spans="1:5" x14ac:dyDescent="0.25">
      <c r="A24" s="4" t="s">
        <v>108</v>
      </c>
      <c r="B24" s="4" t="s">
        <v>109</v>
      </c>
      <c r="C24" s="4" t="s">
        <v>110</v>
      </c>
      <c r="D24" s="17">
        <v>5000</v>
      </c>
      <c r="E24" s="18">
        <v>0</v>
      </c>
    </row>
    <row r="26" ht="24" customHeight="1" spans="1:7" x14ac:dyDescent="0.25">
      <c r="A26" s="13" t="s">
        <v>111</v>
      </c>
      <c r="B26" s="13"/>
      <c r="C26" s="13"/>
      <c r="D26" s="13"/>
      <c r="E26" s="13"/>
      <c r="F26" s="13"/>
      <c r="G26" s="13"/>
    </row>
    <row r="27" ht="28" customHeight="1" spans="1:7" x14ac:dyDescent="0.25">
      <c r="A27" s="15" t="s">
        <v>112</v>
      </c>
      <c r="B27" s="15" t="s">
        <v>98</v>
      </c>
      <c r="C27" s="15" t="s">
        <v>113</v>
      </c>
      <c r="D27" s="15" t="s">
        <v>114</v>
      </c>
      <c r="E27" s="15" t="s">
        <v>115</v>
      </c>
      <c r="F27" s="15" t="s">
        <v>116</v>
      </c>
      <c r="G27" s="15" t="s">
        <v>117</v>
      </c>
    </row>
    <row r="28" spans="1:7" x14ac:dyDescent="0.25">
      <c r="A28" s="4" t="s">
        <v>118</v>
      </c>
      <c r="B28" s="4" t="s">
        <v>119</v>
      </c>
      <c r="C28" s="4" t="s">
        <v>120</v>
      </c>
      <c r="D28" s="19">
        <v>1</v>
      </c>
      <c r="E28" s="17">
        <v>55000</v>
      </c>
      <c r="F28" s="18">
        <v>0.2</v>
      </c>
      <c r="G28" s="18">
        <v>0.0765</v>
      </c>
    </row>
    <row r="29" spans="1:7" x14ac:dyDescent="0.25">
      <c r="A29" s="4" t="s">
        <v>121</v>
      </c>
      <c r="B29" s="4" t="s">
        <v>122</v>
      </c>
      <c r="C29" s="4" t="s">
        <v>120</v>
      </c>
      <c r="D29" s="19">
        <v>1</v>
      </c>
      <c r="E29" s="17">
        <v>45000</v>
      </c>
      <c r="F29" s="18">
        <v>0.2</v>
      </c>
      <c r="G29" s="18">
        <v>0.0765</v>
      </c>
    </row>
    <row r="30" spans="1:7" x14ac:dyDescent="0.25">
      <c r="A30" s="4" t="s">
        <v>123</v>
      </c>
      <c r="B30" s="4" t="s">
        <v>122</v>
      </c>
      <c r="C30" s="4" t="s">
        <v>124</v>
      </c>
      <c r="D30" s="19">
        <v>0.5</v>
      </c>
      <c r="E30" s="17">
        <v>28000</v>
      </c>
      <c r="F30" s="18">
        <v>0</v>
      </c>
      <c r="G30" s="18">
        <v>0.0765</v>
      </c>
    </row>
    <row r="32" ht="24" customHeight="1" spans="1:7" x14ac:dyDescent="0.25">
      <c r="A32" s="13" t="s">
        <v>125</v>
      </c>
      <c r="B32" s="13"/>
      <c r="C32" s="13"/>
      <c r="D32" s="13"/>
      <c r="E32" s="13"/>
      <c r="F32" s="13"/>
      <c r="G32" s="13"/>
    </row>
    <row r="33" ht="28" customHeight="1" spans="1:5" x14ac:dyDescent="0.25">
      <c r="A33" s="15" t="s">
        <v>97</v>
      </c>
      <c r="B33" s="15" t="s">
        <v>98</v>
      </c>
      <c r="C33" s="15" t="s">
        <v>99</v>
      </c>
      <c r="D33" s="15" t="s">
        <v>100</v>
      </c>
      <c r="E33" s="15" t="s">
        <v>101</v>
      </c>
    </row>
    <row r="34" spans="1:5" x14ac:dyDescent="0.25">
      <c r="A34" s="4" t="s">
        <v>126</v>
      </c>
      <c r="B34" s="4" t="s">
        <v>127</v>
      </c>
      <c r="C34" s="4" t="s">
        <v>128</v>
      </c>
      <c r="D34" s="17">
        <v>2500</v>
      </c>
      <c r="E34" s="18">
        <v>0.03</v>
      </c>
    </row>
    <row r="35" spans="1:5" x14ac:dyDescent="0.25">
      <c r="A35" s="4" t="s">
        <v>129</v>
      </c>
      <c r="B35" s="4" t="s">
        <v>127</v>
      </c>
      <c r="C35" s="4" t="s">
        <v>128</v>
      </c>
      <c r="D35" s="17">
        <v>300</v>
      </c>
      <c r="E35" s="18">
        <v>0</v>
      </c>
    </row>
    <row r="36" spans="1:5" x14ac:dyDescent="0.25">
      <c r="A36" s="4" t="s">
        <v>130</v>
      </c>
      <c r="B36" s="4" t="s">
        <v>127</v>
      </c>
      <c r="C36" s="4" t="s">
        <v>110</v>
      </c>
      <c r="D36" s="17">
        <v>2400</v>
      </c>
      <c r="E36" s="18">
        <v>0</v>
      </c>
    </row>
    <row r="37" spans="1:5" x14ac:dyDescent="0.25">
      <c r="A37" s="4" t="s">
        <v>131</v>
      </c>
      <c r="B37" s="4" t="s">
        <v>132</v>
      </c>
      <c r="C37" s="4" t="s">
        <v>104</v>
      </c>
      <c r="D37" s="17">
        <v>500</v>
      </c>
      <c r="E37" s="18">
        <v>0</v>
      </c>
    </row>
    <row r="38" spans="1:5" x14ac:dyDescent="0.25">
      <c r="A38" s="4" t="s">
        <v>133</v>
      </c>
      <c r="B38" s="4" t="s">
        <v>133</v>
      </c>
      <c r="C38" s="4" t="s">
        <v>104</v>
      </c>
      <c r="D38" s="17">
        <v>300</v>
      </c>
      <c r="E38" s="18">
        <v>0</v>
      </c>
    </row>
    <row r="39" spans="1:5" x14ac:dyDescent="0.25">
      <c r="A39" s="4" t="s">
        <v>134</v>
      </c>
      <c r="B39" s="4" t="s">
        <v>135</v>
      </c>
      <c r="C39" s="4" t="s">
        <v>110</v>
      </c>
      <c r="D39" s="17">
        <v>3000</v>
      </c>
      <c r="E39" s="18">
        <v>0</v>
      </c>
    </row>
    <row r="41" ht="24" customHeight="1" spans="1:7" x14ac:dyDescent="0.25">
      <c r="A41" s="13" t="s">
        <v>136</v>
      </c>
      <c r="B41" s="13"/>
      <c r="C41" s="13"/>
      <c r="D41" s="13"/>
      <c r="E41" s="13"/>
      <c r="F41" s="13"/>
      <c r="G41" s="13"/>
    </row>
    <row r="42" ht="28" customHeight="1" spans="1:5" x14ac:dyDescent="0.25">
      <c r="A42" s="15" t="s">
        <v>137</v>
      </c>
      <c r="B42" s="15" t="s">
        <v>113</v>
      </c>
      <c r="C42" s="15" t="s">
        <v>138</v>
      </c>
      <c r="D42" s="15" t="s">
        <v>115</v>
      </c>
      <c r="E42" s="15" t="s">
        <v>139</v>
      </c>
    </row>
    <row r="44" ht="24" customHeight="1" spans="1:7" x14ac:dyDescent="0.25">
      <c r="A44" s="13" t="s">
        <v>140</v>
      </c>
      <c r="B44" s="13"/>
      <c r="C44" s="13"/>
      <c r="D44" s="13"/>
      <c r="E44" s="13"/>
      <c r="F44" s="13"/>
      <c r="G44" s="13"/>
    </row>
    <row r="45" spans="1:2" x14ac:dyDescent="0.25">
      <c r="A45" s="4" t="s">
        <v>141</v>
      </c>
      <c r="B45" s="18">
        <v>0.03</v>
      </c>
    </row>
    <row r="46" spans="1:2" x14ac:dyDescent="0.25">
      <c r="A46" s="4" t="s">
        <v>142</v>
      </c>
      <c r="B46" s="18">
        <v>0.03</v>
      </c>
    </row>
    <row r="47" spans="1:2" x14ac:dyDescent="0.25">
      <c r="A47" s="4" t="s">
        <v>143</v>
      </c>
      <c r="B47" s="19">
        <v>0.8333333333333334</v>
      </c>
    </row>
    <row r="48" spans="1:2" x14ac:dyDescent="0.25">
      <c r="A48" s="4" t="s">
        <v>144</v>
      </c>
      <c r="B48" s="17">
        <v>0</v>
      </c>
    </row>
    <row r="49" spans="1:2" x14ac:dyDescent="0.25">
      <c r="A49" s="4" t="s">
        <v>145</v>
      </c>
      <c r="B49" s="14" t="s">
        <v>146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147</v>
      </c>
      <c r="B3" s="4" t="s">
        <v>148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149</v>
      </c>
      <c r="B6" s="4" t="s">
        <v>150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151</v>
      </c>
      <c r="B8" s="4" t="s">
        <v>17</v>
      </c>
    </row>
    <row r="9" spans="1:2" x14ac:dyDescent="0.25">
      <c r="A9" s="3" t="s">
        <v>87</v>
      </c>
      <c r="B9" s="4" t="s">
        <v>152</v>
      </c>
    </row>
    <row r="10" spans="1:2" x14ac:dyDescent="0.25">
      <c r="A10" s="3" t="s">
        <v>153</v>
      </c>
      <c r="B10" s="4" t="s">
        <v>154</v>
      </c>
    </row>
    <row r="11" spans="1:2" x14ac:dyDescent="0.25">
      <c r="A11" s="3" t="s">
        <v>155</v>
      </c>
      <c r="B11" s="4" t="s">
        <v>156</v>
      </c>
    </row>
    <row r="12" spans="1:2" x14ac:dyDescent="0.25">
      <c r="A12" s="3" t="s">
        <v>145</v>
      </c>
      <c r="B12" s="4" t="s">
        <v>146</v>
      </c>
    </row>
    <row r="13" spans="1:2" x14ac:dyDescent="0.25">
      <c r="A13" s="3" t="s">
        <v>88</v>
      </c>
      <c r="B13" s="4" t="s">
        <v>157</v>
      </c>
    </row>
    <row r="14" spans="1:2" x14ac:dyDescent="0.25">
      <c r="A14" s="3" t="s">
        <v>158</v>
      </c>
      <c r="B14" s="4" t="s">
        <v>146</v>
      </c>
    </row>
    <row r="15" spans="1:2" x14ac:dyDescent="0.25">
      <c r="A15" s="3" t="s">
        <v>159</v>
      </c>
      <c r="B15" s="4" t="s">
        <v>160</v>
      </c>
    </row>
    <row r="16" spans="1:2" x14ac:dyDescent="0.25">
      <c r="A16" s="3" t="s">
        <v>161</v>
      </c>
      <c r="B16" s="4" t="s">
        <v>162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163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0">
        <v>12</v>
      </c>
      <c r="C6" s="20">
        <v>18</v>
      </c>
      <c r="D6" s="20">
        <v>22</v>
      </c>
      <c r="E6" s="20">
        <v>25</v>
      </c>
      <c r="F6" s="20">
        <v>25</v>
      </c>
    </row>
    <row r="7" spans="1:2" x14ac:dyDescent="0.25">
      <c r="A7" s="4" t="s">
        <v>88</v>
      </c>
      <c r="B7" s="21">
        <v>25</v>
      </c>
    </row>
    <row r="8" spans="1:6" x14ac:dyDescent="0.25">
      <c r="A8" s="4" t="s">
        <v>164</v>
      </c>
      <c r="B8" s="22">
        <v>0.48</v>
      </c>
      <c r="C8" s="22">
        <v>0.72</v>
      </c>
      <c r="D8" s="22">
        <v>0.88</v>
      </c>
      <c r="E8" s="22">
        <v>1</v>
      </c>
      <c r="F8" s="22">
        <v>1</v>
      </c>
    </row>
    <row r="10" spans="1:6" x14ac:dyDescent="0.25">
      <c r="A10" s="4" t="s">
        <v>165</v>
      </c>
      <c r="B10" s="4" t="s">
        <v>166</v>
      </c>
      <c r="C10" s="23">
        <v>0.5</v>
      </c>
      <c r="D10" s="23">
        <v>0.2222222222222222</v>
      </c>
      <c r="E10" s="23">
        <v>0.13636363636363635</v>
      </c>
      <c r="F10" s="23"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167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168</v>
      </c>
      <c r="B4" s="13"/>
      <c r="C4" s="13"/>
      <c r="D4" s="13"/>
      <c r="E4" s="13"/>
      <c r="F4" s="13"/>
    </row>
    <row r="5" spans="1:6" x14ac:dyDescent="0.25">
      <c r="A5" s="4" t="s">
        <v>169</v>
      </c>
      <c r="B5" s="24">
        <v>144000</v>
      </c>
      <c r="C5" s="24">
        <v>222480</v>
      </c>
      <c r="D5" s="24">
        <v>280078</v>
      </c>
      <c r="E5" s="24">
        <v>327818</v>
      </c>
      <c r="F5" s="24">
        <v>337653</v>
      </c>
    </row>
    <row r="6" spans="1:6" x14ac:dyDescent="0.25">
      <c r="A6" s="4" t="s">
        <v>170</v>
      </c>
      <c r="B6" s="24">
        <v>3000</v>
      </c>
      <c r="C6" s="24">
        <v>4635</v>
      </c>
      <c r="D6" s="24">
        <v>5835</v>
      </c>
      <c r="E6" s="24">
        <v>6830</v>
      </c>
      <c r="F6" s="24">
        <v>7034</v>
      </c>
    </row>
    <row r="7" spans="1:6" x14ac:dyDescent="0.25">
      <c r="A7" s="4" t="s">
        <v>171</v>
      </c>
      <c r="B7" s="24">
        <v>84000</v>
      </c>
      <c r="C7" s="24">
        <v>129780</v>
      </c>
      <c r="D7" s="24">
        <v>163379</v>
      </c>
      <c r="E7" s="24">
        <v>191227</v>
      </c>
      <c r="F7" s="24">
        <v>196964</v>
      </c>
    </row>
    <row r="8" spans="1:6" x14ac:dyDescent="0.25">
      <c r="A8" s="4" t="s">
        <v>172</v>
      </c>
      <c r="B8" s="24">
        <v>5000</v>
      </c>
      <c r="C8" s="24">
        <v>5150</v>
      </c>
      <c r="D8" s="24">
        <v>5305</v>
      </c>
      <c r="E8" s="24">
        <v>5464</v>
      </c>
      <c r="F8" s="24">
        <v>5628</v>
      </c>
    </row>
    <row r="9" ht="24" customHeight="1" spans="1:6" x14ac:dyDescent="0.25">
      <c r="A9" s="13" t="s">
        <v>173</v>
      </c>
      <c r="B9" s="25">
        <f>SUM(B5:B8)</f>
        <v>236000</v>
      </c>
      <c r="C9" s="25">
        <f>SUM(C5:C8)</f>
        <v>362045</v>
      </c>
      <c r="D9" s="25">
        <f>SUM(D5:D8)</f>
        <v>454596</v>
      </c>
      <c r="E9" s="25">
        <f>SUM(E5:E8)</f>
        <v>531339</v>
      </c>
      <c r="F9" s="25">
        <f>SUM(F5:F8)</f>
        <v>547279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112</v>
      </c>
      <c r="B3" s="15" t="s">
        <v>98</v>
      </c>
      <c r="C3" s="15" t="s">
        <v>114</v>
      </c>
      <c r="D3" s="15" t="s">
        <v>174</v>
      </c>
      <c r="E3" s="15" t="s">
        <v>116</v>
      </c>
      <c r="F3" s="15" t="s">
        <v>117</v>
      </c>
      <c r="G3" s="15" t="s">
        <v>175</v>
      </c>
    </row>
    <row r="4" spans="1:7" x14ac:dyDescent="0.25">
      <c r="A4" s="4" t="s">
        <v>118</v>
      </c>
      <c r="B4" s="4" t="s">
        <v>119</v>
      </c>
      <c r="C4" s="26">
        <v>1</v>
      </c>
      <c r="D4" s="24">
        <v>55000</v>
      </c>
      <c r="E4" s="23">
        <v>0.2</v>
      </c>
      <c r="F4" s="23">
        <v>0.0765</v>
      </c>
      <c r="G4" s="27">
        <v>70208</v>
      </c>
    </row>
    <row r="5" spans="1:7" x14ac:dyDescent="0.25">
      <c r="A5" s="4" t="s">
        <v>121</v>
      </c>
      <c r="B5" s="4" t="s">
        <v>122</v>
      </c>
      <c r="C5" s="26">
        <v>1</v>
      </c>
      <c r="D5" s="24">
        <v>45000</v>
      </c>
      <c r="E5" s="23">
        <v>0.2</v>
      </c>
      <c r="F5" s="23">
        <v>0.0765</v>
      </c>
      <c r="G5" s="27">
        <v>57443</v>
      </c>
    </row>
    <row r="6" spans="1:7" x14ac:dyDescent="0.25">
      <c r="A6" s="4" t="s">
        <v>123</v>
      </c>
      <c r="B6" s="4" t="s">
        <v>122</v>
      </c>
      <c r="C6" s="26">
        <v>0.5</v>
      </c>
      <c r="D6" s="24">
        <v>28000</v>
      </c>
      <c r="E6" s="23">
        <v>0</v>
      </c>
      <c r="F6" s="23">
        <v>0.0765</v>
      </c>
      <c r="G6" s="27">
        <v>15071</v>
      </c>
    </row>
    <row r="8" ht="24" customHeight="1" spans="1:7" x14ac:dyDescent="0.25">
      <c r="A8" s="13" t="s">
        <v>176</v>
      </c>
      <c r="B8" s="13"/>
      <c r="C8" s="13"/>
      <c r="D8" s="13"/>
      <c r="E8" s="13"/>
      <c r="F8" s="13"/>
      <c r="G8" s="13"/>
    </row>
    <row r="9" ht="28" customHeight="1" spans="1:6" x14ac:dyDescent="0.25">
      <c r="A9" s="15" t="s">
        <v>67</v>
      </c>
      <c r="B9" s="15" t="s">
        <v>90</v>
      </c>
      <c r="C9" s="15" t="s">
        <v>91</v>
      </c>
      <c r="D9" s="15" t="s">
        <v>92</v>
      </c>
      <c r="E9" s="15" t="s">
        <v>93</v>
      </c>
      <c r="F9" s="15" t="s">
        <v>94</v>
      </c>
    </row>
    <row r="10" spans="1:6" x14ac:dyDescent="0.25">
      <c r="A10" s="3" t="s">
        <v>177</v>
      </c>
      <c r="B10" s="25">
        <v>118934</v>
      </c>
      <c r="C10" s="25">
        <v>147003</v>
      </c>
      <c r="D10" s="25">
        <v>151413</v>
      </c>
      <c r="E10" s="25">
        <v>155955</v>
      </c>
      <c r="F10" s="25">
        <v>160634</v>
      </c>
    </row>
    <row r="11" spans="1:6" x14ac:dyDescent="0.25">
      <c r="A11" s="4" t="s">
        <v>178</v>
      </c>
      <c r="B11" s="23">
        <v>0.5039583333333334</v>
      </c>
      <c r="C11" s="23">
        <v>0.40603413940256045</v>
      </c>
      <c r="D11" s="23">
        <v>0.333071178529755</v>
      </c>
      <c r="E11" s="23">
        <v>0.2935136246786632</v>
      </c>
      <c r="F11" s="23">
        <v>0.2935136246786632</v>
      </c>
    </row>
    <row r="12" spans="1:6" x14ac:dyDescent="0.25">
      <c r="A12" s="4" t="s">
        <v>179</v>
      </c>
      <c r="B12" s="28">
        <v>4.8</v>
      </c>
      <c r="C12" s="28">
        <v>7.2</v>
      </c>
      <c r="D12" s="28">
        <v>8.8</v>
      </c>
      <c r="E12" s="28">
        <v>10</v>
      </c>
      <c r="F12" s="28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132</v>
      </c>
      <c r="B4" s="13"/>
      <c r="C4" s="13"/>
      <c r="D4" s="13"/>
      <c r="E4" s="13"/>
      <c r="F4" s="13"/>
    </row>
    <row r="5" spans="1:6" x14ac:dyDescent="0.25">
      <c r="A5" s="4" t="s">
        <v>181</v>
      </c>
      <c r="B5" s="24">
        <v>6000</v>
      </c>
      <c r="C5" s="24">
        <v>9270</v>
      </c>
      <c r="D5" s="24">
        <v>11670</v>
      </c>
      <c r="E5" s="24">
        <v>13659</v>
      </c>
      <c r="F5" s="24">
        <v>14069</v>
      </c>
    </row>
    <row r="6" spans="1:6" x14ac:dyDescent="0.25">
      <c r="A6" s="3" t="s">
        <v>182</v>
      </c>
      <c r="B6" s="29">
        <f>SUM(B5:B5)</f>
        <v>6000</v>
      </c>
      <c r="C6" s="29">
        <f>SUM(C5:C5)</f>
        <v>9270</v>
      </c>
      <c r="D6" s="29">
        <f>SUM(D5:D5)</f>
        <v>11670</v>
      </c>
      <c r="E6" s="29">
        <f>SUM(E5:E5)</f>
        <v>13659</v>
      </c>
      <c r="F6" s="29">
        <f>SUM(F5:F5)</f>
        <v>14069</v>
      </c>
    </row>
    <row r="7" ht="24" customHeight="1" spans="1:6" x14ac:dyDescent="0.25">
      <c r="A7" s="13" t="s">
        <v>133</v>
      </c>
      <c r="B7" s="13"/>
      <c r="C7" s="13"/>
      <c r="D7" s="13"/>
      <c r="E7" s="13"/>
      <c r="F7" s="13"/>
    </row>
    <row r="8" spans="1:6" x14ac:dyDescent="0.25">
      <c r="A8" s="4" t="s">
        <v>183</v>
      </c>
      <c r="B8" s="24">
        <v>3600</v>
      </c>
      <c r="C8" s="24">
        <v>5562</v>
      </c>
      <c r="D8" s="24">
        <v>7002</v>
      </c>
      <c r="E8" s="24">
        <v>8195</v>
      </c>
      <c r="F8" s="24">
        <v>8441</v>
      </c>
    </row>
    <row r="9" spans="1:6" x14ac:dyDescent="0.25">
      <c r="A9" s="3" t="s">
        <v>184</v>
      </c>
      <c r="B9" s="29">
        <f>SUM(B8:B8)</f>
        <v>3600</v>
      </c>
      <c r="C9" s="29">
        <f>SUM(C8:C8)</f>
        <v>5562</v>
      </c>
      <c r="D9" s="29">
        <f>SUM(D8:D8)</f>
        <v>7002</v>
      </c>
      <c r="E9" s="29">
        <f>SUM(E8:E8)</f>
        <v>8195</v>
      </c>
      <c r="F9" s="29">
        <f>SUM(F8:F8)</f>
        <v>8441</v>
      </c>
    </row>
    <row r="10" ht="24" customHeight="1" spans="1:6" x14ac:dyDescent="0.25">
      <c r="A10" s="13" t="s">
        <v>127</v>
      </c>
      <c r="B10" s="13"/>
      <c r="C10" s="13"/>
      <c r="D10" s="13"/>
      <c r="E10" s="13"/>
      <c r="F10" s="13"/>
    </row>
    <row r="11" spans="1:6" x14ac:dyDescent="0.25">
      <c r="A11" s="4" t="s">
        <v>185</v>
      </c>
      <c r="B11" s="24">
        <v>30000</v>
      </c>
      <c r="C11" s="24">
        <v>30900</v>
      </c>
      <c r="D11" s="24">
        <v>31827</v>
      </c>
      <c r="E11" s="24">
        <v>32782</v>
      </c>
      <c r="F11" s="24">
        <v>33765</v>
      </c>
    </row>
    <row r="12" spans="1:6" x14ac:dyDescent="0.25">
      <c r="A12" s="4" t="s">
        <v>186</v>
      </c>
      <c r="B12" s="24">
        <v>3600</v>
      </c>
      <c r="C12" s="24">
        <v>3708</v>
      </c>
      <c r="D12" s="24">
        <v>3819</v>
      </c>
      <c r="E12" s="24">
        <v>3934</v>
      </c>
      <c r="F12" s="24">
        <v>4052</v>
      </c>
    </row>
    <row r="13" spans="1:6" x14ac:dyDescent="0.25">
      <c r="A13" s="4" t="s">
        <v>187</v>
      </c>
      <c r="B13" s="24">
        <v>2400</v>
      </c>
      <c r="C13" s="24">
        <v>2472</v>
      </c>
      <c r="D13" s="24">
        <v>2546</v>
      </c>
      <c r="E13" s="24">
        <v>2623</v>
      </c>
      <c r="F13" s="24">
        <v>2701</v>
      </c>
    </row>
    <row r="14" spans="1:6" x14ac:dyDescent="0.25">
      <c r="A14" s="3" t="s">
        <v>188</v>
      </c>
      <c r="B14" s="29">
        <f>SUM(B11:B13)</f>
        <v>36000</v>
      </c>
      <c r="C14" s="29">
        <f>SUM(C11:C13)</f>
        <v>37080</v>
      </c>
      <c r="D14" s="29">
        <f>SUM(D11:D13)</f>
        <v>38192</v>
      </c>
      <c r="E14" s="29">
        <f>SUM(E11:E13)</f>
        <v>39338</v>
      </c>
      <c r="F14" s="29">
        <f>SUM(F11:F13)</f>
        <v>40518</v>
      </c>
    </row>
    <row r="15" ht="24" customHeight="1" spans="1:6" x14ac:dyDescent="0.25">
      <c r="A15" s="13" t="s">
        <v>135</v>
      </c>
      <c r="B15" s="13"/>
      <c r="C15" s="13"/>
      <c r="D15" s="13"/>
      <c r="E15" s="13"/>
      <c r="F15" s="13"/>
    </row>
    <row r="16" spans="1:6" x14ac:dyDescent="0.25">
      <c r="A16" s="4" t="s">
        <v>189</v>
      </c>
      <c r="B16" s="24">
        <v>3000</v>
      </c>
      <c r="C16" s="24">
        <v>3090</v>
      </c>
      <c r="D16" s="24">
        <v>3183</v>
      </c>
      <c r="E16" s="24">
        <v>3278</v>
      </c>
      <c r="F16" s="24">
        <v>3377</v>
      </c>
    </row>
    <row r="17" spans="1:6" x14ac:dyDescent="0.25">
      <c r="A17" s="3" t="s">
        <v>190</v>
      </c>
      <c r="B17" s="29">
        <f>SUM(B16:B16)</f>
        <v>3000</v>
      </c>
      <c r="C17" s="29">
        <f>SUM(C16:C16)</f>
        <v>3090</v>
      </c>
      <c r="D17" s="29">
        <f>SUM(D16:D16)</f>
        <v>3183</v>
      </c>
      <c r="E17" s="29">
        <f>SUM(E16:E16)</f>
        <v>3278</v>
      </c>
      <c r="F17" s="29">
        <f>SUM(F16:F16)</f>
        <v>3377</v>
      </c>
    </row>
    <row r="19" ht="24" customHeight="1" spans="1:6" x14ac:dyDescent="0.25">
      <c r="A19" s="13" t="s">
        <v>191</v>
      </c>
      <c r="B19" s="25">
        <f>B6+B9+B14+B17</f>
        <v>48600</v>
      </c>
      <c r="C19" s="25">
        <f>C6+C9+C14+C17</f>
        <v>55002</v>
      </c>
      <c r="D19" s="25">
        <f>D6+D9+D14+D17</f>
        <v>60047</v>
      </c>
      <c r="E19" s="25">
        <f>E6+E9+E14+E17</f>
        <v>64471</v>
      </c>
      <c r="F19" s="25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192</v>
      </c>
      <c r="B1" s="11"/>
      <c r="C1" s="11"/>
      <c r="D1" s="11"/>
      <c r="E1" s="11"/>
      <c r="F1" s="11"/>
    </row>
    <row r="3" ht="28" customHeight="1" spans="1:6" x14ac:dyDescent="0.25">
      <c r="A3" s="15" t="s">
        <v>137</v>
      </c>
      <c r="B3" s="15" t="s">
        <v>113</v>
      </c>
      <c r="C3" s="15" t="s">
        <v>138</v>
      </c>
      <c r="D3" s="15" t="s">
        <v>115</v>
      </c>
      <c r="E3" s="15" t="s">
        <v>139</v>
      </c>
      <c r="F3" s="15" t="s">
        <v>193</v>
      </c>
    </row>
    <row r="5" spans="1:6" x14ac:dyDescent="0.25">
      <c r="A5" s="3" t="s">
        <v>194</v>
      </c>
      <c r="F5" s="25">
        <v>0</v>
      </c>
    </row>
    <row r="6" spans="1:6" x14ac:dyDescent="0.25">
      <c r="A6" s="3" t="s">
        <v>195</v>
      </c>
      <c r="F6" s="29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196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0">
        <v>12</v>
      </c>
      <c r="C4" s="30">
        <v>18</v>
      </c>
      <c r="D4" s="30">
        <v>22</v>
      </c>
      <c r="E4" s="30">
        <v>25</v>
      </c>
      <c r="F4" s="30">
        <v>25</v>
      </c>
    </row>
    <row r="6" ht="24" customHeight="1" spans="1:6" x14ac:dyDescent="0.25">
      <c r="A6" s="13" t="s">
        <v>197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4">
        <v>144000</v>
      </c>
      <c r="C7" s="24">
        <v>222480</v>
      </c>
      <c r="D7" s="24">
        <v>280078</v>
      </c>
      <c r="E7" s="24">
        <v>327818</v>
      </c>
      <c r="F7" s="24">
        <v>337653</v>
      </c>
    </row>
    <row r="8" spans="1:6" x14ac:dyDescent="0.25">
      <c r="A8" s="4" t="s">
        <v>105</v>
      </c>
      <c r="B8" s="24">
        <v>3000</v>
      </c>
      <c r="C8" s="24">
        <v>4635</v>
      </c>
      <c r="D8" s="24">
        <v>5835</v>
      </c>
      <c r="E8" s="24">
        <v>6830</v>
      </c>
      <c r="F8" s="24">
        <v>7034</v>
      </c>
    </row>
    <row r="9" spans="1:6" x14ac:dyDescent="0.25">
      <c r="A9" s="4" t="s">
        <v>106</v>
      </c>
      <c r="B9" s="24">
        <v>84000</v>
      </c>
      <c r="C9" s="24">
        <v>129780</v>
      </c>
      <c r="D9" s="24">
        <v>163379</v>
      </c>
      <c r="E9" s="24">
        <v>191227</v>
      </c>
      <c r="F9" s="24">
        <v>196964</v>
      </c>
    </row>
    <row r="10" spans="1:6" x14ac:dyDescent="0.25">
      <c r="A10" s="4" t="s">
        <v>108</v>
      </c>
      <c r="B10" s="24">
        <v>5000</v>
      </c>
      <c r="C10" s="24">
        <v>5150</v>
      </c>
      <c r="D10" s="24">
        <v>5305</v>
      </c>
      <c r="E10" s="24">
        <v>5464</v>
      </c>
      <c r="F10" s="24">
        <v>5628</v>
      </c>
    </row>
    <row r="11" ht="24" customHeight="1" spans="1:6" x14ac:dyDescent="0.25">
      <c r="A11" s="13" t="s">
        <v>173</v>
      </c>
      <c r="B11" s="25">
        <f>SUM(B7:B10)</f>
        <v>236000</v>
      </c>
      <c r="C11" s="25">
        <f>SUM(C7:C10)</f>
        <v>362045</v>
      </c>
      <c r="D11" s="25">
        <f>SUM(D7:D10)</f>
        <v>454596</v>
      </c>
      <c r="E11" s="25">
        <f>SUM(E7:E10)</f>
        <v>531339</v>
      </c>
      <c r="F11" s="25">
        <f>SUM(F7:F10)</f>
        <v>547279</v>
      </c>
    </row>
    <row r="13" spans="1:6" x14ac:dyDescent="0.25">
      <c r="A13" s="4" t="s">
        <v>198</v>
      </c>
      <c r="B13" s="24">
        <v>19667</v>
      </c>
      <c r="C13" s="24">
        <v>20114</v>
      </c>
      <c r="D13" s="24">
        <v>20663</v>
      </c>
      <c r="E13" s="24">
        <v>21254</v>
      </c>
      <c r="F13" s="24">
        <v>21891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199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122</v>
      </c>
      <c r="B4" s="13"/>
      <c r="C4" s="13"/>
      <c r="D4" s="13"/>
      <c r="E4" s="13"/>
      <c r="F4" s="13"/>
    </row>
    <row r="5" spans="1:6" x14ac:dyDescent="0.25">
      <c r="A5" s="4" t="s">
        <v>200</v>
      </c>
      <c r="B5" s="24">
        <v>47869</v>
      </c>
      <c r="C5" s="24">
        <v>59166</v>
      </c>
      <c r="D5" s="24">
        <v>60941</v>
      </c>
      <c r="E5" s="24">
        <v>62769</v>
      </c>
      <c r="F5" s="24">
        <v>64652</v>
      </c>
    </row>
    <row r="6" spans="1:6" x14ac:dyDescent="0.25">
      <c r="A6" s="4" t="s">
        <v>201</v>
      </c>
      <c r="B6" s="24">
        <v>12559</v>
      </c>
      <c r="C6" s="24">
        <v>15523</v>
      </c>
      <c r="D6" s="24">
        <v>15989</v>
      </c>
      <c r="E6" s="24">
        <v>16468</v>
      </c>
      <c r="F6" s="24">
        <v>16963</v>
      </c>
    </row>
    <row r="7" spans="1:6" x14ac:dyDescent="0.25">
      <c r="A7" s="3" t="s">
        <v>202</v>
      </c>
      <c r="B7" s="29">
        <f>SUM(B5:B6)</f>
        <v>60428</v>
      </c>
      <c r="C7" s="29">
        <f>SUM(C5:C6)</f>
        <v>74689</v>
      </c>
      <c r="D7" s="29">
        <f>SUM(D5:D6)</f>
        <v>76930</v>
      </c>
      <c r="E7" s="29">
        <f>SUM(E5:E6)</f>
        <v>79237</v>
      </c>
      <c r="F7" s="29">
        <f>SUM(F5:F6)</f>
        <v>81615</v>
      </c>
    </row>
    <row r="8" ht="24" customHeight="1" spans="1:6" x14ac:dyDescent="0.25">
      <c r="A8" s="13" t="s">
        <v>119</v>
      </c>
      <c r="B8" s="13"/>
      <c r="C8" s="13"/>
      <c r="D8" s="13"/>
      <c r="E8" s="13"/>
      <c r="F8" s="13"/>
    </row>
    <row r="9" spans="1:6" x14ac:dyDescent="0.25">
      <c r="A9" s="4" t="s">
        <v>203</v>
      </c>
      <c r="B9" s="24">
        <v>58506</v>
      </c>
      <c r="C9" s="24">
        <v>72314</v>
      </c>
      <c r="D9" s="24">
        <v>74483</v>
      </c>
      <c r="E9" s="24">
        <v>76718</v>
      </c>
      <c r="F9" s="24">
        <v>79019</v>
      </c>
    </row>
    <row r="10" spans="1:6" x14ac:dyDescent="0.25">
      <c r="A10" s="3" t="s">
        <v>204</v>
      </c>
      <c r="B10" s="29">
        <f>SUM(B9:B9)</f>
        <v>58506</v>
      </c>
      <c r="C10" s="29">
        <f>SUM(C9:C9)</f>
        <v>72314</v>
      </c>
      <c r="D10" s="29">
        <f>SUM(D9:D9)</f>
        <v>74483</v>
      </c>
      <c r="E10" s="29">
        <f>SUM(E9:E9)</f>
        <v>76718</v>
      </c>
      <c r="F10" s="29">
        <f>SUM(F9:F9)</f>
        <v>79019</v>
      </c>
    </row>
    <row r="12" ht="24" customHeight="1" spans="1:6" x14ac:dyDescent="0.25">
      <c r="A12" s="13" t="s">
        <v>205</v>
      </c>
      <c r="B12" s="25">
        <f>B7+B10</f>
        <v>118934</v>
      </c>
      <c r="C12" s="25">
        <f>C7+C10</f>
        <v>147003</v>
      </c>
      <c r="D12" s="25">
        <f>D7+D10</f>
        <v>151413</v>
      </c>
      <c r="E12" s="25">
        <f>E7+E10</f>
        <v>155955</v>
      </c>
      <c r="F12" s="25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2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206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207</v>
      </c>
      <c r="B4" s="13"/>
      <c r="C4" s="13"/>
      <c r="D4" s="13"/>
      <c r="E4" s="13"/>
      <c r="F4" s="13"/>
    </row>
    <row r="5" spans="1:6" x14ac:dyDescent="0.25">
      <c r="A5" s="4" t="s">
        <v>208</v>
      </c>
      <c r="B5" s="24">
        <v>120000</v>
      </c>
      <c r="C5" s="24">
        <v>222480</v>
      </c>
      <c r="D5" s="24">
        <v>280078</v>
      </c>
      <c r="E5" s="24">
        <v>327818</v>
      </c>
      <c r="F5" s="24">
        <v>337653</v>
      </c>
    </row>
    <row r="6" spans="1:6" x14ac:dyDescent="0.25">
      <c r="A6" s="4" t="s">
        <v>209</v>
      </c>
      <c r="B6" s="24">
        <v>2500</v>
      </c>
      <c r="C6" s="24">
        <v>4635</v>
      </c>
      <c r="D6" s="24">
        <v>5835</v>
      </c>
      <c r="E6" s="24">
        <v>6830</v>
      </c>
      <c r="F6" s="24">
        <v>7034</v>
      </c>
    </row>
    <row r="7" spans="1:6" x14ac:dyDescent="0.25">
      <c r="A7" s="4" t="s">
        <v>210</v>
      </c>
      <c r="B7" s="24">
        <v>70000</v>
      </c>
      <c r="C7" s="24">
        <v>129780</v>
      </c>
      <c r="D7" s="24">
        <v>163379</v>
      </c>
      <c r="E7" s="24">
        <v>191227</v>
      </c>
      <c r="F7" s="24">
        <v>196964</v>
      </c>
    </row>
    <row r="8" spans="1:6" x14ac:dyDescent="0.25">
      <c r="A8" s="4" t="s">
        <v>211</v>
      </c>
      <c r="B8" s="24">
        <v>4167</v>
      </c>
      <c r="C8" s="24">
        <v>5150</v>
      </c>
      <c r="D8" s="24">
        <v>5305</v>
      </c>
      <c r="E8" s="24">
        <v>5464</v>
      </c>
      <c r="F8" s="24">
        <v>5628</v>
      </c>
    </row>
    <row r="9" spans="1:6" x14ac:dyDescent="0.25">
      <c r="A9" s="3" t="s">
        <v>212</v>
      </c>
      <c r="B9" s="29">
        <f>SUM(B5:B8)</f>
        <v>196667</v>
      </c>
      <c r="C9" s="29">
        <f>SUM(C5:C8)</f>
        <v>362045</v>
      </c>
      <c r="D9" s="29">
        <f>SUM(D5:D8)</f>
        <v>454596</v>
      </c>
      <c r="E9" s="29">
        <f>SUM(E5:E8)</f>
        <v>531339</v>
      </c>
      <c r="F9" s="29">
        <f>SUM(F5:F8)</f>
        <v>547279</v>
      </c>
    </row>
    <row r="11" ht="24" customHeight="1" spans="1:6" x14ac:dyDescent="0.25">
      <c r="A11" s="13" t="s">
        <v>213</v>
      </c>
      <c r="B11" s="13"/>
      <c r="C11" s="13"/>
      <c r="D11" s="13"/>
      <c r="E11" s="13"/>
      <c r="F11" s="13"/>
    </row>
    <row r="12" spans="1:6" x14ac:dyDescent="0.25">
      <c r="A12" s="4" t="s">
        <v>203</v>
      </c>
      <c r="B12" s="24">
        <v>58506</v>
      </c>
      <c r="C12" s="24">
        <v>72314</v>
      </c>
      <c r="D12" s="24">
        <v>74483</v>
      </c>
      <c r="E12" s="24">
        <v>76718</v>
      </c>
      <c r="F12" s="24">
        <v>79019</v>
      </c>
    </row>
    <row r="13" spans="1:6" x14ac:dyDescent="0.25">
      <c r="A13" s="4" t="s">
        <v>200</v>
      </c>
      <c r="B13" s="24">
        <v>47869</v>
      </c>
      <c r="C13" s="24">
        <v>59166</v>
      </c>
      <c r="D13" s="24">
        <v>60941</v>
      </c>
      <c r="E13" s="24">
        <v>62769</v>
      </c>
      <c r="F13" s="24">
        <v>64652</v>
      </c>
    </row>
    <row r="14" spans="1:6" x14ac:dyDescent="0.25">
      <c r="A14" s="4" t="s">
        <v>201</v>
      </c>
      <c r="B14" s="24">
        <v>12559</v>
      </c>
      <c r="C14" s="24">
        <v>15523</v>
      </c>
      <c r="D14" s="24">
        <v>15989</v>
      </c>
      <c r="E14" s="24">
        <v>16468</v>
      </c>
      <c r="F14" s="24">
        <v>16963</v>
      </c>
    </row>
    <row r="15" spans="1:6" x14ac:dyDescent="0.25">
      <c r="A15" s="3" t="s">
        <v>177</v>
      </c>
      <c r="B15" s="29">
        <f>SUM(B12:B14)</f>
        <v>118934</v>
      </c>
      <c r="C15" s="29">
        <f>SUM(C12:C14)</f>
        <v>147003</v>
      </c>
      <c r="D15" s="29">
        <f>SUM(D12:D14)</f>
        <v>151413</v>
      </c>
      <c r="E15" s="29">
        <f>SUM(E12:E14)</f>
        <v>155955</v>
      </c>
      <c r="F15" s="29">
        <f>SUM(F12:F14)</f>
        <v>160634</v>
      </c>
    </row>
    <row r="17" ht="24" customHeight="1" spans="1:6" x14ac:dyDescent="0.25">
      <c r="A17" s="13" t="s">
        <v>125</v>
      </c>
      <c r="B17" s="13"/>
      <c r="C17" s="13"/>
      <c r="D17" s="13"/>
      <c r="E17" s="13"/>
      <c r="F17" s="13"/>
    </row>
    <row r="18" spans="1:1" x14ac:dyDescent="0.25">
      <c r="A18" s="31" t="s">
        <v>132</v>
      </c>
    </row>
    <row r="19" spans="1:6" x14ac:dyDescent="0.25">
      <c r="A19" s="4" t="s">
        <v>214</v>
      </c>
      <c r="B19" s="24">
        <v>5000</v>
      </c>
      <c r="C19" s="24">
        <v>9270</v>
      </c>
      <c r="D19" s="24">
        <v>11670</v>
      </c>
      <c r="E19" s="24">
        <v>13659</v>
      </c>
      <c r="F19" s="24">
        <v>14069</v>
      </c>
    </row>
    <row r="20" spans="1:1" x14ac:dyDescent="0.25">
      <c r="A20" s="31" t="s">
        <v>133</v>
      </c>
    </row>
    <row r="21" spans="1:6" x14ac:dyDescent="0.25">
      <c r="A21" s="4" t="s">
        <v>215</v>
      </c>
      <c r="B21" s="24">
        <v>3000</v>
      </c>
      <c r="C21" s="24">
        <v>5562</v>
      </c>
      <c r="D21" s="24">
        <v>7002</v>
      </c>
      <c r="E21" s="24">
        <v>8195</v>
      </c>
      <c r="F21" s="24">
        <v>8441</v>
      </c>
    </row>
    <row r="22" spans="1:1" x14ac:dyDescent="0.25">
      <c r="A22" s="31" t="s">
        <v>127</v>
      </c>
    </row>
    <row r="23" spans="1:6" x14ac:dyDescent="0.25">
      <c r="A23" s="4" t="s">
        <v>216</v>
      </c>
      <c r="B23" s="24">
        <v>25000</v>
      </c>
      <c r="C23" s="24">
        <v>30900</v>
      </c>
      <c r="D23" s="24">
        <v>31827</v>
      </c>
      <c r="E23" s="24">
        <v>32782</v>
      </c>
      <c r="F23" s="24">
        <v>33765</v>
      </c>
    </row>
    <row r="24" spans="1:6" x14ac:dyDescent="0.25">
      <c r="A24" s="4" t="s">
        <v>217</v>
      </c>
      <c r="B24" s="24">
        <v>3000</v>
      </c>
      <c r="C24" s="24">
        <v>3708</v>
      </c>
      <c r="D24" s="24">
        <v>3819</v>
      </c>
      <c r="E24" s="24">
        <v>3934</v>
      </c>
      <c r="F24" s="24">
        <v>4052</v>
      </c>
    </row>
    <row r="25" spans="1:6" x14ac:dyDescent="0.25">
      <c r="A25" s="4" t="s">
        <v>218</v>
      </c>
      <c r="B25" s="24">
        <v>2000</v>
      </c>
      <c r="C25" s="24">
        <v>2472</v>
      </c>
      <c r="D25" s="24">
        <v>2546</v>
      </c>
      <c r="E25" s="24">
        <v>2623</v>
      </c>
      <c r="F25" s="24">
        <v>2701</v>
      </c>
    </row>
    <row r="26" spans="1:6" x14ac:dyDescent="0.25">
      <c r="A26" s="3" t="s">
        <v>219</v>
      </c>
      <c r="B26" s="29">
        <f>SUM(B23:B25)</f>
        <v>30000</v>
      </c>
      <c r="C26" s="29">
        <f>SUM(C23:C25)</f>
        <v>37080</v>
      </c>
      <c r="D26" s="29">
        <f>SUM(D23:D25)</f>
        <v>38192</v>
      </c>
      <c r="E26" s="29">
        <f>SUM(E23:E25)</f>
        <v>39338</v>
      </c>
      <c r="F26" s="29">
        <f>SUM(F23:F25)</f>
        <v>40518</v>
      </c>
    </row>
    <row r="27" spans="1:1" x14ac:dyDescent="0.25">
      <c r="A27" s="31" t="s">
        <v>135</v>
      </c>
    </row>
    <row r="28" spans="1:6" x14ac:dyDescent="0.25">
      <c r="A28" s="4" t="s">
        <v>220</v>
      </c>
      <c r="B28" s="24">
        <v>2500</v>
      </c>
      <c r="C28" s="24">
        <v>3090</v>
      </c>
      <c r="D28" s="24">
        <v>3183</v>
      </c>
      <c r="E28" s="24">
        <v>3278</v>
      </c>
      <c r="F28" s="24">
        <v>3377</v>
      </c>
    </row>
    <row r="29" spans="1:6" x14ac:dyDescent="0.25">
      <c r="A29" s="3" t="s">
        <v>221</v>
      </c>
      <c r="B29" s="29">
        <f>B19+B21+B26+B28</f>
        <v>40500</v>
      </c>
      <c r="C29" s="29">
        <f>C19+C21+C26+C28</f>
        <v>55002</v>
      </c>
      <c r="D29" s="29">
        <f>D19+D21+D26+D28</f>
        <v>60047</v>
      </c>
      <c r="E29" s="29">
        <f>E19+E21+E26+E28</f>
        <v>64471</v>
      </c>
      <c r="F29" s="29">
        <f>F19+F21+F26+F28</f>
        <v>66405</v>
      </c>
    </row>
    <row r="31" ht="24" customHeight="1" spans="1:6" x14ac:dyDescent="0.25">
      <c r="A31" s="13" t="s">
        <v>222</v>
      </c>
      <c r="B31" s="13"/>
      <c r="C31" s="13"/>
      <c r="D31" s="13"/>
      <c r="E31" s="13"/>
      <c r="F31" s="13"/>
    </row>
    <row r="32" spans="1:6" x14ac:dyDescent="0.25">
      <c r="A32" s="3" t="s">
        <v>223</v>
      </c>
      <c r="B32" s="29" t="str">
        <f>SUM(B32:B31)</f>
        <v>0</v>
      </c>
      <c r="C32" s="29" t="str">
        <f>SUM(C32:C31)</f>
        <v>0</v>
      </c>
      <c r="D32" s="29" t="str">
        <f>SUM(D32:D31)</f>
        <v>0</v>
      </c>
      <c r="E32" s="29" t="str">
        <f>SUM(E32:E31)</f>
        <v>0</v>
      </c>
      <c r="F32" s="29" t="str">
        <f>SUM(F32:F31)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212</v>
      </c>
      <c r="B4" s="27">
        <f>'Budget Detail'!B9</f>
        <v>196667</v>
      </c>
      <c r="C4" s="27">
        <f>'Budget Detail'!C9</f>
        <v>362045</v>
      </c>
      <c r="D4" s="27">
        <f>'Budget Detail'!D9</f>
        <v>454596</v>
      </c>
      <c r="E4" s="27">
        <f>'Budget Detail'!E9</f>
        <v>531339</v>
      </c>
      <c r="F4" s="27">
        <f>'Budget Detail'!F9</f>
        <v>547279</v>
      </c>
    </row>
    <row r="5" spans="1:6" x14ac:dyDescent="0.25">
      <c r="A5" s="3" t="s">
        <v>177</v>
      </c>
      <c r="B5" s="27">
        <f>'Budget Detail'!B15</f>
        <v>118934</v>
      </c>
      <c r="C5" s="27">
        <f>'Budget Detail'!C15</f>
        <v>147003</v>
      </c>
      <c r="D5" s="27">
        <f>'Budget Detail'!D15</f>
        <v>151413</v>
      </c>
      <c r="E5" s="27">
        <f>'Budget Detail'!E15</f>
        <v>155955</v>
      </c>
      <c r="F5" s="27">
        <f>'Budget Detail'!F15</f>
        <v>160634</v>
      </c>
    </row>
    <row r="6" spans="1:6" x14ac:dyDescent="0.25">
      <c r="A6" s="3" t="s">
        <v>221</v>
      </c>
      <c r="B6" s="27">
        <f>'Budget Detail'!B29</f>
        <v>40500</v>
      </c>
      <c r="C6" s="27">
        <f>'Budget Detail'!C29</f>
        <v>55002</v>
      </c>
      <c r="D6" s="27">
        <f>'Budget Detail'!D29</f>
        <v>60047</v>
      </c>
      <c r="E6" s="27">
        <f>'Budget Detail'!E29</f>
        <v>64471</v>
      </c>
      <c r="F6" s="27">
        <f>'Budget Detail'!F29</f>
        <v>66405</v>
      </c>
    </row>
    <row r="7" spans="1:6" x14ac:dyDescent="0.25">
      <c r="A7" s="3" t="s">
        <v>225</v>
      </c>
      <c r="B7" s="27" t="str">
        <f>'Budget Detail'!B32</f>
        <v>0</v>
      </c>
      <c r="C7" s="27" t="str">
        <f>'Budget Detail'!C32</f>
        <v>0</v>
      </c>
      <c r="D7" s="27" t="str">
        <f>'Budget Detail'!D32</f>
        <v>0</v>
      </c>
      <c r="E7" s="27" t="str">
        <f>'Budget Detail'!E32</f>
        <v>0</v>
      </c>
      <c r="F7" s="27" t="str">
        <f>'Budget Detail'!F32</f>
        <v>0</v>
      </c>
    </row>
    <row r="8" spans="1:6" x14ac:dyDescent="0.25">
      <c r="A8" s="3" t="s">
        <v>226</v>
      </c>
      <c r="B8" s="29">
        <f>SUM(B5:B7)</f>
        <v>159434</v>
      </c>
      <c r="C8" s="29">
        <f>SUM(C5:C7)</f>
        <v>202005</v>
      </c>
      <c r="D8" s="29">
        <f>SUM(D5:D7)</f>
        <v>211460</v>
      </c>
      <c r="E8" s="29">
        <f>SUM(E5:E7)</f>
        <v>220426</v>
      </c>
      <c r="F8" s="29">
        <f>SUM(F5:F7)</f>
        <v>227039</v>
      </c>
    </row>
    <row r="10" ht="24" customHeight="1" spans="1:6" x14ac:dyDescent="0.25">
      <c r="A10" s="13" t="s">
        <v>227</v>
      </c>
      <c r="B10" s="13"/>
      <c r="C10" s="13"/>
      <c r="D10" s="13"/>
      <c r="E10" s="13"/>
      <c r="F10" s="13"/>
    </row>
    <row r="11" spans="1:6" x14ac:dyDescent="0.25">
      <c r="A11" s="3" t="s">
        <v>228</v>
      </c>
      <c r="B11" s="25">
        <f>B4-B8</f>
        <v>37233</v>
      </c>
      <c r="C11" s="25">
        <f>C4-C8</f>
        <v>160040</v>
      </c>
      <c r="D11" s="25">
        <f>D4-D8</f>
        <v>243136</v>
      </c>
      <c r="E11" s="25">
        <f>E4-E8</f>
        <v>310913</v>
      </c>
      <c r="F11" s="25">
        <f>F4-F8</f>
        <v>320240</v>
      </c>
    </row>
    <row r="12" spans="1:6" x14ac:dyDescent="0.25">
      <c r="A12" s="4" t="s">
        <v>229</v>
      </c>
      <c r="B12" s="23">
        <f>IF(B4=0,0,B11/B4)</f>
        <v>0.1893178</v>
      </c>
      <c r="C12" s="23">
        <f>IF(C4=0,0,C11/C4)</f>
        <v>0.44204552</v>
      </c>
      <c r="D12" s="23">
        <f>IF(D4=0,0,D11/D4)</f>
        <v>0.53484014</v>
      </c>
      <c r="E12" s="23">
        <f>IF(E4=0,0,E11/E4)</f>
        <v>0.58514961</v>
      </c>
      <c r="F12" s="23">
        <f>IF(F4=0,0,F11/F4)</f>
        <v>0.58514961</v>
      </c>
    </row>
    <row r="13" spans="1:6" x14ac:dyDescent="0.25">
      <c r="A13" s="4" t="s">
        <v>230</v>
      </c>
      <c r="B13" s="24">
        <v>37233</v>
      </c>
      <c r="C13" s="24">
        <v>197273</v>
      </c>
      <c r="D13" s="24">
        <v>440409</v>
      </c>
      <c r="E13" s="24">
        <v>751321</v>
      </c>
      <c r="F13" s="24">
        <v>1071561</v>
      </c>
    </row>
    <row r="14" spans="1:6" x14ac:dyDescent="0.25">
      <c r="A14" s="4" t="s">
        <v>198</v>
      </c>
      <c r="B14" s="24">
        <v>16389</v>
      </c>
      <c r="C14" s="24">
        <v>20114</v>
      </c>
      <c r="D14" s="24">
        <v>20663</v>
      </c>
      <c r="E14" s="24">
        <v>21254</v>
      </c>
      <c r="F14" s="24">
        <v>21891</v>
      </c>
    </row>
    <row r="15" spans="1:6" x14ac:dyDescent="0.25">
      <c r="A15" s="4" t="s">
        <v>231</v>
      </c>
      <c r="B15" s="24">
        <v>13286</v>
      </c>
      <c r="C15" s="24">
        <v>11222</v>
      </c>
      <c r="D15" s="24">
        <v>9612</v>
      </c>
      <c r="E15" s="24">
        <v>8817</v>
      </c>
      <c r="F15" s="24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232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233</v>
      </c>
      <c r="C2" s="15" t="s">
        <v>234</v>
      </c>
      <c r="D2" s="15" t="s">
        <v>235</v>
      </c>
      <c r="E2" s="15" t="s">
        <v>236</v>
      </c>
      <c r="F2" s="15" t="s">
        <v>237</v>
      </c>
      <c r="G2" s="15" t="s">
        <v>238</v>
      </c>
      <c r="H2" s="15" t="s">
        <v>239</v>
      </c>
      <c r="I2" s="15" t="s">
        <v>240</v>
      </c>
      <c r="J2" s="15" t="s">
        <v>241</v>
      </c>
      <c r="K2" s="15" t="s">
        <v>242</v>
      </c>
      <c r="L2" s="15" t="s">
        <v>243</v>
      </c>
      <c r="M2" s="15" t="s">
        <v>244</v>
      </c>
      <c r="N2" s="15" t="s">
        <v>245</v>
      </c>
    </row>
    <row r="3" ht="24" customHeight="1" spans="1:14" x14ac:dyDescent="0.25">
      <c r="A3" s="13" t="s">
        <v>207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212</v>
      </c>
      <c r="B4" s="29">
        <v>9150</v>
      </c>
      <c r="C4" s="29">
        <v>23550</v>
      </c>
      <c r="D4" s="29">
        <v>23550</v>
      </c>
      <c r="E4" s="29">
        <v>23550</v>
      </c>
      <c r="F4" s="29">
        <v>23550</v>
      </c>
      <c r="G4" s="29">
        <v>23550</v>
      </c>
      <c r="H4" s="29">
        <v>23550</v>
      </c>
      <c r="I4" s="29">
        <v>23550</v>
      </c>
      <c r="J4" s="29">
        <v>23550</v>
      </c>
      <c r="K4" s="29">
        <v>23550</v>
      </c>
      <c r="L4" s="29">
        <v>14650</v>
      </c>
      <c r="M4" s="29">
        <v>250</v>
      </c>
      <c r="N4" s="29">
        <v>236000</v>
      </c>
    </row>
    <row r="6" ht="24" customHeight="1" spans="1:14" x14ac:dyDescent="0.25">
      <c r="A6" s="13" t="s">
        <v>246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247</v>
      </c>
      <c r="B7" s="24">
        <v>11893</v>
      </c>
      <c r="C7" s="24">
        <v>11893</v>
      </c>
      <c r="D7" s="24">
        <v>11893</v>
      </c>
      <c r="E7" s="24">
        <v>11893</v>
      </c>
      <c r="F7" s="24">
        <v>11893</v>
      </c>
      <c r="G7" s="24">
        <v>11893</v>
      </c>
      <c r="H7" s="24">
        <v>11893</v>
      </c>
      <c r="I7" s="24">
        <v>11893</v>
      </c>
      <c r="J7" s="24">
        <v>11893</v>
      </c>
      <c r="K7" s="24">
        <v>11893</v>
      </c>
      <c r="L7" s="24">
        <v>0</v>
      </c>
      <c r="M7" s="24">
        <v>0</v>
      </c>
      <c r="N7" s="24">
        <v>118934</v>
      </c>
    </row>
    <row r="8" spans="1:14" x14ac:dyDescent="0.25">
      <c r="A8" s="4" t="s">
        <v>248</v>
      </c>
      <c r="B8" s="24">
        <v>4050</v>
      </c>
      <c r="C8" s="24">
        <v>4050</v>
      </c>
      <c r="D8" s="24">
        <v>4050</v>
      </c>
      <c r="E8" s="24">
        <v>4050</v>
      </c>
      <c r="F8" s="24">
        <v>4050</v>
      </c>
      <c r="G8" s="24">
        <v>4050</v>
      </c>
      <c r="H8" s="24">
        <v>4050</v>
      </c>
      <c r="I8" s="24">
        <v>4050</v>
      </c>
      <c r="J8" s="24">
        <v>4050</v>
      </c>
      <c r="K8" s="24">
        <v>4050</v>
      </c>
      <c r="L8" s="24">
        <v>0</v>
      </c>
      <c r="M8" s="24">
        <v>0</v>
      </c>
      <c r="N8" s="24">
        <v>40500</v>
      </c>
    </row>
    <row r="9" spans="1:14" x14ac:dyDescent="0.25">
      <c r="A9" s="4" t="s">
        <v>249</v>
      </c>
      <c r="B9" s="24">
        <v>0</v>
      </c>
      <c r="C9" s="24">
        <v>0</v>
      </c>
      <c r="D9" s="24">
        <v>0</v>
      </c>
      <c r="E9" s="24">
        <v>0</v>
      </c>
      <c r="F9" s="24">
        <v>0</v>
      </c>
      <c r="G9" s="24">
        <v>0</v>
      </c>
      <c r="H9" s="24">
        <v>0</v>
      </c>
      <c r="I9" s="24">
        <v>0</v>
      </c>
      <c r="J9" s="24">
        <v>0</v>
      </c>
      <c r="K9" s="24">
        <v>0</v>
      </c>
      <c r="L9" s="24">
        <v>0</v>
      </c>
      <c r="M9" s="24">
        <v>0</v>
      </c>
      <c r="N9" s="24">
        <v>0</v>
      </c>
    </row>
    <row r="11" ht="24" customHeight="1" spans="1:14" x14ac:dyDescent="0.25">
      <c r="A11" s="13" t="s">
        <v>250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226</v>
      </c>
      <c r="B12" s="27">
        <v>15943</v>
      </c>
      <c r="C12" s="27">
        <v>15943</v>
      </c>
      <c r="D12" s="27">
        <v>15943</v>
      </c>
      <c r="E12" s="27">
        <v>15943</v>
      </c>
      <c r="F12" s="27">
        <v>15943</v>
      </c>
      <c r="G12" s="27">
        <v>15943</v>
      </c>
      <c r="H12" s="27">
        <v>15943</v>
      </c>
      <c r="I12" s="27">
        <v>15943</v>
      </c>
      <c r="J12" s="27">
        <v>15943</v>
      </c>
      <c r="K12" s="27">
        <v>15943</v>
      </c>
      <c r="L12" s="27">
        <v>0</v>
      </c>
      <c r="M12" s="27">
        <v>0</v>
      </c>
      <c r="N12" s="27">
        <v>159430</v>
      </c>
    </row>
    <row r="13" spans="1:14" x14ac:dyDescent="0.25">
      <c r="A13" s="3" t="s">
        <v>251</v>
      </c>
      <c r="B13" s="27">
        <v>-6793</v>
      </c>
      <c r="C13" s="27">
        <v>7607</v>
      </c>
      <c r="D13" s="27">
        <v>7607</v>
      </c>
      <c r="E13" s="27">
        <v>7607</v>
      </c>
      <c r="F13" s="27">
        <v>7607</v>
      </c>
      <c r="G13" s="27">
        <v>7607</v>
      </c>
      <c r="H13" s="27">
        <v>7607</v>
      </c>
      <c r="I13" s="27">
        <v>7607</v>
      </c>
      <c r="J13" s="27">
        <v>7607</v>
      </c>
      <c r="K13" s="27">
        <v>7607</v>
      </c>
      <c r="L13" s="27">
        <v>14650</v>
      </c>
      <c r="M13" s="27">
        <v>250</v>
      </c>
      <c r="N13" s="27">
        <v>76570</v>
      </c>
    </row>
    <row r="14" spans="1:14" x14ac:dyDescent="0.25">
      <c r="A14" s="3" t="s">
        <v>252</v>
      </c>
      <c r="B14" s="32">
        <v>-6793</v>
      </c>
      <c r="C14" s="32">
        <v>814</v>
      </c>
      <c r="D14" s="32">
        <v>8421</v>
      </c>
      <c r="E14" s="32">
        <v>16028</v>
      </c>
      <c r="F14" s="32">
        <v>23635</v>
      </c>
      <c r="G14" s="32">
        <v>31242</v>
      </c>
      <c r="H14" s="32">
        <v>38849</v>
      </c>
      <c r="I14" s="32">
        <v>46456</v>
      </c>
      <c r="J14" s="32">
        <v>54063</v>
      </c>
      <c r="K14" s="32">
        <v>61670</v>
      </c>
      <c r="L14" s="32">
        <v>76320</v>
      </c>
      <c r="M14" s="32">
        <v>76570</v>
      </c>
      <c r="N14" s="25">
        <v>76570</v>
      </c>
    </row>
    <row r="16" ht="24" customHeight="1" spans="1:3" x14ac:dyDescent="0.25">
      <c r="A16" s="13" t="s">
        <v>253</v>
      </c>
      <c r="B16" s="13"/>
      <c r="C16" s="13"/>
    </row>
    <row r="17" spans="1:2" x14ac:dyDescent="0.25">
      <c r="A17" s="4" t="s">
        <v>144</v>
      </c>
      <c r="B17" s="24">
        <v>0</v>
      </c>
    </row>
    <row r="18" spans="1:2" x14ac:dyDescent="0.25">
      <c r="A18" s="4" t="s">
        <v>254</v>
      </c>
      <c r="B18" s="32">
        <v>76570</v>
      </c>
    </row>
    <row r="19" spans="1:2" x14ac:dyDescent="0.25">
      <c r="A19" s="4" t="s">
        <v>255</v>
      </c>
      <c r="B19" s="24"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207</v>
      </c>
      <c r="B4" s="13"/>
      <c r="C4" s="13"/>
      <c r="D4" s="13"/>
      <c r="E4" s="13"/>
      <c r="F4" s="13"/>
    </row>
    <row r="5" spans="1:6" x14ac:dyDescent="0.25">
      <c r="A5" s="33" t="s">
        <v>212</v>
      </c>
      <c r="B5" s="29">
        <v>196667</v>
      </c>
      <c r="C5" s="29">
        <v>362045</v>
      </c>
      <c r="D5" s="29">
        <v>454596</v>
      </c>
      <c r="E5" s="29">
        <v>531339</v>
      </c>
      <c r="F5" s="29">
        <v>547279</v>
      </c>
    </row>
    <row r="7" ht="24" customHeight="1" spans="1:6" x14ac:dyDescent="0.25">
      <c r="A7" s="13" t="s">
        <v>246</v>
      </c>
      <c r="B7" s="13"/>
      <c r="C7" s="13"/>
      <c r="D7" s="13"/>
      <c r="E7" s="13"/>
      <c r="F7" s="13"/>
    </row>
    <row r="8" spans="1:6" x14ac:dyDescent="0.25">
      <c r="A8" s="3" t="s">
        <v>247</v>
      </c>
      <c r="B8" s="27">
        <v>118934</v>
      </c>
      <c r="C8" s="27">
        <v>147003</v>
      </c>
      <c r="D8" s="27">
        <v>151413</v>
      </c>
      <c r="E8" s="27">
        <v>155955</v>
      </c>
      <c r="F8" s="27">
        <v>160634</v>
      </c>
    </row>
    <row r="9" spans="1:6" x14ac:dyDescent="0.25">
      <c r="A9" s="3" t="s">
        <v>248</v>
      </c>
      <c r="B9" s="27">
        <v>40500</v>
      </c>
      <c r="C9" s="27">
        <v>55002</v>
      </c>
      <c r="D9" s="27">
        <v>60047</v>
      </c>
      <c r="E9" s="27">
        <v>64471</v>
      </c>
      <c r="F9" s="27">
        <v>66405</v>
      </c>
    </row>
    <row r="10" spans="1:6" x14ac:dyDescent="0.25">
      <c r="A10" s="3" t="s">
        <v>257</v>
      </c>
      <c r="B10" s="27">
        <v>0</v>
      </c>
      <c r="C10" s="27">
        <v>0</v>
      </c>
      <c r="D10" s="27">
        <v>0</v>
      </c>
      <c r="E10" s="27">
        <v>0</v>
      </c>
      <c r="F10" s="27">
        <v>0</v>
      </c>
    </row>
    <row r="11" spans="1:6" x14ac:dyDescent="0.25">
      <c r="A11" s="33" t="s">
        <v>226</v>
      </c>
      <c r="B11" s="29">
        <f>SUM(B8:B10)</f>
        <v>159434</v>
      </c>
      <c r="C11" s="29">
        <f>SUM(C8:C10)</f>
        <v>202005</v>
      </c>
      <c r="D11" s="29">
        <f>SUM(D8:D10)</f>
        <v>211460</v>
      </c>
      <c r="E11" s="29">
        <f>SUM(E8:E10)</f>
        <v>220426</v>
      </c>
      <c r="F11" s="29">
        <f>SUM(F8:F10)</f>
        <v>227039</v>
      </c>
    </row>
    <row r="13" ht="24" customHeight="1" spans="1:6" x14ac:dyDescent="0.25">
      <c r="A13" s="13" t="s">
        <v>258</v>
      </c>
      <c r="B13" s="13"/>
      <c r="C13" s="13"/>
      <c r="D13" s="13"/>
      <c r="E13" s="13"/>
      <c r="F13" s="13"/>
    </row>
    <row r="14" spans="1:6" x14ac:dyDescent="0.25">
      <c r="A14" s="33" t="s">
        <v>228</v>
      </c>
      <c r="B14" s="25">
        <f>B5-B11</f>
        <v>37233</v>
      </c>
      <c r="C14" s="25">
        <f>C5-C11</f>
        <v>160040</v>
      </c>
      <c r="D14" s="25">
        <f>D5-D11</f>
        <v>243136</v>
      </c>
      <c r="E14" s="25">
        <f>E5-E11</f>
        <v>310913</v>
      </c>
      <c r="F14" s="25">
        <f>F5-F11</f>
        <v>320240</v>
      </c>
    </row>
    <row r="15" spans="1:6" x14ac:dyDescent="0.25">
      <c r="A15" s="4" t="s">
        <v>229</v>
      </c>
      <c r="B15" s="23">
        <f>IF(B5=0,0,B14/B5)</f>
        <v>0.1893178</v>
      </c>
      <c r="C15" s="23">
        <f>IF(C5=0,0,C14/C5)</f>
        <v>0.44204552</v>
      </c>
      <c r="D15" s="23">
        <f>IF(D5=0,0,D14/D5)</f>
        <v>0.53484014</v>
      </c>
      <c r="E15" s="23">
        <f>IF(E5=0,0,E14/E5)</f>
        <v>0.58514961</v>
      </c>
      <c r="F15" s="23">
        <f>IF(F5=0,0,F14/F5)</f>
        <v>0.58514961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260</v>
      </c>
      <c r="B4" s="13"/>
      <c r="C4" s="13"/>
      <c r="D4" s="13"/>
      <c r="E4" s="13"/>
      <c r="F4" s="13"/>
    </row>
    <row r="5" spans="1:6" x14ac:dyDescent="0.25">
      <c r="A5" s="4" t="s">
        <v>261</v>
      </c>
      <c r="B5" s="34">
        <v>76570</v>
      </c>
      <c r="C5" s="34">
        <v>236610</v>
      </c>
      <c r="D5" s="34">
        <v>479746</v>
      </c>
      <c r="E5" s="34">
        <v>790659</v>
      </c>
      <c r="F5" s="34">
        <v>1110899</v>
      </c>
    </row>
    <row r="6" spans="1:6" x14ac:dyDescent="0.25">
      <c r="A6" s="4" t="s">
        <v>262</v>
      </c>
      <c r="B6" s="24">
        <v>0</v>
      </c>
      <c r="C6" s="24">
        <v>0</v>
      </c>
      <c r="D6" s="24">
        <v>0</v>
      </c>
      <c r="E6" s="24">
        <v>0</v>
      </c>
      <c r="F6" s="24">
        <v>0</v>
      </c>
    </row>
    <row r="7" spans="1:6" x14ac:dyDescent="0.25">
      <c r="A7" s="4" t="s">
        <v>263</v>
      </c>
      <c r="B7" s="24">
        <v>5000</v>
      </c>
      <c r="C7" s="24">
        <v>5000</v>
      </c>
      <c r="D7" s="24">
        <v>5000</v>
      </c>
      <c r="E7" s="24">
        <v>5000</v>
      </c>
      <c r="F7" s="24">
        <v>5000</v>
      </c>
    </row>
    <row r="8" spans="1:6" x14ac:dyDescent="0.25">
      <c r="A8" s="4" t="s">
        <v>264</v>
      </c>
      <c r="B8" s="24">
        <v>0</v>
      </c>
      <c r="C8" s="24">
        <v>0</v>
      </c>
      <c r="D8" s="24">
        <v>0</v>
      </c>
      <c r="E8" s="24">
        <v>0</v>
      </c>
      <c r="F8" s="24">
        <v>0</v>
      </c>
    </row>
    <row r="9" spans="1:6" x14ac:dyDescent="0.25">
      <c r="A9" s="3" t="s">
        <v>265</v>
      </c>
      <c r="B9" s="29">
        <v>81570</v>
      </c>
      <c r="C9" s="29">
        <v>241610</v>
      </c>
      <c r="D9" s="29">
        <v>484746</v>
      </c>
      <c r="E9" s="29">
        <v>795659</v>
      </c>
      <c r="F9" s="29">
        <v>1115899</v>
      </c>
    </row>
    <row r="11" ht="24" customHeight="1" spans="1:6" x14ac:dyDescent="0.25">
      <c r="A11" s="13" t="s">
        <v>266</v>
      </c>
      <c r="B11" s="13"/>
      <c r="C11" s="13"/>
      <c r="D11" s="13"/>
      <c r="E11" s="13"/>
      <c r="F11" s="13"/>
    </row>
    <row r="12" spans="1:6" x14ac:dyDescent="0.25">
      <c r="A12" s="4" t="s">
        <v>267</v>
      </c>
      <c r="B12" s="24">
        <v>0</v>
      </c>
      <c r="C12" s="24">
        <v>0</v>
      </c>
      <c r="D12" s="24">
        <v>0</v>
      </c>
      <c r="E12" s="24">
        <v>0</v>
      </c>
      <c r="F12" s="24">
        <v>0</v>
      </c>
    </row>
    <row r="13" spans="1:6" x14ac:dyDescent="0.25">
      <c r="A13" s="4" t="s">
        <v>268</v>
      </c>
      <c r="B13" s="24">
        <v>0</v>
      </c>
      <c r="C13" s="24">
        <v>0</v>
      </c>
      <c r="D13" s="24">
        <v>0</v>
      </c>
      <c r="E13" s="24">
        <v>0</v>
      </c>
      <c r="F13" s="24">
        <v>0</v>
      </c>
    </row>
    <row r="14" spans="1:6" x14ac:dyDescent="0.25">
      <c r="A14" s="3" t="s">
        <v>269</v>
      </c>
      <c r="B14" s="29">
        <v>0</v>
      </c>
      <c r="C14" s="29">
        <v>0</v>
      </c>
      <c r="D14" s="29">
        <v>0</v>
      </c>
      <c r="E14" s="29">
        <v>0</v>
      </c>
      <c r="F14" s="29">
        <v>0</v>
      </c>
    </row>
    <row r="16" ht="24" customHeight="1" spans="1:6" x14ac:dyDescent="0.25">
      <c r="A16" s="13" t="s">
        <v>270</v>
      </c>
      <c r="B16" s="13"/>
      <c r="C16" s="13"/>
      <c r="D16" s="13"/>
      <c r="E16" s="13"/>
      <c r="F16" s="13"/>
    </row>
    <row r="17" spans="1:6" x14ac:dyDescent="0.25">
      <c r="A17" s="3" t="s">
        <v>271</v>
      </c>
      <c r="B17" s="25">
        <v>81570</v>
      </c>
      <c r="C17" s="25">
        <v>241610</v>
      </c>
      <c r="D17" s="25">
        <v>484746</v>
      </c>
      <c r="E17" s="25">
        <v>795659</v>
      </c>
      <c r="F17" s="25">
        <v>1115899</v>
      </c>
    </row>
    <row r="19" spans="1:6" x14ac:dyDescent="0.25">
      <c r="A19" s="3" t="s">
        <v>272</v>
      </c>
      <c r="B19" s="35">
        <v>0</v>
      </c>
      <c r="C19" s="35">
        <v>0</v>
      </c>
      <c r="D19" s="35">
        <v>0</v>
      </c>
      <c r="E19" s="35">
        <v>0</v>
      </c>
      <c r="F19" s="35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274</v>
      </c>
      <c r="B4" s="13"/>
      <c r="C4" s="13"/>
      <c r="D4" s="13"/>
      <c r="E4" s="13"/>
      <c r="F4" s="13"/>
    </row>
    <row r="5" spans="1:6" x14ac:dyDescent="0.25">
      <c r="A5" s="4" t="s">
        <v>275</v>
      </c>
      <c r="B5" s="24">
        <v>196667</v>
      </c>
      <c r="C5" s="24">
        <v>362045</v>
      </c>
      <c r="D5" s="24">
        <v>454596</v>
      </c>
      <c r="E5" s="24">
        <v>531339</v>
      </c>
      <c r="F5" s="24">
        <v>547279</v>
      </c>
    </row>
    <row r="6" spans="1:6" x14ac:dyDescent="0.25">
      <c r="A6" s="4" t="s">
        <v>247</v>
      </c>
      <c r="B6" s="24">
        <v>118934</v>
      </c>
      <c r="C6" s="24">
        <v>147003</v>
      </c>
      <c r="D6" s="24">
        <v>151413</v>
      </c>
      <c r="E6" s="24">
        <v>155955</v>
      </c>
      <c r="F6" s="24">
        <v>160634</v>
      </c>
    </row>
    <row r="7" spans="1:6" x14ac:dyDescent="0.25">
      <c r="A7" s="4" t="s">
        <v>248</v>
      </c>
      <c r="B7" s="24">
        <v>40500</v>
      </c>
      <c r="C7" s="24">
        <v>55002</v>
      </c>
      <c r="D7" s="24">
        <v>60047</v>
      </c>
      <c r="E7" s="24">
        <v>64471</v>
      </c>
      <c r="F7" s="24">
        <v>66405</v>
      </c>
    </row>
    <row r="8" spans="1:6" x14ac:dyDescent="0.25">
      <c r="A8" s="3" t="s">
        <v>276</v>
      </c>
      <c r="B8" s="27">
        <f>B5-B6-B7</f>
        <v>37233</v>
      </c>
      <c r="C8" s="27">
        <f>C5-C6-C7</f>
        <v>160040</v>
      </c>
      <c r="D8" s="27">
        <f>D5-D6-D7</f>
        <v>243136</v>
      </c>
      <c r="E8" s="27">
        <f>E5-E6-E7</f>
        <v>310913</v>
      </c>
      <c r="F8" s="27">
        <f>F5-F6-F7</f>
        <v>320240</v>
      </c>
    </row>
    <row r="9" spans="1:6" x14ac:dyDescent="0.25">
      <c r="A9" s="4" t="s">
        <v>249</v>
      </c>
      <c r="B9" s="24">
        <v>0</v>
      </c>
      <c r="C9" s="24">
        <v>0</v>
      </c>
      <c r="D9" s="24">
        <v>0</v>
      </c>
      <c r="E9" s="24">
        <v>0</v>
      </c>
      <c r="F9" s="24">
        <v>0</v>
      </c>
    </row>
    <row r="10" spans="1:6" x14ac:dyDescent="0.25">
      <c r="A10" s="3" t="s">
        <v>277</v>
      </c>
      <c r="B10" s="36" t="s">
        <v>278</v>
      </c>
      <c r="C10" s="36" t="s">
        <v>278</v>
      </c>
      <c r="D10" s="36" t="s">
        <v>278</v>
      </c>
      <c r="E10" s="36" t="s">
        <v>278</v>
      </c>
      <c r="F10" s="36" t="s">
        <v>278</v>
      </c>
    </row>
    <row r="12" ht="24" customHeight="1" spans="1:6" x14ac:dyDescent="0.25">
      <c r="A12" s="13" t="s">
        <v>279</v>
      </c>
      <c r="B12" s="13"/>
      <c r="C12" s="13"/>
      <c r="D12" s="13"/>
      <c r="E12" s="13"/>
      <c r="F12" s="13"/>
    </row>
    <row r="13" spans="1:6" x14ac:dyDescent="0.25">
      <c r="A13" s="4" t="s">
        <v>280</v>
      </c>
      <c r="B13" s="24">
        <v>76570</v>
      </c>
      <c r="C13" s="24">
        <v>236610</v>
      </c>
      <c r="D13" s="24">
        <v>479746</v>
      </c>
      <c r="E13" s="24">
        <v>790659</v>
      </c>
      <c r="F13" s="24">
        <v>1110899</v>
      </c>
    </row>
    <row r="14" spans="1:6" x14ac:dyDescent="0.25">
      <c r="A14" s="4" t="s">
        <v>281</v>
      </c>
      <c r="B14" s="21">
        <f>IF((B6+B7+B9)=0,0,(B13/(B6+B7+B9))*365)</f>
        <v>175</v>
      </c>
      <c r="C14" s="21">
        <f>IF((C6+C7+C9)=0,0,(C13/(C6+C7+C9))*365)</f>
        <v>428</v>
      </c>
      <c r="D14" s="21">
        <f>IF((D6+D7+D9)=0,0,(D13/(D6+D7+D9))*365)</f>
        <v>828</v>
      </c>
      <c r="E14" s="21">
        <f>IF((E6+E7+E9)=0,0,(E13/(E6+E7+E9))*365)</f>
        <v>1309</v>
      </c>
      <c r="F14" s="21">
        <f>IF((F6+F7+F9)=0,0,(F13/(F6+F7+F9))*365)</f>
        <v>1786</v>
      </c>
    </row>
    <row r="15" spans="1:6" x14ac:dyDescent="0.25">
      <c r="A15" s="4" t="s">
        <v>282</v>
      </c>
      <c r="B15" s="28">
        <f>IF((B6+B7+B9)=0,0,B13/((B6+B7+B9)/12))</f>
        <v>5.8</v>
      </c>
      <c r="C15" s="28">
        <f>IF((C6+C7+C9)=0,0,C13/((C6+C7+C9)/12))</f>
        <v>14.1</v>
      </c>
      <c r="D15" s="28">
        <f>IF((D6+D7+D9)=0,0,D13/((D6+D7+D9)/12))</f>
        <v>27.2</v>
      </c>
      <c r="E15" s="28">
        <f>IF((E6+E7+E9)=0,0,E13/((E6+E7+E9)/12))</f>
        <v>43</v>
      </c>
      <c r="F15" s="28">
        <f>IF((F6+F7+F9)=0,0,F13/((F6+F7+F9)/12))</f>
        <v>58.7</v>
      </c>
    </row>
    <row r="16" spans="1:6" x14ac:dyDescent="0.25">
      <c r="A16" s="4" t="s">
        <v>164</v>
      </c>
      <c r="B16" s="23">
        <v>0.48</v>
      </c>
      <c r="C16" s="23">
        <v>0.72</v>
      </c>
      <c r="D16" s="23">
        <v>0.88</v>
      </c>
      <c r="E16" s="23">
        <v>1</v>
      </c>
      <c r="F16" s="23">
        <v>1</v>
      </c>
    </row>
    <row r="18" ht="24" customHeight="1" spans="1:6" x14ac:dyDescent="0.25">
      <c r="A18" s="13" t="s">
        <v>283</v>
      </c>
      <c r="B18" s="13"/>
      <c r="C18" s="13"/>
      <c r="D18" s="13"/>
      <c r="E18" s="13"/>
      <c r="F18" s="13"/>
    </row>
    <row r="19" spans="1:6" x14ac:dyDescent="0.25">
      <c r="A19" s="4" t="s">
        <v>198</v>
      </c>
      <c r="B19" s="24">
        <v>16389</v>
      </c>
      <c r="C19" s="24">
        <v>20114</v>
      </c>
      <c r="D19" s="24">
        <v>20663</v>
      </c>
      <c r="E19" s="24">
        <v>21254</v>
      </c>
      <c r="F19" s="24">
        <v>21891</v>
      </c>
    </row>
    <row r="20" spans="1:6" x14ac:dyDescent="0.25">
      <c r="A20" s="4" t="s">
        <v>284</v>
      </c>
      <c r="B20" s="24">
        <v>118934</v>
      </c>
      <c r="C20" s="24">
        <v>147003</v>
      </c>
      <c r="D20" s="24">
        <v>151413</v>
      </c>
      <c r="E20" s="24">
        <v>155955</v>
      </c>
      <c r="F20" s="24">
        <v>160634</v>
      </c>
    </row>
    <row r="21" spans="1:6" x14ac:dyDescent="0.25">
      <c r="A21" s="4" t="s">
        <v>285</v>
      </c>
      <c r="B21" s="24">
        <v>3375</v>
      </c>
      <c r="C21" s="24">
        <v>3056</v>
      </c>
      <c r="D21" s="24">
        <v>2729</v>
      </c>
      <c r="E21" s="24">
        <v>2579</v>
      </c>
      <c r="F21" s="24">
        <v>2656</v>
      </c>
    </row>
    <row r="22" spans="1:6" x14ac:dyDescent="0.25">
      <c r="A22" s="3" t="s">
        <v>286</v>
      </c>
      <c r="B22" s="37">
        <v>10</v>
      </c>
      <c r="C22" s="37">
        <v>9</v>
      </c>
      <c r="D22" s="37">
        <v>9</v>
      </c>
      <c r="E22" s="37">
        <v>9</v>
      </c>
      <c r="F22" s="37">
        <v>9</v>
      </c>
    </row>
    <row r="24" ht="24" customHeight="1" spans="1:6" x14ac:dyDescent="0.25">
      <c r="A24" s="13" t="s">
        <v>287</v>
      </c>
      <c r="B24" s="13"/>
      <c r="C24" s="13"/>
      <c r="D24" s="13"/>
      <c r="E24" s="13"/>
      <c r="F24" s="13"/>
    </row>
    <row r="25" spans="1:6" x14ac:dyDescent="0.25">
      <c r="A25" s="4" t="s">
        <v>288</v>
      </c>
      <c r="B25" s="38" t="s">
        <v>278</v>
      </c>
      <c r="C25" s="38" t="s">
        <v>278</v>
      </c>
      <c r="D25" s="38" t="s">
        <v>278</v>
      </c>
      <c r="E25" s="38" t="s">
        <v>278</v>
      </c>
      <c r="F25" s="38" t="s">
        <v>278</v>
      </c>
    </row>
    <row r="26" spans="1:6" x14ac:dyDescent="0.25">
      <c r="A26" s="4" t="s">
        <v>289</v>
      </c>
      <c r="B26" s="39" t="s">
        <v>290</v>
      </c>
      <c r="C26" s="39" t="s">
        <v>290</v>
      </c>
      <c r="D26" s="39" t="s">
        <v>290</v>
      </c>
      <c r="E26" s="39" t="s">
        <v>290</v>
      </c>
      <c r="F26" s="39" t="s">
        <v>290</v>
      </c>
    </row>
    <row r="27" spans="1:6" x14ac:dyDescent="0.25">
      <c r="A27" s="4" t="s">
        <v>291</v>
      </c>
      <c r="B27" s="40" t="s">
        <v>292</v>
      </c>
      <c r="C27" s="39" t="s">
        <v>290</v>
      </c>
      <c r="D27" s="39" t="s">
        <v>290</v>
      </c>
      <c r="E27" s="39" t="s">
        <v>290</v>
      </c>
      <c r="F27" s="39" t="s">
        <v>290</v>
      </c>
    </row>
    <row r="28" spans="1:6" x14ac:dyDescent="0.25">
      <c r="A28" s="4" t="s">
        <v>293</v>
      </c>
      <c r="B28" s="39" t="s">
        <v>290</v>
      </c>
      <c r="C28" s="39" t="s">
        <v>290</v>
      </c>
      <c r="D28" s="39" t="s">
        <v>290</v>
      </c>
      <c r="E28" s="39" t="s">
        <v>290</v>
      </c>
      <c r="F28" s="39" t="s">
        <v>290</v>
      </c>
    </row>
    <row r="29" spans="1:6" x14ac:dyDescent="0.25">
      <c r="A29" s="4" t="s">
        <v>294</v>
      </c>
      <c r="B29" s="39" t="s">
        <v>290</v>
      </c>
      <c r="C29" s="39" t="s">
        <v>290</v>
      </c>
      <c r="D29" s="39" t="s">
        <v>290</v>
      </c>
      <c r="E29" s="39" t="s">
        <v>290</v>
      </c>
      <c r="F29" s="39" t="s">
        <v>290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1" t="s">
        <v>295</v>
      </c>
      <c r="B3" s="41" t="s">
        <v>100</v>
      </c>
      <c r="D3" s="41" t="s">
        <v>296</v>
      </c>
      <c r="E3" s="41" t="s">
        <v>100</v>
      </c>
    </row>
    <row r="4" spans="1:5" x14ac:dyDescent="0.25">
      <c r="A4" s="4" t="s">
        <v>297</v>
      </c>
      <c r="B4" s="24">
        <v>20000</v>
      </c>
      <c r="D4" s="4" t="s">
        <v>298</v>
      </c>
      <c r="E4" s="24">
        <v>15000</v>
      </c>
    </row>
    <row r="5" spans="4:5" x14ac:dyDescent="0.25">
      <c r="D5" s="4" t="s">
        <v>299</v>
      </c>
      <c r="E5" s="24">
        <v>5000</v>
      </c>
    </row>
    <row r="7" spans="1:5" x14ac:dyDescent="0.25">
      <c r="A7" s="3" t="s">
        <v>300</v>
      </c>
      <c r="B7" s="25">
        <v>20000</v>
      </c>
      <c r="D7" s="3" t="s">
        <v>301</v>
      </c>
      <c r="E7" s="25">
        <v>20000</v>
      </c>
    </row>
    <row r="8" spans="1:2" x14ac:dyDescent="0.25">
      <c r="A8" s="3" t="s">
        <v>302</v>
      </c>
      <c r="B8" s="3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303</v>
      </c>
      <c r="B1" s="11"/>
      <c r="C1" s="11"/>
      <c r="D1" s="11"/>
      <c r="E1" s="11"/>
      <c r="F1" s="11"/>
    </row>
    <row r="3" ht="24" customHeight="1" spans="1:6" x14ac:dyDescent="0.25">
      <c r="A3" s="13" t="s">
        <v>304</v>
      </c>
      <c r="B3" s="13"/>
      <c r="C3" s="13"/>
      <c r="D3" s="13"/>
      <c r="E3" s="13"/>
      <c r="F3" s="13"/>
    </row>
    <row r="4" spans="1:1" x14ac:dyDescent="0.25">
      <c r="A4" s="12" t="s">
        <v>305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275</v>
      </c>
      <c r="B6" s="24">
        <v>196667</v>
      </c>
      <c r="C6" s="24">
        <v>362045</v>
      </c>
      <c r="D6" s="24">
        <v>454596</v>
      </c>
      <c r="E6" s="24">
        <v>531339</v>
      </c>
      <c r="F6" s="24">
        <v>547279</v>
      </c>
    </row>
    <row r="7" spans="1:6" x14ac:dyDescent="0.25">
      <c r="A7" s="4" t="s">
        <v>226</v>
      </c>
      <c r="B7" s="24">
        <v>159434</v>
      </c>
      <c r="C7" s="24">
        <v>202005</v>
      </c>
      <c r="D7" s="24">
        <v>211460</v>
      </c>
      <c r="E7" s="24">
        <v>220426</v>
      </c>
      <c r="F7" s="24">
        <v>227039</v>
      </c>
    </row>
    <row r="8" spans="1:6" x14ac:dyDescent="0.25">
      <c r="A8" s="3" t="s">
        <v>228</v>
      </c>
      <c r="B8" s="25">
        <v>37233</v>
      </c>
      <c r="C8" s="25">
        <v>160040</v>
      </c>
      <c r="D8" s="25">
        <v>243136</v>
      </c>
      <c r="E8" s="25">
        <v>310913</v>
      </c>
      <c r="F8" s="25">
        <v>320240</v>
      </c>
    </row>
    <row r="9" spans="1:6" x14ac:dyDescent="0.25">
      <c r="A9" s="4" t="s">
        <v>229</v>
      </c>
      <c r="B9" s="23">
        <v>0.18931779661016948</v>
      </c>
      <c r="C9" s="23">
        <v>0.44204551920341395</v>
      </c>
      <c r="D9" s="23">
        <v>0.5348401400233372</v>
      </c>
      <c r="E9" s="23">
        <v>0.5851496143958869</v>
      </c>
      <c r="F9" s="23">
        <v>0.5851496143958869</v>
      </c>
    </row>
    <row r="10" spans="1:6" x14ac:dyDescent="0.25">
      <c r="A10" s="4" t="s">
        <v>277</v>
      </c>
      <c r="B10" s="42" t="s">
        <v>278</v>
      </c>
      <c r="C10" s="42" t="s">
        <v>278</v>
      </c>
      <c r="D10" s="42" t="s">
        <v>278</v>
      </c>
      <c r="E10" s="42" t="s">
        <v>278</v>
      </c>
      <c r="F10" s="42" t="s">
        <v>278</v>
      </c>
    </row>
    <row r="11" spans="1:6" x14ac:dyDescent="0.25">
      <c r="A11" s="4" t="s">
        <v>286</v>
      </c>
      <c r="B11" s="21">
        <v>10</v>
      </c>
      <c r="C11" s="21">
        <v>9</v>
      </c>
      <c r="D11" s="21">
        <v>9</v>
      </c>
      <c r="E11" s="21">
        <v>9</v>
      </c>
      <c r="F11" s="21">
        <v>9</v>
      </c>
    </row>
    <row r="13" ht="24" customHeight="1" spans="1:6" x14ac:dyDescent="0.25">
      <c r="A13" s="13" t="s">
        <v>306</v>
      </c>
      <c r="B13" s="13"/>
      <c r="C13" s="13"/>
      <c r="D13" s="13"/>
      <c r="E13" s="13"/>
      <c r="F13" s="13"/>
    </row>
    <row r="14" spans="1:1" x14ac:dyDescent="0.25">
      <c r="A14" s="12" t="s">
        <v>307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275</v>
      </c>
      <c r="B16" s="24">
        <v>196667</v>
      </c>
      <c r="C16" s="24">
        <v>362045</v>
      </c>
      <c r="D16" s="24">
        <v>454596</v>
      </c>
      <c r="E16" s="24">
        <v>531339</v>
      </c>
      <c r="F16" s="24">
        <v>547279</v>
      </c>
    </row>
    <row r="17" spans="1:6" x14ac:dyDescent="0.25">
      <c r="A17" s="4" t="s">
        <v>226</v>
      </c>
      <c r="B17" s="24">
        <v>159434</v>
      </c>
      <c r="C17" s="24">
        <v>202005</v>
      </c>
      <c r="D17" s="24">
        <v>211460</v>
      </c>
      <c r="E17" s="24">
        <v>220426</v>
      </c>
      <c r="F17" s="24">
        <v>227039</v>
      </c>
    </row>
    <row r="18" spans="1:6" x14ac:dyDescent="0.25">
      <c r="A18" s="3" t="s">
        <v>228</v>
      </c>
      <c r="B18" s="25">
        <v>37233</v>
      </c>
      <c r="C18" s="25">
        <v>160040</v>
      </c>
      <c r="D18" s="25">
        <v>243136</v>
      </c>
      <c r="E18" s="25">
        <v>310913</v>
      </c>
      <c r="F18" s="25">
        <v>320240</v>
      </c>
    </row>
    <row r="19" spans="1:6" x14ac:dyDescent="0.25">
      <c r="A19" s="4" t="s">
        <v>229</v>
      </c>
      <c r="B19" s="23">
        <v>0.18931779661016948</v>
      </c>
      <c r="C19" s="23">
        <v>0.44204551920341395</v>
      </c>
      <c r="D19" s="23">
        <v>0.5348401400233372</v>
      </c>
      <c r="E19" s="23">
        <v>0.5851496143958869</v>
      </c>
      <c r="F19" s="23">
        <v>0.5851496143958869</v>
      </c>
    </row>
    <row r="20" spans="1:6" x14ac:dyDescent="0.25">
      <c r="A20" s="4" t="s">
        <v>277</v>
      </c>
      <c r="B20" s="42" t="s">
        <v>278</v>
      </c>
      <c r="C20" s="42" t="s">
        <v>278</v>
      </c>
      <c r="D20" s="42" t="s">
        <v>278</v>
      </c>
      <c r="E20" s="42" t="s">
        <v>278</v>
      </c>
      <c r="F20" s="42" t="s">
        <v>278</v>
      </c>
    </row>
    <row r="21" spans="1:6" x14ac:dyDescent="0.25">
      <c r="A21" s="4" t="s">
        <v>286</v>
      </c>
      <c r="B21" s="21">
        <v>8</v>
      </c>
      <c r="C21" s="21">
        <v>7</v>
      </c>
      <c r="D21" s="21">
        <v>7</v>
      </c>
      <c r="E21" s="21">
        <v>7</v>
      </c>
      <c r="F21" s="21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308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113</v>
      </c>
      <c r="B5" s="4" t="s">
        <v>5</v>
      </c>
    </row>
    <row r="6" spans="1:2" x14ac:dyDescent="0.25">
      <c r="A6" s="4" t="s">
        <v>309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310</v>
      </c>
      <c r="B9" s="4" t="s">
        <v>17</v>
      </c>
    </row>
    <row r="11" ht="24" customHeight="1" spans="1:8" x14ac:dyDescent="0.25">
      <c r="A11" s="13" t="s">
        <v>311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3" t="s">
        <v>90</v>
      </c>
      <c r="E12" s="43" t="s">
        <v>91</v>
      </c>
      <c r="F12" s="43" t="s">
        <v>92</v>
      </c>
      <c r="G12" s="43" t="s">
        <v>93</v>
      </c>
      <c r="H12" s="43" t="s">
        <v>94</v>
      </c>
    </row>
    <row r="13" spans="1:8" x14ac:dyDescent="0.25">
      <c r="A13" s="4" t="s">
        <v>275</v>
      </c>
      <c r="D13" s="24">
        <v>196667</v>
      </c>
      <c r="E13" s="24">
        <v>362045</v>
      </c>
      <c r="F13" s="24">
        <v>454596</v>
      </c>
      <c r="G13" s="24">
        <v>531339</v>
      </c>
      <c r="H13" s="24">
        <v>547279</v>
      </c>
    </row>
    <row r="14" spans="1:8" x14ac:dyDescent="0.25">
      <c r="A14" s="4" t="s">
        <v>226</v>
      </c>
      <c r="D14" s="24">
        <v>159434</v>
      </c>
      <c r="E14" s="24">
        <v>202005</v>
      </c>
      <c r="F14" s="24">
        <v>211460</v>
      </c>
      <c r="G14" s="24">
        <v>220426</v>
      </c>
      <c r="H14" s="24">
        <v>227039</v>
      </c>
    </row>
    <row r="15" spans="1:8" x14ac:dyDescent="0.25">
      <c r="A15" s="4" t="s">
        <v>228</v>
      </c>
      <c r="D15" s="24">
        <v>37233</v>
      </c>
      <c r="E15" s="24">
        <v>160040</v>
      </c>
      <c r="F15" s="24">
        <v>243136</v>
      </c>
      <c r="G15" s="24">
        <v>310913</v>
      </c>
      <c r="H15" s="24">
        <v>320240</v>
      </c>
    </row>
    <row r="16" spans="1:8" x14ac:dyDescent="0.25">
      <c r="A16" s="4" t="s">
        <v>312</v>
      </c>
      <c r="D16" s="24">
        <v>76570</v>
      </c>
      <c r="E16" s="24">
        <v>236610</v>
      </c>
      <c r="F16" s="24">
        <v>479746</v>
      </c>
      <c r="G16" s="24">
        <v>790659</v>
      </c>
      <c r="H16" s="24">
        <v>1110899</v>
      </c>
    </row>
    <row r="17" spans="1:8" x14ac:dyDescent="0.25">
      <c r="A17" s="4" t="s">
        <v>313</v>
      </c>
      <c r="D17" s="24">
        <v>0</v>
      </c>
      <c r="E17" s="24">
        <v>0</v>
      </c>
      <c r="F17" s="24">
        <v>0</v>
      </c>
      <c r="G17" s="24">
        <v>0</v>
      </c>
      <c r="H17" s="24">
        <v>0</v>
      </c>
    </row>
    <row r="19" ht="24" customHeight="1" spans="1:8" x14ac:dyDescent="0.25">
      <c r="A19" s="13" t="s">
        <v>314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3" t="s">
        <v>90</v>
      </c>
      <c r="E20" s="43" t="s">
        <v>91</v>
      </c>
      <c r="F20" s="43" t="s">
        <v>92</v>
      </c>
      <c r="G20" s="43" t="s">
        <v>93</v>
      </c>
      <c r="H20" s="43" t="s">
        <v>94</v>
      </c>
    </row>
    <row r="21" spans="1:8" x14ac:dyDescent="0.25">
      <c r="A21" s="4" t="s">
        <v>315</v>
      </c>
      <c r="D21" s="23">
        <v>0.18931779661016948</v>
      </c>
      <c r="E21" s="23">
        <v>0.44204551920341395</v>
      </c>
      <c r="F21" s="23">
        <v>0.5348401400233372</v>
      </c>
      <c r="G21" s="23">
        <v>0.5851496143958869</v>
      </c>
      <c r="H21" s="23">
        <v>0.5851496143958869</v>
      </c>
    </row>
    <row r="22" spans="1:8" x14ac:dyDescent="0.25">
      <c r="A22" s="4" t="s">
        <v>277</v>
      </c>
      <c r="D22" s="42" t="s">
        <v>278</v>
      </c>
      <c r="E22" s="42" t="s">
        <v>278</v>
      </c>
      <c r="F22" s="42" t="s">
        <v>278</v>
      </c>
      <c r="G22" s="42" t="s">
        <v>278</v>
      </c>
      <c r="H22" s="42" t="s">
        <v>278</v>
      </c>
    </row>
    <row r="23" spans="1:8" x14ac:dyDescent="0.25">
      <c r="A23" s="4" t="s">
        <v>164</v>
      </c>
      <c r="D23" s="23">
        <v>0.48</v>
      </c>
      <c r="E23" s="23">
        <v>0.72</v>
      </c>
      <c r="F23" s="23">
        <v>0.88</v>
      </c>
      <c r="G23" s="23">
        <v>1</v>
      </c>
      <c r="H23" s="23">
        <v>1</v>
      </c>
    </row>
    <row r="24" spans="1:8" x14ac:dyDescent="0.25">
      <c r="A24" s="4" t="s">
        <v>316</v>
      </c>
      <c r="D24" s="21">
        <v>12</v>
      </c>
      <c r="E24" s="21">
        <v>18</v>
      </c>
      <c r="F24" s="21">
        <v>22</v>
      </c>
      <c r="G24" s="21">
        <v>25</v>
      </c>
      <c r="H24" s="21">
        <v>25</v>
      </c>
    </row>
    <row r="26" spans="1:8" x14ac:dyDescent="0.25">
      <c r="A26" s="8" t="s">
        <v>317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2026-03-17T03:04:40Z</dcterms:created>
  <dcterms:modified xsi:type="dcterms:W3CDTF">2026-03-17T03:04:40Z</dcterms:modified>
</cp:coreProperties>
</file>