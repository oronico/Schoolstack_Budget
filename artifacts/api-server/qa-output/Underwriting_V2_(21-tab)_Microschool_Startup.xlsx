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<sst xmlns="http://schemas.openxmlformats.org/spreadsheetml/2006/main" count="727" uniqueCount="398">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</sst>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16" fillId="0" borderId="1" xfId="0" applyNumberFormat="1" applyFont="1" applyBorder="1"/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16" fillId="0" borderId="1" xfId="0" applyFont="1" applyBorder="1"/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3">
        <v>0.06579422382671479</v>
      </c>
      <c r="D17" s="63">
        <v>0.048560169748408606</v>
      </c>
      <c r="E17" s="63">
        <v>0.04222830141755781</v>
      </c>
      <c r="F17" s="63">
        <v>0.0387945205479452</v>
      </c>
      <c r="G17" s="63">
        <v>0.0387945205479452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/>
      <c r="E19" s="67"/>
      <c r="F19" s="67"/>
      <c r="G19" s="67"/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IF('5-Year Operating Stmt'!C16&gt;=0,"✓ Break-even","")</f>
        <v>0</v>
      </c>
      <c r="E21" s="69" t="str">
        <f>IF('5-Year Operating Stmt'!D16&gt;=0,"✓ Break-even","")</f>
        <v>0</v>
      </c>
      <c r="F21" s="69" t="str">
        <f>IF('5-Year Operating Stmt'!E16&gt;=0,"✓ Break-even","")</f>
        <v>0</v>
      </c>
      <c r="G21" s="69" t="str">
        <f>IF('5-Year Operating Stmt'!F16&gt;=0,"✓ Break-even","")</f>
        <v>0</v>
      </c>
      <c r="H21" s="65" t="s">
        <v>354</v>
      </c>
    </row>
    <row r="22" spans="2:8" x14ac:dyDescent="0.25">
      <c r="B22" s="10" t="s">
        <v>370</v>
      </c>
      <c r="C22" s="70" t="s">
        <v>371</v>
      </c>
      <c r="D22" s="70"/>
      <c r="E22" s="70"/>
      <c r="F22" s="70"/>
      <c r="G22" s="70"/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1" t="s">
        <v>378</v>
      </c>
      <c r="E25" s="71"/>
      <c r="F25" s="72" t="s">
        <v>379</v>
      </c>
      <c r="G25" s="72"/>
      <c r="H25" s="72"/>
    </row>
    <row r="26" ht="45" customHeight="1" spans="2:8" x14ac:dyDescent="0.25">
      <c r="B26" s="41" t="s">
        <v>380</v>
      </c>
      <c r="C26" s="39" t="s">
        <v>377</v>
      </c>
      <c r="D26" s="71" t="s">
        <v>381</v>
      </c>
      <c r="E26" s="71"/>
      <c r="F26" s="72" t="s">
        <v>382</v>
      </c>
      <c r="G26" s="72"/>
      <c r="H26" s="72"/>
    </row>
    <row r="27" ht="45" customHeight="1" spans="2:8" x14ac:dyDescent="0.25">
      <c r="B27" s="41" t="s">
        <v>383</v>
      </c>
      <c r="C27" s="39" t="s">
        <v>377</v>
      </c>
      <c r="D27" s="71" t="s">
        <v>384</v>
      </c>
      <c r="E27" s="71"/>
      <c r="F27" s="72" t="s">
        <v>385</v>
      </c>
      <c r="G27" s="72"/>
      <c r="H27" s="72"/>
    </row>
    <row r="28" ht="45" customHeight="1" spans="2:8" x14ac:dyDescent="0.25">
      <c r="B28" s="41" t="s">
        <v>386</v>
      </c>
      <c r="C28" s="39" t="s">
        <v>377</v>
      </c>
      <c r="D28" s="71" t="s">
        <v>387</v>
      </c>
      <c r="E28" s="71"/>
      <c r="F28" s="72" t="s">
        <v>388</v>
      </c>
      <c r="G28" s="72"/>
      <c r="H28" s="72"/>
    </row>
    <row r="29" ht="45" customHeight="1" spans="2:8" x14ac:dyDescent="0.25">
      <c r="B29" s="41" t="s">
        <v>389</v>
      </c>
      <c r="C29" s="39" t="s">
        <v>377</v>
      </c>
      <c r="D29" s="71" t="s">
        <v>390</v>
      </c>
      <c r="E29" s="71"/>
      <c r="F29" s="72" t="s">
        <v>391</v>
      </c>
      <c r="G29" s="72"/>
      <c r="H29" s="72"/>
    </row>
    <row r="30" ht="45" customHeight="1" spans="2:8" x14ac:dyDescent="0.25">
      <c r="B30" s="41" t="s">
        <v>392</v>
      </c>
      <c r="C30" s="39" t="s">
        <v>377</v>
      </c>
      <c r="D30" s="71" t="s">
        <v>393</v>
      </c>
      <c r="E30" s="71"/>
      <c r="F30" s="72" t="s">
        <v>394</v>
      </c>
      <c r="G30" s="72"/>
      <c r="H30" s="72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3" t="s">
        <v>397</v>
      </c>
      <c r="C34" s="73"/>
      <c r="D34" s="73"/>
      <c r="E34" s="73"/>
      <c r="F34" s="73"/>
      <c r="G34" s="73"/>
      <c r="H34" s="73"/>
    </row>
  </sheetData>
  <mergeCells count="20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2026-03-26T12:33:15Z</dcterms:created>
  <dcterms:modified xsi:type="dcterms:W3CDTF">2026-03-26T12:33:15Z</dcterms:modified>
</cp:coreProperties>
</file>