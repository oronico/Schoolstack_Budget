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<sst xmlns="http://schemas.openxmlformats.org/spreadsheetml/2006/main" count="726" uniqueCount="398">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</sst>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226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223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224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238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239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240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241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242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243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244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245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246</v>
      </c>
      <c r="B32" s="19"/>
      <c r="C32" s="19"/>
      <c r="D32" s="19"/>
      <c r="E32" s="19"/>
      <c r="F32" s="19"/>
    </row>
    <row r="33" spans="1:6" x14ac:dyDescent="0.25">
      <c r="A33" s="10" t="s">
        <v>247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245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249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250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251</v>
      </c>
      <c r="B10" s="19"/>
      <c r="C10" s="19"/>
      <c r="D10" s="19"/>
      <c r="E10" s="19"/>
      <c r="F10" s="19"/>
    </row>
    <row r="11" spans="1:6" x14ac:dyDescent="0.25">
      <c r="A11" s="10" t="s">
        <v>252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253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254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255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257</v>
      </c>
      <c r="C2" s="21" t="s">
        <v>258</v>
      </c>
      <c r="D2" s="21" t="s">
        <v>259</v>
      </c>
      <c r="E2" s="21" t="s">
        <v>260</v>
      </c>
      <c r="F2" s="21" t="s">
        <v>261</v>
      </c>
      <c r="G2" s="21" t="s">
        <v>262</v>
      </c>
      <c r="H2" s="21" t="s">
        <v>263</v>
      </c>
      <c r="I2" s="21" t="s">
        <v>264</v>
      </c>
      <c r="J2" s="21" t="s">
        <v>265</v>
      </c>
      <c r="K2" s="21" t="s">
        <v>266</v>
      </c>
      <c r="L2" s="21" t="s">
        <v>267</v>
      </c>
      <c r="M2" s="21" t="s">
        <v>268</v>
      </c>
      <c r="N2" s="21" t="s">
        <v>269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271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272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274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250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275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276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277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278</v>
      </c>
      <c r="B18" s="37">
        <f>M14</f>
        <v>62170</v>
      </c>
    </row>
    <row r="19" spans="1:2" x14ac:dyDescent="0.25">
      <c r="A19" s="11" t="s">
        <v>279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270</v>
      </c>
      <c r="B7" s="19"/>
      <c r="C7" s="19"/>
      <c r="D7" s="19"/>
      <c r="E7" s="19"/>
      <c r="F7" s="19"/>
    </row>
    <row r="8" spans="1:6" x14ac:dyDescent="0.25">
      <c r="A8" s="10" t="s">
        <v>271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272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281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250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282</v>
      </c>
      <c r="B13" s="19"/>
      <c r="C13" s="19"/>
      <c r="D13" s="19"/>
      <c r="E13" s="19"/>
      <c r="F13" s="19"/>
    </row>
    <row r="14" spans="1:6" x14ac:dyDescent="0.25">
      <c r="A14" s="38" t="s">
        <v>252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253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254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283</v>
      </c>
      <c r="B17" s="39" t="s">
        <v>284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285</v>
      </c>
      <c r="B4" s="19"/>
      <c r="C4" s="19"/>
      <c r="D4" s="19"/>
      <c r="E4" s="19"/>
      <c r="F4" s="19"/>
    </row>
    <row r="5" spans="1:5" x14ac:dyDescent="0.25">
      <c r="A5" s="41" t="s">
        <v>286</v>
      </c>
      <c r="B5" s="42" t="s">
        <v>153</v>
      </c>
      <c r="C5" s="43" t="s">
        <v>287</v>
      </c>
      <c r="D5" s="41" t="s">
        <v>288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290</v>
      </c>
      <c r="B4" s="19"/>
      <c r="C4" s="19"/>
      <c r="D4" s="19"/>
      <c r="E4" s="19"/>
      <c r="F4" s="19"/>
    </row>
    <row r="5" spans="1:6" x14ac:dyDescent="0.25">
      <c r="A5" s="11" t="s">
        <v>291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292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293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294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295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296</v>
      </c>
      <c r="B11" s="19"/>
      <c r="C11" s="19"/>
      <c r="D11" s="19"/>
      <c r="E11" s="19"/>
      <c r="F11" s="19"/>
    </row>
    <row r="12" spans="1:6" x14ac:dyDescent="0.25">
      <c r="A12" s="11" t="s">
        <v>297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298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299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300</v>
      </c>
      <c r="B16" s="19"/>
      <c r="C16" s="19"/>
      <c r="D16" s="19"/>
      <c r="E16" s="19"/>
      <c r="F16" s="19"/>
    </row>
    <row r="17" spans="1:6" x14ac:dyDescent="0.25">
      <c r="A17" s="10" t="s">
        <v>301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302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304</v>
      </c>
      <c r="B4" s="19"/>
      <c r="C4" s="19"/>
      <c r="D4" s="19"/>
      <c r="E4" s="19"/>
      <c r="F4" s="19"/>
    </row>
    <row r="5" spans="1:6" x14ac:dyDescent="0.25">
      <c r="A5" s="11" t="s">
        <v>305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271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272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306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307</v>
      </c>
      <c r="B10" s="46" t="s">
        <v>308</v>
      </c>
      <c r="C10" s="46" t="s">
        <v>308</v>
      </c>
      <c r="D10" s="46" t="s">
        <v>308</v>
      </c>
      <c r="E10" s="46" t="s">
        <v>308</v>
      </c>
      <c r="F10" s="46" t="s">
        <v>308</v>
      </c>
    </row>
    <row r="12" ht="24" customHeight="1" spans="1:6" x14ac:dyDescent="0.25">
      <c r="A12" s="19" t="s">
        <v>309</v>
      </c>
      <c r="B12" s="19"/>
      <c r="C12" s="19"/>
      <c r="D12" s="19"/>
      <c r="E12" s="19"/>
      <c r="F12" s="19"/>
    </row>
    <row r="13" spans="1:6" x14ac:dyDescent="0.25">
      <c r="A13" s="11" t="s">
        <v>310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311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312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313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314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315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316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317</v>
      </c>
      <c r="B24" s="19"/>
      <c r="C24" s="19"/>
      <c r="D24" s="19"/>
      <c r="E24" s="19"/>
      <c r="F24" s="19"/>
    </row>
    <row r="25" spans="1:6" x14ac:dyDescent="0.25">
      <c r="A25" s="11" t="s">
        <v>318</v>
      </c>
      <c r="B25" s="49" t="s">
        <v>308</v>
      </c>
      <c r="C25" s="49" t="s">
        <v>308</v>
      </c>
      <c r="D25" s="49" t="s">
        <v>308</v>
      </c>
      <c r="E25" s="49" t="s">
        <v>308</v>
      </c>
      <c r="F25" s="49" t="s">
        <v>308</v>
      </c>
    </row>
    <row r="26" spans="1:6" x14ac:dyDescent="0.25">
      <c r="A26" s="11" t="s">
        <v>319</v>
      </c>
      <c r="B26" s="50" t="s">
        <v>320</v>
      </c>
      <c r="C26" s="50" t="s">
        <v>320</v>
      </c>
      <c r="D26" s="50" t="s">
        <v>320</v>
      </c>
      <c r="E26" s="50" t="s">
        <v>320</v>
      </c>
      <c r="F26" s="50" t="s">
        <v>320</v>
      </c>
    </row>
    <row r="27" spans="1:6" x14ac:dyDescent="0.25">
      <c r="A27" s="11" t="s">
        <v>321</v>
      </c>
      <c r="B27" s="51" t="s">
        <v>322</v>
      </c>
      <c r="C27" s="50" t="s">
        <v>320</v>
      </c>
      <c r="D27" s="50" t="s">
        <v>320</v>
      </c>
      <c r="E27" s="50" t="s">
        <v>320</v>
      </c>
      <c r="F27" s="50" t="s">
        <v>320</v>
      </c>
    </row>
    <row r="28" spans="1:6" x14ac:dyDescent="0.25">
      <c r="A28" s="11" t="s">
        <v>323</v>
      </c>
      <c r="B28" s="50" t="s">
        <v>320</v>
      </c>
      <c r="C28" s="50" t="s">
        <v>320</v>
      </c>
      <c r="D28" s="50" t="s">
        <v>320</v>
      </c>
      <c r="E28" s="50" t="s">
        <v>320</v>
      </c>
      <c r="F28" s="50" t="s">
        <v>320</v>
      </c>
    </row>
    <row r="29" spans="1:6" x14ac:dyDescent="0.25">
      <c r="A29" s="11" t="s">
        <v>324</v>
      </c>
      <c r="B29" s="50" t="s">
        <v>320</v>
      </c>
      <c r="C29" s="50" t="s">
        <v>320</v>
      </c>
      <c r="D29" s="50" t="s">
        <v>320</v>
      </c>
      <c r="E29" s="50" t="s">
        <v>320</v>
      </c>
      <c r="F29" s="50" t="s">
        <v>320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325</v>
      </c>
      <c r="B3" s="52" t="s">
        <v>112</v>
      </c>
      <c r="D3" s="52" t="s">
        <v>326</v>
      </c>
      <c r="E3" s="52" t="s">
        <v>112</v>
      </c>
    </row>
    <row r="4" spans="1:5" x14ac:dyDescent="0.25">
      <c r="A4" s="11" t="s">
        <v>327</v>
      </c>
      <c r="B4" s="30">
        <v>20000</v>
      </c>
      <c r="D4" s="11" t="s">
        <v>328</v>
      </c>
      <c r="E4" s="30">
        <v>15000</v>
      </c>
    </row>
    <row r="5" spans="4:5" x14ac:dyDescent="0.25">
      <c r="D5" s="11" t="s">
        <v>329</v>
      </c>
      <c r="E5" s="30">
        <v>5000</v>
      </c>
    </row>
    <row r="7" spans="1:5" x14ac:dyDescent="0.25">
      <c r="A7" s="10" t="s">
        <v>330</v>
      </c>
      <c r="B7" s="32">
        <v>20000</v>
      </c>
      <c r="D7" s="10" t="s">
        <v>331</v>
      </c>
      <c r="E7" s="32">
        <v>20000</v>
      </c>
    </row>
    <row r="8" spans="1:2" x14ac:dyDescent="0.25">
      <c r="A8" s="10" t="s">
        <v>332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333</v>
      </c>
      <c r="B1" s="15"/>
      <c r="C1" s="15"/>
      <c r="D1" s="15"/>
      <c r="E1" s="15"/>
      <c r="F1" s="15"/>
    </row>
    <row r="3" ht="24" customHeight="1" spans="1:6" x14ac:dyDescent="0.25">
      <c r="A3" s="19" t="s">
        <v>334</v>
      </c>
      <c r="B3" s="19"/>
      <c r="C3" s="19"/>
      <c r="D3" s="19"/>
      <c r="E3" s="19"/>
      <c r="F3" s="19"/>
    </row>
    <row r="4" spans="1:1" x14ac:dyDescent="0.25">
      <c r="A4" s="17" t="s">
        <v>335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305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250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252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253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307</v>
      </c>
      <c r="B10" s="53" t="s">
        <v>308</v>
      </c>
      <c r="C10" s="53" t="s">
        <v>308</v>
      </c>
      <c r="D10" s="53" t="s">
        <v>308</v>
      </c>
      <c r="E10" s="53" t="s">
        <v>308</v>
      </c>
      <c r="F10" s="53" t="s">
        <v>308</v>
      </c>
    </row>
    <row r="11" spans="1:6" x14ac:dyDescent="0.25">
      <c r="A11" s="11" t="s">
        <v>316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336</v>
      </c>
      <c r="B13" s="19"/>
      <c r="C13" s="19"/>
      <c r="D13" s="19"/>
      <c r="E13" s="19"/>
      <c r="F13" s="19"/>
    </row>
    <row r="14" spans="1:1" x14ac:dyDescent="0.25">
      <c r="A14" s="17" t="s">
        <v>337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305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250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252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253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307</v>
      </c>
      <c r="B20" s="53" t="s">
        <v>308</v>
      </c>
      <c r="C20" s="53" t="s">
        <v>308</v>
      </c>
      <c r="D20" s="53" t="s">
        <v>308</v>
      </c>
      <c r="E20" s="53" t="s">
        <v>308</v>
      </c>
      <c r="F20" s="53" t="s">
        <v>308</v>
      </c>
    </row>
    <row r="21" spans="1:6" x14ac:dyDescent="0.25">
      <c r="A21" s="11" t="s">
        <v>316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338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339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340</v>
      </c>
      <c r="B9" s="11" t="s">
        <v>46</v>
      </c>
    </row>
    <row r="11" ht="24" customHeight="1" spans="1:8" x14ac:dyDescent="0.25">
      <c r="A11" s="19" t="s">
        <v>341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305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250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252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342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343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344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345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307</v>
      </c>
      <c r="D22" s="53" t="s">
        <v>308</v>
      </c>
      <c r="E22" s="53" t="s">
        <v>308</v>
      </c>
      <c r="F22" s="53" t="s">
        <v>308</v>
      </c>
      <c r="G22" s="53" t="s">
        <v>308</v>
      </c>
      <c r="H22" s="53" t="s">
        <v>308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346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347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348</v>
      </c>
      <c r="C2" s="1"/>
      <c r="D2" s="1"/>
      <c r="E2" s="1"/>
      <c r="F2" s="1"/>
      <c r="G2" s="1"/>
      <c r="H2" s="1"/>
    </row>
    <row r="3" spans="2:8" x14ac:dyDescent="0.25">
      <c r="B3" s="55" t="s">
        <v>349</v>
      </c>
      <c r="C3" s="55"/>
      <c r="D3" s="55"/>
      <c r="E3" s="55"/>
      <c r="F3" s="55"/>
      <c r="G3" s="55"/>
      <c r="H3" s="55"/>
    </row>
    <row r="4" spans="2:6" x14ac:dyDescent="0.25">
      <c r="B4" s="56" t="s">
        <v>350</v>
      </c>
      <c r="D4" s="57" t="s">
        <v>351</v>
      </c>
      <c r="F4" s="58" t="s">
        <v>352</v>
      </c>
    </row>
    <row r="6" ht="24" customHeight="1" spans="2:8" x14ac:dyDescent="0.25">
      <c r="B6" s="19" t="s">
        <v>353</v>
      </c>
      <c r="C6" s="59" t="s">
        <v>354</v>
      </c>
      <c r="D6" s="59" t="s">
        <v>355</v>
      </c>
      <c r="E6" s="59" t="s">
        <v>356</v>
      </c>
      <c r="F6" s="59" t="s">
        <v>357</v>
      </c>
      <c r="G6" s="59" t="s">
        <v>358</v>
      </c>
      <c r="H6" s="59" t="s">
        <v>359</v>
      </c>
    </row>
    <row r="7" spans="2:7" x14ac:dyDescent="0.25">
      <c r="B7" s="11" t="s">
        <v>346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305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271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272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273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252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310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345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360</v>
      </c>
    </row>
    <row r="16" spans="2:8" x14ac:dyDescent="0.25">
      <c r="B16" s="10" t="s">
        <v>361</v>
      </c>
      <c r="C16" s="66">
        <v>0.644047833935018</v>
      </c>
      <c r="D16" s="63">
        <v>0.4326189754471052</v>
      </c>
      <c r="E16" s="63">
        <v>0.3549390698831137</v>
      </c>
      <c r="F16" s="63">
        <v>0.3128131506849315</v>
      </c>
      <c r="G16" s="63">
        <v>0.3128131506849315</v>
      </c>
      <c r="H16" s="65" t="s">
        <v>362</v>
      </c>
    </row>
    <row r="17" spans="2:8" x14ac:dyDescent="0.25">
      <c r="B17" s="10" t="s">
        <v>363</v>
      </c>
      <c r="C17" s="66">
        <v>0.19494584837545123</v>
      </c>
      <c r="D17" s="63">
        <v>0.10912397696271597</v>
      </c>
      <c r="E17" s="63">
        <v>0.0895299676697339</v>
      </c>
      <c r="F17" s="63">
        <v>0.0789041095890411</v>
      </c>
      <c r="G17" s="63">
        <v>0.0789041095890411</v>
      </c>
      <c r="H17" s="65" t="s">
        <v>364</v>
      </c>
    </row>
    <row r="18" spans="2:8" x14ac:dyDescent="0.25">
      <c r="B18" s="10" t="s">
        <v>365</v>
      </c>
      <c r="C18" s="63">
        <v>0.13663808664259935</v>
      </c>
      <c r="D18" s="63">
        <v>0.40551379205819943</v>
      </c>
      <c r="E18" s="63">
        <v>0.5042999253916934</v>
      </c>
      <c r="F18" s="63">
        <v>0.5578717808219178</v>
      </c>
      <c r="G18" s="63">
        <v>0.5578717808219178</v>
      </c>
      <c r="H18" s="65" t="s">
        <v>366</v>
      </c>
    </row>
    <row r="19" spans="2:8" x14ac:dyDescent="0.25">
      <c r="B19" s="10" t="s">
        <v>367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368</v>
      </c>
    </row>
    <row r="20" spans="2:8" x14ac:dyDescent="0.25">
      <c r="B20" s="10" t="s">
        <v>307</v>
      </c>
      <c r="C20" s="68" t="s">
        <v>308</v>
      </c>
      <c r="D20" s="68" t="s">
        <v>308</v>
      </c>
      <c r="E20" s="68" t="s">
        <v>308</v>
      </c>
      <c r="F20" s="68" t="s">
        <v>308</v>
      </c>
      <c r="G20" s="68" t="s">
        <v>308</v>
      </c>
      <c r="H20" s="65" t="s">
        <v>308</v>
      </c>
    </row>
    <row r="21" spans="2:8" x14ac:dyDescent="0.25">
      <c r="B21" s="10" t="s">
        <v>369</v>
      </c>
      <c r="C21" s="39" t="str">
        <f>IF('5-Year Operating Stmt'!B16&gt;=0,"✓ Break-even","")</f>
        <v>✓ Break-even</v>
      </c>
      <c r="D21" s="69" t="str">
        <f>IF(AND('5-Year Operating Stmt'!C16&gt;=0,'5-Year Operating Stmt'!B16&lt;0),"✓ Break-even","")</f>
        <v>0</v>
      </c>
      <c r="E21" s="69" t="str">
        <f>IF(AND('5-Year Operating Stmt'!D16&gt;=0,'5-Year Operating Stmt'!C16&lt;0),"✓ Break-even","")</f>
        <v>0</v>
      </c>
      <c r="F21" s="69" t="str">
        <f>IF(AND('5-Year Operating Stmt'!E16&gt;=0,'5-Year Operating Stmt'!D16&lt;0),"✓ Break-even","")</f>
        <v>0</v>
      </c>
      <c r="G21" s="69" t="str">
        <f>IF(AND('5-Year Operating Stmt'!F16&gt;=0,'5-Year Operating Stmt'!E16&lt;0),"✓ Break-even","")</f>
        <v>0</v>
      </c>
      <c r="H21" s="65" t="s">
        <v>354</v>
      </c>
    </row>
    <row r="22" spans="2:8" x14ac:dyDescent="0.25">
      <c r="B22" s="10" t="s">
        <v>370</v>
      </c>
      <c r="C22" s="70">
        <v>5</v>
      </c>
      <c r="D22" s="71">
        <v>12</v>
      </c>
      <c r="E22" s="67">
        <v>24</v>
      </c>
      <c r="F22" s="67">
        <v>38</v>
      </c>
      <c r="G22" s="67">
        <v>52</v>
      </c>
      <c r="H22" s="65" t="s">
        <v>371</v>
      </c>
    </row>
    <row r="24" ht="24" customHeight="1" spans="2:8" x14ac:dyDescent="0.25">
      <c r="B24" s="19" t="s">
        <v>372</v>
      </c>
      <c r="C24" s="19" t="s">
        <v>373</v>
      </c>
      <c r="D24" s="19" t="s">
        <v>374</v>
      </c>
      <c r="E24" s="19"/>
      <c r="F24" s="19" t="s">
        <v>375</v>
      </c>
      <c r="G24" s="19"/>
      <c r="H24" s="19"/>
    </row>
    <row r="25" ht="45" customHeight="1" spans="2:8" x14ac:dyDescent="0.25">
      <c r="B25" s="41" t="s">
        <v>376</v>
      </c>
      <c r="C25" s="39" t="s">
        <v>377</v>
      </c>
      <c r="D25" s="72" t="s">
        <v>378</v>
      </c>
      <c r="E25" s="72"/>
      <c r="F25" s="73" t="s">
        <v>379</v>
      </c>
      <c r="G25" s="73"/>
      <c r="H25" s="73"/>
    </row>
    <row r="26" ht="45" customHeight="1" spans="2:8" x14ac:dyDescent="0.25">
      <c r="B26" s="41" t="s">
        <v>380</v>
      </c>
      <c r="C26" s="39" t="s">
        <v>377</v>
      </c>
      <c r="D26" s="72" t="s">
        <v>381</v>
      </c>
      <c r="E26" s="72"/>
      <c r="F26" s="73" t="s">
        <v>382</v>
      </c>
      <c r="G26" s="73"/>
      <c r="H26" s="73"/>
    </row>
    <row r="27" ht="45" customHeight="1" spans="2:8" x14ac:dyDescent="0.25">
      <c r="B27" s="41" t="s">
        <v>383</v>
      </c>
      <c r="C27" s="39" t="s">
        <v>377</v>
      </c>
      <c r="D27" s="72" t="s">
        <v>384</v>
      </c>
      <c r="E27" s="72"/>
      <c r="F27" s="73" t="s">
        <v>385</v>
      </c>
      <c r="G27" s="73"/>
      <c r="H27" s="73"/>
    </row>
    <row r="28" ht="45" customHeight="1" spans="2:8" x14ac:dyDescent="0.25">
      <c r="B28" s="41" t="s">
        <v>386</v>
      </c>
      <c r="C28" s="39" t="s">
        <v>377</v>
      </c>
      <c r="D28" s="72" t="s">
        <v>387</v>
      </c>
      <c r="E28" s="72"/>
      <c r="F28" s="73" t="s">
        <v>388</v>
      </c>
      <c r="G28" s="73"/>
      <c r="H28" s="73"/>
    </row>
    <row r="29" ht="45" customHeight="1" spans="2:8" x14ac:dyDescent="0.25">
      <c r="B29" s="41" t="s">
        <v>389</v>
      </c>
      <c r="C29" s="39" t="s">
        <v>377</v>
      </c>
      <c r="D29" s="72" t="s">
        <v>390</v>
      </c>
      <c r="E29" s="72"/>
      <c r="F29" s="73" t="s">
        <v>391</v>
      </c>
      <c r="G29" s="73"/>
      <c r="H29" s="73"/>
    </row>
    <row r="30" ht="45" customHeight="1" spans="2:8" x14ac:dyDescent="0.25">
      <c r="B30" s="41" t="s">
        <v>392</v>
      </c>
      <c r="C30" s="39" t="s">
        <v>377</v>
      </c>
      <c r="D30" s="72" t="s">
        <v>393</v>
      </c>
      <c r="E30" s="72"/>
      <c r="F30" s="73" t="s">
        <v>394</v>
      </c>
      <c r="G30" s="73"/>
      <c r="H30" s="73"/>
    </row>
    <row r="32" spans="2:6" x14ac:dyDescent="0.25">
      <c r="B32" s="41" t="s">
        <v>395</v>
      </c>
      <c r="C32" s="10" t="s">
        <v>396</v>
      </c>
      <c r="D32" s="10"/>
      <c r="E32" s="10"/>
      <c r="F32" s="10"/>
    </row>
    <row r="34" spans="2:8" x14ac:dyDescent="0.25">
      <c r="B34" s="74" t="s">
        <v>397</v>
      </c>
      <c r="C34" s="74"/>
      <c r="D34" s="74"/>
      <c r="E34" s="74"/>
      <c r="F34" s="74"/>
      <c r="G34" s="74"/>
      <c r="H34" s="74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2026-03-26T13:14:01Z</dcterms:created>
  <dcterms:modified xsi:type="dcterms:W3CDTF">2026-03-26T13:14:01Z</dcterms:modified>
</cp:coreProperties>
</file>