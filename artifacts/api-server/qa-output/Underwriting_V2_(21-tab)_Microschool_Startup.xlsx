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<sst xmlns="http://schemas.openxmlformats.org/spreadsheetml/2006/main" count="630" uniqueCount="337">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</sst>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25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12000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250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7000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116</v>
      </c>
      <c r="D24" s="17">
        <v>5000</v>
      </c>
      <c r="E24" s="18">
        <v>0</v>
      </c>
    </row>
    <row r="25" spans="1:5" x14ac:dyDescent="0.25">
      <c r="A25" s="4" t="s">
        <v>117</v>
      </c>
      <c r="B25" s="4" t="s">
        <v>118</v>
      </c>
      <c r="C25" s="4" t="s">
        <v>119</v>
      </c>
      <c r="D25" s="17">
        <v>10</v>
      </c>
      <c r="E25" s="18">
        <v>0</v>
      </c>
    </row>
    <row r="27" ht="24" customHeight="1" spans="1:7" x14ac:dyDescent="0.25">
      <c r="A27" s="13" t="s">
        <v>120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121</v>
      </c>
      <c r="B28" s="15" t="s">
        <v>104</v>
      </c>
      <c r="C28" s="15" t="s">
        <v>122</v>
      </c>
      <c r="D28" s="15" t="s">
        <v>123</v>
      </c>
      <c r="E28" s="15" t="s">
        <v>124</v>
      </c>
      <c r="F28" s="15" t="s">
        <v>125</v>
      </c>
      <c r="G28" s="15" t="s">
        <v>126</v>
      </c>
    </row>
    <row r="29" spans="1:7" x14ac:dyDescent="0.25">
      <c r="A29" s="4" t="s">
        <v>127</v>
      </c>
      <c r="B29" s="4" t="s">
        <v>128</v>
      </c>
      <c r="C29" s="4" t="s">
        <v>129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130</v>
      </c>
      <c r="B30" s="4" t="s">
        <v>131</v>
      </c>
      <c r="C30" s="4" t="s">
        <v>129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132</v>
      </c>
      <c r="B31" s="4" t="s">
        <v>131</v>
      </c>
      <c r="C31" s="4" t="s">
        <v>133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134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103</v>
      </c>
      <c r="B34" s="15" t="s">
        <v>104</v>
      </c>
      <c r="C34" s="15" t="s">
        <v>105</v>
      </c>
      <c r="D34" s="15" t="s">
        <v>106</v>
      </c>
      <c r="E34" s="15" t="s">
        <v>107</v>
      </c>
    </row>
    <row r="35" spans="1:5" x14ac:dyDescent="0.25">
      <c r="A35" s="4" t="s">
        <v>135</v>
      </c>
      <c r="B35" s="4" t="s">
        <v>136</v>
      </c>
      <c r="C35" s="4" t="s">
        <v>137</v>
      </c>
      <c r="D35" s="17">
        <v>2500</v>
      </c>
      <c r="E35" s="18">
        <v>0.03</v>
      </c>
    </row>
    <row r="36" spans="1:5" x14ac:dyDescent="0.25">
      <c r="A36" s="4" t="s">
        <v>138</v>
      </c>
      <c r="B36" s="4" t="s">
        <v>136</v>
      </c>
      <c r="C36" s="4" t="s">
        <v>137</v>
      </c>
      <c r="D36" s="17">
        <v>300</v>
      </c>
      <c r="E36" s="18">
        <v>0</v>
      </c>
    </row>
    <row r="37" spans="1:5" x14ac:dyDescent="0.25">
      <c r="A37" s="4" t="s">
        <v>139</v>
      </c>
      <c r="B37" s="4" t="s">
        <v>136</v>
      </c>
      <c r="C37" s="4" t="s">
        <v>116</v>
      </c>
      <c r="D37" s="17">
        <v>2400</v>
      </c>
      <c r="E37" s="18">
        <v>0</v>
      </c>
    </row>
    <row r="38" spans="1:5" x14ac:dyDescent="0.25">
      <c r="A38" s="4" t="s">
        <v>140</v>
      </c>
      <c r="B38" s="4" t="s">
        <v>141</v>
      </c>
      <c r="C38" s="4" t="s">
        <v>110</v>
      </c>
      <c r="D38" s="17">
        <v>500</v>
      </c>
      <c r="E38" s="18">
        <v>0</v>
      </c>
    </row>
    <row r="39" spans="1:5" x14ac:dyDescent="0.25">
      <c r="A39" s="4" t="s">
        <v>142</v>
      </c>
      <c r="B39" s="4" t="s">
        <v>142</v>
      </c>
      <c r="C39" s="4" t="s">
        <v>110</v>
      </c>
      <c r="D39" s="17">
        <v>300</v>
      </c>
      <c r="E39" s="18">
        <v>0</v>
      </c>
    </row>
    <row r="40" spans="1:5" x14ac:dyDescent="0.25">
      <c r="A40" s="4" t="s">
        <v>143</v>
      </c>
      <c r="B40" s="4" t="s">
        <v>144</v>
      </c>
      <c r="C40" s="4" t="s">
        <v>116</v>
      </c>
      <c r="D40" s="17">
        <v>3000</v>
      </c>
      <c r="E40" s="18">
        <v>0</v>
      </c>
    </row>
    <row r="42" ht="24" customHeight="1" spans="1:7" x14ac:dyDescent="0.25">
      <c r="A42" s="13" t="s">
        <v>145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146</v>
      </c>
      <c r="B43" s="15" t="s">
        <v>122</v>
      </c>
      <c r="C43" s="15" t="s">
        <v>147</v>
      </c>
      <c r="D43" s="15" t="s">
        <v>124</v>
      </c>
      <c r="E43" s="15" t="s">
        <v>148</v>
      </c>
    </row>
    <row r="44" spans="1:5" x14ac:dyDescent="0.25">
      <c r="A44" s="4" t="s">
        <v>149</v>
      </c>
      <c r="B44" s="4" t="s">
        <v>150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151</v>
      </c>
      <c r="B46" s="13"/>
      <c r="C46" s="13"/>
      <c r="D46" s="13"/>
      <c r="E46" s="13"/>
      <c r="F46" s="13"/>
      <c r="G46" s="13"/>
    </row>
    <row r="47" spans="1:3" x14ac:dyDescent="0.25">
      <c r="A47" s="4" t="s">
        <v>152</v>
      </c>
      <c r="B47" s="18">
        <v>0.03</v>
      </c>
      <c r="C47" s="20" t="s">
        <v>153</v>
      </c>
    </row>
    <row r="48" spans="1:3" x14ac:dyDescent="0.25">
      <c r="A48" s="4" t="s">
        <v>154</v>
      </c>
      <c r="B48" s="18">
        <v>0.03</v>
      </c>
      <c r="C48" s="20" t="s">
        <v>155</v>
      </c>
    </row>
    <row r="49" spans="1:2" x14ac:dyDescent="0.25">
      <c r="A49" s="4" t="s">
        <v>156</v>
      </c>
      <c r="B49" s="19">
        <v>0.8333333333333334</v>
      </c>
    </row>
    <row r="50" spans="1:2" x14ac:dyDescent="0.25">
      <c r="A50" s="4" t="s">
        <v>157</v>
      </c>
      <c r="B50" s="17">
        <v>0</v>
      </c>
    </row>
    <row r="51" spans="1:2" x14ac:dyDescent="0.25">
      <c r="A51" s="4" t="s">
        <v>158</v>
      </c>
      <c r="B51" s="14" t="s">
        <v>159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160</v>
      </c>
      <c r="B3" s="4" t="s">
        <v>161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162</v>
      </c>
      <c r="B6" s="4" t="s">
        <v>163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164</v>
      </c>
      <c r="B8" s="4" t="s">
        <v>17</v>
      </c>
    </row>
    <row r="9" spans="1:2" x14ac:dyDescent="0.25">
      <c r="A9" s="3" t="s">
        <v>93</v>
      </c>
      <c r="B9" s="4" t="s">
        <v>165</v>
      </c>
    </row>
    <row r="10" spans="1:2" x14ac:dyDescent="0.25">
      <c r="A10" s="3" t="s">
        <v>166</v>
      </c>
      <c r="B10" s="4" t="s">
        <v>167</v>
      </c>
    </row>
    <row r="11" spans="1:2" x14ac:dyDescent="0.25">
      <c r="A11" s="3" t="s">
        <v>168</v>
      </c>
      <c r="B11" s="4" t="s">
        <v>169</v>
      </c>
    </row>
    <row r="12" spans="1:2" x14ac:dyDescent="0.25">
      <c r="A12" s="3" t="s">
        <v>158</v>
      </c>
      <c r="B12" s="4" t="s">
        <v>159</v>
      </c>
    </row>
    <row r="13" spans="1:2" x14ac:dyDescent="0.25">
      <c r="A13" s="3" t="s">
        <v>94</v>
      </c>
      <c r="B13" s="4" t="s">
        <v>170</v>
      </c>
    </row>
    <row r="14" spans="1:2" x14ac:dyDescent="0.25">
      <c r="A14" s="3" t="s">
        <v>171</v>
      </c>
      <c r="B14" s="4" t="s">
        <v>159</v>
      </c>
    </row>
    <row r="15" spans="1:2" x14ac:dyDescent="0.25">
      <c r="A15" s="3" t="s">
        <v>172</v>
      </c>
      <c r="B15" s="4" t="s">
        <v>173</v>
      </c>
    </row>
    <row r="16" spans="1:2" x14ac:dyDescent="0.25">
      <c r="A16" s="3" t="s">
        <v>174</v>
      </c>
      <c r="B16" s="4" t="s">
        <v>175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176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94</v>
      </c>
      <c r="B7" s="22">
        <v>25</v>
      </c>
    </row>
    <row r="8" spans="1:6" x14ac:dyDescent="0.25">
      <c r="A8" s="4" t="s">
        <v>177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178</v>
      </c>
      <c r="B10" s="4" t="s">
        <v>179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181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184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185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186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187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121</v>
      </c>
      <c r="B3" s="15" t="s">
        <v>104</v>
      </c>
      <c r="C3" s="15" t="s">
        <v>123</v>
      </c>
      <c r="D3" s="15" t="s">
        <v>188</v>
      </c>
      <c r="E3" s="15" t="s">
        <v>125</v>
      </c>
      <c r="F3" s="15" t="s">
        <v>126</v>
      </c>
      <c r="G3" s="15" t="s">
        <v>189</v>
      </c>
    </row>
    <row r="4" spans="1:7" x14ac:dyDescent="0.25">
      <c r="A4" s="4" t="s">
        <v>127</v>
      </c>
      <c r="B4" s="4" t="s">
        <v>128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130</v>
      </c>
      <c r="B5" s="4" t="s">
        <v>131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132</v>
      </c>
      <c r="B6" s="4" t="s">
        <v>131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190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96</v>
      </c>
      <c r="C9" s="15" t="s">
        <v>97</v>
      </c>
      <c r="D9" s="15" t="s">
        <v>98</v>
      </c>
      <c r="E9" s="15" t="s">
        <v>99</v>
      </c>
      <c r="F9" s="15" t="s">
        <v>100</v>
      </c>
    </row>
    <row r="10" spans="1:6" x14ac:dyDescent="0.25">
      <c r="A10" s="3" t="s">
        <v>191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192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193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141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196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142</v>
      </c>
      <c r="B7" s="13"/>
      <c r="C7" s="13"/>
      <c r="D7" s="13"/>
      <c r="E7" s="13"/>
      <c r="F7" s="13"/>
    </row>
    <row r="8" spans="1:6" x14ac:dyDescent="0.25">
      <c r="A8" s="4" t="s">
        <v>197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198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199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200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201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202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144</v>
      </c>
      <c r="B15" s="13"/>
      <c r="C15" s="13"/>
      <c r="D15" s="13"/>
      <c r="E15" s="13"/>
      <c r="F15" s="13"/>
    </row>
    <row r="16" spans="1:6" x14ac:dyDescent="0.25">
      <c r="A16" s="4" t="s">
        <v>203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204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205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146</v>
      </c>
      <c r="B3" s="15" t="s">
        <v>122</v>
      </c>
      <c r="C3" s="15" t="s">
        <v>147</v>
      </c>
      <c r="D3" s="15" t="s">
        <v>124</v>
      </c>
      <c r="E3" s="15" t="s">
        <v>148</v>
      </c>
      <c r="F3" s="15" t="s">
        <v>207</v>
      </c>
    </row>
    <row r="4" spans="1:6" x14ac:dyDescent="0.25">
      <c r="A4" s="4" t="s">
        <v>149</v>
      </c>
      <c r="B4" s="4" t="s">
        <v>150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208</v>
      </c>
      <c r="F6" s="26">
        <v>6960</v>
      </c>
    </row>
    <row r="7" spans="1:6" x14ac:dyDescent="0.25">
      <c r="A7" s="3" t="s">
        <v>209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111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112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114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117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187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212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214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216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128</v>
      </c>
      <c r="B8" s="13"/>
      <c r="C8" s="13"/>
      <c r="D8" s="13"/>
      <c r="E8" s="13"/>
      <c r="F8" s="13"/>
    </row>
    <row r="9" spans="1:6" x14ac:dyDescent="0.25">
      <c r="A9" s="4" t="s">
        <v>217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218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219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227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228</v>
      </c>
      <c r="B12" s="13"/>
      <c r="C12" s="13"/>
      <c r="D12" s="13"/>
      <c r="E12" s="13"/>
      <c r="F12" s="13"/>
    </row>
    <row r="13" spans="1:6" x14ac:dyDescent="0.25">
      <c r="A13" s="4" t="s">
        <v>217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214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215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191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134</v>
      </c>
      <c r="B18" s="13"/>
      <c r="C18" s="13"/>
      <c r="D18" s="13"/>
      <c r="E18" s="13"/>
      <c r="F18" s="13"/>
    </row>
    <row r="19" spans="1:1" x14ac:dyDescent="0.25">
      <c r="A19" s="32" t="s">
        <v>141</v>
      </c>
    </row>
    <row r="20" spans="1:6" x14ac:dyDescent="0.25">
      <c r="A20" s="4" t="s">
        <v>229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142</v>
      </c>
    </row>
    <row r="22" spans="1:6" x14ac:dyDescent="0.25">
      <c r="A22" s="4" t="s">
        <v>230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136</v>
      </c>
    </row>
    <row r="24" spans="1:6" x14ac:dyDescent="0.25">
      <c r="A24" s="4" t="s">
        <v>231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232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233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234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144</v>
      </c>
    </row>
    <row r="29" spans="1:6" x14ac:dyDescent="0.25">
      <c r="A29" s="4" t="s">
        <v>235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236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237</v>
      </c>
      <c r="B32" s="13"/>
      <c r="C32" s="13"/>
      <c r="D32" s="13"/>
      <c r="E32" s="13"/>
      <c r="F32" s="13"/>
    </row>
    <row r="33" spans="1:6" x14ac:dyDescent="0.25">
      <c r="A33" s="3" t="s">
        <v>238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227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191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236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240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241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242</v>
      </c>
      <c r="B10" s="13"/>
      <c r="C10" s="13"/>
      <c r="D10" s="13"/>
      <c r="E10" s="13"/>
      <c r="F10" s="13"/>
    </row>
    <row r="11" spans="1:6" x14ac:dyDescent="0.25">
      <c r="A11" s="3" t="s">
        <v>243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244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245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212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246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248</v>
      </c>
      <c r="C2" s="15" t="s">
        <v>249</v>
      </c>
      <c r="D2" s="15" t="s">
        <v>250</v>
      </c>
      <c r="E2" s="15" t="s">
        <v>251</v>
      </c>
      <c r="F2" s="15" t="s">
        <v>252</v>
      </c>
      <c r="G2" s="15" t="s">
        <v>253</v>
      </c>
      <c r="H2" s="15" t="s">
        <v>254</v>
      </c>
      <c r="I2" s="15" t="s">
        <v>255</v>
      </c>
      <c r="J2" s="15" t="s">
        <v>256</v>
      </c>
      <c r="K2" s="15" t="s">
        <v>257</v>
      </c>
      <c r="L2" s="15" t="s">
        <v>258</v>
      </c>
      <c r="M2" s="15" t="s">
        <v>259</v>
      </c>
      <c r="N2" s="15" t="s">
        <v>260</v>
      </c>
    </row>
    <row r="3" ht="24" customHeight="1" spans="1:14" x14ac:dyDescent="0.25">
      <c r="A3" s="13" t="s">
        <v>221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227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3" t="s">
        <v>261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262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4" t="s">
        <v>263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3" t="s">
        <v>265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241</v>
      </c>
      <c r="B12" s="28">
        <f>B7+B8+B9</f>
        <v>15943</v>
      </c>
      <c r="C12" s="28">
        <f>C7+C8+C9</f>
        <v>15943</v>
      </c>
      <c r="D12" s="28">
        <f>D7+D8+D9</f>
        <v>15943</v>
      </c>
      <c r="E12" s="28">
        <f>E7+E8+E9</f>
        <v>15943</v>
      </c>
      <c r="F12" s="28">
        <f>F7+F8+F9</f>
        <v>15943</v>
      </c>
      <c r="G12" s="28">
        <f>G7+G8+G9</f>
        <v>15943</v>
      </c>
      <c r="H12" s="28">
        <f>H7+H8+H9</f>
        <v>15943</v>
      </c>
      <c r="I12" s="28">
        <f>I7+I8+I9</f>
        <v>15943</v>
      </c>
      <c r="J12" s="28">
        <f>J7+J8+J9</f>
        <v>15943</v>
      </c>
      <c r="K12" s="28">
        <f>K7+K8+K9</f>
        <v>15943</v>
      </c>
      <c r="L12" s="28" t="str">
        <f>L7+L8+L9</f>
        <v>0</v>
      </c>
      <c r="M12" s="28" t="str">
        <f>M7+M8+M9</f>
        <v>0</v>
      </c>
      <c r="N12" s="28">
        <f>SUM(B12:M12)</f>
        <v>159430</v>
      </c>
    </row>
    <row r="13" spans="1:14" x14ac:dyDescent="0.25">
      <c r="A13" s="3" t="s">
        <v>266</v>
      </c>
      <c r="B13" s="28">
        <f>B4-B12</f>
        <v>-6793</v>
      </c>
      <c r="C13" s="28">
        <f>C4-C12</f>
        <v>6167</v>
      </c>
      <c r="D13" s="28">
        <f>D4-D12</f>
        <v>6167</v>
      </c>
      <c r="E13" s="28">
        <f>E4-E12</f>
        <v>6167</v>
      </c>
      <c r="F13" s="28">
        <f>F4-F12</f>
        <v>6167</v>
      </c>
      <c r="G13" s="28">
        <f>G4-G12</f>
        <v>6167</v>
      </c>
      <c r="H13" s="28">
        <f>H4-H12</f>
        <v>6167</v>
      </c>
      <c r="I13" s="28">
        <f>I4-I12</f>
        <v>6167</v>
      </c>
      <c r="J13" s="28">
        <f>J4-J12</f>
        <v>6167</v>
      </c>
      <c r="K13" s="28">
        <f>K4-K12</f>
        <v>6167</v>
      </c>
      <c r="L13" s="28">
        <f>L4-L12</f>
        <v>13210</v>
      </c>
      <c r="M13" s="28">
        <f>M4-M12</f>
        <v>250</v>
      </c>
      <c r="N13" s="28">
        <f>SUM(B13:M13)</f>
        <v>62170</v>
      </c>
    </row>
    <row r="14" spans="1:14" x14ac:dyDescent="0.25">
      <c r="A14" s="3" t="s">
        <v>267</v>
      </c>
      <c r="B14" s="33">
        <f>B17+B13</f>
        <v>-6793</v>
      </c>
      <c r="C14" s="33">
        <f>B14+C13</f>
        <v>-626</v>
      </c>
      <c r="D14" s="33">
        <f>C14+D13</f>
        <v>5541</v>
      </c>
      <c r="E14" s="33">
        <f>D14+E13</f>
        <v>11708</v>
      </c>
      <c r="F14" s="33">
        <f>E14+F13</f>
        <v>17875</v>
      </c>
      <c r="G14" s="33">
        <f>F14+G13</f>
        <v>24042</v>
      </c>
      <c r="H14" s="33">
        <f>G14+H13</f>
        <v>30209</v>
      </c>
      <c r="I14" s="33">
        <f>H14+I13</f>
        <v>36376</v>
      </c>
      <c r="J14" s="33">
        <f>I14+J13</f>
        <v>42543</v>
      </c>
      <c r="K14" s="33">
        <f>J14+K13</f>
        <v>48710</v>
      </c>
      <c r="L14" s="33">
        <f>K14+L13</f>
        <v>61920</v>
      </c>
      <c r="M14" s="33">
        <f>L14+M13</f>
        <v>62170</v>
      </c>
      <c r="N14" s="26">
        <f>M14</f>
        <v>62170</v>
      </c>
    </row>
    <row r="16" ht="24" customHeight="1" spans="1:3" x14ac:dyDescent="0.25">
      <c r="A16" s="13" t="s">
        <v>268</v>
      </c>
      <c r="B16" s="13"/>
      <c r="C16" s="13"/>
    </row>
    <row r="17" spans="1:2" x14ac:dyDescent="0.25">
      <c r="A17" s="4" t="s">
        <v>157</v>
      </c>
      <c r="B17" s="17">
        <v>0</v>
      </c>
    </row>
    <row r="18" spans="1:2" x14ac:dyDescent="0.25">
      <c r="A18" s="4" t="s">
        <v>269</v>
      </c>
      <c r="B18" s="33">
        <f>M14</f>
        <v>62170</v>
      </c>
    </row>
    <row r="19" spans="1:2" x14ac:dyDescent="0.25">
      <c r="A19" s="4" t="s">
        <v>270</v>
      </c>
      <c r="B19" s="25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34" t="s">
        <v>227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261</v>
      </c>
      <c r="B7" s="13"/>
      <c r="C7" s="13"/>
      <c r="D7" s="13"/>
      <c r="E7" s="13"/>
      <c r="F7" s="13"/>
    </row>
    <row r="8" spans="1:6" x14ac:dyDescent="0.25">
      <c r="A8" s="3" t="s">
        <v>262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263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272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241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273</v>
      </c>
      <c r="B13" s="13"/>
      <c r="C13" s="13"/>
      <c r="D13" s="13"/>
      <c r="E13" s="13"/>
      <c r="F13" s="13"/>
    </row>
    <row r="14" spans="1:6" x14ac:dyDescent="0.25">
      <c r="A14" s="34" t="s">
        <v>243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244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5" x14ac:dyDescent="0.25">
      <c r="A5" s="35" t="s">
        <v>275</v>
      </c>
      <c r="B5" s="36" t="s">
        <v>147</v>
      </c>
      <c r="C5" s="37" t="s">
        <v>276</v>
      </c>
      <c r="D5" s="35" t="s">
        <v>277</v>
      </c>
      <c r="E5" s="36" t="s">
        <v>207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279</v>
      </c>
      <c r="B4" s="13"/>
      <c r="C4" s="13"/>
      <c r="D4" s="13"/>
      <c r="E4" s="13"/>
      <c r="F4" s="13"/>
    </row>
    <row r="5" spans="1:6" x14ac:dyDescent="0.25">
      <c r="A5" s="4" t="s">
        <v>280</v>
      </c>
      <c r="B5" s="38">
        <f>'Monthly Cash Flow Y1'!M14</f>
        <v>62170</v>
      </c>
      <c r="C5" s="38">
        <f>B5+'5-Year Operating Stmt'!C14</f>
        <v>199962</v>
      </c>
      <c r="D5" s="38">
        <f>B5+'5-Year Operating Stmt'!C14+'5-Year Operating Stmt'!D14</f>
        <v>415091</v>
      </c>
      <c r="E5" s="38">
        <f>B5+'5-Year Operating Stmt'!C14+'5-Year Operating Stmt'!D14+'5-Year Operating Stmt'!E14</f>
        <v>693221</v>
      </c>
      <c r="F5" s="38">
        <f>B5+'5-Year Operating Stmt'!C14+'5-Year Operating Stmt'!D14+'5-Year Operating Stmt'!E14+'5-Year Operating Stmt'!F14</f>
        <v>979696</v>
      </c>
    </row>
    <row r="6" spans="1:6" x14ac:dyDescent="0.25">
      <c r="A6" s="4" t="s">
        <v>281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282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284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3" t="s">
        <v>285</v>
      </c>
      <c r="B11" s="13"/>
      <c r="C11" s="13"/>
      <c r="D11" s="13"/>
      <c r="E11" s="13"/>
      <c r="F11" s="13"/>
    </row>
    <row r="12" spans="1:6" x14ac:dyDescent="0.25">
      <c r="A12" s="4" t="s">
        <v>286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288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3" t="s">
        <v>289</v>
      </c>
      <c r="B16" s="13"/>
      <c r="C16" s="13"/>
      <c r="D16" s="13"/>
      <c r="E16" s="13"/>
      <c r="F16" s="13"/>
    </row>
    <row r="17" spans="1:6" x14ac:dyDescent="0.25">
      <c r="A17" s="3" t="s">
        <v>290</v>
      </c>
      <c r="B17" s="26">
        <f>B9-B14</f>
        <v>67170</v>
      </c>
      <c r="C17" s="26">
        <f>C9-C14</f>
        <v>204962</v>
      </c>
      <c r="D17" s="26">
        <f>D9-D14</f>
        <v>420091</v>
      </c>
      <c r="E17" s="26">
        <f>E9-E14</f>
        <v>698221</v>
      </c>
      <c r="F17" s="26">
        <f>F9-F14</f>
        <v>984696</v>
      </c>
    </row>
    <row r="19" spans="1:6" x14ac:dyDescent="0.25">
      <c r="A19" s="3" t="s">
        <v>291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39" t="str">
        <f>E9-E14-E17</f>
        <v>0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293</v>
      </c>
      <c r="B4" s="13"/>
      <c r="C4" s="13"/>
      <c r="D4" s="13"/>
      <c r="E4" s="13"/>
      <c r="F4" s="13"/>
    </row>
    <row r="5" spans="1:6" x14ac:dyDescent="0.25">
      <c r="A5" s="4" t="s">
        <v>294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262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263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295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296</v>
      </c>
      <c r="B10" s="40" t="s">
        <v>297</v>
      </c>
      <c r="C10" s="40" t="s">
        <v>297</v>
      </c>
      <c r="D10" s="40" t="s">
        <v>297</v>
      </c>
      <c r="E10" s="40" t="s">
        <v>297</v>
      </c>
      <c r="F10" s="40" t="s">
        <v>297</v>
      </c>
    </row>
    <row r="12" ht="24" customHeight="1" spans="1:6" x14ac:dyDescent="0.25">
      <c r="A12" s="13" t="s">
        <v>298</v>
      </c>
      <c r="B12" s="13"/>
      <c r="C12" s="13"/>
      <c r="D12" s="13"/>
      <c r="E12" s="13"/>
      <c r="F12" s="13"/>
    </row>
    <row r="13" spans="1:6" x14ac:dyDescent="0.25">
      <c r="A13" s="4" t="s">
        <v>299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300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301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177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302</v>
      </c>
      <c r="B18" s="13"/>
      <c r="C18" s="13"/>
      <c r="D18" s="13"/>
      <c r="E18" s="13"/>
      <c r="F18" s="13"/>
    </row>
    <row r="19" spans="1:6" x14ac:dyDescent="0.25">
      <c r="A19" s="4" t="s">
        <v>212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303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304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305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306</v>
      </c>
      <c r="B24" s="13"/>
      <c r="C24" s="13"/>
      <c r="D24" s="13"/>
      <c r="E24" s="13"/>
      <c r="F24" s="13"/>
    </row>
    <row r="25" spans="1:6" x14ac:dyDescent="0.25">
      <c r="A25" s="4" t="s">
        <v>307</v>
      </c>
      <c r="B25" s="42" t="s">
        <v>297</v>
      </c>
      <c r="C25" s="42" t="s">
        <v>297</v>
      </c>
      <c r="D25" s="42" t="s">
        <v>297</v>
      </c>
      <c r="E25" s="42" t="s">
        <v>297</v>
      </c>
      <c r="F25" s="42" t="s">
        <v>297</v>
      </c>
    </row>
    <row r="26" spans="1:6" x14ac:dyDescent="0.25">
      <c r="A26" s="4" t="s">
        <v>308</v>
      </c>
      <c r="B26" s="43" t="s">
        <v>309</v>
      </c>
      <c r="C26" s="43" t="s">
        <v>309</v>
      </c>
      <c r="D26" s="43" t="s">
        <v>309</v>
      </c>
      <c r="E26" s="43" t="s">
        <v>309</v>
      </c>
      <c r="F26" s="43" t="s">
        <v>309</v>
      </c>
    </row>
    <row r="27" spans="1:6" x14ac:dyDescent="0.25">
      <c r="A27" s="4" t="s">
        <v>310</v>
      </c>
      <c r="B27" s="44" t="s">
        <v>311</v>
      </c>
      <c r="C27" s="43" t="s">
        <v>309</v>
      </c>
      <c r="D27" s="43" t="s">
        <v>309</v>
      </c>
      <c r="E27" s="43" t="s">
        <v>309</v>
      </c>
      <c r="F27" s="43" t="s">
        <v>309</v>
      </c>
    </row>
    <row r="28" spans="1:6" x14ac:dyDescent="0.25">
      <c r="A28" s="4" t="s">
        <v>312</v>
      </c>
      <c r="B28" s="43" t="s">
        <v>309</v>
      </c>
      <c r="C28" s="43" t="s">
        <v>309</v>
      </c>
      <c r="D28" s="43" t="s">
        <v>309</v>
      </c>
      <c r="E28" s="43" t="s">
        <v>309</v>
      </c>
      <c r="F28" s="43" t="s">
        <v>309</v>
      </c>
    </row>
    <row r="29" spans="1:6" x14ac:dyDescent="0.25">
      <c r="A29" s="4" t="s">
        <v>313</v>
      </c>
      <c r="B29" s="43" t="s">
        <v>309</v>
      </c>
      <c r="C29" s="43" t="s">
        <v>309</v>
      </c>
      <c r="D29" s="43" t="s">
        <v>309</v>
      </c>
      <c r="E29" s="43" t="s">
        <v>309</v>
      </c>
      <c r="F29" s="43" t="s">
        <v>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314</v>
      </c>
      <c r="B3" s="45" t="s">
        <v>106</v>
      </c>
      <c r="D3" s="45" t="s">
        <v>315</v>
      </c>
      <c r="E3" s="45" t="s">
        <v>106</v>
      </c>
    </row>
    <row r="4" spans="1:5" x14ac:dyDescent="0.25">
      <c r="A4" s="4" t="s">
        <v>316</v>
      </c>
      <c r="B4" s="25">
        <v>20000</v>
      </c>
      <c r="D4" s="4" t="s">
        <v>317</v>
      </c>
      <c r="E4" s="25">
        <v>15000</v>
      </c>
    </row>
    <row r="5" spans="4:5" x14ac:dyDescent="0.25">
      <c r="D5" s="4" t="s">
        <v>318</v>
      </c>
      <c r="E5" s="25">
        <v>5000</v>
      </c>
    </row>
    <row r="7" spans="1:5" x14ac:dyDescent="0.25">
      <c r="A7" s="3" t="s">
        <v>319</v>
      </c>
      <c r="B7" s="26">
        <v>20000</v>
      </c>
      <c r="D7" s="3" t="s">
        <v>320</v>
      </c>
      <c r="E7" s="26">
        <v>20000</v>
      </c>
    </row>
    <row r="8" spans="1:2" x14ac:dyDescent="0.25">
      <c r="A8" s="3" t="s">
        <v>321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322</v>
      </c>
      <c r="B1" s="11"/>
      <c r="C1" s="11"/>
      <c r="D1" s="11"/>
      <c r="E1" s="11"/>
      <c r="F1" s="11"/>
    </row>
    <row r="3" ht="24" customHeight="1" spans="1:6" x14ac:dyDescent="0.25">
      <c r="A3" s="13" t="s">
        <v>323</v>
      </c>
      <c r="B3" s="13"/>
      <c r="C3" s="13"/>
      <c r="D3" s="13"/>
      <c r="E3" s="13"/>
      <c r="F3" s="13"/>
    </row>
    <row r="4" spans="1:1" x14ac:dyDescent="0.25">
      <c r="A4" s="12" t="s">
        <v>324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294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241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243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244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296</v>
      </c>
      <c r="B10" s="46" t="s">
        <v>297</v>
      </c>
      <c r="C10" s="46" t="s">
        <v>297</v>
      </c>
      <c r="D10" s="46" t="s">
        <v>297</v>
      </c>
      <c r="E10" s="46" t="s">
        <v>297</v>
      </c>
      <c r="F10" s="46" t="s">
        <v>297</v>
      </c>
    </row>
    <row r="11" spans="1:6" x14ac:dyDescent="0.25">
      <c r="A11" s="4" t="s">
        <v>305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325</v>
      </c>
      <c r="B13" s="13"/>
      <c r="C13" s="13"/>
      <c r="D13" s="13"/>
      <c r="E13" s="13"/>
      <c r="F13" s="13"/>
    </row>
    <row r="14" spans="1:1" x14ac:dyDescent="0.25">
      <c r="A14" s="12" t="s">
        <v>326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294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241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243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244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296</v>
      </c>
      <c r="B20" s="46" t="s">
        <v>297</v>
      </c>
      <c r="C20" s="46" t="s">
        <v>297</v>
      </c>
      <c r="D20" s="46" t="s">
        <v>297</v>
      </c>
      <c r="E20" s="46" t="s">
        <v>297</v>
      </c>
      <c r="F20" s="46" t="s">
        <v>297</v>
      </c>
    </row>
    <row r="21" spans="1:6" x14ac:dyDescent="0.25">
      <c r="A21" s="4" t="s">
        <v>305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122</v>
      </c>
      <c r="B5" s="4" t="s">
        <v>5</v>
      </c>
    </row>
    <row r="6" spans="1:2" x14ac:dyDescent="0.25">
      <c r="A6" s="4" t="s">
        <v>328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329</v>
      </c>
      <c r="B9" s="4" t="s">
        <v>17</v>
      </c>
    </row>
    <row r="11" ht="24" customHeight="1" spans="1:8" x14ac:dyDescent="0.25">
      <c r="A11" s="13" t="s">
        <v>330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294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241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243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331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332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334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296</v>
      </c>
      <c r="D22" s="46" t="s">
        <v>297</v>
      </c>
      <c r="E22" s="46" t="s">
        <v>297</v>
      </c>
      <c r="F22" s="46" t="s">
        <v>297</v>
      </c>
      <c r="G22" s="46" t="s">
        <v>297</v>
      </c>
      <c r="H22" s="46" t="s">
        <v>297</v>
      </c>
    </row>
    <row r="23" spans="1:8" x14ac:dyDescent="0.25">
      <c r="A23" s="4" t="s">
        <v>177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335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2026-03-18T04:57:37Z</dcterms:created>
  <dcterms:modified xsi:type="dcterms:W3CDTF">2026-03-18T04:57:37Z</dcterms:modified>
</cp:coreProperties>
</file>