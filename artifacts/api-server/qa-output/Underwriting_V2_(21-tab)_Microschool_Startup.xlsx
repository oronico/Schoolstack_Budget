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<sst xmlns="http://schemas.openxmlformats.org/spreadsheetml/2006/main" count="728" uniqueCount="402">
  <si>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</si>
  <si>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</si>
  <si>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</si>
  <si>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</si>
  <si>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</si>
  <si>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</si>
  <si>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</si>
  <si>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</si>
  <si>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</si>
  <si>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</si>
  <si>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</si>
  <si>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</si>
  <si>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</si>
  <si>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</si>
  <si>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</si>
  <si>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</si>
  <si>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</si>
  <si>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</si>
  <si>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</si>
  <si>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</si>
  <si>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</si>
  <si>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</si>
  <si>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</si>
  <si>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</si>
  <si>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</si>
  <si>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</si>
  <si>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</si>
  <si>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</si>
  <si>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</si>
  <si>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</si>
  <si>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</si>
  <si>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</si>
  <si>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</si>
  <si>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</si>
  <si>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Microschool</t>
  </si>
  <si>
    <t>Entity Type</t>
  </si>
  <si>
    <t>LLC (Single Member)</t>
  </si>
  <si>
    <t>State</t>
  </si>
  <si>
    <t>AZ</t>
  </si>
  <si>
    <t>Fiscal Year Start</t>
  </si>
  <si>
    <t>Month 7</t>
  </si>
  <si>
    <t>Model Date</t>
  </si>
  <si>
    <t>March 27, 2026</t>
  </si>
  <si>
    <t>Stage</t>
  </si>
  <si>
    <t>Startup / Pre-Opening</t>
  </si>
  <si>
    <t>Funding Profile</t>
  </si>
  <si>
    <t>Tuition-Based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</si>
  <si>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</si>
  <si>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</si>
  <si>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</si>
  <si>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</si>
  <si>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</si>
  <si>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</si>
  <si>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</si>
  <si>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</si>
  <si>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</si>
  <si>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</si>
  <si>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</si>
  <si>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</si>
  <si>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</si>
  <si>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</si>
  <si>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</si>
  <si>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</si>
  <si>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</si>
  <si>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</si>
  <si>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</si>
  <si>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</si>
  <si>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</si>
  <si>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</si>
  <si>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</si>
  <si>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</si>
  <si>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</si>
  <si>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</si>
  <si>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</si>
  <si>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</si>
  <si>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</si>
  <si>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</si>
  <si>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</si>
  <si>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</si>
  <si>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</si>
  <si>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</si>
  <si>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</si>
  <si>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</si>
  <si>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</si>
  <si>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</si>
  <si>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</si>
  <si>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</si>
  <si>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</si>
  <si>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</si>
  <si>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</si>
  <si>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</si>
  <si>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</si>
  <si>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</si>
  <si>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Bright Horizons Microschool - Assumptions</t>
  </si>
  <si>
    <t>Editable assumption — change this value</t>
  </si>
  <si>
    <t>Calculated — driven by formula</t>
  </si>
  <si>
    <t>SCHOOL PROFILE</t>
  </si>
  <si>
    <t>EIN</t>
  </si>
  <si>
    <t>88-1234567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</si>
  <si>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</si>
  <si>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</si>
  <si>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</si>
  <si>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</si>
  <si>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</si>
  <si>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</si>
  <si>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</si>
  <si>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</si>
  <si>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</si>
  <si>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</si>
  <si>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</si>
  <si>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</si>
  <si>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</si>
  <si>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</si>
  <si>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</si>
  <si>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</si>
  <si>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</si>
  <si>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</si>
  <si>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</si>
  <si>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</si>
  <si>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</si>
  <si>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</si>
  <si>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</si>
  <si>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</si>
  <si>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</si>
  <si>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</si>
  <si>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</si>
  <si>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</t>
  </si>
  <si>
    <t>Role</t>
  </si>
  <si>
    <t>Type</t>
  </si>
  <si>
    <t>FTE</t>
  </si>
  <si>
    <t>Rate</t>
  </si>
  <si>
    <t>Benefits %</t>
  </si>
  <si>
    <t>Tax %</t>
  </si>
  <si>
    <t>Founder / Head of School</t>
  </si>
  <si>
    <t>School Leadership</t>
  </si>
  <si>
    <t>full_time</t>
  </si>
  <si>
    <t>Lead Teacher</t>
  </si>
  <si>
    <t>Instructional</t>
  </si>
  <si>
    <t>Teaching Assistant</t>
  </si>
  <si>
    <t>part_time</t>
  </si>
  <si>
    <t>OPERATING EXPENSES</t>
  </si>
  <si>
    <t>Rent</t>
  </si>
  <si>
    <t>Occupancy / Facility</t>
  </si>
  <si>
    <t>Monthly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</si>
  <si>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</si>
  <si>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</si>
  <si>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</si>
  <si>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</si>
  <si>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</si>
  <si>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</si>
  <si>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</si>
  <si>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</si>
  <si>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Instrument</t>
  </si>
  <si>
    <t>Principal</t>
  </si>
  <si>
    <t>Term (Yrs)</t>
  </si>
  <si>
    <t>Equipment Loan</t>
  </si>
  <si>
    <t>Loan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</si>
  <si>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</si>
  <si>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</si>
  <si>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</si>
  <si>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</si>
  <si>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</si>
  <si>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</si>
  <si>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</si>
  <si>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</si>
  <si>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No</t>
  </si>
  <si>
    <t>School Model</t>
  </si>
  <si>
    <t>microschool</t>
  </si>
  <si>
    <t>Financial Label Convention</t>
  </si>
  <si>
    <t>For-Profit (Profit &amp; Loss / Equity)</t>
  </si>
  <si>
    <t>Funding Mix</t>
  </si>
  <si>
    <t>7</t>
  </si>
  <si>
    <t>Year 1 Operating Months</t>
  </si>
  <si>
    <t>10</t>
  </si>
  <si>
    <t>Proration Factor</t>
  </si>
  <si>
    <t>83.3%</t>
  </si>
  <si>
    <t>25</t>
  </si>
  <si>
    <t>Accredited</t>
  </si>
  <si>
    <t>Location</t>
  </si>
  <si>
    <t>123 Main St, Scottsdale, AZ 85251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</si>
  <si>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</si>
  <si>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</si>
  <si>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</si>
  <si>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</si>
  <si>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</si>
  <si>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</si>
  <si>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</si>
  <si>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TUITION &amp; FEES</t>
  </si>
  <si>
    <t>Total Tuition &amp; Fees</t>
  </si>
  <si>
    <t>TUITION OFFSETS</t>
  </si>
  <si>
    <t>Total Tuition Offsets</t>
  </si>
  <si>
    <t>SCHOOL CHOICE</t>
  </si>
  <si>
    <t>Total School Choice</t>
  </si>
  <si>
    <t>PHILANTHROPY</t>
  </si>
  <si>
    <t>Total Philanthropy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</si>
  <si>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</si>
  <si>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</si>
  <si>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</si>
  <si>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</si>
  <si>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</si>
  <si>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</si>
  <si>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</si>
  <si>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</si>
  <si>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Materials</t>
  </si>
  <si>
    <t>Total Instructional / Program</t>
  </si>
  <si>
    <t xml:space="preserve">  Technology</t>
  </si>
  <si>
    <t>Total Technology</t>
  </si>
  <si>
    <t xml:space="preserve">  Rent</t>
  </si>
  <si>
    <t xml:space="preserve">  Utilities</t>
  </si>
  <si>
    <t xml:space="preserve">  Insurance</t>
  </si>
  <si>
    <t>Total Occupancy / Facility</t>
  </si>
  <si>
    <t xml:space="preserve">  Marketing</t>
  </si>
  <si>
    <t>Total Administrative / General</t>
  </si>
  <si>
    <t>TOTAL OPERATING EXPENSES</t>
  </si>
  <si>
    <t>Capital Stack &amp; Loan Terms</t>
  </si>
  <si>
    <t>Annual Payment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</si>
  <si>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</si>
  <si>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</si>
  <si>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</si>
  <si>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</si>
  <si>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</si>
  <si>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</si>
  <si>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</si>
  <si>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Lead Teacher [1 FTE]</t>
  </si>
  <si>
    <t xml:space="preserve">  Teaching Assistant [0.5 FTE]</t>
  </si>
  <si>
    <t>Total Instructional</t>
  </si>
  <si>
    <t xml:space="preserve">  Founder / Head of School [1 FTE]</t>
  </si>
  <si>
    <t>Total School Leadership</t>
  </si>
  <si>
    <t>TOTAL PERSONNEL</t>
  </si>
  <si>
    <t>Bright Horizons Microschool - Budget Detail</t>
  </si>
  <si>
    <t>REVENUE</t>
  </si>
  <si>
    <t xml:space="preserve">  Tuition</t>
  </si>
  <si>
    <t xml:space="preserve">  Registration Fee</t>
  </si>
  <si>
    <t xml:space="preserve">  AZ ESA Funds</t>
  </si>
  <si>
    <t xml:space="preserve">  Annual Fundraising</t>
  </si>
  <si>
    <t xml:space="preserve">  Scholarship Discount</t>
  </si>
  <si>
    <t>Total Revenue</t>
  </si>
  <si>
    <t>PERSONNEL</t>
  </si>
  <si>
    <t xml:space="preserve">  Founder / Head of School</t>
  </si>
  <si>
    <t xml:space="preserve">  Lead Teacher</t>
  </si>
  <si>
    <t xml:space="preserve">  Teaching Assistant</t>
  </si>
  <si>
    <t xml:space="preserve">    Curriculum &amp; Materials</t>
  </si>
  <si>
    <t xml:space="preserve">    Technology</t>
  </si>
  <si>
    <t xml:space="preserve">    Rent</t>
  </si>
  <si>
    <t xml:space="preserve">    Utilities</t>
  </si>
  <si>
    <t xml:space="preserve">    Insurance</t>
  </si>
  <si>
    <t xml:space="preserve">  Total Occupancy / Facility</t>
  </si>
  <si>
    <t xml:space="preserve">    Marketing</t>
  </si>
  <si>
    <t>Total Operating Expenses</t>
  </si>
  <si>
    <t>CAPITAL &amp; DEBT SERVICE</t>
  </si>
  <si>
    <t>Total Capital &amp; Debt</t>
  </si>
  <si>
    <t>Bright Horizons Microschool - Budget Summary</t>
  </si>
  <si>
    <t>Total Capital &amp; Debt Service</t>
  </si>
  <si>
    <t>Total Expenses</t>
  </si>
  <si>
    <t>KEY METRICS</t>
  </si>
  <si>
    <t>Net Income</t>
  </si>
  <si>
    <t>Net Margin %</t>
  </si>
  <si>
    <t>Cumulative Net Income</t>
  </si>
  <si>
    <t>Cost per Student</t>
  </si>
  <si>
    <t>Bright Horizons Microschool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</si>
  <si>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</si>
  <si>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</si>
  <si>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</si>
  <si>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</si>
  <si>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</si>
  <si>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</si>
  <si>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</si>
  <si>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</si>
  <si>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</si>
  <si>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</si>
  <si>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</si>
  <si>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</si>
  <si>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</si>
  <si>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</si>
  <si>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</si>
  <si>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</si>
  <si>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</si>
  <si>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</si>
  <si>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</si>
  <si>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</si>
  <si>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</si>
  <si>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</si>
  <si>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</si>
  <si>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- 5-Year Operating Statement</t>
  </si>
  <si>
    <t>Capital &amp; Debt Service</t>
  </si>
  <si>
    <t>BOTTOM LINE</t>
  </si>
  <si>
    <t>Break-even</t>
  </si>
  <si>
    <t>✓ Break-even</t>
  </si>
  <si>
    <t>LOAN TERMS</t>
  </si>
  <si>
    <t>Loan Name</t>
  </si>
  <si>
    <t>Annual Rate</t>
  </si>
  <si>
    <t>Term (Years)</t>
  </si>
  <si>
    <t>Bright Horizons Microschool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</si>
  <si>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</si>
  <si>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</si>
  <si>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</si>
  <si>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</si>
  <si>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</si>
  <si>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</si>
  <si>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</si>
  <si>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</si>
  <si>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</si>
  <si>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</si>
  <si>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EQUITY</t>
  </si>
  <si>
    <t>Equity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</si>
  <si>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</si>
  <si>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</si>
  <si>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</si>
  <si>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</si>
  <si>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</si>
  <si>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</si>
  <si>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N/A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</si>
  <si>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</si>
  <si>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</si>
  <si>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</si>
  <si>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</si>
  <si>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</si>
  <si>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</si>
  <si>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</si>
  <si>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</si>
  <si>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</si>
  <si>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1.2x</t>
  </si>
  <si>
    <t>Positive Net Income</t>
  </si>
  <si>
    <t>PASS</t>
  </si>
  <si>
    <t>Capacity ≥ 70%</t>
  </si>
  <si>
    <t>FAIL</t>
  </si>
  <si>
    <t>Cash Reserve ≥ 3 months</t>
  </si>
  <si>
    <t>Days Cash ≥ 45</t>
  </si>
  <si>
    <t>SOURCES</t>
  </si>
  <si>
    <t>USES</t>
  </si>
  <si>
    <t>Owner Equity</t>
  </si>
  <si>
    <t>Startup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</si>
  <si>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</si>
  <si>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</si>
  <si>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</si>
  <si>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</si>
  <si>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</si>
  <si>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</si>
  <si>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</si>
  <si>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ENROLLMENT</t>
  </si>
  <si>
    <t>Enrollment: -20%  |  Revenue: +0%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</si>
  <si>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</si>
  <si>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</si>
  <si>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</si>
  <si>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</si>
  <si>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</si>
  <si>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</si>
  <si>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</si>
  <si>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</si>
  <si>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</si>
  <si>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</si>
  <si>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</si>
  <si>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</si>
  <si>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</si>
  <si>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</si>
  <si>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</si>
  <si>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</si>
  <si>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</si>
  <si>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</si>
  <si>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</si>
  <si>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</si>
  <si>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</si>
  <si>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</si>
  <si>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</si>
  <si>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</si>
  <si>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</si>
  <si>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</si>
  <si>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</si>
  <si>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</si>
  <si>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</si>
  <si>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</si>
  <si>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</si>
  <si>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</si>
  <si>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</si>
  <si>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</si>
  <si>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</si>
  <si>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</si>
  <si>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</si>
  <si>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</si>
  <si>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</si>
  <si>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</si>
  <si>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</si>
  <si>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</si>
  <si>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</si>
  <si>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</si>
  <si>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</si>
  <si>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</si>
  <si>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</si>
  <si>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</si>
  <si>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</si>
  <si>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</si>
  <si>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</si>
  <si>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</si>
  <si>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</si>
  <si>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</si>
  <si>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</si>
  <si>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</si>
  <si>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51.8 months of reserves by Year 5 — a strong buffer for unexpected costs.</t>
  </si>
  <si>
    <t>Continue growing reserves toward 6 months for best-in-class financial health.</t>
  </si>
  <si>
    <t>Summary</t>
  </si>
  <si>
    <t>6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</si>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</sst>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4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16A34A"/>
      <sz val="11"/>
      <name val="Calibri"/>
    </font>
    <font>
      <b/>
      <color rgb="FF328555"/>
      <sz val="11"/>
      <name val="Calibri"/>
    </font>
    <font>
      <b/>
      <color rgb="FF999999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1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6" fillId="0" borderId="1" xfId="0" applyNumberFormat="1" applyFont="1" applyBorder="1"/>
    <xf numFmtId="164" fontId="9" fillId="3" borderId="1" xfId="0" applyNumberFormat="1" applyFont="1" applyFill="1" applyBorder="1"/>
    <xf numFmtId="0" fontId="18" fillId="0" borderId="1" xfId="0" applyFont="1" applyBorder="1" applyAlignment="1">
      <alignment horizontal="center"/>
    </xf>
    <xf numFmtId="0" fontId="17" fillId="0" borderId="1" xfId="0" applyFont="1" applyBorder="1" applyAlignment="1">
      <alignment horizontal="center"/>
    </xf>
    <xf numFmtId="0" fontId="19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20" fillId="0" borderId="0" xfId="0" applyFont="1"/>
    <xf numFmtId="0" fontId="16" fillId="0" borderId="0" xfId="0" applyFont="1"/>
    <xf numFmtId="0" fontId="21" fillId="0" borderId="0" xfId="0" applyFont="1"/>
    <xf numFmtId="0" fontId="22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5" fontId="6" fillId="3" borderId="1" xfId="0" applyNumberFormat="1" applyFont="1" applyFill="1" applyBorder="1" applyAlignment="1">
      <alignment horizontal="right"/>
    </xf>
    <xf numFmtId="0" fontId="20" fillId="0" borderId="1" xfId="0" applyFont="1" applyBorder="1"/>
    <xf numFmtId="166" fontId="9" fillId="7" borderId="3" xfId="0" applyNumberFormat="1" applyFont="1" applyFill="1" applyBorder="1" applyAlignment="1">
      <alignment horizontal="right"/>
    </xf>
    <xf numFmtId="164" fontId="9" fillId="3" borderId="3" xfId="0" applyNumberFormat="1" applyFont="1" applyFill="1" applyBorder="1" applyAlignment="1">
      <alignment horizontal="right"/>
    </xf>
    <xf numFmtId="49" fontId="9" fillId="0" borderId="3" xfId="0" applyNumberFormat="1" applyFont="1" applyBorder="1" applyAlignment="1">
      <alignment horizontal="right"/>
    </xf>
    <xf numFmtId="0" fontId="6" fillId="0" borderId="1" xfId="0" applyFont="1" applyBorder="1" applyAlignment="1">
      <alignment horizontal="center"/>
    </xf>
    <xf numFmtId="164" fontId="9" fillId="8" borderId="3" xfId="0" applyNumberFormat="1" applyFont="1" applyFill="1" applyBorder="1" applyAlignment="1">
      <alignment horizontal="right"/>
    </xf>
    <xf numFmtId="164" fontId="9" fillId="7" borderId="3" xfId="0" applyNumberFormat="1" applyFont="1" applyFill="1" applyBorder="1" applyAlignment="1">
      <alignment horizontal="right"/>
    </xf>
    <xf numFmtId="0" fontId="6" fillId="0" borderId="1" xfId="0" applyFont="1" applyBorder="1" applyAlignment="1">
      <alignment wrapText="1"/>
    </xf>
    <xf numFmtId="0" fontId="20" fillId="0" borderId="1" xfId="0" applyFont="1" applyBorder="1" applyAlignment="1">
      <alignment wrapText="1"/>
    </xf>
    <xf numFmtId="0" fontId="23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51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25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</v>
      </c>
      <c r="C17" s="22">
        <v>18</v>
      </c>
      <c r="D17" s="22">
        <v>22</v>
      </c>
      <c r="E17" s="22">
        <v>25</v>
      </c>
      <c r="F17" s="22">
        <v>25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12000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250</v>
      </c>
      <c r="E22" s="24">
        <v>0</v>
      </c>
    </row>
    <row r="23" spans="1:5" x14ac:dyDescent="0.25">
      <c r="A23" s="11" t="s">
        <v>118</v>
      </c>
      <c r="B23" s="11" t="s">
        <v>119</v>
      </c>
      <c r="C23" s="11" t="s">
        <v>116</v>
      </c>
      <c r="D23" s="23">
        <v>7000</v>
      </c>
      <c r="E23" s="24">
        <v>0</v>
      </c>
    </row>
    <row r="24" spans="1:5" x14ac:dyDescent="0.25">
      <c r="A24" s="11" t="s">
        <v>120</v>
      </c>
      <c r="B24" s="11" t="s">
        <v>121</v>
      </c>
      <c r="C24" s="11" t="s">
        <v>122</v>
      </c>
      <c r="D24" s="23">
        <v>5000</v>
      </c>
      <c r="E24" s="24">
        <v>0</v>
      </c>
    </row>
    <row r="25" spans="1:5" x14ac:dyDescent="0.25">
      <c r="A25" s="11" t="s">
        <v>123</v>
      </c>
      <c r="B25" s="11" t="s">
        <v>124</v>
      </c>
      <c r="C25" s="11" t="s">
        <v>125</v>
      </c>
      <c r="D25" s="23">
        <v>10</v>
      </c>
      <c r="E25" s="24">
        <v>0</v>
      </c>
    </row>
    <row r="27" ht="24" customHeight="1" spans="1:7" x14ac:dyDescent="0.25">
      <c r="A27" s="19" t="s">
        <v>126</v>
      </c>
      <c r="B27" s="19"/>
      <c r="C27" s="19"/>
      <c r="D27" s="19"/>
      <c r="E27" s="19"/>
      <c r="F27" s="19"/>
      <c r="G27" s="19"/>
    </row>
    <row r="28" ht="28" customHeight="1" spans="1:7" x14ac:dyDescent="0.25">
      <c r="A28" s="21" t="s">
        <v>127</v>
      </c>
      <c r="B28" s="21" t="s">
        <v>110</v>
      </c>
      <c r="C28" s="21" t="s">
        <v>128</v>
      </c>
      <c r="D28" s="21" t="s">
        <v>129</v>
      </c>
      <c r="E28" s="21" t="s">
        <v>130</v>
      </c>
      <c r="F28" s="21" t="s">
        <v>131</v>
      </c>
      <c r="G28" s="21" t="s">
        <v>132</v>
      </c>
    </row>
    <row r="29" spans="1:7" x14ac:dyDescent="0.25">
      <c r="A29" s="11" t="s">
        <v>133</v>
      </c>
      <c r="B29" s="11" t="s">
        <v>134</v>
      </c>
      <c r="C29" s="11" t="s">
        <v>135</v>
      </c>
      <c r="D29" s="25">
        <v>1</v>
      </c>
      <c r="E29" s="23">
        <v>55000</v>
      </c>
      <c r="F29" s="24">
        <v>0.2</v>
      </c>
      <c r="G29" s="24">
        <v>0.0765</v>
      </c>
    </row>
    <row r="30" spans="1:7" x14ac:dyDescent="0.25">
      <c r="A30" s="11" t="s">
        <v>136</v>
      </c>
      <c r="B30" s="11" t="s">
        <v>137</v>
      </c>
      <c r="C30" s="11" t="s">
        <v>135</v>
      </c>
      <c r="D30" s="25">
        <v>1</v>
      </c>
      <c r="E30" s="23">
        <v>45000</v>
      </c>
      <c r="F30" s="24">
        <v>0.2</v>
      </c>
      <c r="G30" s="24">
        <v>0.0765</v>
      </c>
    </row>
    <row r="31" spans="1:7" x14ac:dyDescent="0.25">
      <c r="A31" s="11" t="s">
        <v>138</v>
      </c>
      <c r="B31" s="11" t="s">
        <v>137</v>
      </c>
      <c r="C31" s="11" t="s">
        <v>139</v>
      </c>
      <c r="D31" s="25">
        <v>0.5</v>
      </c>
      <c r="E31" s="23">
        <v>28000</v>
      </c>
      <c r="F31" s="24">
        <v>0</v>
      </c>
      <c r="G31" s="24">
        <v>0.0765</v>
      </c>
    </row>
    <row r="33" ht="24" customHeight="1" spans="1:7" x14ac:dyDescent="0.25">
      <c r="A33" s="19" t="s">
        <v>140</v>
      </c>
      <c r="B33" s="19"/>
      <c r="C33" s="19"/>
      <c r="D33" s="19"/>
      <c r="E33" s="19"/>
      <c r="F33" s="19"/>
      <c r="G33" s="19"/>
    </row>
    <row r="34" ht="28" customHeight="1" spans="1:5" x14ac:dyDescent="0.25">
      <c r="A34" s="21" t="s">
        <v>109</v>
      </c>
      <c r="B34" s="21" t="s">
        <v>110</v>
      </c>
      <c r="C34" s="21" t="s">
        <v>111</v>
      </c>
      <c r="D34" s="21" t="s">
        <v>112</v>
      </c>
      <c r="E34" s="21" t="s">
        <v>113</v>
      </c>
    </row>
    <row r="35" spans="1:5" x14ac:dyDescent="0.25">
      <c r="A35" s="11" t="s">
        <v>141</v>
      </c>
      <c r="B35" s="11" t="s">
        <v>142</v>
      </c>
      <c r="C35" s="11" t="s">
        <v>143</v>
      </c>
      <c r="D35" s="23">
        <v>2500</v>
      </c>
      <c r="E35" s="24">
        <v>0.03</v>
      </c>
    </row>
    <row r="36" spans="1:5" x14ac:dyDescent="0.25">
      <c r="A36" s="11" t="s">
        <v>144</v>
      </c>
      <c r="B36" s="11" t="s">
        <v>142</v>
      </c>
      <c r="C36" s="11" t="s">
        <v>143</v>
      </c>
      <c r="D36" s="23">
        <v>300</v>
      </c>
      <c r="E36" s="24">
        <v>0</v>
      </c>
    </row>
    <row r="37" spans="1:5" x14ac:dyDescent="0.25">
      <c r="A37" s="11" t="s">
        <v>145</v>
      </c>
      <c r="B37" s="11" t="s">
        <v>142</v>
      </c>
      <c r="C37" s="11" t="s">
        <v>122</v>
      </c>
      <c r="D37" s="23">
        <v>2400</v>
      </c>
      <c r="E37" s="24">
        <v>0</v>
      </c>
    </row>
    <row r="38" spans="1:5" x14ac:dyDescent="0.25">
      <c r="A38" s="11" t="s">
        <v>146</v>
      </c>
      <c r="B38" s="11" t="s">
        <v>147</v>
      </c>
      <c r="C38" s="11" t="s">
        <v>116</v>
      </c>
      <c r="D38" s="23">
        <v>500</v>
      </c>
      <c r="E38" s="24">
        <v>0</v>
      </c>
    </row>
    <row r="39" spans="1:5" x14ac:dyDescent="0.25">
      <c r="A39" s="11" t="s">
        <v>148</v>
      </c>
      <c r="B39" s="11" t="s">
        <v>148</v>
      </c>
      <c r="C39" s="11" t="s">
        <v>116</v>
      </c>
      <c r="D39" s="23">
        <v>300</v>
      </c>
      <c r="E39" s="24">
        <v>0</v>
      </c>
    </row>
    <row r="40" spans="1:5" x14ac:dyDescent="0.25">
      <c r="A40" s="11" t="s">
        <v>149</v>
      </c>
      <c r="B40" s="11" t="s">
        <v>150</v>
      </c>
      <c r="C40" s="11" t="s">
        <v>122</v>
      </c>
      <c r="D40" s="23">
        <v>3000</v>
      </c>
      <c r="E40" s="24">
        <v>0</v>
      </c>
    </row>
    <row r="42" ht="24" customHeight="1" spans="1:7" x14ac:dyDescent="0.25">
      <c r="A42" s="19" t="s">
        <v>151</v>
      </c>
      <c r="B42" s="19"/>
      <c r="C42" s="19"/>
      <c r="D42" s="19"/>
      <c r="E42" s="19"/>
      <c r="F42" s="19"/>
      <c r="G42" s="19"/>
    </row>
    <row r="43" ht="28" customHeight="1" spans="1:5" x14ac:dyDescent="0.25">
      <c r="A43" s="21" t="s">
        <v>152</v>
      </c>
      <c r="B43" s="21" t="s">
        <v>128</v>
      </c>
      <c r="C43" s="21" t="s">
        <v>153</v>
      </c>
      <c r="D43" s="21" t="s">
        <v>130</v>
      </c>
      <c r="E43" s="21" t="s">
        <v>154</v>
      </c>
    </row>
    <row r="44" spans="1:5" x14ac:dyDescent="0.25">
      <c r="A44" s="11" t="s">
        <v>155</v>
      </c>
      <c r="B44" s="11" t="s">
        <v>156</v>
      </c>
      <c r="C44" s="23">
        <v>30000</v>
      </c>
      <c r="D44" s="24">
        <v>0.06</v>
      </c>
      <c r="E44" s="22">
        <v>5</v>
      </c>
    </row>
    <row r="46" ht="24" customHeight="1" spans="1:7" x14ac:dyDescent="0.25">
      <c r="A46" s="19" t="s">
        <v>157</v>
      </c>
      <c r="B46" s="19"/>
      <c r="C46" s="19"/>
      <c r="D46" s="19"/>
      <c r="E46" s="19"/>
      <c r="F46" s="19"/>
      <c r="G46" s="19"/>
    </row>
    <row r="47" spans="1:3" x14ac:dyDescent="0.25">
      <c r="A47" s="11" t="s">
        <v>158</v>
      </c>
      <c r="B47" s="24">
        <v>0.03</v>
      </c>
      <c r="C47" s="26" t="s">
        <v>159</v>
      </c>
    </row>
    <row r="48" spans="1:3" x14ac:dyDescent="0.25">
      <c r="A48" s="11" t="s">
        <v>160</v>
      </c>
      <c r="B48" s="24">
        <v>0.03</v>
      </c>
      <c r="C48" s="26" t="s">
        <v>161</v>
      </c>
    </row>
    <row r="49" spans="1:2" x14ac:dyDescent="0.25">
      <c r="A49" s="11" t="s">
        <v>162</v>
      </c>
      <c r="B49" s="25">
        <v>0.8333333333333334</v>
      </c>
    </row>
    <row r="50" spans="1:2" x14ac:dyDescent="0.25">
      <c r="A50" s="11" t="s">
        <v>163</v>
      </c>
      <c r="B50" s="23">
        <v>0</v>
      </c>
    </row>
    <row r="51" spans="1:2" x14ac:dyDescent="0.25">
      <c r="A51" s="11" t="s">
        <v>164</v>
      </c>
      <c r="B51" s="20" t="s">
        <v>165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166</v>
      </c>
      <c r="B3" s="11" t="s">
        <v>167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168</v>
      </c>
      <c r="B6" s="11" t="s">
        <v>169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170</v>
      </c>
      <c r="B8" s="11" t="s">
        <v>46</v>
      </c>
    </row>
    <row r="9" spans="1:2" x14ac:dyDescent="0.25">
      <c r="A9" s="10" t="s">
        <v>99</v>
      </c>
      <c r="B9" s="11" t="s">
        <v>171</v>
      </c>
    </row>
    <row r="10" spans="1:2" x14ac:dyDescent="0.25">
      <c r="A10" s="10" t="s">
        <v>172</v>
      </c>
      <c r="B10" s="11" t="s">
        <v>173</v>
      </c>
    </row>
    <row r="11" spans="1:2" x14ac:dyDescent="0.25">
      <c r="A11" s="10" t="s">
        <v>174</v>
      </c>
      <c r="B11" s="11" t="s">
        <v>175</v>
      </c>
    </row>
    <row r="12" spans="1:2" x14ac:dyDescent="0.25">
      <c r="A12" s="10" t="s">
        <v>164</v>
      </c>
      <c r="B12" s="11" t="s">
        <v>165</v>
      </c>
    </row>
    <row r="13" spans="1:2" x14ac:dyDescent="0.25">
      <c r="A13" s="10" t="s">
        <v>100</v>
      </c>
      <c r="B13" s="11" t="s">
        <v>176</v>
      </c>
    </row>
    <row r="14" spans="1:2" x14ac:dyDescent="0.25">
      <c r="A14" s="10" t="s">
        <v>177</v>
      </c>
      <c r="B14" s="11" t="s">
        <v>165</v>
      </c>
    </row>
    <row r="15" spans="1:2" x14ac:dyDescent="0.25">
      <c r="A15" s="10" t="s">
        <v>178</v>
      </c>
      <c r="B15" s="11" t="s">
        <v>179</v>
      </c>
    </row>
    <row r="16" spans="1:2" x14ac:dyDescent="0.25">
      <c r="A16" s="10" t="s">
        <v>180</v>
      </c>
      <c r="B16" s="11" t="s">
        <v>181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182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</v>
      </c>
      <c r="C6" s="27">
        <v>18</v>
      </c>
      <c r="D6" s="27">
        <v>22</v>
      </c>
      <c r="E6" s="27">
        <v>25</v>
      </c>
      <c r="F6" s="27">
        <v>25</v>
      </c>
    </row>
    <row r="7" spans="1:2" x14ac:dyDescent="0.25">
      <c r="A7" s="11" t="s">
        <v>100</v>
      </c>
      <c r="B7" s="22">
        <v>25</v>
      </c>
    </row>
    <row r="8" spans="1:6" x14ac:dyDescent="0.25">
      <c r="A8" s="11" t="s">
        <v>183</v>
      </c>
      <c r="B8" s="28">
        <f>B6/$B$7</f>
        <v>0.48</v>
      </c>
      <c r="C8" s="28">
        <f>C6/$B$7</f>
        <v>0.72</v>
      </c>
      <c r="D8" s="28">
        <f>D6/$B$7</f>
        <v>0.88</v>
      </c>
      <c r="E8" s="28">
        <f>E6/$B$7</f>
        <v>1</v>
      </c>
      <c r="F8" s="28">
        <f>F6/$B$7</f>
        <v>1</v>
      </c>
    </row>
    <row r="10" spans="1:6" x14ac:dyDescent="0.25">
      <c r="A10" s="11" t="s">
        <v>184</v>
      </c>
      <c r="B10" s="11" t="s">
        <v>185</v>
      </c>
      <c r="C10" s="29">
        <f>IF(B6=0,0,(C6-B6)/B6)</f>
        <v>0.5</v>
      </c>
      <c r="D10" s="29">
        <f>IF(C6=0,0,(D6-C6)/C6)</f>
        <v>0.22222222</v>
      </c>
      <c r="E10" s="29">
        <f>IF(D6=0,0,(E6-D6)/D6)</f>
        <v>0.13636364</v>
      </c>
      <c r="F10" s="29" t="str">
        <f>IF(E6=0,0,(F6-E6)/E6)</f>
        <v>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186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187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144000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117</v>
      </c>
      <c r="B6" s="30">
        <v>3000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0" t="s">
        <v>188</v>
      </c>
      <c r="B7" s="31">
        <f>SUM(B5,B6)</f>
        <v>147000</v>
      </c>
      <c r="C7" s="31">
        <f>SUM(C5,C6)</f>
        <v>227115</v>
      </c>
      <c r="D7" s="31">
        <f>SUM(D5,D6)</f>
        <v>285913</v>
      </c>
      <c r="E7" s="31">
        <f>SUM(E5,E6)</f>
        <v>334648</v>
      </c>
      <c r="F7" s="31">
        <f>SUM(F5,F6)</f>
        <v>344687</v>
      </c>
    </row>
    <row r="8" ht="24" customHeight="1" spans="1:6" x14ac:dyDescent="0.25">
      <c r="A8" s="19" t="s">
        <v>189</v>
      </c>
      <c r="B8" s="19"/>
      <c r="C8" s="19"/>
      <c r="D8" s="19"/>
      <c r="E8" s="19"/>
      <c r="F8" s="19"/>
    </row>
    <row r="9" spans="1:6" x14ac:dyDescent="0.25">
      <c r="A9" s="11" t="s">
        <v>123</v>
      </c>
      <c r="B9" s="30">
        <v>-10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190</v>
      </c>
      <c r="B10" s="31">
        <f>SUM(B9)</f>
        <v>-10</v>
      </c>
      <c r="C10" s="31">
        <f>SUM(C9)</f>
        <v>-10</v>
      </c>
      <c r="D10" s="31">
        <f>SUM(D9)</f>
        <v>-11</v>
      </c>
      <c r="E10" s="31">
        <f>SUM(E9)</f>
        <v>-11</v>
      </c>
      <c r="F10" s="31">
        <f>SUM(F9)</f>
        <v>-11</v>
      </c>
    </row>
    <row r="11" ht="24" customHeight="1" spans="1:6" x14ac:dyDescent="0.25">
      <c r="A11" s="19" t="s">
        <v>191</v>
      </c>
      <c r="B11" s="19"/>
      <c r="C11" s="19"/>
      <c r="D11" s="19"/>
      <c r="E11" s="19"/>
      <c r="F11" s="19"/>
    </row>
    <row r="12" spans="1:6" x14ac:dyDescent="0.25">
      <c r="A12" s="11" t="s">
        <v>118</v>
      </c>
      <c r="B12" s="30">
        <v>84000</v>
      </c>
      <c r="C12" s="30">
        <v>129780</v>
      </c>
      <c r="D12" s="30">
        <v>163379</v>
      </c>
      <c r="E12" s="30">
        <v>191227</v>
      </c>
      <c r="F12" s="30">
        <v>196964</v>
      </c>
    </row>
    <row r="13" spans="1:6" x14ac:dyDescent="0.25">
      <c r="A13" s="10" t="s">
        <v>192</v>
      </c>
      <c r="B13" s="31">
        <f>SUM(B12)</f>
        <v>84000</v>
      </c>
      <c r="C13" s="31">
        <f>SUM(C12)</f>
        <v>129780</v>
      </c>
      <c r="D13" s="31">
        <f>SUM(D12)</f>
        <v>163379</v>
      </c>
      <c r="E13" s="31">
        <f>SUM(E12)</f>
        <v>191227</v>
      </c>
      <c r="F13" s="31">
        <f>SUM(F12)</f>
        <v>196964</v>
      </c>
    </row>
    <row r="14" ht="24" customHeight="1" spans="1:6" x14ac:dyDescent="0.25">
      <c r="A14" s="19" t="s">
        <v>193</v>
      </c>
      <c r="B14" s="19"/>
      <c r="C14" s="19"/>
      <c r="D14" s="19"/>
      <c r="E14" s="19"/>
      <c r="F14" s="19"/>
    </row>
    <row r="15" spans="1:6" x14ac:dyDescent="0.25">
      <c r="A15" s="11" t="s">
        <v>120</v>
      </c>
      <c r="B15" s="23">
        <v>5000</v>
      </c>
      <c r="C15" s="30">
        <v>5150</v>
      </c>
      <c r="D15" s="30">
        <v>5305</v>
      </c>
      <c r="E15" s="30">
        <v>5464</v>
      </c>
      <c r="F15" s="30">
        <v>5628</v>
      </c>
    </row>
    <row r="16" spans="1:6" x14ac:dyDescent="0.25">
      <c r="A16" s="10" t="s">
        <v>194</v>
      </c>
      <c r="B16" s="31">
        <f>SUM(B15)</f>
        <v>5000</v>
      </c>
      <c r="C16" s="31">
        <f>SUM(C15)</f>
        <v>5150</v>
      </c>
      <c r="D16" s="31">
        <f>SUM(D15)</f>
        <v>5305</v>
      </c>
      <c r="E16" s="31">
        <f>SUM(E15)</f>
        <v>5464</v>
      </c>
      <c r="F16" s="31">
        <f>SUM(F15)</f>
        <v>5628</v>
      </c>
    </row>
    <row r="18" ht="24" customHeight="1" spans="1:6" x14ac:dyDescent="0.25">
      <c r="A18" s="19" t="s">
        <v>195</v>
      </c>
      <c r="B18" s="32">
        <f>SUM(B7,B10,B13,B16)</f>
        <v>221600</v>
      </c>
      <c r="C18" s="32">
        <f>SUM(C7,C10,C13,C16)</f>
        <v>339797</v>
      </c>
      <c r="D18" s="32">
        <f>SUM(D7,D10,D13,D16)</f>
        <v>426588</v>
      </c>
      <c r="E18" s="32">
        <f>SUM(E7,E10,E13,E16)</f>
        <v>498557</v>
      </c>
      <c r="F18" s="32">
        <f>SUM(F7,F10,F13,F16)</f>
        <v>513513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2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127</v>
      </c>
      <c r="B3" s="21" t="s">
        <v>110</v>
      </c>
      <c r="C3" s="21" t="s">
        <v>129</v>
      </c>
      <c r="D3" s="21" t="s">
        <v>196</v>
      </c>
      <c r="E3" s="21" t="s">
        <v>131</v>
      </c>
      <c r="F3" s="21" t="s">
        <v>132</v>
      </c>
      <c r="G3" s="21" t="s">
        <v>197</v>
      </c>
    </row>
    <row r="4" spans="1:7" x14ac:dyDescent="0.25">
      <c r="A4" s="11" t="s">
        <v>133</v>
      </c>
      <c r="B4" s="11" t="s">
        <v>134</v>
      </c>
      <c r="C4" s="25">
        <v>1</v>
      </c>
      <c r="D4" s="23">
        <v>55000</v>
      </c>
      <c r="E4" s="24">
        <v>0.2</v>
      </c>
      <c r="F4" s="24">
        <v>0.0765</v>
      </c>
      <c r="G4" s="33">
        <v>70208</v>
      </c>
    </row>
    <row r="5" spans="1:7" x14ac:dyDescent="0.25">
      <c r="A5" s="11" t="s">
        <v>136</v>
      </c>
      <c r="B5" s="11" t="s">
        <v>137</v>
      </c>
      <c r="C5" s="25">
        <v>1</v>
      </c>
      <c r="D5" s="23">
        <v>45000</v>
      </c>
      <c r="E5" s="24">
        <v>0.2</v>
      </c>
      <c r="F5" s="24">
        <v>0.0765</v>
      </c>
      <c r="G5" s="33">
        <v>57443</v>
      </c>
    </row>
    <row r="6" spans="1:7" x14ac:dyDescent="0.25">
      <c r="A6" s="11" t="s">
        <v>138</v>
      </c>
      <c r="B6" s="11" t="s">
        <v>137</v>
      </c>
      <c r="C6" s="25">
        <v>0.5</v>
      </c>
      <c r="D6" s="23">
        <v>28000</v>
      </c>
      <c r="E6" s="24">
        <v>0</v>
      </c>
      <c r="F6" s="24">
        <v>0.0765</v>
      </c>
      <c r="G6" s="33">
        <v>15071</v>
      </c>
    </row>
    <row r="8" ht="24" customHeight="1" spans="1:7" x14ac:dyDescent="0.25">
      <c r="A8" s="19" t="s">
        <v>198</v>
      </c>
      <c r="B8" s="19"/>
      <c r="C8" s="19"/>
      <c r="D8" s="19"/>
      <c r="E8" s="19"/>
      <c r="F8" s="19"/>
      <c r="G8" s="19"/>
    </row>
    <row r="9" ht="28" customHeight="1" spans="1:6" x14ac:dyDescent="0.25">
      <c r="A9" s="21" t="s">
        <v>7</v>
      </c>
      <c r="B9" s="21" t="s">
        <v>102</v>
      </c>
      <c r="C9" s="21" t="s">
        <v>103</v>
      </c>
      <c r="D9" s="21" t="s">
        <v>104</v>
      </c>
      <c r="E9" s="21" t="s">
        <v>105</v>
      </c>
      <c r="F9" s="21" t="s">
        <v>106</v>
      </c>
    </row>
    <row r="10" spans="1:6" x14ac:dyDescent="0.25">
      <c r="A10" s="10" t="s">
        <v>199</v>
      </c>
      <c r="B10" s="32">
        <v>118934</v>
      </c>
      <c r="C10" s="32">
        <v>147003</v>
      </c>
      <c r="D10" s="32">
        <v>151413</v>
      </c>
      <c r="E10" s="32">
        <v>155955</v>
      </c>
      <c r="F10" s="32">
        <v>160634</v>
      </c>
    </row>
    <row r="11" spans="1:6" x14ac:dyDescent="0.25">
      <c r="A11" s="11" t="s">
        <v>200</v>
      </c>
      <c r="B11" s="29">
        <v>0.5367065282791817</v>
      </c>
      <c r="C11" s="29">
        <v>0.4326189754471052</v>
      </c>
      <c r="D11" s="29">
        <v>0.3549390698831137</v>
      </c>
      <c r="E11" s="29">
        <v>0.3128131506849315</v>
      </c>
      <c r="F11" s="29">
        <v>0.3128131506849315</v>
      </c>
    </row>
    <row r="12" spans="1:6" x14ac:dyDescent="0.25">
      <c r="A12" s="11" t="s">
        <v>201</v>
      </c>
      <c r="B12" s="34">
        <v>4.8</v>
      </c>
      <c r="C12" s="34">
        <v>7.2</v>
      </c>
      <c r="D12" s="34">
        <v>8.8</v>
      </c>
      <c r="E12" s="34">
        <v>10</v>
      </c>
      <c r="F12" s="34">
        <v>10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147</v>
      </c>
      <c r="B4" s="19"/>
      <c r="C4" s="19"/>
      <c r="D4" s="19"/>
      <c r="E4" s="19"/>
      <c r="F4" s="19"/>
    </row>
    <row r="5" spans="1:6" x14ac:dyDescent="0.25">
      <c r="A5" s="11" t="s">
        <v>203</v>
      </c>
      <c r="B5" s="30">
        <v>6000</v>
      </c>
      <c r="C5" s="30">
        <v>9270</v>
      </c>
      <c r="D5" s="30">
        <v>11670</v>
      </c>
      <c r="E5" s="30">
        <v>13659</v>
      </c>
      <c r="F5" s="30">
        <v>14069</v>
      </c>
    </row>
    <row r="6" spans="1:6" x14ac:dyDescent="0.25">
      <c r="A6" s="10" t="s">
        <v>204</v>
      </c>
      <c r="B6" s="31">
        <f>SUM(B5:B5)</f>
        <v>6000</v>
      </c>
      <c r="C6" s="31">
        <f>SUM(C5:C5)</f>
        <v>9270</v>
      </c>
      <c r="D6" s="31">
        <f>SUM(D5:D5)</f>
        <v>11670</v>
      </c>
      <c r="E6" s="31">
        <f>SUM(E5:E5)</f>
        <v>13659</v>
      </c>
      <c r="F6" s="31">
        <f>SUM(F5:F5)</f>
        <v>14069</v>
      </c>
    </row>
    <row r="7" ht="24" customHeight="1" spans="1:6" x14ac:dyDescent="0.25">
      <c r="A7" s="19" t="s">
        <v>148</v>
      </c>
      <c r="B7" s="19"/>
      <c r="C7" s="19"/>
      <c r="D7" s="19"/>
      <c r="E7" s="19"/>
      <c r="F7" s="19"/>
    </row>
    <row r="8" spans="1:6" x14ac:dyDescent="0.25">
      <c r="A8" s="11" t="s">
        <v>205</v>
      </c>
      <c r="B8" s="30">
        <v>3600</v>
      </c>
      <c r="C8" s="30">
        <v>5562</v>
      </c>
      <c r="D8" s="30">
        <v>7002</v>
      </c>
      <c r="E8" s="30">
        <v>8195</v>
      </c>
      <c r="F8" s="30">
        <v>8441</v>
      </c>
    </row>
    <row r="9" spans="1:6" x14ac:dyDescent="0.25">
      <c r="A9" s="10" t="s">
        <v>206</v>
      </c>
      <c r="B9" s="31">
        <f>SUM(B8:B8)</f>
        <v>3600</v>
      </c>
      <c r="C9" s="31">
        <f>SUM(C8:C8)</f>
        <v>5562</v>
      </c>
      <c r="D9" s="31">
        <f>SUM(D8:D8)</f>
        <v>7002</v>
      </c>
      <c r="E9" s="31">
        <f>SUM(E8:E8)</f>
        <v>8195</v>
      </c>
      <c r="F9" s="31">
        <f>SUM(F8:F8)</f>
        <v>8441</v>
      </c>
    </row>
    <row r="10" ht="24" customHeight="1" spans="1:6" x14ac:dyDescent="0.25">
      <c r="A10" s="19" t="s">
        <v>142</v>
      </c>
      <c r="B10" s="19"/>
      <c r="C10" s="19"/>
      <c r="D10" s="19"/>
      <c r="E10" s="19"/>
      <c r="F10" s="19"/>
    </row>
    <row r="11" spans="1:6" x14ac:dyDescent="0.25">
      <c r="A11" s="11" t="s">
        <v>207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208</v>
      </c>
      <c r="B12" s="30">
        <v>3600</v>
      </c>
      <c r="C12" s="30">
        <v>3708</v>
      </c>
      <c r="D12" s="30">
        <v>3819</v>
      </c>
      <c r="E12" s="30">
        <v>3934</v>
      </c>
      <c r="F12" s="30">
        <v>4052</v>
      </c>
    </row>
    <row r="13" spans="1:6" x14ac:dyDescent="0.25">
      <c r="A13" s="11" t="s">
        <v>209</v>
      </c>
      <c r="B13" s="30">
        <v>2400</v>
      </c>
      <c r="C13" s="30">
        <v>2472</v>
      </c>
      <c r="D13" s="30">
        <v>2546</v>
      </c>
      <c r="E13" s="30">
        <v>2623</v>
      </c>
      <c r="F13" s="30">
        <v>2701</v>
      </c>
    </row>
    <row r="14" spans="1:6" x14ac:dyDescent="0.25">
      <c r="A14" s="10" t="s">
        <v>210</v>
      </c>
      <c r="B14" s="31">
        <f>SUM(B11:B13)</f>
        <v>36000</v>
      </c>
      <c r="C14" s="31">
        <f>SUM(C11:C13)</f>
        <v>37080</v>
      </c>
      <c r="D14" s="31">
        <f>SUM(D11:D13)</f>
        <v>38192</v>
      </c>
      <c r="E14" s="31">
        <f>SUM(E11:E13)</f>
        <v>39338</v>
      </c>
      <c r="F14" s="31">
        <f>SUM(F11:F13)</f>
        <v>40518</v>
      </c>
    </row>
    <row r="15" ht="24" customHeight="1" spans="1:6" x14ac:dyDescent="0.25">
      <c r="A15" s="19" t="s">
        <v>150</v>
      </c>
      <c r="B15" s="19"/>
      <c r="C15" s="19"/>
      <c r="D15" s="19"/>
      <c r="E15" s="19"/>
      <c r="F15" s="19"/>
    </row>
    <row r="16" spans="1:6" x14ac:dyDescent="0.25">
      <c r="A16" s="11" t="s">
        <v>211</v>
      </c>
      <c r="B16" s="30">
        <v>3000</v>
      </c>
      <c r="C16" s="30">
        <v>3090</v>
      </c>
      <c r="D16" s="30">
        <v>3183</v>
      </c>
      <c r="E16" s="30">
        <v>3278</v>
      </c>
      <c r="F16" s="30">
        <v>3377</v>
      </c>
    </row>
    <row r="17" spans="1:6" x14ac:dyDescent="0.25">
      <c r="A17" s="10" t="s">
        <v>212</v>
      </c>
      <c r="B17" s="31">
        <f>SUM(B16:B16)</f>
        <v>3000</v>
      </c>
      <c r="C17" s="31">
        <f>SUM(C16:C16)</f>
        <v>3090</v>
      </c>
      <c r="D17" s="31">
        <f>SUM(D16:D16)</f>
        <v>3183</v>
      </c>
      <c r="E17" s="31">
        <f>SUM(E16:E16)</f>
        <v>3278</v>
      </c>
      <c r="F17" s="31">
        <f>SUM(F16:F16)</f>
        <v>3377</v>
      </c>
    </row>
    <row r="19" ht="24" customHeight="1" spans="1:6" x14ac:dyDescent="0.25">
      <c r="A19" s="19" t="s">
        <v>213</v>
      </c>
      <c r="B19" s="32">
        <f>B6+B9+B14+B17</f>
        <v>48600</v>
      </c>
      <c r="C19" s="32">
        <f>C6+C9+C14+C17</f>
        <v>55002</v>
      </c>
      <c r="D19" s="32">
        <f>D6+D9+D14+D17</f>
        <v>60047</v>
      </c>
      <c r="E19" s="32">
        <f>E6+E9+E14+E17</f>
        <v>64471</v>
      </c>
      <c r="F19" s="32">
        <f>F6+F9+F14+F17</f>
        <v>66405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214</v>
      </c>
      <c r="B1" s="15"/>
      <c r="C1" s="15"/>
      <c r="D1" s="15"/>
      <c r="E1" s="15"/>
      <c r="F1" s="15"/>
    </row>
    <row r="3" ht="28" customHeight="1" spans="1:6" x14ac:dyDescent="0.25">
      <c r="A3" s="21" t="s">
        <v>152</v>
      </c>
      <c r="B3" s="21" t="s">
        <v>128</v>
      </c>
      <c r="C3" s="21" t="s">
        <v>153</v>
      </c>
      <c r="D3" s="21" t="s">
        <v>130</v>
      </c>
      <c r="E3" s="21" t="s">
        <v>154</v>
      </c>
      <c r="F3" s="21" t="s">
        <v>215</v>
      </c>
    </row>
    <row r="4" spans="1:6" x14ac:dyDescent="0.25">
      <c r="A4" s="11" t="s">
        <v>155</v>
      </c>
      <c r="B4" s="11" t="s">
        <v>156</v>
      </c>
      <c r="C4" s="23">
        <v>30000</v>
      </c>
      <c r="D4" s="24">
        <v>0.06</v>
      </c>
      <c r="E4" s="22">
        <v>5</v>
      </c>
      <c r="F4" s="33">
        <v>6960</v>
      </c>
    </row>
    <row r="6" spans="1:6" x14ac:dyDescent="0.25">
      <c r="A6" s="10" t="s">
        <v>216</v>
      </c>
      <c r="F6" s="32">
        <v>6960</v>
      </c>
    </row>
    <row r="7" spans="1:6" x14ac:dyDescent="0.25">
      <c r="A7" s="10" t="s">
        <v>217</v>
      </c>
      <c r="F7" s="31">
        <v>30000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218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5">
        <v>12</v>
      </c>
      <c r="C4" s="35">
        <v>18</v>
      </c>
      <c r="D4" s="35">
        <v>22</v>
      </c>
      <c r="E4" s="35">
        <v>25</v>
      </c>
      <c r="F4" s="35">
        <v>25</v>
      </c>
    </row>
    <row r="6" ht="24" customHeight="1" spans="1:6" x14ac:dyDescent="0.25">
      <c r="A6" s="19" t="s">
        <v>219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144000</v>
      </c>
      <c r="C7" s="30">
        <v>222480</v>
      </c>
      <c r="D7" s="30">
        <v>280078</v>
      </c>
      <c r="E7" s="30">
        <v>327818</v>
      </c>
      <c r="F7" s="30">
        <v>337653</v>
      </c>
    </row>
    <row r="8" spans="1:6" x14ac:dyDescent="0.25">
      <c r="A8" s="11" t="s">
        <v>117</v>
      </c>
      <c r="B8" s="30">
        <v>3000</v>
      </c>
      <c r="C8" s="30">
        <v>4635</v>
      </c>
      <c r="D8" s="30">
        <v>5835</v>
      </c>
      <c r="E8" s="30">
        <v>6830</v>
      </c>
      <c r="F8" s="30">
        <v>7034</v>
      </c>
    </row>
    <row r="9" spans="1:6" x14ac:dyDescent="0.25">
      <c r="A9" s="11" t="s">
        <v>118</v>
      </c>
      <c r="B9" s="30">
        <v>84000</v>
      </c>
      <c r="C9" s="30">
        <v>129780</v>
      </c>
      <c r="D9" s="30">
        <v>163379</v>
      </c>
      <c r="E9" s="30">
        <v>191227</v>
      </c>
      <c r="F9" s="30">
        <v>196964</v>
      </c>
    </row>
    <row r="10" spans="1:6" x14ac:dyDescent="0.25">
      <c r="A10" s="11" t="s">
        <v>120</v>
      </c>
      <c r="B10" s="30">
        <v>5000</v>
      </c>
      <c r="C10" s="30">
        <v>5150</v>
      </c>
      <c r="D10" s="30">
        <v>5305</v>
      </c>
      <c r="E10" s="30">
        <v>5464</v>
      </c>
      <c r="F10" s="30">
        <v>5628</v>
      </c>
    </row>
    <row r="11" spans="1:6" x14ac:dyDescent="0.25">
      <c r="A11" s="11" t="s">
        <v>123</v>
      </c>
      <c r="B11" s="30">
        <v>-10</v>
      </c>
      <c r="C11" s="30">
        <v>-10</v>
      </c>
      <c r="D11" s="30">
        <v>-11</v>
      </c>
      <c r="E11" s="30">
        <v>-11</v>
      </c>
      <c r="F11" s="30">
        <v>-11</v>
      </c>
    </row>
    <row r="12" ht="24" customHeight="1" spans="1:6" x14ac:dyDescent="0.25">
      <c r="A12" s="19" t="s">
        <v>220</v>
      </c>
      <c r="B12" s="32">
        <f>SUM(B7:B11)</f>
        <v>221600</v>
      </c>
      <c r="C12" s="32">
        <f>SUM(C7:C11)</f>
        <v>339797</v>
      </c>
      <c r="D12" s="32">
        <f>SUM(D7:D11)</f>
        <v>426588</v>
      </c>
      <c r="E12" s="32">
        <f>SUM(E7:E11)</f>
        <v>498557</v>
      </c>
      <c r="F12" s="32">
        <f>SUM(F7:F11)</f>
        <v>513513</v>
      </c>
    </row>
    <row r="14" spans="1:6" x14ac:dyDescent="0.25">
      <c r="A14" s="11" t="s">
        <v>221</v>
      </c>
      <c r="B14" s="30">
        <v>18467</v>
      </c>
      <c r="C14" s="30">
        <v>18878</v>
      </c>
      <c r="D14" s="30">
        <v>19390</v>
      </c>
      <c r="E14" s="30">
        <v>19942</v>
      </c>
      <c r="F14" s="30">
        <v>20541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222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137</v>
      </c>
      <c r="B4" s="19"/>
      <c r="C4" s="19"/>
      <c r="D4" s="19"/>
      <c r="E4" s="19"/>
      <c r="F4" s="19"/>
    </row>
    <row r="5" spans="1:6" x14ac:dyDescent="0.25">
      <c r="A5" s="11" t="s">
        <v>223</v>
      </c>
      <c r="B5" s="30">
        <v>47869</v>
      </c>
      <c r="C5" s="30">
        <v>59166</v>
      </c>
      <c r="D5" s="30">
        <v>60941</v>
      </c>
      <c r="E5" s="30">
        <v>62769</v>
      </c>
      <c r="F5" s="30">
        <v>64652</v>
      </c>
    </row>
    <row r="6" spans="1:6" x14ac:dyDescent="0.25">
      <c r="A6" s="11" t="s">
        <v>224</v>
      </c>
      <c r="B6" s="30">
        <v>12559</v>
      </c>
      <c r="C6" s="30">
        <v>15523</v>
      </c>
      <c r="D6" s="30">
        <v>15989</v>
      </c>
      <c r="E6" s="30">
        <v>16468</v>
      </c>
      <c r="F6" s="30">
        <v>16963</v>
      </c>
    </row>
    <row r="7" spans="1:6" x14ac:dyDescent="0.25">
      <c r="A7" s="10" t="s">
        <v>225</v>
      </c>
      <c r="B7" s="31">
        <f>SUM(B5:B6)</f>
        <v>60428</v>
      </c>
      <c r="C7" s="31">
        <f>SUM(C5:C6)</f>
        <v>74689</v>
      </c>
      <c r="D7" s="31">
        <f>SUM(D5:D6)</f>
        <v>76930</v>
      </c>
      <c r="E7" s="31">
        <f>SUM(E5:E6)</f>
        <v>79237</v>
      </c>
      <c r="F7" s="31">
        <f>SUM(F5:F6)</f>
        <v>81615</v>
      </c>
    </row>
    <row r="8" ht="24" customHeight="1" spans="1:6" x14ac:dyDescent="0.25">
      <c r="A8" s="19" t="s">
        <v>134</v>
      </c>
      <c r="B8" s="19"/>
      <c r="C8" s="19"/>
      <c r="D8" s="19"/>
      <c r="E8" s="19"/>
      <c r="F8" s="19"/>
    </row>
    <row r="9" spans="1:6" x14ac:dyDescent="0.25">
      <c r="A9" s="11" t="s">
        <v>226</v>
      </c>
      <c r="B9" s="30">
        <v>58506</v>
      </c>
      <c r="C9" s="30">
        <v>72314</v>
      </c>
      <c r="D9" s="30">
        <v>74483</v>
      </c>
      <c r="E9" s="30">
        <v>76718</v>
      </c>
      <c r="F9" s="30">
        <v>79019</v>
      </c>
    </row>
    <row r="10" spans="1:6" x14ac:dyDescent="0.25">
      <c r="A10" s="10" t="s">
        <v>227</v>
      </c>
      <c r="B10" s="31">
        <f>SUM(B9:B9)</f>
        <v>58506</v>
      </c>
      <c r="C10" s="31">
        <f>SUM(C9:C9)</f>
        <v>72314</v>
      </c>
      <c r="D10" s="31">
        <f>SUM(D9:D9)</f>
        <v>74483</v>
      </c>
      <c r="E10" s="31">
        <f>SUM(E9:E9)</f>
        <v>76718</v>
      </c>
      <c r="F10" s="31">
        <f>SUM(F9:F9)</f>
        <v>79019</v>
      </c>
    </row>
    <row r="12" ht="24" customHeight="1" spans="1:6" x14ac:dyDescent="0.25">
      <c r="A12" s="19" t="s">
        <v>228</v>
      </c>
      <c r="B12" s="32">
        <f>B7+B10</f>
        <v>118934</v>
      </c>
      <c r="C12" s="32">
        <f>C7+C10</f>
        <v>147003</v>
      </c>
      <c r="D12" s="32">
        <f>D7+D10</f>
        <v>151413</v>
      </c>
      <c r="E12" s="32">
        <f>E7+E10</f>
        <v>155955</v>
      </c>
      <c r="F12" s="32">
        <f>F7+F10</f>
        <v>160634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3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229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11" t="s">
        <v>231</v>
      </c>
      <c r="B5" s="30">
        <v>120000</v>
      </c>
      <c r="C5" s="30">
        <v>222480</v>
      </c>
      <c r="D5" s="30">
        <v>280078</v>
      </c>
      <c r="E5" s="30">
        <v>327818</v>
      </c>
      <c r="F5" s="30">
        <v>337653</v>
      </c>
    </row>
    <row r="6" spans="1:6" x14ac:dyDescent="0.25">
      <c r="A6" s="11" t="s">
        <v>232</v>
      </c>
      <c r="B6" s="30">
        <v>2500</v>
      </c>
      <c r="C6" s="30">
        <v>4635</v>
      </c>
      <c r="D6" s="30">
        <v>5835</v>
      </c>
      <c r="E6" s="30">
        <v>6830</v>
      </c>
      <c r="F6" s="30">
        <v>7034</v>
      </c>
    </row>
    <row r="7" spans="1:6" x14ac:dyDescent="0.25">
      <c r="A7" s="11" t="s">
        <v>233</v>
      </c>
      <c r="B7" s="30">
        <v>70000</v>
      </c>
      <c r="C7" s="30">
        <v>129780</v>
      </c>
      <c r="D7" s="30">
        <v>163379</v>
      </c>
      <c r="E7" s="30">
        <v>191227</v>
      </c>
      <c r="F7" s="30">
        <v>196964</v>
      </c>
    </row>
    <row r="8" spans="1:6" x14ac:dyDescent="0.25">
      <c r="A8" s="11" t="s">
        <v>234</v>
      </c>
      <c r="B8" s="30">
        <v>4167</v>
      </c>
      <c r="C8" s="30">
        <v>5150</v>
      </c>
      <c r="D8" s="30">
        <v>5305</v>
      </c>
      <c r="E8" s="30">
        <v>5464</v>
      </c>
      <c r="F8" s="30">
        <v>5628</v>
      </c>
    </row>
    <row r="9" spans="1:6" x14ac:dyDescent="0.25">
      <c r="A9" s="11" t="s">
        <v>235</v>
      </c>
      <c r="B9" s="30">
        <v>-8</v>
      </c>
      <c r="C9" s="30">
        <v>-10</v>
      </c>
      <c r="D9" s="30">
        <v>-11</v>
      </c>
      <c r="E9" s="30">
        <v>-11</v>
      </c>
      <c r="F9" s="30">
        <v>-11</v>
      </c>
    </row>
    <row r="10" spans="1:6" x14ac:dyDescent="0.25">
      <c r="A10" s="10" t="s">
        <v>236</v>
      </c>
      <c r="B10" s="31">
        <f>SUM(B5:B9)</f>
        <v>184667</v>
      </c>
      <c r="C10" s="31">
        <f>SUM(C5:C9)</f>
        <v>339797</v>
      </c>
      <c r="D10" s="31">
        <f>SUM(D5:D9)</f>
        <v>426588</v>
      </c>
      <c r="E10" s="31">
        <f>SUM(E5:E9)</f>
        <v>498557</v>
      </c>
      <c r="F10" s="31">
        <f>SUM(F5:F9)</f>
        <v>513513</v>
      </c>
    </row>
    <row r="12" ht="24" customHeight="1" spans="1:6" x14ac:dyDescent="0.25">
      <c r="A12" s="19" t="s">
        <v>237</v>
      </c>
      <c r="B12" s="19"/>
      <c r="C12" s="19"/>
      <c r="D12" s="19"/>
      <c r="E12" s="19"/>
      <c r="F12" s="19"/>
    </row>
    <row r="13" spans="1:6" x14ac:dyDescent="0.25">
      <c r="A13" s="11" t="s">
        <v>238</v>
      </c>
      <c r="B13" s="30">
        <v>58506</v>
      </c>
      <c r="C13" s="30">
        <v>72314</v>
      </c>
      <c r="D13" s="30">
        <v>74483</v>
      </c>
      <c r="E13" s="30">
        <v>76718</v>
      </c>
      <c r="F13" s="30">
        <v>79019</v>
      </c>
    </row>
    <row r="14" spans="1:6" x14ac:dyDescent="0.25">
      <c r="A14" s="11" t="s">
        <v>239</v>
      </c>
      <c r="B14" s="30">
        <v>47869</v>
      </c>
      <c r="C14" s="30">
        <v>59166</v>
      </c>
      <c r="D14" s="30">
        <v>60941</v>
      </c>
      <c r="E14" s="30">
        <v>62769</v>
      </c>
      <c r="F14" s="30">
        <v>64652</v>
      </c>
    </row>
    <row r="15" spans="1:6" x14ac:dyDescent="0.25">
      <c r="A15" s="11" t="s">
        <v>240</v>
      </c>
      <c r="B15" s="30">
        <v>12559</v>
      </c>
      <c r="C15" s="30">
        <v>15523</v>
      </c>
      <c r="D15" s="30">
        <v>15989</v>
      </c>
      <c r="E15" s="30">
        <v>16468</v>
      </c>
      <c r="F15" s="30">
        <v>16963</v>
      </c>
    </row>
    <row r="16" spans="1:6" x14ac:dyDescent="0.25">
      <c r="A16" s="10" t="s">
        <v>199</v>
      </c>
      <c r="B16" s="31">
        <f>SUM(B13:B15)</f>
        <v>118934</v>
      </c>
      <c r="C16" s="31">
        <f>SUM(C13:C15)</f>
        <v>147003</v>
      </c>
      <c r="D16" s="31">
        <f>SUM(D13:D15)</f>
        <v>151413</v>
      </c>
      <c r="E16" s="31">
        <f>SUM(E13:E15)</f>
        <v>155955</v>
      </c>
      <c r="F16" s="31">
        <f>SUM(F13:F15)</f>
        <v>160634</v>
      </c>
    </row>
    <row r="18" ht="24" customHeight="1" spans="1:6" x14ac:dyDescent="0.25">
      <c r="A18" s="19" t="s">
        <v>140</v>
      </c>
      <c r="B18" s="19"/>
      <c r="C18" s="19"/>
      <c r="D18" s="19"/>
      <c r="E18" s="19"/>
      <c r="F18" s="19"/>
    </row>
    <row r="19" spans="1:1" x14ac:dyDescent="0.25">
      <c r="A19" s="36" t="s">
        <v>147</v>
      </c>
    </row>
    <row r="20" spans="1:6" x14ac:dyDescent="0.25">
      <c r="A20" s="11" t="s">
        <v>241</v>
      </c>
      <c r="B20" s="30">
        <v>5000</v>
      </c>
      <c r="C20" s="30">
        <v>9270</v>
      </c>
      <c r="D20" s="30">
        <v>11670</v>
      </c>
      <c r="E20" s="30">
        <v>13659</v>
      </c>
      <c r="F20" s="30">
        <v>14069</v>
      </c>
    </row>
    <row r="21" spans="1:1" x14ac:dyDescent="0.25">
      <c r="A21" s="36" t="s">
        <v>148</v>
      </c>
    </row>
    <row r="22" spans="1:6" x14ac:dyDescent="0.25">
      <c r="A22" s="11" t="s">
        <v>242</v>
      </c>
      <c r="B22" s="30">
        <v>3000</v>
      </c>
      <c r="C22" s="30">
        <v>5562</v>
      </c>
      <c r="D22" s="30">
        <v>7002</v>
      </c>
      <c r="E22" s="30">
        <v>8195</v>
      </c>
      <c r="F22" s="30">
        <v>8441</v>
      </c>
    </row>
    <row r="23" spans="1:1" x14ac:dyDescent="0.25">
      <c r="A23" s="36" t="s">
        <v>142</v>
      </c>
    </row>
    <row r="24" spans="1:6" x14ac:dyDescent="0.25">
      <c r="A24" s="11" t="s">
        <v>243</v>
      </c>
      <c r="B24" s="30">
        <v>25000</v>
      </c>
      <c r="C24" s="30">
        <v>30900</v>
      </c>
      <c r="D24" s="30">
        <v>31827</v>
      </c>
      <c r="E24" s="30">
        <v>32782</v>
      </c>
      <c r="F24" s="30">
        <v>33765</v>
      </c>
    </row>
    <row r="25" spans="1:6" x14ac:dyDescent="0.25">
      <c r="A25" s="11" t="s">
        <v>244</v>
      </c>
      <c r="B25" s="30">
        <v>3000</v>
      </c>
      <c r="C25" s="30">
        <v>3708</v>
      </c>
      <c r="D25" s="30">
        <v>3819</v>
      </c>
      <c r="E25" s="30">
        <v>3934</v>
      </c>
      <c r="F25" s="30">
        <v>4052</v>
      </c>
    </row>
    <row r="26" spans="1:6" x14ac:dyDescent="0.25">
      <c r="A26" s="11" t="s">
        <v>245</v>
      </c>
      <c r="B26" s="30">
        <v>2000</v>
      </c>
      <c r="C26" s="30">
        <v>2472</v>
      </c>
      <c r="D26" s="30">
        <v>2546</v>
      </c>
      <c r="E26" s="30">
        <v>2623</v>
      </c>
      <c r="F26" s="30">
        <v>2701</v>
      </c>
    </row>
    <row r="27" spans="1:6" x14ac:dyDescent="0.25">
      <c r="A27" s="10" t="s">
        <v>246</v>
      </c>
      <c r="B27" s="31">
        <f>SUM(B24:B26)</f>
        <v>30000</v>
      </c>
      <c r="C27" s="31">
        <f>SUM(C24:C26)</f>
        <v>37080</v>
      </c>
      <c r="D27" s="31">
        <f>SUM(D24:D26)</f>
        <v>38192</v>
      </c>
      <c r="E27" s="31">
        <f>SUM(E24:E26)</f>
        <v>39338</v>
      </c>
      <c r="F27" s="31">
        <f>SUM(F24:F26)</f>
        <v>40518</v>
      </c>
    </row>
    <row r="28" spans="1:1" x14ac:dyDescent="0.25">
      <c r="A28" s="36" t="s">
        <v>150</v>
      </c>
    </row>
    <row r="29" spans="1:6" x14ac:dyDescent="0.25">
      <c r="A29" s="11" t="s">
        <v>247</v>
      </c>
      <c r="B29" s="30">
        <v>2500</v>
      </c>
      <c r="C29" s="30">
        <v>3090</v>
      </c>
      <c r="D29" s="30">
        <v>3183</v>
      </c>
      <c r="E29" s="30">
        <v>3278</v>
      </c>
      <c r="F29" s="30">
        <v>3377</v>
      </c>
    </row>
    <row r="30" spans="1:6" x14ac:dyDescent="0.25">
      <c r="A30" s="10" t="s">
        <v>248</v>
      </c>
      <c r="B30" s="31">
        <f>B20+B22+B27+B29</f>
        <v>40500</v>
      </c>
      <c r="C30" s="31">
        <f>C20+C22+C27+C29</f>
        <v>55002</v>
      </c>
      <c r="D30" s="31">
        <f>D20+D22+D27+D29</f>
        <v>60047</v>
      </c>
      <c r="E30" s="31">
        <f>E20+E22+E27+E29</f>
        <v>64471</v>
      </c>
      <c r="F30" s="31">
        <f>F20+F22+F27+F29</f>
        <v>66405</v>
      </c>
    </row>
    <row r="32" ht="24" customHeight="1" spans="1:6" x14ac:dyDescent="0.25">
      <c r="A32" s="19" t="s">
        <v>249</v>
      </c>
      <c r="B32" s="19"/>
      <c r="C32" s="19"/>
      <c r="D32" s="19"/>
      <c r="E32" s="19"/>
      <c r="F32" s="19"/>
    </row>
    <row r="33" spans="1:6" x14ac:dyDescent="0.25">
      <c r="A33" s="10" t="s">
        <v>250</v>
      </c>
      <c r="B33" s="31" t="str">
        <f>SUM(B33:B32)</f>
        <v>0</v>
      </c>
      <c r="C33" s="31" t="str">
        <f>SUM(C33:C32)</f>
        <v>0</v>
      </c>
      <c r="D33" s="31" t="str">
        <f>SUM(D33:D32)</f>
        <v>0</v>
      </c>
      <c r="E33" s="31" t="str">
        <f>SUM(E33:E32)</f>
        <v>0</v>
      </c>
      <c r="F33" s="31" t="str">
        <f>SUM(F33:F32)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251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236</v>
      </c>
      <c r="B4" s="33">
        <f>'Budget Detail'!B10</f>
        <v>184667</v>
      </c>
      <c r="C4" s="33">
        <f>'Budget Detail'!C10</f>
        <v>339797</v>
      </c>
      <c r="D4" s="33">
        <f>'Budget Detail'!D10</f>
        <v>426588</v>
      </c>
      <c r="E4" s="33">
        <f>'Budget Detail'!E10</f>
        <v>498557</v>
      </c>
      <c r="F4" s="33">
        <f>'Budget Detail'!F10</f>
        <v>513513</v>
      </c>
    </row>
    <row r="5" spans="1:6" x14ac:dyDescent="0.25">
      <c r="A5" s="10" t="s">
        <v>199</v>
      </c>
      <c r="B5" s="33">
        <f>'Budget Detail'!B16</f>
        <v>118934</v>
      </c>
      <c r="C5" s="33">
        <f>'Budget Detail'!C16</f>
        <v>147003</v>
      </c>
      <c r="D5" s="33">
        <f>'Budget Detail'!D16</f>
        <v>151413</v>
      </c>
      <c r="E5" s="33">
        <f>'Budget Detail'!E16</f>
        <v>155955</v>
      </c>
      <c r="F5" s="33">
        <f>'Budget Detail'!F16</f>
        <v>160634</v>
      </c>
    </row>
    <row r="6" spans="1:6" x14ac:dyDescent="0.25">
      <c r="A6" s="10" t="s">
        <v>248</v>
      </c>
      <c r="B6" s="33">
        <f>'Budget Detail'!B30</f>
        <v>40500</v>
      </c>
      <c r="C6" s="33">
        <f>'Budget Detail'!C30</f>
        <v>55002</v>
      </c>
      <c r="D6" s="33">
        <f>'Budget Detail'!D30</f>
        <v>60047</v>
      </c>
      <c r="E6" s="33">
        <f>'Budget Detail'!E30</f>
        <v>64471</v>
      </c>
      <c r="F6" s="33">
        <f>'Budget Detail'!F30</f>
        <v>66405</v>
      </c>
    </row>
    <row r="7" spans="1:6" x14ac:dyDescent="0.25">
      <c r="A7" s="10" t="s">
        <v>252</v>
      </c>
      <c r="B7" s="33" t="str">
        <f>'Budget Detail'!B33</f>
        <v>0</v>
      </c>
      <c r="C7" s="33" t="str">
        <f>'Budget Detail'!C33</f>
        <v>0</v>
      </c>
      <c r="D7" s="33" t="str">
        <f>'Budget Detail'!D33</f>
        <v>0</v>
      </c>
      <c r="E7" s="33" t="str">
        <f>'Budget Detail'!E33</f>
        <v>0</v>
      </c>
      <c r="F7" s="33" t="str">
        <f>'Budget Detail'!F33</f>
        <v>0</v>
      </c>
    </row>
    <row r="8" spans="1:6" x14ac:dyDescent="0.25">
      <c r="A8" s="10" t="s">
        <v>253</v>
      </c>
      <c r="B8" s="31">
        <f>SUM(B5:B7)</f>
        <v>159434</v>
      </c>
      <c r="C8" s="31">
        <f>SUM(C5:C7)</f>
        <v>202005</v>
      </c>
      <c r="D8" s="31">
        <f>SUM(D5:D7)</f>
        <v>211460</v>
      </c>
      <c r="E8" s="31">
        <f>SUM(E5:E7)</f>
        <v>220426</v>
      </c>
      <c r="F8" s="31">
        <f>SUM(F5:F7)</f>
        <v>227039</v>
      </c>
    </row>
    <row r="10" ht="24" customHeight="1" spans="1:6" x14ac:dyDescent="0.25">
      <c r="A10" s="19" t="s">
        <v>254</v>
      </c>
      <c r="B10" s="19"/>
      <c r="C10" s="19"/>
      <c r="D10" s="19"/>
      <c r="E10" s="19"/>
      <c r="F10" s="19"/>
    </row>
    <row r="11" spans="1:6" x14ac:dyDescent="0.25">
      <c r="A11" s="10" t="s">
        <v>255</v>
      </c>
      <c r="B11" s="32">
        <f>B4-B8</f>
        <v>25233</v>
      </c>
      <c r="C11" s="32">
        <f>C4-C8</f>
        <v>137792</v>
      </c>
      <c r="D11" s="32">
        <f>D4-D8</f>
        <v>215128</v>
      </c>
      <c r="E11" s="32">
        <f>E4-E8</f>
        <v>278131</v>
      </c>
      <c r="F11" s="32">
        <f>F4-F8</f>
        <v>286475</v>
      </c>
    </row>
    <row r="12" spans="1:6" x14ac:dyDescent="0.25">
      <c r="A12" s="11" t="s">
        <v>256</v>
      </c>
      <c r="B12" s="29">
        <f>IF(B4=0,0,B11/B4)</f>
        <v>0.13663809</v>
      </c>
      <c r="C12" s="29">
        <f>IF(C4=0,0,C11/C4)</f>
        <v>0.40551379</v>
      </c>
      <c r="D12" s="29">
        <f>IF(D4=0,0,D11/D4)</f>
        <v>0.50429993</v>
      </c>
      <c r="E12" s="29">
        <f>IF(E4=0,0,E11/E4)</f>
        <v>0.55787178</v>
      </c>
      <c r="F12" s="29">
        <f>IF(F4=0,0,F11/F4)</f>
        <v>0.55787178</v>
      </c>
    </row>
    <row r="13" spans="1:6" x14ac:dyDescent="0.25">
      <c r="A13" s="11" t="s">
        <v>257</v>
      </c>
      <c r="B13" s="30">
        <v>25233</v>
      </c>
      <c r="C13" s="30">
        <v>163025</v>
      </c>
      <c r="D13" s="30">
        <v>378153</v>
      </c>
      <c r="E13" s="30">
        <v>656284</v>
      </c>
      <c r="F13" s="30">
        <v>942758</v>
      </c>
    </row>
    <row r="14" spans="1:6" x14ac:dyDescent="0.25">
      <c r="A14" s="11" t="s">
        <v>221</v>
      </c>
      <c r="B14" s="30">
        <v>15389</v>
      </c>
      <c r="C14" s="30">
        <v>18878</v>
      </c>
      <c r="D14" s="30">
        <v>19390</v>
      </c>
      <c r="E14" s="30">
        <v>19942</v>
      </c>
      <c r="F14" s="30">
        <v>20541</v>
      </c>
    </row>
    <row r="15" spans="1:6" x14ac:dyDescent="0.25">
      <c r="A15" s="11" t="s">
        <v>258</v>
      </c>
      <c r="B15" s="30">
        <v>13286</v>
      </c>
      <c r="C15" s="30">
        <v>11222</v>
      </c>
      <c r="D15" s="30">
        <v>9612</v>
      </c>
      <c r="E15" s="30">
        <v>8817</v>
      </c>
      <c r="F15" s="30">
        <v>9082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259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260</v>
      </c>
      <c r="C2" s="21" t="s">
        <v>261</v>
      </c>
      <c r="D2" s="21" t="s">
        <v>262</v>
      </c>
      <c r="E2" s="21" t="s">
        <v>263</v>
      </c>
      <c r="F2" s="21" t="s">
        <v>264</v>
      </c>
      <c r="G2" s="21" t="s">
        <v>265</v>
      </c>
      <c r="H2" s="21" t="s">
        <v>266</v>
      </c>
      <c r="I2" s="21" t="s">
        <v>267</v>
      </c>
      <c r="J2" s="21" t="s">
        <v>268</v>
      </c>
      <c r="K2" s="21" t="s">
        <v>269</v>
      </c>
      <c r="L2" s="21" t="s">
        <v>270</v>
      </c>
      <c r="M2" s="21" t="s">
        <v>271</v>
      </c>
      <c r="N2" s="21" t="s">
        <v>272</v>
      </c>
    </row>
    <row r="3" ht="24" customHeight="1" spans="1:14" x14ac:dyDescent="0.25">
      <c r="A3" s="19" t="s">
        <v>230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236</v>
      </c>
      <c r="B4" s="31">
        <v>9150</v>
      </c>
      <c r="C4" s="31">
        <v>22110</v>
      </c>
      <c r="D4" s="31">
        <v>22110</v>
      </c>
      <c r="E4" s="31">
        <v>22110</v>
      </c>
      <c r="F4" s="31">
        <v>22110</v>
      </c>
      <c r="G4" s="31">
        <v>22110</v>
      </c>
      <c r="H4" s="31">
        <v>22110</v>
      </c>
      <c r="I4" s="31">
        <v>22110</v>
      </c>
      <c r="J4" s="31">
        <v>22110</v>
      </c>
      <c r="K4" s="31">
        <v>22110</v>
      </c>
      <c r="L4" s="31">
        <v>13210</v>
      </c>
      <c r="M4" s="31">
        <v>250</v>
      </c>
      <c r="N4" s="31">
        <f>SUM(B4:M4)</f>
        <v>221600</v>
      </c>
    </row>
    <row r="6" ht="24" customHeight="1" spans="1:14" x14ac:dyDescent="0.25">
      <c r="A6" s="19" t="s">
        <v>273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274</v>
      </c>
      <c r="B7" s="30">
        <v>11893</v>
      </c>
      <c r="C7" s="30">
        <v>11893</v>
      </c>
      <c r="D7" s="30">
        <v>11893</v>
      </c>
      <c r="E7" s="30">
        <v>11893</v>
      </c>
      <c r="F7" s="30">
        <v>11893</v>
      </c>
      <c r="G7" s="30">
        <v>11893</v>
      </c>
      <c r="H7" s="30">
        <v>11893</v>
      </c>
      <c r="I7" s="30">
        <v>11893</v>
      </c>
      <c r="J7" s="30">
        <v>11893</v>
      </c>
      <c r="K7" s="30">
        <v>11893</v>
      </c>
      <c r="L7" s="30">
        <v>0</v>
      </c>
      <c r="M7" s="30">
        <v>0</v>
      </c>
      <c r="N7" s="30">
        <f>SUM(B7:M7)</f>
        <v>118934</v>
      </c>
    </row>
    <row r="8" spans="1:14" x14ac:dyDescent="0.25">
      <c r="A8" s="11" t="s">
        <v>275</v>
      </c>
      <c r="B8" s="30">
        <v>4050</v>
      </c>
      <c r="C8" s="30">
        <v>4050</v>
      </c>
      <c r="D8" s="30">
        <v>4050</v>
      </c>
      <c r="E8" s="30">
        <v>4050</v>
      </c>
      <c r="F8" s="30">
        <v>4050</v>
      </c>
      <c r="G8" s="30">
        <v>4050</v>
      </c>
      <c r="H8" s="30">
        <v>4050</v>
      </c>
      <c r="I8" s="30">
        <v>4050</v>
      </c>
      <c r="J8" s="30">
        <v>4050</v>
      </c>
      <c r="K8" s="30">
        <v>4050</v>
      </c>
      <c r="L8" s="30">
        <v>0</v>
      </c>
      <c r="M8" s="30">
        <v>0</v>
      </c>
      <c r="N8" s="30">
        <f>SUM(B8:M8)</f>
        <v>40500</v>
      </c>
    </row>
    <row r="9" spans="1:14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  <c r="G9" s="30">
        <v>0</v>
      </c>
      <c r="H9" s="30">
        <v>0</v>
      </c>
      <c r="I9" s="30">
        <v>0</v>
      </c>
      <c r="J9" s="30">
        <v>0</v>
      </c>
      <c r="K9" s="30">
        <v>0</v>
      </c>
      <c r="L9" s="30">
        <v>0</v>
      </c>
      <c r="M9" s="30">
        <v>0</v>
      </c>
      <c r="N9" s="30" t="str">
        <f>SUM(B9:M9)</f>
        <v>0</v>
      </c>
    </row>
    <row r="11" ht="24" customHeight="1" spans="1:14" x14ac:dyDescent="0.25">
      <c r="A11" s="19" t="s">
        <v>277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253</v>
      </c>
      <c r="B12" s="33">
        <f>B7+B8+B9</f>
        <v>15943</v>
      </c>
      <c r="C12" s="33">
        <f>C7+C8+C9</f>
        <v>15943</v>
      </c>
      <c r="D12" s="33">
        <f>D7+D8+D9</f>
        <v>15943</v>
      </c>
      <c r="E12" s="33">
        <f>E7+E8+E9</f>
        <v>15943</v>
      </c>
      <c r="F12" s="33">
        <f>F7+F8+F9</f>
        <v>15943</v>
      </c>
      <c r="G12" s="33">
        <f>G7+G8+G9</f>
        <v>15943</v>
      </c>
      <c r="H12" s="33">
        <f>H7+H8+H9</f>
        <v>15943</v>
      </c>
      <c r="I12" s="33">
        <f>I7+I8+I9</f>
        <v>15943</v>
      </c>
      <c r="J12" s="33">
        <f>J7+J8+J9</f>
        <v>15943</v>
      </c>
      <c r="K12" s="33">
        <f>K7+K8+K9</f>
        <v>15943</v>
      </c>
      <c r="L12" s="33" t="str">
        <f>L7+L8+L9</f>
        <v>0</v>
      </c>
      <c r="M12" s="33" t="str">
        <f>M7+M8+M9</f>
        <v>0</v>
      </c>
      <c r="N12" s="33">
        <f>SUM(B12:M12)</f>
        <v>159430</v>
      </c>
    </row>
    <row r="13" spans="1:14" x14ac:dyDescent="0.25">
      <c r="A13" s="10" t="s">
        <v>278</v>
      </c>
      <c r="B13" s="33">
        <f>B4-B12</f>
        <v>-6793</v>
      </c>
      <c r="C13" s="33">
        <f>C4-C12</f>
        <v>6167</v>
      </c>
      <c r="D13" s="33">
        <f>D4-D12</f>
        <v>6167</v>
      </c>
      <c r="E13" s="33">
        <f>E4-E12</f>
        <v>6167</v>
      </c>
      <c r="F13" s="33">
        <f>F4-F12</f>
        <v>6167</v>
      </c>
      <c r="G13" s="33">
        <f>G4-G12</f>
        <v>6167</v>
      </c>
      <c r="H13" s="33">
        <f>H4-H12</f>
        <v>6167</v>
      </c>
      <c r="I13" s="33">
        <f>I4-I12</f>
        <v>6167</v>
      </c>
      <c r="J13" s="33">
        <f>J4-J12</f>
        <v>6167</v>
      </c>
      <c r="K13" s="33">
        <f>K4-K12</f>
        <v>6167</v>
      </c>
      <c r="L13" s="33">
        <f>L4-L12</f>
        <v>13210</v>
      </c>
      <c r="M13" s="33">
        <f>M4-M12</f>
        <v>250</v>
      </c>
      <c r="N13" s="33">
        <f>SUM(B13:M13)</f>
        <v>62170</v>
      </c>
    </row>
    <row r="14" spans="1:14" x14ac:dyDescent="0.25">
      <c r="A14" s="10" t="s">
        <v>279</v>
      </c>
      <c r="B14" s="37">
        <f>B17+B13</f>
        <v>-6793</v>
      </c>
      <c r="C14" s="37">
        <f>B14+C13</f>
        <v>-626</v>
      </c>
      <c r="D14" s="37">
        <f>C14+D13</f>
        <v>5541</v>
      </c>
      <c r="E14" s="37">
        <f>D14+E13</f>
        <v>11708</v>
      </c>
      <c r="F14" s="37">
        <f>E14+F13</f>
        <v>17875</v>
      </c>
      <c r="G14" s="37">
        <f>F14+G13</f>
        <v>24042</v>
      </c>
      <c r="H14" s="37">
        <f>G14+H13</f>
        <v>30209</v>
      </c>
      <c r="I14" s="37">
        <f>H14+I13</f>
        <v>36376</v>
      </c>
      <c r="J14" s="37">
        <f>I14+J13</f>
        <v>42543</v>
      </c>
      <c r="K14" s="37">
        <f>J14+K13</f>
        <v>48710</v>
      </c>
      <c r="L14" s="37">
        <f>K14+L13</f>
        <v>61920</v>
      </c>
      <c r="M14" s="37">
        <f>L14+M13</f>
        <v>62170</v>
      </c>
      <c r="N14" s="32">
        <f>M14</f>
        <v>62170</v>
      </c>
    </row>
    <row r="16" ht="24" customHeight="1" spans="1:3" x14ac:dyDescent="0.25">
      <c r="A16" s="19" t="s">
        <v>280</v>
      </c>
      <c r="B16" s="19"/>
      <c r="C16" s="19"/>
    </row>
    <row r="17" spans="1:2" x14ac:dyDescent="0.25">
      <c r="A17" s="11" t="s">
        <v>163</v>
      </c>
      <c r="B17" s="23">
        <v>0</v>
      </c>
    </row>
    <row r="18" spans="1:2" x14ac:dyDescent="0.25">
      <c r="A18" s="11" t="s">
        <v>281</v>
      </c>
      <c r="B18" s="37">
        <f>M14</f>
        <v>62170</v>
      </c>
    </row>
    <row r="19" spans="1:2" x14ac:dyDescent="0.25">
      <c r="A19" s="11" t="s">
        <v>282</v>
      </c>
      <c r="B19" s="30">
        <f>MIN(B14:M14)</f>
        <v>-6793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283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230</v>
      </c>
      <c r="B4" s="19"/>
      <c r="C4" s="19"/>
      <c r="D4" s="19"/>
      <c r="E4" s="19"/>
      <c r="F4" s="19"/>
    </row>
    <row r="5" spans="1:6" x14ac:dyDescent="0.25">
      <c r="A5" s="38" t="s">
        <v>236</v>
      </c>
      <c r="B5" s="31">
        <v>184667</v>
      </c>
      <c r="C5" s="31">
        <v>339797</v>
      </c>
      <c r="D5" s="31">
        <v>426588</v>
      </c>
      <c r="E5" s="31">
        <v>498557</v>
      </c>
      <c r="F5" s="31">
        <v>513513</v>
      </c>
    </row>
    <row r="7" ht="24" customHeight="1" spans="1:6" x14ac:dyDescent="0.25">
      <c r="A7" s="19" t="s">
        <v>273</v>
      </c>
      <c r="B7" s="19"/>
      <c r="C7" s="19"/>
      <c r="D7" s="19"/>
      <c r="E7" s="19"/>
      <c r="F7" s="19"/>
    </row>
    <row r="8" spans="1:6" x14ac:dyDescent="0.25">
      <c r="A8" s="10" t="s">
        <v>274</v>
      </c>
      <c r="B8" s="33">
        <v>118934</v>
      </c>
      <c r="C8" s="33">
        <v>147003</v>
      </c>
      <c r="D8" s="33">
        <v>151413</v>
      </c>
      <c r="E8" s="33">
        <v>155955</v>
      </c>
      <c r="F8" s="33">
        <v>160634</v>
      </c>
    </row>
    <row r="9" spans="1:6" x14ac:dyDescent="0.25">
      <c r="A9" s="10" t="s">
        <v>275</v>
      </c>
      <c r="B9" s="33">
        <v>40500</v>
      </c>
      <c r="C9" s="33">
        <v>55002</v>
      </c>
      <c r="D9" s="33">
        <v>60047</v>
      </c>
      <c r="E9" s="33">
        <v>64471</v>
      </c>
      <c r="F9" s="33">
        <v>66405</v>
      </c>
    </row>
    <row r="10" spans="1:6" x14ac:dyDescent="0.25">
      <c r="A10" s="10" t="s">
        <v>284</v>
      </c>
      <c r="B10" s="33">
        <v>0</v>
      </c>
      <c r="C10" s="33">
        <v>0</v>
      </c>
      <c r="D10" s="33">
        <v>0</v>
      </c>
      <c r="E10" s="33">
        <v>0</v>
      </c>
      <c r="F10" s="33">
        <v>0</v>
      </c>
    </row>
    <row r="11" spans="1:6" x14ac:dyDescent="0.25">
      <c r="A11" s="38" t="s">
        <v>253</v>
      </c>
      <c r="B11" s="31">
        <f>SUM(B8:B10)</f>
        <v>159434</v>
      </c>
      <c r="C11" s="31">
        <f>SUM(C8:C10)</f>
        <v>202005</v>
      </c>
      <c r="D11" s="31">
        <f>SUM(D8:D10)</f>
        <v>211460</v>
      </c>
      <c r="E11" s="31">
        <f>SUM(E8:E10)</f>
        <v>220426</v>
      </c>
      <c r="F11" s="31">
        <f>SUM(F8:F10)</f>
        <v>227039</v>
      </c>
    </row>
    <row r="13" ht="24" customHeight="1" spans="1:6" x14ac:dyDescent="0.25">
      <c r="A13" s="19" t="s">
        <v>285</v>
      </c>
      <c r="B13" s="19"/>
      <c r="C13" s="19"/>
      <c r="D13" s="19"/>
      <c r="E13" s="19"/>
      <c r="F13" s="19"/>
    </row>
    <row r="14" spans="1:6" x14ac:dyDescent="0.25">
      <c r="A14" s="38" t="s">
        <v>255</v>
      </c>
      <c r="B14" s="32">
        <f>B5-B11</f>
        <v>25233</v>
      </c>
      <c r="C14" s="32">
        <f>C5-C11</f>
        <v>137792</v>
      </c>
      <c r="D14" s="32">
        <f>D5-D11</f>
        <v>215128</v>
      </c>
      <c r="E14" s="32">
        <f>E5-E11</f>
        <v>278131</v>
      </c>
      <c r="F14" s="32">
        <f>F5-F11</f>
        <v>286475</v>
      </c>
    </row>
    <row r="15" spans="1:6" x14ac:dyDescent="0.25">
      <c r="A15" s="11" t="s">
        <v>256</v>
      </c>
      <c r="B15" s="29">
        <f>IF(B5=0,0,B14/B5)</f>
        <v>0.13663809</v>
      </c>
      <c r="C15" s="29">
        <f>IF(C5=0,0,C14/C5)</f>
        <v>0.40551379</v>
      </c>
      <c r="D15" s="29">
        <f>IF(D5=0,0,D14/D5)</f>
        <v>0.50429993</v>
      </c>
      <c r="E15" s="29">
        <f>IF(E5=0,0,E14/E5)</f>
        <v>0.55787178</v>
      </c>
      <c r="F15" s="29">
        <f>IF(F5=0,0,F14/F5)</f>
        <v>0.55787178</v>
      </c>
    </row>
    <row r="16" spans="1:6" x14ac:dyDescent="0.25">
      <c r="A16" s="10" t="s">
        <v>257</v>
      </c>
      <c r="B16" s="33">
        <f>B14</f>
        <v>25233</v>
      </c>
      <c r="C16" s="33">
        <f>B16+C14</f>
        <v>163025</v>
      </c>
      <c r="D16" s="33">
        <f>C16+D14</f>
        <v>378153</v>
      </c>
      <c r="E16" s="33">
        <f>D16+E14</f>
        <v>656284</v>
      </c>
      <c r="F16" s="33">
        <f>E16+F14</f>
        <v>942758</v>
      </c>
    </row>
    <row r="17" spans="1:6" x14ac:dyDescent="0.25">
      <c r="A17" s="10" t="s">
        <v>286</v>
      </c>
      <c r="B17" s="39" t="s">
        <v>287</v>
      </c>
      <c r="C17" s="40" t="s">
        <v>7</v>
      </c>
      <c r="D17" s="40" t="s">
        <v>7</v>
      </c>
      <c r="E17" s="40" t="s">
        <v>7</v>
      </c>
      <c r="F17" s="40" t="s">
        <v>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288</v>
      </c>
      <c r="B4" s="19"/>
      <c r="C4" s="19"/>
      <c r="D4" s="19"/>
      <c r="E4" s="19"/>
      <c r="F4" s="19"/>
    </row>
    <row r="5" spans="1:5" x14ac:dyDescent="0.25">
      <c r="A5" s="41" t="s">
        <v>289</v>
      </c>
      <c r="B5" s="42" t="s">
        <v>153</v>
      </c>
      <c r="C5" s="43" t="s">
        <v>290</v>
      </c>
      <c r="D5" s="41" t="s">
        <v>291</v>
      </c>
      <c r="E5" s="42" t="s">
        <v>215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292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293</v>
      </c>
      <c r="B4" s="19"/>
      <c r="C4" s="19"/>
      <c r="D4" s="19"/>
      <c r="E4" s="19"/>
      <c r="F4" s="19"/>
    </row>
    <row r="5" spans="1:6" x14ac:dyDescent="0.25">
      <c r="A5" s="11" t="s">
        <v>294</v>
      </c>
      <c r="B5" s="44">
        <f>'Monthly Cash Flow Y1'!M14</f>
        <v>62170</v>
      </c>
      <c r="C5" s="44">
        <f>B5+'5-Year Operating Stmt'!C14</f>
        <v>199962</v>
      </c>
      <c r="D5" s="44">
        <f>B5+'5-Year Operating Stmt'!C14+'5-Year Operating Stmt'!D14</f>
        <v>415091</v>
      </c>
      <c r="E5" s="44">
        <f>B5+'5-Year Operating Stmt'!C14+'5-Year Operating Stmt'!D14+'5-Year Operating Stmt'!E14</f>
        <v>693221</v>
      </c>
      <c r="F5" s="44">
        <f>B5+'5-Year Operating Stmt'!C14+'5-Year Operating Stmt'!D14+'5-Year Operating Stmt'!E14+'5-Year Operating Stmt'!F14</f>
        <v>979696</v>
      </c>
    </row>
    <row r="6" spans="1:6" x14ac:dyDescent="0.25">
      <c r="A6" s="11" t="s">
        <v>295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296</v>
      </c>
      <c r="B7" s="30">
        <v>5000</v>
      </c>
      <c r="C7" s="30">
        <v>5000</v>
      </c>
      <c r="D7" s="30">
        <v>5000</v>
      </c>
      <c r="E7" s="30">
        <v>5000</v>
      </c>
      <c r="F7" s="30">
        <v>5000</v>
      </c>
    </row>
    <row r="8" spans="1:6" x14ac:dyDescent="0.25">
      <c r="A8" s="11" t="s">
        <v>297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298</v>
      </c>
      <c r="B9" s="31">
        <f>SUM(B5:B8)</f>
        <v>67170</v>
      </c>
      <c r="C9" s="31">
        <f>SUM(C5:C8)</f>
        <v>204962</v>
      </c>
      <c r="D9" s="31">
        <f>SUM(D5:D8)</f>
        <v>420091</v>
      </c>
      <c r="E9" s="31">
        <f>SUM(E5:E8)</f>
        <v>698221</v>
      </c>
      <c r="F9" s="31">
        <f>SUM(F5:F8)</f>
        <v>984696</v>
      </c>
    </row>
    <row r="11" ht="24" customHeight="1" spans="1:6" x14ac:dyDescent="0.25">
      <c r="A11" s="19" t="s">
        <v>299</v>
      </c>
      <c r="B11" s="19"/>
      <c r="C11" s="19"/>
      <c r="D11" s="19"/>
      <c r="E11" s="19"/>
      <c r="F11" s="19"/>
    </row>
    <row r="12" spans="1:6" x14ac:dyDescent="0.25">
      <c r="A12" s="11" t="s">
        <v>300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301</v>
      </c>
      <c r="B13" s="30">
        <v>0</v>
      </c>
      <c r="C13" s="30">
        <v>0</v>
      </c>
      <c r="D13" s="30">
        <v>0</v>
      </c>
      <c r="E13" s="30">
        <v>0</v>
      </c>
      <c r="F13" s="30">
        <v>0</v>
      </c>
    </row>
    <row r="14" spans="1:6" x14ac:dyDescent="0.25">
      <c r="A14" s="10" t="s">
        <v>302</v>
      </c>
      <c r="B14" s="31" t="str">
        <f>SUM(B12:B13)</f>
        <v>0</v>
      </c>
      <c r="C14" s="31" t="str">
        <f>SUM(C12:C13)</f>
        <v>0</v>
      </c>
      <c r="D14" s="31" t="str">
        <f>SUM(D12:D13)</f>
        <v>0</v>
      </c>
      <c r="E14" s="31" t="str">
        <f>SUM(E12:E13)</f>
        <v>0</v>
      </c>
      <c r="F14" s="31" t="str">
        <f>SUM(F12:F13)</f>
        <v>0</v>
      </c>
    </row>
    <row r="16" ht="24" customHeight="1" spans="1:6" x14ac:dyDescent="0.25">
      <c r="A16" s="19" t="s">
        <v>303</v>
      </c>
      <c r="B16" s="19"/>
      <c r="C16" s="19"/>
      <c r="D16" s="19"/>
      <c r="E16" s="19"/>
      <c r="F16" s="19"/>
    </row>
    <row r="17" spans="1:6" x14ac:dyDescent="0.25">
      <c r="A17" s="10" t="s">
        <v>304</v>
      </c>
      <c r="B17" s="32">
        <f>B9-B14</f>
        <v>67170</v>
      </c>
      <c r="C17" s="32">
        <f>C9-C14</f>
        <v>204962</v>
      </c>
      <c r="D17" s="32">
        <f>D9-D14</f>
        <v>420091</v>
      </c>
      <c r="E17" s="32">
        <f>E9-E14</f>
        <v>698221</v>
      </c>
      <c r="F17" s="32">
        <f>F9-F14</f>
        <v>984696</v>
      </c>
    </row>
    <row r="19" spans="1:6" x14ac:dyDescent="0.25">
      <c r="A19" s="10" t="s">
        <v>305</v>
      </c>
      <c r="B19" s="45" t="str">
        <f>B9-B14-B17</f>
        <v>0</v>
      </c>
      <c r="C19" s="45" t="str">
        <f>C9-C14-C17</f>
        <v>0</v>
      </c>
      <c r="D19" s="45" t="str">
        <f>D9-D14-D17</f>
        <v>0</v>
      </c>
      <c r="E19" s="45" t="str">
        <f>E9-E14-E17</f>
        <v>0</v>
      </c>
      <c r="F19" s="45" t="str">
        <f>F9-F14-F17</f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306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307</v>
      </c>
      <c r="B4" s="19"/>
      <c r="C4" s="19"/>
      <c r="D4" s="19"/>
      <c r="E4" s="19"/>
      <c r="F4" s="19"/>
    </row>
    <row r="5" spans="1:6" x14ac:dyDescent="0.25">
      <c r="A5" s="11" t="s">
        <v>308</v>
      </c>
      <c r="B5" s="30">
        <v>184667</v>
      </c>
      <c r="C5" s="30">
        <v>339797</v>
      </c>
      <c r="D5" s="30">
        <v>426588</v>
      </c>
      <c r="E5" s="30">
        <v>498557</v>
      </c>
      <c r="F5" s="30">
        <v>513513</v>
      </c>
    </row>
    <row r="6" spans="1:6" x14ac:dyDescent="0.25">
      <c r="A6" s="11" t="s">
        <v>274</v>
      </c>
      <c r="B6" s="30">
        <v>118934</v>
      </c>
      <c r="C6" s="30">
        <v>147003</v>
      </c>
      <c r="D6" s="30">
        <v>151413</v>
      </c>
      <c r="E6" s="30">
        <v>155955</v>
      </c>
      <c r="F6" s="30">
        <v>160634</v>
      </c>
    </row>
    <row r="7" spans="1:6" x14ac:dyDescent="0.25">
      <c r="A7" s="11" t="s">
        <v>275</v>
      </c>
      <c r="B7" s="30">
        <v>40500</v>
      </c>
      <c r="C7" s="30">
        <v>55002</v>
      </c>
      <c r="D7" s="30">
        <v>60047</v>
      </c>
      <c r="E7" s="30">
        <v>64471</v>
      </c>
      <c r="F7" s="30">
        <v>66405</v>
      </c>
    </row>
    <row r="8" spans="1:6" x14ac:dyDescent="0.25">
      <c r="A8" s="10" t="s">
        <v>309</v>
      </c>
      <c r="B8" s="33">
        <f>B5-B6-B7</f>
        <v>25233</v>
      </c>
      <c r="C8" s="33">
        <f>C5-C6-C7</f>
        <v>137792</v>
      </c>
      <c r="D8" s="33">
        <f>D5-D6-D7</f>
        <v>215128</v>
      </c>
      <c r="E8" s="33">
        <f>E5-E6-E7</f>
        <v>278131</v>
      </c>
      <c r="F8" s="33">
        <f>F5-F6-F7</f>
        <v>286475</v>
      </c>
    </row>
    <row r="9" spans="1:6" x14ac:dyDescent="0.25">
      <c r="A9" s="11" t="s">
        <v>276</v>
      </c>
      <c r="B9" s="30">
        <v>0</v>
      </c>
      <c r="C9" s="30">
        <v>0</v>
      </c>
      <c r="D9" s="30">
        <v>0</v>
      </c>
      <c r="E9" s="30">
        <v>0</v>
      </c>
      <c r="F9" s="30">
        <v>0</v>
      </c>
    </row>
    <row r="10" spans="1:6" x14ac:dyDescent="0.25">
      <c r="A10" s="10" t="s">
        <v>310</v>
      </c>
      <c r="B10" s="46" t="s">
        <v>311</v>
      </c>
      <c r="C10" s="46" t="s">
        <v>311</v>
      </c>
      <c r="D10" s="46" t="s">
        <v>311</v>
      </c>
      <c r="E10" s="46" t="s">
        <v>311</v>
      </c>
      <c r="F10" s="46" t="s">
        <v>311</v>
      </c>
    </row>
    <row r="12" ht="24" customHeight="1" spans="1:6" x14ac:dyDescent="0.25">
      <c r="A12" s="19" t="s">
        <v>312</v>
      </c>
      <c r="B12" s="19"/>
      <c r="C12" s="19"/>
      <c r="D12" s="19"/>
      <c r="E12" s="19"/>
      <c r="F12" s="19"/>
    </row>
    <row r="13" spans="1:6" x14ac:dyDescent="0.25">
      <c r="A13" s="11" t="s">
        <v>313</v>
      </c>
      <c r="B13" s="30">
        <v>62170</v>
      </c>
      <c r="C13" s="30">
        <v>199962</v>
      </c>
      <c r="D13" s="30">
        <v>415091</v>
      </c>
      <c r="E13" s="30">
        <v>693221</v>
      </c>
      <c r="F13" s="30">
        <v>979696</v>
      </c>
    </row>
    <row r="14" spans="1:6" x14ac:dyDescent="0.25">
      <c r="A14" s="11" t="s">
        <v>314</v>
      </c>
      <c r="B14" s="47">
        <f>IF((B6+B7+B9)=0,0,(B13/(B6+B7+B9))*365)</f>
        <v>142</v>
      </c>
      <c r="C14" s="47">
        <f>IF((C6+C7+C9)=0,0,(C13/(C6+C7+C9))*365)</f>
        <v>361</v>
      </c>
      <c r="D14" s="47">
        <f>IF((D6+D7+D9)=0,0,(D13/(D6+D7+D9))*365)</f>
        <v>716</v>
      </c>
      <c r="E14" s="47">
        <f>IF((E6+E7+E9)=0,0,(E13/(E6+E7+E9))*365)</f>
        <v>1148</v>
      </c>
      <c r="F14" s="47">
        <f>IF((F6+F7+F9)=0,0,(F13/(F6+F7+F9))*365)</f>
        <v>1575</v>
      </c>
    </row>
    <row r="15" spans="1:6" x14ac:dyDescent="0.25">
      <c r="A15" s="11" t="s">
        <v>315</v>
      </c>
      <c r="B15" s="34">
        <f>IF((B6+B7+B9)=0,0,B13/((B6+B7+B9)/12))</f>
        <v>4.7</v>
      </c>
      <c r="C15" s="34">
        <f>IF((C6+C7+C9)=0,0,C13/((C6+C7+C9)/12))</f>
        <v>11.9</v>
      </c>
      <c r="D15" s="34">
        <f>IF((D6+D7+D9)=0,0,D13/((D6+D7+D9)/12))</f>
        <v>23.6</v>
      </c>
      <c r="E15" s="34">
        <f>IF((E6+E7+E9)=0,0,E13/((E6+E7+E9)/12))</f>
        <v>37.7</v>
      </c>
      <c r="F15" s="34">
        <f>IF((F6+F7+F9)=0,0,F13/((F6+F7+F9)/12))</f>
        <v>51.8</v>
      </c>
    </row>
    <row r="16" spans="1:6" x14ac:dyDescent="0.25">
      <c r="A16" s="11" t="s">
        <v>183</v>
      </c>
      <c r="B16" s="29">
        <v>0.48</v>
      </c>
      <c r="C16" s="29">
        <v>0.72</v>
      </c>
      <c r="D16" s="29">
        <v>0.88</v>
      </c>
      <c r="E16" s="29">
        <v>1</v>
      </c>
      <c r="F16" s="29">
        <v>1</v>
      </c>
    </row>
    <row r="18" ht="24" customHeight="1" spans="1:6" x14ac:dyDescent="0.25">
      <c r="A18" s="19" t="s">
        <v>316</v>
      </c>
      <c r="B18" s="19"/>
      <c r="C18" s="19"/>
      <c r="D18" s="19"/>
      <c r="E18" s="19"/>
      <c r="F18" s="19"/>
    </row>
    <row r="19" spans="1:6" x14ac:dyDescent="0.25">
      <c r="A19" s="11" t="s">
        <v>221</v>
      </c>
      <c r="B19" s="30">
        <v>15389</v>
      </c>
      <c r="C19" s="30">
        <v>18878</v>
      </c>
      <c r="D19" s="30">
        <v>19390</v>
      </c>
      <c r="E19" s="30">
        <v>19942</v>
      </c>
      <c r="F19" s="30">
        <v>20541</v>
      </c>
    </row>
    <row r="20" spans="1:6" x14ac:dyDescent="0.25">
      <c r="A20" s="11" t="s">
        <v>317</v>
      </c>
      <c r="B20" s="30">
        <v>118934</v>
      </c>
      <c r="C20" s="30">
        <v>147003</v>
      </c>
      <c r="D20" s="30">
        <v>151413</v>
      </c>
      <c r="E20" s="30">
        <v>155955</v>
      </c>
      <c r="F20" s="30">
        <v>160634</v>
      </c>
    </row>
    <row r="21" spans="1:6" x14ac:dyDescent="0.25">
      <c r="A21" s="11" t="s">
        <v>318</v>
      </c>
      <c r="B21" s="30">
        <v>3375</v>
      </c>
      <c r="C21" s="30">
        <v>3056</v>
      </c>
      <c r="D21" s="30">
        <v>2729</v>
      </c>
      <c r="E21" s="30">
        <v>2579</v>
      </c>
      <c r="F21" s="30">
        <v>2656</v>
      </c>
    </row>
    <row r="22" spans="1:6" x14ac:dyDescent="0.25">
      <c r="A22" s="10" t="s">
        <v>319</v>
      </c>
      <c r="B22" s="48">
        <v>10</v>
      </c>
      <c r="C22" s="48">
        <v>10</v>
      </c>
      <c r="D22" s="48">
        <v>10</v>
      </c>
      <c r="E22" s="48">
        <v>9</v>
      </c>
      <c r="F22" s="48">
        <v>9</v>
      </c>
    </row>
    <row r="24" ht="24" customHeight="1" spans="1:6" x14ac:dyDescent="0.25">
      <c r="A24" s="19" t="s">
        <v>320</v>
      </c>
      <c r="B24" s="19"/>
      <c r="C24" s="19"/>
      <c r="D24" s="19"/>
      <c r="E24" s="19"/>
      <c r="F24" s="19"/>
    </row>
    <row r="25" spans="1:6" x14ac:dyDescent="0.25">
      <c r="A25" s="11" t="s">
        <v>321</v>
      </c>
      <c r="B25" s="49" t="s">
        <v>311</v>
      </c>
      <c r="C25" s="49" t="s">
        <v>311</v>
      </c>
      <c r="D25" s="49" t="s">
        <v>311</v>
      </c>
      <c r="E25" s="49" t="s">
        <v>311</v>
      </c>
      <c r="F25" s="49" t="s">
        <v>311</v>
      </c>
    </row>
    <row r="26" spans="1:6" x14ac:dyDescent="0.25">
      <c r="A26" s="11" t="s">
        <v>322</v>
      </c>
      <c r="B26" s="50" t="s">
        <v>323</v>
      </c>
      <c r="C26" s="50" t="s">
        <v>323</v>
      </c>
      <c r="D26" s="50" t="s">
        <v>323</v>
      </c>
      <c r="E26" s="50" t="s">
        <v>323</v>
      </c>
      <c r="F26" s="50" t="s">
        <v>323</v>
      </c>
    </row>
    <row r="27" spans="1:6" x14ac:dyDescent="0.25">
      <c r="A27" s="11" t="s">
        <v>324</v>
      </c>
      <c r="B27" s="51" t="s">
        <v>325</v>
      </c>
      <c r="C27" s="50" t="s">
        <v>323</v>
      </c>
      <c r="D27" s="50" t="s">
        <v>323</v>
      </c>
      <c r="E27" s="50" t="s">
        <v>323</v>
      </c>
      <c r="F27" s="50" t="s">
        <v>323</v>
      </c>
    </row>
    <row r="28" spans="1:6" x14ac:dyDescent="0.25">
      <c r="A28" s="11" t="s">
        <v>326</v>
      </c>
      <c r="B28" s="50" t="s">
        <v>323</v>
      </c>
      <c r="C28" s="50" t="s">
        <v>323</v>
      </c>
      <c r="D28" s="50" t="s">
        <v>323</v>
      </c>
      <c r="E28" s="50" t="s">
        <v>323</v>
      </c>
      <c r="F28" s="50" t="s">
        <v>323</v>
      </c>
    </row>
    <row r="29" spans="1:6" x14ac:dyDescent="0.25">
      <c r="A29" s="11" t="s">
        <v>327</v>
      </c>
      <c r="B29" s="50" t="s">
        <v>323</v>
      </c>
      <c r="C29" s="50" t="s">
        <v>323</v>
      </c>
      <c r="D29" s="50" t="s">
        <v>323</v>
      </c>
      <c r="E29" s="50" t="s">
        <v>323</v>
      </c>
      <c r="F29" s="50" t="s">
        <v>323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8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2" t="s">
        <v>328</v>
      </c>
      <c r="B3" s="52" t="s">
        <v>112</v>
      </c>
      <c r="D3" s="52" t="s">
        <v>329</v>
      </c>
      <c r="E3" s="52" t="s">
        <v>112</v>
      </c>
    </row>
    <row r="4" spans="1:5" x14ac:dyDescent="0.25">
      <c r="A4" s="11" t="s">
        <v>330</v>
      </c>
      <c r="B4" s="30">
        <v>20000</v>
      </c>
      <c r="D4" s="11" t="s">
        <v>331</v>
      </c>
      <c r="E4" s="30">
        <v>15000</v>
      </c>
    </row>
    <row r="5" spans="4:5" x14ac:dyDescent="0.25">
      <c r="D5" s="11" t="s">
        <v>332</v>
      </c>
      <c r="E5" s="30">
        <v>5000</v>
      </c>
    </row>
    <row r="7" spans="1:5" x14ac:dyDescent="0.25">
      <c r="A7" s="10" t="s">
        <v>333</v>
      </c>
      <c r="B7" s="32">
        <v>20000</v>
      </c>
      <c r="D7" s="10" t="s">
        <v>334</v>
      </c>
      <c r="E7" s="32">
        <v>20000</v>
      </c>
    </row>
    <row r="8" spans="1:2" x14ac:dyDescent="0.25">
      <c r="A8" s="10" t="s">
        <v>335</v>
      </c>
      <c r="B8" s="45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336</v>
      </c>
      <c r="B1" s="15"/>
      <c r="C1" s="15"/>
      <c r="D1" s="15"/>
      <c r="E1" s="15"/>
      <c r="F1" s="15"/>
    </row>
    <row r="3" ht="24" customHeight="1" spans="1:6" x14ac:dyDescent="0.25">
      <c r="A3" s="19" t="s">
        <v>337</v>
      </c>
      <c r="B3" s="19"/>
      <c r="C3" s="19"/>
      <c r="D3" s="19"/>
      <c r="E3" s="19"/>
      <c r="F3" s="19"/>
    </row>
    <row r="4" spans="1:1" x14ac:dyDescent="0.25">
      <c r="A4" s="17" t="s">
        <v>338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308</v>
      </c>
      <c r="B6" s="30">
        <v>184667</v>
      </c>
      <c r="C6" s="30">
        <v>339797</v>
      </c>
      <c r="D6" s="30">
        <v>426588</v>
      </c>
      <c r="E6" s="30">
        <v>498557</v>
      </c>
      <c r="F6" s="30">
        <v>513513</v>
      </c>
    </row>
    <row r="7" spans="1:6" x14ac:dyDescent="0.25">
      <c r="A7" s="11" t="s">
        <v>253</v>
      </c>
      <c r="B7" s="30">
        <v>159434</v>
      </c>
      <c r="C7" s="30">
        <v>202005</v>
      </c>
      <c r="D7" s="30">
        <v>211460</v>
      </c>
      <c r="E7" s="30">
        <v>220426</v>
      </c>
      <c r="F7" s="30">
        <v>227039</v>
      </c>
    </row>
    <row r="8" spans="1:6" x14ac:dyDescent="0.25">
      <c r="A8" s="10" t="s">
        <v>255</v>
      </c>
      <c r="B8" s="32">
        <v>25233</v>
      </c>
      <c r="C8" s="32">
        <v>137792</v>
      </c>
      <c r="D8" s="32">
        <v>215128</v>
      </c>
      <c r="E8" s="32">
        <v>278131</v>
      </c>
      <c r="F8" s="32">
        <v>286475</v>
      </c>
    </row>
    <row r="9" spans="1:6" x14ac:dyDescent="0.25">
      <c r="A9" s="11" t="s">
        <v>256</v>
      </c>
      <c r="B9" s="29">
        <v>0.13663808664259927</v>
      </c>
      <c r="C9" s="29">
        <v>0.40551379205819943</v>
      </c>
      <c r="D9" s="29">
        <v>0.5042999253916937</v>
      </c>
      <c r="E9" s="29">
        <v>0.5578717808219178</v>
      </c>
      <c r="F9" s="29">
        <v>0.5578717808219178</v>
      </c>
    </row>
    <row r="10" spans="1:6" x14ac:dyDescent="0.25">
      <c r="A10" s="11" t="s">
        <v>310</v>
      </c>
      <c r="B10" s="53" t="s">
        <v>311</v>
      </c>
      <c r="C10" s="53" t="s">
        <v>311</v>
      </c>
      <c r="D10" s="53" t="s">
        <v>311</v>
      </c>
      <c r="E10" s="53" t="s">
        <v>311</v>
      </c>
      <c r="F10" s="53" t="s">
        <v>311</v>
      </c>
    </row>
    <row r="11" spans="1:6" x14ac:dyDescent="0.25">
      <c r="A11" s="11" t="s">
        <v>319</v>
      </c>
      <c r="B11" s="47">
        <v>10</v>
      </c>
      <c r="C11" s="47">
        <v>10</v>
      </c>
      <c r="D11" s="47">
        <v>10</v>
      </c>
      <c r="E11" s="47">
        <v>9</v>
      </c>
      <c r="F11" s="47">
        <v>9</v>
      </c>
    </row>
    <row r="13" ht="24" customHeight="1" spans="1:6" x14ac:dyDescent="0.25">
      <c r="A13" s="19" t="s">
        <v>339</v>
      </c>
      <c r="B13" s="19"/>
      <c r="C13" s="19"/>
      <c r="D13" s="19"/>
      <c r="E13" s="19"/>
      <c r="F13" s="19"/>
    </row>
    <row r="14" spans="1:1" x14ac:dyDescent="0.25">
      <c r="A14" s="17" t="s">
        <v>340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308</v>
      </c>
      <c r="B16" s="30">
        <v>147733</v>
      </c>
      <c r="C16" s="30">
        <v>271838</v>
      </c>
      <c r="D16" s="30">
        <v>341270</v>
      </c>
      <c r="E16" s="30">
        <v>398845</v>
      </c>
      <c r="F16" s="30">
        <v>410811</v>
      </c>
    </row>
    <row r="17" spans="1:6" x14ac:dyDescent="0.25">
      <c r="A17" s="11" t="s">
        <v>253</v>
      </c>
      <c r="B17" s="30">
        <v>159434</v>
      </c>
      <c r="C17" s="30">
        <v>202005</v>
      </c>
      <c r="D17" s="30">
        <v>211460</v>
      </c>
      <c r="E17" s="30">
        <v>220426</v>
      </c>
      <c r="F17" s="30">
        <v>227039</v>
      </c>
    </row>
    <row r="18" spans="1:6" x14ac:dyDescent="0.25">
      <c r="A18" s="10" t="s">
        <v>255</v>
      </c>
      <c r="B18" s="32">
        <v>-11701</v>
      </c>
      <c r="C18" s="32">
        <v>69833</v>
      </c>
      <c r="D18" s="32">
        <v>129811</v>
      </c>
      <c r="E18" s="32">
        <v>178419</v>
      </c>
      <c r="F18" s="32">
        <v>183772</v>
      </c>
    </row>
    <row r="19" spans="1:6" x14ac:dyDescent="0.25">
      <c r="A19" s="11" t="s">
        <v>256</v>
      </c>
      <c r="B19" s="29">
        <v>-0.07920239169675096</v>
      </c>
      <c r="C19" s="29">
        <v>0.2568922400727494</v>
      </c>
      <c r="D19" s="29">
        <v>0.38037490673961705</v>
      </c>
      <c r="E19" s="29">
        <v>0.4473397260273973</v>
      </c>
      <c r="F19" s="29">
        <v>0.44733972602739736</v>
      </c>
    </row>
    <row r="20" spans="1:6" x14ac:dyDescent="0.25">
      <c r="A20" s="11" t="s">
        <v>310</v>
      </c>
      <c r="B20" s="53" t="s">
        <v>311</v>
      </c>
      <c r="C20" s="53" t="s">
        <v>311</v>
      </c>
      <c r="D20" s="53" t="s">
        <v>311</v>
      </c>
      <c r="E20" s="53" t="s">
        <v>311</v>
      </c>
      <c r="F20" s="53" t="s">
        <v>311</v>
      </c>
    </row>
    <row r="21" spans="1:6" x14ac:dyDescent="0.25">
      <c r="A21" s="11" t="s">
        <v>319</v>
      </c>
      <c r="B21" s="47">
        <v>12</v>
      </c>
      <c r="C21" s="47">
        <v>10</v>
      </c>
      <c r="D21" s="47">
        <v>10</v>
      </c>
      <c r="E21" s="47">
        <v>10</v>
      </c>
      <c r="F21" s="47">
        <v>10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341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128</v>
      </c>
      <c r="B5" s="11" t="s">
        <v>34</v>
      </c>
    </row>
    <row r="6" spans="1:2" x14ac:dyDescent="0.25">
      <c r="A6" s="11" t="s">
        <v>342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343</v>
      </c>
      <c r="B9" s="11" t="s">
        <v>46</v>
      </c>
    </row>
    <row r="11" ht="24" customHeight="1" spans="1:8" x14ac:dyDescent="0.25">
      <c r="A11" s="19" t="s">
        <v>344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4" t="s">
        <v>102</v>
      </c>
      <c r="E12" s="54" t="s">
        <v>103</v>
      </c>
      <c r="F12" s="54" t="s">
        <v>104</v>
      </c>
      <c r="G12" s="54" t="s">
        <v>105</v>
      </c>
      <c r="H12" s="54" t="s">
        <v>106</v>
      </c>
    </row>
    <row r="13" spans="1:8" x14ac:dyDescent="0.25">
      <c r="A13" s="11" t="s">
        <v>308</v>
      </c>
      <c r="D13" s="30">
        <v>184667</v>
      </c>
      <c r="E13" s="30">
        <v>339797</v>
      </c>
      <c r="F13" s="30">
        <v>426588</v>
      </c>
      <c r="G13" s="30">
        <v>498557</v>
      </c>
      <c r="H13" s="30">
        <v>513513</v>
      </c>
    </row>
    <row r="14" spans="1:8" x14ac:dyDescent="0.25">
      <c r="A14" s="11" t="s">
        <v>253</v>
      </c>
      <c r="D14" s="30">
        <v>159434</v>
      </c>
      <c r="E14" s="30">
        <v>202005</v>
      </c>
      <c r="F14" s="30">
        <v>211460</v>
      </c>
      <c r="G14" s="30">
        <v>220426</v>
      </c>
      <c r="H14" s="30">
        <v>227039</v>
      </c>
    </row>
    <row r="15" spans="1:8" x14ac:dyDescent="0.25">
      <c r="A15" s="11" t="s">
        <v>255</v>
      </c>
      <c r="D15" s="30">
        <v>25233</v>
      </c>
      <c r="E15" s="30">
        <v>137792</v>
      </c>
      <c r="F15" s="30">
        <v>215128</v>
      </c>
      <c r="G15" s="30">
        <v>278131</v>
      </c>
      <c r="H15" s="30">
        <v>286475</v>
      </c>
    </row>
    <row r="16" spans="1:8" x14ac:dyDescent="0.25">
      <c r="A16" s="11" t="s">
        <v>345</v>
      </c>
      <c r="D16" s="30">
        <v>62170</v>
      </c>
      <c r="E16" s="30">
        <v>199962</v>
      </c>
      <c r="F16" s="30">
        <v>415091</v>
      </c>
      <c r="G16" s="30">
        <v>693221</v>
      </c>
      <c r="H16" s="30">
        <v>979696</v>
      </c>
    </row>
    <row r="17" spans="1:8" x14ac:dyDescent="0.25">
      <c r="A17" s="11" t="s">
        <v>346</v>
      </c>
      <c r="D17" s="30">
        <v>0</v>
      </c>
      <c r="E17" s="30">
        <v>0</v>
      </c>
      <c r="F17" s="30">
        <v>0</v>
      </c>
      <c r="G17" s="30">
        <v>0</v>
      </c>
      <c r="H17" s="30">
        <v>0</v>
      </c>
    </row>
    <row r="19" ht="24" customHeight="1" spans="1:8" x14ac:dyDescent="0.25">
      <c r="A19" s="19" t="s">
        <v>347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4" t="s">
        <v>102</v>
      </c>
      <c r="E20" s="54" t="s">
        <v>103</v>
      </c>
      <c r="F20" s="54" t="s">
        <v>104</v>
      </c>
      <c r="G20" s="54" t="s">
        <v>105</v>
      </c>
      <c r="H20" s="54" t="s">
        <v>106</v>
      </c>
    </row>
    <row r="21" spans="1:8" x14ac:dyDescent="0.25">
      <c r="A21" s="11" t="s">
        <v>348</v>
      </c>
      <c r="D21" s="29">
        <v>0.13663808664259927</v>
      </c>
      <c r="E21" s="29">
        <v>0.40551379205819943</v>
      </c>
      <c r="F21" s="29">
        <v>0.5042999253916937</v>
      </c>
      <c r="G21" s="29">
        <v>0.5578717808219178</v>
      </c>
      <c r="H21" s="29">
        <v>0.5578717808219178</v>
      </c>
    </row>
    <row r="22" spans="1:8" x14ac:dyDescent="0.25">
      <c r="A22" s="11" t="s">
        <v>310</v>
      </c>
      <c r="D22" s="53" t="s">
        <v>311</v>
      </c>
      <c r="E22" s="53" t="s">
        <v>311</v>
      </c>
      <c r="F22" s="53" t="s">
        <v>311</v>
      </c>
      <c r="G22" s="53" t="s">
        <v>311</v>
      </c>
      <c r="H22" s="53" t="s">
        <v>311</v>
      </c>
    </row>
    <row r="23" spans="1:8" x14ac:dyDescent="0.25">
      <c r="A23" s="11" t="s">
        <v>183</v>
      </c>
      <c r="D23" s="29">
        <v>0.48</v>
      </c>
      <c r="E23" s="29">
        <v>0.72</v>
      </c>
      <c r="F23" s="29">
        <v>0.88</v>
      </c>
      <c r="G23" s="29">
        <v>1</v>
      </c>
      <c r="H23" s="29">
        <v>1</v>
      </c>
    </row>
    <row r="24" spans="1:8" x14ac:dyDescent="0.25">
      <c r="A24" s="11" t="s">
        <v>349</v>
      </c>
      <c r="D24" s="47">
        <v>12</v>
      </c>
      <c r="E24" s="47">
        <v>18</v>
      </c>
      <c r="F24" s="47">
        <v>22</v>
      </c>
      <c r="G24" s="47">
        <v>25</v>
      </c>
      <c r="H24" s="47">
        <v>25</v>
      </c>
    </row>
    <row r="26" spans="1:8" x14ac:dyDescent="0.25">
      <c r="A26" s="14" t="s">
        <v>350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351</v>
      </c>
      <c r="C2" s="1"/>
      <c r="D2" s="1"/>
      <c r="E2" s="1"/>
      <c r="F2" s="1"/>
      <c r="G2" s="1"/>
      <c r="H2" s="1"/>
    </row>
    <row r="3" spans="2:8" x14ac:dyDescent="0.25">
      <c r="B3" s="55" t="s">
        <v>352</v>
      </c>
      <c r="C3" s="55"/>
      <c r="D3" s="55"/>
      <c r="E3" s="55"/>
      <c r="F3" s="55"/>
      <c r="G3" s="55"/>
      <c r="H3" s="55"/>
    </row>
    <row r="4" spans="2:6" x14ac:dyDescent="0.25">
      <c r="B4" s="56" t="s">
        <v>353</v>
      </c>
      <c r="D4" s="57" t="s">
        <v>354</v>
      </c>
      <c r="F4" s="58" t="s">
        <v>355</v>
      </c>
    </row>
    <row r="6" ht="24" customHeight="1" spans="2:8" x14ac:dyDescent="0.25">
      <c r="B6" s="19" t="s">
        <v>356</v>
      </c>
      <c r="C6" s="59" t="s">
        <v>357</v>
      </c>
      <c r="D6" s="59" t="s">
        <v>358</v>
      </c>
      <c r="E6" s="59" t="s">
        <v>359</v>
      </c>
      <c r="F6" s="59" t="s">
        <v>360</v>
      </c>
      <c r="G6" s="59" t="s">
        <v>361</v>
      </c>
      <c r="H6" s="59" t="s">
        <v>362</v>
      </c>
    </row>
    <row r="7" spans="2:7" x14ac:dyDescent="0.25">
      <c r="B7" s="11" t="s">
        <v>349</v>
      </c>
      <c r="C7" s="60">
        <v>12</v>
      </c>
      <c r="D7" s="60">
        <v>18</v>
      </c>
      <c r="E7" s="60">
        <v>22</v>
      </c>
      <c r="F7" s="60">
        <v>25</v>
      </c>
      <c r="G7" s="60">
        <v>25</v>
      </c>
    </row>
    <row r="8" spans="2:7" x14ac:dyDescent="0.25">
      <c r="B8" s="11" t="s">
        <v>308</v>
      </c>
      <c r="C8" s="61">
        <v>184666.6666666667</v>
      </c>
      <c r="D8" s="61">
        <v>339797</v>
      </c>
      <c r="E8" s="61">
        <v>426587.88999999996</v>
      </c>
      <c r="F8" s="61">
        <v>498556.69375000003</v>
      </c>
      <c r="G8" s="61">
        <v>513513.3945625001</v>
      </c>
    </row>
    <row r="9" spans="2:7" x14ac:dyDescent="0.25">
      <c r="B9" s="11" t="s">
        <v>274</v>
      </c>
      <c r="C9" s="61">
        <v>118934.16666666667</v>
      </c>
      <c r="D9" s="61">
        <v>147002.63</v>
      </c>
      <c r="E9" s="61">
        <v>151412.7089</v>
      </c>
      <c r="F9" s="61">
        <v>155955.090167</v>
      </c>
      <c r="G9" s="61">
        <v>160633.74287201</v>
      </c>
    </row>
    <row r="10" spans="2:7" x14ac:dyDescent="0.25">
      <c r="B10" s="11" t="s">
        <v>275</v>
      </c>
      <c r="C10" s="61">
        <v>40500</v>
      </c>
      <c r="D10" s="61">
        <v>55002</v>
      </c>
      <c r="E10" s="61">
        <v>60046.93999999999</v>
      </c>
      <c r="F10" s="61">
        <v>64470.893</v>
      </c>
      <c r="G10" s="61">
        <v>66405.01979</v>
      </c>
    </row>
    <row r="11" spans="2:7" x14ac:dyDescent="0.25">
      <c r="B11" s="11" t="s">
        <v>276</v>
      </c>
      <c r="C11" s="61">
        <v>0</v>
      </c>
      <c r="D11" s="61">
        <v>0</v>
      </c>
      <c r="E11" s="61">
        <v>0</v>
      </c>
      <c r="F11" s="61">
        <v>0</v>
      </c>
      <c r="G11" s="61">
        <v>0</v>
      </c>
    </row>
    <row r="12" spans="2:7" x14ac:dyDescent="0.25">
      <c r="B12" s="10" t="s">
        <v>255</v>
      </c>
      <c r="C12" s="62">
        <v>25232.5</v>
      </c>
      <c r="D12" s="62">
        <v>137792.37</v>
      </c>
      <c r="E12" s="62">
        <v>215128.24109999998</v>
      </c>
      <c r="F12" s="62">
        <v>278130.71058300004</v>
      </c>
      <c r="G12" s="62">
        <v>286474.6319004901</v>
      </c>
    </row>
    <row r="13" spans="2:7" x14ac:dyDescent="0.25">
      <c r="B13" s="10" t="s">
        <v>313</v>
      </c>
      <c r="C13" s="62">
        <v>62170</v>
      </c>
      <c r="D13" s="62">
        <v>199962.37</v>
      </c>
      <c r="E13" s="62">
        <v>415090.6111</v>
      </c>
      <c r="F13" s="62">
        <v>693221.3216830001</v>
      </c>
      <c r="G13" s="62">
        <v>979695.9535834901</v>
      </c>
    </row>
    <row r="14" spans="2:7" x14ac:dyDescent="0.25">
      <c r="B14" s="10" t="s">
        <v>348</v>
      </c>
      <c r="C14" s="63">
        <v>0.13663808664259927</v>
      </c>
      <c r="D14" s="63">
        <v>0.40551379205819943</v>
      </c>
      <c r="E14" s="63">
        <v>0.5042999253916937</v>
      </c>
      <c r="F14" s="63">
        <v>0.5578717808219178</v>
      </c>
      <c r="G14" s="63">
        <v>0.5578717808219178</v>
      </c>
    </row>
    <row r="15" spans="2:8" x14ac:dyDescent="0.25">
      <c r="B15" s="10" t="s">
        <v>221</v>
      </c>
      <c r="C15" s="64">
        <v>15388.88888888889</v>
      </c>
      <c r="D15" s="64">
        <v>18877.61111111111</v>
      </c>
      <c r="E15" s="64">
        <v>19390.358636363635</v>
      </c>
      <c r="F15" s="64">
        <v>19942.267750000003</v>
      </c>
      <c r="G15" s="64">
        <v>20540.535782500006</v>
      </c>
      <c r="H15" s="65" t="s">
        <v>363</v>
      </c>
    </row>
    <row r="16" spans="2:8" x14ac:dyDescent="0.25">
      <c r="B16" s="10" t="s">
        <v>364</v>
      </c>
      <c r="C16" s="66">
        <v>0.644047833935018</v>
      </c>
      <c r="D16" s="63">
        <v>0.4326189754471052</v>
      </c>
      <c r="E16" s="63">
        <v>0.3549390698831137</v>
      </c>
      <c r="F16" s="63">
        <v>0.3128131506849315</v>
      </c>
      <c r="G16" s="63">
        <v>0.3128131506849315</v>
      </c>
      <c r="H16" s="65" t="s">
        <v>365</v>
      </c>
    </row>
    <row r="17" spans="2:8" x14ac:dyDescent="0.25">
      <c r="B17" s="10" t="s">
        <v>366</v>
      </c>
      <c r="C17" s="66">
        <v>0.19494584837545123</v>
      </c>
      <c r="D17" s="63">
        <v>0.10912397696271597</v>
      </c>
      <c r="E17" s="63">
        <v>0.0895299676697339</v>
      </c>
      <c r="F17" s="63">
        <v>0.0789041095890411</v>
      </c>
      <c r="G17" s="63">
        <v>0.0789041095890411</v>
      </c>
      <c r="H17" s="65" t="s">
        <v>367</v>
      </c>
    </row>
    <row r="18" spans="2:8" x14ac:dyDescent="0.25">
      <c r="B18" s="10" t="s">
        <v>368</v>
      </c>
      <c r="C18" s="63">
        <v>0.13663808664259935</v>
      </c>
      <c r="D18" s="63">
        <v>0.40551379205819943</v>
      </c>
      <c r="E18" s="63">
        <v>0.5042999253916934</v>
      </c>
      <c r="F18" s="63">
        <v>0.5578717808219178</v>
      </c>
      <c r="G18" s="63">
        <v>0.5578717808219178</v>
      </c>
      <c r="H18" s="65" t="s">
        <v>369</v>
      </c>
    </row>
    <row r="19" spans="2:8" x14ac:dyDescent="0.25">
      <c r="B19" s="10" t="s">
        <v>370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371</v>
      </c>
    </row>
    <row r="20" spans="2:8" x14ac:dyDescent="0.25">
      <c r="B20" s="10" t="s">
        <v>310</v>
      </c>
      <c r="C20" s="68" t="s">
        <v>311</v>
      </c>
      <c r="D20" s="68" t="s">
        <v>311</v>
      </c>
      <c r="E20" s="68" t="s">
        <v>311</v>
      </c>
      <c r="F20" s="68" t="s">
        <v>311</v>
      </c>
      <c r="G20" s="68" t="s">
        <v>311</v>
      </c>
      <c r="H20" s="65" t="s">
        <v>311</v>
      </c>
    </row>
    <row r="21" spans="2:8" x14ac:dyDescent="0.25">
      <c r="B21" s="10" t="s">
        <v>372</v>
      </c>
      <c r="C21" s="39" t="str">
        <f>IF('5-Year Operating Stmt'!B16&gt;=0,"✓ Break-even","")</f>
        <v>✓ Break-even</v>
      </c>
      <c r="D21" s="69" t="str">
        <f>IF(AND('5-Year Operating Stmt'!C16&gt;=0,'5-Year Operating Stmt'!B16&lt;0),"✓ Break-even","")</f>
        <v>0</v>
      </c>
      <c r="E21" s="69" t="str">
        <f>IF(AND('5-Year Operating Stmt'!D16&gt;=0,'5-Year Operating Stmt'!C16&lt;0),"✓ Break-even","")</f>
        <v>0</v>
      </c>
      <c r="F21" s="69" t="str">
        <f>IF(AND('5-Year Operating Stmt'!E16&gt;=0,'5-Year Operating Stmt'!D16&lt;0),"✓ Break-even","")</f>
        <v>0</v>
      </c>
      <c r="G21" s="69" t="str">
        <f>IF(AND('5-Year Operating Stmt'!F16&gt;=0,'5-Year Operating Stmt'!E16&lt;0),"✓ Break-even","")</f>
        <v>0</v>
      </c>
      <c r="H21" s="65" t="s">
        <v>357</v>
      </c>
    </row>
    <row r="22" spans="2:8" x14ac:dyDescent="0.25">
      <c r="B22" s="10" t="s">
        <v>373</v>
      </c>
      <c r="C22" s="70">
        <v>5</v>
      </c>
      <c r="D22" s="71">
        <v>12</v>
      </c>
      <c r="E22" s="67">
        <v>24</v>
      </c>
      <c r="F22" s="67">
        <v>38</v>
      </c>
      <c r="G22" s="67">
        <v>52</v>
      </c>
      <c r="H22" s="65" t="s">
        <v>374</v>
      </c>
    </row>
    <row r="23" spans="2:8" x14ac:dyDescent="0.25">
      <c r="B23" s="10" t="s">
        <v>314</v>
      </c>
      <c r="C23" s="67">
        <v>142</v>
      </c>
      <c r="D23" s="67">
        <v>361</v>
      </c>
      <c r="E23" s="67">
        <v>716</v>
      </c>
      <c r="F23" s="67">
        <v>1148</v>
      </c>
      <c r="G23" s="67">
        <v>1575</v>
      </c>
      <c r="H23" s="65" t="s">
        <v>375</v>
      </c>
    </row>
    <row r="25" ht="24" customHeight="1" spans="2:8" x14ac:dyDescent="0.25">
      <c r="B25" s="19" t="s">
        <v>376</v>
      </c>
      <c r="C25" s="19" t="s">
        <v>377</v>
      </c>
      <c r="D25" s="19" t="s">
        <v>378</v>
      </c>
      <c r="E25" s="19"/>
      <c r="F25" s="19" t="s">
        <v>379</v>
      </c>
      <c r="G25" s="19"/>
      <c r="H25" s="19"/>
    </row>
    <row r="26" ht="45" customHeight="1" spans="2:8" x14ac:dyDescent="0.25">
      <c r="B26" s="41" t="s">
        <v>380</v>
      </c>
      <c r="C26" s="39" t="s">
        <v>381</v>
      </c>
      <c r="D26" s="72" t="s">
        <v>382</v>
      </c>
      <c r="E26" s="72"/>
      <c r="F26" s="73" t="s">
        <v>383</v>
      </c>
      <c r="G26" s="73"/>
      <c r="H26" s="73"/>
    </row>
    <row r="27" ht="45" customHeight="1" spans="2:8" x14ac:dyDescent="0.25">
      <c r="B27" s="41" t="s">
        <v>384</v>
      </c>
      <c r="C27" s="39" t="s">
        <v>381</v>
      </c>
      <c r="D27" s="72" t="s">
        <v>385</v>
      </c>
      <c r="E27" s="72"/>
      <c r="F27" s="73" t="s">
        <v>386</v>
      </c>
      <c r="G27" s="73"/>
      <c r="H27" s="73"/>
    </row>
    <row r="28" ht="45" customHeight="1" spans="2:8" x14ac:dyDescent="0.25">
      <c r="B28" s="41" t="s">
        <v>387</v>
      </c>
      <c r="C28" s="39" t="s">
        <v>381</v>
      </c>
      <c r="D28" s="72" t="s">
        <v>388</v>
      </c>
      <c r="E28" s="72"/>
      <c r="F28" s="73" t="s">
        <v>389</v>
      </c>
      <c r="G28" s="73"/>
      <c r="H28" s="73"/>
    </row>
    <row r="29" ht="45" customHeight="1" spans="2:8" x14ac:dyDescent="0.25">
      <c r="B29" s="41" t="s">
        <v>390</v>
      </c>
      <c r="C29" s="39" t="s">
        <v>381</v>
      </c>
      <c r="D29" s="72" t="s">
        <v>391</v>
      </c>
      <c r="E29" s="72"/>
      <c r="F29" s="73" t="s">
        <v>392</v>
      </c>
      <c r="G29" s="73"/>
      <c r="H29" s="73"/>
    </row>
    <row r="30" ht="45" customHeight="1" spans="2:8" x14ac:dyDescent="0.25">
      <c r="B30" s="41" t="s">
        <v>393</v>
      </c>
      <c r="C30" s="39" t="s">
        <v>381</v>
      </c>
      <c r="D30" s="72" t="s">
        <v>394</v>
      </c>
      <c r="E30" s="72"/>
      <c r="F30" s="73" t="s">
        <v>395</v>
      </c>
      <c r="G30" s="73"/>
      <c r="H30" s="73"/>
    </row>
    <row r="31" ht="45" customHeight="1" spans="2:8" x14ac:dyDescent="0.25">
      <c r="B31" s="41" t="s">
        <v>396</v>
      </c>
      <c r="C31" s="39" t="s">
        <v>381</v>
      </c>
      <c r="D31" s="72" t="s">
        <v>397</v>
      </c>
      <c r="E31" s="72"/>
      <c r="F31" s="73" t="s">
        <v>398</v>
      </c>
      <c r="G31" s="73"/>
      <c r="H31" s="73"/>
    </row>
    <row r="33" spans="2:6" x14ac:dyDescent="0.25">
      <c r="B33" s="41" t="s">
        <v>399</v>
      </c>
      <c r="C33" s="10" t="s">
        <v>400</v>
      </c>
      <c r="D33" s="10"/>
      <c r="E33" s="10"/>
      <c r="F33" s="10"/>
    </row>
    <row r="35" spans="2:8" x14ac:dyDescent="0.25">
      <c r="B35" s="74" t="s">
        <v>401</v>
      </c>
      <c r="C35" s="74"/>
      <c r="D35" s="74"/>
      <c r="E35" s="74"/>
      <c r="F35" s="74"/>
      <c r="G35" s="74"/>
      <c r="H35" s="74"/>
    </row>
  </sheetData>
  <mergeCells count="18">
    <mergeCell ref="B2:H2"/>
    <mergeCell ref="B3:H3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2026-03-27T03:13:38Z</dcterms:created>
  <dcterms:modified xsi:type="dcterms:W3CDTF">2026-03-27T03:13:38Z</dcterms:modified>
</cp:coreProperties>
</file>