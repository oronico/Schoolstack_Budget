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<sst xmlns="http://schemas.openxmlformats.org/spreadsheetml/2006/main" count="796" uniqueCount="447">
  <si>
    <t>How to Use This Workbook</t>
  </si>
  <si>
    <t>Bright Horizons Microschool</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</si>
  <si>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</si>
  <si>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</si>
  <si>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</si>
  <si>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</si>
  <si>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</si>
  <si>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</si>
  <si>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</si>
  <si>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</si>
  <si>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</si>
  <si>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</si>
  <si>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</si>
  <si>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</si>
  <si>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</si>
  <si>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</si>
  <si>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</si>
  <si>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</si>
  <si>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</si>
  <si>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</si>
  <si>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</si>
  <si>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</si>
  <si>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</si>
  <si>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</si>
  <si>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</si>
  <si>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</si>
  <si>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</si>
  <si>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</si>
  <si>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</si>
  <si>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</si>
  <si>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</si>
  <si>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</si>
  <si>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</si>
  <si>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</si>
  <si>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</si>
  <si>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</si>
  <si>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</si>
  <si>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</si>
  <si>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</si>
  <si>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</si>
  <si>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</si>
  <si>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</si>
  <si>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May 1,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</si>
  <si>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</si>
  <si>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</si>
  <si>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</si>
  <si>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</si>
  <si>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</si>
  <si>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</si>
  <si>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</si>
  <si>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</si>
  <si>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</si>
  <si>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</si>
  <si>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</si>
  <si>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</si>
  <si>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</si>
  <si>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</si>
  <si>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</si>
  <si>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</si>
  <si>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</si>
  <si>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</si>
  <si>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</si>
  <si>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</si>
  <si>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</si>
  <si>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</si>
  <si>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</si>
  <si>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</si>
  <si>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</si>
  <si>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</si>
  <si>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</si>
  <si>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</si>
  <si>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</si>
  <si>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</si>
  <si>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</si>
  <si>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</si>
  <si>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</si>
  <si>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</si>
  <si>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</si>
  <si>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</si>
  <si>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</si>
  <si>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</si>
  <si>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</si>
  <si>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</si>
  <si>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</si>
  <si>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</si>
  <si>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</si>
  <si>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</si>
  <si>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</si>
  <si>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</si>
  <si>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</si>
  <si>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</si>
  <si>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</si>
  <si>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</si>
  <si>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</si>
  <si>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</si>
  <si>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</si>
  <si>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</si>
  <si>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</si>
  <si>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</si>
  <si>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</si>
  <si>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</si>
  <si>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</si>
  <si>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</si>
  <si>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</si>
  <si>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</si>
  <si>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</si>
  <si>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</si>
  <si>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</si>
  <si>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</si>
  <si>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</si>
  <si>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</si>
  <si>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</si>
  <si>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</si>
  <si>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</si>
  <si>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</si>
  <si>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</si>
  <si>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</si>
  <si>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</si>
  <si>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</si>
  <si>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</si>
  <si>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</si>
  <si>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</si>
  <si>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</si>
  <si>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</si>
  <si>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</si>
  <si>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</si>
  <si>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</si>
  <si>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</si>
  <si>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</si>
  <si>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</si>
  <si>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</si>
  <si>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</si>
  <si>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</si>
  <si>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</si>
  <si>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</si>
  <si>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</si>
  <si>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</si>
  <si>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</si>
  <si>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</si>
  <si>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</si>
  <si>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</si>
  <si>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</si>
  <si>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</si>
  <si>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</si>
  <si>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</si>
  <si>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</si>
  <si>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</si>
  <si>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</si>
  <si>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</si>
  <si>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</si>
  <si>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</si>
  <si>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</si>
  <si>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</si>
  <si>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</si>
  <si>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</si>
  <si>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</si>
  <si>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</si>
  <si>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</si>
  <si>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</si>
  <si>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</si>
  <si>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</si>
  <si>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</si>
  <si>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</si>
  <si>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</si>
  <si>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</si>
  <si>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</si>
  <si>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</si>
  <si>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</si>
  <si>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</si>
  <si>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</si>
  <si>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</si>
  <si>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</si>
  <si>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</si>
  <si>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</si>
  <si>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</si>
  <si>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</si>
  <si>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</si>
  <si>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</si>
  <si>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</si>
  <si>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</si>
  <si>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</si>
  <si>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</si>
  <si>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</si>
  <si>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</si>
  <si>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</si>
  <si>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</si>
  <si>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</si>
  <si>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</si>
  <si>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</si>
  <si>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</si>
  <si>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</si>
  <si>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</si>
  <si>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</si>
  <si>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</si>
  <si>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</si>
  <si>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</si>
  <si>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</si>
  <si>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</si>
  <si>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</si>
  <si>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</si>
  <si>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</si>
  <si>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</si>
  <si>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</si>
  <si>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</si>
  <si>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</si>
  <si>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</si>
  <si>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</si>
  <si>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</si>
  <si>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</si>
  <si>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</si>
  <si>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</si>
  <si>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</si>
  <si>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</si>
  <si>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</si>
  <si>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</si>
  <si>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</si>
  <si>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</si>
  <si>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</si>
  <si>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</si>
  <si>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</si>
  <si>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</si>
  <si>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</si>
  <si>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</si>
  <si>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</si>
  <si>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</si>
  <si>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</si>
  <si>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</si>
  <si>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</si>
  <si>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</si>
  <si>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</si>
  <si>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</si>
  <si>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</si>
  <si>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</si>
  <si>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</si>
  <si>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</si>
  <si>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</si>
  <si>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</si>
  <si>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</si>
  <si>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</si>
  <si>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</si>
  <si>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</si>
  <si>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</si>
  <si>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</si>
  <si>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</si>
  <si>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</si>
  <si>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</si>
  <si>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</si>
  <si>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</si>
  <si>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</si>
  <si>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</si>
  <si>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</si>
  <si>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</si>
  <si>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</si>
  <si>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</si>
  <si>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</si>
  <si>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</si>
  <si>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</si>
  <si>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</si>
  <si>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</si>
  <si>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</si>
  <si>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</si>
  <si>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</si>
  <si>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</si>
  <si>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</si>
  <si>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</si>
  <si>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</si>
  <si>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</si>
  <si>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</si>
  <si>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</si>
  <si>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</si>
  <si>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</si>
  <si>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</si>
  <si>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</si>
  <si>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</si>
  <si>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</si>
  <si>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</si>
  <si>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</si>
  <si>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</si>
  <si>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</si>
  <si>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</si>
  <si>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</si>
  <si>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</si>
  <si>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</si>
  <si>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</si>
  <si>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</si>
  <si>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</si>
  <si>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</si>
  <si>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</si>
  <si>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</si>
  <si>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</si>
  <si>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</si>
  <si>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</si>
  <si>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</si>
  <si>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</si>
  <si>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</si>
  <si>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</si>
  <si>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</si>
  <si>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</si>
  <si>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</si>
  <si>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</si>
  <si>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</si>
  <si>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</si>
  <si>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</si>
  <si>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</si>
  <si>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</si>
  <si>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</si>
  <si>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</si>
  <si>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</si>
  <si>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</si>
  <si>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</si>
  <si>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</si>
  <si>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</si>
  <si>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</si>
  <si>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</si>
  <si>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</si>
  <si>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</si>
  <si>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</si>
  <si>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</si>
  <si>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</si>
  <si>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</si>
  <si>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</si>
  <si>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</si>
  <si>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</si>
  <si>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</si>
  <si>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</si>
  <si>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</si>
  <si>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</si>
  <si>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</si>
  <si>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</si>
  <si>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</si>
  <si>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</si>
  <si>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</si>
  <si>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</si>
  <si>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</si>
  <si>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</si>
  <si>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</si>
  <si>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</si>
  <si>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</si>
  <si>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</si>
  <si>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</si>
  <si>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</si>
  <si>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</si>
  <si>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</si>
  <si>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</si>
  <si>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</si>
  <si>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</si>
  <si>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</si>
  <si>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</si>
  <si>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</si>
  <si>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</si>
  <si>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</si>
  <si>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</si>
  <si>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</si>
  <si>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</si>
  <si>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</si>
  <si>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</si>
  <si>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</si>
  <si>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</si>
  <si>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</si>
  <si>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</si>
  <si>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</si>
  <si>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</si>
  <si>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</si>
  <si>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</si>
  <si>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</si>
  <si>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</si>
  <si>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</si>
  <si>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</si>
  <si>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</si>
  <si>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</si>
  <si>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</si>
  <si>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</si>
  <si>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</si>
  <si>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</si>
  <si>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</si>
  <si>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</si>
  <si>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</si>
  <si>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</si>
  <si>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</si>
  <si>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</si>
  <si>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</si>
  <si>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</si>
  <si>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</si>
  <si>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</si>
  <si>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</si>
  <si>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</si>
  <si>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</si>
  <si>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</si>
  <si>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</si>
  <si>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</si>
  <si>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</si>
  <si>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</si>
  <si>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</si>
  <si>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</si>
  <si>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</si>
  <si>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</si>
  <si>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</si>
  <si>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</si>
  <si>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</si>
  <si>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</si>
  <si>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</si>
  <si>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</si>
  <si>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</si>
  <si>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</si>
  <si>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</si>
  <si>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</si>
  <si>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</si>
  <si>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</si>
  <si>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</si>
  <si>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</si>
  <si>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</si>
  <si>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</si>
  <si>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</si>
  <si>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</si>
  <si>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</si>
  <si>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</si>
  <si>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</si>
  <si>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</si>
  <si>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</si>
  <si>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</si>
  <si>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</si>
  <si>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</si>
  <si>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</si>
  <si>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</si>
  <si>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</si>
  <si>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</si>
  <si>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51.3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</si>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</sst>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8"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7" fillId="0" borderId="0" xfId="0" applyFont="1" applyAlignment="1">
      <alignment vertical="top" wrapText="1"/>
    </xf>
    <xf numFmtId="0" fontId="27" fillId="5" borderId="1" xfId="0" applyFont="1" applyFill="1" applyBorder="1"/>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7"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7" x14ac:dyDescent="0.25">
      <c r="A8" s="19" t="s">
        <v>216</v>
      </c>
      <c r="B8" s="19"/>
      <c r="C8" s="19"/>
      <c r="D8" s="19"/>
      <c r="E8" s="19"/>
      <c r="F8" s="19"/>
      <c r="G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339130</v>
      </c>
      <c r="D10" s="31">
        <f>SUM(D5:D9)</f>
        <v>424882</v>
      </c>
      <c r="E10" s="31">
        <f>SUM(E5:E9)</f>
        <v>495517</v>
      </c>
      <c r="F10" s="31">
        <f>SUM(F5:F9)</f>
        <v>509276</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339130</v>
      </c>
      <c r="D4" s="33">
        <f>'Budget Detail'!D10</f>
        <v>424882</v>
      </c>
      <c r="E4" s="33">
        <f>'Budget Detail'!E10</f>
        <v>495517</v>
      </c>
      <c r="F4" s="33">
        <f>'Budget Detail'!F10</f>
        <v>509276</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25233</v>
      </c>
      <c r="C11" s="32">
        <f>C4-C8</f>
        <v>137125</v>
      </c>
      <c r="D11" s="32">
        <f>D4-D8</f>
        <v>213423</v>
      </c>
      <c r="E11" s="32">
        <f>E4-E8</f>
        <v>275091</v>
      </c>
      <c r="F11" s="32">
        <f>F4-F8</f>
        <v>282237</v>
      </c>
    </row>
    <row r="12" spans="1:6" x14ac:dyDescent="0.25">
      <c r="A12" s="11" t="s">
        <v>274</v>
      </c>
      <c r="B12" s="29">
        <f>IF(B4=0,0,B11/B4)</f>
        <v>0.13663809</v>
      </c>
      <c r="C12" s="29">
        <f>IF(C4=0,0,C11/C4)</f>
        <v>0.40434379</v>
      </c>
      <c r="D12" s="29">
        <f>IF(D4=0,0,D11/D4)</f>
        <v>0.50230996</v>
      </c>
      <c r="E12" s="29">
        <f>IF(E4=0,0,E11/E4)</f>
        <v>0.55515954</v>
      </c>
      <c r="F12" s="29">
        <f>IF(F4=0,0,F11/F4)</f>
        <v>0.5541927</v>
      </c>
    </row>
    <row r="13" spans="1:6" x14ac:dyDescent="0.25">
      <c r="A13" s="11" t="s">
        <v>275</v>
      </c>
      <c r="B13" s="30">
        <v>25233</v>
      </c>
      <c r="C13" s="30">
        <v>162357</v>
      </c>
      <c r="D13" s="30">
        <v>375780</v>
      </c>
      <c r="E13" s="30">
        <v>650871</v>
      </c>
      <c r="F13" s="30">
        <v>933108</v>
      </c>
    </row>
    <row r="14" spans="1:6" x14ac:dyDescent="0.25">
      <c r="A14" s="11" t="s">
        <v>239</v>
      </c>
      <c r="B14" s="30">
        <v>15389</v>
      </c>
      <c r="C14" s="30">
        <v>18841</v>
      </c>
      <c r="D14" s="30">
        <v>19313</v>
      </c>
      <c r="E14" s="30">
        <v>19821</v>
      </c>
      <c r="F14" s="30">
        <v>20371</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339130</v>
      </c>
      <c r="D5" s="31">
        <v>424882</v>
      </c>
      <c r="E5" s="31">
        <v>495517</v>
      </c>
      <c r="F5" s="31">
        <v>509276</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136411</v>
      </c>
      <c r="D15" s="32">
        <f>D5-D12</f>
        <v>212708</v>
      </c>
      <c r="E15" s="32">
        <f>E5-E12</f>
        <v>274377</v>
      </c>
      <c r="F15" s="32">
        <f>F5-F12</f>
        <v>281523</v>
      </c>
    </row>
    <row r="16" spans="1:6" x14ac:dyDescent="0.25">
      <c r="A16" s="11" t="s">
        <v>274</v>
      </c>
      <c r="B16" s="29">
        <f>IF(B5=0,0,B15/B5)</f>
        <v>0.13277011</v>
      </c>
      <c r="C16" s="29">
        <f>IF(C5=0,0,C15/C5)</f>
        <v>0.40223755</v>
      </c>
      <c r="D16" s="29">
        <f>IF(D5=0,0,D15/D5)</f>
        <v>0.50062882</v>
      </c>
      <c r="E16" s="29">
        <f>IF(E5=0,0,E15/E5)</f>
        <v>0.55371804</v>
      </c>
      <c r="F16" s="29">
        <f>IF(F5=0,0,F15/F5)</f>
        <v>0.55279014</v>
      </c>
    </row>
    <row r="17" spans="1:6" x14ac:dyDescent="0.25">
      <c r="A17" s="10" t="s">
        <v>275</v>
      </c>
      <c r="B17" s="33">
        <f>B15</f>
        <v>24518</v>
      </c>
      <c r="C17" s="33">
        <f>B17+C15</f>
        <v>160929</v>
      </c>
      <c r="D17" s="33">
        <f>C17+D15</f>
        <v>373637</v>
      </c>
      <c r="E17" s="33">
        <f>D17+E15</f>
        <v>648014</v>
      </c>
      <c r="F17" s="33">
        <f>E17+F15</f>
        <v>929536</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199295</v>
      </c>
      <c r="D5" s="47">
        <f>B5+'5-Year Operating Stmt'!C15+'5-Year Operating Stmt'!D15</f>
        <v>412717</v>
      </c>
      <c r="E5" s="47">
        <f>B5+'5-Year Operating Stmt'!C15+'5-Year Operating Stmt'!D15+'5-Year Operating Stmt'!E15</f>
        <v>687808</v>
      </c>
      <c r="F5" s="47">
        <f>B5+'5-Year Operating Stmt'!C15+'5-Year Operating Stmt'!D15+'5-Year Operating Stmt'!E15+'5-Year Operating Stmt'!F15</f>
        <v>970045</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203903</v>
      </c>
      <c r="D9" s="31">
        <f>SUM(D5:D8)</f>
        <v>416642</v>
      </c>
      <c r="E9" s="31">
        <f>SUM(E5:E8)</f>
        <v>691050</v>
      </c>
      <c r="F9" s="31">
        <f>SUM(F5:F8)</f>
        <v>972604</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203903</v>
      </c>
      <c r="D17" s="32">
        <f>D9-D14</f>
        <v>416642</v>
      </c>
      <c r="E17" s="32">
        <f>E9-E14</f>
        <v>691050</v>
      </c>
      <c r="F17" s="32">
        <f>F9-F14</f>
        <v>972604</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339130</v>
      </c>
      <c r="D5" s="30">
        <v>424882</v>
      </c>
      <c r="E5" s="30">
        <v>495517</v>
      </c>
      <c r="F5" s="30">
        <v>509276</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25233</v>
      </c>
      <c r="C8" s="33">
        <v>137125</v>
      </c>
      <c r="D8" s="33">
        <v>213423</v>
      </c>
      <c r="E8" s="33">
        <v>275091</v>
      </c>
      <c r="F8" s="33">
        <v>282237</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137839</v>
      </c>
      <c r="D11" s="33">
        <f>D8+D9+D10</f>
        <v>214137</v>
      </c>
      <c r="E11" s="33">
        <f>E8+E9+E10</f>
        <v>275805</v>
      </c>
      <c r="F11" s="33">
        <f>F8+F9+F10</f>
        <v>282951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199295</v>
      </c>
      <c r="D15" s="30">
        <v>412717</v>
      </c>
      <c r="E15" s="30">
        <v>687808</v>
      </c>
      <c r="F15" s="30">
        <v>970045</v>
      </c>
    </row>
    <row r="16" spans="1:6" x14ac:dyDescent="0.25">
      <c r="A16" s="11" t="s">
        <v>338</v>
      </c>
      <c r="B16" s="50">
        <f>IF((B5-B8)=0,0,(B15/(B5-B8))*365)</f>
        <v>142</v>
      </c>
      <c r="C16" s="50">
        <f>IF((C5-C8)=0,0,(C15/(C5-C8))*365)</f>
        <v>360</v>
      </c>
      <c r="D16" s="50">
        <f>IF((D5-D8)=0,0,(D15/(D5-D8))*365)</f>
        <v>712</v>
      </c>
      <c r="E16" s="50">
        <f>IF((E5-E8)=0,0,(E15/(E5-E8))*365)</f>
        <v>1139</v>
      </c>
      <c r="F16" s="50">
        <f>IF((F5-F8)=0,0,(F15/(F5-F8))*365)</f>
        <v>1559</v>
      </c>
    </row>
    <row r="17" spans="1:6" x14ac:dyDescent="0.25">
      <c r="A17" s="11" t="s">
        <v>339</v>
      </c>
      <c r="B17" s="34">
        <f>IF((B5-B8)=0,0,B15/((B5-B8)/12))</f>
        <v>4.7</v>
      </c>
      <c r="C17" s="34">
        <f>IF((C5-C8)=0,0,C15/((C5-C8)/12))</f>
        <v>11.8</v>
      </c>
      <c r="D17" s="34">
        <f>IF((D5-D8)=0,0,D15/((D5-D8)/12))</f>
        <v>23.4</v>
      </c>
      <c r="E17" s="34">
        <f>IF((E5-E8)=0,0,E15/((E5-E8)/12))</f>
        <v>37.4</v>
      </c>
      <c r="F17" s="34">
        <f>IF((F5-F8)=0,0,F15/((F5-F8)/12))</f>
        <v>51.3</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18841</v>
      </c>
      <c r="D21" s="30">
        <v>19313</v>
      </c>
      <c r="E21" s="30">
        <v>19821</v>
      </c>
      <c r="F21" s="30">
        <v>20371</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10</v>
      </c>
      <c r="F24" s="51">
        <v>10</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339130</v>
      </c>
      <c r="D6" s="30">
        <v>424882</v>
      </c>
      <c r="E6" s="30">
        <v>495517</v>
      </c>
      <c r="F6" s="30">
        <v>509276</v>
      </c>
    </row>
    <row r="7" spans="1:6" x14ac:dyDescent="0.25">
      <c r="A7" s="11" t="s">
        <v>271</v>
      </c>
      <c r="B7" s="30">
        <v>159434</v>
      </c>
      <c r="C7" s="30">
        <v>202005</v>
      </c>
      <c r="D7" s="30">
        <v>211460</v>
      </c>
      <c r="E7" s="30">
        <v>220426</v>
      </c>
      <c r="F7" s="30">
        <v>227039</v>
      </c>
    </row>
    <row r="8" spans="1:6" x14ac:dyDescent="0.25">
      <c r="A8" s="10" t="s">
        <v>273</v>
      </c>
      <c r="B8" s="32">
        <v>25233</v>
      </c>
      <c r="C8" s="32">
        <v>137125</v>
      </c>
      <c r="D8" s="32">
        <v>213423</v>
      </c>
      <c r="E8" s="32">
        <v>275091</v>
      </c>
      <c r="F8" s="32">
        <v>282237</v>
      </c>
    </row>
    <row r="9" spans="1:6" x14ac:dyDescent="0.25">
      <c r="A9" s="11" t="s">
        <v>274</v>
      </c>
      <c r="B9" s="29">
        <v>0.13663808664259927</v>
      </c>
      <c r="C9" s="29">
        <v>0.4043437853073026</v>
      </c>
      <c r="D9" s="29">
        <v>0.5023099573664649</v>
      </c>
      <c r="E9" s="29">
        <v>0.5551595361077036</v>
      </c>
      <c r="F9" s="29">
        <v>0.5541926962730911</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10</v>
      </c>
      <c r="F11" s="50">
        <v>10</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271304</v>
      </c>
      <c r="D16" s="30">
        <v>339906</v>
      </c>
      <c r="E16" s="30">
        <v>396414</v>
      </c>
      <c r="F16" s="30">
        <v>407420</v>
      </c>
    </row>
    <row r="17" spans="1:6" x14ac:dyDescent="0.25">
      <c r="A17" s="11" t="s">
        <v>271</v>
      </c>
      <c r="B17" s="30">
        <v>159434</v>
      </c>
      <c r="C17" s="30">
        <v>202005</v>
      </c>
      <c r="D17" s="30">
        <v>211460</v>
      </c>
      <c r="E17" s="30">
        <v>220426</v>
      </c>
      <c r="F17" s="30">
        <v>227039</v>
      </c>
    </row>
    <row r="18" spans="1:6" x14ac:dyDescent="0.25">
      <c r="A18" s="10" t="s">
        <v>273</v>
      </c>
      <c r="B18" s="32">
        <v>-11701</v>
      </c>
      <c r="C18" s="32">
        <v>69299</v>
      </c>
      <c r="D18" s="32">
        <v>128446</v>
      </c>
      <c r="E18" s="32">
        <v>175988</v>
      </c>
      <c r="F18" s="32">
        <v>180382</v>
      </c>
    </row>
    <row r="19" spans="1:6" x14ac:dyDescent="0.25">
      <c r="A19" s="11" t="s">
        <v>274</v>
      </c>
      <c r="B19" s="29">
        <v>-0.07920239169675096</v>
      </c>
      <c r="C19" s="29">
        <v>0.2554297316341282</v>
      </c>
      <c r="D19" s="29">
        <v>0.3778874467080811</v>
      </c>
      <c r="E19" s="29">
        <v>0.4439494201346296</v>
      </c>
      <c r="F19" s="29">
        <v>0.44274087034136395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339130</v>
      </c>
      <c r="F13" s="30">
        <v>424882</v>
      </c>
      <c r="G13" s="30">
        <v>495517</v>
      </c>
      <c r="H13" s="30">
        <v>509276</v>
      </c>
    </row>
    <row r="14" spans="1:8" x14ac:dyDescent="0.25">
      <c r="A14" s="11" t="s">
        <v>271</v>
      </c>
      <c r="D14" s="30">
        <v>159434</v>
      </c>
      <c r="E14" s="30">
        <v>202005</v>
      </c>
      <c r="F14" s="30">
        <v>211460</v>
      </c>
      <c r="G14" s="30">
        <v>220426</v>
      </c>
      <c r="H14" s="30">
        <v>227039</v>
      </c>
    </row>
    <row r="15" spans="1:8" x14ac:dyDescent="0.25">
      <c r="A15" s="11" t="s">
        <v>273</v>
      </c>
      <c r="D15" s="30">
        <v>25233</v>
      </c>
      <c r="E15" s="30">
        <v>137125</v>
      </c>
      <c r="F15" s="30">
        <v>213423</v>
      </c>
      <c r="G15" s="30">
        <v>275091</v>
      </c>
      <c r="H15" s="30">
        <v>282237</v>
      </c>
    </row>
    <row r="16" spans="1:8" x14ac:dyDescent="0.25">
      <c r="A16" s="11" t="s">
        <v>370</v>
      </c>
      <c r="D16" s="30">
        <v>62170</v>
      </c>
      <c r="E16" s="30">
        <v>199295</v>
      </c>
      <c r="F16" s="30">
        <v>412717</v>
      </c>
      <c r="G16" s="30">
        <v>687808</v>
      </c>
      <c r="H16" s="30">
        <v>970045</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0.13663808664259927</v>
      </c>
      <c r="E21" s="29">
        <v>0.4043437853073026</v>
      </c>
      <c r="F21" s="29">
        <v>0.5023099573664649</v>
      </c>
      <c r="G21" s="29">
        <v>0.5551595361077036</v>
      </c>
      <c r="H21" s="29">
        <v>0.5541926962730911</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376</v>
      </c>
      <c r="C2" s="1"/>
      <c r="D2" s="1"/>
      <c r="E2" s="1"/>
      <c r="F2" s="1"/>
      <c r="G2" s="1"/>
      <c r="H2" s="1"/>
    </row>
    <row r="3" spans="2:8" x14ac:dyDescent="0.25">
      <c r="B3" s="58" t="s">
        <v>377</v>
      </c>
      <c r="C3" s="58"/>
      <c r="D3" s="58"/>
      <c r="E3" s="58"/>
      <c r="F3" s="58"/>
      <c r="G3" s="58"/>
      <c r="H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184666.6666666667</v>
      </c>
      <c r="D8" s="64">
        <v>339129.56</v>
      </c>
      <c r="E8" s="64">
        <v>424882.21741599997</v>
      </c>
      <c r="F8" s="64">
        <v>495516.93485413</v>
      </c>
      <c r="G8" s="64">
        <v>509275.55642087164</v>
      </c>
    </row>
    <row r="9" spans="2:7" x14ac:dyDescent="0.25">
      <c r="B9" s="11" t="s">
        <v>292</v>
      </c>
      <c r="C9" s="64">
        <v>118934.16666666667</v>
      </c>
      <c r="D9" s="64">
        <v>147002.63</v>
      </c>
      <c r="E9" s="64">
        <v>151412.7089</v>
      </c>
      <c r="F9" s="64">
        <v>155955.090167</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25232.5</v>
      </c>
      <c r="D12" s="65">
        <v>137124.93</v>
      </c>
      <c r="E12" s="65">
        <v>213422.568516</v>
      </c>
      <c r="F12" s="65">
        <v>275090.95168713003</v>
      </c>
      <c r="G12" s="65">
        <v>282236.7937588616</v>
      </c>
    </row>
    <row r="13" spans="2:7" x14ac:dyDescent="0.25">
      <c r="B13" s="10" t="s">
        <v>337</v>
      </c>
      <c r="C13" s="65">
        <v>62170</v>
      </c>
      <c r="D13" s="65">
        <v>199294.93</v>
      </c>
      <c r="E13" s="65">
        <v>412717.498516</v>
      </c>
      <c r="F13" s="65">
        <v>687808.45020313</v>
      </c>
      <c r="G13" s="65">
        <v>970045.2439619916</v>
      </c>
    </row>
    <row r="14" spans="2:7" x14ac:dyDescent="0.25">
      <c r="B14" s="10" t="s">
        <v>373</v>
      </c>
      <c r="C14" s="66">
        <v>0.13663808664259927</v>
      </c>
      <c r="D14" s="66">
        <v>0.4043437853073026</v>
      </c>
      <c r="E14" s="66">
        <v>0.5023099573664649</v>
      </c>
      <c r="F14" s="66">
        <v>0.5551595361077036</v>
      </c>
      <c r="G14" s="66">
        <v>0.5541926962730911</v>
      </c>
    </row>
    <row r="15" spans="2:8" x14ac:dyDescent="0.25">
      <c r="B15" s="10" t="s">
        <v>239</v>
      </c>
      <c r="C15" s="67">
        <v>15388.88888888889</v>
      </c>
      <c r="D15" s="67">
        <v>18840.53111111111</v>
      </c>
      <c r="E15" s="67">
        <v>19312.828064363635</v>
      </c>
      <c r="F15" s="67">
        <v>19820.677394165203</v>
      </c>
      <c r="G15" s="67">
        <v>20371.022256834865</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2102.7083333333335</v>
      </c>
      <c r="D19" s="71">
        <v>7618.051666666666</v>
      </c>
      <c r="E19" s="71">
        <v>9701.025841636363</v>
      </c>
      <c r="F19" s="71">
        <v>11003.6380674852</v>
      </c>
      <c r="G19" s="71">
        <v>11289.471750354463</v>
      </c>
    </row>
    <row r="20" spans="2:8" x14ac:dyDescent="0.25">
      <c r="B20" s="10" t="s">
        <v>393</v>
      </c>
      <c r="C20" s="72">
        <v>0.644047833935018</v>
      </c>
      <c r="D20" s="66">
        <v>0.43347041172111334</v>
      </c>
      <c r="E20" s="66">
        <v>0.35636395851265434</v>
      </c>
      <c r="F20" s="66">
        <v>0.314732109434181</v>
      </c>
      <c r="G20" s="66">
        <v>0.31541616487727187</v>
      </c>
      <c r="H20" s="68" t="s">
        <v>394</v>
      </c>
    </row>
    <row r="21" spans="2:8" x14ac:dyDescent="0.25">
      <c r="B21" s="10" t="s">
        <v>395</v>
      </c>
      <c r="C21" s="72">
        <v>0.19494584837545123</v>
      </c>
      <c r="D21" s="66">
        <v>0.10933874357634882</v>
      </c>
      <c r="E21" s="66">
        <v>0.0898893821263553</v>
      </c>
      <c r="F21" s="66">
        <v>0.07938814848291784</v>
      </c>
      <c r="G21" s="66">
        <v>0.07956069489130392</v>
      </c>
      <c r="H21" s="68" t="s">
        <v>396</v>
      </c>
    </row>
    <row r="22" spans="2:8" x14ac:dyDescent="0.25">
      <c r="B22" s="10" t="s">
        <v>397</v>
      </c>
      <c r="C22" s="66">
        <v>0.13663808664259935</v>
      </c>
      <c r="D22" s="66">
        <v>0.4043437853073026</v>
      </c>
      <c r="E22" s="66">
        <v>0.5023099573664649</v>
      </c>
      <c r="F22" s="66">
        <v>0.5551595361077037</v>
      </c>
      <c r="G22" s="66">
        <v>0.5541926962730912</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7">
        <v>23</v>
      </c>
      <c r="F26" s="73">
        <v>37</v>
      </c>
      <c r="G26" s="73">
        <v>51</v>
      </c>
      <c r="H26" s="68" t="s">
        <v>403</v>
      </c>
    </row>
    <row r="27" spans="2:8" x14ac:dyDescent="0.25">
      <c r="B27" s="10" t="s">
        <v>338</v>
      </c>
      <c r="C27" s="73">
        <v>142</v>
      </c>
      <c r="D27" s="73">
        <v>360</v>
      </c>
      <c r="E27" s="73">
        <v>712</v>
      </c>
      <c r="F27" s="73">
        <v>1139</v>
      </c>
      <c r="G27" s="73">
        <v>1559</v>
      </c>
      <c r="H27" s="68" t="s">
        <v>404</v>
      </c>
    </row>
    <row r="29" ht="24" customHeight="1" spans="2:8" x14ac:dyDescent="0.25">
      <c r="B29" s="19" t="s">
        <v>405</v>
      </c>
      <c r="C29" s="19" t="s">
        <v>406</v>
      </c>
      <c r="D29" s="19" t="s">
        <v>407</v>
      </c>
      <c r="E29" s="19"/>
      <c r="F29" s="19" t="s">
        <v>408</v>
      </c>
      <c r="G29" s="19"/>
      <c r="H29" s="19"/>
    </row>
    <row r="30" ht="45" customHeight="1" spans="2:8" x14ac:dyDescent="0.25">
      <c r="B30" s="44" t="s">
        <v>409</v>
      </c>
      <c r="C30" s="42" t="s">
        <v>410</v>
      </c>
      <c r="D30" s="78" t="s">
        <v>411</v>
      </c>
      <c r="E30" s="78"/>
      <c r="F30" s="79" t="s">
        <v>412</v>
      </c>
      <c r="G30" s="79"/>
      <c r="H30" s="79"/>
    </row>
    <row r="31" ht="45" customHeight="1" spans="2:8" x14ac:dyDescent="0.25">
      <c r="B31" s="44" t="s">
        <v>413</v>
      </c>
      <c r="C31" s="42" t="s">
        <v>410</v>
      </c>
      <c r="D31" s="78" t="s">
        <v>414</v>
      </c>
      <c r="E31" s="78"/>
      <c r="F31" s="79" t="s">
        <v>415</v>
      </c>
      <c r="G31" s="79"/>
      <c r="H31" s="79"/>
    </row>
    <row r="32" ht="45" customHeight="1" spans="2:8" x14ac:dyDescent="0.25">
      <c r="B32" s="44" t="s">
        <v>416</v>
      </c>
      <c r="C32" s="42" t="s">
        <v>410</v>
      </c>
      <c r="D32" s="78" t="s">
        <v>417</v>
      </c>
      <c r="E32" s="78"/>
      <c r="F32" s="79" t="s">
        <v>418</v>
      </c>
      <c r="G32" s="79"/>
      <c r="H32" s="79"/>
    </row>
    <row r="33" ht="45" customHeight="1" spans="2:8" x14ac:dyDescent="0.25">
      <c r="B33" s="44" t="s">
        <v>419</v>
      </c>
      <c r="C33" s="42" t="s">
        <v>410</v>
      </c>
      <c r="D33" s="78" t="s">
        <v>420</v>
      </c>
      <c r="E33" s="78"/>
      <c r="F33" s="79" t="s">
        <v>421</v>
      </c>
      <c r="G33" s="79"/>
      <c r="H33" s="79"/>
    </row>
    <row r="34" ht="45" customHeight="1" spans="2:8" x14ac:dyDescent="0.25">
      <c r="B34" s="44" t="s">
        <v>422</v>
      </c>
      <c r="C34" s="42" t="s">
        <v>410</v>
      </c>
      <c r="D34" s="78" t="s">
        <v>423</v>
      </c>
      <c r="E34" s="78"/>
      <c r="F34" s="79" t="s">
        <v>424</v>
      </c>
      <c r="G34" s="79"/>
      <c r="H34" s="79"/>
    </row>
    <row r="35" ht="45" customHeight="1" spans="2:8" x14ac:dyDescent="0.25">
      <c r="B35" s="44" t="s">
        <v>425</v>
      </c>
      <c r="C35" s="42" t="s">
        <v>410</v>
      </c>
      <c r="D35" s="78" t="s">
        <v>426</v>
      </c>
      <c r="E35" s="78"/>
      <c r="F35" s="79" t="s">
        <v>427</v>
      </c>
      <c r="G35" s="79"/>
      <c r="H35" s="79"/>
    </row>
    <row r="37" spans="2:6" x14ac:dyDescent="0.25">
      <c r="B37" s="44" t="s">
        <v>428</v>
      </c>
      <c r="C37" s="10" t="s">
        <v>429</v>
      </c>
      <c r="D37" s="10"/>
      <c r="E37" s="10"/>
      <c r="F37" s="10"/>
    </row>
    <row r="39" spans="2:8" x14ac:dyDescent="0.25">
      <c r="B39" s="80" t="s">
        <v>430</v>
      </c>
      <c r="C39" s="80"/>
      <c r="D39" s="80"/>
      <c r="E39" s="80"/>
      <c r="F39" s="80"/>
      <c r="G39" s="80"/>
      <c r="H39" s="80"/>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441</v>
      </c>
      <c r="B1" s="21"/>
      <c r="C1" s="21"/>
    </row>
    <row r="2" spans="1:3" x14ac:dyDescent="0.25">
      <c r="A2" s="82" t="s">
        <v>442</v>
      </c>
      <c r="B2" s="82"/>
      <c r="C2" s="82"/>
    </row>
    <row r="4" ht="24" customHeight="1" spans="1:3" x14ac:dyDescent="0.25">
      <c r="A4" s="83" t="s">
        <v>443</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444</v>
      </c>
      <c r="C1" s="15"/>
      <c r="D1" s="15"/>
      <c r="E1" s="15"/>
      <c r="F1" s="15"/>
      <c r="G1" s="15"/>
      <c r="H1" s="15"/>
    </row>
    <row r="2" ht="60" customHeight="1" spans="2:8" x14ac:dyDescent="0.25">
      <c r="B2" s="84" t="s">
        <v>445</v>
      </c>
      <c r="C2" s="84"/>
      <c r="D2" s="84"/>
      <c r="E2" s="84"/>
      <c r="F2" s="84"/>
      <c r="G2" s="84"/>
      <c r="H2" s="84"/>
    </row>
    <row r="4" ht="30" customHeight="1" spans="2:8" x14ac:dyDescent="0.25">
      <c r="B4" s="85" t="s">
        <v>446</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2026-05-01T04:10:40Z</dcterms:created>
  <dcterms:modified xsi:type="dcterms:W3CDTF">2026-05-01T04:10:40Z</dcterms:modified>
</cp:coreProperties>
</file>