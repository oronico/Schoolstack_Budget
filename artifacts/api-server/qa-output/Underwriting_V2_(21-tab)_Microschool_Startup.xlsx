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<sst xmlns="http://schemas.openxmlformats.org/spreadsheetml/2006/main" count="721" uniqueCount="396">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</sst>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22" fillId="0" borderId="1" xfId="0" applyNumberFormat="1" applyFont="1" applyBorder="1"/>
    <xf numFmtId="49" fontId="9" fillId="0" borderId="3" xfId="0" applyNumberFormat="1" applyFont="1" applyBorder="1" applyAlignment="1">
      <alignment horizontal="right"/>
    </xf>
    <xf numFmtId="0" fontId="20" fillId="0" borderId="1" xfId="0" applyFont="1" applyBorder="1"/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283</v>
      </c>
      <c r="B4" s="19"/>
      <c r="C4" s="19"/>
      <c r="D4" s="19"/>
      <c r="E4" s="19"/>
      <c r="F4" s="19"/>
    </row>
    <row r="5" spans="1:5" x14ac:dyDescent="0.25">
      <c r="A5" s="39" t="s">
        <v>284</v>
      </c>
      <c r="B5" s="40" t="s">
        <v>153</v>
      </c>
      <c r="C5" s="41" t="s">
        <v>285</v>
      </c>
      <c r="D5" s="39" t="s">
        <v>286</v>
      </c>
      <c r="E5" s="40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288</v>
      </c>
      <c r="B4" s="19"/>
      <c r="C4" s="19"/>
      <c r="D4" s="19"/>
      <c r="E4" s="19"/>
      <c r="F4" s="19"/>
    </row>
    <row r="5" spans="1:6" x14ac:dyDescent="0.25">
      <c r="A5" s="11" t="s">
        <v>289</v>
      </c>
      <c r="B5" s="42">
        <f>'Monthly Cash Flow Y1'!M14</f>
        <v>62170</v>
      </c>
      <c r="C5" s="42">
        <f>B5+'5-Year Operating Stmt'!C14</f>
        <v>199962</v>
      </c>
      <c r="D5" s="42">
        <f>B5+'5-Year Operating Stmt'!C14+'5-Year Operating Stmt'!D14</f>
        <v>415091</v>
      </c>
      <c r="E5" s="42">
        <f>B5+'5-Year Operating Stmt'!C14+'5-Year Operating Stmt'!D14+'5-Year Operating Stmt'!E14</f>
        <v>693221</v>
      </c>
      <c r="F5" s="42">
        <f>B5+'5-Year Operating Stmt'!C14+'5-Year Operating Stmt'!D14+'5-Year Operating Stmt'!E14+'5-Year Operating Stmt'!F14</f>
        <v>979696</v>
      </c>
    </row>
    <row r="6" spans="1:6" x14ac:dyDescent="0.25">
      <c r="A6" s="11" t="s">
        <v>290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291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292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293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294</v>
      </c>
      <c r="B11" s="19"/>
      <c r="C11" s="19"/>
      <c r="D11" s="19"/>
      <c r="E11" s="19"/>
      <c r="F11" s="19"/>
    </row>
    <row r="12" spans="1:6" x14ac:dyDescent="0.25">
      <c r="A12" s="11" t="s">
        <v>295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296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297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298</v>
      </c>
      <c r="B16" s="19"/>
      <c r="C16" s="19"/>
      <c r="D16" s="19"/>
      <c r="E16" s="19"/>
      <c r="F16" s="19"/>
    </row>
    <row r="17" spans="1:6" x14ac:dyDescent="0.25">
      <c r="A17" s="10" t="s">
        <v>299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300</v>
      </c>
      <c r="B19" s="43" t="str">
        <f>B9-B14-B17</f>
        <v>0</v>
      </c>
      <c r="C19" s="43" t="str">
        <f>C9-C14-C17</f>
        <v>0</v>
      </c>
      <c r="D19" s="43" t="str">
        <f>D9-D14-D17</f>
        <v>0</v>
      </c>
      <c r="E19" s="43" t="str">
        <f>E9-E14-E17</f>
        <v>0</v>
      </c>
      <c r="F19" s="43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302</v>
      </c>
      <c r="B4" s="19"/>
      <c r="C4" s="19"/>
      <c r="D4" s="19"/>
      <c r="E4" s="19"/>
      <c r="F4" s="19"/>
    </row>
    <row r="5" spans="1:6" x14ac:dyDescent="0.25">
      <c r="A5" s="11" t="s">
        <v>303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304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305</v>
      </c>
      <c r="B10" s="44" t="s">
        <v>306</v>
      </c>
      <c r="C10" s="44" t="s">
        <v>306</v>
      </c>
      <c r="D10" s="44" t="s">
        <v>306</v>
      </c>
      <c r="E10" s="44" t="s">
        <v>306</v>
      </c>
      <c r="F10" s="44" t="s">
        <v>306</v>
      </c>
    </row>
    <row r="12" ht="24" customHeight="1" spans="1:6" x14ac:dyDescent="0.25">
      <c r="A12" s="19" t="s">
        <v>307</v>
      </c>
      <c r="B12" s="19"/>
      <c r="C12" s="19"/>
      <c r="D12" s="19"/>
      <c r="E12" s="19"/>
      <c r="F12" s="19"/>
    </row>
    <row r="13" spans="1:6" x14ac:dyDescent="0.25">
      <c r="A13" s="11" t="s">
        <v>308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309</v>
      </c>
      <c r="B14" s="45">
        <f>IF((B6+B7+B9)=0,0,(B13/(B6+B7+B9))*365)</f>
        <v>142</v>
      </c>
      <c r="C14" s="45">
        <f>IF((C6+C7+C9)=0,0,(C13/(C6+C7+C9))*365)</f>
        <v>361</v>
      </c>
      <c r="D14" s="45">
        <f>IF((D6+D7+D9)=0,0,(D13/(D6+D7+D9))*365)</f>
        <v>716</v>
      </c>
      <c r="E14" s="45">
        <f>IF((E6+E7+E9)=0,0,(E13/(E6+E7+E9))*365)</f>
        <v>1148</v>
      </c>
      <c r="F14" s="45">
        <f>IF((F6+F7+F9)=0,0,(F13/(F6+F7+F9))*365)</f>
        <v>1575</v>
      </c>
    </row>
    <row r="15" spans="1:6" x14ac:dyDescent="0.25">
      <c r="A15" s="11" t="s">
        <v>310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311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312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313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314</v>
      </c>
      <c r="B22" s="46">
        <v>10</v>
      </c>
      <c r="C22" s="46">
        <v>10</v>
      </c>
      <c r="D22" s="46">
        <v>10</v>
      </c>
      <c r="E22" s="46">
        <v>9</v>
      </c>
      <c r="F22" s="46">
        <v>9</v>
      </c>
    </row>
    <row r="24" ht="24" customHeight="1" spans="1:6" x14ac:dyDescent="0.25">
      <c r="A24" s="19" t="s">
        <v>315</v>
      </c>
      <c r="B24" s="19"/>
      <c r="C24" s="19"/>
      <c r="D24" s="19"/>
      <c r="E24" s="19"/>
      <c r="F24" s="19"/>
    </row>
    <row r="25" spans="1:6" x14ac:dyDescent="0.25">
      <c r="A25" s="11" t="s">
        <v>316</v>
      </c>
      <c r="B25" s="47" t="s">
        <v>306</v>
      </c>
      <c r="C25" s="47" t="s">
        <v>306</v>
      </c>
      <c r="D25" s="47" t="s">
        <v>306</v>
      </c>
      <c r="E25" s="47" t="s">
        <v>306</v>
      </c>
      <c r="F25" s="47" t="s">
        <v>306</v>
      </c>
    </row>
    <row r="26" spans="1:6" x14ac:dyDescent="0.25">
      <c r="A26" s="11" t="s">
        <v>317</v>
      </c>
      <c r="B26" s="48" t="s">
        <v>318</v>
      </c>
      <c r="C26" s="48" t="s">
        <v>318</v>
      </c>
      <c r="D26" s="48" t="s">
        <v>318</v>
      </c>
      <c r="E26" s="48" t="s">
        <v>318</v>
      </c>
      <c r="F26" s="48" t="s">
        <v>318</v>
      </c>
    </row>
    <row r="27" spans="1:6" x14ac:dyDescent="0.25">
      <c r="A27" s="11" t="s">
        <v>319</v>
      </c>
      <c r="B27" s="49" t="s">
        <v>320</v>
      </c>
      <c r="C27" s="48" t="s">
        <v>318</v>
      </c>
      <c r="D27" s="48" t="s">
        <v>318</v>
      </c>
      <c r="E27" s="48" t="s">
        <v>318</v>
      </c>
      <c r="F27" s="48" t="s">
        <v>318</v>
      </c>
    </row>
    <row r="28" spans="1:6" x14ac:dyDescent="0.25">
      <c r="A28" s="11" t="s">
        <v>321</v>
      </c>
      <c r="B28" s="48" t="s">
        <v>318</v>
      </c>
      <c r="C28" s="48" t="s">
        <v>318</v>
      </c>
      <c r="D28" s="48" t="s">
        <v>318</v>
      </c>
      <c r="E28" s="48" t="s">
        <v>318</v>
      </c>
      <c r="F28" s="48" t="s">
        <v>318</v>
      </c>
    </row>
    <row r="29" spans="1:6" x14ac:dyDescent="0.25">
      <c r="A29" s="11" t="s">
        <v>322</v>
      </c>
      <c r="B29" s="48" t="s">
        <v>318</v>
      </c>
      <c r="C29" s="48" t="s">
        <v>318</v>
      </c>
      <c r="D29" s="48" t="s">
        <v>318</v>
      </c>
      <c r="E29" s="48" t="s">
        <v>318</v>
      </c>
      <c r="F29" s="48" t="s">
        <v>318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323</v>
      </c>
      <c r="B3" s="50" t="s">
        <v>112</v>
      </c>
      <c r="D3" s="50" t="s">
        <v>324</v>
      </c>
      <c r="E3" s="50" t="s">
        <v>112</v>
      </c>
    </row>
    <row r="4" spans="1:5" x14ac:dyDescent="0.25">
      <c r="A4" s="11" t="s">
        <v>325</v>
      </c>
      <c r="B4" s="30">
        <v>20000</v>
      </c>
      <c r="D4" s="11" t="s">
        <v>326</v>
      </c>
      <c r="E4" s="30">
        <v>15000</v>
      </c>
    </row>
    <row r="5" spans="4:5" x14ac:dyDescent="0.25">
      <c r="D5" s="11" t="s">
        <v>327</v>
      </c>
      <c r="E5" s="30">
        <v>5000</v>
      </c>
    </row>
    <row r="7" spans="1:5" x14ac:dyDescent="0.25">
      <c r="A7" s="10" t="s">
        <v>328</v>
      </c>
      <c r="B7" s="32">
        <v>20000</v>
      </c>
      <c r="D7" s="10" t="s">
        <v>329</v>
      </c>
      <c r="E7" s="32">
        <v>20000</v>
      </c>
    </row>
    <row r="8" spans="1:2" x14ac:dyDescent="0.25">
      <c r="A8" s="10" t="s">
        <v>330</v>
      </c>
      <c r="B8" s="43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331</v>
      </c>
      <c r="B1" s="15"/>
      <c r="C1" s="15"/>
      <c r="D1" s="15"/>
      <c r="E1" s="15"/>
      <c r="F1" s="15"/>
    </row>
    <row r="3" ht="24" customHeight="1" spans="1:6" x14ac:dyDescent="0.25">
      <c r="A3" s="19" t="s">
        <v>332</v>
      </c>
      <c r="B3" s="19"/>
      <c r="C3" s="19"/>
      <c r="D3" s="19"/>
      <c r="E3" s="19"/>
      <c r="F3" s="19"/>
    </row>
    <row r="4" spans="1:1" x14ac:dyDescent="0.25">
      <c r="A4" s="17" t="s">
        <v>333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303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305</v>
      </c>
      <c r="B10" s="51" t="s">
        <v>306</v>
      </c>
      <c r="C10" s="51" t="s">
        <v>306</v>
      </c>
      <c r="D10" s="51" t="s">
        <v>306</v>
      </c>
      <c r="E10" s="51" t="s">
        <v>306</v>
      </c>
      <c r="F10" s="51" t="s">
        <v>306</v>
      </c>
    </row>
    <row r="11" spans="1:6" x14ac:dyDescent="0.25">
      <c r="A11" s="11" t="s">
        <v>314</v>
      </c>
      <c r="B11" s="45">
        <v>10</v>
      </c>
      <c r="C11" s="45">
        <v>10</v>
      </c>
      <c r="D11" s="45">
        <v>10</v>
      </c>
      <c r="E11" s="45">
        <v>9</v>
      </c>
      <c r="F11" s="45">
        <v>9</v>
      </c>
    </row>
    <row r="13" ht="24" customHeight="1" spans="1:6" x14ac:dyDescent="0.25">
      <c r="A13" s="19" t="s">
        <v>334</v>
      </c>
      <c r="B13" s="19"/>
      <c r="C13" s="19"/>
      <c r="D13" s="19"/>
      <c r="E13" s="19"/>
      <c r="F13" s="19"/>
    </row>
    <row r="14" spans="1:1" x14ac:dyDescent="0.25">
      <c r="A14" s="17" t="s">
        <v>335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303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305</v>
      </c>
      <c r="B20" s="51" t="s">
        <v>306</v>
      </c>
      <c r="C20" s="51" t="s">
        <v>306</v>
      </c>
      <c r="D20" s="51" t="s">
        <v>306</v>
      </c>
      <c r="E20" s="51" t="s">
        <v>306</v>
      </c>
      <c r="F20" s="51" t="s">
        <v>306</v>
      </c>
    </row>
    <row r="21" spans="1:6" x14ac:dyDescent="0.25">
      <c r="A21" s="11" t="s">
        <v>314</v>
      </c>
      <c r="B21" s="45">
        <v>12</v>
      </c>
      <c r="C21" s="45">
        <v>10</v>
      </c>
      <c r="D21" s="45">
        <v>10</v>
      </c>
      <c r="E21" s="45">
        <v>10</v>
      </c>
      <c r="F21" s="45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338</v>
      </c>
      <c r="B9" s="11" t="s">
        <v>46</v>
      </c>
    </row>
    <row r="11" ht="24" customHeight="1" spans="1:8" x14ac:dyDescent="0.25">
      <c r="A11" s="19" t="s">
        <v>339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2" t="s">
        <v>102</v>
      </c>
      <c r="E12" s="52" t="s">
        <v>103</v>
      </c>
      <c r="F12" s="52" t="s">
        <v>104</v>
      </c>
      <c r="G12" s="52" t="s">
        <v>105</v>
      </c>
      <c r="H12" s="52" t="s">
        <v>106</v>
      </c>
    </row>
    <row r="13" spans="1:8" x14ac:dyDescent="0.25">
      <c r="A13" s="11" t="s">
        <v>303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340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341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2" t="s">
        <v>102</v>
      </c>
      <c r="E20" s="52" t="s">
        <v>103</v>
      </c>
      <c r="F20" s="52" t="s">
        <v>104</v>
      </c>
      <c r="G20" s="52" t="s">
        <v>105</v>
      </c>
      <c r="H20" s="52" t="s">
        <v>106</v>
      </c>
    </row>
    <row r="21" spans="1:8" x14ac:dyDescent="0.25">
      <c r="A21" s="11" t="s">
        <v>343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305</v>
      </c>
      <c r="D22" s="51" t="s">
        <v>306</v>
      </c>
      <c r="E22" s="51" t="s">
        <v>306</v>
      </c>
      <c r="F22" s="51" t="s">
        <v>306</v>
      </c>
      <c r="G22" s="51" t="s">
        <v>306</v>
      </c>
      <c r="H22" s="51" t="s">
        <v>306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344</v>
      </c>
      <c r="D24" s="45">
        <v>12</v>
      </c>
      <c r="E24" s="45">
        <v>18</v>
      </c>
      <c r="F24" s="45">
        <v>22</v>
      </c>
      <c r="G24" s="45">
        <v>25</v>
      </c>
      <c r="H24" s="45">
        <v>25</v>
      </c>
    </row>
    <row r="26" spans="1:8" x14ac:dyDescent="0.25">
      <c r="A26" s="14" t="s">
        <v>345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346</v>
      </c>
      <c r="C2" s="1"/>
      <c r="D2" s="1"/>
      <c r="E2" s="1"/>
      <c r="F2" s="1"/>
      <c r="G2" s="1"/>
      <c r="H2" s="1"/>
    </row>
    <row r="3" spans="2:8" x14ac:dyDescent="0.25">
      <c r="B3" s="53" t="s">
        <v>347</v>
      </c>
      <c r="C3" s="53"/>
      <c r="D3" s="53"/>
      <c r="E3" s="53"/>
      <c r="F3" s="53"/>
      <c r="G3" s="53"/>
      <c r="H3" s="53"/>
    </row>
    <row r="4" spans="2:6" x14ac:dyDescent="0.25">
      <c r="B4" s="54" t="s">
        <v>348</v>
      </c>
      <c r="D4" s="55" t="s">
        <v>349</v>
      </c>
      <c r="F4" s="56" t="s">
        <v>350</v>
      </c>
    </row>
    <row r="6" ht="24" customHeight="1" spans="2:8" x14ac:dyDescent="0.25">
      <c r="B6" s="19" t="s">
        <v>351</v>
      </c>
      <c r="C6" s="57" t="s">
        <v>352</v>
      </c>
      <c r="D6" s="57" t="s">
        <v>353</v>
      </c>
      <c r="E6" s="57" t="s">
        <v>354</v>
      </c>
      <c r="F6" s="57" t="s">
        <v>355</v>
      </c>
      <c r="G6" s="57" t="s">
        <v>356</v>
      </c>
      <c r="H6" s="57" t="s">
        <v>357</v>
      </c>
    </row>
    <row r="7" spans="2:7" x14ac:dyDescent="0.25">
      <c r="B7" s="11" t="s">
        <v>344</v>
      </c>
      <c r="C7" s="58">
        <v>12</v>
      </c>
      <c r="D7" s="58">
        <v>18</v>
      </c>
      <c r="E7" s="58">
        <v>22</v>
      </c>
      <c r="F7" s="58">
        <v>25</v>
      </c>
      <c r="G7" s="58">
        <v>25</v>
      </c>
    </row>
    <row r="8" spans="2:7" x14ac:dyDescent="0.25">
      <c r="B8" s="11" t="s">
        <v>303</v>
      </c>
      <c r="C8" s="59">
        <v>184666.6666666667</v>
      </c>
      <c r="D8" s="59">
        <v>339797</v>
      </c>
      <c r="E8" s="59">
        <v>426587.88999999996</v>
      </c>
      <c r="F8" s="59">
        <v>498556.69375000003</v>
      </c>
      <c r="G8" s="59">
        <v>513513.3945625001</v>
      </c>
    </row>
    <row r="9" spans="2:7" x14ac:dyDescent="0.25">
      <c r="B9" s="11" t="s">
        <v>271</v>
      </c>
      <c r="C9" s="59">
        <v>118934.16666666667</v>
      </c>
      <c r="D9" s="59">
        <v>147002.63</v>
      </c>
      <c r="E9" s="59">
        <v>151412.7089</v>
      </c>
      <c r="F9" s="59">
        <v>155955.090167</v>
      </c>
      <c r="G9" s="59">
        <v>160633.74287201</v>
      </c>
    </row>
    <row r="10" spans="2:7" x14ac:dyDescent="0.25">
      <c r="B10" s="11" t="s">
        <v>272</v>
      </c>
      <c r="C10" s="59">
        <v>40500</v>
      </c>
      <c r="D10" s="59">
        <v>55002</v>
      </c>
      <c r="E10" s="59">
        <v>60046.93999999999</v>
      </c>
      <c r="F10" s="59">
        <v>64470.893</v>
      </c>
      <c r="G10" s="59">
        <v>66405.01979</v>
      </c>
    </row>
    <row r="11" spans="2:7" x14ac:dyDescent="0.25">
      <c r="B11" s="11" t="s">
        <v>273</v>
      </c>
      <c r="C11" s="59">
        <v>0</v>
      </c>
      <c r="D11" s="59">
        <v>0</v>
      </c>
      <c r="E11" s="59">
        <v>0</v>
      </c>
      <c r="F11" s="59">
        <v>0</v>
      </c>
      <c r="G11" s="59">
        <v>0</v>
      </c>
    </row>
    <row r="12" spans="2:7" x14ac:dyDescent="0.25">
      <c r="B12" s="10" t="s">
        <v>252</v>
      </c>
      <c r="C12" s="60">
        <v>25232.5</v>
      </c>
      <c r="D12" s="60">
        <v>137792.37</v>
      </c>
      <c r="E12" s="60">
        <v>215128.24109999998</v>
      </c>
      <c r="F12" s="60">
        <v>278130.71058300004</v>
      </c>
      <c r="G12" s="60">
        <v>286474.6319004901</v>
      </c>
    </row>
    <row r="13" spans="2:7" x14ac:dyDescent="0.25">
      <c r="B13" s="10" t="s">
        <v>308</v>
      </c>
      <c r="C13" s="60">
        <v>62170</v>
      </c>
      <c r="D13" s="60">
        <v>199962.37</v>
      </c>
      <c r="E13" s="60">
        <v>415090.6111</v>
      </c>
      <c r="F13" s="60">
        <v>693221.3216830001</v>
      </c>
      <c r="G13" s="60">
        <v>979695.9535834901</v>
      </c>
    </row>
    <row r="14" spans="2:7" x14ac:dyDescent="0.25">
      <c r="B14" s="10" t="s">
        <v>343</v>
      </c>
      <c r="C14" s="61">
        <v>0.13663808664259927</v>
      </c>
      <c r="D14" s="61">
        <v>0.40551379205819943</v>
      </c>
      <c r="E14" s="61">
        <v>0.5042999253916937</v>
      </c>
      <c r="F14" s="61">
        <v>0.5578717808219178</v>
      </c>
      <c r="G14" s="61">
        <v>0.5578717808219178</v>
      </c>
    </row>
    <row r="15" spans="2:8" x14ac:dyDescent="0.25">
      <c r="B15" s="10" t="s">
        <v>221</v>
      </c>
      <c r="C15" s="62">
        <v>15388.88888888889</v>
      </c>
      <c r="D15" s="62">
        <v>18877.61111111111</v>
      </c>
      <c r="E15" s="62">
        <v>19390.358636363635</v>
      </c>
      <c r="F15" s="62">
        <v>19942.267750000003</v>
      </c>
      <c r="G15" s="62">
        <v>20540.535782500006</v>
      </c>
      <c r="H15" s="63" t="s">
        <v>358</v>
      </c>
    </row>
    <row r="16" spans="2:8" x14ac:dyDescent="0.25">
      <c r="B16" s="10" t="s">
        <v>359</v>
      </c>
      <c r="C16" s="64">
        <v>0.644047833935018</v>
      </c>
      <c r="D16" s="61">
        <v>0.4326189754471052</v>
      </c>
      <c r="E16" s="61">
        <v>0.3549390698831137</v>
      </c>
      <c r="F16" s="61">
        <v>0.3128131506849315</v>
      </c>
      <c r="G16" s="61">
        <v>0.3128131506849315</v>
      </c>
      <c r="H16" s="63" t="s">
        <v>360</v>
      </c>
    </row>
    <row r="17" spans="2:8" x14ac:dyDescent="0.25">
      <c r="B17" s="10" t="s">
        <v>361</v>
      </c>
      <c r="C17" s="61">
        <v>0.06579422382671479</v>
      </c>
      <c r="D17" s="61">
        <v>0.048560169748408606</v>
      </c>
      <c r="E17" s="61">
        <v>0.04222830141755781</v>
      </c>
      <c r="F17" s="61">
        <v>0.0387945205479452</v>
      </c>
      <c r="G17" s="61">
        <v>0.0387945205479452</v>
      </c>
      <c r="H17" s="63" t="s">
        <v>362</v>
      </c>
    </row>
    <row r="18" spans="2:8" x14ac:dyDescent="0.25">
      <c r="B18" s="10" t="s">
        <v>363</v>
      </c>
      <c r="C18" s="61">
        <v>0.13663808664259935</v>
      </c>
      <c r="D18" s="61">
        <v>0.40551379205819943</v>
      </c>
      <c r="E18" s="61">
        <v>0.5042999253916934</v>
      </c>
      <c r="F18" s="61">
        <v>0.5578717808219178</v>
      </c>
      <c r="G18" s="61">
        <v>0.5578717808219178</v>
      </c>
      <c r="H18" s="63" t="s">
        <v>364</v>
      </c>
    </row>
    <row r="19" spans="2:8" x14ac:dyDescent="0.25">
      <c r="B19" s="10" t="s">
        <v>365</v>
      </c>
      <c r="C19" s="65">
        <v>1</v>
      </c>
      <c r="D19" s="65"/>
      <c r="E19" s="65"/>
      <c r="F19" s="65"/>
      <c r="G19" s="65"/>
      <c r="H19" s="63" t="s">
        <v>366</v>
      </c>
    </row>
    <row r="20" spans="2:8" x14ac:dyDescent="0.25">
      <c r="B20" s="10" t="s">
        <v>305</v>
      </c>
      <c r="C20" s="66" t="s">
        <v>306</v>
      </c>
      <c r="D20" s="66" t="s">
        <v>306</v>
      </c>
      <c r="E20" s="66" t="s">
        <v>306</v>
      </c>
      <c r="F20" s="66" t="s">
        <v>306</v>
      </c>
      <c r="G20" s="66" t="s">
        <v>306</v>
      </c>
      <c r="H20" s="63" t="s">
        <v>306</v>
      </c>
    </row>
    <row r="21" spans="2:8" x14ac:dyDescent="0.25">
      <c r="B21" s="10" t="s">
        <v>367</v>
      </c>
      <c r="C21" s="67" t="s">
        <v>352</v>
      </c>
      <c r="D21" s="67"/>
      <c r="E21" s="67"/>
      <c r="F21" s="67"/>
      <c r="G21" s="67"/>
      <c r="H21" s="63" t="s">
        <v>352</v>
      </c>
    </row>
    <row r="22" spans="2:8" x14ac:dyDescent="0.25">
      <c r="B22" s="10" t="s">
        <v>368</v>
      </c>
      <c r="C22" s="67" t="s">
        <v>369</v>
      </c>
      <c r="D22" s="67"/>
      <c r="E22" s="67"/>
      <c r="F22" s="67"/>
      <c r="G22" s="67"/>
      <c r="H22" s="63" t="s">
        <v>369</v>
      </c>
    </row>
    <row r="24" ht="24" customHeight="1" spans="2:8" x14ac:dyDescent="0.25">
      <c r="B24" s="19" t="s">
        <v>370</v>
      </c>
      <c r="C24" s="19" t="s">
        <v>371</v>
      </c>
      <c r="D24" s="19" t="s">
        <v>372</v>
      </c>
      <c r="E24" s="19"/>
      <c r="F24" s="19" t="s">
        <v>373</v>
      </c>
      <c r="G24" s="19"/>
      <c r="H24" s="19"/>
    </row>
    <row r="25" ht="45" customHeight="1" spans="2:8" x14ac:dyDescent="0.25">
      <c r="B25" s="39" t="s">
        <v>374</v>
      </c>
      <c r="C25" s="68" t="s">
        <v>375</v>
      </c>
      <c r="D25" s="69" t="s">
        <v>376</v>
      </c>
      <c r="E25" s="69"/>
      <c r="F25" s="70" t="s">
        <v>377</v>
      </c>
      <c r="G25" s="70"/>
      <c r="H25" s="70"/>
    </row>
    <row r="26" ht="45" customHeight="1" spans="2:8" x14ac:dyDescent="0.25">
      <c r="B26" s="39" t="s">
        <v>378</v>
      </c>
      <c r="C26" s="68" t="s">
        <v>375</v>
      </c>
      <c r="D26" s="69" t="s">
        <v>379</v>
      </c>
      <c r="E26" s="69"/>
      <c r="F26" s="70" t="s">
        <v>380</v>
      </c>
      <c r="G26" s="70"/>
      <c r="H26" s="70"/>
    </row>
    <row r="27" ht="45" customHeight="1" spans="2:8" x14ac:dyDescent="0.25">
      <c r="B27" s="39" t="s">
        <v>381</v>
      </c>
      <c r="C27" s="68" t="s">
        <v>375</v>
      </c>
      <c r="D27" s="69" t="s">
        <v>382</v>
      </c>
      <c r="E27" s="69"/>
      <c r="F27" s="70" t="s">
        <v>383</v>
      </c>
      <c r="G27" s="70"/>
      <c r="H27" s="70"/>
    </row>
    <row r="28" ht="45" customHeight="1" spans="2:8" x14ac:dyDescent="0.25">
      <c r="B28" s="39" t="s">
        <v>384</v>
      </c>
      <c r="C28" s="68" t="s">
        <v>375</v>
      </c>
      <c r="D28" s="69" t="s">
        <v>385</v>
      </c>
      <c r="E28" s="69"/>
      <c r="F28" s="70" t="s">
        <v>386</v>
      </c>
      <c r="G28" s="70"/>
      <c r="H28" s="70"/>
    </row>
    <row r="29" ht="45" customHeight="1" spans="2:8" x14ac:dyDescent="0.25">
      <c r="B29" s="39" t="s">
        <v>387</v>
      </c>
      <c r="C29" s="68" t="s">
        <v>375</v>
      </c>
      <c r="D29" s="69" t="s">
        <v>388</v>
      </c>
      <c r="E29" s="69"/>
      <c r="F29" s="70" t="s">
        <v>389</v>
      </c>
      <c r="G29" s="70"/>
      <c r="H29" s="70"/>
    </row>
    <row r="30" ht="45" customHeight="1" spans="2:8" x14ac:dyDescent="0.25">
      <c r="B30" s="39" t="s">
        <v>390</v>
      </c>
      <c r="C30" s="68" t="s">
        <v>375</v>
      </c>
      <c r="D30" s="69" t="s">
        <v>391</v>
      </c>
      <c r="E30" s="69"/>
      <c r="F30" s="70" t="s">
        <v>392</v>
      </c>
      <c r="G30" s="70"/>
      <c r="H30" s="70"/>
    </row>
    <row r="32" spans="2:6" x14ac:dyDescent="0.25">
      <c r="B32" s="39" t="s">
        <v>393</v>
      </c>
      <c r="C32" s="10" t="s">
        <v>394</v>
      </c>
      <c r="D32" s="10"/>
      <c r="E32" s="10"/>
      <c r="F32" s="10"/>
    </row>
    <row r="34" spans="2:8" x14ac:dyDescent="0.25">
      <c r="B34" s="71" t="s">
        <v>395</v>
      </c>
      <c r="C34" s="71"/>
      <c r="D34" s="71"/>
      <c r="E34" s="71"/>
      <c r="F34" s="71"/>
      <c r="G34" s="71"/>
      <c r="H34" s="71"/>
    </row>
  </sheetData>
  <mergeCells count="21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2026-03-26T12:05:36Z</dcterms:created>
  <dcterms:modified xsi:type="dcterms:W3CDTF">2026-03-26T12:05:36Z</dcterms:modified>
</cp:coreProperties>
</file>