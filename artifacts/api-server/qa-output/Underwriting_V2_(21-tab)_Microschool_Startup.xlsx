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<sst xmlns="http://schemas.openxmlformats.org/spreadsheetml/2006/main" count="699" uniqueCount="382">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</sst>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49" fontId="9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25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</v>
      </c>
      <c r="C17" s="21">
        <v>18</v>
      </c>
      <c r="D17" s="21">
        <v>22</v>
      </c>
      <c r="E17" s="21">
        <v>25</v>
      </c>
      <c r="F17" s="21">
        <v>25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12000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250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7000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2">
        <v>5000</v>
      </c>
      <c r="E24" s="23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2">
        <v>10</v>
      </c>
      <c r="E25" s="23">
        <v>0</v>
      </c>
    </row>
    <row r="27" ht="24" customHeight="1" spans="1:7" x14ac:dyDescent="0.25">
      <c r="A27" s="18" t="s">
        <v>125</v>
      </c>
      <c r="B27" s="18"/>
      <c r="C27" s="18"/>
      <c r="D27" s="18"/>
      <c r="E27" s="18"/>
      <c r="F27" s="18"/>
      <c r="G27" s="18"/>
    </row>
    <row r="28" ht="28" customHeight="1" spans="1:7" x14ac:dyDescent="0.25">
      <c r="A28" s="20" t="s">
        <v>126</v>
      </c>
      <c r="B28" s="20" t="s">
        <v>109</v>
      </c>
      <c r="C28" s="20" t="s">
        <v>127</v>
      </c>
      <c r="D28" s="20" t="s">
        <v>128</v>
      </c>
      <c r="E28" s="20" t="s">
        <v>129</v>
      </c>
      <c r="F28" s="20" t="s">
        <v>130</v>
      </c>
      <c r="G28" s="20" t="s">
        <v>131</v>
      </c>
    </row>
    <row r="29" spans="1:7" x14ac:dyDescent="0.25">
      <c r="A29" s="11" t="s">
        <v>132</v>
      </c>
      <c r="B29" s="11" t="s">
        <v>133</v>
      </c>
      <c r="C29" s="11" t="s">
        <v>134</v>
      </c>
      <c r="D29" s="24">
        <v>1</v>
      </c>
      <c r="E29" s="22">
        <v>55000</v>
      </c>
      <c r="F29" s="23">
        <v>0.2</v>
      </c>
      <c r="G29" s="23">
        <v>0.0765</v>
      </c>
    </row>
    <row r="30" spans="1:7" x14ac:dyDescent="0.25">
      <c r="A30" s="11" t="s">
        <v>135</v>
      </c>
      <c r="B30" s="11" t="s">
        <v>136</v>
      </c>
      <c r="C30" s="11" t="s">
        <v>134</v>
      </c>
      <c r="D30" s="24">
        <v>1</v>
      </c>
      <c r="E30" s="22">
        <v>45000</v>
      </c>
      <c r="F30" s="23">
        <v>0.2</v>
      </c>
      <c r="G30" s="23">
        <v>0.0765</v>
      </c>
    </row>
    <row r="31" spans="1:7" x14ac:dyDescent="0.25">
      <c r="A31" s="11" t="s">
        <v>137</v>
      </c>
      <c r="B31" s="11" t="s">
        <v>136</v>
      </c>
      <c r="C31" s="11" t="s">
        <v>138</v>
      </c>
      <c r="D31" s="24">
        <v>0.5</v>
      </c>
      <c r="E31" s="22">
        <v>28000</v>
      </c>
      <c r="F31" s="23">
        <v>0</v>
      </c>
      <c r="G31" s="23">
        <v>0.0765</v>
      </c>
    </row>
    <row r="33" ht="24" customHeight="1" spans="1:7" x14ac:dyDescent="0.25">
      <c r="A33" s="18" t="s">
        <v>139</v>
      </c>
      <c r="B33" s="18"/>
      <c r="C33" s="18"/>
      <c r="D33" s="18"/>
      <c r="E33" s="18"/>
      <c r="F33" s="18"/>
      <c r="G33" s="18"/>
    </row>
    <row r="34" ht="28" customHeight="1" spans="1:5" x14ac:dyDescent="0.25">
      <c r="A34" s="20" t="s">
        <v>108</v>
      </c>
      <c r="B34" s="20" t="s">
        <v>109</v>
      </c>
      <c r="C34" s="20" t="s">
        <v>110</v>
      </c>
      <c r="D34" s="20" t="s">
        <v>111</v>
      </c>
      <c r="E34" s="20" t="s">
        <v>112</v>
      </c>
    </row>
    <row r="35" spans="1:5" x14ac:dyDescent="0.25">
      <c r="A35" s="11" t="s">
        <v>140</v>
      </c>
      <c r="B35" s="11" t="s">
        <v>141</v>
      </c>
      <c r="C35" s="11" t="s">
        <v>142</v>
      </c>
      <c r="D35" s="22">
        <v>2500</v>
      </c>
      <c r="E35" s="23">
        <v>0.03</v>
      </c>
    </row>
    <row r="36" spans="1:5" x14ac:dyDescent="0.25">
      <c r="A36" s="11" t="s">
        <v>143</v>
      </c>
      <c r="B36" s="11" t="s">
        <v>141</v>
      </c>
      <c r="C36" s="11" t="s">
        <v>142</v>
      </c>
      <c r="D36" s="22">
        <v>300</v>
      </c>
      <c r="E36" s="23">
        <v>0</v>
      </c>
    </row>
    <row r="37" spans="1:5" x14ac:dyDescent="0.25">
      <c r="A37" s="11" t="s">
        <v>144</v>
      </c>
      <c r="B37" s="11" t="s">
        <v>141</v>
      </c>
      <c r="C37" s="11" t="s">
        <v>121</v>
      </c>
      <c r="D37" s="22">
        <v>2400</v>
      </c>
      <c r="E37" s="23">
        <v>0</v>
      </c>
    </row>
    <row r="38" spans="1:5" x14ac:dyDescent="0.25">
      <c r="A38" s="11" t="s">
        <v>145</v>
      </c>
      <c r="B38" s="11" t="s">
        <v>146</v>
      </c>
      <c r="C38" s="11" t="s">
        <v>115</v>
      </c>
      <c r="D38" s="22">
        <v>500</v>
      </c>
      <c r="E38" s="23">
        <v>0</v>
      </c>
    </row>
    <row r="39" spans="1:5" x14ac:dyDescent="0.25">
      <c r="A39" s="11" t="s">
        <v>147</v>
      </c>
      <c r="B39" s="11" t="s">
        <v>147</v>
      </c>
      <c r="C39" s="11" t="s">
        <v>115</v>
      </c>
      <c r="D39" s="22">
        <v>300</v>
      </c>
      <c r="E39" s="23">
        <v>0</v>
      </c>
    </row>
    <row r="40" spans="1:5" x14ac:dyDescent="0.25">
      <c r="A40" s="11" t="s">
        <v>148</v>
      </c>
      <c r="B40" s="11" t="s">
        <v>149</v>
      </c>
      <c r="C40" s="11" t="s">
        <v>121</v>
      </c>
      <c r="D40" s="22">
        <v>3000</v>
      </c>
      <c r="E40" s="23">
        <v>0</v>
      </c>
    </row>
    <row r="42" ht="24" customHeight="1" spans="1:7" x14ac:dyDescent="0.25">
      <c r="A42" s="18" t="s">
        <v>150</v>
      </c>
      <c r="B42" s="18"/>
      <c r="C42" s="18"/>
      <c r="D42" s="18"/>
      <c r="E42" s="18"/>
      <c r="F42" s="18"/>
      <c r="G42" s="18"/>
    </row>
    <row r="43" ht="28" customHeight="1" spans="1:5" x14ac:dyDescent="0.25">
      <c r="A43" s="20" t="s">
        <v>151</v>
      </c>
      <c r="B43" s="20" t="s">
        <v>127</v>
      </c>
      <c r="C43" s="20" t="s">
        <v>152</v>
      </c>
      <c r="D43" s="20" t="s">
        <v>129</v>
      </c>
      <c r="E43" s="20" t="s">
        <v>153</v>
      </c>
    </row>
    <row r="44" spans="1:5" x14ac:dyDescent="0.25">
      <c r="A44" s="11" t="s">
        <v>154</v>
      </c>
      <c r="B44" s="11" t="s">
        <v>155</v>
      </c>
      <c r="C44" s="22">
        <v>30000</v>
      </c>
      <c r="D44" s="23">
        <v>0.06</v>
      </c>
      <c r="E44" s="21">
        <v>5</v>
      </c>
    </row>
    <row r="46" ht="24" customHeight="1" spans="1:7" x14ac:dyDescent="0.25">
      <c r="A46" s="18" t="s">
        <v>156</v>
      </c>
      <c r="B46" s="18"/>
      <c r="C46" s="18"/>
      <c r="D46" s="18"/>
      <c r="E46" s="18"/>
      <c r="F46" s="18"/>
      <c r="G46" s="18"/>
    </row>
    <row r="47" spans="1:3" x14ac:dyDescent="0.25">
      <c r="A47" s="11" t="s">
        <v>157</v>
      </c>
      <c r="B47" s="23">
        <v>0.03</v>
      </c>
      <c r="C47" s="25" t="s">
        <v>158</v>
      </c>
    </row>
    <row r="48" spans="1:3" x14ac:dyDescent="0.25">
      <c r="A48" s="11" t="s">
        <v>159</v>
      </c>
      <c r="B48" s="23">
        <v>0.03</v>
      </c>
      <c r="C48" s="25" t="s">
        <v>160</v>
      </c>
    </row>
    <row r="49" spans="1:2" x14ac:dyDescent="0.25">
      <c r="A49" s="11" t="s">
        <v>161</v>
      </c>
      <c r="B49" s="24">
        <v>0.8333333333333334</v>
      </c>
    </row>
    <row r="50" spans="1:2" x14ac:dyDescent="0.25">
      <c r="A50" s="11" t="s">
        <v>162</v>
      </c>
      <c r="B50" s="22">
        <v>0</v>
      </c>
    </row>
    <row r="51" spans="1:2" x14ac:dyDescent="0.25">
      <c r="A51" s="11" t="s">
        <v>163</v>
      </c>
      <c r="B51" s="19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165</v>
      </c>
      <c r="B3" s="11" t="s">
        <v>166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167</v>
      </c>
      <c r="B6" s="11" t="s">
        <v>168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169</v>
      </c>
      <c r="B8" s="11" t="s">
        <v>46</v>
      </c>
    </row>
    <row r="9" spans="1:2" x14ac:dyDescent="0.25">
      <c r="A9" s="10" t="s">
        <v>98</v>
      </c>
      <c r="B9" s="11" t="s">
        <v>170</v>
      </c>
    </row>
    <row r="10" spans="1:2" x14ac:dyDescent="0.25">
      <c r="A10" s="10" t="s">
        <v>171</v>
      </c>
      <c r="B10" s="11" t="s">
        <v>172</v>
      </c>
    </row>
    <row r="11" spans="1:2" x14ac:dyDescent="0.25">
      <c r="A11" s="10" t="s">
        <v>173</v>
      </c>
      <c r="B11" s="11" t="s">
        <v>174</v>
      </c>
    </row>
    <row r="12" spans="1:2" x14ac:dyDescent="0.25">
      <c r="A12" s="10" t="s">
        <v>163</v>
      </c>
      <c r="B12" s="11" t="s">
        <v>164</v>
      </c>
    </row>
    <row r="13" spans="1:2" x14ac:dyDescent="0.25">
      <c r="A13" s="10" t="s">
        <v>99</v>
      </c>
      <c r="B13" s="11" t="s">
        <v>175</v>
      </c>
    </row>
    <row r="14" spans="1:2" x14ac:dyDescent="0.25">
      <c r="A14" s="10" t="s">
        <v>176</v>
      </c>
      <c r="B14" s="11" t="s">
        <v>164</v>
      </c>
    </row>
    <row r="15" spans="1:2" x14ac:dyDescent="0.25">
      <c r="A15" s="10" t="s">
        <v>177</v>
      </c>
      <c r="B15" s="11" t="s">
        <v>178</v>
      </c>
    </row>
    <row r="16" spans="1:2" x14ac:dyDescent="0.25">
      <c r="A16" s="10" t="s">
        <v>179</v>
      </c>
      <c r="B16" s="11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181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6">
        <v>12</v>
      </c>
      <c r="C6" s="26">
        <v>18</v>
      </c>
      <c r="D6" s="26">
        <v>22</v>
      </c>
      <c r="E6" s="26">
        <v>25</v>
      </c>
      <c r="F6" s="26">
        <v>25</v>
      </c>
    </row>
    <row r="7" spans="1:2" x14ac:dyDescent="0.25">
      <c r="A7" s="11" t="s">
        <v>99</v>
      </c>
      <c r="B7" s="27">
        <v>25</v>
      </c>
    </row>
    <row r="8" spans="1:6" x14ac:dyDescent="0.25">
      <c r="A8" s="11" t="s">
        <v>182</v>
      </c>
      <c r="B8" s="28">
        <v>0.48</v>
      </c>
      <c r="C8" s="28">
        <v>0.72</v>
      </c>
      <c r="D8" s="28">
        <v>0.88</v>
      </c>
      <c r="E8" s="28">
        <v>1</v>
      </c>
      <c r="F8" s="28">
        <v>1</v>
      </c>
    </row>
    <row r="10" spans="1:6" x14ac:dyDescent="0.25">
      <c r="A10" s="11" t="s">
        <v>183</v>
      </c>
      <c r="B10" s="11" t="s">
        <v>184</v>
      </c>
      <c r="C10" s="29">
        <v>0.5</v>
      </c>
      <c r="D10" s="29">
        <v>0.2222222222222222</v>
      </c>
      <c r="E10" s="29">
        <v>0.13636363636363635</v>
      </c>
      <c r="F10" s="29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186</v>
      </c>
      <c r="B4" s="18"/>
      <c r="C4" s="18"/>
      <c r="D4" s="18"/>
      <c r="E4" s="18"/>
      <c r="F4" s="18"/>
    </row>
    <row r="5" spans="1:6" x14ac:dyDescent="0.25">
      <c r="A5" s="11" t="s">
        <v>187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188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189</v>
      </c>
      <c r="B7" s="30">
        <v>84000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190</v>
      </c>
      <c r="B8" s="30">
        <v>5000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191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ht="24" customHeight="1" spans="1:6" x14ac:dyDescent="0.25">
      <c r="A10" s="18" t="s">
        <v>192</v>
      </c>
      <c r="B10" s="31">
        <f>SUM(B5:B9)</f>
        <v>221600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126</v>
      </c>
      <c r="B3" s="20" t="s">
        <v>109</v>
      </c>
      <c r="C3" s="20" t="s">
        <v>128</v>
      </c>
      <c r="D3" s="20" t="s">
        <v>193</v>
      </c>
      <c r="E3" s="20" t="s">
        <v>130</v>
      </c>
      <c r="F3" s="20" t="s">
        <v>131</v>
      </c>
      <c r="G3" s="20" t="s">
        <v>194</v>
      </c>
    </row>
    <row r="4" spans="1:7" x14ac:dyDescent="0.25">
      <c r="A4" s="11" t="s">
        <v>132</v>
      </c>
      <c r="B4" s="11" t="s">
        <v>133</v>
      </c>
      <c r="C4" s="32">
        <v>1</v>
      </c>
      <c r="D4" s="30">
        <v>55000</v>
      </c>
      <c r="E4" s="29">
        <v>0.2</v>
      </c>
      <c r="F4" s="29">
        <v>0.0765</v>
      </c>
      <c r="G4" s="33">
        <v>70208</v>
      </c>
    </row>
    <row r="5" spans="1:7" x14ac:dyDescent="0.25">
      <c r="A5" s="11" t="s">
        <v>135</v>
      </c>
      <c r="B5" s="11" t="s">
        <v>136</v>
      </c>
      <c r="C5" s="32">
        <v>1</v>
      </c>
      <c r="D5" s="30">
        <v>45000</v>
      </c>
      <c r="E5" s="29">
        <v>0.2</v>
      </c>
      <c r="F5" s="29">
        <v>0.0765</v>
      </c>
      <c r="G5" s="33">
        <v>57443</v>
      </c>
    </row>
    <row r="6" spans="1:7" x14ac:dyDescent="0.25">
      <c r="A6" s="11" t="s">
        <v>137</v>
      </c>
      <c r="B6" s="11" t="s">
        <v>136</v>
      </c>
      <c r="C6" s="32">
        <v>0.5</v>
      </c>
      <c r="D6" s="30">
        <v>28000</v>
      </c>
      <c r="E6" s="29">
        <v>0</v>
      </c>
      <c r="F6" s="29">
        <v>0.0765</v>
      </c>
      <c r="G6" s="33">
        <v>15071</v>
      </c>
    </row>
    <row r="8" ht="24" customHeight="1" spans="1:7" x14ac:dyDescent="0.25">
      <c r="A8" s="18" t="s">
        <v>195</v>
      </c>
      <c r="B8" s="18"/>
      <c r="C8" s="18"/>
      <c r="D8" s="18"/>
      <c r="E8" s="18"/>
      <c r="F8" s="18"/>
      <c r="G8" s="18"/>
    </row>
    <row r="9" ht="28" customHeight="1" spans="1:6" x14ac:dyDescent="0.25">
      <c r="A9" s="20" t="s">
        <v>7</v>
      </c>
      <c r="B9" s="20" t="s">
        <v>101</v>
      </c>
      <c r="C9" s="20" t="s">
        <v>102</v>
      </c>
      <c r="D9" s="20" t="s">
        <v>103</v>
      </c>
      <c r="E9" s="20" t="s">
        <v>104</v>
      </c>
      <c r="F9" s="20" t="s">
        <v>105</v>
      </c>
    </row>
    <row r="10" spans="1:6" x14ac:dyDescent="0.25">
      <c r="A10" s="10" t="s">
        <v>196</v>
      </c>
      <c r="B10" s="31">
        <v>118934</v>
      </c>
      <c r="C10" s="31">
        <v>147003</v>
      </c>
      <c r="D10" s="31">
        <v>151413</v>
      </c>
      <c r="E10" s="31">
        <v>155955</v>
      </c>
      <c r="F10" s="31">
        <v>160634</v>
      </c>
    </row>
    <row r="11" spans="1:6" x14ac:dyDescent="0.25">
      <c r="A11" s="11" t="s">
        <v>197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198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146</v>
      </c>
      <c r="B4" s="18"/>
      <c r="C4" s="18"/>
      <c r="D4" s="18"/>
      <c r="E4" s="18"/>
      <c r="F4" s="18"/>
    </row>
    <row r="5" spans="1:6" x14ac:dyDescent="0.25">
      <c r="A5" s="11" t="s">
        <v>200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201</v>
      </c>
      <c r="B6" s="35">
        <f>SUM(B5:B5)</f>
        <v>6000</v>
      </c>
      <c r="C6" s="35">
        <f>SUM(C5:C5)</f>
        <v>9270</v>
      </c>
      <c r="D6" s="35">
        <f>SUM(D5:D5)</f>
        <v>11670</v>
      </c>
      <c r="E6" s="35">
        <f>SUM(E5:E5)</f>
        <v>13659</v>
      </c>
      <c r="F6" s="35">
        <f>SUM(F5:F5)</f>
        <v>14069</v>
      </c>
    </row>
    <row r="7" ht="24" customHeight="1" spans="1:6" x14ac:dyDescent="0.25">
      <c r="A7" s="18" t="s">
        <v>147</v>
      </c>
      <c r="B7" s="18"/>
      <c r="C7" s="18"/>
      <c r="D7" s="18"/>
      <c r="E7" s="18"/>
      <c r="F7" s="18"/>
    </row>
    <row r="8" spans="1:6" x14ac:dyDescent="0.25">
      <c r="A8" s="11" t="s">
        <v>202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203</v>
      </c>
      <c r="B9" s="35">
        <f>SUM(B8:B8)</f>
        <v>3600</v>
      </c>
      <c r="C9" s="35">
        <f>SUM(C8:C8)</f>
        <v>5562</v>
      </c>
      <c r="D9" s="35">
        <f>SUM(D8:D8)</f>
        <v>7002</v>
      </c>
      <c r="E9" s="35">
        <f>SUM(E8:E8)</f>
        <v>8195</v>
      </c>
      <c r="F9" s="35">
        <f>SUM(F8:F8)</f>
        <v>8441</v>
      </c>
    </row>
    <row r="10" ht="24" customHeight="1" spans="1:6" x14ac:dyDescent="0.25">
      <c r="A10" s="18" t="s">
        <v>141</v>
      </c>
      <c r="B10" s="18"/>
      <c r="C10" s="18"/>
      <c r="D10" s="18"/>
      <c r="E10" s="18"/>
      <c r="F10" s="18"/>
    </row>
    <row r="11" spans="1:6" x14ac:dyDescent="0.25">
      <c r="A11" s="11" t="s">
        <v>204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205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206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207</v>
      </c>
      <c r="B14" s="35">
        <f>SUM(B11:B13)</f>
        <v>36000</v>
      </c>
      <c r="C14" s="35">
        <f>SUM(C11:C13)</f>
        <v>37080</v>
      </c>
      <c r="D14" s="35">
        <f>SUM(D11:D13)</f>
        <v>38192</v>
      </c>
      <c r="E14" s="35">
        <f>SUM(E11:E13)</f>
        <v>39338</v>
      </c>
      <c r="F14" s="35">
        <f>SUM(F11:F13)</f>
        <v>40518</v>
      </c>
    </row>
    <row r="15" ht="24" customHeight="1" spans="1:6" x14ac:dyDescent="0.25">
      <c r="A15" s="18" t="s">
        <v>149</v>
      </c>
      <c r="B15" s="18"/>
      <c r="C15" s="18"/>
      <c r="D15" s="18"/>
      <c r="E15" s="18"/>
      <c r="F15" s="18"/>
    </row>
    <row r="16" spans="1:6" x14ac:dyDescent="0.25">
      <c r="A16" s="11" t="s">
        <v>208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209</v>
      </c>
      <c r="B17" s="35">
        <f>SUM(B16:B16)</f>
        <v>3000</v>
      </c>
      <c r="C17" s="35">
        <f>SUM(C16:C16)</f>
        <v>3090</v>
      </c>
      <c r="D17" s="35">
        <f>SUM(D16:D16)</f>
        <v>3183</v>
      </c>
      <c r="E17" s="35">
        <f>SUM(E16:E16)</f>
        <v>3278</v>
      </c>
      <c r="F17" s="35">
        <f>SUM(F16:F16)</f>
        <v>3377</v>
      </c>
    </row>
    <row r="19" ht="24" customHeight="1" spans="1:6" x14ac:dyDescent="0.25">
      <c r="A19" s="18" t="s">
        <v>210</v>
      </c>
      <c r="B19" s="31">
        <f>B6+B9+B14+B17</f>
        <v>48600</v>
      </c>
      <c r="C19" s="31">
        <f>C6+C9+C14+C17</f>
        <v>55002</v>
      </c>
      <c r="D19" s="31">
        <f>D6+D9+D14+D17</f>
        <v>60047</v>
      </c>
      <c r="E19" s="31">
        <f>E6+E9+E14+E17</f>
        <v>64471</v>
      </c>
      <c r="F19" s="31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211</v>
      </c>
      <c r="B1" s="15"/>
      <c r="C1" s="15"/>
      <c r="D1" s="15"/>
      <c r="E1" s="15"/>
      <c r="F1" s="15"/>
    </row>
    <row r="3" ht="28" customHeight="1" spans="1:6" x14ac:dyDescent="0.25">
      <c r="A3" s="20" t="s">
        <v>151</v>
      </c>
      <c r="B3" s="20" t="s">
        <v>127</v>
      </c>
      <c r="C3" s="20" t="s">
        <v>152</v>
      </c>
      <c r="D3" s="20" t="s">
        <v>129</v>
      </c>
      <c r="E3" s="20" t="s">
        <v>153</v>
      </c>
      <c r="F3" s="20" t="s">
        <v>212</v>
      </c>
    </row>
    <row r="4" spans="1:6" x14ac:dyDescent="0.25">
      <c r="A4" s="11" t="s">
        <v>154</v>
      </c>
      <c r="B4" s="11" t="s">
        <v>155</v>
      </c>
      <c r="C4" s="22">
        <v>30000</v>
      </c>
      <c r="D4" s="29">
        <v>0.06</v>
      </c>
      <c r="E4" s="27">
        <v>5</v>
      </c>
      <c r="F4" s="33">
        <v>6960</v>
      </c>
    </row>
    <row r="6" spans="1:6" x14ac:dyDescent="0.25">
      <c r="A6" s="10" t="s">
        <v>213</v>
      </c>
      <c r="F6" s="31">
        <v>6960</v>
      </c>
    </row>
    <row r="7" spans="1:6" x14ac:dyDescent="0.25">
      <c r="A7" s="10" t="s">
        <v>214</v>
      </c>
      <c r="F7" s="35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6">
        <v>12</v>
      </c>
      <c r="C4" s="36">
        <v>18</v>
      </c>
      <c r="D4" s="36">
        <v>22</v>
      </c>
      <c r="E4" s="36">
        <v>25</v>
      </c>
      <c r="F4" s="36">
        <v>25</v>
      </c>
    </row>
    <row r="6" ht="24" customHeight="1" spans="1:6" x14ac:dyDescent="0.25">
      <c r="A6" s="18" t="s">
        <v>216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116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117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119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122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8" t="s">
        <v>192</v>
      </c>
      <c r="B12" s="31">
        <f>SUM(B7:B11)</f>
        <v>221600</v>
      </c>
      <c r="C12" s="31">
        <f>SUM(C7:C11)</f>
        <v>339797</v>
      </c>
      <c r="D12" s="31">
        <f>SUM(D7:D11)</f>
        <v>426588</v>
      </c>
      <c r="E12" s="31">
        <f>SUM(E7:E11)</f>
        <v>498557</v>
      </c>
      <c r="F12" s="31">
        <f>SUM(F7:F11)</f>
        <v>513513</v>
      </c>
    </row>
    <row r="14" spans="1:6" x14ac:dyDescent="0.25">
      <c r="A14" s="11" t="s">
        <v>217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219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220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221</v>
      </c>
      <c r="B7" s="35">
        <f>SUM(B5:B6)</f>
        <v>60428</v>
      </c>
      <c r="C7" s="35">
        <f>SUM(C5:C6)</f>
        <v>74689</v>
      </c>
      <c r="D7" s="35">
        <f>SUM(D5:D6)</f>
        <v>76930</v>
      </c>
      <c r="E7" s="35">
        <f>SUM(E5:E6)</f>
        <v>79237</v>
      </c>
      <c r="F7" s="35">
        <f>SUM(F5:F6)</f>
        <v>81615</v>
      </c>
    </row>
    <row r="8" ht="24" customHeight="1" spans="1:6" x14ac:dyDescent="0.25">
      <c r="A8" s="18" t="s">
        <v>133</v>
      </c>
      <c r="B8" s="18"/>
      <c r="C8" s="18"/>
      <c r="D8" s="18"/>
      <c r="E8" s="18"/>
      <c r="F8" s="18"/>
    </row>
    <row r="9" spans="1:6" x14ac:dyDescent="0.25">
      <c r="A9" s="11" t="s">
        <v>222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223</v>
      </c>
      <c r="B10" s="35">
        <f>SUM(B9:B9)</f>
        <v>58506</v>
      </c>
      <c r="C10" s="35">
        <f>SUM(C9:C9)</f>
        <v>72314</v>
      </c>
      <c r="D10" s="35">
        <f>SUM(D9:D9)</f>
        <v>74483</v>
      </c>
      <c r="E10" s="35">
        <f>SUM(E9:E9)</f>
        <v>76718</v>
      </c>
      <c r="F10" s="35">
        <f>SUM(F9:F9)</f>
        <v>79019</v>
      </c>
    </row>
    <row r="12" ht="24" customHeight="1" spans="1:6" x14ac:dyDescent="0.25">
      <c r="A12" s="18" t="s">
        <v>224</v>
      </c>
      <c r="B12" s="31">
        <f>B7+B10</f>
        <v>118934</v>
      </c>
      <c r="C12" s="31">
        <f>C7+C10</f>
        <v>147003</v>
      </c>
      <c r="D12" s="31">
        <f>D7+D10</f>
        <v>151413</v>
      </c>
      <c r="E12" s="31">
        <f>E7+E10</f>
        <v>155955</v>
      </c>
      <c r="F12" s="31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226</v>
      </c>
      <c r="B4" s="18"/>
      <c r="C4" s="18"/>
      <c r="D4" s="18"/>
      <c r="E4" s="18"/>
      <c r="F4" s="18"/>
    </row>
    <row r="5" spans="1:6" x14ac:dyDescent="0.25">
      <c r="A5" s="11" t="s">
        <v>227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228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229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230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231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232</v>
      </c>
      <c r="B10" s="35">
        <f>SUM(B5:B9)</f>
        <v>184667</v>
      </c>
      <c r="C10" s="35">
        <f>SUM(C5:C9)</f>
        <v>339797</v>
      </c>
      <c r="D10" s="35">
        <f>SUM(D5:D9)</f>
        <v>426588</v>
      </c>
      <c r="E10" s="35">
        <f>SUM(E5:E9)</f>
        <v>498557</v>
      </c>
      <c r="F10" s="35">
        <f>SUM(F5:F9)</f>
        <v>513513</v>
      </c>
    </row>
    <row r="12" ht="24" customHeight="1" spans="1:6" x14ac:dyDescent="0.25">
      <c r="A12" s="18" t="s">
        <v>233</v>
      </c>
      <c r="B12" s="18"/>
      <c r="C12" s="18"/>
      <c r="D12" s="18"/>
      <c r="E12" s="18"/>
      <c r="F12" s="18"/>
    </row>
    <row r="13" spans="1:6" x14ac:dyDescent="0.25">
      <c r="A13" s="11" t="s">
        <v>222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219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196</v>
      </c>
      <c r="B16" s="35">
        <f>SUM(B13:B15)</f>
        <v>118934</v>
      </c>
      <c r="C16" s="35">
        <f>SUM(C13:C15)</f>
        <v>147003</v>
      </c>
      <c r="D16" s="35">
        <f>SUM(D13:D15)</f>
        <v>151413</v>
      </c>
      <c r="E16" s="35">
        <f>SUM(E13:E15)</f>
        <v>155955</v>
      </c>
      <c r="F16" s="35">
        <f>SUM(F13:F15)</f>
        <v>160634</v>
      </c>
    </row>
    <row r="18" ht="24" customHeight="1" spans="1:6" x14ac:dyDescent="0.25">
      <c r="A18" s="18" t="s">
        <v>139</v>
      </c>
      <c r="B18" s="18"/>
      <c r="C18" s="18"/>
      <c r="D18" s="18"/>
      <c r="E18" s="18"/>
      <c r="F18" s="18"/>
    </row>
    <row r="19" spans="1:1" x14ac:dyDescent="0.25">
      <c r="A19" s="37" t="s">
        <v>146</v>
      </c>
    </row>
    <row r="20" spans="1:6" x14ac:dyDescent="0.25">
      <c r="A20" s="11" t="s">
        <v>234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7" t="s">
        <v>147</v>
      </c>
    </row>
    <row r="22" spans="1:6" x14ac:dyDescent="0.25">
      <c r="A22" s="11" t="s">
        <v>235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7" t="s">
        <v>141</v>
      </c>
    </row>
    <row r="24" spans="1:6" x14ac:dyDescent="0.25">
      <c r="A24" s="11" t="s">
        <v>236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237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238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239</v>
      </c>
      <c r="B27" s="35">
        <f>SUM(B24:B26)</f>
        <v>30000</v>
      </c>
      <c r="C27" s="35">
        <f>SUM(C24:C26)</f>
        <v>37080</v>
      </c>
      <c r="D27" s="35">
        <f>SUM(D24:D26)</f>
        <v>38192</v>
      </c>
      <c r="E27" s="35">
        <f>SUM(E24:E26)</f>
        <v>39338</v>
      </c>
      <c r="F27" s="35">
        <f>SUM(F24:F26)</f>
        <v>40518</v>
      </c>
    </row>
    <row r="28" spans="1:1" x14ac:dyDescent="0.25">
      <c r="A28" s="37" t="s">
        <v>149</v>
      </c>
    </row>
    <row r="29" spans="1:6" x14ac:dyDescent="0.25">
      <c r="A29" s="11" t="s">
        <v>240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241</v>
      </c>
      <c r="B30" s="35">
        <f>B20+B22+B27+B29</f>
        <v>40500</v>
      </c>
      <c r="C30" s="35">
        <f>C20+C22+C27+C29</f>
        <v>55002</v>
      </c>
      <c r="D30" s="35">
        <f>D20+D22+D27+D29</f>
        <v>60047</v>
      </c>
      <c r="E30" s="35">
        <f>E20+E22+E27+E29</f>
        <v>64471</v>
      </c>
      <c r="F30" s="35">
        <f>F20+F22+F27+F29</f>
        <v>66405</v>
      </c>
    </row>
    <row r="32" ht="24" customHeight="1" spans="1:6" x14ac:dyDescent="0.25">
      <c r="A32" s="18" t="s">
        <v>242</v>
      </c>
      <c r="B32" s="18"/>
      <c r="C32" s="18"/>
      <c r="D32" s="18"/>
      <c r="E32" s="18"/>
      <c r="F32" s="18"/>
    </row>
    <row r="33" spans="1:6" x14ac:dyDescent="0.25">
      <c r="A33" s="10" t="s">
        <v>243</v>
      </c>
      <c r="B33" s="35" t="str">
        <f>SUM(B33:B32)</f>
        <v>0</v>
      </c>
      <c r="C33" s="35" t="str">
        <f>SUM(C33:C32)</f>
        <v>0</v>
      </c>
      <c r="D33" s="35" t="str">
        <f>SUM(D33:D32)</f>
        <v>0</v>
      </c>
      <c r="E33" s="35" t="str">
        <f>SUM(E33:E32)</f>
        <v>0</v>
      </c>
      <c r="F33" s="35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232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196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241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245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246</v>
      </c>
      <c r="B8" s="35">
        <f>SUM(B5:B7)</f>
        <v>159434</v>
      </c>
      <c r="C8" s="35">
        <f>SUM(C5:C7)</f>
        <v>202005</v>
      </c>
      <c r="D8" s="35">
        <f>SUM(D5:D7)</f>
        <v>211460</v>
      </c>
      <c r="E8" s="35">
        <f>SUM(E5:E7)</f>
        <v>220426</v>
      </c>
      <c r="F8" s="35">
        <f>SUM(F5:F7)</f>
        <v>227039</v>
      </c>
    </row>
    <row r="10" ht="24" customHeight="1" spans="1:6" x14ac:dyDescent="0.25">
      <c r="A10" s="18" t="s">
        <v>247</v>
      </c>
      <c r="B10" s="18"/>
      <c r="C10" s="18"/>
      <c r="D10" s="18"/>
      <c r="E10" s="18"/>
      <c r="F10" s="18"/>
    </row>
    <row r="11" spans="1:6" x14ac:dyDescent="0.25">
      <c r="A11" s="10" t="s">
        <v>248</v>
      </c>
      <c r="B11" s="31">
        <f>B4-B8</f>
        <v>25233</v>
      </c>
      <c r="C11" s="31">
        <f>C4-C8</f>
        <v>137792</v>
      </c>
      <c r="D11" s="31">
        <f>D4-D8</f>
        <v>215128</v>
      </c>
      <c r="E11" s="31">
        <f>E4-E8</f>
        <v>278131</v>
      </c>
      <c r="F11" s="31">
        <f>F4-F8</f>
        <v>286475</v>
      </c>
    </row>
    <row r="12" spans="1:6" x14ac:dyDescent="0.25">
      <c r="A12" s="11" t="s">
        <v>249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250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217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251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253</v>
      </c>
      <c r="C2" s="20" t="s">
        <v>254</v>
      </c>
      <c r="D2" s="20" t="s">
        <v>255</v>
      </c>
      <c r="E2" s="20" t="s">
        <v>256</v>
      </c>
      <c r="F2" s="20" t="s">
        <v>257</v>
      </c>
      <c r="G2" s="20" t="s">
        <v>258</v>
      </c>
      <c r="H2" s="20" t="s">
        <v>259</v>
      </c>
      <c r="I2" s="20" t="s">
        <v>260</v>
      </c>
      <c r="J2" s="20" t="s">
        <v>261</v>
      </c>
      <c r="K2" s="20" t="s">
        <v>262</v>
      </c>
      <c r="L2" s="20" t="s">
        <v>263</v>
      </c>
      <c r="M2" s="20" t="s">
        <v>264</v>
      </c>
      <c r="N2" s="20" t="s">
        <v>265</v>
      </c>
    </row>
    <row r="3" ht="24" customHeight="1" spans="1:14" x14ac:dyDescent="0.25">
      <c r="A3" s="18" t="s">
        <v>226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232</v>
      </c>
      <c r="B4" s="35">
        <v>9150</v>
      </c>
      <c r="C4" s="35">
        <v>22110</v>
      </c>
      <c r="D4" s="35">
        <v>22110</v>
      </c>
      <c r="E4" s="35">
        <v>22110</v>
      </c>
      <c r="F4" s="35">
        <v>22110</v>
      </c>
      <c r="G4" s="35">
        <v>22110</v>
      </c>
      <c r="H4" s="35">
        <v>22110</v>
      </c>
      <c r="I4" s="35">
        <v>22110</v>
      </c>
      <c r="J4" s="35">
        <v>22110</v>
      </c>
      <c r="K4" s="35">
        <v>22110</v>
      </c>
      <c r="L4" s="35">
        <v>13210</v>
      </c>
      <c r="M4" s="35">
        <v>250</v>
      </c>
      <c r="N4" s="35">
        <f>SUM(B4:M4)</f>
        <v>221600</v>
      </c>
    </row>
    <row r="6" ht="24" customHeight="1" spans="1:14" x14ac:dyDescent="0.25">
      <c r="A6" s="18" t="s">
        <v>266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267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268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269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8" t="s">
        <v>270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246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271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272</v>
      </c>
      <c r="B14" s="38">
        <f>B17+B13</f>
        <v>-6793</v>
      </c>
      <c r="C14" s="38">
        <f>B14+C13</f>
        <v>-626</v>
      </c>
      <c r="D14" s="38">
        <f>C14+D13</f>
        <v>5541</v>
      </c>
      <c r="E14" s="38">
        <f>D14+E13</f>
        <v>11708</v>
      </c>
      <c r="F14" s="38">
        <f>E14+F13</f>
        <v>17875</v>
      </c>
      <c r="G14" s="38">
        <f>F14+G13</f>
        <v>24042</v>
      </c>
      <c r="H14" s="38">
        <f>G14+H13</f>
        <v>30209</v>
      </c>
      <c r="I14" s="38">
        <f>H14+I13</f>
        <v>36376</v>
      </c>
      <c r="J14" s="38">
        <f>I14+J13</f>
        <v>42543</v>
      </c>
      <c r="K14" s="38">
        <f>J14+K13</f>
        <v>48710</v>
      </c>
      <c r="L14" s="38">
        <f>K14+L13</f>
        <v>61920</v>
      </c>
      <c r="M14" s="38">
        <f>L14+M13</f>
        <v>62170</v>
      </c>
      <c r="N14" s="31">
        <f>M14</f>
        <v>62170</v>
      </c>
    </row>
    <row r="16" ht="24" customHeight="1" spans="1:3" x14ac:dyDescent="0.25">
      <c r="A16" s="18" t="s">
        <v>273</v>
      </c>
      <c r="B16" s="18"/>
      <c r="C16" s="18"/>
    </row>
    <row r="17" spans="1:2" x14ac:dyDescent="0.25">
      <c r="A17" s="11" t="s">
        <v>162</v>
      </c>
      <c r="B17" s="22">
        <v>0</v>
      </c>
    </row>
    <row r="18" spans="1:2" x14ac:dyDescent="0.25">
      <c r="A18" s="11" t="s">
        <v>274</v>
      </c>
      <c r="B18" s="38">
        <f>M14</f>
        <v>62170</v>
      </c>
    </row>
    <row r="19" spans="1:2" x14ac:dyDescent="0.25">
      <c r="A19" s="11" t="s">
        <v>275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226</v>
      </c>
      <c r="B4" s="18"/>
      <c r="C4" s="18"/>
      <c r="D4" s="18"/>
      <c r="E4" s="18"/>
      <c r="F4" s="18"/>
    </row>
    <row r="5" spans="1:6" x14ac:dyDescent="0.25">
      <c r="A5" s="39" t="s">
        <v>232</v>
      </c>
      <c r="B5" s="35">
        <v>184667</v>
      </c>
      <c r="C5" s="35">
        <v>339797</v>
      </c>
      <c r="D5" s="35">
        <v>426588</v>
      </c>
      <c r="E5" s="35">
        <v>498557</v>
      </c>
      <c r="F5" s="35">
        <v>513513</v>
      </c>
    </row>
    <row r="7" ht="24" customHeight="1" spans="1:6" x14ac:dyDescent="0.25">
      <c r="A7" s="18" t="s">
        <v>266</v>
      </c>
      <c r="B7" s="18"/>
      <c r="C7" s="18"/>
      <c r="D7" s="18"/>
      <c r="E7" s="18"/>
      <c r="F7" s="18"/>
    </row>
    <row r="8" spans="1:6" x14ac:dyDescent="0.25">
      <c r="A8" s="10" t="s">
        <v>267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268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277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9" t="s">
        <v>246</v>
      </c>
      <c r="B11" s="35">
        <f>SUM(B8:B10)</f>
        <v>159434</v>
      </c>
      <c r="C11" s="35">
        <f>SUM(C8:C10)</f>
        <v>202005</v>
      </c>
      <c r="D11" s="35">
        <f>SUM(D8:D10)</f>
        <v>211460</v>
      </c>
      <c r="E11" s="35">
        <f>SUM(E8:E10)</f>
        <v>220426</v>
      </c>
      <c r="F11" s="35">
        <f>SUM(F8:F10)</f>
        <v>227039</v>
      </c>
    </row>
    <row r="13" ht="24" customHeight="1" spans="1:6" x14ac:dyDescent="0.25">
      <c r="A13" s="18" t="s">
        <v>278</v>
      </c>
      <c r="B13" s="18"/>
      <c r="C13" s="18"/>
      <c r="D13" s="18"/>
      <c r="E13" s="18"/>
      <c r="F13" s="18"/>
    </row>
    <row r="14" spans="1:6" x14ac:dyDescent="0.25">
      <c r="A14" s="39" t="s">
        <v>248</v>
      </c>
      <c r="B14" s="31">
        <f>B5-B11</f>
        <v>25233</v>
      </c>
      <c r="C14" s="31">
        <f>C5-C11</f>
        <v>137792</v>
      </c>
      <c r="D14" s="31">
        <f>D5-D11</f>
        <v>215128</v>
      </c>
      <c r="E14" s="31">
        <f>E5-E11</f>
        <v>278131</v>
      </c>
      <c r="F14" s="31">
        <f>F5-F11</f>
        <v>286475</v>
      </c>
    </row>
    <row r="15" spans="1:6" x14ac:dyDescent="0.25">
      <c r="A15" s="11" t="s">
        <v>249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279</v>
      </c>
      <c r="B4" s="18"/>
      <c r="C4" s="18"/>
      <c r="D4" s="18"/>
      <c r="E4" s="18"/>
      <c r="F4" s="18"/>
    </row>
    <row r="5" spans="1:5" x14ac:dyDescent="0.25">
      <c r="A5" s="40" t="s">
        <v>280</v>
      </c>
      <c r="B5" s="41" t="s">
        <v>152</v>
      </c>
      <c r="C5" s="42" t="s">
        <v>281</v>
      </c>
      <c r="D5" s="40" t="s">
        <v>282</v>
      </c>
      <c r="E5" s="41" t="s">
        <v>212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284</v>
      </c>
      <c r="B4" s="18"/>
      <c r="C4" s="18"/>
      <c r="D4" s="18"/>
      <c r="E4" s="18"/>
      <c r="F4" s="18"/>
    </row>
    <row r="5" spans="1:6" x14ac:dyDescent="0.25">
      <c r="A5" s="11" t="s">
        <v>285</v>
      </c>
      <c r="B5" s="43">
        <f>'Monthly Cash Flow Y1'!M14</f>
        <v>62170</v>
      </c>
      <c r="C5" s="43">
        <f>B5+'5-Year Operating Stmt'!C14</f>
        <v>199962</v>
      </c>
      <c r="D5" s="43">
        <f>B5+'5-Year Operating Stmt'!C14+'5-Year Operating Stmt'!D14</f>
        <v>415091</v>
      </c>
      <c r="E5" s="43">
        <f>B5+'5-Year Operating Stmt'!C14+'5-Year Operating Stmt'!D14+'5-Year Operating Stmt'!E14</f>
        <v>693221</v>
      </c>
      <c r="F5" s="43">
        <f>B5+'5-Year Operating Stmt'!C14+'5-Year Operating Stmt'!D14+'5-Year Operating Stmt'!E14+'5-Year Operating Stmt'!F14</f>
        <v>979696</v>
      </c>
    </row>
    <row r="6" spans="1:6" x14ac:dyDescent="0.25">
      <c r="A6" s="11" t="s">
        <v>286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287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288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289</v>
      </c>
      <c r="B9" s="35">
        <f>SUM(B5:B8)</f>
        <v>67170</v>
      </c>
      <c r="C9" s="35">
        <f>SUM(C5:C8)</f>
        <v>204962</v>
      </c>
      <c r="D9" s="35">
        <f>SUM(D5:D8)</f>
        <v>420091</v>
      </c>
      <c r="E9" s="35">
        <f>SUM(E5:E8)</f>
        <v>698221</v>
      </c>
      <c r="F9" s="35">
        <f>SUM(F5:F8)</f>
        <v>984696</v>
      </c>
    </row>
    <row r="11" ht="24" customHeight="1" spans="1:6" x14ac:dyDescent="0.25">
      <c r="A11" s="18" t="s">
        <v>290</v>
      </c>
      <c r="B11" s="18"/>
      <c r="C11" s="18"/>
      <c r="D11" s="18"/>
      <c r="E11" s="18"/>
      <c r="F11" s="18"/>
    </row>
    <row r="12" spans="1:6" x14ac:dyDescent="0.25">
      <c r="A12" s="11" t="s">
        <v>291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292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293</v>
      </c>
      <c r="B14" s="35" t="str">
        <f>SUM(B12:B13)</f>
        <v>0</v>
      </c>
      <c r="C14" s="35" t="str">
        <f>SUM(C12:C13)</f>
        <v>0</v>
      </c>
      <c r="D14" s="35" t="str">
        <f>SUM(D12:D13)</f>
        <v>0</v>
      </c>
      <c r="E14" s="35" t="str">
        <f>SUM(E12:E13)</f>
        <v>0</v>
      </c>
      <c r="F14" s="35" t="str">
        <f>SUM(F12:F13)</f>
        <v>0</v>
      </c>
    </row>
    <row r="16" ht="24" customHeight="1" spans="1:6" x14ac:dyDescent="0.25">
      <c r="A16" s="18" t="s">
        <v>294</v>
      </c>
      <c r="B16" s="18"/>
      <c r="C16" s="18"/>
      <c r="D16" s="18"/>
      <c r="E16" s="18"/>
      <c r="F16" s="18"/>
    </row>
    <row r="17" spans="1:6" x14ac:dyDescent="0.25">
      <c r="A17" s="10" t="s">
        <v>295</v>
      </c>
      <c r="B17" s="31">
        <f>B9-B14</f>
        <v>67170</v>
      </c>
      <c r="C17" s="31">
        <f>C9-C14</f>
        <v>204962</v>
      </c>
      <c r="D17" s="31">
        <f>D9-D14</f>
        <v>420091</v>
      </c>
      <c r="E17" s="31">
        <f>E9-E14</f>
        <v>698221</v>
      </c>
      <c r="F17" s="31">
        <f>F9-F14</f>
        <v>984696</v>
      </c>
    </row>
    <row r="19" spans="1:6" x14ac:dyDescent="0.25">
      <c r="A19" s="10" t="s">
        <v>296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4" t="str">
        <f>E9-E14-E17</f>
        <v>0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298</v>
      </c>
      <c r="B4" s="18"/>
      <c r="C4" s="18"/>
      <c r="D4" s="18"/>
      <c r="E4" s="18"/>
      <c r="F4" s="18"/>
    </row>
    <row r="5" spans="1:6" x14ac:dyDescent="0.25">
      <c r="A5" s="11" t="s">
        <v>299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267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268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300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269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301</v>
      </c>
      <c r="B10" s="45" t="s">
        <v>302</v>
      </c>
      <c r="C10" s="45" t="s">
        <v>302</v>
      </c>
      <c r="D10" s="45" t="s">
        <v>302</v>
      </c>
      <c r="E10" s="45" t="s">
        <v>302</v>
      </c>
      <c r="F10" s="45" t="s">
        <v>302</v>
      </c>
    </row>
    <row r="12" ht="24" customHeight="1" spans="1:6" x14ac:dyDescent="0.25">
      <c r="A12" s="18" t="s">
        <v>303</v>
      </c>
      <c r="B12" s="18"/>
      <c r="C12" s="18"/>
      <c r="D12" s="18"/>
      <c r="E12" s="18"/>
      <c r="F12" s="18"/>
    </row>
    <row r="13" spans="1:6" x14ac:dyDescent="0.25">
      <c r="A13" s="11" t="s">
        <v>304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305</v>
      </c>
      <c r="B14" s="27">
        <f>IF((B6+B7+B9)=0,0,(B13/(B6+B7+B9))*365)</f>
        <v>142</v>
      </c>
      <c r="C14" s="27">
        <f>IF((C6+C7+C9)=0,0,(C13/(C6+C7+C9))*365)</f>
        <v>361</v>
      </c>
      <c r="D14" s="27">
        <f>IF((D6+D7+D9)=0,0,(D13/(D6+D7+D9))*365)</f>
        <v>716</v>
      </c>
      <c r="E14" s="27">
        <f>IF((E6+E7+E9)=0,0,(E13/(E6+E7+E9))*365)</f>
        <v>1148</v>
      </c>
      <c r="F14" s="27">
        <f>IF((F6+F7+F9)=0,0,(F13/(F6+F7+F9))*365)</f>
        <v>1575</v>
      </c>
    </row>
    <row r="15" spans="1:6" x14ac:dyDescent="0.25">
      <c r="A15" s="11" t="s">
        <v>306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182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8" t="s">
        <v>307</v>
      </c>
      <c r="B18" s="18"/>
      <c r="C18" s="18"/>
      <c r="D18" s="18"/>
      <c r="E18" s="18"/>
      <c r="F18" s="18"/>
    </row>
    <row r="19" spans="1:6" x14ac:dyDescent="0.25">
      <c r="A19" s="11" t="s">
        <v>217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308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309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310</v>
      </c>
      <c r="B22" s="46">
        <v>10</v>
      </c>
      <c r="C22" s="46">
        <v>10</v>
      </c>
      <c r="D22" s="46">
        <v>10</v>
      </c>
      <c r="E22" s="46">
        <v>9</v>
      </c>
      <c r="F22" s="46">
        <v>9</v>
      </c>
    </row>
    <row r="24" ht="24" customHeight="1" spans="1:6" x14ac:dyDescent="0.25">
      <c r="A24" s="18" t="s">
        <v>311</v>
      </c>
      <c r="B24" s="18"/>
      <c r="C24" s="18"/>
      <c r="D24" s="18"/>
      <c r="E24" s="18"/>
      <c r="F24" s="18"/>
    </row>
    <row r="25" spans="1:6" x14ac:dyDescent="0.25">
      <c r="A25" s="11" t="s">
        <v>312</v>
      </c>
      <c r="B25" s="47" t="s">
        <v>302</v>
      </c>
      <c r="C25" s="47" t="s">
        <v>302</v>
      </c>
      <c r="D25" s="47" t="s">
        <v>302</v>
      </c>
      <c r="E25" s="47" t="s">
        <v>302</v>
      </c>
      <c r="F25" s="47" t="s">
        <v>302</v>
      </c>
    </row>
    <row r="26" spans="1:6" x14ac:dyDescent="0.25">
      <c r="A26" s="11" t="s">
        <v>313</v>
      </c>
      <c r="B26" s="48" t="s">
        <v>314</v>
      </c>
      <c r="C26" s="48" t="s">
        <v>314</v>
      </c>
      <c r="D26" s="48" t="s">
        <v>314</v>
      </c>
      <c r="E26" s="48" t="s">
        <v>314</v>
      </c>
      <c r="F26" s="48" t="s">
        <v>314</v>
      </c>
    </row>
    <row r="27" spans="1:6" x14ac:dyDescent="0.25">
      <c r="A27" s="11" t="s">
        <v>315</v>
      </c>
      <c r="B27" s="49" t="s">
        <v>316</v>
      </c>
      <c r="C27" s="48" t="s">
        <v>314</v>
      </c>
      <c r="D27" s="48" t="s">
        <v>314</v>
      </c>
      <c r="E27" s="48" t="s">
        <v>314</v>
      </c>
      <c r="F27" s="48" t="s">
        <v>314</v>
      </c>
    </row>
    <row r="28" spans="1:6" x14ac:dyDescent="0.25">
      <c r="A28" s="11" t="s">
        <v>317</v>
      </c>
      <c r="B28" s="48" t="s">
        <v>314</v>
      </c>
      <c r="C28" s="48" t="s">
        <v>314</v>
      </c>
      <c r="D28" s="48" t="s">
        <v>314</v>
      </c>
      <c r="E28" s="48" t="s">
        <v>314</v>
      </c>
      <c r="F28" s="48" t="s">
        <v>314</v>
      </c>
    </row>
    <row r="29" spans="1:6" x14ac:dyDescent="0.25">
      <c r="A29" s="11" t="s">
        <v>318</v>
      </c>
      <c r="B29" s="48" t="s">
        <v>314</v>
      </c>
      <c r="C29" s="48" t="s">
        <v>314</v>
      </c>
      <c r="D29" s="48" t="s">
        <v>314</v>
      </c>
      <c r="E29" s="48" t="s">
        <v>314</v>
      </c>
      <c r="F29" s="48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319</v>
      </c>
      <c r="B3" s="50" t="s">
        <v>111</v>
      </c>
      <c r="D3" s="50" t="s">
        <v>320</v>
      </c>
      <c r="E3" s="50" t="s">
        <v>111</v>
      </c>
    </row>
    <row r="4" spans="1:5" x14ac:dyDescent="0.25">
      <c r="A4" s="11" t="s">
        <v>321</v>
      </c>
      <c r="B4" s="30">
        <v>20000</v>
      </c>
      <c r="D4" s="11" t="s">
        <v>322</v>
      </c>
      <c r="E4" s="30">
        <v>15000</v>
      </c>
    </row>
    <row r="5" spans="4:5" x14ac:dyDescent="0.25">
      <c r="D5" s="11" t="s">
        <v>323</v>
      </c>
      <c r="E5" s="30">
        <v>5000</v>
      </c>
    </row>
    <row r="7" spans="1:5" x14ac:dyDescent="0.25">
      <c r="A7" s="10" t="s">
        <v>324</v>
      </c>
      <c r="B7" s="31">
        <v>20000</v>
      </c>
      <c r="D7" s="10" t="s">
        <v>325</v>
      </c>
      <c r="E7" s="31">
        <v>20000</v>
      </c>
    </row>
    <row r="8" spans="1:2" x14ac:dyDescent="0.25">
      <c r="A8" s="10" t="s">
        <v>326</v>
      </c>
      <c r="B8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327</v>
      </c>
      <c r="B1" s="15"/>
      <c r="C1" s="15"/>
      <c r="D1" s="15"/>
      <c r="E1" s="15"/>
      <c r="F1" s="15"/>
    </row>
    <row r="3" ht="24" customHeight="1" spans="1:6" x14ac:dyDescent="0.25">
      <c r="A3" s="18" t="s">
        <v>328</v>
      </c>
      <c r="B3" s="18"/>
      <c r="C3" s="18"/>
      <c r="D3" s="18"/>
      <c r="E3" s="18"/>
      <c r="F3" s="18"/>
    </row>
    <row r="4" spans="1:1" x14ac:dyDescent="0.25">
      <c r="A4" s="17" t="s">
        <v>329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299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246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248</v>
      </c>
      <c r="B8" s="31">
        <v>25233</v>
      </c>
      <c r="C8" s="31">
        <v>137792</v>
      </c>
      <c r="D8" s="31">
        <v>215128</v>
      </c>
      <c r="E8" s="31">
        <v>278131</v>
      </c>
      <c r="F8" s="31">
        <v>286475</v>
      </c>
    </row>
    <row r="9" spans="1:6" x14ac:dyDescent="0.25">
      <c r="A9" s="11" t="s">
        <v>249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301</v>
      </c>
      <c r="B10" s="51" t="s">
        <v>302</v>
      </c>
      <c r="C10" s="51" t="s">
        <v>302</v>
      </c>
      <c r="D10" s="51" t="s">
        <v>302</v>
      </c>
      <c r="E10" s="51" t="s">
        <v>302</v>
      </c>
      <c r="F10" s="51" t="s">
        <v>302</v>
      </c>
    </row>
    <row r="11" spans="1:6" x14ac:dyDescent="0.25">
      <c r="A11" s="11" t="s">
        <v>310</v>
      </c>
      <c r="B11" s="27">
        <v>10</v>
      </c>
      <c r="C11" s="27">
        <v>10</v>
      </c>
      <c r="D11" s="27">
        <v>10</v>
      </c>
      <c r="E11" s="27">
        <v>9</v>
      </c>
      <c r="F11" s="27">
        <v>9</v>
      </c>
    </row>
    <row r="13" ht="24" customHeight="1" spans="1:6" x14ac:dyDescent="0.25">
      <c r="A13" s="18" t="s">
        <v>330</v>
      </c>
      <c r="B13" s="18"/>
      <c r="C13" s="18"/>
      <c r="D13" s="18"/>
      <c r="E13" s="18"/>
      <c r="F13" s="18"/>
    </row>
    <row r="14" spans="1:1" x14ac:dyDescent="0.25">
      <c r="A14" s="17" t="s">
        <v>331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299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246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248</v>
      </c>
      <c r="B18" s="31">
        <v>-11701</v>
      </c>
      <c r="C18" s="31">
        <v>69833</v>
      </c>
      <c r="D18" s="31">
        <v>129811</v>
      </c>
      <c r="E18" s="31">
        <v>178419</v>
      </c>
      <c r="F18" s="31">
        <v>183772</v>
      </c>
    </row>
    <row r="19" spans="1:6" x14ac:dyDescent="0.25">
      <c r="A19" s="11" t="s">
        <v>249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301</v>
      </c>
      <c r="B20" s="51" t="s">
        <v>302</v>
      </c>
      <c r="C20" s="51" t="s">
        <v>302</v>
      </c>
      <c r="D20" s="51" t="s">
        <v>302</v>
      </c>
      <c r="E20" s="51" t="s">
        <v>302</v>
      </c>
      <c r="F20" s="51" t="s">
        <v>302</v>
      </c>
    </row>
    <row r="21" spans="1:6" x14ac:dyDescent="0.25">
      <c r="A21" s="11" t="s">
        <v>310</v>
      </c>
      <c r="B21" s="27">
        <v>12</v>
      </c>
      <c r="C21" s="27">
        <v>10</v>
      </c>
      <c r="D21" s="27">
        <v>10</v>
      </c>
      <c r="E21" s="27">
        <v>10</v>
      </c>
      <c r="F21" s="2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332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333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334</v>
      </c>
      <c r="B9" s="11" t="s">
        <v>46</v>
      </c>
    </row>
    <row r="11" ht="24" customHeight="1" spans="1:8" x14ac:dyDescent="0.25">
      <c r="A11" s="18" t="s">
        <v>335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299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246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248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336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337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8" t="s">
        <v>338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339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301</v>
      </c>
      <c r="D22" s="51" t="s">
        <v>302</v>
      </c>
      <c r="E22" s="51" t="s">
        <v>302</v>
      </c>
      <c r="F22" s="51" t="s">
        <v>302</v>
      </c>
      <c r="G22" s="51" t="s">
        <v>302</v>
      </c>
      <c r="H22" s="51" t="s">
        <v>302</v>
      </c>
    </row>
    <row r="23" spans="1:8" x14ac:dyDescent="0.25">
      <c r="A23" s="11" t="s">
        <v>182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340</v>
      </c>
      <c r="D24" s="27">
        <v>12</v>
      </c>
      <c r="E24" s="27">
        <v>18</v>
      </c>
      <c r="F24" s="27">
        <v>22</v>
      </c>
      <c r="G24" s="27">
        <v>25</v>
      </c>
      <c r="H24" s="27">
        <v>25</v>
      </c>
    </row>
    <row r="26" spans="1:8" x14ac:dyDescent="0.25">
      <c r="A26" s="14" t="s">
        <v>341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342</v>
      </c>
      <c r="C2" s="1"/>
      <c r="D2" s="1"/>
      <c r="E2" s="1"/>
      <c r="F2" s="1"/>
      <c r="G2" s="1"/>
    </row>
    <row r="3" spans="2:7" x14ac:dyDescent="0.25">
      <c r="B3" s="53" t="s">
        <v>343</v>
      </c>
      <c r="C3" s="53"/>
      <c r="D3" s="53"/>
      <c r="E3" s="53"/>
      <c r="F3" s="53"/>
      <c r="G3" s="53"/>
    </row>
    <row r="5" ht="24" customHeight="1" spans="2:7" x14ac:dyDescent="0.25">
      <c r="B5" s="18" t="s">
        <v>344</v>
      </c>
      <c r="C5" s="54" t="s">
        <v>345</v>
      </c>
      <c r="D5" s="54" t="s">
        <v>346</v>
      </c>
      <c r="E5" s="54" t="s">
        <v>347</v>
      </c>
      <c r="F5" s="54" t="s">
        <v>348</v>
      </c>
      <c r="G5" s="54" t="s">
        <v>349</v>
      </c>
    </row>
    <row r="6" spans="2:7" x14ac:dyDescent="0.25">
      <c r="B6" s="11" t="s">
        <v>340</v>
      </c>
      <c r="C6" s="55">
        <v>12</v>
      </c>
      <c r="D6" s="55">
        <v>18</v>
      </c>
      <c r="E6" s="55">
        <v>22</v>
      </c>
      <c r="F6" s="55">
        <v>25</v>
      </c>
      <c r="G6" s="55">
        <v>25</v>
      </c>
    </row>
    <row r="7" spans="2:7" x14ac:dyDescent="0.25">
      <c r="B7" s="11" t="s">
        <v>299</v>
      </c>
      <c r="C7" s="56">
        <v>184666.6666666667</v>
      </c>
      <c r="D7" s="56">
        <v>339797</v>
      </c>
      <c r="E7" s="56">
        <v>426587.88999999996</v>
      </c>
      <c r="F7" s="56">
        <v>498556.69375000003</v>
      </c>
      <c r="G7" s="56">
        <v>513513.3945625001</v>
      </c>
    </row>
    <row r="8" spans="2:7" x14ac:dyDescent="0.25">
      <c r="B8" s="11" t="s">
        <v>267</v>
      </c>
      <c r="C8" s="56">
        <v>118934.16666666667</v>
      </c>
      <c r="D8" s="56">
        <v>147002.63</v>
      </c>
      <c r="E8" s="56">
        <v>151412.7089</v>
      </c>
      <c r="F8" s="56">
        <v>155955.090167</v>
      </c>
      <c r="G8" s="56">
        <v>160633.74287201</v>
      </c>
    </row>
    <row r="9" spans="2:7" x14ac:dyDescent="0.25">
      <c r="B9" s="11" t="s">
        <v>268</v>
      </c>
      <c r="C9" s="56">
        <v>40500</v>
      </c>
      <c r="D9" s="56">
        <v>55002</v>
      </c>
      <c r="E9" s="56">
        <v>60046.93999999999</v>
      </c>
      <c r="F9" s="56">
        <v>64470.893</v>
      </c>
      <c r="G9" s="56">
        <v>66405.01979</v>
      </c>
    </row>
    <row r="10" spans="2:7" x14ac:dyDescent="0.25">
      <c r="B10" s="11" t="s">
        <v>269</v>
      </c>
      <c r="C10" s="56">
        <v>0</v>
      </c>
      <c r="D10" s="56">
        <v>0</v>
      </c>
      <c r="E10" s="56">
        <v>0</v>
      </c>
      <c r="F10" s="56">
        <v>0</v>
      </c>
      <c r="G10" s="56">
        <v>0</v>
      </c>
    </row>
    <row r="11" spans="2:7" x14ac:dyDescent="0.25">
      <c r="B11" s="10" t="s">
        <v>248</v>
      </c>
      <c r="C11" s="57">
        <v>25232.5</v>
      </c>
      <c r="D11" s="57">
        <v>137792.37</v>
      </c>
      <c r="E11" s="57">
        <v>215128.24109999998</v>
      </c>
      <c r="F11" s="57">
        <v>278130.71058300004</v>
      </c>
      <c r="G11" s="57">
        <v>286474.6319004901</v>
      </c>
    </row>
    <row r="12" spans="2:7" x14ac:dyDescent="0.25">
      <c r="B12" s="10" t="s">
        <v>304</v>
      </c>
      <c r="C12" s="57">
        <v>62170</v>
      </c>
      <c r="D12" s="57">
        <v>199962.37</v>
      </c>
      <c r="E12" s="57">
        <v>415090.6111</v>
      </c>
      <c r="F12" s="57">
        <v>693221.3216830001</v>
      </c>
      <c r="G12" s="57">
        <v>979695.9535834901</v>
      </c>
    </row>
    <row r="13" spans="2:7" x14ac:dyDescent="0.25">
      <c r="B13" s="10" t="s">
        <v>339</v>
      </c>
      <c r="C13" s="58">
        <v>0.13663808664259927</v>
      </c>
      <c r="D13" s="58">
        <v>0.40551379205819943</v>
      </c>
      <c r="E13" s="58">
        <v>0.5042999253916937</v>
      </c>
      <c r="F13" s="58">
        <v>0.5578717808219178</v>
      </c>
      <c r="G13" s="58">
        <v>0.5578717808219178</v>
      </c>
    </row>
    <row r="14" spans="2:7" x14ac:dyDescent="0.25">
      <c r="B14" s="10" t="s">
        <v>217</v>
      </c>
      <c r="C14" s="56">
        <v>15388.88888888889</v>
      </c>
      <c r="D14" s="56">
        <v>18877.61111111111</v>
      </c>
      <c r="E14" s="56">
        <v>19390.358636363635</v>
      </c>
      <c r="F14" s="56">
        <v>19942.267750000003</v>
      </c>
      <c r="G14" s="56">
        <v>20540.535782500006</v>
      </c>
    </row>
    <row r="15" spans="2:7" x14ac:dyDescent="0.25">
      <c r="B15" s="10" t="s">
        <v>350</v>
      </c>
      <c r="C15" s="59">
        <v>0.644047833935018</v>
      </c>
      <c r="D15" s="58">
        <v>0.4326189754471052</v>
      </c>
      <c r="E15" s="58">
        <v>0.3549390698831137</v>
      </c>
      <c r="F15" s="58">
        <v>0.3128131506849315</v>
      </c>
      <c r="G15" s="58">
        <v>0.3128131506849315</v>
      </c>
    </row>
    <row r="16" spans="2:7" x14ac:dyDescent="0.25">
      <c r="B16" s="10" t="s">
        <v>351</v>
      </c>
      <c r="C16" s="58">
        <v>0.06579422382671479</v>
      </c>
      <c r="D16" s="58">
        <v>0.048560169748408606</v>
      </c>
      <c r="E16" s="58">
        <v>0.04222830141755781</v>
      </c>
      <c r="F16" s="58">
        <v>0.0387945205479452</v>
      </c>
      <c r="G16" s="58">
        <v>0.0387945205479452</v>
      </c>
    </row>
    <row r="17" spans="2:7" x14ac:dyDescent="0.25">
      <c r="B17" s="10" t="s">
        <v>352</v>
      </c>
      <c r="C17" s="58">
        <v>0.13663808664259935</v>
      </c>
      <c r="D17" s="58">
        <v>0.40551379205819943</v>
      </c>
      <c r="E17" s="58">
        <v>0.5042999253916934</v>
      </c>
      <c r="F17" s="58">
        <v>0.5578717808219178</v>
      </c>
      <c r="G17" s="58">
        <v>0.5578717808219178</v>
      </c>
    </row>
    <row r="18" spans="2:7" x14ac:dyDescent="0.25">
      <c r="B18" s="10" t="s">
        <v>301</v>
      </c>
      <c r="C18" s="60" t="s">
        <v>302</v>
      </c>
      <c r="D18" s="60" t="s">
        <v>302</v>
      </c>
      <c r="E18" s="60" t="s">
        <v>302</v>
      </c>
      <c r="F18" s="60" t="s">
        <v>302</v>
      </c>
      <c r="G18" s="60" t="s">
        <v>302</v>
      </c>
    </row>
    <row r="19" spans="2:7" x14ac:dyDescent="0.25">
      <c r="B19" s="10" t="s">
        <v>353</v>
      </c>
      <c r="C19" s="61" t="s">
        <v>345</v>
      </c>
      <c r="D19" s="61"/>
      <c r="E19" s="61"/>
      <c r="F19" s="61"/>
      <c r="G19" s="61"/>
    </row>
    <row r="20" spans="2:7" x14ac:dyDescent="0.25">
      <c r="B20" s="10" t="s">
        <v>354</v>
      </c>
      <c r="C20" s="61" t="s">
        <v>355</v>
      </c>
      <c r="D20" s="61"/>
      <c r="E20" s="61"/>
      <c r="F20" s="61"/>
      <c r="G20" s="61"/>
    </row>
    <row r="22" ht="24" customHeight="1" spans="2:7" x14ac:dyDescent="0.25">
      <c r="B22" s="18" t="s">
        <v>356</v>
      </c>
      <c r="C22" s="18" t="s">
        <v>357</v>
      </c>
      <c r="D22" s="18" t="s">
        <v>358</v>
      </c>
      <c r="E22" s="18"/>
      <c r="F22" s="18" t="s">
        <v>359</v>
      </c>
      <c r="G22" s="18"/>
    </row>
    <row r="23" ht="45" customHeight="1" spans="2:7" x14ac:dyDescent="0.25">
      <c r="B23" s="40" t="s">
        <v>360</v>
      </c>
      <c r="C23" s="62" t="s">
        <v>361</v>
      </c>
      <c r="D23" s="63" t="s">
        <v>362</v>
      </c>
      <c r="E23" s="63"/>
      <c r="F23" s="64" t="s">
        <v>363</v>
      </c>
      <c r="G23" s="64"/>
    </row>
    <row r="24" ht="45" customHeight="1" spans="2:7" x14ac:dyDescent="0.25">
      <c r="B24" s="40" t="s">
        <v>364</v>
      </c>
      <c r="C24" s="62" t="s">
        <v>361</v>
      </c>
      <c r="D24" s="63" t="s">
        <v>365</v>
      </c>
      <c r="E24" s="63"/>
      <c r="F24" s="64" t="s">
        <v>366</v>
      </c>
      <c r="G24" s="64"/>
    </row>
    <row r="25" ht="45" customHeight="1" spans="2:7" x14ac:dyDescent="0.25">
      <c r="B25" s="40" t="s">
        <v>367</v>
      </c>
      <c r="C25" s="62" t="s">
        <v>361</v>
      </c>
      <c r="D25" s="63" t="s">
        <v>368</v>
      </c>
      <c r="E25" s="63"/>
      <c r="F25" s="64" t="s">
        <v>369</v>
      </c>
      <c r="G25" s="64"/>
    </row>
    <row r="26" ht="45" customHeight="1" spans="2:7" x14ac:dyDescent="0.25">
      <c r="B26" s="40" t="s">
        <v>370</v>
      </c>
      <c r="C26" s="62" t="s">
        <v>361</v>
      </c>
      <c r="D26" s="63" t="s">
        <v>371</v>
      </c>
      <c r="E26" s="63"/>
      <c r="F26" s="64" t="s">
        <v>372</v>
      </c>
      <c r="G26" s="64"/>
    </row>
    <row r="27" ht="45" customHeight="1" spans="2:7" x14ac:dyDescent="0.25">
      <c r="B27" s="40" t="s">
        <v>373</v>
      </c>
      <c r="C27" s="62" t="s">
        <v>361</v>
      </c>
      <c r="D27" s="63" t="s">
        <v>374</v>
      </c>
      <c r="E27" s="63"/>
      <c r="F27" s="64" t="s">
        <v>375</v>
      </c>
      <c r="G27" s="64"/>
    </row>
    <row r="28" ht="45" customHeight="1" spans="2:7" x14ac:dyDescent="0.25">
      <c r="B28" s="40" t="s">
        <v>376</v>
      </c>
      <c r="C28" s="62" t="s">
        <v>361</v>
      </c>
      <c r="D28" s="63" t="s">
        <v>377</v>
      </c>
      <c r="E28" s="63"/>
      <c r="F28" s="64" t="s">
        <v>378</v>
      </c>
      <c r="G28" s="64"/>
    </row>
    <row r="30" spans="2:5" x14ac:dyDescent="0.25">
      <c r="B30" s="40" t="s">
        <v>379</v>
      </c>
      <c r="C30" s="10" t="s">
        <v>380</v>
      </c>
      <c r="D30" s="10"/>
      <c r="E30" s="10"/>
    </row>
    <row r="32" spans="2:7" x14ac:dyDescent="0.25">
      <c r="B32" s="65" t="s">
        <v>381</v>
      </c>
      <c r="C32" s="65"/>
      <c r="D32" s="65"/>
      <c r="E32" s="65"/>
      <c r="F32" s="65"/>
      <c r="G32" s="65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2026-03-26T05:49:34Z</dcterms:created>
  <dcterms:modified xsi:type="dcterms:W3CDTF">2026-03-26T05:49:34Z</dcterms:modified>
</cp:coreProperties>
</file>