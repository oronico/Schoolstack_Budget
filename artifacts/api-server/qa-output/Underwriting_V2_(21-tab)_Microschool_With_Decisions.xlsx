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  <sheet sheetId="23" name="Budget Narrative" state="visible" r:id="rId26"/>
    <sheet sheetId="24" name="Decision History" state="visible" r:id="rId27"/>
  </sheets>
  <calcPr calcId="171027" fullCalcOnLoad="1"/>
</workbook>
</file>

<file path=xl/sharedStrings.xml><?xml version="1.0" encoding="utf-8"?>
<sst xmlns="http://schemas.openxmlformats.org/spreadsheetml/2006/main" count="835" uniqueCount="479">
  <si>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</si>
  <si>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</si>
  <si>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</si>
  <si>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</si>
  <si>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</si>
  <si>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</si>
  <si>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</si>
  <si>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</si>
  <si>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</si>
  <si>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</si>
  <si>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</si>
  <si>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</si>
  <si>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</si>
  <si>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</si>
  <si>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</si>
  <si>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</si>
  <si>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</si>
  <si>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</si>
  <si>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</si>
  <si>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</si>
  <si>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</si>
  <si>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</si>
  <si>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</si>
  <si>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</si>
  <si>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</si>
  <si>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</si>
  <si>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</si>
  <si>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</si>
  <si>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</si>
  <si>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</si>
  <si>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</si>
  <si>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</si>
  <si>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</si>
  <si>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</si>
  <si>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</si>
  <si>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</si>
  <si>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</si>
  <si>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</si>
  <si>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</si>
  <si>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</si>
  <si>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</si>
  <si>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</si>
  <si>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April 29,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</si>
  <si>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</si>
  <si>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</si>
  <si>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</si>
  <si>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</si>
  <si>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</si>
  <si>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</si>
  <si>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</si>
  <si>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</si>
  <si>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</si>
  <si>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</si>
  <si>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</si>
  <si>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</si>
  <si>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</si>
  <si>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</si>
  <si>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</si>
  <si>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</si>
  <si>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</si>
  <si>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</si>
  <si>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</si>
  <si>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</si>
  <si>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</si>
  <si>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</si>
  <si>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</si>
  <si>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</si>
  <si>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</si>
  <si>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</si>
  <si>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</si>
  <si>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</si>
  <si>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</si>
  <si>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</si>
  <si>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</si>
  <si>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</si>
  <si>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</si>
  <si>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</si>
  <si>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</si>
  <si>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</si>
  <si>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</si>
  <si>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</si>
  <si>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</si>
  <si>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</si>
  <si>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</si>
  <si>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</si>
  <si>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</si>
  <si>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</si>
  <si>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</si>
  <si>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</si>
  <si>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</si>
  <si>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</si>
  <si>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</si>
  <si>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23.</t>
  </si>
  <si>
    <t>Budget Narrative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</si>
  <si>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</si>
  <si>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</si>
  <si>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</si>
  <si>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</si>
  <si>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</si>
  <si>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</si>
  <si>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</si>
  <si>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</si>
  <si>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</si>
  <si>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</si>
  <si>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</si>
  <si>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</si>
  <si>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</si>
  <si>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</si>
  <si>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</si>
  <si>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</si>
  <si>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</si>
  <si>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</si>
  <si>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</si>
  <si>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</si>
  <si>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</si>
  <si>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</si>
  <si>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</si>
  <si>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</si>
  <si>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</si>
  <si>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</si>
  <si>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</si>
  <si>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</si>
  <si>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</si>
  <si>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</si>
  <si>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</si>
  <si>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</si>
  <si>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</si>
  <si>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</si>
  <si>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</si>
  <si>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</si>
  <si>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</si>
  <si>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</si>
  <si>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</si>
  <si>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</si>
  <si>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</si>
  <si>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</si>
  <si>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</si>
  <si>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</si>
  <si>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</si>
  <si>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</si>
  <si>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</si>
  <si>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</si>
  <si>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</si>
  <si>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</si>
  <si>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</si>
  <si>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</si>
  <si>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</si>
  <si>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</si>
  <si>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</si>
  <si>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</si>
  <si>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</si>
  <si>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</si>
  <si>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</si>
  <si>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</si>
  <si>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</si>
  <si>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</si>
  <si>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</si>
  <si>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</si>
  <si>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</si>
  <si>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</si>
  <si>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</si>
  <si>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</si>
  <si>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</si>
  <si>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</si>
  <si>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</si>
  <si>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</si>
  <si>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</si>
  <si>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</si>
  <si>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</si>
  <si>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</si>
  <si>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</si>
  <si>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</si>
  <si>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</si>
  <si>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</si>
  <si>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</si>
  <si>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</si>
  <si>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</si>
  <si>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</si>
  <si>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</si>
  <si>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</si>
  <si>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</si>
  <si>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</si>
  <si>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</si>
  <si>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</si>
  <si>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</si>
  <si>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</si>
  <si>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</si>
  <si>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</si>
  <si>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</si>
  <si>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</si>
  <si>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</si>
  <si>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</si>
  <si>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</si>
  <si>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</si>
  <si>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</si>
  <si>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</si>
  <si>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</si>
  <si>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</si>
  <si>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</si>
  <si>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</si>
  <si>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</si>
  <si>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</si>
  <si>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</si>
  <si>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</si>
  <si>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</si>
  <si>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</si>
  <si>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</si>
  <si>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</si>
  <si>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</si>
  <si>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</si>
  <si>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</si>
  <si>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</si>
  <si>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</si>
  <si>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</si>
  <si>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</si>
  <si>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</si>
  <si>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</si>
  <si>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</si>
  <si>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</si>
  <si>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</si>
  <si>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</si>
  <si>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</si>
  <si>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</si>
  <si>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</si>
  <si>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</si>
  <si>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</si>
  <si>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</si>
  <si>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</si>
  <si>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</si>
  <si>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</si>
  <si>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</si>
  <si>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</si>
  <si>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</si>
  <si>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</si>
  <si>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</si>
  <si>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</si>
  <si>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</si>
  <si>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</si>
  <si>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</si>
  <si>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</si>
  <si>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</si>
  <si>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</si>
  <si>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</si>
  <si>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</si>
  <si>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</si>
  <si>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</si>
  <si>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</si>
  <si>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</si>
  <si>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</si>
  <si>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</si>
  <si>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</si>
  <si>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</si>
  <si>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</si>
  <si>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</si>
  <si>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</si>
  <si>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</si>
  <si>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</si>
  <si>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</si>
  <si>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</si>
  <si>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</si>
  <si>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</si>
  <si>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</si>
  <si>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</si>
  <si>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</si>
  <si>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</si>
  <si>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</si>
  <si>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</si>
  <si>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</si>
  <si>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</si>
  <si>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</si>
  <si>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</si>
  <si>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</si>
  <si>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</si>
  <si>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</si>
  <si>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</si>
  <si>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</si>
  <si>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</si>
  <si>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</si>
  <si>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</si>
  <si>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</si>
  <si>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</si>
  <si>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</si>
  <si>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</si>
  <si>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</si>
  <si>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</si>
  <si>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</si>
  <si>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</si>
  <si>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</si>
  <si>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</si>
  <si>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</si>
  <si>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</si>
  <si>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</si>
  <si>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</si>
  <si>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</si>
  <si>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</si>
  <si>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</si>
  <si>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</si>
  <si>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</si>
  <si>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</si>
  <si>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</si>
  <si>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</si>
  <si>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July (Month 1)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</si>
  <si>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</si>
  <si>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</si>
  <si>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</si>
  <si>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Capital &amp; Debt Service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</si>
  <si>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</si>
  <si>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</si>
  <si>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</si>
  <si>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</si>
  <si>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</si>
  <si>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</si>
  <si>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</si>
  <si>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</si>
  <si>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</si>
  <si>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</si>
  <si>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</si>
  <si>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</si>
  <si>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</si>
  <si>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</si>
  <si>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</si>
  <si>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</si>
  <si>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</si>
  <si>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</si>
  <si>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</si>
  <si>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</si>
  <si>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</si>
  <si>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</si>
  <si>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</si>
  <si>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</si>
  <si>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</si>
  <si>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</si>
  <si>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</si>
  <si>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</si>
  <si>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</si>
  <si>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</si>
  <si>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</si>
  <si>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</si>
  <si>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</si>
  <si>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</si>
  <si>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</si>
  <si>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</si>
  <si>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</si>
  <si>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</si>
  <si>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</si>
  <si>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</si>
  <si>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</si>
  <si>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</si>
  <si>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</si>
  <si>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</si>
  <si>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</si>
  <si>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</si>
  <si>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</si>
  <si>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</si>
  <si>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</si>
  <si>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</si>
  <si>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</si>
  <si>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</si>
  <si>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</si>
  <si>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</si>
  <si>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</si>
  <si>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</si>
  <si>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</si>
  <si>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</si>
  <si>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</si>
  <si>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</si>
  <si>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</si>
  <si>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</si>
  <si>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</si>
  <si>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</si>
  <si>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</si>
  <si>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</si>
  <si>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</si>
  <si>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</si>
  <si>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</si>
  <si>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</si>
  <si>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</si>
  <si>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</si>
  <si>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</si>
  <si>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</si>
  <si>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</si>
  <si>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</si>
  <si>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</si>
  <si>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</si>
  <si>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</si>
  <si>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</si>
  <si>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</si>
  <si>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</si>
  <si>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</si>
  <si>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</si>
  <si>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</si>
  <si>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</si>
  <si>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</si>
  <si>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</si>
  <si>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</si>
  <si>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</si>
  <si>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</si>
  <si>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</si>
  <si>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</si>
  <si>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</si>
  <si>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</si>
  <si>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</si>
  <si>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</si>
  <si>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</si>
  <si>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</si>
  <si>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</si>
  <si>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</si>
  <si>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</si>
  <si>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</si>
  <si>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</si>
  <si>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</si>
  <si>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</si>
  <si>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</si>
  <si>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</si>
  <si>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</si>
  <si>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</si>
  <si>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</si>
  <si>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</si>
  <si>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</si>
  <si>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</si>
  <si>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</si>
  <si>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</si>
  <si>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</si>
  <si>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</si>
  <si>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</si>
  <si>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</si>
  <si>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51.3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</si>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</sst>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color rgb="FFDC2626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EF2F2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165" fontId="16" fillId="7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9" fillId="0" borderId="3" xfId="0" applyFont="1" applyBorder="1"/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20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24" fillId="0" borderId="0" xfId="0" applyFont="1"/>
    <xf numFmtId="0" fontId="25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3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9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6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3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  <xf numFmtId="0" fontId="0" fillId="9" borderId="0" xfId="0" applyFill="1"/>
    <xf numFmtId="0" fontId="4" fillId="9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4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4" spans="2:3" x14ac:dyDescent="0.25">
      <c r="B44" s="14" t="s">
        <v>94</v>
      </c>
      <c r="C44" s="14"/>
    </row>
  </sheetData>
  <mergeCells count="4">
    <mergeCell ref="B3:C3"/>
    <mergeCell ref="B5:C5"/>
    <mergeCell ref="B18:C18"/>
    <mergeCell ref="B44:C44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  <hyperlink ref="C41" r:id="rId23" location="#'Budget Narrativ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95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96</v>
      </c>
      <c r="D2" s="18" t="s">
        <v>7</v>
      </c>
      <c r="E2" s="17" t="s">
        <v>97</v>
      </c>
    </row>
    <row r="4" ht="24" customHeight="1" spans="1:7" x14ac:dyDescent="0.25">
      <c r="A4" s="19" t="s">
        <v>98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99</v>
      </c>
      <c r="B9" s="20" t="s">
        <v>100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101</v>
      </c>
      <c r="B12" s="20">
        <v>7</v>
      </c>
    </row>
    <row r="13" spans="1:2" x14ac:dyDescent="0.25">
      <c r="A13" s="11" t="s">
        <v>102</v>
      </c>
      <c r="B13" s="20">
        <v>25</v>
      </c>
    </row>
    <row r="15" ht="24" customHeight="1" spans="1:7" x14ac:dyDescent="0.25">
      <c r="A15" s="19" t="s">
        <v>103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104</v>
      </c>
      <c r="C16" s="21" t="s">
        <v>105</v>
      </c>
      <c r="D16" s="21" t="s">
        <v>106</v>
      </c>
      <c r="E16" s="21" t="s">
        <v>107</v>
      </c>
      <c r="F16" s="21" t="s">
        <v>108</v>
      </c>
    </row>
    <row r="17" spans="1:6" x14ac:dyDescent="0.25">
      <c r="A17" s="11" t="s">
        <v>109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110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111</v>
      </c>
      <c r="B20" s="21" t="s">
        <v>112</v>
      </c>
      <c r="C20" s="21" t="s">
        <v>113</v>
      </c>
      <c r="D20" s="21" t="s">
        <v>114</v>
      </c>
      <c r="E20" s="21" t="s">
        <v>115</v>
      </c>
      <c r="F20" s="21" t="s">
        <v>116</v>
      </c>
    </row>
    <row r="21" spans="1:6" x14ac:dyDescent="0.25">
      <c r="A21" s="11" t="s">
        <v>117</v>
      </c>
      <c r="B21" s="11" t="s">
        <v>118</v>
      </c>
      <c r="C21" s="11" t="s">
        <v>119</v>
      </c>
      <c r="D21" s="23">
        <v>12000</v>
      </c>
      <c r="E21" s="24">
        <v>0</v>
      </c>
      <c r="F21" s="11" t="s">
        <v>120</v>
      </c>
    </row>
    <row r="22" spans="1:6" x14ac:dyDescent="0.25">
      <c r="A22" s="11" t="s">
        <v>121</v>
      </c>
      <c r="B22" s="11" t="s">
        <v>118</v>
      </c>
      <c r="C22" s="11" t="s">
        <v>119</v>
      </c>
      <c r="D22" s="23">
        <v>250</v>
      </c>
      <c r="E22" s="24">
        <v>0</v>
      </c>
      <c r="F22" s="11" t="s">
        <v>120</v>
      </c>
    </row>
    <row r="23" spans="1:6" x14ac:dyDescent="0.25">
      <c r="A23" s="11" t="s">
        <v>122</v>
      </c>
      <c r="B23" s="11" t="s">
        <v>123</v>
      </c>
      <c r="C23" s="11" t="s">
        <v>119</v>
      </c>
      <c r="D23" s="23">
        <v>7000</v>
      </c>
      <c r="E23" s="24">
        <v>0</v>
      </c>
      <c r="F23" s="11" t="s">
        <v>120</v>
      </c>
    </row>
    <row r="24" spans="1:6" x14ac:dyDescent="0.25">
      <c r="A24" s="11" t="s">
        <v>124</v>
      </c>
      <c r="B24" s="11" t="s">
        <v>125</v>
      </c>
      <c r="C24" s="11" t="s">
        <v>126</v>
      </c>
      <c r="D24" s="23">
        <v>5000</v>
      </c>
      <c r="E24" s="24">
        <v>0</v>
      </c>
      <c r="F24" s="11" t="s">
        <v>120</v>
      </c>
    </row>
    <row r="25" spans="1:6" x14ac:dyDescent="0.25">
      <c r="A25" s="11" t="s">
        <v>127</v>
      </c>
      <c r="B25" s="11" t="s">
        <v>128</v>
      </c>
      <c r="C25" s="11" t="s">
        <v>129</v>
      </c>
      <c r="D25" s="23">
        <v>10</v>
      </c>
      <c r="E25" s="24">
        <v>0</v>
      </c>
      <c r="F25" s="11" t="s">
        <v>120</v>
      </c>
    </row>
    <row r="27" ht="24" customHeight="1" spans="1:7" x14ac:dyDescent="0.25">
      <c r="A27" s="19" t="s">
        <v>130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131</v>
      </c>
      <c r="B28" s="21" t="s">
        <v>112</v>
      </c>
      <c r="C28" s="21" t="s">
        <v>132</v>
      </c>
      <c r="D28" s="21" t="s">
        <v>133</v>
      </c>
      <c r="E28" s="21" t="s">
        <v>134</v>
      </c>
      <c r="F28" s="21" t="s">
        <v>135</v>
      </c>
      <c r="G28" s="21" t="s">
        <v>136</v>
      </c>
    </row>
    <row r="29" spans="1:7" x14ac:dyDescent="0.25">
      <c r="A29" s="11" t="s">
        <v>137</v>
      </c>
      <c r="B29" s="11" t="s">
        <v>138</v>
      </c>
      <c r="C29" s="11" t="s">
        <v>139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140</v>
      </c>
      <c r="B30" s="11" t="s">
        <v>141</v>
      </c>
      <c r="C30" s="11" t="s">
        <v>139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142</v>
      </c>
      <c r="B31" s="11" t="s">
        <v>141</v>
      </c>
      <c r="C31" s="11" t="s">
        <v>143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144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111</v>
      </c>
      <c r="B34" s="21" t="s">
        <v>112</v>
      </c>
      <c r="C34" s="21" t="s">
        <v>113</v>
      </c>
      <c r="D34" s="21" t="s">
        <v>114</v>
      </c>
      <c r="E34" s="21" t="s">
        <v>115</v>
      </c>
    </row>
    <row r="35" spans="1:5" x14ac:dyDescent="0.25">
      <c r="A35" s="11" t="s">
        <v>145</v>
      </c>
      <c r="B35" s="11" t="s">
        <v>146</v>
      </c>
      <c r="C35" s="11" t="s">
        <v>147</v>
      </c>
      <c r="D35" s="23">
        <v>2500</v>
      </c>
      <c r="E35" s="24">
        <v>0.03</v>
      </c>
    </row>
    <row r="36" spans="1:5" x14ac:dyDescent="0.25">
      <c r="A36" s="11" t="s">
        <v>148</v>
      </c>
      <c r="B36" s="11" t="s">
        <v>146</v>
      </c>
      <c r="C36" s="11" t="s">
        <v>147</v>
      </c>
      <c r="D36" s="23">
        <v>300</v>
      </c>
      <c r="E36" s="24">
        <v>0</v>
      </c>
    </row>
    <row r="37" spans="1:5" x14ac:dyDescent="0.25">
      <c r="A37" s="11" t="s">
        <v>149</v>
      </c>
      <c r="B37" s="11" t="s">
        <v>146</v>
      </c>
      <c r="C37" s="11" t="s">
        <v>126</v>
      </c>
      <c r="D37" s="23">
        <v>2400</v>
      </c>
      <c r="E37" s="24">
        <v>0</v>
      </c>
    </row>
    <row r="38" spans="1:5" x14ac:dyDescent="0.25">
      <c r="A38" s="11" t="s">
        <v>150</v>
      </c>
      <c r="B38" s="11" t="s">
        <v>151</v>
      </c>
      <c r="C38" s="11" t="s">
        <v>119</v>
      </c>
      <c r="D38" s="23">
        <v>500</v>
      </c>
      <c r="E38" s="24">
        <v>0</v>
      </c>
    </row>
    <row r="39" spans="1:5" x14ac:dyDescent="0.25">
      <c r="A39" s="11" t="s">
        <v>152</v>
      </c>
      <c r="B39" s="11" t="s">
        <v>152</v>
      </c>
      <c r="C39" s="11" t="s">
        <v>119</v>
      </c>
      <c r="D39" s="23">
        <v>300</v>
      </c>
      <c r="E39" s="24">
        <v>0</v>
      </c>
    </row>
    <row r="40" spans="1:5" x14ac:dyDescent="0.25">
      <c r="A40" s="11" t="s">
        <v>153</v>
      </c>
      <c r="B40" s="11" t="s">
        <v>154</v>
      </c>
      <c r="C40" s="11" t="s">
        <v>126</v>
      </c>
      <c r="D40" s="23">
        <v>3000</v>
      </c>
      <c r="E40" s="24">
        <v>0</v>
      </c>
    </row>
    <row r="42" ht="24" customHeight="1" spans="1:7" x14ac:dyDescent="0.25">
      <c r="A42" s="19" t="s">
        <v>155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156</v>
      </c>
      <c r="B43" s="21" t="s">
        <v>132</v>
      </c>
      <c r="C43" s="21" t="s">
        <v>157</v>
      </c>
      <c r="D43" s="21" t="s">
        <v>134</v>
      </c>
      <c r="E43" s="21" t="s">
        <v>158</v>
      </c>
    </row>
    <row r="44" spans="1:5" x14ac:dyDescent="0.25">
      <c r="A44" s="11" t="s">
        <v>159</v>
      </c>
      <c r="B44" s="11" t="s">
        <v>160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161</v>
      </c>
      <c r="B46" s="19"/>
      <c r="C46" s="19"/>
      <c r="D46" s="19"/>
      <c r="E46" s="19"/>
      <c r="F46" s="19"/>
      <c r="G46" s="19"/>
    </row>
    <row r="47" spans="1:3" x14ac:dyDescent="0.25">
      <c r="A47" s="11" t="s">
        <v>162</v>
      </c>
      <c r="B47" s="24">
        <v>0.03</v>
      </c>
      <c r="C47" s="26" t="s">
        <v>163</v>
      </c>
    </row>
    <row r="48" spans="1:3" x14ac:dyDescent="0.25">
      <c r="A48" s="11" t="s">
        <v>164</v>
      </c>
      <c r="B48" s="24">
        <v>0.03</v>
      </c>
      <c r="C48" s="26" t="s">
        <v>165</v>
      </c>
    </row>
    <row r="49" spans="1:2" x14ac:dyDescent="0.25">
      <c r="A49" s="11" t="s">
        <v>166</v>
      </c>
      <c r="B49" s="25">
        <v>0.8333333333333334</v>
      </c>
    </row>
    <row r="50" spans="1:2" x14ac:dyDescent="0.25">
      <c r="A50" s="11" t="s">
        <v>167</v>
      </c>
      <c r="B50" s="23">
        <v>0</v>
      </c>
    </row>
    <row r="51" spans="1:2" x14ac:dyDescent="0.25">
      <c r="A51" s="11" t="s">
        <v>168</v>
      </c>
      <c r="B51" s="20" t="s">
        <v>169</v>
      </c>
    </row>
    <row r="52" spans="1:2" x14ac:dyDescent="0.25">
      <c r="A52" s="11" t="s">
        <v>170</v>
      </c>
      <c r="B52" s="24">
        <v>0</v>
      </c>
    </row>
    <row r="53" spans="1:2" x14ac:dyDescent="0.25">
      <c r="A53" s="11" t="s">
        <v>171</v>
      </c>
      <c r="B53" s="24">
        <v>0.03</v>
      </c>
    </row>
    <row r="54" spans="1:2" x14ac:dyDescent="0.25">
      <c r="A54" s="11" t="s">
        <v>172</v>
      </c>
      <c r="B54" s="24">
        <v>0.03</v>
      </c>
    </row>
    <row r="55" spans="1:2" x14ac:dyDescent="0.25">
      <c r="A55" s="11" t="s">
        <v>173</v>
      </c>
      <c r="B55" s="24">
        <v>0.2</v>
      </c>
    </row>
    <row r="56" spans="1:2" x14ac:dyDescent="0.25">
      <c r="A56" s="11" t="s">
        <v>174</v>
      </c>
      <c r="B56" s="24">
        <v>0.08</v>
      </c>
    </row>
    <row r="57" spans="1:2" x14ac:dyDescent="0.25">
      <c r="A57" s="11" t="s">
        <v>175</v>
      </c>
      <c r="B57" s="24">
        <v>0.85</v>
      </c>
    </row>
    <row r="59" ht="24" customHeight="1" spans="1:7" x14ac:dyDescent="0.25">
      <c r="A59" s="19" t="s">
        <v>176</v>
      </c>
      <c r="B59" s="19"/>
      <c r="C59" s="19"/>
      <c r="D59" s="19"/>
      <c r="E59" s="19"/>
      <c r="F59" s="19"/>
      <c r="G59" s="19"/>
    </row>
    <row r="60" spans="1:2" x14ac:dyDescent="0.25">
      <c r="A60" s="11" t="s">
        <v>177</v>
      </c>
      <c r="B60" s="20" t="s">
        <v>178</v>
      </c>
    </row>
    <row r="61" spans="1:2" x14ac:dyDescent="0.25">
      <c r="A61" s="11" t="s">
        <v>179</v>
      </c>
      <c r="B61" s="20" t="s">
        <v>180</v>
      </c>
    </row>
    <row r="62" spans="1:2" x14ac:dyDescent="0.25">
      <c r="A62" s="11" t="s">
        <v>181</v>
      </c>
      <c r="B62" s="24">
        <v>1</v>
      </c>
    </row>
    <row r="63" spans="1:2" x14ac:dyDescent="0.25">
      <c r="A63" s="11" t="s">
        <v>182</v>
      </c>
      <c r="B63" s="20" t="s">
        <v>183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184</v>
      </c>
      <c r="B3" s="11" t="s">
        <v>185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186</v>
      </c>
      <c r="B6" s="11" t="s">
        <v>187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188</v>
      </c>
      <c r="B8" s="11" t="s">
        <v>46</v>
      </c>
    </row>
    <row r="9" spans="1:2" x14ac:dyDescent="0.25">
      <c r="A9" s="10" t="s">
        <v>101</v>
      </c>
      <c r="B9" s="11" t="s">
        <v>189</v>
      </c>
    </row>
    <row r="10" spans="1:2" x14ac:dyDescent="0.25">
      <c r="A10" s="10" t="s">
        <v>190</v>
      </c>
      <c r="B10" s="11" t="s">
        <v>191</v>
      </c>
    </row>
    <row r="11" spans="1:2" x14ac:dyDescent="0.25">
      <c r="A11" s="10" t="s">
        <v>192</v>
      </c>
      <c r="B11" s="11" t="s">
        <v>193</v>
      </c>
    </row>
    <row r="12" spans="1:2" x14ac:dyDescent="0.25">
      <c r="A12" s="10" t="s">
        <v>168</v>
      </c>
      <c r="B12" s="11" t="s">
        <v>169</v>
      </c>
    </row>
    <row r="13" spans="1:2" x14ac:dyDescent="0.25">
      <c r="A13" s="10" t="s">
        <v>102</v>
      </c>
      <c r="B13" s="11" t="s">
        <v>194</v>
      </c>
    </row>
    <row r="14" spans="1:2" x14ac:dyDescent="0.25">
      <c r="A14" s="10" t="s">
        <v>195</v>
      </c>
      <c r="B14" s="11" t="s">
        <v>169</v>
      </c>
    </row>
    <row r="15" spans="1:2" x14ac:dyDescent="0.25">
      <c r="A15" s="10" t="s">
        <v>196</v>
      </c>
      <c r="B15" s="11" t="s">
        <v>197</v>
      </c>
    </row>
    <row r="16" spans="1:2" x14ac:dyDescent="0.25">
      <c r="A16" s="10" t="s">
        <v>198</v>
      </c>
      <c r="B16" s="11" t="s">
        <v>199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5" ht="24" customHeight="1" spans="1:6" x14ac:dyDescent="0.25">
      <c r="A5" s="19" t="s">
        <v>200</v>
      </c>
      <c r="B5" s="19"/>
      <c r="C5" s="19"/>
      <c r="D5" s="19"/>
      <c r="E5" s="19"/>
      <c r="F5" s="19"/>
    </row>
    <row r="6" spans="1:6" x14ac:dyDescent="0.25">
      <c r="A6" s="10" t="s">
        <v>109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102</v>
      </c>
      <c r="B7" s="22">
        <v>25</v>
      </c>
    </row>
    <row r="8" spans="1:6" x14ac:dyDescent="0.25">
      <c r="A8" s="11" t="s">
        <v>201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170</v>
      </c>
      <c r="B10" s="11" t="s">
        <v>202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204</v>
      </c>
      <c r="B4" s="19"/>
      <c r="C4" s="19"/>
      <c r="D4" s="19"/>
      <c r="E4" s="19"/>
      <c r="F4" s="19"/>
    </row>
    <row r="5" spans="1:6" x14ac:dyDescent="0.25">
      <c r="A5" s="11" t="s">
        <v>117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121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205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206</v>
      </c>
      <c r="B8" s="19"/>
      <c r="C8" s="19"/>
      <c r="D8" s="19"/>
      <c r="E8" s="19"/>
      <c r="F8" s="19"/>
    </row>
    <row r="9" spans="1:6" x14ac:dyDescent="0.25">
      <c r="A9" s="11" t="s">
        <v>127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207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208</v>
      </c>
      <c r="B11" s="19"/>
      <c r="C11" s="19"/>
      <c r="D11" s="19"/>
      <c r="E11" s="19"/>
      <c r="F11" s="19"/>
    </row>
    <row r="12" spans="1:6" x14ac:dyDescent="0.25">
      <c r="A12" s="11" t="s">
        <v>122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209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210</v>
      </c>
      <c r="B14" s="19"/>
      <c r="C14" s="19"/>
      <c r="D14" s="19"/>
      <c r="E14" s="19"/>
      <c r="F14" s="19"/>
    </row>
    <row r="15" spans="1:6" x14ac:dyDescent="0.25">
      <c r="A15" s="11" t="s">
        <v>124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211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212</v>
      </c>
      <c r="B18" s="32">
        <f>SUM(B7,B10,B13,B16)</f>
        <v>221600</v>
      </c>
      <c r="C18" s="32">
        <f>SUM(C7,C10,C13,C16)</f>
        <v>339130</v>
      </c>
      <c r="D18" s="32">
        <f>SUM(D7,D10,D13,D16)</f>
        <v>424882</v>
      </c>
      <c r="E18" s="32">
        <f>SUM(E7,E10,E13,E16)</f>
        <v>495517</v>
      </c>
      <c r="F18" s="32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131</v>
      </c>
      <c r="B3" s="21" t="s">
        <v>112</v>
      </c>
      <c r="C3" s="21" t="s">
        <v>133</v>
      </c>
      <c r="D3" s="21" t="s">
        <v>213</v>
      </c>
      <c r="E3" s="21" t="s">
        <v>135</v>
      </c>
      <c r="F3" s="21" t="s">
        <v>136</v>
      </c>
      <c r="G3" s="21" t="s">
        <v>214</v>
      </c>
      <c r="H3" s="21" t="s">
        <v>215</v>
      </c>
    </row>
    <row r="4" spans="1:8" x14ac:dyDescent="0.25">
      <c r="A4" s="11" t="s">
        <v>137</v>
      </c>
      <c r="B4" s="11" t="s">
        <v>138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  <c r="H4" s="11" t="s">
        <v>120</v>
      </c>
    </row>
    <row r="5" spans="1:8" x14ac:dyDescent="0.25">
      <c r="A5" s="11" t="s">
        <v>140</v>
      </c>
      <c r="B5" s="11" t="s">
        <v>141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  <c r="H5" s="11" t="s">
        <v>120</v>
      </c>
    </row>
    <row r="6" spans="1:8" x14ac:dyDescent="0.25">
      <c r="A6" s="11" t="s">
        <v>142</v>
      </c>
      <c r="B6" s="11" t="s">
        <v>141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  <c r="H6" s="11" t="s">
        <v>120</v>
      </c>
    </row>
    <row r="8" ht="24" customHeight="1" spans="1:7" x14ac:dyDescent="0.25">
      <c r="A8" s="19" t="s">
        <v>216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104</v>
      </c>
      <c r="C9" s="21" t="s">
        <v>105</v>
      </c>
      <c r="D9" s="21" t="s">
        <v>106</v>
      </c>
      <c r="E9" s="21" t="s">
        <v>107</v>
      </c>
      <c r="F9" s="21" t="s">
        <v>108</v>
      </c>
    </row>
    <row r="10" spans="1:6" x14ac:dyDescent="0.25">
      <c r="A10" s="10" t="s">
        <v>217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218</v>
      </c>
      <c r="B11" s="29">
        <v>0.5367065282791817</v>
      </c>
      <c r="C11" s="29">
        <v>0.43347041172111334</v>
      </c>
      <c r="D11" s="29">
        <v>0.35636395851265434</v>
      </c>
      <c r="E11" s="29">
        <v>0.314732109434181</v>
      </c>
      <c r="F11" s="29">
        <v>0.31541616487727187</v>
      </c>
    </row>
    <row r="12" spans="1:6" x14ac:dyDescent="0.25">
      <c r="A12" s="11" t="s">
        <v>219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221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222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152</v>
      </c>
      <c r="B7" s="19"/>
      <c r="C7" s="19"/>
      <c r="D7" s="19"/>
      <c r="E7" s="19"/>
      <c r="F7" s="19"/>
    </row>
    <row r="8" spans="1:6" x14ac:dyDescent="0.25">
      <c r="A8" s="11" t="s">
        <v>223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224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225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226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227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228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154</v>
      </c>
      <c r="B15" s="19"/>
      <c r="C15" s="19"/>
      <c r="D15" s="19"/>
      <c r="E15" s="19"/>
      <c r="F15" s="19"/>
    </row>
    <row r="16" spans="1:6" x14ac:dyDescent="0.25">
      <c r="A16" s="11" t="s">
        <v>229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230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231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1" t="s">
        <v>156</v>
      </c>
      <c r="B3" s="21" t="s">
        <v>132</v>
      </c>
      <c r="C3" s="21" t="s">
        <v>157</v>
      </c>
      <c r="D3" s="21" t="s">
        <v>134</v>
      </c>
      <c r="E3" s="21" t="s">
        <v>158</v>
      </c>
      <c r="F3" s="21" t="s">
        <v>233</v>
      </c>
    </row>
    <row r="4" spans="1:6" x14ac:dyDescent="0.25">
      <c r="A4" s="11" t="s">
        <v>159</v>
      </c>
      <c r="B4" s="11" t="s">
        <v>160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234</v>
      </c>
      <c r="F6" s="32">
        <v>6960</v>
      </c>
    </row>
    <row r="7" spans="1:6" x14ac:dyDescent="0.25">
      <c r="A7" s="10" t="s">
        <v>235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109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237</v>
      </c>
      <c r="B6" s="19"/>
      <c r="C6" s="19"/>
      <c r="D6" s="19"/>
      <c r="E6" s="19"/>
      <c r="F6" s="19"/>
    </row>
    <row r="7" spans="1:6" x14ac:dyDescent="0.25">
      <c r="A7" s="11" t="s">
        <v>117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121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122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124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127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238</v>
      </c>
      <c r="B12" s="32">
        <f>SUM(B7:B11)</f>
        <v>221600</v>
      </c>
      <c r="C12" s="32">
        <f>SUM(C7:C11)</f>
        <v>339130</v>
      </c>
      <c r="D12" s="32">
        <f>SUM(D7:D11)</f>
        <v>424882</v>
      </c>
      <c r="E12" s="32">
        <f>SUM(E7:E11)</f>
        <v>495517</v>
      </c>
      <c r="F12" s="32">
        <f>SUM(F7:F11)</f>
        <v>509276</v>
      </c>
    </row>
    <row r="14" spans="1:6" x14ac:dyDescent="0.25">
      <c r="A14" s="11" t="s">
        <v>239</v>
      </c>
      <c r="B14" s="30">
        <v>18467</v>
      </c>
      <c r="C14" s="30">
        <v>18841</v>
      </c>
      <c r="D14" s="30">
        <v>19313</v>
      </c>
      <c r="E14" s="30">
        <v>19821</v>
      </c>
      <c r="F14" s="30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141</v>
      </c>
      <c r="B4" s="19"/>
      <c r="C4" s="19"/>
      <c r="D4" s="19"/>
      <c r="E4" s="19"/>
      <c r="F4" s="19"/>
    </row>
    <row r="5" spans="1:6" x14ac:dyDescent="0.25">
      <c r="A5" s="11" t="s">
        <v>241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242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243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138</v>
      </c>
      <c r="B8" s="19"/>
      <c r="C8" s="19"/>
      <c r="D8" s="19"/>
      <c r="E8" s="19"/>
      <c r="F8" s="19"/>
    </row>
    <row r="9" spans="1:6" x14ac:dyDescent="0.25">
      <c r="A9" s="11" t="s">
        <v>244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245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246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11" t="s">
        <v>249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250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251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252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253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254</v>
      </c>
      <c r="B10" s="31">
        <f>SUM(B5:B9)</f>
        <v>184667</v>
      </c>
      <c r="C10" s="31">
        <f>SUM(C5:C9)</f>
        <v>339130</v>
      </c>
      <c r="D10" s="31">
        <f>SUM(D5:D9)</f>
        <v>424882</v>
      </c>
      <c r="E10" s="31">
        <f>SUM(E5:E9)</f>
        <v>495517</v>
      </c>
      <c r="F10" s="31">
        <f>SUM(F5:F9)</f>
        <v>509276</v>
      </c>
    </row>
    <row r="12" ht="24" customHeight="1" spans="1:6" x14ac:dyDescent="0.25">
      <c r="A12" s="19" t="s">
        <v>255</v>
      </c>
      <c r="B12" s="19"/>
      <c r="C12" s="19"/>
      <c r="D12" s="19"/>
      <c r="E12" s="19"/>
      <c r="F12" s="19"/>
    </row>
    <row r="13" spans="1:6" x14ac:dyDescent="0.25">
      <c r="A13" s="11" t="s">
        <v>256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257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258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217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144</v>
      </c>
      <c r="B18" s="19"/>
      <c r="C18" s="19"/>
      <c r="D18" s="19"/>
      <c r="E18" s="19"/>
      <c r="F18" s="19"/>
    </row>
    <row r="19" spans="1:1" x14ac:dyDescent="0.25">
      <c r="A19" s="36" t="s">
        <v>151</v>
      </c>
    </row>
    <row r="20" spans="1:6" x14ac:dyDescent="0.25">
      <c r="A20" s="11" t="s">
        <v>259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152</v>
      </c>
    </row>
    <row r="22" spans="1:6" x14ac:dyDescent="0.25">
      <c r="A22" s="11" t="s">
        <v>260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146</v>
      </c>
    </row>
    <row r="24" spans="1:6" x14ac:dyDescent="0.25">
      <c r="A24" s="11" t="s">
        <v>261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262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263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264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154</v>
      </c>
    </row>
    <row r="29" spans="1:6" x14ac:dyDescent="0.25">
      <c r="A29" s="11" t="s">
        <v>265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266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267</v>
      </c>
      <c r="B32" s="19"/>
      <c r="C32" s="19"/>
      <c r="D32" s="19"/>
      <c r="E32" s="19"/>
      <c r="F32" s="19"/>
    </row>
    <row r="33" spans="1:6" x14ac:dyDescent="0.25">
      <c r="A33" s="10" t="s">
        <v>268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254</v>
      </c>
      <c r="B4" s="33">
        <f>'Budget Detail'!B10</f>
        <v>184667</v>
      </c>
      <c r="C4" s="33">
        <f>'Budget Detail'!C10</f>
        <v>339130</v>
      </c>
      <c r="D4" s="33">
        <f>'Budget Detail'!D10</f>
        <v>424882</v>
      </c>
      <c r="E4" s="33">
        <f>'Budget Detail'!E10</f>
        <v>495517</v>
      </c>
      <c r="F4" s="33">
        <f>'Budget Detail'!F10</f>
        <v>509276</v>
      </c>
    </row>
    <row r="5" spans="1:6" x14ac:dyDescent="0.25">
      <c r="A5" s="10" t="s">
        <v>217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266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270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271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272</v>
      </c>
      <c r="B10" s="19"/>
      <c r="C10" s="19"/>
      <c r="D10" s="19"/>
      <c r="E10" s="19"/>
      <c r="F10" s="19"/>
    </row>
    <row r="11" spans="1:6" x14ac:dyDescent="0.25">
      <c r="A11" s="10" t="s">
        <v>273</v>
      </c>
      <c r="B11" s="32">
        <f>B4-B8</f>
        <v>25233</v>
      </c>
      <c r="C11" s="32">
        <f>C4-C8</f>
        <v>137125</v>
      </c>
      <c r="D11" s="32">
        <f>D4-D8</f>
        <v>213423</v>
      </c>
      <c r="E11" s="32">
        <f>E4-E8</f>
        <v>275091</v>
      </c>
      <c r="F11" s="32">
        <f>F4-F8</f>
        <v>282237</v>
      </c>
    </row>
    <row r="12" spans="1:6" x14ac:dyDescent="0.25">
      <c r="A12" s="11" t="s">
        <v>274</v>
      </c>
      <c r="B12" s="29">
        <f>IF(B4=0,0,B11/B4)</f>
        <v>0.13663809</v>
      </c>
      <c r="C12" s="29">
        <f>IF(C4=0,0,C11/C4)</f>
        <v>0.40434379</v>
      </c>
      <c r="D12" s="29">
        <f>IF(D4=0,0,D11/D4)</f>
        <v>0.50230996</v>
      </c>
      <c r="E12" s="29">
        <f>IF(E4=0,0,E11/E4)</f>
        <v>0.55515954</v>
      </c>
      <c r="F12" s="29">
        <f>IF(F4=0,0,F11/F4)</f>
        <v>0.5541927</v>
      </c>
    </row>
    <row r="13" spans="1:6" x14ac:dyDescent="0.25">
      <c r="A13" s="11" t="s">
        <v>275</v>
      </c>
      <c r="B13" s="30">
        <v>25233</v>
      </c>
      <c r="C13" s="30">
        <v>162357</v>
      </c>
      <c r="D13" s="30">
        <v>375780</v>
      </c>
      <c r="E13" s="30">
        <v>650871</v>
      </c>
      <c r="F13" s="30">
        <v>933108</v>
      </c>
    </row>
    <row r="14" spans="1:6" x14ac:dyDescent="0.25">
      <c r="A14" s="11" t="s">
        <v>239</v>
      </c>
      <c r="B14" s="30">
        <v>15389</v>
      </c>
      <c r="C14" s="30">
        <v>18841</v>
      </c>
      <c r="D14" s="30">
        <v>19313</v>
      </c>
      <c r="E14" s="30">
        <v>19821</v>
      </c>
      <c r="F14" s="30">
        <v>20371</v>
      </c>
    </row>
    <row r="15" spans="1:6" x14ac:dyDescent="0.25">
      <c r="A15" s="11" t="s">
        <v>276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278</v>
      </c>
      <c r="C2" s="21" t="s">
        <v>279</v>
      </c>
      <c r="D2" s="21" t="s">
        <v>280</v>
      </c>
      <c r="E2" s="21" t="s">
        <v>281</v>
      </c>
      <c r="F2" s="21" t="s">
        <v>282</v>
      </c>
      <c r="G2" s="21" t="s">
        <v>283</v>
      </c>
      <c r="H2" s="21" t="s">
        <v>284</v>
      </c>
      <c r="I2" s="21" t="s">
        <v>285</v>
      </c>
      <c r="J2" s="21" t="s">
        <v>286</v>
      </c>
      <c r="K2" s="21" t="s">
        <v>287</v>
      </c>
      <c r="L2" s="21" t="s">
        <v>288</v>
      </c>
      <c r="M2" s="21" t="s">
        <v>289</v>
      </c>
      <c r="N2" s="21" t="s">
        <v>290</v>
      </c>
    </row>
    <row r="3" ht="24" customHeight="1" spans="1:14" x14ac:dyDescent="0.25">
      <c r="A3" s="19" t="s">
        <v>248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254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291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292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293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294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295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271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296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297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298</v>
      </c>
      <c r="B16" s="19"/>
      <c r="C16" s="19"/>
    </row>
    <row r="17" spans="1:2" x14ac:dyDescent="0.25">
      <c r="A17" s="11" t="s">
        <v>167</v>
      </c>
      <c r="B17" s="23">
        <v>0</v>
      </c>
    </row>
    <row r="18" spans="1:2" x14ac:dyDescent="0.25">
      <c r="A18" s="11" t="s">
        <v>299</v>
      </c>
      <c r="B18" s="37">
        <f>M14</f>
        <v>62170</v>
      </c>
    </row>
    <row r="19" spans="1:2" x14ac:dyDescent="0.25">
      <c r="A19" s="11" t="s">
        <v>300</v>
      </c>
      <c r="B19" s="38">
        <f>MIN(B14:M14)</f>
        <v>-6793</v>
      </c>
    </row>
    <row r="20" spans="1:6" x14ac:dyDescent="0.25">
      <c r="A20" s="3" t="s">
        <v>301</v>
      </c>
      <c r="B20" s="3"/>
      <c r="C20" s="3"/>
      <c r="D20" s="3"/>
      <c r="E20" s="3"/>
      <c r="F20" s="3"/>
    </row>
    <row r="21" spans="1:8" x14ac:dyDescent="0.25">
      <c r="A21" s="39" t="s">
        <v>302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2" spans="1:6" x14ac:dyDescent="0.25">
      <c r="A2" s="40" t="s">
        <v>304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41" t="s">
        <v>254</v>
      </c>
      <c r="B5" s="31">
        <v>184667</v>
      </c>
      <c r="C5" s="31">
        <v>339130</v>
      </c>
      <c r="D5" s="31">
        <v>424882</v>
      </c>
      <c r="E5" s="31">
        <v>495517</v>
      </c>
      <c r="F5" s="31">
        <v>509276</v>
      </c>
    </row>
    <row r="7" ht="24" customHeight="1" spans="1:6" x14ac:dyDescent="0.25">
      <c r="A7" s="19" t="s">
        <v>291</v>
      </c>
      <c r="B7" s="19"/>
      <c r="C7" s="19"/>
      <c r="D7" s="19"/>
      <c r="E7" s="19"/>
      <c r="F7" s="19"/>
    </row>
    <row r="8" spans="1:6" x14ac:dyDescent="0.25">
      <c r="A8" s="10" t="s">
        <v>292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293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305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10" t="s">
        <v>306</v>
      </c>
      <c r="B11" s="33">
        <v>714</v>
      </c>
      <c r="C11" s="33">
        <v>714</v>
      </c>
      <c r="D11" s="33">
        <v>714</v>
      </c>
      <c r="E11" s="33">
        <v>714</v>
      </c>
      <c r="F11" s="33">
        <v>714</v>
      </c>
    </row>
    <row r="12" spans="1:6" x14ac:dyDescent="0.25">
      <c r="A12" s="41" t="s">
        <v>271</v>
      </c>
      <c r="B12" s="31">
        <f>SUM(B8:B11)</f>
        <v>160148</v>
      </c>
      <c r="C12" s="31">
        <f>SUM(C8:C11)</f>
        <v>202719</v>
      </c>
      <c r="D12" s="31">
        <f>SUM(D8:D11)</f>
        <v>212174</v>
      </c>
      <c r="E12" s="31">
        <f>SUM(E8:E11)</f>
        <v>221140</v>
      </c>
      <c r="F12" s="31">
        <f>SUM(F8:F11)</f>
        <v>227753</v>
      </c>
    </row>
    <row r="14" ht="24" customHeight="1" spans="1:6" x14ac:dyDescent="0.25">
      <c r="A14" s="19" t="s">
        <v>307</v>
      </c>
      <c r="B14" s="19"/>
      <c r="C14" s="19"/>
      <c r="D14" s="19"/>
      <c r="E14" s="19"/>
      <c r="F14" s="19"/>
    </row>
    <row r="15" spans="1:6" x14ac:dyDescent="0.25">
      <c r="A15" s="41" t="s">
        <v>273</v>
      </c>
      <c r="B15" s="32">
        <f>B5-B12</f>
        <v>24518</v>
      </c>
      <c r="C15" s="32">
        <f>C5-C12</f>
        <v>136411</v>
      </c>
      <c r="D15" s="32">
        <f>D5-D12</f>
        <v>212708</v>
      </c>
      <c r="E15" s="32">
        <f>E5-E12</f>
        <v>274377</v>
      </c>
      <c r="F15" s="32">
        <f>F5-F12</f>
        <v>281523</v>
      </c>
    </row>
    <row r="16" spans="1:6" x14ac:dyDescent="0.25">
      <c r="A16" s="11" t="s">
        <v>274</v>
      </c>
      <c r="B16" s="29">
        <f>IF(B5=0,0,B15/B5)</f>
        <v>0.13277011</v>
      </c>
      <c r="C16" s="29">
        <f>IF(C5=0,0,C15/C5)</f>
        <v>0.40223755</v>
      </c>
      <c r="D16" s="29">
        <f>IF(D5=0,0,D15/D5)</f>
        <v>0.50062882</v>
      </c>
      <c r="E16" s="29">
        <f>IF(E5=0,0,E15/E5)</f>
        <v>0.55371804</v>
      </c>
      <c r="F16" s="29">
        <f>IF(F5=0,0,F15/F5)</f>
        <v>0.55279014</v>
      </c>
    </row>
    <row r="17" spans="1:6" x14ac:dyDescent="0.25">
      <c r="A17" s="10" t="s">
        <v>275</v>
      </c>
      <c r="B17" s="33">
        <f>B15</f>
        <v>24518</v>
      </c>
      <c r="C17" s="33">
        <f>B17+C15</f>
        <v>160929</v>
      </c>
      <c r="D17" s="33">
        <f>C17+D15</f>
        <v>373637</v>
      </c>
      <c r="E17" s="33">
        <f>D17+E15</f>
        <v>648014</v>
      </c>
      <c r="F17" s="33">
        <f>E17+F15</f>
        <v>929536</v>
      </c>
    </row>
    <row r="18" spans="1:6" x14ac:dyDescent="0.25">
      <c r="A18" s="10" t="s">
        <v>308</v>
      </c>
      <c r="B18" s="42" t="s">
        <v>309</v>
      </c>
      <c r="C18" s="43" t="s">
        <v>7</v>
      </c>
      <c r="D18" s="43" t="s">
        <v>7</v>
      </c>
      <c r="E18" s="43" t="s">
        <v>7</v>
      </c>
      <c r="F18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310</v>
      </c>
      <c r="B4" s="19"/>
      <c r="C4" s="19"/>
      <c r="D4" s="19"/>
      <c r="E4" s="19"/>
      <c r="F4" s="19"/>
    </row>
    <row r="5" spans="1:5" x14ac:dyDescent="0.25">
      <c r="A5" s="44" t="s">
        <v>311</v>
      </c>
      <c r="B5" s="45" t="s">
        <v>157</v>
      </c>
      <c r="C5" s="46" t="s">
        <v>312</v>
      </c>
      <c r="D5" s="44" t="s">
        <v>313</v>
      </c>
      <c r="E5" s="45" t="s">
        <v>233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315</v>
      </c>
      <c r="B4" s="19"/>
      <c r="C4" s="19"/>
      <c r="D4" s="19"/>
      <c r="E4" s="19"/>
      <c r="F4" s="19"/>
    </row>
    <row r="5" spans="1:6" x14ac:dyDescent="0.25">
      <c r="A5" s="11" t="s">
        <v>316</v>
      </c>
      <c r="B5" s="47">
        <f>'Monthly Cash Flow Y1'!M14</f>
        <v>62170</v>
      </c>
      <c r="C5" s="47">
        <f>B5+'5-Year Operating Stmt'!C15</f>
        <v>199295</v>
      </c>
      <c r="D5" s="47">
        <f>B5+'5-Year Operating Stmt'!C15+'5-Year Operating Stmt'!D15</f>
        <v>412717</v>
      </c>
      <c r="E5" s="47">
        <f>B5+'5-Year Operating Stmt'!C15+'5-Year Operating Stmt'!D15+'5-Year Operating Stmt'!E15</f>
        <v>687808</v>
      </c>
      <c r="F5" s="47">
        <f>B5+'5-Year Operating Stmt'!C15+'5-Year Operating Stmt'!D15+'5-Year Operating Stmt'!E15+'5-Year Operating Stmt'!F15</f>
        <v>970045</v>
      </c>
    </row>
    <row r="6" spans="1:6" x14ac:dyDescent="0.25">
      <c r="A6" s="11" t="s">
        <v>317</v>
      </c>
      <c r="B6" s="30">
        <v>1007</v>
      </c>
      <c r="C6" s="30">
        <v>1036</v>
      </c>
      <c r="D6" s="30">
        <v>1067</v>
      </c>
      <c r="E6" s="30">
        <v>1098</v>
      </c>
      <c r="F6" s="30">
        <v>1131</v>
      </c>
    </row>
    <row r="7" spans="1:6" x14ac:dyDescent="0.25">
      <c r="A7" s="11" t="s">
        <v>318</v>
      </c>
      <c r="B7" s="30">
        <v>4286</v>
      </c>
      <c r="C7" s="30">
        <v>3571</v>
      </c>
      <c r="D7" s="30">
        <v>2857</v>
      </c>
      <c r="E7" s="30">
        <v>2143</v>
      </c>
      <c r="F7" s="30">
        <v>1429</v>
      </c>
    </row>
    <row r="8" spans="1:6" x14ac:dyDescent="0.25">
      <c r="A8" s="11" t="s">
        <v>319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320</v>
      </c>
      <c r="B9" s="31">
        <f>SUM(B5:B8)</f>
        <v>67463</v>
      </c>
      <c r="C9" s="31">
        <f>SUM(C5:C8)</f>
        <v>203903</v>
      </c>
      <c r="D9" s="31">
        <f>SUM(D5:D8)</f>
        <v>416642</v>
      </c>
      <c r="E9" s="31">
        <f>SUM(E5:E8)</f>
        <v>691050</v>
      </c>
      <c r="F9" s="31">
        <f>SUM(F5:F8)</f>
        <v>972604</v>
      </c>
    </row>
    <row r="11" ht="24" customHeight="1" spans="1:6" x14ac:dyDescent="0.25">
      <c r="A11" s="19" t="s">
        <v>321</v>
      </c>
      <c r="B11" s="19"/>
      <c r="C11" s="19"/>
      <c r="D11" s="19"/>
      <c r="E11" s="19"/>
      <c r="F11" s="19"/>
    </row>
    <row r="12" spans="1:6" x14ac:dyDescent="0.25">
      <c r="A12" s="11" t="s">
        <v>322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323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324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325</v>
      </c>
      <c r="B16" s="19"/>
      <c r="C16" s="19"/>
      <c r="D16" s="19"/>
      <c r="E16" s="19"/>
      <c r="F16" s="19"/>
    </row>
    <row r="17" spans="1:6" x14ac:dyDescent="0.25">
      <c r="A17" s="10" t="s">
        <v>326</v>
      </c>
      <c r="B17" s="32">
        <f>B9-B14</f>
        <v>67463</v>
      </c>
      <c r="C17" s="32">
        <f>C9-C14</f>
        <v>203903</v>
      </c>
      <c r="D17" s="32">
        <f>D9-D14</f>
        <v>416642</v>
      </c>
      <c r="E17" s="32">
        <f>E9-E14</f>
        <v>691050</v>
      </c>
      <c r="F17" s="32">
        <f>F9-F14</f>
        <v>972604</v>
      </c>
    </row>
    <row r="19" spans="1:6" x14ac:dyDescent="0.25">
      <c r="A19" s="10" t="s">
        <v>327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30">
        <v>184667</v>
      </c>
      <c r="C5" s="30">
        <v>339130</v>
      </c>
      <c r="D5" s="30">
        <v>424882</v>
      </c>
      <c r="E5" s="30">
        <v>495517</v>
      </c>
      <c r="F5" s="30">
        <v>509276</v>
      </c>
    </row>
    <row r="6" spans="1:6" x14ac:dyDescent="0.25">
      <c r="A6" s="11" t="s">
        <v>292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293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273</v>
      </c>
      <c r="B8" s="33">
        <v>25233</v>
      </c>
      <c r="C8" s="33">
        <v>137125</v>
      </c>
      <c r="D8" s="33">
        <v>213423</v>
      </c>
      <c r="E8" s="33">
        <v>275091</v>
      </c>
      <c r="F8" s="33">
        <v>282237</v>
      </c>
    </row>
    <row r="9" spans="1:6" x14ac:dyDescent="0.25">
      <c r="A9" s="11" t="s">
        <v>331</v>
      </c>
      <c r="B9" s="30">
        <v>714</v>
      </c>
      <c r="C9" s="30">
        <v>714</v>
      </c>
      <c r="D9" s="30">
        <v>714</v>
      </c>
      <c r="E9" s="30">
        <v>714</v>
      </c>
      <c r="F9" s="30">
        <v>714</v>
      </c>
    </row>
    <row r="10" spans="1:6" x14ac:dyDescent="0.25">
      <c r="A10" s="11" t="s">
        <v>332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</row>
    <row r="11" spans="1:6" x14ac:dyDescent="0.25">
      <c r="A11" s="10" t="s">
        <v>333</v>
      </c>
      <c r="B11" s="33">
        <f>B8+B9+B10</f>
        <v>25947</v>
      </c>
      <c r="C11" s="33">
        <f>C8+C9+C10</f>
        <v>137839</v>
      </c>
      <c r="D11" s="33">
        <f>D8+D9+D10</f>
        <v>214137</v>
      </c>
      <c r="E11" s="33">
        <f>E8+E9+E10</f>
        <v>275805</v>
      </c>
      <c r="F11" s="33">
        <f>F8+F9+F10</f>
        <v>282951</v>
      </c>
    </row>
    <row r="12" spans="1:6" x14ac:dyDescent="0.25">
      <c r="A12" s="10" t="s">
        <v>334</v>
      </c>
      <c r="B12" s="49" t="s">
        <v>335</v>
      </c>
      <c r="C12" s="49" t="s">
        <v>335</v>
      </c>
      <c r="D12" s="49" t="s">
        <v>335</v>
      </c>
      <c r="E12" s="49" t="s">
        <v>335</v>
      </c>
      <c r="F12" s="49" t="s">
        <v>335</v>
      </c>
    </row>
    <row r="14" ht="24" customHeight="1" spans="1:6" x14ac:dyDescent="0.25">
      <c r="A14" s="19" t="s">
        <v>336</v>
      </c>
      <c r="B14" s="19"/>
      <c r="C14" s="19"/>
      <c r="D14" s="19"/>
      <c r="E14" s="19"/>
      <c r="F14" s="19"/>
    </row>
    <row r="15" spans="1:6" x14ac:dyDescent="0.25">
      <c r="A15" s="11" t="s">
        <v>337</v>
      </c>
      <c r="B15" s="30">
        <v>62170</v>
      </c>
      <c r="C15" s="30">
        <v>199295</v>
      </c>
      <c r="D15" s="30">
        <v>412717</v>
      </c>
      <c r="E15" s="30">
        <v>687808</v>
      </c>
      <c r="F15" s="30">
        <v>970045</v>
      </c>
    </row>
    <row r="16" spans="1:6" x14ac:dyDescent="0.25">
      <c r="A16" s="11" t="s">
        <v>338</v>
      </c>
      <c r="B16" s="50">
        <f>IF((B5-B8)=0,0,(B15/(B5-B8))*365)</f>
        <v>142</v>
      </c>
      <c r="C16" s="50">
        <f>IF((C5-C8)=0,0,(C15/(C5-C8))*365)</f>
        <v>360</v>
      </c>
      <c r="D16" s="50">
        <f>IF((D5-D8)=0,0,(D15/(D5-D8))*365)</f>
        <v>712</v>
      </c>
      <c r="E16" s="50">
        <f>IF((E5-E8)=0,0,(E15/(E5-E8))*365)</f>
        <v>1139</v>
      </c>
      <c r="F16" s="50">
        <f>IF((F5-F8)=0,0,(F15/(F5-F8))*365)</f>
        <v>1559</v>
      </c>
    </row>
    <row r="17" spans="1:6" x14ac:dyDescent="0.25">
      <c r="A17" s="11" t="s">
        <v>339</v>
      </c>
      <c r="B17" s="34">
        <f>IF((B5-B8)=0,0,B15/((B5-B8)/12))</f>
        <v>4.7</v>
      </c>
      <c r="C17" s="34">
        <f>IF((C5-C8)=0,0,C15/((C5-C8)/12))</f>
        <v>11.8</v>
      </c>
      <c r="D17" s="34">
        <f>IF((D5-D8)=0,0,D15/((D5-D8)/12))</f>
        <v>23.4</v>
      </c>
      <c r="E17" s="34">
        <f>IF((E5-E8)=0,0,E15/((E5-E8)/12))</f>
        <v>37.4</v>
      </c>
      <c r="F17" s="34">
        <f>IF((F5-F8)=0,0,F15/((F5-F8)/12))</f>
        <v>51.3</v>
      </c>
    </row>
    <row r="18" spans="1:6" x14ac:dyDescent="0.25">
      <c r="A18" s="11" t="s">
        <v>201</v>
      </c>
      <c r="B18" s="29">
        <v>0.48</v>
      </c>
      <c r="C18" s="29">
        <v>0.72</v>
      </c>
      <c r="D18" s="29">
        <v>0.88</v>
      </c>
      <c r="E18" s="29">
        <v>1</v>
      </c>
      <c r="F18" s="29">
        <v>1</v>
      </c>
    </row>
    <row r="20" ht="24" customHeight="1" spans="1:6" x14ac:dyDescent="0.25">
      <c r="A20" s="19" t="s">
        <v>340</v>
      </c>
      <c r="B20" s="19"/>
      <c r="C20" s="19"/>
      <c r="D20" s="19"/>
      <c r="E20" s="19"/>
      <c r="F20" s="19"/>
    </row>
    <row r="21" spans="1:6" x14ac:dyDescent="0.25">
      <c r="A21" s="11" t="s">
        <v>239</v>
      </c>
      <c r="B21" s="30">
        <v>15389</v>
      </c>
      <c r="C21" s="30">
        <v>18841</v>
      </c>
      <c r="D21" s="30">
        <v>19313</v>
      </c>
      <c r="E21" s="30">
        <v>19821</v>
      </c>
      <c r="F21" s="30">
        <v>20371</v>
      </c>
    </row>
    <row r="22" spans="1:6" x14ac:dyDescent="0.25">
      <c r="A22" s="11" t="s">
        <v>341</v>
      </c>
      <c r="B22" s="30">
        <v>118934</v>
      </c>
      <c r="C22" s="30">
        <v>147003</v>
      </c>
      <c r="D22" s="30">
        <v>151413</v>
      </c>
      <c r="E22" s="30">
        <v>155955</v>
      </c>
      <c r="F22" s="30">
        <v>160634</v>
      </c>
    </row>
    <row r="23" spans="1:6" x14ac:dyDescent="0.25">
      <c r="A23" s="11" t="s">
        <v>342</v>
      </c>
      <c r="B23" s="30">
        <v>3375</v>
      </c>
      <c r="C23" s="30">
        <v>3056</v>
      </c>
      <c r="D23" s="30">
        <v>2729</v>
      </c>
      <c r="E23" s="30">
        <v>2579</v>
      </c>
      <c r="F23" s="30">
        <v>2656</v>
      </c>
    </row>
    <row r="24" spans="1:6" x14ac:dyDescent="0.25">
      <c r="A24" s="10" t="s">
        <v>343</v>
      </c>
      <c r="B24" s="51">
        <v>10</v>
      </c>
      <c r="C24" s="51">
        <v>10</v>
      </c>
      <c r="D24" s="51">
        <v>10</v>
      </c>
      <c r="E24" s="51">
        <v>10</v>
      </c>
      <c r="F24" s="51">
        <v>10</v>
      </c>
    </row>
    <row r="26" ht="24" customHeight="1" spans="1:6" x14ac:dyDescent="0.25">
      <c r="A26" s="19" t="s">
        <v>344</v>
      </c>
      <c r="B26" s="19"/>
      <c r="C26" s="19"/>
      <c r="D26" s="19"/>
      <c r="E26" s="19"/>
      <c r="F26" s="19"/>
    </row>
    <row r="27" spans="1:6" x14ac:dyDescent="0.25">
      <c r="A27" s="11" t="s">
        <v>345</v>
      </c>
      <c r="B27" s="52" t="s">
        <v>335</v>
      </c>
      <c r="C27" s="52" t="s">
        <v>335</v>
      </c>
      <c r="D27" s="52" t="s">
        <v>335</v>
      </c>
      <c r="E27" s="52" t="s">
        <v>335</v>
      </c>
      <c r="F27" s="52" t="s">
        <v>335</v>
      </c>
    </row>
    <row r="28" spans="1:6" x14ac:dyDescent="0.25">
      <c r="A28" s="11" t="s">
        <v>346</v>
      </c>
      <c r="B28" s="53" t="s">
        <v>347</v>
      </c>
      <c r="C28" s="53" t="s">
        <v>347</v>
      </c>
      <c r="D28" s="53" t="s">
        <v>347</v>
      </c>
      <c r="E28" s="53" t="s">
        <v>347</v>
      </c>
      <c r="F28" s="53" t="s">
        <v>347</v>
      </c>
    </row>
    <row r="29" spans="1:6" x14ac:dyDescent="0.25">
      <c r="A29" s="11" t="s">
        <v>348</v>
      </c>
      <c r="B29" s="52" t="s">
        <v>335</v>
      </c>
      <c r="C29" s="52" t="s">
        <v>335</v>
      </c>
      <c r="D29" s="52" t="s">
        <v>335</v>
      </c>
      <c r="E29" s="52" t="s">
        <v>335</v>
      </c>
      <c r="F29" s="52" t="s">
        <v>335</v>
      </c>
    </row>
    <row r="30" spans="1:6" x14ac:dyDescent="0.25">
      <c r="A30" s="11" t="s">
        <v>349</v>
      </c>
      <c r="B30" s="54" t="s">
        <v>350</v>
      </c>
      <c r="C30" s="53" t="s">
        <v>347</v>
      </c>
      <c r="D30" s="53" t="s">
        <v>347</v>
      </c>
      <c r="E30" s="53" t="s">
        <v>347</v>
      </c>
      <c r="F30" s="53" t="s">
        <v>347</v>
      </c>
    </row>
    <row r="31" spans="1:6" x14ac:dyDescent="0.25">
      <c r="A31" s="11" t="s">
        <v>351</v>
      </c>
      <c r="B31" s="53" t="s">
        <v>347</v>
      </c>
      <c r="C31" s="53" t="s">
        <v>347</v>
      </c>
      <c r="D31" s="53" t="s">
        <v>347</v>
      </c>
      <c r="E31" s="53" t="s">
        <v>347</v>
      </c>
      <c r="F31" s="53" t="s">
        <v>347</v>
      </c>
    </row>
    <row r="32" spans="1:6" x14ac:dyDescent="0.25">
      <c r="A32" s="11" t="s">
        <v>352</v>
      </c>
      <c r="B32" s="53" t="s">
        <v>347</v>
      </c>
      <c r="C32" s="53" t="s">
        <v>347</v>
      </c>
      <c r="D32" s="53" t="s">
        <v>347</v>
      </c>
      <c r="E32" s="53" t="s">
        <v>347</v>
      </c>
      <c r="F32" s="53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353</v>
      </c>
      <c r="B3" s="55" t="s">
        <v>114</v>
      </c>
      <c r="D3" s="55" t="s">
        <v>354</v>
      </c>
      <c r="E3" s="55" t="s">
        <v>114</v>
      </c>
    </row>
    <row r="4" spans="1:5" x14ac:dyDescent="0.25">
      <c r="A4" s="11" t="s">
        <v>355</v>
      </c>
      <c r="B4" s="30">
        <v>20000</v>
      </c>
      <c r="D4" s="11" t="s">
        <v>356</v>
      </c>
      <c r="E4" s="30">
        <v>15000</v>
      </c>
    </row>
    <row r="5" spans="4:5" x14ac:dyDescent="0.25">
      <c r="D5" s="11" t="s">
        <v>357</v>
      </c>
      <c r="E5" s="30">
        <v>5000</v>
      </c>
    </row>
    <row r="7" spans="1:5" x14ac:dyDescent="0.25">
      <c r="A7" s="10" t="s">
        <v>358</v>
      </c>
      <c r="B7" s="32">
        <v>20000</v>
      </c>
      <c r="D7" s="10" t="s">
        <v>359</v>
      </c>
      <c r="E7" s="32">
        <v>20000</v>
      </c>
    </row>
    <row r="8" spans="1:2" x14ac:dyDescent="0.25">
      <c r="A8" s="10" t="s">
        <v>360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361</v>
      </c>
      <c r="B1" s="15"/>
      <c r="C1" s="15"/>
      <c r="D1" s="15"/>
      <c r="E1" s="15"/>
      <c r="F1" s="15"/>
    </row>
    <row r="3" ht="24" customHeight="1" spans="1:6" x14ac:dyDescent="0.25">
      <c r="A3" s="19" t="s">
        <v>362</v>
      </c>
      <c r="B3" s="19"/>
      <c r="C3" s="19"/>
      <c r="D3" s="19"/>
      <c r="E3" s="19"/>
      <c r="F3" s="19"/>
    </row>
    <row r="4" spans="1:1" x14ac:dyDescent="0.25">
      <c r="A4" s="17" t="s">
        <v>363</v>
      </c>
    </row>
    <row r="5" ht="28" customHeight="1" spans="1:6" x14ac:dyDescent="0.25">
      <c r="A5" s="21" t="s">
        <v>7</v>
      </c>
      <c r="B5" s="21" t="s">
        <v>104</v>
      </c>
      <c r="C5" s="21" t="s">
        <v>105</v>
      </c>
      <c r="D5" s="21" t="s">
        <v>106</v>
      </c>
      <c r="E5" s="21" t="s">
        <v>107</v>
      </c>
      <c r="F5" s="21" t="s">
        <v>108</v>
      </c>
    </row>
    <row r="6" spans="1:6" x14ac:dyDescent="0.25">
      <c r="A6" s="11" t="s">
        <v>330</v>
      </c>
      <c r="B6" s="30">
        <v>184667</v>
      </c>
      <c r="C6" s="30">
        <v>339130</v>
      </c>
      <c r="D6" s="30">
        <v>424882</v>
      </c>
      <c r="E6" s="30">
        <v>495517</v>
      </c>
      <c r="F6" s="30">
        <v>509276</v>
      </c>
    </row>
    <row r="7" spans="1:6" x14ac:dyDescent="0.25">
      <c r="A7" s="11" t="s">
        <v>271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273</v>
      </c>
      <c r="B8" s="32">
        <v>25233</v>
      </c>
      <c r="C8" s="32">
        <v>137125</v>
      </c>
      <c r="D8" s="32">
        <v>213423</v>
      </c>
      <c r="E8" s="32">
        <v>275091</v>
      </c>
      <c r="F8" s="32">
        <v>282237</v>
      </c>
    </row>
    <row r="9" spans="1:6" x14ac:dyDescent="0.25">
      <c r="A9" s="11" t="s">
        <v>274</v>
      </c>
      <c r="B9" s="29">
        <v>0.13663808664259927</v>
      </c>
      <c r="C9" s="29">
        <v>0.4043437853073026</v>
      </c>
      <c r="D9" s="29">
        <v>0.5023099573664649</v>
      </c>
      <c r="E9" s="29">
        <v>0.5551595361077036</v>
      </c>
      <c r="F9" s="29">
        <v>0.5541926962730911</v>
      </c>
    </row>
    <row r="10" spans="1:6" x14ac:dyDescent="0.25">
      <c r="A10" s="11" t="s">
        <v>334</v>
      </c>
      <c r="B10" s="56" t="s">
        <v>335</v>
      </c>
      <c r="C10" s="56" t="s">
        <v>335</v>
      </c>
      <c r="D10" s="56" t="s">
        <v>335</v>
      </c>
      <c r="E10" s="56" t="s">
        <v>335</v>
      </c>
      <c r="F10" s="56" t="s">
        <v>335</v>
      </c>
    </row>
    <row r="11" spans="1:6" x14ac:dyDescent="0.25">
      <c r="A11" s="11" t="s">
        <v>343</v>
      </c>
      <c r="B11" s="50">
        <v>10</v>
      </c>
      <c r="C11" s="50">
        <v>10</v>
      </c>
      <c r="D11" s="50">
        <v>10</v>
      </c>
      <c r="E11" s="50">
        <v>10</v>
      </c>
      <c r="F11" s="50">
        <v>10</v>
      </c>
    </row>
    <row r="13" ht="24" customHeight="1" spans="1:6" x14ac:dyDescent="0.25">
      <c r="A13" s="19" t="s">
        <v>364</v>
      </c>
      <c r="B13" s="19"/>
      <c r="C13" s="19"/>
      <c r="D13" s="19"/>
      <c r="E13" s="19"/>
      <c r="F13" s="19"/>
    </row>
    <row r="14" spans="1:1" x14ac:dyDescent="0.25">
      <c r="A14" s="17" t="s">
        <v>365</v>
      </c>
    </row>
    <row r="15" ht="28" customHeight="1" spans="1:6" x14ac:dyDescent="0.25">
      <c r="A15" s="21" t="s">
        <v>7</v>
      </c>
      <c r="B15" s="21" t="s">
        <v>104</v>
      </c>
      <c r="C15" s="21" t="s">
        <v>105</v>
      </c>
      <c r="D15" s="21" t="s">
        <v>106</v>
      </c>
      <c r="E15" s="21" t="s">
        <v>107</v>
      </c>
      <c r="F15" s="21" t="s">
        <v>108</v>
      </c>
    </row>
    <row r="16" spans="1:6" x14ac:dyDescent="0.25">
      <c r="A16" s="11" t="s">
        <v>330</v>
      </c>
      <c r="B16" s="30">
        <v>147733</v>
      </c>
      <c r="C16" s="30">
        <v>271304</v>
      </c>
      <c r="D16" s="30">
        <v>339906</v>
      </c>
      <c r="E16" s="30">
        <v>396414</v>
      </c>
      <c r="F16" s="30">
        <v>407420</v>
      </c>
    </row>
    <row r="17" spans="1:6" x14ac:dyDescent="0.25">
      <c r="A17" s="11" t="s">
        <v>271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273</v>
      </c>
      <c r="B18" s="32">
        <v>-11701</v>
      </c>
      <c r="C18" s="32">
        <v>69299</v>
      </c>
      <c r="D18" s="32">
        <v>128446</v>
      </c>
      <c r="E18" s="32">
        <v>175988</v>
      </c>
      <c r="F18" s="32">
        <v>180382</v>
      </c>
    </row>
    <row r="19" spans="1:6" x14ac:dyDescent="0.25">
      <c r="A19" s="11" t="s">
        <v>274</v>
      </c>
      <c r="B19" s="29">
        <v>-0.07920239169675096</v>
      </c>
      <c r="C19" s="29">
        <v>0.2554297316341282</v>
      </c>
      <c r="D19" s="29">
        <v>0.3778874467080811</v>
      </c>
      <c r="E19" s="29">
        <v>0.4439494201346296</v>
      </c>
      <c r="F19" s="29">
        <v>0.44274087034136395</v>
      </c>
    </row>
    <row r="20" spans="1:6" x14ac:dyDescent="0.25">
      <c r="A20" s="11" t="s">
        <v>334</v>
      </c>
      <c r="B20" s="56" t="s">
        <v>335</v>
      </c>
      <c r="C20" s="56" t="s">
        <v>335</v>
      </c>
      <c r="D20" s="56" t="s">
        <v>335</v>
      </c>
      <c r="E20" s="56" t="s">
        <v>335</v>
      </c>
      <c r="F20" s="56" t="s">
        <v>335</v>
      </c>
    </row>
    <row r="21" spans="1:6" x14ac:dyDescent="0.25">
      <c r="A21" s="11" t="s">
        <v>343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366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98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132</v>
      </c>
      <c r="B5" s="11" t="s">
        <v>34</v>
      </c>
    </row>
    <row r="6" spans="1:2" x14ac:dyDescent="0.25">
      <c r="A6" s="11" t="s">
        <v>367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368</v>
      </c>
      <c r="B9" s="11" t="s">
        <v>46</v>
      </c>
    </row>
    <row r="11" ht="24" customHeight="1" spans="1:8" x14ac:dyDescent="0.25">
      <c r="A11" s="19" t="s">
        <v>369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104</v>
      </c>
      <c r="E12" s="57" t="s">
        <v>105</v>
      </c>
      <c r="F12" s="57" t="s">
        <v>106</v>
      </c>
      <c r="G12" s="57" t="s">
        <v>107</v>
      </c>
      <c r="H12" s="57" t="s">
        <v>108</v>
      </c>
    </row>
    <row r="13" spans="1:8" x14ac:dyDescent="0.25">
      <c r="A13" s="11" t="s">
        <v>330</v>
      </c>
      <c r="D13" s="30">
        <v>184667</v>
      </c>
      <c r="E13" s="30">
        <v>339130</v>
      </c>
      <c r="F13" s="30">
        <v>424882</v>
      </c>
      <c r="G13" s="30">
        <v>495517</v>
      </c>
      <c r="H13" s="30">
        <v>509276</v>
      </c>
    </row>
    <row r="14" spans="1:8" x14ac:dyDescent="0.25">
      <c r="A14" s="11" t="s">
        <v>271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273</v>
      </c>
      <c r="D15" s="30">
        <v>25233</v>
      </c>
      <c r="E15" s="30">
        <v>137125</v>
      </c>
      <c r="F15" s="30">
        <v>213423</v>
      </c>
      <c r="G15" s="30">
        <v>275091</v>
      </c>
      <c r="H15" s="30">
        <v>282237</v>
      </c>
    </row>
    <row r="16" spans="1:8" x14ac:dyDescent="0.25">
      <c r="A16" s="11" t="s">
        <v>370</v>
      </c>
      <c r="D16" s="30">
        <v>62170</v>
      </c>
      <c r="E16" s="30">
        <v>199295</v>
      </c>
      <c r="F16" s="30">
        <v>412717</v>
      </c>
      <c r="G16" s="30">
        <v>687808</v>
      </c>
      <c r="H16" s="30">
        <v>970045</v>
      </c>
    </row>
    <row r="17" spans="1:8" x14ac:dyDescent="0.25">
      <c r="A17" s="11" t="s">
        <v>371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372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104</v>
      </c>
      <c r="E20" s="57" t="s">
        <v>105</v>
      </c>
      <c r="F20" s="57" t="s">
        <v>106</v>
      </c>
      <c r="G20" s="57" t="s">
        <v>107</v>
      </c>
      <c r="H20" s="57" t="s">
        <v>108</v>
      </c>
    </row>
    <row r="21" spans="1:8" x14ac:dyDescent="0.25">
      <c r="A21" s="11" t="s">
        <v>373</v>
      </c>
      <c r="D21" s="29">
        <v>0.13663808664259927</v>
      </c>
      <c r="E21" s="29">
        <v>0.4043437853073026</v>
      </c>
      <c r="F21" s="29">
        <v>0.5023099573664649</v>
      </c>
      <c r="G21" s="29">
        <v>0.5551595361077036</v>
      </c>
      <c r="H21" s="29">
        <v>0.5541926962730911</v>
      </c>
    </row>
    <row r="22" spans="1:8" x14ac:dyDescent="0.25">
      <c r="A22" s="11" t="s">
        <v>334</v>
      </c>
      <c r="D22" s="56" t="s">
        <v>335</v>
      </c>
      <c r="E22" s="56" t="s">
        <v>335</v>
      </c>
      <c r="F22" s="56" t="s">
        <v>335</v>
      </c>
      <c r="G22" s="56" t="s">
        <v>335</v>
      </c>
      <c r="H22" s="56" t="s">
        <v>335</v>
      </c>
    </row>
    <row r="23" spans="1:8" x14ac:dyDescent="0.25">
      <c r="A23" s="11" t="s">
        <v>201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374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spans="1:8" x14ac:dyDescent="0.25">
      <c r="A26" s="14" t="s">
        <v>375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376</v>
      </c>
      <c r="C2" s="1"/>
      <c r="D2" s="1"/>
      <c r="E2" s="1"/>
      <c r="F2" s="1"/>
      <c r="G2" s="1"/>
      <c r="H2" s="1"/>
    </row>
    <row r="3" spans="2:8" x14ac:dyDescent="0.25">
      <c r="B3" s="58" t="s">
        <v>377</v>
      </c>
      <c r="C3" s="58"/>
      <c r="D3" s="58"/>
      <c r="E3" s="58"/>
      <c r="F3" s="58"/>
      <c r="G3" s="58"/>
      <c r="H3" s="58"/>
    </row>
    <row r="4" spans="2:6" x14ac:dyDescent="0.25">
      <c r="B4" s="59" t="s">
        <v>378</v>
      </c>
      <c r="D4" s="60" t="s">
        <v>379</v>
      </c>
      <c r="F4" s="61" t="s">
        <v>380</v>
      </c>
    </row>
    <row r="6" ht="24" customHeight="1" spans="2:8" x14ac:dyDescent="0.25">
      <c r="B6" s="19" t="s">
        <v>381</v>
      </c>
      <c r="C6" s="62" t="s">
        <v>382</v>
      </c>
      <c r="D6" s="62" t="s">
        <v>383</v>
      </c>
      <c r="E6" s="62" t="s">
        <v>384</v>
      </c>
      <c r="F6" s="62" t="s">
        <v>385</v>
      </c>
      <c r="G6" s="62" t="s">
        <v>386</v>
      </c>
      <c r="H6" s="62" t="s">
        <v>387</v>
      </c>
    </row>
    <row r="7" spans="2:7" x14ac:dyDescent="0.25">
      <c r="B7" s="11" t="s">
        <v>374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330</v>
      </c>
      <c r="C8" s="64">
        <v>184666.6666666667</v>
      </c>
      <c r="D8" s="64">
        <v>339129.56</v>
      </c>
      <c r="E8" s="64">
        <v>424882.21741599997</v>
      </c>
      <c r="F8" s="64">
        <v>495516.93485413</v>
      </c>
      <c r="G8" s="64">
        <v>509275.55642087164</v>
      </c>
    </row>
    <row r="9" spans="2:7" x14ac:dyDescent="0.25">
      <c r="B9" s="11" t="s">
        <v>292</v>
      </c>
      <c r="C9" s="64">
        <v>118934.16666666667</v>
      </c>
      <c r="D9" s="64">
        <v>147002.63</v>
      </c>
      <c r="E9" s="64">
        <v>151412.7089</v>
      </c>
      <c r="F9" s="64">
        <v>155955.090167</v>
      </c>
      <c r="G9" s="64">
        <v>160633.74287201</v>
      </c>
    </row>
    <row r="10" spans="2:7" x14ac:dyDescent="0.25">
      <c r="B10" s="11" t="s">
        <v>293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294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273</v>
      </c>
      <c r="C12" s="65">
        <v>25232.5</v>
      </c>
      <c r="D12" s="65">
        <v>137124.93</v>
      </c>
      <c r="E12" s="65">
        <v>213422.568516</v>
      </c>
      <c r="F12" s="65">
        <v>275090.95168713003</v>
      </c>
      <c r="G12" s="65">
        <v>282236.7937588616</v>
      </c>
    </row>
    <row r="13" spans="2:7" x14ac:dyDescent="0.25">
      <c r="B13" s="10" t="s">
        <v>337</v>
      </c>
      <c r="C13" s="65">
        <v>62170</v>
      </c>
      <c r="D13" s="65">
        <v>199294.93</v>
      </c>
      <c r="E13" s="65">
        <v>412717.498516</v>
      </c>
      <c r="F13" s="65">
        <v>687808.45020313</v>
      </c>
      <c r="G13" s="65">
        <v>970045.2439619916</v>
      </c>
    </row>
    <row r="14" spans="2:7" x14ac:dyDescent="0.25">
      <c r="B14" s="10" t="s">
        <v>373</v>
      </c>
      <c r="C14" s="66">
        <v>0.13663808664259927</v>
      </c>
      <c r="D14" s="66">
        <v>0.4043437853073026</v>
      </c>
      <c r="E14" s="66">
        <v>0.5023099573664649</v>
      </c>
      <c r="F14" s="66">
        <v>0.5551595361077036</v>
      </c>
      <c r="G14" s="66">
        <v>0.5541926962730911</v>
      </c>
    </row>
    <row r="15" spans="2:8" x14ac:dyDescent="0.25">
      <c r="B15" s="10" t="s">
        <v>239</v>
      </c>
      <c r="C15" s="67">
        <v>15388.88888888889</v>
      </c>
      <c r="D15" s="67">
        <v>18840.53111111111</v>
      </c>
      <c r="E15" s="67">
        <v>19312.828064363635</v>
      </c>
      <c r="F15" s="67">
        <v>19820.677394165203</v>
      </c>
      <c r="G15" s="67">
        <v>20371.022256834865</v>
      </c>
      <c r="H15" s="68" t="s">
        <v>388</v>
      </c>
    </row>
    <row r="16" spans="2:7" x14ac:dyDescent="0.25">
      <c r="B16" s="10" t="s">
        <v>276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389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390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391</v>
      </c>
    </row>
    <row r="19" spans="2:7" x14ac:dyDescent="0.25">
      <c r="B19" s="10" t="s">
        <v>392</v>
      </c>
      <c r="C19" s="71">
        <v>2102.7083333333335</v>
      </c>
      <c r="D19" s="71">
        <v>7618.051666666666</v>
      </c>
      <c r="E19" s="71">
        <v>9701.025841636363</v>
      </c>
      <c r="F19" s="71">
        <v>11003.6380674852</v>
      </c>
      <c r="G19" s="71">
        <v>11289.471750354463</v>
      </c>
    </row>
    <row r="20" spans="2:8" x14ac:dyDescent="0.25">
      <c r="B20" s="10" t="s">
        <v>393</v>
      </c>
      <c r="C20" s="72">
        <v>0.644047833935018</v>
      </c>
      <c r="D20" s="66">
        <v>0.43347041172111334</v>
      </c>
      <c r="E20" s="66">
        <v>0.35636395851265434</v>
      </c>
      <c r="F20" s="66">
        <v>0.314732109434181</v>
      </c>
      <c r="G20" s="66">
        <v>0.31541616487727187</v>
      </c>
      <c r="H20" s="68" t="s">
        <v>394</v>
      </c>
    </row>
    <row r="21" spans="2:8" x14ac:dyDescent="0.25">
      <c r="B21" s="10" t="s">
        <v>395</v>
      </c>
      <c r="C21" s="72">
        <v>0.19494584837545123</v>
      </c>
      <c r="D21" s="66">
        <v>0.10933874357634882</v>
      </c>
      <c r="E21" s="66">
        <v>0.0898893821263553</v>
      </c>
      <c r="F21" s="66">
        <v>0.07938814848291784</v>
      </c>
      <c r="G21" s="66">
        <v>0.07956069489130392</v>
      </c>
      <c r="H21" s="68" t="s">
        <v>396</v>
      </c>
    </row>
    <row r="22" spans="2:8" x14ac:dyDescent="0.25">
      <c r="B22" s="10" t="s">
        <v>397</v>
      </c>
      <c r="C22" s="66">
        <v>0.13663808664259935</v>
      </c>
      <c r="D22" s="66">
        <v>0.4043437853073026</v>
      </c>
      <c r="E22" s="66">
        <v>0.5023099573664649</v>
      </c>
      <c r="F22" s="66">
        <v>0.5551595361077037</v>
      </c>
      <c r="G22" s="66">
        <v>0.5541926962730912</v>
      </c>
      <c r="H22" s="68" t="s">
        <v>398</v>
      </c>
    </row>
    <row r="23" spans="2:8" x14ac:dyDescent="0.25">
      <c r="B23" s="10" t="s">
        <v>399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400</v>
      </c>
    </row>
    <row r="24" spans="2:8" x14ac:dyDescent="0.25">
      <c r="B24" s="10" t="s">
        <v>334</v>
      </c>
      <c r="C24" s="74" t="s">
        <v>335</v>
      </c>
      <c r="D24" s="74" t="s">
        <v>335</v>
      </c>
      <c r="E24" s="74" t="s">
        <v>335</v>
      </c>
      <c r="F24" s="74" t="s">
        <v>335</v>
      </c>
      <c r="G24" s="74" t="s">
        <v>335</v>
      </c>
      <c r="H24" s="68" t="s">
        <v>335</v>
      </c>
    </row>
    <row r="25" spans="2:8" x14ac:dyDescent="0.25">
      <c r="B25" s="10" t="s">
        <v>401</v>
      </c>
      <c r="C25" s="42" t="str">
        <f>IF('5-Year Operating Stmt'!B17&gt;=0,"✓ Break-even","")</f>
        <v>✓ Break-even</v>
      </c>
      <c r="D25" s="75" t="str">
        <f>IF(AND('5-Year Operating Stmt'!C17&gt;=0,'5-Year Operating Stmt'!B17&lt;0),"✓ Break-even","")</f>
        <v>0</v>
      </c>
      <c r="E25" s="75" t="str">
        <f>IF(AND('5-Year Operating Stmt'!D17&gt;=0,'5-Year Operating Stmt'!C17&lt;0),"✓ Break-even","")</f>
        <v>0</v>
      </c>
      <c r="F25" s="75" t="str">
        <f>IF(AND('5-Year Operating Stmt'!E17&gt;=0,'5-Year Operating Stmt'!D17&lt;0),"✓ Break-even","")</f>
        <v>0</v>
      </c>
      <c r="G25" s="75" t="str">
        <f>IF(AND('5-Year Operating Stmt'!F17&gt;=0,'5-Year Operating Stmt'!E17&lt;0),"✓ Break-even","")</f>
        <v>0</v>
      </c>
      <c r="H25" s="68" t="s">
        <v>382</v>
      </c>
    </row>
    <row r="26" spans="2:8" x14ac:dyDescent="0.25">
      <c r="B26" s="10" t="s">
        <v>402</v>
      </c>
      <c r="C26" s="76">
        <v>5</v>
      </c>
      <c r="D26" s="77">
        <v>12</v>
      </c>
      <c r="E26" s="77">
        <v>23</v>
      </c>
      <c r="F26" s="73">
        <v>37</v>
      </c>
      <c r="G26" s="73">
        <v>51</v>
      </c>
      <c r="H26" s="68" t="s">
        <v>403</v>
      </c>
    </row>
    <row r="27" spans="2:8" x14ac:dyDescent="0.25">
      <c r="B27" s="10" t="s">
        <v>338</v>
      </c>
      <c r="C27" s="73">
        <v>142</v>
      </c>
      <c r="D27" s="73">
        <v>360</v>
      </c>
      <c r="E27" s="73">
        <v>712</v>
      </c>
      <c r="F27" s="73">
        <v>1139</v>
      </c>
      <c r="G27" s="73">
        <v>1559</v>
      </c>
      <c r="H27" s="68" t="s">
        <v>404</v>
      </c>
    </row>
    <row r="29" ht="24" customHeight="1" spans="2:8" x14ac:dyDescent="0.25">
      <c r="B29" s="19" t="s">
        <v>405</v>
      </c>
      <c r="C29" s="19" t="s">
        <v>406</v>
      </c>
      <c r="D29" s="19" t="s">
        <v>407</v>
      </c>
      <c r="E29" s="19"/>
      <c r="F29" s="19" t="s">
        <v>408</v>
      </c>
      <c r="G29" s="19"/>
      <c r="H29" s="19"/>
    </row>
    <row r="30" ht="45" customHeight="1" spans="2:8" x14ac:dyDescent="0.25">
      <c r="B30" s="44" t="s">
        <v>409</v>
      </c>
      <c r="C30" s="42" t="s">
        <v>410</v>
      </c>
      <c r="D30" s="78" t="s">
        <v>411</v>
      </c>
      <c r="E30" s="78"/>
      <c r="F30" s="79" t="s">
        <v>412</v>
      </c>
      <c r="G30" s="79"/>
      <c r="H30" s="79"/>
    </row>
    <row r="31" ht="45" customHeight="1" spans="2:8" x14ac:dyDescent="0.25">
      <c r="B31" s="44" t="s">
        <v>413</v>
      </c>
      <c r="C31" s="42" t="s">
        <v>410</v>
      </c>
      <c r="D31" s="78" t="s">
        <v>414</v>
      </c>
      <c r="E31" s="78"/>
      <c r="F31" s="79" t="s">
        <v>415</v>
      </c>
      <c r="G31" s="79"/>
      <c r="H31" s="79"/>
    </row>
    <row r="32" ht="45" customHeight="1" spans="2:8" x14ac:dyDescent="0.25">
      <c r="B32" s="44" t="s">
        <v>416</v>
      </c>
      <c r="C32" s="42" t="s">
        <v>410</v>
      </c>
      <c r="D32" s="78" t="s">
        <v>417</v>
      </c>
      <c r="E32" s="78"/>
      <c r="F32" s="79" t="s">
        <v>418</v>
      </c>
      <c r="G32" s="79"/>
      <c r="H32" s="79"/>
    </row>
    <row r="33" ht="45" customHeight="1" spans="2:8" x14ac:dyDescent="0.25">
      <c r="B33" s="44" t="s">
        <v>419</v>
      </c>
      <c r="C33" s="42" t="s">
        <v>410</v>
      </c>
      <c r="D33" s="78" t="s">
        <v>420</v>
      </c>
      <c r="E33" s="78"/>
      <c r="F33" s="79" t="s">
        <v>421</v>
      </c>
      <c r="G33" s="79"/>
      <c r="H33" s="79"/>
    </row>
    <row r="34" ht="45" customHeight="1" spans="2:8" x14ac:dyDescent="0.25">
      <c r="B34" s="44" t="s">
        <v>422</v>
      </c>
      <c r="C34" s="42" t="s">
        <v>410</v>
      </c>
      <c r="D34" s="78" t="s">
        <v>423</v>
      </c>
      <c r="E34" s="78"/>
      <c r="F34" s="79" t="s">
        <v>424</v>
      </c>
      <c r="G34" s="79"/>
      <c r="H34" s="79"/>
    </row>
    <row r="35" ht="45" customHeight="1" spans="2:8" x14ac:dyDescent="0.25">
      <c r="B35" s="44" t="s">
        <v>425</v>
      </c>
      <c r="C35" s="42" t="s">
        <v>410</v>
      </c>
      <c r="D35" s="78" t="s">
        <v>426</v>
      </c>
      <c r="E35" s="78"/>
      <c r="F35" s="79" t="s">
        <v>427</v>
      </c>
      <c r="G35" s="79"/>
      <c r="H35" s="79"/>
    </row>
    <row r="37" spans="2:6" x14ac:dyDescent="0.25">
      <c r="B37" s="44" t="s">
        <v>428</v>
      </c>
      <c r="C37" s="10" t="s">
        <v>429</v>
      </c>
      <c r="D37" s="10"/>
      <c r="E37" s="10"/>
      <c r="F37" s="10"/>
    </row>
    <row r="39" spans="2:8" x14ac:dyDescent="0.25">
      <c r="B39" s="80" t="s">
        <v>430</v>
      </c>
      <c r="C39" s="80"/>
      <c r="D39" s="80"/>
      <c r="E39" s="80"/>
      <c r="F39" s="80"/>
      <c r="G39" s="80"/>
      <c r="H39" s="8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431</v>
      </c>
      <c r="B3" s="19"/>
    </row>
    <row r="4" spans="1:2" x14ac:dyDescent="0.25">
      <c r="A4" s="81" t="s">
        <v>432</v>
      </c>
      <c r="B4" s="81"/>
    </row>
    <row r="6" ht="24" customHeight="1" spans="1:2" x14ac:dyDescent="0.25">
      <c r="A6" s="19" t="s">
        <v>433</v>
      </c>
      <c r="B6" s="19"/>
    </row>
    <row r="7" spans="1:2" x14ac:dyDescent="0.25">
      <c r="A7" s="81" t="s">
        <v>432</v>
      </c>
      <c r="B7" s="81"/>
    </row>
    <row r="9" ht="24" customHeight="1" spans="1:2" x14ac:dyDescent="0.25">
      <c r="A9" s="19" t="s">
        <v>434</v>
      </c>
      <c r="B9" s="19"/>
    </row>
    <row r="10" spans="1:2" x14ac:dyDescent="0.25">
      <c r="A10" s="81" t="s">
        <v>432</v>
      </c>
      <c r="B10" s="81"/>
    </row>
    <row r="12" ht="24" customHeight="1" spans="1:2" x14ac:dyDescent="0.25">
      <c r="A12" s="19" t="s">
        <v>435</v>
      </c>
      <c r="B12" s="19"/>
    </row>
    <row r="13" spans="1:2" x14ac:dyDescent="0.25">
      <c r="A13" s="81" t="s">
        <v>432</v>
      </c>
      <c r="B13" s="81"/>
    </row>
    <row r="15" ht="24" customHeight="1" spans="1:2" x14ac:dyDescent="0.25">
      <c r="A15" s="19" t="s">
        <v>436</v>
      </c>
      <c r="B15" s="19"/>
    </row>
    <row r="16" spans="1:2" x14ac:dyDescent="0.25">
      <c r="A16" s="81" t="s">
        <v>432</v>
      </c>
      <c r="B16" s="81"/>
    </row>
    <row r="18" ht="24" customHeight="1" spans="1:2" x14ac:dyDescent="0.25">
      <c r="A18" s="19" t="s">
        <v>437</v>
      </c>
      <c r="B18" s="19"/>
    </row>
    <row r="19" spans="1:2" x14ac:dyDescent="0.25">
      <c r="A19" s="81" t="s">
        <v>432</v>
      </c>
      <c r="B19" s="81"/>
    </row>
    <row r="21" ht="24" customHeight="1" spans="1:2" x14ac:dyDescent="0.25">
      <c r="A21" s="19" t="s">
        <v>438</v>
      </c>
      <c r="B21" s="19"/>
    </row>
    <row r="22" spans="1:2" x14ac:dyDescent="0.25">
      <c r="A22" s="81" t="s">
        <v>432</v>
      </c>
      <c r="B22" s="81"/>
    </row>
    <row r="24" ht="24" customHeight="1" spans="1:2" x14ac:dyDescent="0.25">
      <c r="A24" s="19" t="s">
        <v>439</v>
      </c>
      <c r="B24" s="19"/>
    </row>
    <row r="25" spans="1:2" x14ac:dyDescent="0.25">
      <c r="A25" s="81" t="s">
        <v>432</v>
      </c>
      <c r="B25" s="81"/>
    </row>
    <row r="27" ht="24" customHeight="1" spans="1:2" x14ac:dyDescent="0.25">
      <c r="A27" s="19" t="s">
        <v>440</v>
      </c>
      <c r="B27" s="19"/>
    </row>
    <row r="28" spans="1:2" x14ac:dyDescent="0.25">
      <c r="A28" s="81" t="s">
        <v>432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441</v>
      </c>
      <c r="C1" s="15"/>
      <c r="D1" s="15"/>
      <c r="E1" s="15"/>
      <c r="F1" s="15"/>
      <c r="G1" s="15"/>
      <c r="H1" s="15"/>
    </row>
    <row r="2" ht="44" customHeight="1" spans="2:8" x14ac:dyDescent="0.25">
      <c r="B2" s="82" t="s">
        <v>442</v>
      </c>
      <c r="C2" s="82"/>
      <c r="D2" s="82"/>
      <c r="E2" s="82"/>
      <c r="F2" s="82"/>
      <c r="G2" s="82"/>
      <c r="H2" s="82"/>
    </row>
    <row r="4" ht="28" customHeight="1" spans="2:8" x14ac:dyDescent="0.25">
      <c r="B4" s="83" t="s">
        <v>443</v>
      </c>
      <c r="C4" s="83" t="s">
        <v>132</v>
      </c>
      <c r="D4" s="83" t="s">
        <v>444</v>
      </c>
      <c r="E4" s="83" t="s">
        <v>445</v>
      </c>
      <c r="F4" s="83" t="s">
        <v>446</v>
      </c>
      <c r="G4" s="83" t="s">
        <v>447</v>
      </c>
      <c r="H4" s="83" t="s">
        <v>448</v>
      </c>
    </row>
    <row r="5" ht="64" customHeight="1" spans="1:8" x14ac:dyDescent="0.25">
      <c r="A5" s="84"/>
      <c r="B5" s="85" t="s">
        <v>449</v>
      </c>
      <c r="C5" s="86" t="s">
        <v>450</v>
      </c>
      <c r="D5" s="87" t="s">
        <v>451</v>
      </c>
      <c r="E5" s="86" t="s">
        <v>452</v>
      </c>
      <c r="F5" s="88" t="s">
        <v>453</v>
      </c>
      <c r="G5" s="86" t="s">
        <v>454</v>
      </c>
      <c r="H5" s="86" t="s">
        <v>455</v>
      </c>
    </row>
    <row r="6" ht="32" customHeight="1" spans="1:8" x14ac:dyDescent="0.25">
      <c r="A6" s="84"/>
      <c r="B6" s="85" t="s">
        <v>456</v>
      </c>
      <c r="C6" s="86" t="s">
        <v>457</v>
      </c>
      <c r="D6" s="87" t="s">
        <v>451</v>
      </c>
      <c r="E6" s="86" t="s">
        <v>458</v>
      </c>
      <c r="F6" s="88" t="s">
        <v>459</v>
      </c>
      <c r="G6" s="86" t="s">
        <v>460</v>
      </c>
      <c r="H6" s="86" t="s">
        <v>461</v>
      </c>
    </row>
    <row r="7" ht="64" customHeight="1" spans="1:8" x14ac:dyDescent="0.25">
      <c r="A7" s="89"/>
      <c r="B7" s="85" t="s">
        <v>462</v>
      </c>
      <c r="C7" s="86" t="s">
        <v>463</v>
      </c>
      <c r="D7" s="90" t="s">
        <v>464</v>
      </c>
      <c r="E7" s="86" t="s">
        <v>465</v>
      </c>
      <c r="F7" s="88" t="s">
        <v>466</v>
      </c>
      <c r="G7" s="86" t="s">
        <v>467</v>
      </c>
      <c r="H7" s="86" t="s">
        <v>468</v>
      </c>
    </row>
    <row r="8" ht="32" customHeight="1" spans="1:8" x14ac:dyDescent="0.25">
      <c r="A8" s="91"/>
      <c r="B8" s="85" t="s">
        <v>469</v>
      </c>
      <c r="C8" s="86" t="s">
        <v>457</v>
      </c>
      <c r="D8" s="92" t="s">
        <v>470</v>
      </c>
      <c r="E8" s="86" t="s">
        <v>465</v>
      </c>
      <c r="F8" s="88" t="s">
        <v>471</v>
      </c>
      <c r="G8" s="86" t="s">
        <v>472</v>
      </c>
      <c r="H8" s="86" t="s">
        <v>473</v>
      </c>
    </row>
    <row r="9" ht="32" customHeight="1" spans="1:8" x14ac:dyDescent="0.25">
      <c r="A9" s="91"/>
      <c r="B9" s="85" t="s">
        <v>474</v>
      </c>
      <c r="C9" s="86" t="s">
        <v>463</v>
      </c>
      <c r="D9" s="92" t="s">
        <v>470</v>
      </c>
      <c r="E9" s="86" t="s">
        <v>465</v>
      </c>
      <c r="F9" s="88" t="s">
        <v>475</v>
      </c>
      <c r="G9" s="86" t="s">
        <v>476</v>
      </c>
      <c r="H9" s="86" t="s">
        <v>477</v>
      </c>
    </row>
    <row r="11" spans="2:8" x14ac:dyDescent="0.25">
      <c r="B11" s="58" t="s">
        <v>478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  <vt:lpstr>Budget Narrative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2026-04-29T12:25:07Z</dcterms:created>
  <dcterms:modified xsi:type="dcterms:W3CDTF">2026-04-29T12:25:07Z</dcterms:modified>
</cp:coreProperties>
</file>