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Cover" state="visible" r:id="rId5"/>
    <sheet sheetId="3" name="Assumptions" state="visible" r:id="rId6"/>
    <sheet sheetId="4" name="Program Profile" state="visible" r:id="rId7"/>
    <sheet sheetId="5" name="Enrollment Drivers" state="visible" r:id="rId8"/>
    <sheet sheetId="6" name="Tuition &amp; Funding" state="visible" r:id="rId9"/>
    <sheet sheetId="7" name="Staffing Drivers" state="visible" r:id="rId10"/>
    <sheet sheetId="8" name="OpEx Drivers" state="visible" r:id="rId11"/>
    <sheet sheetId="9" name="Capital Stack" state="visible" r:id="rId12"/>
    <sheet sheetId="10" name="Enrollment Tuition Fcst" state="visible" r:id="rId13"/>
    <sheet sheetId="11" name="Staffing Costs Fcst" state="visible" r:id="rId14"/>
    <sheet sheetId="12" name="Budget Detail" state="visible" r:id="rId15"/>
    <sheet sheetId="13" name="Budget Summary" state="visible" r:id="rId16"/>
    <sheet sheetId="14" name="Monthly Cash Flow Y1" state="visible" r:id="rId17"/>
    <sheet sheetId="15" name="5-Year Operating Stmt" state="visible" r:id="rId18"/>
    <sheet sheetId="16" name="Debt Schedule" state="visible" r:id="rId19"/>
    <sheet sheetId="17" name="Balance Sheet" state="visible" r:id="rId20"/>
    <sheet sheetId="18" name="DSCR &amp; Covenants" state="visible" r:id="rId21"/>
    <sheet sheetId="19" name="Sources &amp; Uses" state="visible" r:id="rId22"/>
    <sheet sheetId="20" name="Scenarios" state="visible" r:id="rId23"/>
    <sheet sheetId="21" name="Lender Snapshot" state="visible" r:id="rId24"/>
    <sheet sheetId="22" name="Financial Health" state="visible" r:id="rId25"/>
    <sheet sheetId="23" name="Budget Narrative" state="visible" r:id="rId26"/>
    <sheet sheetId="24" name="Assumptions Confidence" state="visible" r:id="rId27"/>
    <sheet sheetId="25" name="Assumptions Memo" state="visible" r:id="rId28"/>
    <sheet sheetId="26" name="Decision History" state="visible" r:id="rId29"/>
  </sheets>
  <calcPr calcId="171027" fullCalcOnLoad="1"/>
</workbook>
</file>

<file path=xl/sharedStrings.xml><?xml version="1.0" encoding="utf-8"?>
<sst xmlns="http://schemas.openxmlformats.org/spreadsheetml/2006/main" count="876" uniqueCount="505">
  <si>
    <t>How to Use This Workbook</t>
  </si>
  <si>
    <t>Bright Horizons Microschool</t>
  </si>
  <si>
    <t>Generated May 9, 2026 · llc_single</t>
  </si>
  <si>
    <t>Cell Color Legend</t>
  </si>
  <si>
    <t xml:space="preserve">  Blue cells are editable inputs — change these to update your model.</t>
  </si>
  <si>
    <t xml:space="preserve">  White cells contain formulas — do not edit (they recalculate automatically).</t>
  </si>
  <si>
    <t xml:space="preserve">  Green cells are key outputs and summary metrics.</t>
  </si>
  <si>
    <t/>
  </si>
  <si>
    <t>Navigation</t>
  </si>
  <si>
    <t>The Assumptions tab is the central control panel — all other tabs reference it.</t>
  </si>
  <si>
    <t>Structure</t>
  </si>
  <si>
    <t>Tabs 5-9: Drivers &amp; inputs</t>
  </si>
  <si>
    <t>Tabs 10-13: Forecasts &amp; budgets</t>
  </si>
  <si>
    <t>Tabs 14-17: Financial statements</t>
  </si>
  <si>
    <t>Tabs 18-22: Analysis, underwriting &amp; dashboard</t>
  </si>
  <si>
    <t>Debt Service Convention</t>
  </si>
  <si>
    <t>operating expense on the Operating Statement. This is a standard</t>
  </si>
  <si>
    <t>simplification used in school financial underwriting that ensures internal</t>
  </si>
  <si>
    <t>consistency across all tabs.</t>
  </si>
  <si>
    <t>Tips</t>
  </si>
  <si>
    <t>Check the Financial Health dashboard for an at-a-glance assessment.</t>
  </si>
  <si>
    <t>Review key metrics: net margin, cash runway, and DSCR.</t>
  </si>
  <si>
    <t>Next Steps</t>
  </si>
  <si>
    <t>2. Verify enrollment and revenue projections match your plan.</t>
  </si>
  <si>
    <t>3. Check the Financial Health dashboard for risk signals.</t>
  </si>
  <si>
    <t>4. Share this workbook with your lender or financial advisor.</t>
  </si>
  <si>
    <t>5. Update inputs as your school's plan evolves.</t>
  </si>
  <si>
    <t>Disclaimer</t>
  </si>
  <si>
    <t>a loan commitment, or a guarantee of funding. All projections are based on</t>
  </si>
  <si>
    <t>user-provided assumptions and should be independently verified.</t>
  </si>
  <si>
    <t>SchoolStack Budget</t>
  </si>
  <si>
    <t>5-Year Financial Model — Founder Planning Workbook</t>
  </si>
  <si>
    <t>School Name</t>
  </si>
  <si>
    <t>School Type</t>
  </si>
  <si>
    <t>Microschool</t>
  </si>
  <si>
    <t>Entity Type</t>
  </si>
  <si>
    <t>LLC (Single Member)</t>
  </si>
  <si>
    <t>State</t>
  </si>
  <si>
    <t>AZ</t>
  </si>
  <si>
    <t>Fiscal Year Start</t>
  </si>
  <si>
    <t>Month 7</t>
  </si>
  <si>
    <t>Model Date</t>
  </si>
  <si>
    <t>May 9, 2026</t>
  </si>
  <si>
    <t>Stage</t>
  </si>
  <si>
    <t>Startup / Pre-Opening</t>
  </si>
  <si>
    <t>Funding Profile</t>
  </si>
  <si>
    <t>Tuition-Based</t>
  </si>
  <si>
    <t>Table of Contents</t>
  </si>
  <si>
    <t>1.</t>
  </si>
  <si>
    <t>Instructions</t>
  </si>
  <si>
    <t>2.</t>
  </si>
  <si>
    <t>Cover</t>
  </si>
  <si>
    <t>3.</t>
  </si>
  <si>
    <t>Assumptions</t>
  </si>
  <si>
    <t>4.</t>
  </si>
  <si>
    <t>Program Profile</t>
  </si>
  <si>
    <t>5.</t>
  </si>
  <si>
    <t>Enrollment Drivers</t>
  </si>
  <si>
    <t>6.</t>
  </si>
  <si>
    <t>Tuition &amp; Funding</t>
  </si>
  <si>
    <t>7.</t>
  </si>
  <si>
    <t>Staffing Drivers</t>
  </si>
  <si>
    <t>8.</t>
  </si>
  <si>
    <t>OpEx Drivers</t>
  </si>
  <si>
    <t>9.</t>
  </si>
  <si>
    <t>Capital Stack</t>
  </si>
  <si>
    <t>10.</t>
  </si>
  <si>
    <t>Enrollment Tuition Fcst</t>
  </si>
  <si>
    <t>11.</t>
  </si>
  <si>
    <t>Staffing Costs Fcst</t>
  </si>
  <si>
    <t>12.</t>
  </si>
  <si>
    <t>Budget Detail</t>
  </si>
  <si>
    <t>13.</t>
  </si>
  <si>
    <t>Budget Summary</t>
  </si>
  <si>
    <t>14.</t>
  </si>
  <si>
    <t>Monthly Cash Flow Y1</t>
  </si>
  <si>
    <t>15.</t>
  </si>
  <si>
    <t>5-Year Operating Stmt</t>
  </si>
  <si>
    <t>16.</t>
  </si>
  <si>
    <t>Debt Schedule</t>
  </si>
  <si>
    <t>17.</t>
  </si>
  <si>
    <t>Balance Sheet</t>
  </si>
  <si>
    <t>18.</t>
  </si>
  <si>
    <t>DSCR &amp; Covenants</t>
  </si>
  <si>
    <t>19.</t>
  </si>
  <si>
    <t>Sources &amp; Uses</t>
  </si>
  <si>
    <t>20.</t>
  </si>
  <si>
    <t>Scenarios</t>
  </si>
  <si>
    <t>21.</t>
  </si>
  <si>
    <t>Lender Snapshot</t>
  </si>
  <si>
    <t>22.</t>
  </si>
  <si>
    <t>Financial Health</t>
  </si>
  <si>
    <t>23.</t>
  </si>
  <si>
    <t>Budget Narrative</t>
  </si>
  <si>
    <t>24.</t>
  </si>
  <si>
    <t>Assumptions Confidence</t>
  </si>
  <si>
    <t>CONFIDENTIAL - Prepared by SchoolStack Budget (budget.schoolstack.ai)</t>
  </si>
  <si>
    <t>Bright Horizons Microschool - Assumptions</t>
  </si>
  <si>
    <t>Editable assumption — change this value</t>
  </si>
  <si>
    <t>Calculated — driven by formula</t>
  </si>
  <si>
    <t>SCHOOL PROFILE</t>
  </si>
  <si>
    <t>EIN</t>
  </si>
  <si>
    <t>88-1234567</t>
  </si>
  <si>
    <t>Fiscal Year Start Month</t>
  </si>
  <si>
    <t>Max Capacity</t>
  </si>
  <si>
    <t>ENROLLMENT</t>
  </si>
  <si>
    <t>2026-27</t>
  </si>
  <si>
    <t>2027-28</t>
  </si>
  <si>
    <t>2028-29</t>
  </si>
  <si>
    <t>2029-30</t>
  </si>
  <si>
    <t>2030-31</t>
  </si>
  <si>
    <t>Total Students</t>
  </si>
  <si>
    <t>REVENUE DRIVERS</t>
  </si>
  <si>
    <t>Line Item</t>
  </si>
  <si>
    <t>Category</t>
  </si>
  <si>
    <t>Driver</t>
  </si>
  <si>
    <t>Amount</t>
  </si>
  <si>
    <t>Escalation %</t>
  </si>
  <si>
    <t>Timing</t>
  </si>
  <si>
    <t>Tuition</t>
  </si>
  <si>
    <t>Tuition &amp; Fees</t>
  </si>
  <si>
    <t>Per Student</t>
  </si>
  <si>
    <t>Default</t>
  </si>
  <si>
    <t>Registration Fee</t>
  </si>
  <si>
    <t>AZ ESA Funds</t>
  </si>
  <si>
    <t>School Choice</t>
  </si>
  <si>
    <t>Annual Fundraising</t>
  </si>
  <si>
    <t>Philanthropy</t>
  </si>
  <si>
    <t>Annual Fixed</t>
  </si>
  <si>
    <t>Scholarship Discount</t>
  </si>
  <si>
    <t>Tuition Offsets</t>
  </si>
  <si>
    <t>% of Base</t>
  </si>
  <si>
    <t>REVENUE QUALITY</t>
  </si>
  <si>
    <t>Bucket</t>
  </si>
  <si>
    <t>Contracted</t>
  </si>
  <si>
    <t>Projected</t>
  </si>
  <si>
    <t>Donor-dependent</t>
  </si>
  <si>
    <t>Policy-dependent</t>
  </si>
  <si>
    <t>Contracted %</t>
  </si>
  <si>
    <t>Projected %</t>
  </si>
  <si>
    <t>Donor-dependent %</t>
  </si>
  <si>
    <t>Policy-dependent %</t>
  </si>
  <si>
    <t>Hard Rev Coverage (Contracted ÷ Fixed + Debt)</t>
  </si>
  <si>
    <t>STAFFING</t>
  </si>
  <si>
    <t>Role</t>
  </si>
  <si>
    <t>Type</t>
  </si>
  <si>
    <t>FTE</t>
  </si>
  <si>
    <t>Rate</t>
  </si>
  <si>
    <t>Benefits %</t>
  </si>
  <si>
    <t>Tax %</t>
  </si>
  <si>
    <t>Founder / Head of School</t>
  </si>
  <si>
    <t>School Leadership</t>
  </si>
  <si>
    <t>full_time</t>
  </si>
  <si>
    <t>Lead Teacher</t>
  </si>
  <si>
    <t>Instructional</t>
  </si>
  <si>
    <t>Teaching Assistant</t>
  </si>
  <si>
    <t>part_time</t>
  </si>
  <si>
    <t>OPERATING EXPENSES</t>
  </si>
  <si>
    <t>Rent</t>
  </si>
  <si>
    <t>Occupancy / Facility</t>
  </si>
  <si>
    <t>Monthly</t>
  </si>
  <si>
    <t>Utilities</t>
  </si>
  <si>
    <t>Insurance</t>
  </si>
  <si>
    <t>Curriculum &amp; Materials</t>
  </si>
  <si>
    <t>Instructional / Program</t>
  </si>
  <si>
    <t>Technology</t>
  </si>
  <si>
    <t>Marketing</t>
  </si>
  <si>
    <t>Administrative / General</t>
  </si>
  <si>
    <t>CAPITAL &amp; DEBT</t>
  </si>
  <si>
    <t>Instrument</t>
  </si>
  <si>
    <t>Principal</t>
  </si>
  <si>
    <t>Term (Yrs)</t>
  </si>
  <si>
    <t>Equipment Loan</t>
  </si>
  <si>
    <t>Loan</t>
  </si>
  <si>
    <t>GROWTH &amp; TIMING</t>
  </si>
  <si>
    <t>Salary Escalation Rate</t>
  </si>
  <si>
    <t>Salary input or tuition escalation fallback</t>
  </si>
  <si>
    <t>Cost Inflation Rate</t>
  </si>
  <si>
    <t>Cost inflation input or tuition escalation fallback</t>
  </si>
  <si>
    <t>Year 1 Proration Factor</t>
  </si>
  <si>
    <t>Starting Cash</t>
  </si>
  <si>
    <t>Debt Included</t>
  </si>
  <si>
    <t>No</t>
  </si>
  <si>
    <t>Enrollment Growth Rate</t>
  </si>
  <si>
    <t>Rent Escalation Rate</t>
  </si>
  <si>
    <t>Tuition Escalation Rate</t>
  </si>
  <si>
    <t>Default Benefits Rate</t>
  </si>
  <si>
    <t>Default Payroll Tax Rate</t>
  </si>
  <si>
    <t>Student Retention Rate</t>
  </si>
  <si>
    <t>REVENUE COLLECTION DEFAULTS</t>
  </si>
  <si>
    <t>Default Billing Months</t>
  </si>
  <si>
    <t>10 months (Aug-May)</t>
  </si>
  <si>
    <t>Default Collection Method</t>
  </si>
  <si>
    <t>Autopay</t>
  </si>
  <si>
    <t>Default Collection Rate</t>
  </si>
  <si>
    <t>Default Collection Delay</t>
  </si>
  <si>
    <t>0 days</t>
  </si>
  <si>
    <t>School Model</t>
  </si>
  <si>
    <t>microschool</t>
  </si>
  <si>
    <t>Financial Label Convention</t>
  </si>
  <si>
    <t>For-Profit (Profit &amp; Loss / Equity)</t>
  </si>
  <si>
    <t>Funding Mix</t>
  </si>
  <si>
    <t>7</t>
  </si>
  <si>
    <t>Year 1 Operating Months</t>
  </si>
  <si>
    <t>10</t>
  </si>
  <si>
    <t>Proration Factor</t>
  </si>
  <si>
    <t>83.3%</t>
  </si>
  <si>
    <t>25</t>
  </si>
  <si>
    <t>Accredited</t>
  </si>
  <si>
    <t>Location</t>
  </si>
  <si>
    <t>123 Main St, Scottsdale, AZ 85251</t>
  </si>
  <si>
    <t>Facility</t>
  </si>
  <si>
    <t>Leased</t>
  </si>
  <si>
    <t>TOTAL ENROLLMENT</t>
  </si>
  <si>
    <t>Capacity Utilization</t>
  </si>
  <si>
    <t>-</t>
  </si>
  <si>
    <t>Tuition &amp; Funding Drivers</t>
  </si>
  <si>
    <t>TUITION &amp; FEES</t>
  </si>
  <si>
    <t>Total Tuition &amp; Fees</t>
  </si>
  <si>
    <t>TUITION OFFSETS</t>
  </si>
  <si>
    <t>Total Tuition Offsets</t>
  </si>
  <si>
    <t>SCHOOL CHOICE</t>
  </si>
  <si>
    <t>Total School Choice</t>
  </si>
  <si>
    <t>PHILANTHROPY</t>
  </si>
  <si>
    <t>Total Philanthropy</t>
  </si>
  <si>
    <t>GRAND TOTAL REVENUE</t>
  </si>
  <si>
    <t>Base Rate</t>
  </si>
  <si>
    <t>Loaded Cost</t>
  </si>
  <si>
    <t>Rates</t>
  </si>
  <si>
    <t>5-YEAR TOTAL PERSONNEL COST</t>
  </si>
  <si>
    <t>Total Personnel</t>
  </si>
  <si>
    <t>Personnel as % of Revenue</t>
  </si>
  <si>
    <t>Students per FTE</t>
  </si>
  <si>
    <t>Operating Expense Drivers</t>
  </si>
  <si>
    <t xml:space="preserve">  Curriculum &amp; Materials</t>
  </si>
  <si>
    <t>Total Instructional / Program</t>
  </si>
  <si>
    <t xml:space="preserve">  Technology</t>
  </si>
  <si>
    <t>Total Technology</t>
  </si>
  <si>
    <t xml:space="preserve">  Rent</t>
  </si>
  <si>
    <t xml:space="preserve">  Utilities</t>
  </si>
  <si>
    <t xml:space="preserve">  Insurance</t>
  </si>
  <si>
    <t>Total Occupancy / Facility</t>
  </si>
  <si>
    <t xml:space="preserve">  Marketing</t>
  </si>
  <si>
    <t>Total Administrative / General</t>
  </si>
  <si>
    <t>TOTAL OPERATING EXPENSES</t>
  </si>
  <si>
    <t>Capital Stack &amp; Loan Terms</t>
  </si>
  <si>
    <t>Annual Payment</t>
  </si>
  <si>
    <t>Total Annual Debt Service</t>
  </si>
  <si>
    <t>Total Loan Principal</t>
  </si>
  <si>
    <t>Enrollment &amp; Tuition Forecast</t>
  </si>
  <si>
    <t>REVENUE FORECAST</t>
  </si>
  <si>
    <t>TOTAL REVENUE</t>
  </si>
  <si>
    <t>Revenue per Student</t>
  </si>
  <si>
    <t>Staffing Costs Forecast</t>
  </si>
  <si>
    <t xml:space="preserve">  Lead Teacher [1 FTE]</t>
  </si>
  <si>
    <t xml:space="preserve">  Teaching Assistant [0.5 FTE]</t>
  </si>
  <si>
    <t>Total Instructional</t>
  </si>
  <si>
    <t xml:space="preserve">  Founder / Head of School [1 FTE]</t>
  </si>
  <si>
    <t>Total School Leadership</t>
  </si>
  <si>
    <t>TOTAL PERSONNEL</t>
  </si>
  <si>
    <t>Bright Horizons Microschool - Budget Detail</t>
  </si>
  <si>
    <t>REVENUE</t>
  </si>
  <si>
    <t xml:space="preserve">  Tuition</t>
  </si>
  <si>
    <t xml:space="preserve">  Registration Fee</t>
  </si>
  <si>
    <t xml:space="preserve">  AZ ESA Funds</t>
  </si>
  <si>
    <t xml:space="preserve">  Annual Fundraising</t>
  </si>
  <si>
    <t xml:space="preserve">  Scholarship Discount</t>
  </si>
  <si>
    <t>Total Revenue</t>
  </si>
  <si>
    <t>PERSONNEL</t>
  </si>
  <si>
    <t xml:space="preserve">  Founder / Head of School</t>
  </si>
  <si>
    <t xml:space="preserve">  Lead Teacher</t>
  </si>
  <si>
    <t xml:space="preserve">  Teaching Assistant</t>
  </si>
  <si>
    <t xml:space="preserve">    Curriculum &amp; Materials</t>
  </si>
  <si>
    <t xml:space="preserve">    Technology</t>
  </si>
  <si>
    <t xml:space="preserve">    Rent</t>
  </si>
  <si>
    <t xml:space="preserve">    Utilities</t>
  </si>
  <si>
    <t xml:space="preserve">    Insurance</t>
  </si>
  <si>
    <t xml:space="preserve">  Total Occupancy / Facility</t>
  </si>
  <si>
    <t xml:space="preserve">    Marketing</t>
  </si>
  <si>
    <t>Total Operating Expenses</t>
  </si>
  <si>
    <t>CAPITAL &amp; DEBT SERVICE</t>
  </si>
  <si>
    <t>Total Capital &amp; Debt</t>
  </si>
  <si>
    <t>Bright Horizons Microschool - Budget Summary</t>
  </si>
  <si>
    <t>Total Capital &amp; Debt Service</t>
  </si>
  <si>
    <t>Total Expenses</t>
  </si>
  <si>
    <t>KEY METRICS</t>
  </si>
  <si>
    <t>Net Income</t>
  </si>
  <si>
    <t>Net Margin %</t>
  </si>
  <si>
    <t>Cumulative Net Income</t>
  </si>
  <si>
    <t>Cost per Student</t>
  </si>
  <si>
    <t>Bright Horizons Microschool - Year 1 Monthly Cash Flow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</si>
  <si>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</si>
  <si>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</si>
  <si>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</si>
  <si>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</si>
  <si>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</si>
  <si>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</si>
  <si>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</si>
  <si>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</si>
  <si>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</si>
  <si>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</si>
  <si>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</si>
  <si>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</si>
  <si>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Total</t>
  </si>
  <si>
    <t>EXPENSES</t>
  </si>
  <si>
    <t>Personnel</t>
  </si>
  <si>
    <t>Operating Expenses</t>
  </si>
  <si>
    <t>Debt Service</t>
  </si>
  <si>
    <t>CASH FLOW</t>
  </si>
  <si>
    <t>Net Cash Flow</t>
  </si>
  <si>
    <t>Cumulative Cash</t>
  </si>
  <si>
    <t>CASH FLOW METRICS</t>
  </si>
  <si>
    <t>Ending Cash (Month 12)</t>
  </si>
  <si>
    <t>Minimum Cash Month</t>
  </si>
  <si>
    <t>Cash Trough: September (Month 3)</t>
  </si>
  <si>
    <t>Your lowest cash point is the month lenders focus on to ensure you won't run out of money before collections start. Plan reserves to cover this trough.</t>
  </si>
  <si>
    <t>Bright Horizons Microschool - 5-Year Operating Statement</t>
  </si>
  <si>
    <t>Projections prepared on an accrual basis. School currently keeps books on a undetermined basis.</t>
  </si>
  <si>
    <t>Interest Expense</t>
  </si>
  <si>
    <t>Principal &amp; Capital Outlays</t>
  </si>
  <si>
    <t>Depreciation</t>
  </si>
  <si>
    <t>BOTTOM LINE</t>
  </si>
  <si>
    <t>Break-even</t>
  </si>
  <si>
    <t>✓ Break-even</t>
  </si>
  <si>
    <t>LOAN TERMS</t>
  </si>
  <si>
    <t>Loan Name</t>
  </si>
  <si>
    <t>Annual Rate</t>
  </si>
  <si>
    <t>Term (Years)</t>
  </si>
  <si>
    <t>Bright Horizons Microschool - Balance Sheet</t>
  </si>
  <si>
    <t>ASSETS</t>
  </si>
  <si>
    <t>Cash &amp; Equivalents</t>
  </si>
  <si>
    <t>Accounts Receivable</t>
  </si>
  <si>
    <t>Fixed Assets (Net of Depreciation)</t>
  </si>
  <si>
    <t>Other Assets</t>
  </si>
  <si>
    <t>Total Assets</t>
  </si>
  <si>
    <t>LIABILITIES</t>
  </si>
  <si>
    <t>Accounts Payable</t>
  </si>
  <si>
    <t>Long-Term Debt</t>
  </si>
  <si>
    <t>Total Liabilities</t>
  </si>
  <si>
    <t>EQUITY</t>
  </si>
  <si>
    <t>Equity</t>
  </si>
  <si>
    <t>Balance Check (should = 0)</t>
  </si>
  <si>
    <t>DSCR &amp; Covenant Checks</t>
  </si>
  <si>
    <t>CASH FLOW &amp; DEBT</t>
  </si>
  <si>
    <t>Revenue</t>
  </si>
  <si>
    <t>Depreciation Add-Back</t>
  </si>
  <si>
    <t>Debt Service (Loan)</t>
  </si>
  <si>
    <t>CFADS (NI + Depr + DS)</t>
  </si>
  <si>
    <t>DSCR</t>
  </si>
  <si>
    <t>N/A</t>
  </si>
  <si>
    <t>LIQUIDITY METRICS</t>
  </si>
  <si>
    <t>Ending Cash</t>
  </si>
  <si>
    <t>Working-Capital Cash (basis for runway/days)</t>
  </si>
  <si>
    <t>Days Cash on Hand</t>
  </si>
  <si>
    <t>Months of Runway</t>
  </si>
  <si>
    <t>BREAK-EVEN ANALYSIS</t>
  </si>
  <si>
    <t>Fixed Costs (Pers + Debt)</t>
  </si>
  <si>
    <t>Variable Cost per Student (OpEx)</t>
  </si>
  <si>
    <t>Break-Even Enrollment</t>
  </si>
  <si>
    <t>COVENANT CHECKS</t>
  </si>
  <si>
    <t>DSCR ≥ 1.2x</t>
  </si>
  <si>
    <t>Positive Net Income</t>
  </si>
  <si>
    <t>PASS</t>
  </si>
  <si>
    <t>Current Ratio ≥ 1.1x</t>
  </si>
  <si>
    <t>Capacity ≥ 70%</t>
  </si>
  <si>
    <t>FAIL</t>
  </si>
  <si>
    <t>Cash Reserve ≥ 3 months</t>
  </si>
  <si>
    <t>Days Cash ≥ 45</t>
  </si>
  <si>
    <t>SOURCES</t>
  </si>
  <si>
    <t>USES</t>
  </si>
  <si>
    <t>Owner Equity</t>
  </si>
  <si>
    <t>Startup Costs</t>
  </si>
  <si>
    <t>Working Capital Reserve</t>
  </si>
  <si>
    <t>Total Sources</t>
  </si>
  <si>
    <t>Total Uses</t>
  </si>
  <si>
    <t>Sources - Uses (should = 0)</t>
  </si>
  <si>
    <t>Scenario Analysis</t>
  </si>
  <si>
    <t>BASE CASE</t>
  </si>
  <si>
    <t>Enrollment: +0%  |  Revenue: +0%  |  Staffing: +0%  |  Facility: +0%  |  Expenses: +0%</t>
  </si>
  <si>
    <t>LOW ENROLLMENT</t>
  </si>
  <si>
    <t>Enrollment: -20%  |  Revenue: +0%  |  Staffing: +0%  |  Facility: +0%  |  Expenses: +0%</t>
  </si>
  <si>
    <t>Lender Conversation Snapshot - Summary</t>
  </si>
  <si>
    <t>Entity</t>
  </si>
  <si>
    <t>Funding</t>
  </si>
  <si>
    <t>5-YEAR FINANCIAL TREND</t>
  </si>
  <si>
    <t>Cash Position</t>
  </si>
  <si>
    <t>Outstanding Debt</t>
  </si>
  <si>
    <t>KEY RATIOS</t>
  </si>
  <si>
    <t>Net Margin</t>
  </si>
  <si>
    <t>Enrollment</t>
  </si>
  <si>
    <t>BREAK-EVEN &amp; DOWNSIDE</t>
  </si>
  <si>
    <t>Break-Even Students</t>
  </si>
  <si>
    <t>Break-Even Utilization %</t>
  </si>
  <si>
    <t>-10% Enrollment: DSCR</t>
  </si>
  <si>
    <t>-10% Enrollment: Ending Cash</t>
  </si>
  <si>
    <t>-20% Enrollment: DSCR</t>
  </si>
  <si>
    <t>-20% Enrollment: Ending Cash</t>
  </si>
  <si>
    <t>Prepared by SchoolStack Budget - budget.schoolstack.ai</t>
  </si>
  <si>
    <t>Bright Horizons Microschool — Financial Health Dashboard</t>
  </si>
  <si>
    <t>Generated May 9, 2026</t>
  </si>
  <si>
    <t>● Green = healthy</t>
  </si>
  <si>
    <t>◐ Yellow = monitor</t>
  </si>
  <si>
    <t>○ Red = action needed</t>
  </si>
  <si>
    <t>Metric</t>
  </si>
  <si>
    <t>Year 1</t>
  </si>
  <si>
    <t>Year 2</t>
  </si>
  <si>
    <t>Year 3</t>
  </si>
  <si>
    <t>Year 4</t>
  </si>
  <si>
    <t>Year 5</t>
  </si>
  <si>
    <t>Benchmark</t>
  </si>
  <si>
    <t>≥ $10,000</t>
  </si>
  <si>
    <t xml:space="preserve">  Instructional / Student</t>
  </si>
  <si>
    <t xml:space="preserve">  Facility / Student</t>
  </si>
  <si>
    <t>≤ $2,000 / $2k–$3.5k / &gt; $3,500</t>
  </si>
  <si>
    <t>Surplus per Student</t>
  </si>
  <si>
    <t>Payroll %</t>
  </si>
  <si>
    <t>≤ 55%</t>
  </si>
  <si>
    <t>Facility %</t>
  </si>
  <si>
    <t>≤ 15%</t>
  </si>
  <si>
    <t>Operating Margin</t>
  </si>
  <si>
    <t>≥ 10%</t>
  </si>
  <si>
    <t>Revenue Sources</t>
  </si>
  <si>
    <t>≥ 3 sources</t>
  </si>
  <si>
    <t>Break-even Year</t>
  </si>
  <si>
    <t>Cash Runway (Months)</t>
  </si>
  <si>
    <t>≥ 24 months</t>
  </si>
  <si>
    <t>≥ 90 days</t>
  </si>
  <si>
    <t>FINANCIAL HEALTH SIGNALS</t>
  </si>
  <si>
    <t>Status</t>
  </si>
  <si>
    <t>Assessment</t>
  </si>
  <si>
    <t>Watch Item</t>
  </si>
  <si>
    <t>Viability</t>
  </si>
  <si>
    <t>● Healthy</t>
  </si>
  <si>
    <t>The model reaches profit early and sustains strong margins through Year 5.</t>
  </si>
  <si>
    <t>Compare your real Year 1 enrollment against this projection as students enroll.</t>
  </si>
  <si>
    <t>Liquidity</t>
  </si>
  <si>
    <t>Cash stays positive throughout the projection and reserves exceed 3 months of expenses.</t>
  </si>
  <si>
    <t>Maintain reserves as a buffer against seasonal revenue dips.</t>
  </si>
  <si>
    <t>Staffing Burden</t>
  </si>
  <si>
    <t>Staffing at 31% of revenue leaves room for facilities, programs, and reserves.</t>
  </si>
  <si>
    <t>As you add staff, ensure staffing stays below 60% of revenue.</t>
  </si>
  <si>
    <t>Facility Burden</t>
  </si>
  <si>
    <t>Facility costs at 8% of revenue are well-managed and leave budget for programs.</t>
  </si>
  <si>
    <t>Watch for rent escalation clauses that could push this higher over time.</t>
  </si>
  <si>
    <t>Revenue Concentration</t>
  </si>
  <si>
    <t>Revenue is anchored to enrollment-driven income — the strongest foundation for a school model. A focused revenue stream is a strength when backed by dependable demand.</t>
  </si>
  <si>
    <t>Continue to pressure-test enrollment assumptions: recruitment pipeline, waitlist depth, retention rates, and collection reliability.</t>
  </si>
  <si>
    <t>Reserve Strength</t>
  </si>
  <si>
    <t>52.1 months of reserves by Year 5 — a strong buffer for unexpected costs.</t>
  </si>
  <si>
    <t>Continue growing reserves toward 6 months for best-in-class financial health.</t>
  </si>
  <si>
    <t>Summary</t>
  </si>
  <si>
    <t>6 Healthy  |  0 Watch  |  0 Needs Attention</t>
  </si>
  <si>
    <t>Built by SchoolStack Budget  •  budget.schoolstack.ai</t>
  </si>
  <si>
    <t>Enrollment Strategy</t>
  </si>
  <si>
    <t>(Not provided)</t>
  </si>
  <si>
    <t>Retention Plan</t>
  </si>
  <si>
    <t>Risk Mitigation</t>
  </si>
  <si>
    <t>Mission &amp; Vision</t>
  </si>
  <si>
    <t>Revenue Assumptions</t>
  </si>
  <si>
    <t>Staffing Philosophy</t>
  </si>
  <si>
    <t>Expense Assumptions</t>
  </si>
  <si>
    <t>Growth Strategy</t>
  </si>
  <si>
    <t>Additional Context</t>
  </si>
  <si>
    <t>No assumptions tagged yet — open the wizard and tag each major assumption (Actuals, Signed agreement, Written quote, Research, Estimate) with a one-line evidence note. The tags surface here, in the lender PDF, and on share links.</t>
  </si>
  <si>
    <t>Assumptions Memo</t>
  </si>
  <si>
    <t>Founder-supplied reasoning for each assumption captured during the wizard. Empty when no rationale was entered for that area.</t>
  </si>
  <si>
    <t>No founder rationale captured.</t>
  </si>
  <si>
    <t>Decision History</t>
  </si>
  <si>
    <t>Track record of 5 tracked decisions (2 pursued, 1 on hold, 2 declined). Each entry shows the modeled change, the outcome the team logged, and any retrospective notes captured after the fact.</t>
  </si>
  <si>
    <t>Decision</t>
  </si>
  <si>
    <t>Outcome</t>
  </si>
  <si>
    <t>Applied to base model?</t>
  </si>
  <si>
    <t>Outcome logged</t>
  </si>
  <si>
    <t>Modeled change</t>
  </si>
  <si>
    <t>What happened (retrospective)</t>
  </si>
  <si>
    <t>Add Middle School program</t>
  </si>
  <si>
    <t>Add a program</t>
  </si>
  <si>
    <t>Pursued</t>
  </si>
  <si>
    <t>[APPLIED] Folded into the base model on Apr 12, 2025</t>
  </si>
  <si>
    <t>Apr 10, 2025</t>
  </si>
  <si>
    <t xml:space="preserve">• Program: Middle School (6-8)
• Tuition $14,000/yr
• Adds 72 cumulative students (5 yrs)
• +2 FTE</t>
  </si>
  <si>
    <t>Launched in fall 2025; enrollment hit plan within 1 student.</t>
  </si>
  <si>
    <t>Increase retention focus</t>
  </si>
  <si>
    <t>Change enrollment</t>
  </si>
  <si>
    <t>[PENDING] Pending apply to base model</t>
  </si>
  <si>
    <t>Mar 5, 2025</t>
  </si>
  <si>
    <t xml:space="preserve">• Enrollment +14 cumulative
• Retention 92%</t>
  </si>
  <si>
    <t>Retention initiatives approved; planner will reflect after Q2 board review.</t>
  </si>
  <si>
    <t>Evaluate downtown campus</t>
  </si>
  <si>
    <t>Evaluate a site</t>
  </si>
  <si>
    <t>On hold</t>
  </si>
  <si>
    <t>—</t>
  </si>
  <si>
    <t>Mar 25, 2025</t>
  </si>
  <si>
    <t xml:space="preserve">• Rent $8,500/mo
• Rent escalation 4%
• Sqft +1500
• Fit-out $75,000 (Y1)</t>
  </si>
  <si>
    <t>Landlord negotiations paused while waiting on city zoning ruling.</t>
  </si>
  <si>
    <t>Reduce K cohort</t>
  </si>
  <si>
    <t>Declined</t>
  </si>
  <si>
    <t>Mar 15, 2025</t>
  </si>
  <si>
    <t xml:space="preserve">• Enrollment -8 cumulative
• Tuition -$500/student</t>
  </si>
  <si>
    <t>Board declined; enrollment goals retained as originally modeled.</t>
  </si>
  <si>
    <t>Move to larger building</t>
  </si>
  <si>
    <t>Feb 10, 2025</t>
  </si>
  <si>
    <t xml:space="preserve">• Rent $12,000/mo
• Sqft +4000</t>
  </si>
  <si>
    <t>Costs out of reach; revisited next year after capital campaign.</t>
  </si>
  <si>
    <t>Generated by SchoolStack Budget (budget.schoolstack.ai)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</si>
</sst>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#,##0;#,##0;&quot;-&quot;"/>
    <numFmt numFmtId="165" formatCode="_(&quot;$&quot;* #,##0_);_(&quot;$&quot;* (#,##0);_(&quot;$&quot;* &quot;-&quot;??_);_(@_)"/>
    <numFmt numFmtId="166" formatCode="0.0%;[Red](0.0%);&quot;-&quot;"/>
    <numFmt numFmtId="167" formatCode="0.00&quot;×&quot;"/>
    <numFmt numFmtId="168" formatCode="0.0"/>
    <numFmt numFmtId="169" formatCode="0.00x"/>
  </numFmts>
  <fonts count="27" x14ac:knownFonts="1">
    <font>
      <color theme="1"/>
      <family val="2"/>
      <scheme val="minor"/>
      <sz val="11"/>
      <name val="Calibri"/>
    </font>
    <font>
      <b/>
      <color rgb="FF1E293B"/>
      <sz val="16"/>
      <name val="Calibri"/>
    </font>
    <font>
      <color rgb="FF1E293B"/>
      <sz val="12"/>
      <name val="Calibri"/>
    </font>
    <font>
      <i/>
      <color rgb="FF6B7280"/>
      <sz val="10"/>
      <name val="Calibri"/>
    </font>
    <font>
      <b/>
      <color rgb="FF1E293B"/>
      <sz val="11"/>
      <name val="Calibri"/>
    </font>
    <font>
      <color rgb="FF1E3A5F"/>
      <sz val="11"/>
      <name val="Calibri"/>
    </font>
    <font>
      <sz val="11"/>
      <name val="Calibri"/>
    </font>
    <font>
      <b/>
      <color rgb="FF328555"/>
      <sz val="22"/>
      <name val="Calibri"/>
    </font>
    <font>
      <b/>
      <color rgb="FF1E293B"/>
      <sz val="14"/>
      <name val="Calibri"/>
    </font>
    <font>
      <b/>
      <sz val="11"/>
      <name val="Calibri"/>
    </font>
    <font>
      <b/>
      <color rgb="FF1E293B"/>
      <sz val="13"/>
      <name val="Calibri"/>
    </font>
    <font>
      <u/>
      <color rgb="FF328555"/>
      <sz val="11"/>
      <name val="Calibri"/>
    </font>
    <font>
      <i/>
      <color rgb="FF999999"/>
      <sz val="11"/>
      <name val="Calibri"/>
    </font>
    <font>
      <i/>
      <color rgb="FF666666"/>
      <sz val="11"/>
      <name val="Calibri"/>
    </font>
    <font>
      <b/>
      <color rgb="FFFFFFFF"/>
      <sz val="11"/>
      <name val="Calibri"/>
    </font>
    <font>
      <i/>
      <color rgb="FF808080"/>
      <sz val="11"/>
      <name val="Calibri"/>
    </font>
    <font>
      <i/>
      <color rgb="FF9CA3AF"/>
      <sz val="9"/>
      <name val="Calibri"/>
    </font>
    <font>
      <i/>
      <color rgb="FF64748B"/>
      <sz val="10"/>
      <name val="Calibri"/>
    </font>
    <font>
      <b/>
      <color rgb="FF16A34A"/>
      <sz val="11"/>
      <name val="Calibri"/>
    </font>
    <font>
      <b/>
      <color rgb="FF328555"/>
      <sz val="11"/>
      <name val="Calibri"/>
    </font>
    <font>
      <b/>
      <color rgb="FF999999"/>
      <sz val="11"/>
      <name val="Calibri"/>
    </font>
    <font>
      <b/>
      <color rgb="FFFF0000"/>
      <sz val="11"/>
      <name val="Calibri"/>
    </font>
    <font>
      <i/>
      <color rgb="FF6B7280"/>
      <sz val="11"/>
      <name val="Calibri"/>
    </font>
    <font>
      <b/>
      <color rgb="FFD97706"/>
      <sz val="11"/>
      <name val="Calibri"/>
    </font>
    <font>
      <b/>
      <color rgb="FFDC2626"/>
      <sz val="11"/>
      <name val="Calibri"/>
    </font>
    <font>
      <i/>
      <color rgb="FF9CA3AF"/>
      <sz val="11"/>
      <name val="Calibri"/>
    </font>
    <font>
      <i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E8EDF2"/>
      </patternFill>
    </fill>
    <fill>
      <patternFill patternType="solid">
        <fgColor rgb="FF1E293B"/>
      </patternFill>
    </fill>
    <fill>
      <patternFill patternType="solid">
        <fgColor rgb="FFFFF8E1"/>
      </patternFill>
    </fill>
    <fill>
      <patternFill patternType="solid">
        <fgColor rgb="FFFCE4EC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0" borderId="0" xfId="0" applyFont="1"/>
    <xf numFmtId="0" fontId="6" fillId="3" borderId="0" xfId="0" applyFont="1" applyFill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1" xfId="0" applyFont="1" applyBorder="1"/>
    <xf numFmtId="0" fontId="6" fillId="0" borderId="1" xfId="0" applyFont="1" applyBorder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center"/>
    </xf>
    <xf numFmtId="0" fontId="8" fillId="0" borderId="0" xfId="0" applyFont="1"/>
    <xf numFmtId="0" fontId="0" fillId="2" borderId="0" xfId="0" applyFill="1"/>
    <xf numFmtId="0" fontId="13" fillId="0" borderId="0" xfId="0" applyFont="1"/>
    <xf numFmtId="0" fontId="0" fillId="4" borderId="2" xfId="0" applyFill="1" applyBorder="1"/>
    <xf numFmtId="0" fontId="4" fillId="5" borderId="1" xfId="0" applyFont="1" applyFill="1" applyBorder="1"/>
    <xf numFmtId="0" fontId="5" fillId="2" borderId="1" xfId="0" applyFont="1" applyFill="1" applyBorder="1"/>
    <xf numFmtId="0" fontId="14" fillId="6" borderId="1" xfId="0" applyFont="1" applyFill="1" applyBorder="1" applyAlignment="1">
      <alignment horizontal="center" vertical="center"/>
    </xf>
    <xf numFmtId="164" fontId="5" fillId="2" borderId="1" xfId="0" applyNumberFormat="1" applyFont="1" applyFill="1" applyBorder="1"/>
    <xf numFmtId="165" fontId="5" fillId="2" borderId="1" xfId="0" applyNumberFormat="1" applyFont="1" applyFill="1" applyBorder="1"/>
    <xf numFmtId="166" fontId="5" fillId="2" borderId="1" xfId="0" applyNumberFormat="1" applyFont="1" applyFill="1" applyBorder="1"/>
    <xf numFmtId="165" fontId="6" fillId="0" borderId="1" xfId="0" applyNumberFormat="1" applyFont="1" applyBorder="1"/>
    <xf numFmtId="166" fontId="6" fillId="0" borderId="1" xfId="0" applyNumberFormat="1" applyFont="1" applyBorder="1"/>
    <xf numFmtId="167" fontId="6" fillId="0" borderId="1" xfId="0" applyNumberFormat="1" applyFont="1" applyBorder="1"/>
    <xf numFmtId="2" fontId="5" fillId="2" borderId="1" xfId="0" applyNumberFormat="1" applyFont="1" applyFill="1" applyBorder="1"/>
    <xf numFmtId="0" fontId="15" fillId="0" borderId="0" xfId="0" applyFont="1"/>
    <xf numFmtId="164" fontId="9" fillId="3" borderId="3" xfId="0" applyNumberFormat="1" applyFont="1" applyFill="1" applyBorder="1"/>
    <xf numFmtId="166" fontId="6" fillId="3" borderId="1" xfId="0" applyNumberFormat="1" applyFont="1" applyFill="1" applyBorder="1"/>
    <xf numFmtId="165" fontId="9" fillId="0" borderId="3" xfId="0" applyNumberFormat="1" applyFont="1" applyBorder="1"/>
    <xf numFmtId="165" fontId="9" fillId="3" borderId="3" xfId="0" applyNumberFormat="1" applyFont="1" applyFill="1" applyBorder="1"/>
    <xf numFmtId="165" fontId="9" fillId="0" borderId="1" xfId="0" applyNumberFormat="1" applyFont="1" applyBorder="1"/>
    <xf numFmtId="168" fontId="6" fillId="0" borderId="1" xfId="0" applyNumberFormat="1" applyFont="1" applyBorder="1"/>
    <xf numFmtId="164" fontId="9" fillId="0" borderId="1" xfId="0" applyNumberFormat="1" applyFont="1" applyBorder="1"/>
    <xf numFmtId="0" fontId="9" fillId="0" borderId="0" xfId="0" applyFont="1"/>
    <xf numFmtId="165" fontId="9" fillId="3" borderId="1" xfId="0" applyNumberFormat="1" applyFont="1" applyFill="1" applyBorder="1"/>
    <xf numFmtId="0" fontId="16" fillId="0" borderId="0" xfId="0" applyFont="1"/>
    <xf numFmtId="0" fontId="17" fillId="0" borderId="0" xfId="0" applyFont="1"/>
    <xf numFmtId="0" fontId="9" fillId="0" borderId="3" xfId="0" applyFont="1" applyBorder="1"/>
    <xf numFmtId="0" fontId="1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/>
    <xf numFmtId="165" fontId="4" fillId="0" borderId="1" xfId="0" applyNumberFormat="1" applyFont="1" applyBorder="1"/>
    <xf numFmtId="166" fontId="4" fillId="0" borderId="1" xfId="0" applyNumberFormat="1" applyFont="1" applyBorder="1"/>
    <xf numFmtId="165" fontId="6" fillId="3" borderId="1" xfId="0" applyNumberFormat="1" applyFont="1" applyFill="1" applyBorder="1"/>
    <xf numFmtId="165" fontId="19" fillId="0" borderId="1" xfId="0" applyNumberFormat="1" applyFont="1" applyBorder="1"/>
    <xf numFmtId="169" fontId="9" fillId="3" borderId="1" xfId="0" applyNumberFormat="1" applyFont="1" applyFill="1" applyBorder="1"/>
    <xf numFmtId="164" fontId="6" fillId="0" borderId="1" xfId="0" applyNumberFormat="1" applyFont="1" applyBorder="1"/>
    <xf numFmtId="164" fontId="9" fillId="3" borderId="1" xfId="0" applyNumberFormat="1" applyFont="1" applyFill="1" applyBorder="1"/>
    <xf numFmtId="0" fontId="20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14" fillId="6" borderId="1" xfId="0" applyFont="1" applyFill="1" applyBorder="1"/>
    <xf numFmtId="169" fontId="6" fillId="0" borderId="1" xfId="0" applyNumberFormat="1" applyFont="1" applyBorder="1"/>
    <xf numFmtId="0" fontId="14" fillId="6" borderId="1" xfId="0" applyFont="1" applyFill="1" applyBorder="1" applyAlignment="1">
      <alignment horizontal="center"/>
    </xf>
    <xf numFmtId="0" fontId="22" fillId="0" borderId="0" xfId="0" applyFont="1"/>
    <xf numFmtId="0" fontId="18" fillId="0" borderId="0" xfId="0" applyFont="1"/>
    <xf numFmtId="0" fontId="23" fillId="0" borderId="0" xfId="0" applyFont="1"/>
    <xf numFmtId="0" fontId="24" fillId="0" borderId="0" xfId="0" applyFont="1"/>
    <xf numFmtId="0" fontId="4" fillId="5" borderId="1" xfId="0" applyFont="1" applyFill="1" applyBorder="1" applyAlignment="1">
      <alignment horizontal="center"/>
    </xf>
    <xf numFmtId="164" fontId="6" fillId="0" borderId="1" xfId="0" applyNumberFormat="1" applyFont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165" fontId="9" fillId="3" borderId="3" xfId="0" applyNumberFormat="1" applyFont="1" applyFill="1" applyBorder="1" applyAlignment="1">
      <alignment horizontal="right"/>
    </xf>
    <xf numFmtId="166" fontId="9" fillId="3" borderId="3" xfId="0" applyNumberFormat="1" applyFont="1" applyFill="1" applyBorder="1" applyAlignment="1">
      <alignment horizontal="right"/>
    </xf>
    <xf numFmtId="165" fontId="6" fillId="3" borderId="1" xfId="0" applyNumberFormat="1" applyFont="1" applyFill="1" applyBorder="1" applyAlignment="1">
      <alignment horizontal="right"/>
    </xf>
    <xf numFmtId="0" fontId="22" fillId="0" borderId="1" xfId="0" applyFont="1" applyBorder="1"/>
    <xf numFmtId="165" fontId="9" fillId="0" borderId="1" xfId="0" applyNumberFormat="1" applyFont="1" applyBorder="1" applyAlignment="1">
      <alignment horizontal="right"/>
    </xf>
    <xf numFmtId="165" fontId="6" fillId="7" borderId="1" xfId="0" applyNumberFormat="1" applyFont="1" applyFill="1" applyBorder="1" applyAlignment="1">
      <alignment horizontal="right"/>
    </xf>
    <xf numFmtId="165" fontId="9" fillId="3" borderId="1" xfId="0" applyNumberFormat="1" applyFont="1" applyFill="1" applyBorder="1" applyAlignment="1">
      <alignment horizontal="right"/>
    </xf>
    <xf numFmtId="166" fontId="9" fillId="7" borderId="3" xfId="0" applyNumberFormat="1" applyFont="1" applyFill="1" applyBorder="1" applyAlignment="1">
      <alignment horizontal="right"/>
    </xf>
    <xf numFmtId="164" fontId="9" fillId="3" borderId="3" xfId="0" applyNumberFormat="1" applyFont="1" applyFill="1" applyBorder="1" applyAlignment="1">
      <alignment horizontal="right"/>
    </xf>
    <xf numFmtId="49" fontId="9" fillId="0" borderId="3" xfId="0" applyNumberFormat="1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164" fontId="9" fillId="8" borderId="3" xfId="0" applyNumberFormat="1" applyFont="1" applyFill="1" applyBorder="1" applyAlignment="1">
      <alignment horizontal="right"/>
    </xf>
    <xf numFmtId="164" fontId="9" fillId="7" borderId="3" xfId="0" applyNumberFormat="1" applyFont="1" applyFill="1" applyBorder="1" applyAlignment="1">
      <alignment horizontal="right"/>
    </xf>
    <xf numFmtId="0" fontId="6" fillId="0" borderId="1" xfId="0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25" fillId="0" borderId="0" xfId="0" applyFont="1" applyAlignment="1">
      <alignment horizontal="center"/>
    </xf>
    <xf numFmtId="0" fontId="6" fillId="0" borderId="0" xfId="0" applyFont="1" applyAlignment="1">
      <alignment vertical="top" wrapText="1"/>
    </xf>
    <xf numFmtId="0" fontId="26" fillId="0" borderId="0" xfId="0" applyFont="1" applyAlignment="1">
      <alignment vertical="top" wrapText="1"/>
    </xf>
    <xf numFmtId="0" fontId="26" fillId="5" borderId="1" xfId="0" applyFont="1" applyFill="1" applyBorder="1"/>
    <xf numFmtId="0" fontId="22" fillId="0" borderId="0" xfId="0" applyFont="1" applyAlignment="1">
      <alignment vertical="top" wrapText="1"/>
    </xf>
    <xf numFmtId="0" fontId="14" fillId="6" borderId="1" xfId="0" applyFont="1" applyFill="1" applyBorder="1" applyAlignment="1">
      <alignment horizontal="left" vertical="center" wrapText="1"/>
    </xf>
    <xf numFmtId="0" fontId="0" fillId="3" borderId="0" xfId="0" applyFill="1"/>
    <xf numFmtId="0" fontId="9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left" vertical="top"/>
    </xf>
    <xf numFmtId="0" fontId="0" fillId="7" borderId="0" xfId="0" applyFill="1"/>
    <xf numFmtId="0" fontId="4" fillId="7" borderId="1" xfId="0" applyFont="1" applyFill="1" applyBorder="1" applyAlignment="1">
      <alignment horizontal="center" vertical="top"/>
    </xf>
    <xf numFmtId="0" fontId="0" fillId="8" borderId="0" xfId="0" applyFill="1"/>
    <xf numFmtId="0" fontId="4" fillId="8" borderId="1" xfId="0" applyFont="1" applyFill="1" applyBorder="1" applyAlignment="1">
      <alignment horizontal="center" vertical="top"/>
    </xf>
  </cellXfs>
  <cellStyles count="1">
    <cellStyle name="Normal" xfId="0" builtinId="0"/>
  </cellStyles>
  <dxfs count="21"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Instructions&apos;!A1" TargetMode="External"/><Relationship Id="rId2" Type="http://schemas.openxmlformats.org/officeDocument/2006/relationships/hyperlink" Target="#&apos;Cover&apos;!A1" TargetMode="External"/><Relationship Id="rId3" Type="http://schemas.openxmlformats.org/officeDocument/2006/relationships/hyperlink" Target="#&apos;Assumptions&apos;!A1" TargetMode="External"/><Relationship Id="rId4" Type="http://schemas.openxmlformats.org/officeDocument/2006/relationships/hyperlink" Target="#&apos;Program Profile&apos;!A1" TargetMode="External"/><Relationship Id="rId5" Type="http://schemas.openxmlformats.org/officeDocument/2006/relationships/hyperlink" Target="#&apos;Enrollment Drivers&apos;!A1" TargetMode="External"/><Relationship Id="rId6" Type="http://schemas.openxmlformats.org/officeDocument/2006/relationships/hyperlink" Target="#&apos;Tuition &amp; Funding&apos;!A1" TargetMode="External"/><Relationship Id="rId7" Type="http://schemas.openxmlformats.org/officeDocument/2006/relationships/hyperlink" Target="#&apos;Staffing Drivers&apos;!A1" TargetMode="External"/><Relationship Id="rId8" Type="http://schemas.openxmlformats.org/officeDocument/2006/relationships/hyperlink" Target="#&apos;OpEx Drivers&apos;!A1" TargetMode="External"/><Relationship Id="rId9" Type="http://schemas.openxmlformats.org/officeDocument/2006/relationships/hyperlink" Target="#&apos;Capital Stack&apos;!A1" TargetMode="External"/><Relationship Id="rId10" Type="http://schemas.openxmlformats.org/officeDocument/2006/relationships/hyperlink" Target="#&apos;Enrollment Tuition Fcst&apos;!A1" TargetMode="External"/><Relationship Id="rId11" Type="http://schemas.openxmlformats.org/officeDocument/2006/relationships/hyperlink" Target="#&apos;Staffing Costs Fcst&apos;!A1" TargetMode="External"/><Relationship Id="rId12" Type="http://schemas.openxmlformats.org/officeDocument/2006/relationships/hyperlink" Target="#&apos;Budget Detail&apos;!A1" TargetMode="External"/><Relationship Id="rId13" Type="http://schemas.openxmlformats.org/officeDocument/2006/relationships/hyperlink" Target="#&apos;Budget Summary&apos;!A1" TargetMode="External"/><Relationship Id="rId14" Type="http://schemas.openxmlformats.org/officeDocument/2006/relationships/hyperlink" Target="#&apos;Monthly Cash Flow Y1&apos;!A1" TargetMode="External"/><Relationship Id="rId15" Type="http://schemas.openxmlformats.org/officeDocument/2006/relationships/hyperlink" Target="#&apos;5-Year Operating Stmt&apos;!A1" TargetMode="External"/><Relationship Id="rId16" Type="http://schemas.openxmlformats.org/officeDocument/2006/relationships/hyperlink" Target="#&apos;Debt Schedule&apos;!A1" TargetMode="External"/><Relationship Id="rId17" Type="http://schemas.openxmlformats.org/officeDocument/2006/relationships/hyperlink" Target="#&apos;Balance Sheet&apos;!A1" TargetMode="External"/><Relationship Id="rId18" Type="http://schemas.openxmlformats.org/officeDocument/2006/relationships/hyperlink" Target="#&apos;DSCR &amp; Covenants&apos;!A1" TargetMode="External"/><Relationship Id="rId19" Type="http://schemas.openxmlformats.org/officeDocument/2006/relationships/hyperlink" Target="#&apos;Sources &amp; Uses&apos;!A1" TargetMode="External"/><Relationship Id="rId20" Type="http://schemas.openxmlformats.org/officeDocument/2006/relationships/hyperlink" Target="#&apos;Scenarios&apos;!A1" TargetMode="External"/><Relationship Id="rId21" Type="http://schemas.openxmlformats.org/officeDocument/2006/relationships/hyperlink" Target="#&apos;Lender Snapshot&apos;!A1" TargetMode="External"/><Relationship Id="rId22" Type="http://schemas.openxmlformats.org/officeDocument/2006/relationships/hyperlink" Target="#&apos;Financial Health&apos;!A1" TargetMode="External"/><Relationship Id="rId23" Type="http://schemas.openxmlformats.org/officeDocument/2006/relationships/hyperlink" Target="#&apos;Budget Narrative&apos;!A1" TargetMode="External"/><Relationship Id="rId24" Type="http://schemas.openxmlformats.org/officeDocument/2006/relationships/hyperlink" Target="#&apos;Assumptions Confidence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8555"/>
    <pageSetUpPr fitToPage="1"/>
  </sheetPr>
  <dimension ref="B2:B37"/>
  <sheetFormatPr defaultRowHeight="15" outlineLevelRow="0" outlineLevelCol="0" x14ac:dyDescent="55"/>
  <cols>
    <col min="1" max="1" width="4" customWidth="1"/>
    <col min="2" max="2" width="8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4" spans="2:2" x14ac:dyDescent="0.25">
      <c r="B4" s="3" t="s">
        <v>2</v>
      </c>
    </row>
    <row r="6" spans="2:2" x14ac:dyDescent="0.25">
      <c r="B6" s="4" t="s">
        <v>3</v>
      </c>
    </row>
    <row r="7" spans="2:2" x14ac:dyDescent="0.25">
      <c r="B7" s="5" t="s">
        <v>4</v>
      </c>
    </row>
    <row r="8" spans="2:2" x14ac:dyDescent="0.25">
      <c r="B8" s="6" t="s">
        <v>5</v>
      </c>
    </row>
    <row r="9" spans="2:2" x14ac:dyDescent="0.25">
      <c r="B9" s="7" t="s">
        <v>6</v>
      </c>
    </row>
    <row r="10" spans="2:2" x14ac:dyDescent="0.25">
      <c r="B10" s="6" t="s">
        <v>7</v>
      </c>
    </row>
    <row r="11" spans="2:2" x14ac:dyDescent="0.25">
      <c r="B11" s="4" t="s">
        <v>8</v>
      </c>
    </row>
    <row r="12" spans="2:2" x14ac:dyDescent="0.25">
      <c r="B12" s="6" t="s">
        <v>9</v>
      </c>
    </row>
    <row r="13" spans="2:2" x14ac:dyDescent="0.25">
      <c r="B13" s="6" t="s">
        <v>7</v>
      </c>
    </row>
    <row r="14" spans="2:2" x14ac:dyDescent="0.25">
      <c r="B14" s="4" t="s">
        <v>10</v>
      </c>
    </row>
    <row r="15" spans="2:2" x14ac:dyDescent="0.25">
      <c r="B15" s="6" t="s">
        <v>11</v>
      </c>
    </row>
    <row r="16" spans="2:2" x14ac:dyDescent="0.25">
      <c r="B16" s="6" t="s">
        <v>12</v>
      </c>
    </row>
    <row r="17" spans="2:2" x14ac:dyDescent="0.25">
      <c r="B17" s="6" t="s">
        <v>13</v>
      </c>
    </row>
    <row r="18" spans="2:2" x14ac:dyDescent="0.25">
      <c r="B18" s="6" t="s">
        <v>14</v>
      </c>
    </row>
    <row r="19" spans="2:2" x14ac:dyDescent="0.25">
      <c r="B19" s="6" t="s">
        <v>7</v>
      </c>
    </row>
    <row r="20" spans="2:2" x14ac:dyDescent="0.25">
      <c r="B20" s="4" t="s">
        <v>15</v>
      </c>
    </row>
    <row r="21" spans="2:2" x14ac:dyDescent="0.25">
      <c r="B21" s="6" t="s">
        <v>16</v>
      </c>
    </row>
    <row r="22" spans="2:2" x14ac:dyDescent="0.25">
      <c r="B22" s="6" t="s">
        <v>17</v>
      </c>
    </row>
    <row r="23" spans="2:2" x14ac:dyDescent="0.25">
      <c r="B23" s="6" t="s">
        <v>18</v>
      </c>
    </row>
    <row r="24" spans="2:2" x14ac:dyDescent="0.25">
      <c r="B24" s="6" t="s">
        <v>7</v>
      </c>
    </row>
    <row r="25" spans="2:2" x14ac:dyDescent="0.25">
      <c r="B25" s="4" t="s">
        <v>19</v>
      </c>
    </row>
    <row r="26" spans="2:2" x14ac:dyDescent="0.25">
      <c r="B26" s="6" t="s">
        <v>20</v>
      </c>
    </row>
    <row r="27" spans="2:2" x14ac:dyDescent="0.25">
      <c r="B27" s="6" t="s">
        <v>21</v>
      </c>
    </row>
    <row r="28" spans="2:2" x14ac:dyDescent="0.25">
      <c r="B28" s="6" t="s">
        <v>7</v>
      </c>
    </row>
    <row r="29" spans="2:2" x14ac:dyDescent="0.25">
      <c r="B29" s="4" t="s">
        <v>22</v>
      </c>
    </row>
    <row r="30" spans="2:2" x14ac:dyDescent="0.25">
      <c r="B30" s="6" t="s">
        <v>23</v>
      </c>
    </row>
    <row r="31" spans="2:2" x14ac:dyDescent="0.25">
      <c r="B31" s="6" t="s">
        <v>24</v>
      </c>
    </row>
    <row r="32" spans="2:2" x14ac:dyDescent="0.25">
      <c r="B32" s="6" t="s">
        <v>25</v>
      </c>
    </row>
    <row r="33" spans="2:2" x14ac:dyDescent="0.25">
      <c r="B33" s="6" t="s">
        <v>26</v>
      </c>
    </row>
    <row r="34" spans="2:2" x14ac:dyDescent="0.25">
      <c r="B34" s="6" t="s">
        <v>7</v>
      </c>
    </row>
    <row r="35" spans="2:2" x14ac:dyDescent="0.25">
      <c r="B35" s="4" t="s">
        <v>27</v>
      </c>
    </row>
    <row r="36" spans="2:2" x14ac:dyDescent="0.25">
      <c r="B36" s="6" t="s">
        <v>28</v>
      </c>
    </row>
    <row r="37" spans="2:2" x14ac:dyDescent="0.25">
      <c r="B37" s="6" t="s">
        <v>29</v>
      </c>
    </row>
  </sheetData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C45"/>
  <sheetFormatPr defaultRowHeight="15" outlineLevelRow="0" outlineLevelCol="0" x14ac:dyDescent="55"/>
  <cols>
    <col min="1" max="1" width="4" customWidth="1"/>
    <col min="2" max="3" width="40" customWidth="1"/>
    <col min="4" max="4" width="4" customWidth="1"/>
  </cols>
  <sheetData>
    <row r="3" spans="2:3" x14ac:dyDescent="0.25">
      <c r="B3" s="8" t="s">
        <v>30</v>
      </c>
      <c r="C3" s="8"/>
    </row>
    <row r="5" spans="2:3" x14ac:dyDescent="0.25">
      <c r="B5" s="9" t="s">
        <v>31</v>
      </c>
      <c r="C5" s="9"/>
    </row>
    <row r="8" spans="2:3" x14ac:dyDescent="0.25">
      <c r="B8" s="10" t="s">
        <v>32</v>
      </c>
      <c r="C8" s="11" t="s">
        <v>1</v>
      </c>
    </row>
    <row r="9" spans="2:3" x14ac:dyDescent="0.25">
      <c r="B9" s="10" t="s">
        <v>33</v>
      </c>
      <c r="C9" s="11" t="s">
        <v>34</v>
      </c>
    </row>
    <row r="10" spans="2:3" x14ac:dyDescent="0.25">
      <c r="B10" s="10" t="s">
        <v>35</v>
      </c>
      <c r="C10" s="11" t="s">
        <v>36</v>
      </c>
    </row>
    <row r="11" spans="2:3" x14ac:dyDescent="0.25">
      <c r="B11" s="10" t="s">
        <v>37</v>
      </c>
      <c r="C11" s="11" t="s">
        <v>38</v>
      </c>
    </row>
    <row r="12" spans="2:3" x14ac:dyDescent="0.25">
      <c r="B12" s="10" t="s">
        <v>39</v>
      </c>
      <c r="C12" s="11" t="s">
        <v>40</v>
      </c>
    </row>
    <row r="13" spans="2:3" x14ac:dyDescent="0.25">
      <c r="B13" s="10" t="s">
        <v>41</v>
      </c>
      <c r="C13" s="11" t="s">
        <v>42</v>
      </c>
    </row>
    <row r="14" spans="2:3" x14ac:dyDescent="0.25">
      <c r="B14" s="10" t="s">
        <v>43</v>
      </c>
      <c r="C14" s="11" t="s">
        <v>44</v>
      </c>
    </row>
    <row r="15" spans="2:3" x14ac:dyDescent="0.25">
      <c r="B15" s="10" t="s">
        <v>45</v>
      </c>
      <c r="C15" s="11" t="s">
        <v>46</v>
      </c>
    </row>
    <row r="18" spans="2:3" x14ac:dyDescent="0.25">
      <c r="B18" s="12" t="s">
        <v>47</v>
      </c>
      <c r="C18" s="12"/>
    </row>
    <row r="19" spans="2:3" x14ac:dyDescent="0.25">
      <c r="B19" s="6" t="s">
        <v>48</v>
      </c>
      <c r="C19" s="13" t="s">
        <v>49</v>
      </c>
    </row>
    <row r="20" spans="2:3" x14ac:dyDescent="0.25">
      <c r="B20" s="6" t="s">
        <v>50</v>
      </c>
      <c r="C20" s="13" t="s">
        <v>51</v>
      </c>
    </row>
    <row r="21" spans="2:3" x14ac:dyDescent="0.25">
      <c r="B21" s="6" t="s">
        <v>52</v>
      </c>
      <c r="C21" s="13" t="s">
        <v>53</v>
      </c>
    </row>
    <row r="22" spans="2:3" x14ac:dyDescent="0.25">
      <c r="B22" s="6" t="s">
        <v>54</v>
      </c>
      <c r="C22" s="13" t="s">
        <v>55</v>
      </c>
    </row>
    <row r="23" spans="2:3" x14ac:dyDescent="0.25">
      <c r="B23" s="6" t="s">
        <v>56</v>
      </c>
      <c r="C23" s="13" t="s">
        <v>57</v>
      </c>
    </row>
    <row r="24" spans="2:3" x14ac:dyDescent="0.25">
      <c r="B24" s="6" t="s">
        <v>58</v>
      </c>
      <c r="C24" s="13" t="s">
        <v>59</v>
      </c>
    </row>
    <row r="25" spans="2:3" x14ac:dyDescent="0.25">
      <c r="B25" s="6" t="s">
        <v>60</v>
      </c>
      <c r="C25" s="13" t="s">
        <v>61</v>
      </c>
    </row>
    <row r="26" spans="2:3" x14ac:dyDescent="0.25">
      <c r="B26" s="6" t="s">
        <v>62</v>
      </c>
      <c r="C26" s="13" t="s">
        <v>63</v>
      </c>
    </row>
    <row r="27" spans="2:3" x14ac:dyDescent="0.25">
      <c r="B27" s="6" t="s">
        <v>64</v>
      </c>
      <c r="C27" s="13" t="s">
        <v>65</v>
      </c>
    </row>
    <row r="28" spans="2:3" x14ac:dyDescent="0.25">
      <c r="B28" s="6" t="s">
        <v>66</v>
      </c>
      <c r="C28" s="13" t="s">
        <v>67</v>
      </c>
    </row>
    <row r="29" spans="2:3" x14ac:dyDescent="0.25">
      <c r="B29" s="6" t="s">
        <v>68</v>
      </c>
      <c r="C29" s="13" t="s">
        <v>69</v>
      </c>
    </row>
    <row r="30" spans="2:3" x14ac:dyDescent="0.25">
      <c r="B30" s="6" t="s">
        <v>70</v>
      </c>
      <c r="C30" s="13" t="s">
        <v>71</v>
      </c>
    </row>
    <row r="31" spans="2:3" x14ac:dyDescent="0.25">
      <c r="B31" s="6" t="s">
        <v>72</v>
      </c>
      <c r="C31" s="13" t="s">
        <v>73</v>
      </c>
    </row>
    <row r="32" spans="2:3" x14ac:dyDescent="0.25">
      <c r="B32" s="6" t="s">
        <v>74</v>
      </c>
      <c r="C32" s="13" t="s">
        <v>75</v>
      </c>
    </row>
    <row r="33" spans="2:3" x14ac:dyDescent="0.25">
      <c r="B33" s="6" t="s">
        <v>76</v>
      </c>
      <c r="C33" s="13" t="s">
        <v>77</v>
      </c>
    </row>
    <row r="34" spans="2:3" x14ac:dyDescent="0.25">
      <c r="B34" s="6" t="s">
        <v>78</v>
      </c>
      <c r="C34" s="13" t="s">
        <v>79</v>
      </c>
    </row>
    <row r="35" spans="2:3" x14ac:dyDescent="0.25">
      <c r="B35" s="6" t="s">
        <v>80</v>
      </c>
      <c r="C35" s="13" t="s">
        <v>81</v>
      </c>
    </row>
    <row r="36" spans="2:3" x14ac:dyDescent="0.25">
      <c r="B36" s="6" t="s">
        <v>82</v>
      </c>
      <c r="C36" s="13" t="s">
        <v>83</v>
      </c>
    </row>
    <row r="37" spans="2:3" x14ac:dyDescent="0.25">
      <c r="B37" s="6" t="s">
        <v>84</v>
      </c>
      <c r="C37" s="13" t="s">
        <v>85</v>
      </c>
    </row>
    <row r="38" spans="2:3" x14ac:dyDescent="0.25">
      <c r="B38" s="6" t="s">
        <v>86</v>
      </c>
      <c r="C38" s="13" t="s">
        <v>87</v>
      </c>
    </row>
    <row r="39" spans="2:3" x14ac:dyDescent="0.25">
      <c r="B39" s="6" t="s">
        <v>88</v>
      </c>
      <c r="C39" s="13" t="s">
        <v>89</v>
      </c>
    </row>
    <row r="40" spans="2:3" x14ac:dyDescent="0.25">
      <c r="B40" s="6" t="s">
        <v>90</v>
      </c>
      <c r="C40" s="13" t="s">
        <v>91</v>
      </c>
    </row>
    <row r="41" spans="2:3" x14ac:dyDescent="0.25">
      <c r="B41" s="6" t="s">
        <v>92</v>
      </c>
      <c r="C41" s="13" t="s">
        <v>93</v>
      </c>
    </row>
    <row r="42" spans="2:3" x14ac:dyDescent="0.25">
      <c r="B42" s="6" t="s">
        <v>94</v>
      </c>
      <c r="C42" s="13" t="s">
        <v>95</v>
      </c>
    </row>
    <row r="45" spans="2:3" x14ac:dyDescent="0.25">
      <c r="B45" s="14" t="s">
        <v>96</v>
      </c>
      <c r="C45" s="14"/>
    </row>
  </sheetData>
  <mergeCells count="4">
    <mergeCell ref="B3:C3"/>
    <mergeCell ref="B5:C5"/>
    <mergeCell ref="B18:C18"/>
    <mergeCell ref="B45:C45"/>
  </mergeCells>
  <hyperlinks>
    <hyperlink ref="C19" r:id="rId1" location="#'Instructions'!A1"/>
    <hyperlink ref="C20" r:id="rId2" location="#'Cover'!A1"/>
    <hyperlink ref="C21" r:id="rId3" location="#'Assumptions'!A1"/>
    <hyperlink ref="C22" r:id="rId4" location="#'Program Profile'!A1"/>
    <hyperlink ref="C23" r:id="rId5" location="#'Enrollment Drivers'!A1"/>
    <hyperlink ref="C24" r:id="rId6" location="#'Tuition &amp; Funding'!A1"/>
    <hyperlink ref="C25" r:id="rId7" location="#'Staffing Drivers'!A1"/>
    <hyperlink ref="C26" r:id="rId8" location="#'OpEx Drivers'!A1"/>
    <hyperlink ref="C27" r:id="rId9" location="#'Capital Stack'!A1"/>
    <hyperlink ref="C28" r:id="rId10" location="#'Enrollment Tuition Fcst'!A1"/>
    <hyperlink ref="C29" r:id="rId11" location="#'Staffing Costs Fcst'!A1"/>
    <hyperlink ref="C30" r:id="rId12" location="#'Budget Detail'!A1"/>
    <hyperlink ref="C31" r:id="rId13" location="#'Budget Summary'!A1"/>
    <hyperlink ref="C32" r:id="rId14" location="#'Monthly Cash Flow Y1'!A1"/>
    <hyperlink ref="C33" r:id="rId15" location="#'5-Year Operating Stmt'!A1"/>
    <hyperlink ref="C34" r:id="rId16" location="#'Debt Schedule'!A1"/>
    <hyperlink ref="C35" r:id="rId17" location="#'Balance Sheet'!A1"/>
    <hyperlink ref="C36" r:id="rId18" location="#'DSCR &amp; Covenants'!A1"/>
    <hyperlink ref="C37" r:id="rId19" location="#'Sources &amp; Uses'!A1"/>
    <hyperlink ref="C38" r:id="rId20" location="#'Scenarios'!A1"/>
    <hyperlink ref="C39" r:id="rId21" location="#'Lender Snapshot'!A1"/>
    <hyperlink ref="C40" r:id="rId22" location="#'Financial Health'!A1"/>
    <hyperlink ref="C41" r:id="rId23" location="#'Budget Narrative'!A1"/>
    <hyperlink ref="C42" r:id="rId24" location="#'Assumptions Confidence'!A1"/>
  </hyperlink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5"/>
  <sheetFormatPr defaultRowHeight="15" outlineLevelRow="0" outlineLevelCol="0" x14ac:dyDescent="55"/>
  <cols>
    <col min="1" max="1" width="36" customWidth="1"/>
    <col min="2" max="2" width="18" customWidth="1"/>
    <col min="3" max="7" width="16" customWidth="1"/>
  </cols>
  <sheetData>
    <row r="1" ht="32" customHeight="1" spans="1:7" x14ac:dyDescent="0.25">
      <c r="A1" s="15" t="s">
        <v>97</v>
      </c>
      <c r="B1" s="15"/>
      <c r="C1" s="15"/>
      <c r="D1" s="15"/>
      <c r="E1" s="15"/>
      <c r="F1" s="15"/>
      <c r="G1" s="15"/>
    </row>
    <row r="2" spans="1:5" x14ac:dyDescent="0.25">
      <c r="A2" s="16" t="s">
        <v>7</v>
      </c>
      <c r="B2" s="17" t="s">
        <v>98</v>
      </c>
      <c r="D2" s="18" t="s">
        <v>7</v>
      </c>
      <c r="E2" s="17" t="s">
        <v>99</v>
      </c>
    </row>
    <row r="4" ht="24" customHeight="1" spans="1:7" x14ac:dyDescent="0.25">
      <c r="A4" s="19" t="s">
        <v>100</v>
      </c>
      <c r="B4" s="19"/>
      <c r="C4" s="19"/>
      <c r="D4" s="19"/>
      <c r="E4" s="19"/>
      <c r="F4" s="19"/>
      <c r="G4" s="19"/>
    </row>
    <row r="5" spans="1:2" x14ac:dyDescent="0.25">
      <c r="A5" s="11" t="s">
        <v>32</v>
      </c>
      <c r="B5" s="20" t="s">
        <v>1</v>
      </c>
    </row>
    <row r="6" spans="1:2" x14ac:dyDescent="0.25">
      <c r="A6" s="11" t="s">
        <v>33</v>
      </c>
      <c r="B6" s="20" t="s">
        <v>34</v>
      </c>
    </row>
    <row r="7" spans="1:2" x14ac:dyDescent="0.25">
      <c r="A7" s="11" t="s">
        <v>35</v>
      </c>
      <c r="B7" s="20" t="s">
        <v>36</v>
      </c>
    </row>
    <row r="8" spans="1:2" x14ac:dyDescent="0.25">
      <c r="A8" s="11" t="s">
        <v>37</v>
      </c>
      <c r="B8" s="20" t="s">
        <v>38</v>
      </c>
    </row>
    <row r="9" spans="1:2" x14ac:dyDescent="0.25">
      <c r="A9" s="11" t="s">
        <v>101</v>
      </c>
      <c r="B9" s="20" t="s">
        <v>102</v>
      </c>
    </row>
    <row r="10" spans="1:2" x14ac:dyDescent="0.25">
      <c r="A10" s="11" t="s">
        <v>43</v>
      </c>
      <c r="B10" s="20" t="s">
        <v>44</v>
      </c>
    </row>
    <row r="11" spans="1:2" x14ac:dyDescent="0.25">
      <c r="A11" s="11" t="s">
        <v>45</v>
      </c>
      <c r="B11" s="20" t="s">
        <v>46</v>
      </c>
    </row>
    <row r="12" spans="1:2" x14ac:dyDescent="0.25">
      <c r="A12" s="11" t="s">
        <v>103</v>
      </c>
      <c r="B12" s="20">
        <v>7</v>
      </c>
    </row>
    <row r="13" spans="1:2" x14ac:dyDescent="0.25">
      <c r="A13" s="11" t="s">
        <v>104</v>
      </c>
      <c r="B13" s="20">
        <v>25</v>
      </c>
    </row>
    <row r="15" ht="24" customHeight="1" spans="1:6" x14ac:dyDescent="0.25">
      <c r="A15" s="19" t="s">
        <v>105</v>
      </c>
      <c r="B15" s="19"/>
      <c r="C15" s="19"/>
      <c r="D15" s="19"/>
      <c r="E15" s="19"/>
      <c r="F15" s="19"/>
    </row>
    <row r="16" ht="28" customHeight="1" spans="1:6" x14ac:dyDescent="0.25">
      <c r="A16" s="21" t="s">
        <v>7</v>
      </c>
      <c r="B16" s="21" t="s">
        <v>106</v>
      </c>
      <c r="C16" s="21" t="s">
        <v>107</v>
      </c>
      <c r="D16" s="21" t="s">
        <v>108</v>
      </c>
      <c r="E16" s="21" t="s">
        <v>109</v>
      </c>
      <c r="F16" s="21" t="s">
        <v>110</v>
      </c>
    </row>
    <row r="17" spans="1:6" x14ac:dyDescent="0.25">
      <c r="A17" s="11" t="s">
        <v>111</v>
      </c>
      <c r="B17" s="22">
        <v>12</v>
      </c>
      <c r="C17" s="22">
        <v>18</v>
      </c>
      <c r="D17" s="22">
        <v>22</v>
      </c>
      <c r="E17" s="22">
        <v>25</v>
      </c>
      <c r="F17" s="22">
        <v>25</v>
      </c>
    </row>
    <row r="19" ht="24" customHeight="1" spans="1:7" x14ac:dyDescent="0.25">
      <c r="A19" s="19" t="s">
        <v>112</v>
      </c>
      <c r="B19" s="19"/>
      <c r="C19" s="19"/>
      <c r="D19" s="19"/>
      <c r="E19" s="19"/>
      <c r="F19" s="19"/>
      <c r="G19" s="19"/>
    </row>
    <row r="20" ht="28" customHeight="1" spans="1:6" x14ac:dyDescent="0.25">
      <c r="A20" s="21" t="s">
        <v>113</v>
      </c>
      <c r="B20" s="21" t="s">
        <v>114</v>
      </c>
      <c r="C20" s="21" t="s">
        <v>115</v>
      </c>
      <c r="D20" s="21" t="s">
        <v>116</v>
      </c>
      <c r="E20" s="21" t="s">
        <v>117</v>
      </c>
      <c r="F20" s="21" t="s">
        <v>118</v>
      </c>
    </row>
    <row r="21" spans="1:6" x14ac:dyDescent="0.25">
      <c r="A21" s="11" t="s">
        <v>119</v>
      </c>
      <c r="B21" s="11" t="s">
        <v>120</v>
      </c>
      <c r="C21" s="11" t="s">
        <v>121</v>
      </c>
      <c r="D21" s="23">
        <v>12000</v>
      </c>
      <c r="E21" s="24">
        <v>0</v>
      </c>
      <c r="F21" s="11" t="s">
        <v>122</v>
      </c>
    </row>
    <row r="22" spans="1:6" x14ac:dyDescent="0.25">
      <c r="A22" s="11" t="s">
        <v>123</v>
      </c>
      <c r="B22" s="11" t="s">
        <v>120</v>
      </c>
      <c r="C22" s="11" t="s">
        <v>121</v>
      </c>
      <c r="D22" s="23">
        <v>250</v>
      </c>
      <c r="E22" s="24">
        <v>0</v>
      </c>
      <c r="F22" s="11" t="s">
        <v>122</v>
      </c>
    </row>
    <row r="23" spans="1:6" x14ac:dyDescent="0.25">
      <c r="A23" s="11" t="s">
        <v>124</v>
      </c>
      <c r="B23" s="11" t="s">
        <v>125</v>
      </c>
      <c r="C23" s="11" t="s">
        <v>121</v>
      </c>
      <c r="D23" s="23">
        <v>7000</v>
      </c>
      <c r="E23" s="24">
        <v>0</v>
      </c>
      <c r="F23" s="11" t="s">
        <v>122</v>
      </c>
    </row>
    <row r="24" spans="1:6" x14ac:dyDescent="0.25">
      <c r="A24" s="11" t="s">
        <v>126</v>
      </c>
      <c r="B24" s="11" t="s">
        <v>127</v>
      </c>
      <c r="C24" s="11" t="s">
        <v>128</v>
      </c>
      <c r="D24" s="23">
        <v>5000</v>
      </c>
      <c r="E24" s="24">
        <v>0</v>
      </c>
      <c r="F24" s="11" t="s">
        <v>122</v>
      </c>
    </row>
    <row r="25" spans="1:6" x14ac:dyDescent="0.25">
      <c r="A25" s="11" t="s">
        <v>129</v>
      </c>
      <c r="B25" s="11" t="s">
        <v>130</v>
      </c>
      <c r="C25" s="11" t="s">
        <v>131</v>
      </c>
      <c r="D25" s="23">
        <v>10</v>
      </c>
      <c r="E25" s="24">
        <v>0</v>
      </c>
      <c r="F25" s="11" t="s">
        <v>122</v>
      </c>
    </row>
    <row r="27" ht="24" customHeight="1" spans="1:6" x14ac:dyDescent="0.25">
      <c r="A27" s="19" t="s">
        <v>132</v>
      </c>
      <c r="B27" s="19"/>
      <c r="C27" s="19"/>
      <c r="D27" s="19"/>
      <c r="E27" s="19"/>
      <c r="F27" s="19"/>
    </row>
    <row r="28" ht="28" customHeight="1" spans="1:6" x14ac:dyDescent="0.25">
      <c r="A28" s="21" t="s">
        <v>133</v>
      </c>
      <c r="B28" s="21" t="s">
        <v>106</v>
      </c>
      <c r="C28" s="21" t="s">
        <v>107</v>
      </c>
      <c r="D28" s="21" t="s">
        <v>108</v>
      </c>
      <c r="E28" s="21" t="s">
        <v>109</v>
      </c>
      <c r="F28" s="21" t="s">
        <v>110</v>
      </c>
    </row>
    <row r="29" spans="1:6" x14ac:dyDescent="0.25">
      <c r="A29" s="11" t="s">
        <v>134</v>
      </c>
      <c r="B29" s="25">
        <v>-12000</v>
      </c>
      <c r="C29" s="25">
        <v>-22248</v>
      </c>
      <c r="D29" s="25">
        <v>-28007.76</v>
      </c>
      <c r="E29" s="25">
        <v>-32781.81</v>
      </c>
      <c r="F29" s="25">
        <v>-33765.2643</v>
      </c>
    </row>
    <row r="30" spans="1:6" x14ac:dyDescent="0.25">
      <c r="A30" s="11" t="s">
        <v>135</v>
      </c>
      <c r="B30" s="25">
        <v>122500</v>
      </c>
      <c r="C30" s="25">
        <v>227115</v>
      </c>
      <c r="D30" s="25">
        <v>285912.55</v>
      </c>
      <c r="E30" s="25">
        <v>334647.64375</v>
      </c>
      <c r="F30" s="25">
        <v>344687.07306250004</v>
      </c>
    </row>
    <row r="31" spans="1:6" x14ac:dyDescent="0.25">
      <c r="A31" s="11" t="s">
        <v>136</v>
      </c>
      <c r="B31" s="25">
        <v>4166.666666666667</v>
      </c>
      <c r="C31" s="25">
        <v>5150</v>
      </c>
      <c r="D31" s="25">
        <v>5304.5</v>
      </c>
      <c r="E31" s="25">
        <v>5463.635</v>
      </c>
      <c r="F31" s="25">
        <v>5627.54405</v>
      </c>
    </row>
    <row r="32" spans="1:6" x14ac:dyDescent="0.25">
      <c r="A32" s="11" t="s">
        <v>137</v>
      </c>
      <c r="B32" s="25">
        <v>70000</v>
      </c>
      <c r="C32" s="25">
        <v>129780</v>
      </c>
      <c r="D32" s="25">
        <v>163378.59999999998</v>
      </c>
      <c r="E32" s="25">
        <v>191227.225</v>
      </c>
      <c r="F32" s="25">
        <v>196964.04175000003</v>
      </c>
    </row>
    <row r="33" spans="1:6" x14ac:dyDescent="0.25">
      <c r="A33" s="11" t="s">
        <v>138</v>
      </c>
      <c r="B33" s="26">
        <v>-0.06498194945848376</v>
      </c>
      <c r="C33" s="26">
        <v>-0.06547438617762959</v>
      </c>
      <c r="D33" s="26">
        <v>-0.06565530962447153</v>
      </c>
      <c r="E33" s="26">
        <v>-0.06575342465753424</v>
      </c>
      <c r="F33" s="26">
        <v>-0.06575342465753424</v>
      </c>
    </row>
    <row r="34" spans="1:6" x14ac:dyDescent="0.25">
      <c r="A34" s="11" t="s">
        <v>139</v>
      </c>
      <c r="B34" s="26">
        <v>0.6633574007220217</v>
      </c>
      <c r="C34" s="26">
        <v>0.6683843588966354</v>
      </c>
      <c r="D34" s="26">
        <v>0.6702312857498135</v>
      </c>
      <c r="E34" s="26">
        <v>0.6712328767123287</v>
      </c>
      <c r="F34" s="26">
        <v>0.6712328767123287</v>
      </c>
    </row>
    <row r="35" spans="1:6" x14ac:dyDescent="0.25">
      <c r="A35" s="11" t="s">
        <v>140</v>
      </c>
      <c r="B35" s="26">
        <v>0.02256317689530686</v>
      </c>
      <c r="C35" s="26">
        <v>0.01515610791148833</v>
      </c>
      <c r="D35" s="26">
        <v>0.012434717731907487</v>
      </c>
      <c r="E35" s="26">
        <v>0.010958904109589041</v>
      </c>
      <c r="F35" s="26">
        <v>0.01095890410958904</v>
      </c>
    </row>
    <row r="36" spans="1:6" x14ac:dyDescent="0.25">
      <c r="A36" s="11" t="s">
        <v>141</v>
      </c>
      <c r="B36" s="26">
        <v>0.37906137184115524</v>
      </c>
      <c r="C36" s="26">
        <v>0.38193391936950594</v>
      </c>
      <c r="D36" s="26">
        <v>0.38298930614275056</v>
      </c>
      <c r="E36" s="26">
        <v>0.3835616438356164</v>
      </c>
      <c r="F36" s="26">
        <v>0.3835616438356164</v>
      </c>
    </row>
    <row r="37" spans="1:6" x14ac:dyDescent="0.25">
      <c r="A37" s="11" t="s">
        <v>142</v>
      </c>
      <c r="B37" s="27">
        <v>-0.07745225122498264</v>
      </c>
      <c r="C37" s="27">
        <v>-0.1215720233091732</v>
      </c>
      <c r="D37" s="27">
        <v>-0.14944429416974292</v>
      </c>
      <c r="E37" s="27">
        <v>-0.17077853976927615</v>
      </c>
      <c r="F37" s="27">
        <v>-0.1717165314906201</v>
      </c>
    </row>
    <row r="39" ht="24" customHeight="1" spans="1:7" x14ac:dyDescent="0.25">
      <c r="A39" s="19" t="s">
        <v>143</v>
      </c>
      <c r="B39" s="19"/>
      <c r="C39" s="19"/>
      <c r="D39" s="19"/>
      <c r="E39" s="19"/>
      <c r="F39" s="19"/>
      <c r="G39" s="19"/>
    </row>
    <row r="40" ht="28" customHeight="1" spans="1:7" x14ac:dyDescent="0.25">
      <c r="A40" s="21" t="s">
        <v>144</v>
      </c>
      <c r="B40" s="21" t="s">
        <v>114</v>
      </c>
      <c r="C40" s="21" t="s">
        <v>145</v>
      </c>
      <c r="D40" s="21" t="s">
        <v>146</v>
      </c>
      <c r="E40" s="21" t="s">
        <v>147</v>
      </c>
      <c r="F40" s="21" t="s">
        <v>148</v>
      </c>
      <c r="G40" s="21" t="s">
        <v>149</v>
      </c>
    </row>
    <row r="41" spans="1:7" x14ac:dyDescent="0.25">
      <c r="A41" s="11" t="s">
        <v>150</v>
      </c>
      <c r="B41" s="11" t="s">
        <v>151</v>
      </c>
      <c r="C41" s="11" t="s">
        <v>152</v>
      </c>
      <c r="D41" s="28">
        <v>1</v>
      </c>
      <c r="E41" s="23">
        <v>55000</v>
      </c>
      <c r="F41" s="24">
        <v>0.2</v>
      </c>
      <c r="G41" s="24">
        <v>0.0765</v>
      </c>
    </row>
    <row r="42" spans="1:7" x14ac:dyDescent="0.25">
      <c r="A42" s="11" t="s">
        <v>153</v>
      </c>
      <c r="B42" s="11" t="s">
        <v>154</v>
      </c>
      <c r="C42" s="11" t="s">
        <v>152</v>
      </c>
      <c r="D42" s="28">
        <v>1</v>
      </c>
      <c r="E42" s="23">
        <v>45000</v>
      </c>
      <c r="F42" s="24">
        <v>0.2</v>
      </c>
      <c r="G42" s="24">
        <v>0.0765</v>
      </c>
    </row>
    <row r="43" spans="1:7" x14ac:dyDescent="0.25">
      <c r="A43" s="11" t="s">
        <v>155</v>
      </c>
      <c r="B43" s="11" t="s">
        <v>154</v>
      </c>
      <c r="C43" s="11" t="s">
        <v>156</v>
      </c>
      <c r="D43" s="28">
        <v>0.5</v>
      </c>
      <c r="E43" s="23">
        <v>28000</v>
      </c>
      <c r="F43" s="24">
        <v>0</v>
      </c>
      <c r="G43" s="24">
        <v>0.0765</v>
      </c>
    </row>
    <row r="45" ht="24" customHeight="1" spans="1:7" x14ac:dyDescent="0.25">
      <c r="A45" s="19" t="s">
        <v>157</v>
      </c>
      <c r="B45" s="19"/>
      <c r="C45" s="19"/>
      <c r="D45" s="19"/>
      <c r="E45" s="19"/>
      <c r="F45" s="19"/>
      <c r="G45" s="19"/>
    </row>
    <row r="46" ht="28" customHeight="1" spans="1:5" x14ac:dyDescent="0.25">
      <c r="A46" s="21" t="s">
        <v>113</v>
      </c>
      <c r="B46" s="21" t="s">
        <v>114</v>
      </c>
      <c r="C46" s="21" t="s">
        <v>115</v>
      </c>
      <c r="D46" s="21" t="s">
        <v>116</v>
      </c>
      <c r="E46" s="21" t="s">
        <v>117</v>
      </c>
    </row>
    <row r="47" spans="1:5" x14ac:dyDescent="0.25">
      <c r="A47" s="11" t="s">
        <v>158</v>
      </c>
      <c r="B47" s="11" t="s">
        <v>159</v>
      </c>
      <c r="C47" s="11" t="s">
        <v>160</v>
      </c>
      <c r="D47" s="23">
        <v>2500</v>
      </c>
      <c r="E47" s="24">
        <v>0.03</v>
      </c>
    </row>
    <row r="48" spans="1:5" x14ac:dyDescent="0.25">
      <c r="A48" s="11" t="s">
        <v>161</v>
      </c>
      <c r="B48" s="11" t="s">
        <v>159</v>
      </c>
      <c r="C48" s="11" t="s">
        <v>160</v>
      </c>
      <c r="D48" s="23">
        <v>300</v>
      </c>
      <c r="E48" s="24">
        <v>0</v>
      </c>
    </row>
    <row r="49" spans="1:5" x14ac:dyDescent="0.25">
      <c r="A49" s="11" t="s">
        <v>162</v>
      </c>
      <c r="B49" s="11" t="s">
        <v>159</v>
      </c>
      <c r="C49" s="11" t="s">
        <v>128</v>
      </c>
      <c r="D49" s="23">
        <v>2400</v>
      </c>
      <c r="E49" s="24">
        <v>0</v>
      </c>
    </row>
    <row r="50" spans="1:5" x14ac:dyDescent="0.25">
      <c r="A50" s="11" t="s">
        <v>163</v>
      </c>
      <c r="B50" s="11" t="s">
        <v>164</v>
      </c>
      <c r="C50" s="11" t="s">
        <v>121</v>
      </c>
      <c r="D50" s="23">
        <v>500</v>
      </c>
      <c r="E50" s="24">
        <v>0</v>
      </c>
    </row>
    <row r="51" spans="1:5" x14ac:dyDescent="0.25">
      <c r="A51" s="11" t="s">
        <v>165</v>
      </c>
      <c r="B51" s="11" t="s">
        <v>165</v>
      </c>
      <c r="C51" s="11" t="s">
        <v>121</v>
      </c>
      <c r="D51" s="23">
        <v>300</v>
      </c>
      <c r="E51" s="24">
        <v>0</v>
      </c>
    </row>
    <row r="52" spans="1:5" x14ac:dyDescent="0.25">
      <c r="A52" s="11" t="s">
        <v>166</v>
      </c>
      <c r="B52" s="11" t="s">
        <v>167</v>
      </c>
      <c r="C52" s="11" t="s">
        <v>128</v>
      </c>
      <c r="D52" s="23">
        <v>3000</v>
      </c>
      <c r="E52" s="24">
        <v>0</v>
      </c>
    </row>
    <row r="54" ht="24" customHeight="1" spans="1:7" x14ac:dyDescent="0.25">
      <c r="A54" s="19" t="s">
        <v>168</v>
      </c>
      <c r="B54" s="19"/>
      <c r="C54" s="19"/>
      <c r="D54" s="19"/>
      <c r="E54" s="19"/>
      <c r="F54" s="19"/>
      <c r="G54" s="19"/>
    </row>
    <row r="55" ht="28" customHeight="1" spans="1:5" x14ac:dyDescent="0.25">
      <c r="A55" s="21" t="s">
        <v>169</v>
      </c>
      <c r="B55" s="21" t="s">
        <v>145</v>
      </c>
      <c r="C55" s="21" t="s">
        <v>170</v>
      </c>
      <c r="D55" s="21" t="s">
        <v>147</v>
      </c>
      <c r="E55" s="21" t="s">
        <v>171</v>
      </c>
    </row>
    <row r="56" spans="1:5" x14ac:dyDescent="0.25">
      <c r="A56" s="11" t="s">
        <v>172</v>
      </c>
      <c r="B56" s="11" t="s">
        <v>173</v>
      </c>
      <c r="C56" s="23">
        <v>30000</v>
      </c>
      <c r="D56" s="24">
        <v>0.06</v>
      </c>
      <c r="E56" s="22">
        <v>5</v>
      </c>
    </row>
    <row r="58" ht="24" customHeight="1" spans="1:7" x14ac:dyDescent="0.25">
      <c r="A58" s="19" t="s">
        <v>174</v>
      </c>
      <c r="B58" s="19"/>
      <c r="C58" s="19"/>
      <c r="D58" s="19"/>
      <c r="E58" s="19"/>
      <c r="F58" s="19"/>
      <c r="G58" s="19"/>
    </row>
    <row r="59" spans="1:3" x14ac:dyDescent="0.25">
      <c r="A59" s="11" t="s">
        <v>175</v>
      </c>
      <c r="B59" s="24">
        <v>0.03</v>
      </c>
      <c r="C59" s="29" t="s">
        <v>176</v>
      </c>
    </row>
    <row r="60" spans="1:3" x14ac:dyDescent="0.25">
      <c r="A60" s="11" t="s">
        <v>177</v>
      </c>
      <c r="B60" s="24">
        <v>0.03</v>
      </c>
      <c r="C60" s="29" t="s">
        <v>178</v>
      </c>
    </row>
    <row r="61" spans="1:2" x14ac:dyDescent="0.25">
      <c r="A61" s="11" t="s">
        <v>179</v>
      </c>
      <c r="B61" s="28">
        <v>0.8333333333333334</v>
      </c>
    </row>
    <row r="62" spans="1:2" x14ac:dyDescent="0.25">
      <c r="A62" s="11" t="s">
        <v>180</v>
      </c>
      <c r="B62" s="23">
        <v>0</v>
      </c>
    </row>
    <row r="63" spans="1:2" x14ac:dyDescent="0.25">
      <c r="A63" s="11" t="s">
        <v>181</v>
      </c>
      <c r="B63" s="20" t="s">
        <v>182</v>
      </c>
    </row>
    <row r="64" spans="1:2" x14ac:dyDescent="0.25">
      <c r="A64" s="11" t="s">
        <v>183</v>
      </c>
      <c r="B64" s="24">
        <v>0</v>
      </c>
    </row>
    <row r="65" spans="1:2" x14ac:dyDescent="0.25">
      <c r="A65" s="11" t="s">
        <v>184</v>
      </c>
      <c r="B65" s="24">
        <v>0.03</v>
      </c>
    </row>
    <row r="66" spans="1:2" x14ac:dyDescent="0.25">
      <c r="A66" s="11" t="s">
        <v>185</v>
      </c>
      <c r="B66" s="24">
        <v>0.03</v>
      </c>
    </row>
    <row r="67" spans="1:2" x14ac:dyDescent="0.25">
      <c r="A67" s="11" t="s">
        <v>186</v>
      </c>
      <c r="B67" s="24">
        <v>0.2</v>
      </c>
    </row>
    <row r="68" spans="1:2" x14ac:dyDescent="0.25">
      <c r="A68" s="11" t="s">
        <v>187</v>
      </c>
      <c r="B68" s="24">
        <v>0.08</v>
      </c>
    </row>
    <row r="69" spans="1:2" x14ac:dyDescent="0.25">
      <c r="A69" s="11" t="s">
        <v>188</v>
      </c>
      <c r="B69" s="24">
        <v>0.85</v>
      </c>
    </row>
    <row r="71" ht="24" customHeight="1" spans="1:7" x14ac:dyDescent="0.25">
      <c r="A71" s="19" t="s">
        <v>189</v>
      </c>
      <c r="B71" s="19"/>
      <c r="C71" s="19"/>
      <c r="D71" s="19"/>
      <c r="E71" s="19"/>
      <c r="F71" s="19"/>
      <c r="G71" s="19"/>
    </row>
    <row r="72" spans="1:2" x14ac:dyDescent="0.25">
      <c r="A72" s="11" t="s">
        <v>190</v>
      </c>
      <c r="B72" s="20" t="s">
        <v>191</v>
      </c>
    </row>
    <row r="73" spans="1:2" x14ac:dyDescent="0.25">
      <c r="A73" s="11" t="s">
        <v>192</v>
      </c>
      <c r="B73" s="20" t="s">
        <v>193</v>
      </c>
    </row>
    <row r="74" spans="1:2" x14ac:dyDescent="0.25">
      <c r="A74" s="11" t="s">
        <v>194</v>
      </c>
      <c r="B74" s="24">
        <v>1</v>
      </c>
    </row>
    <row r="75" spans="1:2" x14ac:dyDescent="0.25">
      <c r="A75" s="11" t="s">
        <v>195</v>
      </c>
      <c r="B75" s="20" t="s">
        <v>196</v>
      </c>
    </row>
  </sheetData>
  <mergeCells count="1">
    <mergeCell ref="A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FormatPr defaultRowHeight="15" outlineLevelRow="0" outlineLevelCol="0" x14ac:dyDescent="55"/>
  <cols>
    <col min="1" max="1" width="36" customWidth="1"/>
    <col min="2" max="2" width="30" customWidth="1"/>
  </cols>
  <sheetData>
    <row r="1" spans="1:2" x14ac:dyDescent="0.25">
      <c r="A1" s="15" t="s">
        <v>55</v>
      </c>
      <c r="B1" s="15"/>
    </row>
    <row r="3" spans="1:2" x14ac:dyDescent="0.25">
      <c r="A3" s="10" t="s">
        <v>197</v>
      </c>
      <c r="B3" s="11" t="s">
        <v>198</v>
      </c>
    </row>
    <row r="4" spans="1:2" x14ac:dyDescent="0.25">
      <c r="A4" s="10" t="s">
        <v>33</v>
      </c>
      <c r="B4" s="11" t="s">
        <v>34</v>
      </c>
    </row>
    <row r="5" spans="1:2" x14ac:dyDescent="0.25">
      <c r="A5" s="10" t="s">
        <v>35</v>
      </c>
      <c r="B5" s="11" t="s">
        <v>36</v>
      </c>
    </row>
    <row r="6" spans="1:2" x14ac:dyDescent="0.25">
      <c r="A6" s="10" t="s">
        <v>199</v>
      </c>
      <c r="B6" s="11" t="s">
        <v>200</v>
      </c>
    </row>
    <row r="7" spans="1:2" x14ac:dyDescent="0.25">
      <c r="A7" s="10" t="s">
        <v>43</v>
      </c>
      <c r="B7" s="11" t="s">
        <v>44</v>
      </c>
    </row>
    <row r="8" spans="1:2" x14ac:dyDescent="0.25">
      <c r="A8" s="10" t="s">
        <v>201</v>
      </c>
      <c r="B8" s="11" t="s">
        <v>46</v>
      </c>
    </row>
    <row r="9" spans="1:2" x14ac:dyDescent="0.25">
      <c r="A9" s="10" t="s">
        <v>103</v>
      </c>
      <c r="B9" s="11" t="s">
        <v>202</v>
      </c>
    </row>
    <row r="10" spans="1:2" x14ac:dyDescent="0.25">
      <c r="A10" s="10" t="s">
        <v>203</v>
      </c>
      <c r="B10" s="11" t="s">
        <v>204</v>
      </c>
    </row>
    <row r="11" spans="1:2" x14ac:dyDescent="0.25">
      <c r="A11" s="10" t="s">
        <v>205</v>
      </c>
      <c r="B11" s="11" t="s">
        <v>206</v>
      </c>
    </row>
    <row r="12" spans="1:2" x14ac:dyDescent="0.25">
      <c r="A12" s="10" t="s">
        <v>181</v>
      </c>
      <c r="B12" s="11" t="s">
        <v>182</v>
      </c>
    </row>
    <row r="13" spans="1:2" x14ac:dyDescent="0.25">
      <c r="A13" s="10" t="s">
        <v>104</v>
      </c>
      <c r="B13" s="11" t="s">
        <v>207</v>
      </c>
    </row>
    <row r="14" spans="1:2" x14ac:dyDescent="0.25">
      <c r="A14" s="10" t="s">
        <v>208</v>
      </c>
      <c r="B14" s="11" t="s">
        <v>182</v>
      </c>
    </row>
    <row r="15" spans="1:2" x14ac:dyDescent="0.25">
      <c r="A15" s="10" t="s">
        <v>209</v>
      </c>
      <c r="B15" s="11" t="s">
        <v>210</v>
      </c>
    </row>
    <row r="16" spans="1:2" x14ac:dyDescent="0.25">
      <c r="A16" s="10" t="s">
        <v>211</v>
      </c>
      <c r="B16" s="11" t="s">
        <v>212</v>
      </c>
    </row>
  </sheetData>
  <mergeCells count="1">
    <mergeCell ref="A1:B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"/>
  <sheetFormatPr defaultRowHeight="15" outlineLevelRow="0" outlineLevelCol="0" x14ac:dyDescent="55"/>
  <cols>
    <col min="1" max="1" width="32" customWidth="1"/>
    <col min="2" max="8" width="14" customWidth="1"/>
  </cols>
  <sheetData>
    <row r="1" spans="1:7" x14ac:dyDescent="0.25">
      <c r="A1" s="15" t="s">
        <v>57</v>
      </c>
      <c r="B1" s="15"/>
      <c r="C1" s="15"/>
      <c r="D1" s="15"/>
      <c r="E1" s="15"/>
      <c r="F1" s="15"/>
      <c r="G1" s="15"/>
    </row>
    <row r="3" ht="28" customHeight="1" spans="1:6" x14ac:dyDescent="0.25">
      <c r="A3" s="21" t="s">
        <v>7</v>
      </c>
      <c r="B3" s="21" t="s">
        <v>106</v>
      </c>
      <c r="C3" s="21" t="s">
        <v>107</v>
      </c>
      <c r="D3" s="21" t="s">
        <v>108</v>
      </c>
      <c r="E3" s="21" t="s">
        <v>109</v>
      </c>
      <c r="F3" s="21" t="s">
        <v>110</v>
      </c>
    </row>
    <row r="5" ht="24" customHeight="1" spans="1:6" x14ac:dyDescent="0.25">
      <c r="A5" s="19" t="s">
        <v>213</v>
      </c>
      <c r="B5" s="19"/>
      <c r="C5" s="19"/>
      <c r="D5" s="19"/>
      <c r="E5" s="19"/>
      <c r="F5" s="19"/>
    </row>
    <row r="6" spans="1:6" x14ac:dyDescent="0.25">
      <c r="A6" s="10" t="s">
        <v>111</v>
      </c>
      <c r="B6" s="30">
        <v>12</v>
      </c>
      <c r="C6" s="30">
        <v>18</v>
      </c>
      <c r="D6" s="30">
        <v>22</v>
      </c>
      <c r="E6" s="30">
        <v>25</v>
      </c>
      <c r="F6" s="30">
        <v>25</v>
      </c>
    </row>
    <row r="7" spans="1:2" x14ac:dyDescent="0.25">
      <c r="A7" s="11" t="s">
        <v>104</v>
      </c>
      <c r="B7" s="22">
        <v>25</v>
      </c>
    </row>
    <row r="8" spans="1:6" x14ac:dyDescent="0.25">
      <c r="A8" s="11" t="s">
        <v>214</v>
      </c>
      <c r="B8" s="31">
        <f>B6/$B$7</f>
        <v>0.48</v>
      </c>
      <c r="C8" s="31">
        <f>C6/$B$7</f>
        <v>0.72</v>
      </c>
      <c r="D8" s="31">
        <f>D6/$B$7</f>
        <v>0.88</v>
      </c>
      <c r="E8" s="31">
        <f>E6/$B$7</f>
        <v>1</v>
      </c>
      <c r="F8" s="31">
        <f>F6/$B$7</f>
        <v>1</v>
      </c>
    </row>
    <row r="10" spans="1:6" x14ac:dyDescent="0.25">
      <c r="A10" s="11" t="s">
        <v>183</v>
      </c>
      <c r="B10" s="11" t="s">
        <v>215</v>
      </c>
      <c r="C10" s="26">
        <f>IF(B6=0,0,(C6-B6)/B6)</f>
        <v>0.5</v>
      </c>
      <c r="D10" s="26">
        <f>IF(C6=0,0,(D6-C6)/C6)</f>
        <v>0.22222222</v>
      </c>
      <c r="E10" s="26">
        <f>IF(D6=0,0,(E6-D6)/D6)</f>
        <v>0.13636364</v>
      </c>
      <c r="F10" s="26" t="str">
        <f>IF(E6=0,0,(F6-E6)/E6)</f>
        <v>0</v>
      </c>
    </row>
  </sheetData>
  <mergeCells count="1">
    <mergeCell ref="A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8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5" t="s">
        <v>216</v>
      </c>
      <c r="B1" s="15"/>
      <c r="C1" s="15"/>
      <c r="D1" s="15"/>
      <c r="E1" s="15"/>
      <c r="F1" s="15"/>
    </row>
    <row r="3" ht="28" customHeight="1" spans="1:6" x14ac:dyDescent="0.25">
      <c r="A3" s="21" t="s">
        <v>7</v>
      </c>
      <c r="B3" s="21" t="s">
        <v>106</v>
      </c>
      <c r="C3" s="21" t="s">
        <v>107</v>
      </c>
      <c r="D3" s="21" t="s">
        <v>108</v>
      </c>
      <c r="E3" s="21" t="s">
        <v>109</v>
      </c>
      <c r="F3" s="21" t="s">
        <v>110</v>
      </c>
    </row>
    <row r="4" ht="24" customHeight="1" spans="1:6" x14ac:dyDescent="0.25">
      <c r="A4" s="19" t="s">
        <v>217</v>
      </c>
      <c r="B4" s="19"/>
      <c r="C4" s="19"/>
      <c r="D4" s="19"/>
      <c r="E4" s="19"/>
      <c r="F4" s="19"/>
    </row>
    <row r="5" spans="1:6" x14ac:dyDescent="0.25">
      <c r="A5" s="11" t="s">
        <v>119</v>
      </c>
      <c r="B5" s="25">
        <v>144000</v>
      </c>
      <c r="C5" s="25">
        <v>222480</v>
      </c>
      <c r="D5" s="25">
        <v>280078</v>
      </c>
      <c r="E5" s="25">
        <v>327818</v>
      </c>
      <c r="F5" s="25">
        <v>337653</v>
      </c>
    </row>
    <row r="6" spans="1:6" x14ac:dyDescent="0.25">
      <c r="A6" s="11" t="s">
        <v>123</v>
      </c>
      <c r="B6" s="25">
        <v>3000</v>
      </c>
      <c r="C6" s="25">
        <v>4635</v>
      </c>
      <c r="D6" s="25">
        <v>5835</v>
      </c>
      <c r="E6" s="25">
        <v>6830</v>
      </c>
      <c r="F6" s="25">
        <v>7034</v>
      </c>
    </row>
    <row r="7" spans="1:6" x14ac:dyDescent="0.25">
      <c r="A7" s="10" t="s">
        <v>218</v>
      </c>
      <c r="B7" s="32">
        <f>SUM(B5,B6)</f>
        <v>147000</v>
      </c>
      <c r="C7" s="32">
        <f>SUM(C5,C6)</f>
        <v>227115</v>
      </c>
      <c r="D7" s="32">
        <f>SUM(D5,D6)</f>
        <v>285913</v>
      </c>
      <c r="E7" s="32">
        <f>SUM(E5,E6)</f>
        <v>334648</v>
      </c>
      <c r="F7" s="32">
        <f>SUM(F5,F6)</f>
        <v>344687</v>
      </c>
    </row>
    <row r="8" ht="24" customHeight="1" spans="1:6" x14ac:dyDescent="0.25">
      <c r="A8" s="19" t="s">
        <v>219</v>
      </c>
      <c r="B8" s="19"/>
      <c r="C8" s="19"/>
      <c r="D8" s="19"/>
      <c r="E8" s="19"/>
      <c r="F8" s="19"/>
    </row>
    <row r="9" spans="1:6" x14ac:dyDescent="0.25">
      <c r="A9" s="11" t="s">
        <v>129</v>
      </c>
      <c r="B9" s="25">
        <v>-10</v>
      </c>
      <c r="C9" s="25">
        <v>-10</v>
      </c>
      <c r="D9" s="25">
        <v>-11</v>
      </c>
      <c r="E9" s="25">
        <v>-11</v>
      </c>
      <c r="F9" s="25">
        <v>-11</v>
      </c>
    </row>
    <row r="10" spans="1:6" x14ac:dyDescent="0.25">
      <c r="A10" s="10" t="s">
        <v>220</v>
      </c>
      <c r="B10" s="32">
        <f>SUM(B9)</f>
        <v>-10</v>
      </c>
      <c r="C10" s="32">
        <f>SUM(C9)</f>
        <v>-10</v>
      </c>
      <c r="D10" s="32">
        <f>SUM(D9)</f>
        <v>-11</v>
      </c>
      <c r="E10" s="32">
        <f>SUM(E9)</f>
        <v>-11</v>
      </c>
      <c r="F10" s="32">
        <f>SUM(F9)</f>
        <v>-11</v>
      </c>
    </row>
    <row r="11" ht="24" customHeight="1" spans="1:6" x14ac:dyDescent="0.25">
      <c r="A11" s="19" t="s">
        <v>221</v>
      </c>
      <c r="B11" s="19"/>
      <c r="C11" s="19"/>
      <c r="D11" s="19"/>
      <c r="E11" s="19"/>
      <c r="F11" s="19"/>
    </row>
    <row r="12" spans="1:6" x14ac:dyDescent="0.25">
      <c r="A12" s="11" t="s">
        <v>124</v>
      </c>
      <c r="B12" s="25">
        <v>84000</v>
      </c>
      <c r="C12" s="25">
        <v>129780</v>
      </c>
      <c r="D12" s="25">
        <v>163379</v>
      </c>
      <c r="E12" s="25">
        <v>191227</v>
      </c>
      <c r="F12" s="25">
        <v>196964</v>
      </c>
    </row>
    <row r="13" spans="1:6" x14ac:dyDescent="0.25">
      <c r="A13" s="10" t="s">
        <v>222</v>
      </c>
      <c r="B13" s="32">
        <f>SUM(B12)</f>
        <v>84000</v>
      </c>
      <c r="C13" s="32">
        <f>SUM(C12)</f>
        <v>129780</v>
      </c>
      <c r="D13" s="32">
        <f>SUM(D12)</f>
        <v>163379</v>
      </c>
      <c r="E13" s="32">
        <f>SUM(E12)</f>
        <v>191227</v>
      </c>
      <c r="F13" s="32">
        <f>SUM(F12)</f>
        <v>196964</v>
      </c>
    </row>
    <row r="14" ht="24" customHeight="1" spans="1:6" x14ac:dyDescent="0.25">
      <c r="A14" s="19" t="s">
        <v>223</v>
      </c>
      <c r="B14" s="19"/>
      <c r="C14" s="19"/>
      <c r="D14" s="19"/>
      <c r="E14" s="19"/>
      <c r="F14" s="19"/>
    </row>
    <row r="15" spans="1:6" x14ac:dyDescent="0.25">
      <c r="A15" s="11" t="s">
        <v>126</v>
      </c>
      <c r="B15" s="23">
        <v>5000</v>
      </c>
      <c r="C15" s="25">
        <v>5150</v>
      </c>
      <c r="D15" s="25">
        <v>5305</v>
      </c>
      <c r="E15" s="25">
        <v>5464</v>
      </c>
      <c r="F15" s="25">
        <v>5628</v>
      </c>
    </row>
    <row r="16" spans="1:6" x14ac:dyDescent="0.25">
      <c r="A16" s="10" t="s">
        <v>224</v>
      </c>
      <c r="B16" s="32">
        <f>SUM(B15)</f>
        <v>5000</v>
      </c>
      <c r="C16" s="32">
        <f>SUM(C15)</f>
        <v>5150</v>
      </c>
      <c r="D16" s="32">
        <f>SUM(D15)</f>
        <v>5305</v>
      </c>
      <c r="E16" s="32">
        <f>SUM(E15)</f>
        <v>5464</v>
      </c>
      <c r="F16" s="32">
        <f>SUM(F15)</f>
        <v>5628</v>
      </c>
    </row>
    <row r="18" ht="24" customHeight="1" spans="1:6" x14ac:dyDescent="0.25">
      <c r="A18" s="19" t="s">
        <v>225</v>
      </c>
      <c r="B18" s="33">
        <f>SUM(B7,B10,B13,B16)</f>
        <v>221600</v>
      </c>
      <c r="C18" s="33">
        <f>SUM(C7,C10,C13,C16)</f>
        <v>339130</v>
      </c>
      <c r="D18" s="33">
        <f>SUM(D7,D10,D13,D16)</f>
        <v>424882</v>
      </c>
      <c r="E18" s="33">
        <f>SUM(E7,E10,E13,E16)</f>
        <v>495517</v>
      </c>
      <c r="F18" s="33">
        <f>SUM(F7,F10,F13,F16)</f>
        <v>509276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FormatPr defaultRowHeight="15" outlineLevelRow="0" outlineLevelCol="0" x14ac:dyDescent="55"/>
  <cols>
    <col min="1" max="1" width="28" customWidth="1"/>
    <col min="2" max="2" width="16" customWidth="1"/>
    <col min="3" max="3" width="10" customWidth="1"/>
    <col min="4" max="4" width="14" customWidth="1"/>
    <col min="5" max="6" width="12" customWidth="1"/>
    <col min="7" max="7" width="14" customWidth="1"/>
    <col min="8" max="8" width="12" customWidth="1"/>
  </cols>
  <sheetData>
    <row r="1" spans="1:8" x14ac:dyDescent="0.25">
      <c r="A1" s="15" t="s">
        <v>61</v>
      </c>
      <c r="B1" s="15"/>
      <c r="C1" s="15"/>
      <c r="D1" s="15"/>
      <c r="E1" s="15"/>
      <c r="F1" s="15"/>
      <c r="G1" s="15"/>
      <c r="H1" s="15"/>
    </row>
    <row r="3" ht="28" customHeight="1" spans="1:8" x14ac:dyDescent="0.25">
      <c r="A3" s="21" t="s">
        <v>144</v>
      </c>
      <c r="B3" s="21" t="s">
        <v>114</v>
      </c>
      <c r="C3" s="21" t="s">
        <v>146</v>
      </c>
      <c r="D3" s="21" t="s">
        <v>226</v>
      </c>
      <c r="E3" s="21" t="s">
        <v>148</v>
      </c>
      <c r="F3" s="21" t="s">
        <v>149</v>
      </c>
      <c r="G3" s="21" t="s">
        <v>227</v>
      </c>
      <c r="H3" s="21" t="s">
        <v>228</v>
      </c>
    </row>
    <row r="4" spans="1:8" x14ac:dyDescent="0.25">
      <c r="A4" s="11" t="s">
        <v>150</v>
      </c>
      <c r="B4" s="11" t="s">
        <v>151</v>
      </c>
      <c r="C4" s="28">
        <v>1</v>
      </c>
      <c r="D4" s="23">
        <v>55000</v>
      </c>
      <c r="E4" s="24">
        <v>0.2</v>
      </c>
      <c r="F4" s="24">
        <v>0.0765</v>
      </c>
      <c r="G4" s="34">
        <v>70208</v>
      </c>
      <c r="H4" s="11" t="s">
        <v>122</v>
      </c>
    </row>
    <row r="5" spans="1:8" x14ac:dyDescent="0.25">
      <c r="A5" s="11" t="s">
        <v>153</v>
      </c>
      <c r="B5" s="11" t="s">
        <v>154</v>
      </c>
      <c r="C5" s="28">
        <v>1</v>
      </c>
      <c r="D5" s="23">
        <v>45000</v>
      </c>
      <c r="E5" s="24">
        <v>0.2</v>
      </c>
      <c r="F5" s="24">
        <v>0.0765</v>
      </c>
      <c r="G5" s="34">
        <v>57443</v>
      </c>
      <c r="H5" s="11" t="s">
        <v>122</v>
      </c>
    </row>
    <row r="6" spans="1:8" x14ac:dyDescent="0.25">
      <c r="A6" s="11" t="s">
        <v>155</v>
      </c>
      <c r="B6" s="11" t="s">
        <v>154</v>
      </c>
      <c r="C6" s="28">
        <v>0.5</v>
      </c>
      <c r="D6" s="23">
        <v>28000</v>
      </c>
      <c r="E6" s="24">
        <v>0</v>
      </c>
      <c r="F6" s="24">
        <v>0.0765</v>
      </c>
      <c r="G6" s="34">
        <v>15071</v>
      </c>
      <c r="H6" s="11" t="s">
        <v>122</v>
      </c>
    </row>
    <row r="8" ht="24" customHeight="1" spans="1:6" x14ac:dyDescent="0.25">
      <c r="A8" s="19" t="s">
        <v>229</v>
      </c>
      <c r="B8" s="19"/>
      <c r="C8" s="19"/>
      <c r="D8" s="19"/>
      <c r="E8" s="19"/>
      <c r="F8" s="19"/>
    </row>
    <row r="9" ht="28" customHeight="1" spans="1:6" x14ac:dyDescent="0.25">
      <c r="A9" s="21" t="s">
        <v>7</v>
      </c>
      <c r="B9" s="21" t="s">
        <v>106</v>
      </c>
      <c r="C9" s="21" t="s">
        <v>107</v>
      </c>
      <c r="D9" s="21" t="s">
        <v>108</v>
      </c>
      <c r="E9" s="21" t="s">
        <v>109</v>
      </c>
      <c r="F9" s="21" t="s">
        <v>110</v>
      </c>
    </row>
    <row r="10" spans="1:6" x14ac:dyDescent="0.25">
      <c r="A10" s="10" t="s">
        <v>230</v>
      </c>
      <c r="B10" s="33">
        <v>118934</v>
      </c>
      <c r="C10" s="33">
        <v>147003</v>
      </c>
      <c r="D10" s="33">
        <v>151413</v>
      </c>
      <c r="E10" s="33">
        <v>155955</v>
      </c>
      <c r="F10" s="33">
        <v>160634</v>
      </c>
    </row>
    <row r="11" spans="1:6" x14ac:dyDescent="0.25">
      <c r="A11" s="11" t="s">
        <v>231</v>
      </c>
      <c r="B11" s="26">
        <v>0.5367065282791817</v>
      </c>
      <c r="C11" s="26">
        <v>0.43347041172111334</v>
      </c>
      <c r="D11" s="26">
        <v>0.35636395851265434</v>
      </c>
      <c r="E11" s="26">
        <v>0.314732109434181</v>
      </c>
      <c r="F11" s="26">
        <v>0.31541616487727187</v>
      </c>
    </row>
    <row r="12" spans="1:6" x14ac:dyDescent="0.25">
      <c r="A12" s="11" t="s">
        <v>232</v>
      </c>
      <c r="B12" s="35">
        <v>4.8</v>
      </c>
      <c r="C12" s="35">
        <v>7.2</v>
      </c>
      <c r="D12" s="35">
        <v>8.8</v>
      </c>
      <c r="E12" s="35">
        <v>10</v>
      </c>
      <c r="F12" s="35">
        <v>10</v>
      </c>
    </row>
  </sheetData>
  <mergeCells count="1">
    <mergeCell ref="A1:H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9"/>
  <sheetFormatPr defaultRowHeight="15" outlineLevelRow="0" outlineLevelCol="0" x14ac:dyDescent="55"/>
  <cols>
    <col min="1" max="1" width="32" customWidth="1"/>
    <col min="2" max="6" width="16" customWidth="1"/>
  </cols>
  <sheetData>
    <row r="1" spans="1:6" x14ac:dyDescent="0.25">
      <c r="A1" s="15" t="s">
        <v>233</v>
      </c>
      <c r="B1" s="15"/>
      <c r="C1" s="15"/>
      <c r="D1" s="15"/>
      <c r="E1" s="15"/>
      <c r="F1" s="15"/>
    </row>
    <row r="3" ht="28" customHeight="1" spans="1:6" x14ac:dyDescent="0.25">
      <c r="A3" s="21" t="s">
        <v>7</v>
      </c>
      <c r="B3" s="21" t="s">
        <v>106</v>
      </c>
      <c r="C3" s="21" t="s">
        <v>107</v>
      </c>
      <c r="D3" s="21" t="s">
        <v>108</v>
      </c>
      <c r="E3" s="21" t="s">
        <v>109</v>
      </c>
      <c r="F3" s="21" t="s">
        <v>110</v>
      </c>
    </row>
    <row r="4" ht="24" customHeight="1" spans="1:6" x14ac:dyDescent="0.25">
      <c r="A4" s="19" t="s">
        <v>164</v>
      </c>
      <c r="B4" s="19"/>
      <c r="C4" s="19"/>
      <c r="D4" s="19"/>
      <c r="E4" s="19"/>
      <c r="F4" s="19"/>
    </row>
    <row r="5" spans="1:6" x14ac:dyDescent="0.25">
      <c r="A5" s="11" t="s">
        <v>234</v>
      </c>
      <c r="B5" s="25">
        <v>6000</v>
      </c>
      <c r="C5" s="25">
        <v>9270</v>
      </c>
      <c r="D5" s="25">
        <v>11670</v>
      </c>
      <c r="E5" s="25">
        <v>13659</v>
      </c>
      <c r="F5" s="25">
        <v>14069</v>
      </c>
    </row>
    <row r="6" spans="1:6" x14ac:dyDescent="0.25">
      <c r="A6" s="10" t="s">
        <v>235</v>
      </c>
      <c r="B6" s="32">
        <f>SUM(B5:B5)</f>
        <v>6000</v>
      </c>
      <c r="C6" s="32">
        <f>SUM(C5:C5)</f>
        <v>9270</v>
      </c>
      <c r="D6" s="32">
        <f>SUM(D5:D5)</f>
        <v>11670</v>
      </c>
      <c r="E6" s="32">
        <f>SUM(E5:E5)</f>
        <v>13659</v>
      </c>
      <c r="F6" s="32">
        <f>SUM(F5:F5)</f>
        <v>14069</v>
      </c>
    </row>
    <row r="7" ht="24" customHeight="1" spans="1:6" x14ac:dyDescent="0.25">
      <c r="A7" s="19" t="s">
        <v>165</v>
      </c>
      <c r="B7" s="19"/>
      <c r="C7" s="19"/>
      <c r="D7" s="19"/>
      <c r="E7" s="19"/>
      <c r="F7" s="19"/>
    </row>
    <row r="8" spans="1:6" x14ac:dyDescent="0.25">
      <c r="A8" s="11" t="s">
        <v>236</v>
      </c>
      <c r="B8" s="25">
        <v>3600</v>
      </c>
      <c r="C8" s="25">
        <v>5562</v>
      </c>
      <c r="D8" s="25">
        <v>7002</v>
      </c>
      <c r="E8" s="25">
        <v>8195</v>
      </c>
      <c r="F8" s="25">
        <v>8441</v>
      </c>
    </row>
    <row r="9" spans="1:6" x14ac:dyDescent="0.25">
      <c r="A9" s="10" t="s">
        <v>237</v>
      </c>
      <c r="B9" s="32">
        <f>SUM(B8:B8)</f>
        <v>3600</v>
      </c>
      <c r="C9" s="32">
        <f>SUM(C8:C8)</f>
        <v>5562</v>
      </c>
      <c r="D9" s="32">
        <f>SUM(D8:D8)</f>
        <v>7002</v>
      </c>
      <c r="E9" s="32">
        <f>SUM(E8:E8)</f>
        <v>8195</v>
      </c>
      <c r="F9" s="32">
        <f>SUM(F8:F8)</f>
        <v>8441</v>
      </c>
    </row>
    <row r="10" ht="24" customHeight="1" spans="1:6" x14ac:dyDescent="0.25">
      <c r="A10" s="19" t="s">
        <v>159</v>
      </c>
      <c r="B10" s="19"/>
      <c r="C10" s="19"/>
      <c r="D10" s="19"/>
      <c r="E10" s="19"/>
      <c r="F10" s="19"/>
    </row>
    <row r="11" spans="1:6" x14ac:dyDescent="0.25">
      <c r="A11" s="11" t="s">
        <v>238</v>
      </c>
      <c r="B11" s="25">
        <v>30000</v>
      </c>
      <c r="C11" s="25">
        <v>30900</v>
      </c>
      <c r="D11" s="25">
        <v>31827</v>
      </c>
      <c r="E11" s="25">
        <v>32782</v>
      </c>
      <c r="F11" s="25">
        <v>33765</v>
      </c>
    </row>
    <row r="12" spans="1:6" x14ac:dyDescent="0.25">
      <c r="A12" s="11" t="s">
        <v>239</v>
      </c>
      <c r="B12" s="25">
        <v>3600</v>
      </c>
      <c r="C12" s="25">
        <v>3708</v>
      </c>
      <c r="D12" s="25">
        <v>3819</v>
      </c>
      <c r="E12" s="25">
        <v>3934</v>
      </c>
      <c r="F12" s="25">
        <v>4052</v>
      </c>
    </row>
    <row r="13" spans="1:6" x14ac:dyDescent="0.25">
      <c r="A13" s="11" t="s">
        <v>240</v>
      </c>
      <c r="B13" s="25">
        <v>2400</v>
      </c>
      <c r="C13" s="25">
        <v>2472</v>
      </c>
      <c r="D13" s="25">
        <v>2546</v>
      </c>
      <c r="E13" s="25">
        <v>2623</v>
      </c>
      <c r="F13" s="25">
        <v>2701</v>
      </c>
    </row>
    <row r="14" spans="1:6" x14ac:dyDescent="0.25">
      <c r="A14" s="10" t="s">
        <v>241</v>
      </c>
      <c r="B14" s="32">
        <f>SUM(B11:B13)</f>
        <v>36000</v>
      </c>
      <c r="C14" s="32">
        <f>SUM(C11:C13)</f>
        <v>37080</v>
      </c>
      <c r="D14" s="32">
        <f>SUM(D11:D13)</f>
        <v>38192</v>
      </c>
      <c r="E14" s="32">
        <f>SUM(E11:E13)</f>
        <v>39338</v>
      </c>
      <c r="F14" s="32">
        <f>SUM(F11:F13)</f>
        <v>40518</v>
      </c>
    </row>
    <row r="15" ht="24" customHeight="1" spans="1:6" x14ac:dyDescent="0.25">
      <c r="A15" s="19" t="s">
        <v>167</v>
      </c>
      <c r="B15" s="19"/>
      <c r="C15" s="19"/>
      <c r="D15" s="19"/>
      <c r="E15" s="19"/>
      <c r="F15" s="19"/>
    </row>
    <row r="16" spans="1:6" x14ac:dyDescent="0.25">
      <c r="A16" s="11" t="s">
        <v>242</v>
      </c>
      <c r="B16" s="25">
        <v>3000</v>
      </c>
      <c r="C16" s="25">
        <v>3090</v>
      </c>
      <c r="D16" s="25">
        <v>3183</v>
      </c>
      <c r="E16" s="25">
        <v>3278</v>
      </c>
      <c r="F16" s="25">
        <v>3377</v>
      </c>
    </row>
    <row r="17" spans="1:6" x14ac:dyDescent="0.25">
      <c r="A17" s="10" t="s">
        <v>243</v>
      </c>
      <c r="B17" s="32">
        <f>SUM(B16:B16)</f>
        <v>3000</v>
      </c>
      <c r="C17" s="32">
        <f>SUM(C16:C16)</f>
        <v>3090</v>
      </c>
      <c r="D17" s="32">
        <f>SUM(D16:D16)</f>
        <v>3183</v>
      </c>
      <c r="E17" s="32">
        <f>SUM(E16:E16)</f>
        <v>3278</v>
      </c>
      <c r="F17" s="32">
        <f>SUM(F16:F16)</f>
        <v>3377</v>
      </c>
    </row>
    <row r="19" ht="24" customHeight="1" spans="1:6" x14ac:dyDescent="0.25">
      <c r="A19" s="19" t="s">
        <v>244</v>
      </c>
      <c r="B19" s="33">
        <f>B6+B9+B14+B17</f>
        <v>48600</v>
      </c>
      <c r="C19" s="33">
        <f>C6+C9+C14+C17</f>
        <v>55002</v>
      </c>
      <c r="D19" s="33">
        <f>D6+D9+D14+D17</f>
        <v>60047</v>
      </c>
      <c r="E19" s="33">
        <f>E6+E9+E14+E17</f>
        <v>64471</v>
      </c>
      <c r="F19" s="33">
        <f>F6+F9+F14+F17</f>
        <v>66405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"/>
  <sheetFormatPr defaultRowHeight="15" outlineLevelRow="0" outlineLevelCol="0" x14ac:dyDescent="55"/>
  <cols>
    <col min="1" max="1" width="28" customWidth="1"/>
    <col min="2" max="4" width="14" customWidth="1"/>
    <col min="5" max="6" width="16" customWidth="1"/>
  </cols>
  <sheetData>
    <row r="1" spans="1:6" x14ac:dyDescent="0.25">
      <c r="A1" s="15" t="s">
        <v>245</v>
      </c>
      <c r="B1" s="15"/>
      <c r="C1" s="15"/>
      <c r="D1" s="15"/>
      <c r="E1" s="15"/>
      <c r="F1" s="15"/>
    </row>
    <row r="3" ht="28" customHeight="1" spans="1:6" x14ac:dyDescent="0.25">
      <c r="A3" s="21" t="s">
        <v>169</v>
      </c>
      <c r="B3" s="21" t="s">
        <v>145</v>
      </c>
      <c r="C3" s="21" t="s">
        <v>170</v>
      </c>
      <c r="D3" s="21" t="s">
        <v>147</v>
      </c>
      <c r="E3" s="21" t="s">
        <v>171</v>
      </c>
      <c r="F3" s="21" t="s">
        <v>246</v>
      </c>
    </row>
    <row r="4" spans="1:6" x14ac:dyDescent="0.25">
      <c r="A4" s="11" t="s">
        <v>172</v>
      </c>
      <c r="B4" s="11" t="s">
        <v>173</v>
      </c>
      <c r="C4" s="23">
        <v>30000</v>
      </c>
      <c r="D4" s="24">
        <v>0.06</v>
      </c>
      <c r="E4" s="22">
        <v>5</v>
      </c>
      <c r="F4" s="34">
        <v>6960</v>
      </c>
    </row>
    <row r="6" spans="1:6" x14ac:dyDescent="0.25">
      <c r="A6" s="10" t="s">
        <v>247</v>
      </c>
      <c r="F6" s="33">
        <v>6960</v>
      </c>
    </row>
    <row r="7" spans="1:6" x14ac:dyDescent="0.25">
      <c r="A7" s="10" t="s">
        <v>248</v>
      </c>
      <c r="F7" s="32">
        <v>30000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5" t="s">
        <v>249</v>
      </c>
      <c r="B1" s="15"/>
      <c r="C1" s="15"/>
      <c r="D1" s="15"/>
      <c r="E1" s="15"/>
      <c r="F1" s="15"/>
    </row>
    <row r="3" ht="28" customHeight="1" spans="1:6" x14ac:dyDescent="0.25">
      <c r="A3" s="21" t="s">
        <v>7</v>
      </c>
      <c r="B3" s="21" t="s">
        <v>106</v>
      </c>
      <c r="C3" s="21" t="s">
        <v>107</v>
      </c>
      <c r="D3" s="21" t="s">
        <v>108</v>
      </c>
      <c r="E3" s="21" t="s">
        <v>109</v>
      </c>
      <c r="F3" s="21" t="s">
        <v>110</v>
      </c>
    </row>
    <row r="4" spans="1:6" x14ac:dyDescent="0.25">
      <c r="A4" s="10" t="s">
        <v>111</v>
      </c>
      <c r="B4" s="36">
        <v>12</v>
      </c>
      <c r="C4" s="36">
        <v>18</v>
      </c>
      <c r="D4" s="36">
        <v>22</v>
      </c>
      <c r="E4" s="36">
        <v>25</v>
      </c>
      <c r="F4" s="36">
        <v>25</v>
      </c>
    </row>
    <row r="6" ht="24" customHeight="1" spans="1:6" x14ac:dyDescent="0.25">
      <c r="A6" s="19" t="s">
        <v>250</v>
      </c>
      <c r="B6" s="19"/>
      <c r="C6" s="19"/>
      <c r="D6" s="19"/>
      <c r="E6" s="19"/>
      <c r="F6" s="19"/>
    </row>
    <row r="7" spans="1:6" x14ac:dyDescent="0.25">
      <c r="A7" s="11" t="s">
        <v>119</v>
      </c>
      <c r="B7" s="25">
        <v>144000</v>
      </c>
      <c r="C7" s="25">
        <v>222480</v>
      </c>
      <c r="D7" s="25">
        <v>280078</v>
      </c>
      <c r="E7" s="25">
        <v>327818</v>
      </c>
      <c r="F7" s="25">
        <v>337653</v>
      </c>
    </row>
    <row r="8" spans="1:6" x14ac:dyDescent="0.25">
      <c r="A8" s="11" t="s">
        <v>123</v>
      </c>
      <c r="B8" s="25">
        <v>3000</v>
      </c>
      <c r="C8" s="25">
        <v>4635</v>
      </c>
      <c r="D8" s="25">
        <v>5835</v>
      </c>
      <c r="E8" s="25">
        <v>6830</v>
      </c>
      <c r="F8" s="25">
        <v>7034</v>
      </c>
    </row>
    <row r="9" spans="1:6" x14ac:dyDescent="0.25">
      <c r="A9" s="11" t="s">
        <v>124</v>
      </c>
      <c r="B9" s="25">
        <v>84000</v>
      </c>
      <c r="C9" s="25">
        <v>129780</v>
      </c>
      <c r="D9" s="25">
        <v>163379</v>
      </c>
      <c r="E9" s="25">
        <v>191227</v>
      </c>
      <c r="F9" s="25">
        <v>196964</v>
      </c>
    </row>
    <row r="10" spans="1:6" x14ac:dyDescent="0.25">
      <c r="A10" s="11" t="s">
        <v>126</v>
      </c>
      <c r="B10" s="25">
        <v>5000</v>
      </c>
      <c r="C10" s="25">
        <v>5150</v>
      </c>
      <c r="D10" s="25">
        <v>5305</v>
      </c>
      <c r="E10" s="25">
        <v>5464</v>
      </c>
      <c r="F10" s="25">
        <v>5628</v>
      </c>
    </row>
    <row r="11" spans="1:6" x14ac:dyDescent="0.25">
      <c r="A11" s="11" t="s">
        <v>129</v>
      </c>
      <c r="B11" s="25">
        <v>-10</v>
      </c>
      <c r="C11" s="25">
        <v>-10</v>
      </c>
      <c r="D11" s="25">
        <v>-11</v>
      </c>
      <c r="E11" s="25">
        <v>-11</v>
      </c>
      <c r="F11" s="25">
        <v>-11</v>
      </c>
    </row>
    <row r="12" ht="24" customHeight="1" spans="1:6" x14ac:dyDescent="0.25">
      <c r="A12" s="19" t="s">
        <v>251</v>
      </c>
      <c r="B12" s="33">
        <f>SUM(B7:B11)</f>
        <v>221600</v>
      </c>
      <c r="C12" s="33">
        <f>SUM(C7:C11)</f>
        <v>339130</v>
      </c>
      <c r="D12" s="33">
        <f>SUM(D7:D11)</f>
        <v>424882</v>
      </c>
      <c r="E12" s="33">
        <f>SUM(E7:E11)</f>
        <v>495517</v>
      </c>
      <c r="F12" s="33">
        <f>SUM(F7:F11)</f>
        <v>509276</v>
      </c>
    </row>
    <row r="14" spans="1:6" x14ac:dyDescent="0.25">
      <c r="A14" s="11" t="s">
        <v>252</v>
      </c>
      <c r="B14" s="25">
        <v>18467</v>
      </c>
      <c r="C14" s="25">
        <v>18841</v>
      </c>
      <c r="D14" s="25">
        <v>19313</v>
      </c>
      <c r="E14" s="25">
        <v>19821</v>
      </c>
      <c r="F14" s="25">
        <v>20371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FormatPr defaultRowHeight="15" outlineLevelRow="0" outlineLevelCol="0" x14ac:dyDescent="55"/>
  <cols>
    <col min="1" max="1" width="30" customWidth="1"/>
    <col min="2" max="6" width="16" customWidth="1"/>
  </cols>
  <sheetData>
    <row r="1" spans="1:6" x14ac:dyDescent="0.25">
      <c r="A1" s="15" t="s">
        <v>253</v>
      </c>
      <c r="B1" s="15"/>
      <c r="C1" s="15"/>
      <c r="D1" s="15"/>
      <c r="E1" s="15"/>
      <c r="F1" s="15"/>
    </row>
    <row r="3" ht="28" customHeight="1" spans="1:6" x14ac:dyDescent="0.25">
      <c r="A3" s="21" t="s">
        <v>7</v>
      </c>
      <c r="B3" s="21" t="s">
        <v>106</v>
      </c>
      <c r="C3" s="21" t="s">
        <v>107</v>
      </c>
      <c r="D3" s="21" t="s">
        <v>108</v>
      </c>
      <c r="E3" s="21" t="s">
        <v>109</v>
      </c>
      <c r="F3" s="21" t="s">
        <v>110</v>
      </c>
    </row>
    <row r="4" ht="24" customHeight="1" spans="1:6" x14ac:dyDescent="0.25">
      <c r="A4" s="19" t="s">
        <v>154</v>
      </c>
      <c r="B4" s="19"/>
      <c r="C4" s="19"/>
      <c r="D4" s="19"/>
      <c r="E4" s="19"/>
      <c r="F4" s="19"/>
    </row>
    <row r="5" spans="1:6" x14ac:dyDescent="0.25">
      <c r="A5" s="11" t="s">
        <v>254</v>
      </c>
      <c r="B5" s="25">
        <v>47869</v>
      </c>
      <c r="C5" s="25">
        <v>59166</v>
      </c>
      <c r="D5" s="25">
        <v>60941</v>
      </c>
      <c r="E5" s="25">
        <v>62769</v>
      </c>
      <c r="F5" s="25">
        <v>64652</v>
      </c>
    </row>
    <row r="6" spans="1:6" x14ac:dyDescent="0.25">
      <c r="A6" s="11" t="s">
        <v>255</v>
      </c>
      <c r="B6" s="25">
        <v>12559</v>
      </c>
      <c r="C6" s="25">
        <v>15523</v>
      </c>
      <c r="D6" s="25">
        <v>15989</v>
      </c>
      <c r="E6" s="25">
        <v>16468</v>
      </c>
      <c r="F6" s="25">
        <v>16963</v>
      </c>
    </row>
    <row r="7" spans="1:6" x14ac:dyDescent="0.25">
      <c r="A7" s="10" t="s">
        <v>256</v>
      </c>
      <c r="B7" s="32">
        <f>SUM(B5:B6)</f>
        <v>60428</v>
      </c>
      <c r="C7" s="32">
        <f>SUM(C5:C6)</f>
        <v>74689</v>
      </c>
      <c r="D7" s="32">
        <f>SUM(D5:D6)</f>
        <v>76930</v>
      </c>
      <c r="E7" s="32">
        <f>SUM(E5:E6)</f>
        <v>79237</v>
      </c>
      <c r="F7" s="32">
        <f>SUM(F5:F6)</f>
        <v>81615</v>
      </c>
    </row>
    <row r="8" ht="24" customHeight="1" spans="1:6" x14ac:dyDescent="0.25">
      <c r="A8" s="19" t="s">
        <v>151</v>
      </c>
      <c r="B8" s="19"/>
      <c r="C8" s="19"/>
      <c r="D8" s="19"/>
      <c r="E8" s="19"/>
      <c r="F8" s="19"/>
    </row>
    <row r="9" spans="1:6" x14ac:dyDescent="0.25">
      <c r="A9" s="11" t="s">
        <v>257</v>
      </c>
      <c r="B9" s="25">
        <v>58506</v>
      </c>
      <c r="C9" s="25">
        <v>72314</v>
      </c>
      <c r="D9" s="25">
        <v>74483</v>
      </c>
      <c r="E9" s="25">
        <v>76718</v>
      </c>
      <c r="F9" s="25">
        <v>79019</v>
      </c>
    </row>
    <row r="10" spans="1:6" x14ac:dyDescent="0.25">
      <c r="A10" s="10" t="s">
        <v>258</v>
      </c>
      <c r="B10" s="32">
        <f>SUM(B9:B9)</f>
        <v>58506</v>
      </c>
      <c r="C10" s="32">
        <f>SUM(C9:C9)</f>
        <v>72314</v>
      </c>
      <c r="D10" s="32">
        <f>SUM(D9:D9)</f>
        <v>74483</v>
      </c>
      <c r="E10" s="32">
        <f>SUM(E9:E9)</f>
        <v>76718</v>
      </c>
      <c r="F10" s="32">
        <f>SUM(F9:F9)</f>
        <v>79019</v>
      </c>
    </row>
    <row r="12" ht="24" customHeight="1" spans="1:6" x14ac:dyDescent="0.25">
      <c r="A12" s="19" t="s">
        <v>259</v>
      </c>
      <c r="B12" s="33">
        <f>B7+B10</f>
        <v>118934</v>
      </c>
      <c r="C12" s="33">
        <f>C7+C10</f>
        <v>147003</v>
      </c>
      <c r="D12" s="33">
        <f>D7+D10</f>
        <v>151413</v>
      </c>
      <c r="E12" s="33">
        <f>E7+E10</f>
        <v>155955</v>
      </c>
      <c r="F12" s="33">
        <f>F7+F10</f>
        <v>160634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3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5" t="s">
        <v>260</v>
      </c>
      <c r="B1" s="15"/>
      <c r="C1" s="15"/>
      <c r="D1" s="15"/>
      <c r="E1" s="15"/>
      <c r="F1" s="15"/>
    </row>
    <row r="3" ht="28" customHeight="1" spans="1:6" x14ac:dyDescent="0.25">
      <c r="A3" s="21" t="s">
        <v>7</v>
      </c>
      <c r="B3" s="21" t="s">
        <v>106</v>
      </c>
      <c r="C3" s="21" t="s">
        <v>107</v>
      </c>
      <c r="D3" s="21" t="s">
        <v>108</v>
      </c>
      <c r="E3" s="21" t="s">
        <v>109</v>
      </c>
      <c r="F3" s="21" t="s">
        <v>110</v>
      </c>
    </row>
    <row r="4" ht="24" customHeight="1" spans="1:6" x14ac:dyDescent="0.25">
      <c r="A4" s="19" t="s">
        <v>261</v>
      </c>
      <c r="B4" s="19"/>
      <c r="C4" s="19"/>
      <c r="D4" s="19"/>
      <c r="E4" s="19"/>
      <c r="F4" s="19"/>
    </row>
    <row r="5" spans="1:6" x14ac:dyDescent="0.25">
      <c r="A5" s="11" t="s">
        <v>262</v>
      </c>
      <c r="B5" s="25">
        <v>120000</v>
      </c>
      <c r="C5" s="25">
        <v>222480</v>
      </c>
      <c r="D5" s="25">
        <v>280078</v>
      </c>
      <c r="E5" s="25">
        <v>327818</v>
      </c>
      <c r="F5" s="25">
        <v>337653</v>
      </c>
    </row>
    <row r="6" spans="1:6" x14ac:dyDescent="0.25">
      <c r="A6" s="11" t="s">
        <v>263</v>
      </c>
      <c r="B6" s="25">
        <v>2500</v>
      </c>
      <c r="C6" s="25">
        <v>4635</v>
      </c>
      <c r="D6" s="25">
        <v>5835</v>
      </c>
      <c r="E6" s="25">
        <v>6830</v>
      </c>
      <c r="F6" s="25">
        <v>7034</v>
      </c>
    </row>
    <row r="7" spans="1:6" x14ac:dyDescent="0.25">
      <c r="A7" s="11" t="s">
        <v>264</v>
      </c>
      <c r="B7" s="25">
        <v>70000</v>
      </c>
      <c r="C7" s="25">
        <v>129780</v>
      </c>
      <c r="D7" s="25">
        <v>163379</v>
      </c>
      <c r="E7" s="25">
        <v>191227</v>
      </c>
      <c r="F7" s="25">
        <v>196964</v>
      </c>
    </row>
    <row r="8" spans="1:6" x14ac:dyDescent="0.25">
      <c r="A8" s="11" t="s">
        <v>265</v>
      </c>
      <c r="B8" s="25">
        <v>4167</v>
      </c>
      <c r="C8" s="25">
        <v>5150</v>
      </c>
      <c r="D8" s="25">
        <v>5305</v>
      </c>
      <c r="E8" s="25">
        <v>5464</v>
      </c>
      <c r="F8" s="25">
        <v>5628</v>
      </c>
    </row>
    <row r="9" spans="1:6" x14ac:dyDescent="0.25">
      <c r="A9" s="11" t="s">
        <v>266</v>
      </c>
      <c r="B9" s="25">
        <v>-8</v>
      </c>
      <c r="C9" s="25">
        <v>-10</v>
      </c>
      <c r="D9" s="25">
        <v>-11</v>
      </c>
      <c r="E9" s="25">
        <v>-11</v>
      </c>
      <c r="F9" s="25">
        <v>-11</v>
      </c>
    </row>
    <row r="10" spans="1:6" x14ac:dyDescent="0.25">
      <c r="A10" s="10" t="s">
        <v>267</v>
      </c>
      <c r="B10" s="32">
        <f>SUM(B5:B9)</f>
        <v>184667</v>
      </c>
      <c r="C10" s="32">
        <f>SUM(C5:C9)</f>
        <v>340512</v>
      </c>
      <c r="D10" s="32">
        <f>SUM(D5:D9)</f>
        <v>427946</v>
      </c>
      <c r="E10" s="32">
        <f>SUM(E5:E9)</f>
        <v>500518</v>
      </c>
      <c r="F10" s="32">
        <f>SUM(F5:F9)</f>
        <v>516085</v>
      </c>
    </row>
    <row r="12" ht="24" customHeight="1" spans="1:6" x14ac:dyDescent="0.25">
      <c r="A12" s="19" t="s">
        <v>268</v>
      </c>
      <c r="B12" s="19"/>
      <c r="C12" s="19"/>
      <c r="D12" s="19"/>
      <c r="E12" s="19"/>
      <c r="F12" s="19"/>
    </row>
    <row r="13" spans="1:6" x14ac:dyDescent="0.25">
      <c r="A13" s="11" t="s">
        <v>269</v>
      </c>
      <c r="B13" s="25">
        <v>58506</v>
      </c>
      <c r="C13" s="25">
        <v>72314</v>
      </c>
      <c r="D13" s="25">
        <v>74483</v>
      </c>
      <c r="E13" s="25">
        <v>76718</v>
      </c>
      <c r="F13" s="25">
        <v>79019</v>
      </c>
    </row>
    <row r="14" spans="1:6" x14ac:dyDescent="0.25">
      <c r="A14" s="11" t="s">
        <v>270</v>
      </c>
      <c r="B14" s="25">
        <v>47869</v>
      </c>
      <c r="C14" s="25">
        <v>59166</v>
      </c>
      <c r="D14" s="25">
        <v>60941</v>
      </c>
      <c r="E14" s="25">
        <v>62769</v>
      </c>
      <c r="F14" s="25">
        <v>64652</v>
      </c>
    </row>
    <row r="15" spans="1:6" x14ac:dyDescent="0.25">
      <c r="A15" s="11" t="s">
        <v>271</v>
      </c>
      <c r="B15" s="25">
        <v>12559</v>
      </c>
      <c r="C15" s="25">
        <v>15523</v>
      </c>
      <c r="D15" s="25">
        <v>15989</v>
      </c>
      <c r="E15" s="25">
        <v>16468</v>
      </c>
      <c r="F15" s="25">
        <v>16963</v>
      </c>
    </row>
    <row r="16" spans="1:6" x14ac:dyDescent="0.25">
      <c r="A16" s="10" t="s">
        <v>230</v>
      </c>
      <c r="B16" s="32">
        <f>SUM(B13:B15)</f>
        <v>118934</v>
      </c>
      <c r="C16" s="32">
        <f>SUM(C13:C15)</f>
        <v>147003</v>
      </c>
      <c r="D16" s="32">
        <f>SUM(D13:D15)</f>
        <v>151413</v>
      </c>
      <c r="E16" s="32">
        <f>SUM(E13:E15)</f>
        <v>155955</v>
      </c>
      <c r="F16" s="32">
        <f>SUM(F13:F15)</f>
        <v>160634</v>
      </c>
    </row>
    <row r="18" ht="24" customHeight="1" spans="1:6" x14ac:dyDescent="0.25">
      <c r="A18" s="19" t="s">
        <v>157</v>
      </c>
      <c r="B18" s="19"/>
      <c r="C18" s="19"/>
      <c r="D18" s="19"/>
      <c r="E18" s="19"/>
      <c r="F18" s="19"/>
    </row>
    <row r="19" spans="1:1" x14ac:dyDescent="0.25">
      <c r="A19" s="37" t="s">
        <v>164</v>
      </c>
    </row>
    <row r="20" spans="1:6" x14ac:dyDescent="0.25">
      <c r="A20" s="11" t="s">
        <v>272</v>
      </c>
      <c r="B20" s="25">
        <v>5000</v>
      </c>
      <c r="C20" s="25">
        <v>9270</v>
      </c>
      <c r="D20" s="25">
        <v>11670</v>
      </c>
      <c r="E20" s="25">
        <v>13659</v>
      </c>
      <c r="F20" s="25">
        <v>14069</v>
      </c>
    </row>
    <row r="21" spans="1:1" x14ac:dyDescent="0.25">
      <c r="A21" s="37" t="s">
        <v>165</v>
      </c>
    </row>
    <row r="22" spans="1:6" x14ac:dyDescent="0.25">
      <c r="A22" s="11" t="s">
        <v>273</v>
      </c>
      <c r="B22" s="25">
        <v>3000</v>
      </c>
      <c r="C22" s="25">
        <v>5562</v>
      </c>
      <c r="D22" s="25">
        <v>7002</v>
      </c>
      <c r="E22" s="25">
        <v>8195</v>
      </c>
      <c r="F22" s="25">
        <v>8441</v>
      </c>
    </row>
    <row r="23" spans="1:1" x14ac:dyDescent="0.25">
      <c r="A23" s="37" t="s">
        <v>159</v>
      </c>
    </row>
    <row r="24" spans="1:6" x14ac:dyDescent="0.25">
      <c r="A24" s="11" t="s">
        <v>274</v>
      </c>
      <c r="B24" s="25">
        <v>25000</v>
      </c>
      <c r="C24" s="25">
        <v>30900</v>
      </c>
      <c r="D24" s="25">
        <v>31827</v>
      </c>
      <c r="E24" s="25">
        <v>32782</v>
      </c>
      <c r="F24" s="25">
        <v>33765</v>
      </c>
    </row>
    <row r="25" spans="1:6" x14ac:dyDescent="0.25">
      <c r="A25" s="11" t="s">
        <v>275</v>
      </c>
      <c r="B25" s="25">
        <v>3000</v>
      </c>
      <c r="C25" s="25">
        <v>3708</v>
      </c>
      <c r="D25" s="25">
        <v>3819</v>
      </c>
      <c r="E25" s="25">
        <v>3934</v>
      </c>
      <c r="F25" s="25">
        <v>4052</v>
      </c>
    </row>
    <row r="26" spans="1:6" x14ac:dyDescent="0.25">
      <c r="A26" s="11" t="s">
        <v>276</v>
      </c>
      <c r="B26" s="25">
        <v>2000</v>
      </c>
      <c r="C26" s="25">
        <v>2472</v>
      </c>
      <c r="D26" s="25">
        <v>2546</v>
      </c>
      <c r="E26" s="25">
        <v>2623</v>
      </c>
      <c r="F26" s="25">
        <v>2701</v>
      </c>
    </row>
    <row r="27" spans="1:6" x14ac:dyDescent="0.25">
      <c r="A27" s="10" t="s">
        <v>277</v>
      </c>
      <c r="B27" s="32">
        <f>SUM(B24:B26)</f>
        <v>30000</v>
      </c>
      <c r="C27" s="32">
        <f>SUM(C24:C26)</f>
        <v>37080</v>
      </c>
      <c r="D27" s="32">
        <f>SUM(D24:D26)</f>
        <v>38192</v>
      </c>
      <c r="E27" s="32">
        <f>SUM(E24:E26)</f>
        <v>39338</v>
      </c>
      <c r="F27" s="32">
        <f>SUM(F24:F26)</f>
        <v>40518</v>
      </c>
    </row>
    <row r="28" spans="1:1" x14ac:dyDescent="0.25">
      <c r="A28" s="37" t="s">
        <v>167</v>
      </c>
    </row>
    <row r="29" spans="1:6" x14ac:dyDescent="0.25">
      <c r="A29" s="11" t="s">
        <v>278</v>
      </c>
      <c r="B29" s="25">
        <v>2500</v>
      </c>
      <c r="C29" s="25">
        <v>3090</v>
      </c>
      <c r="D29" s="25">
        <v>3183</v>
      </c>
      <c r="E29" s="25">
        <v>3278</v>
      </c>
      <c r="F29" s="25">
        <v>3377</v>
      </c>
    </row>
    <row r="30" spans="1:6" x14ac:dyDescent="0.25">
      <c r="A30" s="10" t="s">
        <v>279</v>
      </c>
      <c r="B30" s="32">
        <f>B20+B22+B27+B29</f>
        <v>40500</v>
      </c>
      <c r="C30" s="32">
        <f>C20+C22+C27+C29</f>
        <v>55002</v>
      </c>
      <c r="D30" s="32">
        <f>D20+D22+D27+D29</f>
        <v>60047</v>
      </c>
      <c r="E30" s="32">
        <f>E20+E22+E27+E29</f>
        <v>64471</v>
      </c>
      <c r="F30" s="32">
        <f>F20+F22+F27+F29</f>
        <v>66405</v>
      </c>
    </row>
    <row r="32" ht="24" customHeight="1" spans="1:6" x14ac:dyDescent="0.25">
      <c r="A32" s="19" t="s">
        <v>280</v>
      </c>
      <c r="B32" s="19"/>
      <c r="C32" s="19"/>
      <c r="D32" s="19"/>
      <c r="E32" s="19"/>
      <c r="F32" s="19"/>
    </row>
    <row r="33" spans="1:6" x14ac:dyDescent="0.25">
      <c r="A33" s="10" t="s">
        <v>281</v>
      </c>
      <c r="B33" s="32" t="str">
        <f>SUM(B33:B32)</f>
        <v>0</v>
      </c>
      <c r="C33" s="32" t="str">
        <f>SUM(C33:C32)</f>
        <v>0</v>
      </c>
      <c r="D33" s="32" t="str">
        <f>SUM(D33:D32)</f>
        <v>0</v>
      </c>
      <c r="E33" s="32" t="str">
        <f>SUM(E33:E32)</f>
        <v>0</v>
      </c>
      <c r="F33" s="32" t="str">
        <f>SUM(F33:F32)</f>
        <v>0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5" t="s">
        <v>282</v>
      </c>
      <c r="B1" s="15"/>
      <c r="C1" s="15"/>
      <c r="D1" s="15"/>
      <c r="E1" s="15"/>
      <c r="F1" s="15"/>
    </row>
    <row r="3" ht="28" customHeight="1" spans="1:6" x14ac:dyDescent="0.25">
      <c r="A3" s="21" t="s">
        <v>7</v>
      </c>
      <c r="B3" s="21" t="s">
        <v>106</v>
      </c>
      <c r="C3" s="21" t="s">
        <v>107</v>
      </c>
      <c r="D3" s="21" t="s">
        <v>108</v>
      </c>
      <c r="E3" s="21" t="s">
        <v>109</v>
      </c>
      <c r="F3" s="21" t="s">
        <v>110</v>
      </c>
    </row>
    <row r="4" spans="1:6" x14ac:dyDescent="0.25">
      <c r="A4" s="10" t="s">
        <v>267</v>
      </c>
      <c r="B4" s="34">
        <f>'Budget Detail'!B10</f>
        <v>184667</v>
      </c>
      <c r="C4" s="34">
        <f>'Budget Detail'!C10</f>
        <v>340512</v>
      </c>
      <c r="D4" s="34">
        <f>'Budget Detail'!D10</f>
        <v>427946</v>
      </c>
      <c r="E4" s="34">
        <f>'Budget Detail'!E10</f>
        <v>500518</v>
      </c>
      <c r="F4" s="34">
        <f>'Budget Detail'!F10</f>
        <v>516085</v>
      </c>
    </row>
    <row r="5" spans="1:6" x14ac:dyDescent="0.25">
      <c r="A5" s="10" t="s">
        <v>230</v>
      </c>
      <c r="B5" s="34">
        <f>'Budget Detail'!B16</f>
        <v>118934</v>
      </c>
      <c r="C5" s="34">
        <f>'Budget Detail'!C16</f>
        <v>147003</v>
      </c>
      <c r="D5" s="34">
        <f>'Budget Detail'!D16</f>
        <v>151413</v>
      </c>
      <c r="E5" s="34">
        <f>'Budget Detail'!E16</f>
        <v>155955</v>
      </c>
      <c r="F5" s="34">
        <f>'Budget Detail'!F16</f>
        <v>160634</v>
      </c>
    </row>
    <row r="6" spans="1:6" x14ac:dyDescent="0.25">
      <c r="A6" s="10" t="s">
        <v>279</v>
      </c>
      <c r="B6" s="34">
        <f>'Budget Detail'!B30</f>
        <v>40500</v>
      </c>
      <c r="C6" s="34">
        <f>'Budget Detail'!C30</f>
        <v>55002</v>
      </c>
      <c r="D6" s="34">
        <f>'Budget Detail'!D30</f>
        <v>60047</v>
      </c>
      <c r="E6" s="34">
        <f>'Budget Detail'!E30</f>
        <v>64471</v>
      </c>
      <c r="F6" s="34">
        <f>'Budget Detail'!F30</f>
        <v>66405</v>
      </c>
    </row>
    <row r="7" spans="1:6" x14ac:dyDescent="0.25">
      <c r="A7" s="10" t="s">
        <v>283</v>
      </c>
      <c r="B7" s="34" t="str">
        <f>'Budget Detail'!B33</f>
        <v>0</v>
      </c>
      <c r="C7" s="34" t="str">
        <f>'Budget Detail'!C33</f>
        <v>0</v>
      </c>
      <c r="D7" s="34" t="str">
        <f>'Budget Detail'!D33</f>
        <v>0</v>
      </c>
      <c r="E7" s="34" t="str">
        <f>'Budget Detail'!E33</f>
        <v>0</v>
      </c>
      <c r="F7" s="34" t="str">
        <f>'Budget Detail'!F33</f>
        <v>0</v>
      </c>
    </row>
    <row r="8" spans="1:6" x14ac:dyDescent="0.25">
      <c r="A8" s="10" t="s">
        <v>284</v>
      </c>
      <c r="B8" s="32">
        <f>SUM(B5:B7)</f>
        <v>159434</v>
      </c>
      <c r="C8" s="32">
        <f>SUM(C5:C7)</f>
        <v>202005</v>
      </c>
      <c r="D8" s="32">
        <f>SUM(D5:D7)</f>
        <v>211460</v>
      </c>
      <c r="E8" s="32">
        <f>SUM(E5:E7)</f>
        <v>220426</v>
      </c>
      <c r="F8" s="32">
        <f>SUM(F5:F7)</f>
        <v>227039</v>
      </c>
    </row>
    <row r="10" ht="24" customHeight="1" spans="1:6" x14ac:dyDescent="0.25">
      <c r="A10" s="19" t="s">
        <v>285</v>
      </c>
      <c r="B10" s="19"/>
      <c r="C10" s="19"/>
      <c r="D10" s="19"/>
      <c r="E10" s="19"/>
      <c r="F10" s="19"/>
    </row>
    <row r="11" spans="1:6" x14ac:dyDescent="0.25">
      <c r="A11" s="10" t="s">
        <v>286</v>
      </c>
      <c r="B11" s="33">
        <f>B4-B8</f>
        <v>25232</v>
      </c>
      <c r="C11" s="33">
        <f>C4-C8</f>
        <v>138507</v>
      </c>
      <c r="D11" s="33">
        <f>D4-D8</f>
        <v>216486</v>
      </c>
      <c r="E11" s="33">
        <f>E4-E8</f>
        <v>280092</v>
      </c>
      <c r="F11" s="33">
        <f>F4-F8</f>
        <v>289046</v>
      </c>
    </row>
    <row r="12" spans="1:6" x14ac:dyDescent="0.25">
      <c r="A12" s="11" t="s">
        <v>287</v>
      </c>
      <c r="B12" s="26">
        <f>IF(B4=0,0,B11/B4)</f>
        <v>0.13663809</v>
      </c>
      <c r="C12" s="26">
        <f>IF(C4=0,0,C11/C4)</f>
        <v>0.40676208</v>
      </c>
      <c r="D12" s="26">
        <f>IF(D4=0,0,D11/D4)</f>
        <v>0.50587283</v>
      </c>
      <c r="E12" s="26">
        <f>IF(E4=0,0,E11/E4)</f>
        <v>0.55960384</v>
      </c>
      <c r="F12" s="26">
        <f>IF(F4=0,0,F11/F4)</f>
        <v>0.56007487</v>
      </c>
    </row>
    <row r="13" spans="1:6" x14ac:dyDescent="0.25">
      <c r="A13" s="11" t="s">
        <v>288</v>
      </c>
      <c r="B13" s="25">
        <v>25232</v>
      </c>
      <c r="C13" s="25">
        <v>163740</v>
      </c>
      <c r="D13" s="25">
        <v>380226</v>
      </c>
      <c r="E13" s="25">
        <v>660318</v>
      </c>
      <c r="F13" s="25">
        <v>949364</v>
      </c>
    </row>
    <row r="14" spans="1:6" x14ac:dyDescent="0.25">
      <c r="A14" s="11" t="s">
        <v>252</v>
      </c>
      <c r="B14" s="25">
        <v>15389</v>
      </c>
      <c r="C14" s="25">
        <v>18917</v>
      </c>
      <c r="D14" s="25">
        <v>19452</v>
      </c>
      <c r="E14" s="25">
        <v>20021</v>
      </c>
      <c r="F14" s="25">
        <v>20643</v>
      </c>
    </row>
    <row r="15" spans="1:6" x14ac:dyDescent="0.25">
      <c r="A15" s="11" t="s">
        <v>289</v>
      </c>
      <c r="B15" s="25">
        <v>13286</v>
      </c>
      <c r="C15" s="25">
        <v>11222</v>
      </c>
      <c r="D15" s="25">
        <v>9612</v>
      </c>
      <c r="E15" s="25">
        <v>8817</v>
      </c>
      <c r="F15" s="25">
        <v>9082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1"/>
  <sheetFormatPr defaultRowHeight="15" outlineLevelRow="0" outlineLevelCol="0" x14ac:dyDescent="55"/>
  <cols>
    <col min="1" max="1" width="28" customWidth="1"/>
    <col min="2" max="13" width="14" customWidth="1"/>
    <col min="14" max="14" width="16" customWidth="1"/>
  </cols>
  <sheetData>
    <row r="1" spans="1:14" x14ac:dyDescent="0.25">
      <c r="A1" s="15" t="s">
        <v>290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ht="28" customHeight="1" spans="1:14" x14ac:dyDescent="0.25">
      <c r="A2" s="21" t="s">
        <v>7</v>
      </c>
      <c r="B2" s="21" t="s">
        <v>291</v>
      </c>
      <c r="C2" s="21" t="s">
        <v>292</v>
      </c>
      <c r="D2" s="21" t="s">
        <v>293</v>
      </c>
      <c r="E2" s="21" t="s">
        <v>294</v>
      </c>
      <c r="F2" s="21" t="s">
        <v>295</v>
      </c>
      <c r="G2" s="21" t="s">
        <v>296</v>
      </c>
      <c r="H2" s="21" t="s">
        <v>297</v>
      </c>
      <c r="I2" s="21" t="s">
        <v>298</v>
      </c>
      <c r="J2" s="21" t="s">
        <v>299</v>
      </c>
      <c r="K2" s="21" t="s">
        <v>300</v>
      </c>
      <c r="L2" s="21" t="s">
        <v>301</v>
      </c>
      <c r="M2" s="21" t="s">
        <v>302</v>
      </c>
      <c r="N2" s="21" t="s">
        <v>303</v>
      </c>
    </row>
    <row r="3" ht="24" customHeight="1" spans="1:14" x14ac:dyDescent="0.25">
      <c r="A3" s="19" t="s">
        <v>261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</row>
    <row r="4" spans="1:14" x14ac:dyDescent="0.25">
      <c r="A4" s="10" t="s">
        <v>267</v>
      </c>
      <c r="B4" s="32">
        <v>26250</v>
      </c>
      <c r="C4" s="32">
        <v>13210</v>
      </c>
      <c r="D4" s="32">
        <v>13210</v>
      </c>
      <c r="E4" s="32">
        <v>34210</v>
      </c>
      <c r="F4" s="32">
        <v>13210</v>
      </c>
      <c r="G4" s="32">
        <v>13210</v>
      </c>
      <c r="H4" s="32">
        <v>34210</v>
      </c>
      <c r="I4" s="32">
        <v>13210</v>
      </c>
      <c r="J4" s="32">
        <v>13210</v>
      </c>
      <c r="K4" s="32">
        <v>34210</v>
      </c>
      <c r="L4" s="32">
        <v>13210</v>
      </c>
      <c r="M4" s="32">
        <v>250</v>
      </c>
      <c r="N4" s="32">
        <f>SUM(B4:M4)</f>
        <v>221600</v>
      </c>
    </row>
    <row r="6" ht="24" customHeight="1" spans="1:14" x14ac:dyDescent="0.25">
      <c r="A6" s="19" t="s">
        <v>304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</row>
    <row r="7" spans="1:14" x14ac:dyDescent="0.25">
      <c r="A7" s="11" t="s">
        <v>305</v>
      </c>
      <c r="B7" s="25">
        <v>11893</v>
      </c>
      <c r="C7" s="25">
        <v>11893</v>
      </c>
      <c r="D7" s="25">
        <v>11893</v>
      </c>
      <c r="E7" s="25">
        <v>11893</v>
      </c>
      <c r="F7" s="25">
        <v>11893</v>
      </c>
      <c r="G7" s="25">
        <v>11893</v>
      </c>
      <c r="H7" s="25">
        <v>11893</v>
      </c>
      <c r="I7" s="25">
        <v>11893</v>
      </c>
      <c r="J7" s="25">
        <v>11893</v>
      </c>
      <c r="K7" s="25">
        <v>11893</v>
      </c>
      <c r="L7" s="25">
        <v>0</v>
      </c>
      <c r="M7" s="25">
        <v>0</v>
      </c>
      <c r="N7" s="25">
        <f>SUM(B7:M7)</f>
        <v>118934</v>
      </c>
    </row>
    <row r="8" spans="1:14" x14ac:dyDescent="0.25">
      <c r="A8" s="11" t="s">
        <v>306</v>
      </c>
      <c r="B8" s="25">
        <v>4050</v>
      </c>
      <c r="C8" s="25">
        <v>4050</v>
      </c>
      <c r="D8" s="25">
        <v>4050</v>
      </c>
      <c r="E8" s="25">
        <v>4050</v>
      </c>
      <c r="F8" s="25">
        <v>4050</v>
      </c>
      <c r="G8" s="25">
        <v>4050</v>
      </c>
      <c r="H8" s="25">
        <v>4050</v>
      </c>
      <c r="I8" s="25">
        <v>4050</v>
      </c>
      <c r="J8" s="25">
        <v>4050</v>
      </c>
      <c r="K8" s="25">
        <v>4050</v>
      </c>
      <c r="L8" s="25">
        <v>0</v>
      </c>
      <c r="M8" s="25">
        <v>0</v>
      </c>
      <c r="N8" s="25">
        <f>SUM(B8:M8)</f>
        <v>40500</v>
      </c>
    </row>
    <row r="9" spans="1:14" x14ac:dyDescent="0.25">
      <c r="A9" s="11" t="s">
        <v>307</v>
      </c>
      <c r="B9" s="25">
        <v>0</v>
      </c>
      <c r="C9" s="25">
        <v>0</v>
      </c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 t="str">
        <f>SUM(B9:M9)</f>
        <v>0</v>
      </c>
    </row>
    <row r="11" ht="24" customHeight="1" spans="1:14" x14ac:dyDescent="0.25">
      <c r="A11" s="19" t="s">
        <v>308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</row>
    <row r="12" spans="1:14" x14ac:dyDescent="0.25">
      <c r="A12" s="10" t="s">
        <v>284</v>
      </c>
      <c r="B12" s="34">
        <f>B7+B8+B9</f>
        <v>15943</v>
      </c>
      <c r="C12" s="34">
        <f>C7+C8+C9</f>
        <v>15943</v>
      </c>
      <c r="D12" s="34">
        <f>D7+D8+D9</f>
        <v>15943</v>
      </c>
      <c r="E12" s="34">
        <f>E7+E8+E9</f>
        <v>15943</v>
      </c>
      <c r="F12" s="34">
        <f>F7+F8+F9</f>
        <v>15943</v>
      </c>
      <c r="G12" s="34">
        <f>G7+G8+G9</f>
        <v>15943</v>
      </c>
      <c r="H12" s="34">
        <f>H7+H8+H9</f>
        <v>15943</v>
      </c>
      <c r="I12" s="34">
        <f>I7+I8+I9</f>
        <v>15943</v>
      </c>
      <c r="J12" s="34">
        <f>J7+J8+J9</f>
        <v>15943</v>
      </c>
      <c r="K12" s="34">
        <f>K7+K8+K9</f>
        <v>15943</v>
      </c>
      <c r="L12" s="34" t="str">
        <f>L7+L8+L9</f>
        <v>0</v>
      </c>
      <c r="M12" s="34" t="str">
        <f>M7+M8+M9</f>
        <v>0</v>
      </c>
      <c r="N12" s="34">
        <f>SUM(B12:M12)</f>
        <v>159430</v>
      </c>
    </row>
    <row r="13" spans="1:14" x14ac:dyDescent="0.25">
      <c r="A13" s="10" t="s">
        <v>309</v>
      </c>
      <c r="B13" s="34">
        <f>B4-B12</f>
        <v>10307</v>
      </c>
      <c r="C13" s="34">
        <f>C4-C12</f>
        <v>-2733</v>
      </c>
      <c r="D13" s="34">
        <f>D4-D12</f>
        <v>-2733</v>
      </c>
      <c r="E13" s="34">
        <f>E4-E12</f>
        <v>18267</v>
      </c>
      <c r="F13" s="34">
        <f>F4-F12</f>
        <v>-2733</v>
      </c>
      <c r="G13" s="34">
        <f>G4-G12</f>
        <v>-2733</v>
      </c>
      <c r="H13" s="34">
        <f>H4-H12</f>
        <v>18267</v>
      </c>
      <c r="I13" s="34">
        <f>I4-I12</f>
        <v>-2733</v>
      </c>
      <c r="J13" s="34">
        <f>J4-J12</f>
        <v>-2733</v>
      </c>
      <c r="K13" s="34">
        <f>K4-K12</f>
        <v>18267</v>
      </c>
      <c r="L13" s="34">
        <f>L4-L12</f>
        <v>13210</v>
      </c>
      <c r="M13" s="34">
        <f>M4-M12</f>
        <v>250</v>
      </c>
      <c r="N13" s="34">
        <f>SUM(B13:M13)</f>
        <v>62170</v>
      </c>
    </row>
    <row r="14" spans="1:14" x14ac:dyDescent="0.25">
      <c r="A14" s="10" t="s">
        <v>310</v>
      </c>
      <c r="B14" s="38">
        <f>B17+B13</f>
        <v>10307</v>
      </c>
      <c r="C14" s="38">
        <f>B14+C13</f>
        <v>7574</v>
      </c>
      <c r="D14" s="38">
        <f>C14+D13</f>
        <v>4841</v>
      </c>
      <c r="E14" s="38">
        <f>D14+E13</f>
        <v>23108</v>
      </c>
      <c r="F14" s="38">
        <f>E14+F13</f>
        <v>20375</v>
      </c>
      <c r="G14" s="38">
        <f>F14+G13</f>
        <v>17642</v>
      </c>
      <c r="H14" s="38">
        <f>G14+H13</f>
        <v>35909</v>
      </c>
      <c r="I14" s="38">
        <f>H14+I13</f>
        <v>33176</v>
      </c>
      <c r="J14" s="38">
        <f>I14+J13</f>
        <v>30443</v>
      </c>
      <c r="K14" s="38">
        <f>J14+K13</f>
        <v>48710</v>
      </c>
      <c r="L14" s="38">
        <f>K14+L13</f>
        <v>61920</v>
      </c>
      <c r="M14" s="38">
        <f>L14+M13</f>
        <v>62170</v>
      </c>
      <c r="N14" s="33">
        <f>M14</f>
        <v>62170</v>
      </c>
    </row>
    <row r="16" ht="24" customHeight="1" spans="1:3" x14ac:dyDescent="0.25">
      <c r="A16" s="19" t="s">
        <v>311</v>
      </c>
      <c r="B16" s="19"/>
      <c r="C16" s="19"/>
    </row>
    <row r="17" spans="1:2" x14ac:dyDescent="0.25">
      <c r="A17" s="11" t="s">
        <v>180</v>
      </c>
      <c r="B17" s="23">
        <v>0</v>
      </c>
    </row>
    <row r="18" spans="1:2" x14ac:dyDescent="0.25">
      <c r="A18" s="11" t="s">
        <v>312</v>
      </c>
      <c r="B18" s="38">
        <f>M14</f>
        <v>62170</v>
      </c>
    </row>
    <row r="19" spans="1:2" x14ac:dyDescent="0.25">
      <c r="A19" s="11" t="s">
        <v>313</v>
      </c>
      <c r="B19" s="25">
        <f>MIN(B14:M14)</f>
        <v>4841</v>
      </c>
    </row>
    <row r="20" spans="1:6" x14ac:dyDescent="0.25">
      <c r="A20" s="3" t="s">
        <v>314</v>
      </c>
      <c r="B20" s="3"/>
      <c r="C20" s="3"/>
      <c r="D20" s="3"/>
      <c r="E20" s="3"/>
      <c r="F20" s="3"/>
    </row>
    <row r="21" spans="1:8" x14ac:dyDescent="0.25">
      <c r="A21" s="39" t="s">
        <v>315</v>
      </c>
      <c r="B21" s="39"/>
      <c r="C21" s="39"/>
      <c r="D21" s="39"/>
      <c r="E21" s="39"/>
      <c r="F21" s="39"/>
      <c r="G21" s="39"/>
      <c r="H21" s="39"/>
    </row>
  </sheetData>
  <mergeCells count="3">
    <mergeCell ref="A1:N1"/>
    <mergeCell ref="A20:F20"/>
    <mergeCell ref="A21:H2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9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5" t="s">
        <v>316</v>
      </c>
      <c r="B1" s="15"/>
      <c r="C1" s="15"/>
      <c r="D1" s="15"/>
      <c r="E1" s="15"/>
      <c r="F1" s="15"/>
    </row>
    <row r="2" spans="1:6" x14ac:dyDescent="0.25">
      <c r="A2" s="40" t="s">
        <v>317</v>
      </c>
      <c r="B2" s="40"/>
      <c r="C2" s="40"/>
      <c r="D2" s="40"/>
      <c r="E2" s="40"/>
      <c r="F2" s="40"/>
    </row>
    <row r="3" ht="28" customHeight="1" spans="1:6" x14ac:dyDescent="0.25">
      <c r="A3" s="21" t="s">
        <v>7</v>
      </c>
      <c r="B3" s="21" t="s">
        <v>106</v>
      </c>
      <c r="C3" s="21" t="s">
        <v>107</v>
      </c>
      <c r="D3" s="21" t="s">
        <v>108</v>
      </c>
      <c r="E3" s="21" t="s">
        <v>109</v>
      </c>
      <c r="F3" s="21" t="s">
        <v>110</v>
      </c>
    </row>
    <row r="4" ht="24" customHeight="1" spans="1:6" x14ac:dyDescent="0.25">
      <c r="A4" s="19" t="s">
        <v>261</v>
      </c>
      <c r="B4" s="19"/>
      <c r="C4" s="19"/>
      <c r="D4" s="19"/>
      <c r="E4" s="19"/>
      <c r="F4" s="19"/>
    </row>
    <row r="5" spans="1:6" x14ac:dyDescent="0.25">
      <c r="A5" s="41" t="s">
        <v>267</v>
      </c>
      <c r="B5" s="32">
        <v>184667</v>
      </c>
      <c r="C5" s="32">
        <v>340512</v>
      </c>
      <c r="D5" s="32">
        <v>427946</v>
      </c>
      <c r="E5" s="32">
        <v>500518</v>
      </c>
      <c r="F5" s="32">
        <v>516085</v>
      </c>
    </row>
    <row r="7" ht="24" customHeight="1" spans="1:6" x14ac:dyDescent="0.25">
      <c r="A7" s="19" t="s">
        <v>304</v>
      </c>
      <c r="B7" s="19"/>
      <c r="C7" s="19"/>
      <c r="D7" s="19"/>
      <c r="E7" s="19"/>
      <c r="F7" s="19"/>
    </row>
    <row r="8" spans="1:6" x14ac:dyDescent="0.25">
      <c r="A8" s="10" t="s">
        <v>305</v>
      </c>
      <c r="B8" s="34">
        <v>118934</v>
      </c>
      <c r="C8" s="34">
        <v>147003</v>
      </c>
      <c r="D8" s="34">
        <v>151413</v>
      </c>
      <c r="E8" s="34">
        <v>155955</v>
      </c>
      <c r="F8" s="34">
        <v>160634</v>
      </c>
    </row>
    <row r="9" spans="1:6" x14ac:dyDescent="0.25">
      <c r="A9" s="10" t="s">
        <v>306</v>
      </c>
      <c r="B9" s="34">
        <v>40500</v>
      </c>
      <c r="C9" s="34">
        <v>55002</v>
      </c>
      <c r="D9" s="34">
        <v>60047</v>
      </c>
      <c r="E9" s="34">
        <v>64471</v>
      </c>
      <c r="F9" s="34">
        <v>66405</v>
      </c>
    </row>
    <row r="10" spans="1:6" x14ac:dyDescent="0.25">
      <c r="A10" s="10" t="s">
        <v>318</v>
      </c>
      <c r="B10" s="34">
        <v>0</v>
      </c>
      <c r="C10" s="34">
        <v>0</v>
      </c>
      <c r="D10" s="34">
        <v>0</v>
      </c>
      <c r="E10" s="34">
        <v>0</v>
      </c>
      <c r="F10" s="34">
        <v>0</v>
      </c>
    </row>
    <row r="11" spans="1:6" x14ac:dyDescent="0.25">
      <c r="A11" s="10" t="s">
        <v>319</v>
      </c>
      <c r="B11" s="34">
        <v>0</v>
      </c>
      <c r="C11" s="34">
        <v>0</v>
      </c>
      <c r="D11" s="34">
        <v>0</v>
      </c>
      <c r="E11" s="34">
        <v>0</v>
      </c>
      <c r="F11" s="34">
        <v>0</v>
      </c>
    </row>
    <row r="12" spans="1:6" x14ac:dyDescent="0.25">
      <c r="A12" s="10" t="s">
        <v>320</v>
      </c>
      <c r="B12" s="34">
        <v>714</v>
      </c>
      <c r="C12" s="34">
        <v>714</v>
      </c>
      <c r="D12" s="34">
        <v>714</v>
      </c>
      <c r="E12" s="34">
        <v>714</v>
      </c>
      <c r="F12" s="34">
        <v>714</v>
      </c>
    </row>
    <row r="13" spans="1:6" x14ac:dyDescent="0.25">
      <c r="A13" s="41" t="s">
        <v>284</v>
      </c>
      <c r="B13" s="32">
        <f>SUM(B8:B12)</f>
        <v>160148</v>
      </c>
      <c r="C13" s="32">
        <f>SUM(C8:C12)</f>
        <v>202719</v>
      </c>
      <c r="D13" s="32">
        <f>SUM(D8:D12)</f>
        <v>212174</v>
      </c>
      <c r="E13" s="32">
        <f>SUM(E8:E12)</f>
        <v>221140</v>
      </c>
      <c r="F13" s="32">
        <f>SUM(F8:F12)</f>
        <v>227753</v>
      </c>
    </row>
    <row r="15" ht="24" customHeight="1" spans="1:6" x14ac:dyDescent="0.25">
      <c r="A15" s="19" t="s">
        <v>321</v>
      </c>
      <c r="B15" s="19"/>
      <c r="C15" s="19"/>
      <c r="D15" s="19"/>
      <c r="E15" s="19"/>
      <c r="F15" s="19"/>
    </row>
    <row r="16" spans="1:6" x14ac:dyDescent="0.25">
      <c r="A16" s="41" t="s">
        <v>286</v>
      </c>
      <c r="B16" s="33">
        <f>B5-B13</f>
        <v>24518</v>
      </c>
      <c r="C16" s="33">
        <f>C5-C13</f>
        <v>137793</v>
      </c>
      <c r="D16" s="33">
        <f>D5-D13</f>
        <v>215772</v>
      </c>
      <c r="E16" s="33">
        <f>E5-E13</f>
        <v>279377</v>
      </c>
      <c r="F16" s="33">
        <f>F5-F13</f>
        <v>288332</v>
      </c>
    </row>
    <row r="17" spans="1:6" x14ac:dyDescent="0.25">
      <c r="A17" s="11" t="s">
        <v>287</v>
      </c>
      <c r="B17" s="26">
        <f>IF(B5=0,0,B16/B5)</f>
        <v>0.13277011</v>
      </c>
      <c r="C17" s="26">
        <f>IF(C5=0,0,C16/C5)</f>
        <v>0.4046644</v>
      </c>
      <c r="D17" s="26">
        <f>IF(D5=0,0,D16/D5)</f>
        <v>0.50420372</v>
      </c>
      <c r="E17" s="26">
        <f>IF(E5=0,0,E16/E5)</f>
        <v>0.55817675</v>
      </c>
      <c r="F17" s="26">
        <f>IF(F5=0,0,F16/F5)</f>
        <v>0.55869082</v>
      </c>
    </row>
    <row r="18" spans="1:6" x14ac:dyDescent="0.25">
      <c r="A18" s="10" t="s">
        <v>288</v>
      </c>
      <c r="B18" s="34">
        <f>B16</f>
        <v>24518</v>
      </c>
      <c r="C18" s="34">
        <f>B18+C16</f>
        <v>162311</v>
      </c>
      <c r="D18" s="34">
        <f>C18+D16</f>
        <v>378083</v>
      </c>
      <c r="E18" s="34">
        <f>D18+E16</f>
        <v>657460</v>
      </c>
      <c r="F18" s="34">
        <f>E18+F16</f>
        <v>945792</v>
      </c>
    </row>
    <row r="19" spans="1:6" x14ac:dyDescent="0.25">
      <c r="A19" s="10" t="s">
        <v>322</v>
      </c>
      <c r="B19" s="42" t="s">
        <v>323</v>
      </c>
      <c r="C19" s="43" t="s">
        <v>7</v>
      </c>
      <c r="D19" s="43" t="s">
        <v>7</v>
      </c>
      <c r="E19" s="43" t="s">
        <v>7</v>
      </c>
      <c r="F19" s="43" t="s">
        <v>7</v>
      </c>
    </row>
  </sheetData>
  <mergeCells count="2">
    <mergeCell ref="A1:F1"/>
    <mergeCell ref="A2:F2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"/>
  <sheetFormatPr defaultRowHeight="15" outlineLevelRow="0" outlineLevelCol="0" x14ac:dyDescent="55"/>
  <cols>
    <col min="1" max="1" width="28" customWidth="1"/>
    <col min="2" max="6" width="16" customWidth="1"/>
  </cols>
  <sheetData>
    <row r="1" spans="1:6" x14ac:dyDescent="0.25">
      <c r="A1" s="15" t="s">
        <v>79</v>
      </c>
      <c r="B1" s="15"/>
      <c r="C1" s="15"/>
      <c r="D1" s="15"/>
      <c r="E1" s="15"/>
      <c r="F1" s="15"/>
    </row>
    <row r="3" ht="28" customHeight="1" spans="1:6" x14ac:dyDescent="0.25">
      <c r="A3" s="21" t="s">
        <v>7</v>
      </c>
      <c r="B3" s="21" t="s">
        <v>106</v>
      </c>
      <c r="C3" s="21" t="s">
        <v>107</v>
      </c>
      <c r="D3" s="21" t="s">
        <v>108</v>
      </c>
      <c r="E3" s="21" t="s">
        <v>109</v>
      </c>
      <c r="F3" s="21" t="s">
        <v>110</v>
      </c>
    </row>
    <row r="4" ht="24" customHeight="1" spans="1:6" x14ac:dyDescent="0.25">
      <c r="A4" s="19" t="s">
        <v>324</v>
      </c>
      <c r="B4" s="19"/>
      <c r="C4" s="19"/>
      <c r="D4" s="19"/>
      <c r="E4" s="19"/>
      <c r="F4" s="19"/>
    </row>
    <row r="5" spans="1:5" x14ac:dyDescent="0.25">
      <c r="A5" s="44" t="s">
        <v>325</v>
      </c>
      <c r="B5" s="45" t="s">
        <v>170</v>
      </c>
      <c r="C5" s="46" t="s">
        <v>326</v>
      </c>
      <c r="D5" s="44" t="s">
        <v>327</v>
      </c>
      <c r="E5" s="45" t="s">
        <v>246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9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5" t="s">
        <v>328</v>
      </c>
      <c r="B1" s="15"/>
      <c r="C1" s="15"/>
      <c r="D1" s="15"/>
      <c r="E1" s="15"/>
      <c r="F1" s="15"/>
    </row>
    <row r="3" ht="28" customHeight="1" spans="1:6" x14ac:dyDescent="0.25">
      <c r="A3" s="21" t="s">
        <v>7</v>
      </c>
      <c r="B3" s="21" t="s">
        <v>106</v>
      </c>
      <c r="C3" s="21" t="s">
        <v>107</v>
      </c>
      <c r="D3" s="21" t="s">
        <v>108</v>
      </c>
      <c r="E3" s="21" t="s">
        <v>109</v>
      </c>
      <c r="F3" s="21" t="s">
        <v>110</v>
      </c>
    </row>
    <row r="4" ht="24" customHeight="1" spans="1:6" x14ac:dyDescent="0.25">
      <c r="A4" s="19" t="s">
        <v>329</v>
      </c>
      <c r="B4" s="19"/>
      <c r="C4" s="19"/>
      <c r="D4" s="19"/>
      <c r="E4" s="19"/>
      <c r="F4" s="19"/>
    </row>
    <row r="5" spans="1:6" x14ac:dyDescent="0.25">
      <c r="A5" s="11" t="s">
        <v>330</v>
      </c>
      <c r="B5" s="47">
        <f>'Monthly Cash Flow Y1'!M14</f>
        <v>62170</v>
      </c>
      <c r="C5" s="47">
        <f>B5+'5-Year Operating Stmt'!C16</f>
        <v>200677</v>
      </c>
      <c r="D5" s="47">
        <f>B5+'5-Year Operating Stmt'!C16+'5-Year Operating Stmt'!D16</f>
        <v>417164</v>
      </c>
      <c r="E5" s="47">
        <f>B5+'5-Year Operating Stmt'!C16+'5-Year Operating Stmt'!D16+'5-Year Operating Stmt'!E16</f>
        <v>697255</v>
      </c>
      <c r="F5" s="47">
        <f>B5+'5-Year Operating Stmt'!C16+'5-Year Operating Stmt'!D16+'5-Year Operating Stmt'!E16+'5-Year Operating Stmt'!F16</f>
        <v>986301</v>
      </c>
    </row>
    <row r="6" spans="1:6" x14ac:dyDescent="0.25">
      <c r="A6" s="11" t="s">
        <v>331</v>
      </c>
      <c r="B6" s="25">
        <v>1007</v>
      </c>
      <c r="C6" s="25">
        <v>1036</v>
      </c>
      <c r="D6" s="25">
        <v>1067</v>
      </c>
      <c r="E6" s="25">
        <v>1098</v>
      </c>
      <c r="F6" s="25">
        <v>1131</v>
      </c>
    </row>
    <row r="7" spans="1:6" x14ac:dyDescent="0.25">
      <c r="A7" s="11" t="s">
        <v>332</v>
      </c>
      <c r="B7" s="25">
        <v>4286</v>
      </c>
      <c r="C7" s="25">
        <v>3571</v>
      </c>
      <c r="D7" s="25">
        <v>2857</v>
      </c>
      <c r="E7" s="25">
        <v>2143</v>
      </c>
      <c r="F7" s="25">
        <v>1429</v>
      </c>
    </row>
    <row r="8" spans="1:6" x14ac:dyDescent="0.25">
      <c r="A8" s="11" t="s">
        <v>333</v>
      </c>
      <c r="B8" s="25">
        <v>0</v>
      </c>
      <c r="C8" s="25">
        <v>0</v>
      </c>
      <c r="D8" s="25">
        <v>0</v>
      </c>
      <c r="E8" s="25">
        <v>0</v>
      </c>
      <c r="F8" s="25">
        <v>0</v>
      </c>
    </row>
    <row r="9" spans="1:6" x14ac:dyDescent="0.25">
      <c r="A9" s="10" t="s">
        <v>334</v>
      </c>
      <c r="B9" s="32">
        <f>SUM(B5:B8)</f>
        <v>67463</v>
      </c>
      <c r="C9" s="32">
        <f>SUM(C5:C8)</f>
        <v>205285</v>
      </c>
      <c r="D9" s="32">
        <f>SUM(D5:D8)</f>
        <v>421088</v>
      </c>
      <c r="E9" s="32">
        <f>SUM(E5:E8)</f>
        <v>700496</v>
      </c>
      <c r="F9" s="32">
        <f>SUM(F5:F8)</f>
        <v>988860</v>
      </c>
    </row>
    <row r="11" ht="24" customHeight="1" spans="1:6" x14ac:dyDescent="0.25">
      <c r="A11" s="19" t="s">
        <v>335</v>
      </c>
      <c r="B11" s="19"/>
      <c r="C11" s="19"/>
      <c r="D11" s="19"/>
      <c r="E11" s="19"/>
      <c r="F11" s="19"/>
    </row>
    <row r="12" spans="1:6" x14ac:dyDescent="0.25">
      <c r="A12" s="11" t="s">
        <v>336</v>
      </c>
      <c r="B12" s="25">
        <v>0</v>
      </c>
      <c r="C12" s="25">
        <v>0</v>
      </c>
      <c r="D12" s="25">
        <v>0</v>
      </c>
      <c r="E12" s="25">
        <v>0</v>
      </c>
      <c r="F12" s="25">
        <v>0</v>
      </c>
    </row>
    <row r="13" spans="1:6" x14ac:dyDescent="0.25">
      <c r="A13" s="11" t="s">
        <v>337</v>
      </c>
      <c r="B13" s="25">
        <v>0</v>
      </c>
      <c r="C13" s="25">
        <v>0</v>
      </c>
      <c r="D13" s="25">
        <v>0</v>
      </c>
      <c r="E13" s="25">
        <v>0</v>
      </c>
      <c r="F13" s="25">
        <v>0</v>
      </c>
    </row>
    <row r="14" spans="1:6" x14ac:dyDescent="0.25">
      <c r="A14" s="10" t="s">
        <v>338</v>
      </c>
      <c r="B14" s="32" t="str">
        <f>SUM(B12:B13)</f>
        <v>0</v>
      </c>
      <c r="C14" s="32" t="str">
        <f>SUM(C12:C13)</f>
        <v>0</v>
      </c>
      <c r="D14" s="32" t="str">
        <f>SUM(D12:D13)</f>
        <v>0</v>
      </c>
      <c r="E14" s="32" t="str">
        <f>SUM(E12:E13)</f>
        <v>0</v>
      </c>
      <c r="F14" s="32" t="str">
        <f>SUM(F12:F13)</f>
        <v>0</v>
      </c>
    </row>
    <row r="16" ht="24" customHeight="1" spans="1:6" x14ac:dyDescent="0.25">
      <c r="A16" s="19" t="s">
        <v>339</v>
      </c>
      <c r="B16" s="19"/>
      <c r="C16" s="19"/>
      <c r="D16" s="19"/>
      <c r="E16" s="19"/>
      <c r="F16" s="19"/>
    </row>
    <row r="17" spans="1:6" x14ac:dyDescent="0.25">
      <c r="A17" s="10" t="s">
        <v>340</v>
      </c>
      <c r="B17" s="33">
        <f>B9-B14</f>
        <v>67463</v>
      </c>
      <c r="C17" s="33">
        <f>C9-C14</f>
        <v>205285</v>
      </c>
      <c r="D17" s="33">
        <f>D9-D14</f>
        <v>421088</v>
      </c>
      <c r="E17" s="33">
        <f>E9-E14</f>
        <v>700496</v>
      </c>
      <c r="F17" s="33">
        <f>F9-F14</f>
        <v>988860</v>
      </c>
    </row>
    <row r="19" spans="1:6" x14ac:dyDescent="0.25">
      <c r="A19" s="10" t="s">
        <v>341</v>
      </c>
      <c r="B19" s="48" t="str">
        <f>B9-B14-B17</f>
        <v>0</v>
      </c>
      <c r="C19" s="48" t="str">
        <f>C9-C14-C17</f>
        <v>0</v>
      </c>
      <c r="D19" s="48" t="str">
        <f>D9-D14-D17</f>
        <v>0</v>
      </c>
      <c r="E19" s="48" t="str">
        <f>E9-E14-E17</f>
        <v>0</v>
      </c>
      <c r="F19" s="48" t="str">
        <f>F9-F14-F17</f>
        <v>0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3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5" t="s">
        <v>342</v>
      </c>
      <c r="B1" s="15"/>
      <c r="C1" s="15"/>
      <c r="D1" s="15"/>
      <c r="E1" s="15"/>
      <c r="F1" s="15"/>
    </row>
    <row r="3" ht="28" customHeight="1" spans="1:6" x14ac:dyDescent="0.25">
      <c r="A3" s="21" t="s">
        <v>7</v>
      </c>
      <c r="B3" s="21" t="s">
        <v>106</v>
      </c>
      <c r="C3" s="21" t="s">
        <v>107</v>
      </c>
      <c r="D3" s="21" t="s">
        <v>108</v>
      </c>
      <c r="E3" s="21" t="s">
        <v>109</v>
      </c>
      <c r="F3" s="21" t="s">
        <v>110</v>
      </c>
    </row>
    <row r="4" ht="24" customHeight="1" spans="1:6" x14ac:dyDescent="0.25">
      <c r="A4" s="19" t="s">
        <v>343</v>
      </c>
      <c r="B4" s="19"/>
      <c r="C4" s="19"/>
      <c r="D4" s="19"/>
      <c r="E4" s="19"/>
      <c r="F4" s="19"/>
    </row>
    <row r="5" spans="1:6" x14ac:dyDescent="0.25">
      <c r="A5" s="11" t="s">
        <v>344</v>
      </c>
      <c r="B5" s="25">
        <v>184667</v>
      </c>
      <c r="C5" s="25">
        <v>340512</v>
      </c>
      <c r="D5" s="25">
        <v>427946</v>
      </c>
      <c r="E5" s="25">
        <v>500518</v>
      </c>
      <c r="F5" s="25">
        <v>516085</v>
      </c>
    </row>
    <row r="6" spans="1:6" x14ac:dyDescent="0.25">
      <c r="A6" s="11" t="s">
        <v>305</v>
      </c>
      <c r="B6" s="25">
        <v>118934</v>
      </c>
      <c r="C6" s="25">
        <v>147003</v>
      </c>
      <c r="D6" s="25">
        <v>151413</v>
      </c>
      <c r="E6" s="25">
        <v>155955</v>
      </c>
      <c r="F6" s="25">
        <v>160634</v>
      </c>
    </row>
    <row r="7" spans="1:6" x14ac:dyDescent="0.25">
      <c r="A7" s="11" t="s">
        <v>306</v>
      </c>
      <c r="B7" s="25">
        <v>40500</v>
      </c>
      <c r="C7" s="25">
        <v>55002</v>
      </c>
      <c r="D7" s="25">
        <v>60047</v>
      </c>
      <c r="E7" s="25">
        <v>64471</v>
      </c>
      <c r="F7" s="25">
        <v>66405</v>
      </c>
    </row>
    <row r="8" spans="1:6" x14ac:dyDescent="0.25">
      <c r="A8" s="10" t="s">
        <v>286</v>
      </c>
      <c r="B8" s="34">
        <v>25232</v>
      </c>
      <c r="C8" s="34">
        <v>138507</v>
      </c>
      <c r="D8" s="34">
        <v>216486</v>
      </c>
      <c r="E8" s="34">
        <v>280092</v>
      </c>
      <c r="F8" s="34">
        <v>289046</v>
      </c>
    </row>
    <row r="9" spans="1:6" x14ac:dyDescent="0.25">
      <c r="A9" s="11" t="s">
        <v>345</v>
      </c>
      <c r="B9" s="25">
        <v>714</v>
      </c>
      <c r="C9" s="25">
        <v>714</v>
      </c>
      <c r="D9" s="25">
        <v>714</v>
      </c>
      <c r="E9" s="25">
        <v>714</v>
      </c>
      <c r="F9" s="25">
        <v>714</v>
      </c>
    </row>
    <row r="10" spans="1:6" x14ac:dyDescent="0.25">
      <c r="A10" s="11" t="s">
        <v>346</v>
      </c>
      <c r="B10" s="25">
        <v>0</v>
      </c>
      <c r="C10" s="25">
        <v>0</v>
      </c>
      <c r="D10" s="25">
        <v>0</v>
      </c>
      <c r="E10" s="25">
        <v>0</v>
      </c>
      <c r="F10" s="25">
        <v>0</v>
      </c>
    </row>
    <row r="11" spans="1:6" x14ac:dyDescent="0.25">
      <c r="A11" s="10" t="s">
        <v>347</v>
      </c>
      <c r="B11" s="34">
        <f>B8+B9+B10</f>
        <v>25947</v>
      </c>
      <c r="C11" s="34">
        <f>C8+C9+C10</f>
        <v>139222</v>
      </c>
      <c r="D11" s="34">
        <f>D8+D9+D10</f>
        <v>217200</v>
      </c>
      <c r="E11" s="34">
        <f>E8+E9+E10</f>
        <v>280806</v>
      </c>
      <c r="F11" s="34">
        <f>F8+F9+F10</f>
        <v>289761</v>
      </c>
    </row>
    <row r="12" spans="1:6" x14ac:dyDescent="0.25">
      <c r="A12" s="10" t="s">
        <v>348</v>
      </c>
      <c r="B12" s="49" t="s">
        <v>349</v>
      </c>
      <c r="C12" s="49" t="s">
        <v>349</v>
      </c>
      <c r="D12" s="49" t="s">
        <v>349</v>
      </c>
      <c r="E12" s="49" t="s">
        <v>349</v>
      </c>
      <c r="F12" s="49" t="s">
        <v>349</v>
      </c>
    </row>
    <row r="14" ht="24" customHeight="1" spans="1:6" x14ac:dyDescent="0.25">
      <c r="A14" s="19" t="s">
        <v>350</v>
      </c>
      <c r="B14" s="19"/>
      <c r="C14" s="19"/>
      <c r="D14" s="19"/>
      <c r="E14" s="19"/>
      <c r="F14" s="19"/>
    </row>
    <row r="15" spans="1:6" x14ac:dyDescent="0.25">
      <c r="A15" s="11" t="s">
        <v>351</v>
      </c>
      <c r="B15" s="25">
        <v>40232</v>
      </c>
      <c r="C15" s="25">
        <v>178740</v>
      </c>
      <c r="D15" s="25">
        <v>395226</v>
      </c>
      <c r="E15" s="25">
        <v>675318</v>
      </c>
      <c r="F15" s="25">
        <v>964364</v>
      </c>
    </row>
    <row r="16" hidden="1" spans="1:6" x14ac:dyDescent="0.25">
      <c r="A16" s="11" t="s">
        <v>352</v>
      </c>
      <c r="B16" s="25">
        <v>62170</v>
      </c>
      <c r="C16" s="25">
        <v>200677</v>
      </c>
      <c r="D16" s="25">
        <v>417164</v>
      </c>
      <c r="E16" s="25">
        <v>697255</v>
      </c>
      <c r="F16" s="25">
        <v>986301</v>
      </c>
    </row>
    <row r="17" spans="1:6" x14ac:dyDescent="0.25">
      <c r="A17" s="11" t="s">
        <v>353</v>
      </c>
      <c r="B17" s="50">
        <f>IF((B5-B8)=0,0,(B16/(B5-B8))*365)</f>
        <v>142</v>
      </c>
      <c r="C17" s="50">
        <f>IF((C5-C8)=0,0,(C16/(C5-C8))*365)</f>
        <v>363</v>
      </c>
      <c r="D17" s="50">
        <f>IF((D5-D8)=0,0,(D16/(D5-D8))*365)</f>
        <v>720</v>
      </c>
      <c r="E17" s="50">
        <f>IF((E5-E8)=0,0,(E16/(E5-E8))*365)</f>
        <v>1155</v>
      </c>
      <c r="F17" s="50">
        <f>IF((F5-F8)=0,0,(F16/(F5-F8))*365)</f>
        <v>1586</v>
      </c>
    </row>
    <row r="18" spans="1:6" x14ac:dyDescent="0.25">
      <c r="A18" s="11" t="s">
        <v>354</v>
      </c>
      <c r="B18" s="35">
        <f>IF((B5-B8)=0,0,B16/((B5-B8)/12))</f>
        <v>4.7</v>
      </c>
      <c r="C18" s="35">
        <f>IF((C5-C8)=0,0,C16/((C5-C8)/12))</f>
        <v>11.9</v>
      </c>
      <c r="D18" s="35">
        <f>IF((D5-D8)=0,0,D16/((D5-D8)/12))</f>
        <v>23.7</v>
      </c>
      <c r="E18" s="35">
        <f>IF((E5-E8)=0,0,E16/((E5-E8)/12))</f>
        <v>38</v>
      </c>
      <c r="F18" s="35">
        <f>IF((F5-F8)=0,0,F16/((F5-F8)/12))</f>
        <v>52.1</v>
      </c>
    </row>
    <row r="19" spans="1:6" x14ac:dyDescent="0.25">
      <c r="A19" s="11" t="s">
        <v>214</v>
      </c>
      <c r="B19" s="26">
        <v>0.48</v>
      </c>
      <c r="C19" s="26">
        <v>0.72</v>
      </c>
      <c r="D19" s="26">
        <v>0.88</v>
      </c>
      <c r="E19" s="26">
        <v>1</v>
      </c>
      <c r="F19" s="26">
        <v>1</v>
      </c>
    </row>
    <row r="21" ht="24" customHeight="1" spans="1:6" x14ac:dyDescent="0.25">
      <c r="A21" s="19" t="s">
        <v>355</v>
      </c>
      <c r="B21" s="19"/>
      <c r="C21" s="19"/>
      <c r="D21" s="19"/>
      <c r="E21" s="19"/>
      <c r="F21" s="19"/>
    </row>
    <row r="22" spans="1:6" x14ac:dyDescent="0.25">
      <c r="A22" s="11" t="s">
        <v>252</v>
      </c>
      <c r="B22" s="25">
        <v>15389</v>
      </c>
      <c r="C22" s="25">
        <v>18917</v>
      </c>
      <c r="D22" s="25">
        <v>19452</v>
      </c>
      <c r="E22" s="25">
        <v>20021</v>
      </c>
      <c r="F22" s="25">
        <v>20643</v>
      </c>
    </row>
    <row r="23" spans="1:6" x14ac:dyDescent="0.25">
      <c r="A23" s="11" t="s">
        <v>356</v>
      </c>
      <c r="B23" s="25">
        <v>118934</v>
      </c>
      <c r="C23" s="25">
        <v>147003</v>
      </c>
      <c r="D23" s="25">
        <v>151413</v>
      </c>
      <c r="E23" s="25">
        <v>155955</v>
      </c>
      <c r="F23" s="25">
        <v>160634</v>
      </c>
    </row>
    <row r="24" spans="1:6" x14ac:dyDescent="0.25">
      <c r="A24" s="11" t="s">
        <v>357</v>
      </c>
      <c r="B24" s="25">
        <v>3375</v>
      </c>
      <c r="C24" s="25">
        <v>3056</v>
      </c>
      <c r="D24" s="25">
        <v>2729</v>
      </c>
      <c r="E24" s="25">
        <v>2579</v>
      </c>
      <c r="F24" s="25">
        <v>2656</v>
      </c>
    </row>
    <row r="25" spans="1:6" x14ac:dyDescent="0.25">
      <c r="A25" s="10" t="s">
        <v>358</v>
      </c>
      <c r="B25" s="51">
        <v>11</v>
      </c>
      <c r="C25" s="51">
        <v>11</v>
      </c>
      <c r="D25" s="51">
        <v>11</v>
      </c>
      <c r="E25" s="51">
        <v>11</v>
      </c>
      <c r="F25" s="51">
        <v>11</v>
      </c>
    </row>
    <row r="27" ht="24" customHeight="1" spans="1:6" x14ac:dyDescent="0.25">
      <c r="A27" s="19" t="s">
        <v>359</v>
      </c>
      <c r="B27" s="19"/>
      <c r="C27" s="19"/>
      <c r="D27" s="19"/>
      <c r="E27" s="19"/>
      <c r="F27" s="19"/>
    </row>
    <row r="28" spans="1:6" x14ac:dyDescent="0.25">
      <c r="A28" s="11" t="s">
        <v>360</v>
      </c>
      <c r="B28" s="52" t="s">
        <v>349</v>
      </c>
      <c r="C28" s="52" t="s">
        <v>349</v>
      </c>
      <c r="D28" s="52" t="s">
        <v>349</v>
      </c>
      <c r="E28" s="52" t="s">
        <v>349</v>
      </c>
      <c r="F28" s="52" t="s">
        <v>349</v>
      </c>
    </row>
    <row r="29" spans="1:6" x14ac:dyDescent="0.25">
      <c r="A29" s="11" t="s">
        <v>361</v>
      </c>
      <c r="B29" s="53" t="s">
        <v>362</v>
      </c>
      <c r="C29" s="53" t="s">
        <v>362</v>
      </c>
      <c r="D29" s="53" t="s">
        <v>362</v>
      </c>
      <c r="E29" s="53" t="s">
        <v>362</v>
      </c>
      <c r="F29" s="53" t="s">
        <v>362</v>
      </c>
    </row>
    <row r="30" spans="1:6" x14ac:dyDescent="0.25">
      <c r="A30" s="11" t="s">
        <v>363</v>
      </c>
      <c r="B30" s="52" t="s">
        <v>349</v>
      </c>
      <c r="C30" s="52" t="s">
        <v>349</v>
      </c>
      <c r="D30" s="52" t="s">
        <v>349</v>
      </c>
      <c r="E30" s="52" t="s">
        <v>349</v>
      </c>
      <c r="F30" s="52" t="s">
        <v>349</v>
      </c>
    </row>
    <row r="31" spans="1:6" x14ac:dyDescent="0.25">
      <c r="A31" s="11" t="s">
        <v>364</v>
      </c>
      <c r="B31" s="54" t="s">
        <v>365</v>
      </c>
      <c r="C31" s="53" t="s">
        <v>362</v>
      </c>
      <c r="D31" s="53" t="s">
        <v>362</v>
      </c>
      <c r="E31" s="53" t="s">
        <v>362</v>
      </c>
      <c r="F31" s="53" t="s">
        <v>362</v>
      </c>
    </row>
    <row r="32" spans="1:6" x14ac:dyDescent="0.25">
      <c r="A32" s="11" t="s">
        <v>366</v>
      </c>
      <c r="B32" s="53" t="s">
        <v>362</v>
      </c>
      <c r="C32" s="53" t="s">
        <v>362</v>
      </c>
      <c r="D32" s="53" t="s">
        <v>362</v>
      </c>
      <c r="E32" s="53" t="s">
        <v>362</v>
      </c>
      <c r="F32" s="53" t="s">
        <v>362</v>
      </c>
    </row>
    <row r="33" spans="1:6" x14ac:dyDescent="0.25">
      <c r="A33" s="11" t="s">
        <v>367</v>
      </c>
      <c r="B33" s="53" t="s">
        <v>362</v>
      </c>
      <c r="C33" s="53" t="s">
        <v>362</v>
      </c>
      <c r="D33" s="53" t="s">
        <v>362</v>
      </c>
      <c r="E33" s="53" t="s">
        <v>362</v>
      </c>
      <c r="F33" s="53" t="s">
        <v>362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8"/>
  <sheetFormatPr defaultRowHeight="15" outlineLevelRow="0" outlineLevelCol="0" x14ac:dyDescent="55"/>
  <cols>
    <col min="1" max="1" width="36" customWidth="1"/>
    <col min="2" max="2" width="20" customWidth="1"/>
    <col min="3" max="3" width="8" customWidth="1"/>
    <col min="4" max="4" width="36" customWidth="1"/>
    <col min="5" max="5" width="20" customWidth="1"/>
  </cols>
  <sheetData>
    <row r="1" spans="1:5" x14ac:dyDescent="0.25">
      <c r="A1" s="15" t="s">
        <v>85</v>
      </c>
      <c r="B1" s="15"/>
      <c r="C1" s="15"/>
      <c r="D1" s="15"/>
      <c r="E1" s="15"/>
    </row>
    <row r="3" spans="1:5" x14ac:dyDescent="0.25">
      <c r="A3" s="55" t="s">
        <v>368</v>
      </c>
      <c r="B3" s="55" t="s">
        <v>116</v>
      </c>
      <c r="D3" s="55" t="s">
        <v>369</v>
      </c>
      <c r="E3" s="55" t="s">
        <v>116</v>
      </c>
    </row>
    <row r="4" spans="1:5" x14ac:dyDescent="0.25">
      <c r="A4" s="11" t="s">
        <v>370</v>
      </c>
      <c r="B4" s="25">
        <v>20000</v>
      </c>
      <c r="D4" s="11" t="s">
        <v>371</v>
      </c>
      <c r="E4" s="25">
        <v>15000</v>
      </c>
    </row>
    <row r="5" spans="4:5" x14ac:dyDescent="0.25">
      <c r="D5" s="11" t="s">
        <v>372</v>
      </c>
      <c r="E5" s="25">
        <v>5000</v>
      </c>
    </row>
    <row r="7" spans="1:5" x14ac:dyDescent="0.25">
      <c r="A7" s="10" t="s">
        <v>373</v>
      </c>
      <c r="B7" s="33">
        <v>20000</v>
      </c>
      <c r="D7" s="10" t="s">
        <v>374</v>
      </c>
      <c r="E7" s="33">
        <v>20000</v>
      </c>
    </row>
    <row r="8" spans="1:2" x14ac:dyDescent="0.25">
      <c r="A8" s="10" t="s">
        <v>375</v>
      </c>
      <c r="B8" s="48">
        <v>0</v>
      </c>
    </row>
  </sheetData>
  <mergeCells count="1">
    <mergeCell ref="A1:E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1"/>
  <sheetFormatPr defaultRowHeight="15" outlineLevelRow="0" outlineLevelCol="0" x14ac:dyDescent="55"/>
  <cols>
    <col min="1" max="1" width="28" customWidth="1"/>
    <col min="2" max="6" width="16" customWidth="1"/>
  </cols>
  <sheetData>
    <row r="1" spans="1:6" x14ac:dyDescent="0.25">
      <c r="A1" s="15" t="s">
        <v>376</v>
      </c>
      <c r="B1" s="15"/>
      <c r="C1" s="15"/>
      <c r="D1" s="15"/>
      <c r="E1" s="15"/>
      <c r="F1" s="15"/>
    </row>
    <row r="3" ht="24" customHeight="1" spans="1:6" x14ac:dyDescent="0.25">
      <c r="A3" s="19" t="s">
        <v>377</v>
      </c>
      <c r="B3" s="19"/>
      <c r="C3" s="19"/>
      <c r="D3" s="19"/>
      <c r="E3" s="19"/>
      <c r="F3" s="19"/>
    </row>
    <row r="4" spans="1:1" x14ac:dyDescent="0.25">
      <c r="A4" s="17" t="s">
        <v>378</v>
      </c>
    </row>
    <row r="5" ht="28" customHeight="1" spans="1:6" x14ac:dyDescent="0.25">
      <c r="A5" s="21" t="s">
        <v>7</v>
      </c>
      <c r="B5" s="21" t="s">
        <v>106</v>
      </c>
      <c r="C5" s="21" t="s">
        <v>107</v>
      </c>
      <c r="D5" s="21" t="s">
        <v>108</v>
      </c>
      <c r="E5" s="21" t="s">
        <v>109</v>
      </c>
      <c r="F5" s="21" t="s">
        <v>110</v>
      </c>
    </row>
    <row r="6" spans="1:6" x14ac:dyDescent="0.25">
      <c r="A6" s="11" t="s">
        <v>344</v>
      </c>
      <c r="B6" s="25">
        <v>184667</v>
      </c>
      <c r="C6" s="25">
        <v>340512</v>
      </c>
      <c r="D6" s="25">
        <v>427946</v>
      </c>
      <c r="E6" s="25">
        <v>500518</v>
      </c>
      <c r="F6" s="25">
        <v>516085</v>
      </c>
    </row>
    <row r="7" spans="1:6" x14ac:dyDescent="0.25">
      <c r="A7" s="11" t="s">
        <v>284</v>
      </c>
      <c r="B7" s="25">
        <v>159434</v>
      </c>
      <c r="C7" s="25">
        <v>202005</v>
      </c>
      <c r="D7" s="25">
        <v>211460</v>
      </c>
      <c r="E7" s="25">
        <v>220426</v>
      </c>
      <c r="F7" s="25">
        <v>227039</v>
      </c>
    </row>
    <row r="8" spans="1:6" x14ac:dyDescent="0.25">
      <c r="A8" s="10" t="s">
        <v>286</v>
      </c>
      <c r="B8" s="33">
        <v>25232</v>
      </c>
      <c r="C8" s="33">
        <v>138507</v>
      </c>
      <c r="D8" s="33">
        <v>216486</v>
      </c>
      <c r="E8" s="33">
        <v>280092</v>
      </c>
      <c r="F8" s="33">
        <v>289046</v>
      </c>
    </row>
    <row r="9" spans="1:6" x14ac:dyDescent="0.25">
      <c r="A9" s="11" t="s">
        <v>287</v>
      </c>
      <c r="B9" s="26">
        <v>0.13663808664259913</v>
      </c>
      <c r="C9" s="26">
        <v>0.4067620818062212</v>
      </c>
      <c r="D9" s="26">
        <v>0.5058728257176494</v>
      </c>
      <c r="E9" s="26">
        <v>0.5596038436877832</v>
      </c>
      <c r="F9" s="26">
        <v>0.5600748662293807</v>
      </c>
    </row>
    <row r="10" spans="1:6" x14ac:dyDescent="0.25">
      <c r="A10" s="11" t="s">
        <v>348</v>
      </c>
      <c r="B10" s="56" t="s">
        <v>349</v>
      </c>
      <c r="C10" s="56" t="s">
        <v>349</v>
      </c>
      <c r="D10" s="56" t="s">
        <v>349</v>
      </c>
      <c r="E10" s="56" t="s">
        <v>349</v>
      </c>
      <c r="F10" s="56" t="s">
        <v>349</v>
      </c>
    </row>
    <row r="11" spans="1:6" x14ac:dyDescent="0.25">
      <c r="A11" s="11" t="s">
        <v>358</v>
      </c>
      <c r="B11" s="50">
        <v>10</v>
      </c>
      <c r="C11" s="50">
        <v>10</v>
      </c>
      <c r="D11" s="50">
        <v>10</v>
      </c>
      <c r="E11" s="50">
        <v>9</v>
      </c>
      <c r="F11" s="50">
        <v>9</v>
      </c>
    </row>
    <row r="13" ht="24" customHeight="1" spans="1:6" x14ac:dyDescent="0.25">
      <c r="A13" s="19" t="s">
        <v>379</v>
      </c>
      <c r="B13" s="19"/>
      <c r="C13" s="19"/>
      <c r="D13" s="19"/>
      <c r="E13" s="19"/>
      <c r="F13" s="19"/>
    </row>
    <row r="14" spans="1:1" x14ac:dyDescent="0.25">
      <c r="A14" s="17" t="s">
        <v>380</v>
      </c>
    </row>
    <row r="15" ht="28" customHeight="1" spans="1:6" x14ac:dyDescent="0.25">
      <c r="A15" s="21" t="s">
        <v>7</v>
      </c>
      <c r="B15" s="21" t="s">
        <v>106</v>
      </c>
      <c r="C15" s="21" t="s">
        <v>107</v>
      </c>
      <c r="D15" s="21" t="s">
        <v>108</v>
      </c>
      <c r="E15" s="21" t="s">
        <v>109</v>
      </c>
      <c r="F15" s="21" t="s">
        <v>110</v>
      </c>
    </row>
    <row r="16" spans="1:6" x14ac:dyDescent="0.25">
      <c r="A16" s="11" t="s">
        <v>344</v>
      </c>
      <c r="B16" s="25">
        <v>147733</v>
      </c>
      <c r="C16" s="25">
        <v>272410</v>
      </c>
      <c r="D16" s="25">
        <v>342357</v>
      </c>
      <c r="E16" s="25">
        <v>400414</v>
      </c>
      <c r="F16" s="25">
        <v>412868</v>
      </c>
    </row>
    <row r="17" spans="1:6" x14ac:dyDescent="0.25">
      <c r="A17" s="11" t="s">
        <v>284</v>
      </c>
      <c r="B17" s="25">
        <v>159434</v>
      </c>
      <c r="C17" s="25">
        <v>202005</v>
      </c>
      <c r="D17" s="25">
        <v>211460</v>
      </c>
      <c r="E17" s="25">
        <v>220426</v>
      </c>
      <c r="F17" s="25">
        <v>227039</v>
      </c>
    </row>
    <row r="18" spans="1:6" x14ac:dyDescent="0.25">
      <c r="A18" s="10" t="s">
        <v>286</v>
      </c>
      <c r="B18" s="33">
        <v>-11701</v>
      </c>
      <c r="C18" s="33">
        <v>70405</v>
      </c>
      <c r="D18" s="33">
        <v>130897</v>
      </c>
      <c r="E18" s="33">
        <v>179988</v>
      </c>
      <c r="F18" s="33">
        <v>185829</v>
      </c>
    </row>
    <row r="19" spans="1:6" x14ac:dyDescent="0.25">
      <c r="A19" s="11" t="s">
        <v>287</v>
      </c>
      <c r="B19" s="26">
        <v>-0.07920239169675096</v>
      </c>
      <c r="C19" s="26">
        <v>0.2584526022577766</v>
      </c>
      <c r="D19" s="26">
        <v>0.3823410321470617</v>
      </c>
      <c r="E19" s="26">
        <v>0.4495048046097289</v>
      </c>
      <c r="F19" s="26">
        <v>0.45009358278672595</v>
      </c>
    </row>
    <row r="20" spans="1:6" x14ac:dyDescent="0.25">
      <c r="A20" s="11" t="s">
        <v>348</v>
      </c>
      <c r="B20" s="56" t="s">
        <v>349</v>
      </c>
      <c r="C20" s="56" t="s">
        <v>349</v>
      </c>
      <c r="D20" s="56" t="s">
        <v>349</v>
      </c>
      <c r="E20" s="56" t="s">
        <v>349</v>
      </c>
      <c r="F20" s="56" t="s">
        <v>349</v>
      </c>
    </row>
    <row r="21" spans="1:6" x14ac:dyDescent="0.25">
      <c r="A21" s="11" t="s">
        <v>358</v>
      </c>
      <c r="B21" s="50">
        <v>12</v>
      </c>
      <c r="C21" s="50">
        <v>10</v>
      </c>
      <c r="D21" s="50">
        <v>10</v>
      </c>
      <c r="E21" s="50">
        <v>10</v>
      </c>
      <c r="F21" s="50">
        <v>10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5"/>
  <sheetFormatPr defaultRowHeight="15" outlineLevelRow="0" outlineLevelCol="0" x14ac:dyDescent="55"/>
  <cols>
    <col min="1" max="1" width="28" customWidth="1"/>
    <col min="2" max="2" width="30" customWidth="1"/>
    <col min="3" max="3" width="4" customWidth="1"/>
    <col min="4" max="8" width="14" customWidth="1"/>
  </cols>
  <sheetData>
    <row r="1" spans="1:8" x14ac:dyDescent="0.25">
      <c r="A1" s="15" t="s">
        <v>381</v>
      </c>
      <c r="B1" s="15"/>
      <c r="C1" s="15"/>
      <c r="D1" s="15"/>
      <c r="E1" s="15"/>
      <c r="F1" s="15"/>
      <c r="G1" s="15"/>
      <c r="H1" s="15"/>
    </row>
    <row r="3" ht="24" customHeight="1" spans="1:2" x14ac:dyDescent="0.25">
      <c r="A3" s="19" t="s">
        <v>100</v>
      </c>
      <c r="B3" s="19"/>
    </row>
    <row r="4" spans="1:2" x14ac:dyDescent="0.25">
      <c r="A4" s="11" t="s">
        <v>32</v>
      </c>
      <c r="B4" s="11" t="s">
        <v>1</v>
      </c>
    </row>
    <row r="5" spans="1:2" x14ac:dyDescent="0.25">
      <c r="A5" s="11" t="s">
        <v>145</v>
      </c>
      <c r="B5" s="11" t="s">
        <v>34</v>
      </c>
    </row>
    <row r="6" spans="1:2" x14ac:dyDescent="0.25">
      <c r="A6" s="11" t="s">
        <v>382</v>
      </c>
      <c r="B6" s="11" t="s">
        <v>36</v>
      </c>
    </row>
    <row r="7" spans="1:2" x14ac:dyDescent="0.25">
      <c r="A7" s="11" t="s">
        <v>43</v>
      </c>
      <c r="B7" s="11" t="s">
        <v>44</v>
      </c>
    </row>
    <row r="8" spans="1:2" x14ac:dyDescent="0.25">
      <c r="A8" s="11" t="s">
        <v>37</v>
      </c>
      <c r="B8" s="11" t="s">
        <v>38</v>
      </c>
    </row>
    <row r="9" spans="1:2" x14ac:dyDescent="0.25">
      <c r="A9" s="11" t="s">
        <v>383</v>
      </c>
      <c r="B9" s="11" t="s">
        <v>46</v>
      </c>
    </row>
    <row r="11" ht="24" customHeight="1" spans="1:8" x14ac:dyDescent="0.25">
      <c r="A11" s="19" t="s">
        <v>384</v>
      </c>
      <c r="B11" s="19"/>
      <c r="C11" s="19"/>
      <c r="D11" s="19"/>
      <c r="E11" s="19"/>
      <c r="F11" s="19"/>
      <c r="G11" s="19"/>
      <c r="H11" s="19"/>
    </row>
    <row r="12" spans="1:8" x14ac:dyDescent="0.25">
      <c r="A12" t="s">
        <v>7</v>
      </c>
      <c r="B12" t="s">
        <v>7</v>
      </c>
      <c r="C12" t="s">
        <v>7</v>
      </c>
      <c r="D12" s="57" t="s">
        <v>106</v>
      </c>
      <c r="E12" s="57" t="s">
        <v>107</v>
      </c>
      <c r="F12" s="57" t="s">
        <v>108</v>
      </c>
      <c r="G12" s="57" t="s">
        <v>109</v>
      </c>
      <c r="H12" s="57" t="s">
        <v>110</v>
      </c>
    </row>
    <row r="13" spans="1:8" x14ac:dyDescent="0.25">
      <c r="A13" s="11" t="s">
        <v>344</v>
      </c>
      <c r="D13" s="25">
        <v>184667</v>
      </c>
      <c r="E13" s="25">
        <v>340512</v>
      </c>
      <c r="F13" s="25">
        <v>427946</v>
      </c>
      <c r="G13" s="25">
        <v>500518</v>
      </c>
      <c r="H13" s="25">
        <v>516085</v>
      </c>
    </row>
    <row r="14" spans="1:8" x14ac:dyDescent="0.25">
      <c r="A14" s="11" t="s">
        <v>284</v>
      </c>
      <c r="D14" s="25">
        <v>159434</v>
      </c>
      <c r="E14" s="25">
        <v>202005</v>
      </c>
      <c r="F14" s="25">
        <v>211460</v>
      </c>
      <c r="G14" s="25">
        <v>220426</v>
      </c>
      <c r="H14" s="25">
        <v>227039</v>
      </c>
    </row>
    <row r="15" spans="1:8" x14ac:dyDescent="0.25">
      <c r="A15" s="11" t="s">
        <v>286</v>
      </c>
      <c r="D15" s="25">
        <v>25232</v>
      </c>
      <c r="E15" s="25">
        <v>138507</v>
      </c>
      <c r="F15" s="25">
        <v>216486</v>
      </c>
      <c r="G15" s="25">
        <v>280092</v>
      </c>
      <c r="H15" s="25">
        <v>289046</v>
      </c>
    </row>
    <row r="16" spans="1:8" x14ac:dyDescent="0.25">
      <c r="A16" s="11" t="s">
        <v>385</v>
      </c>
      <c r="D16" s="25">
        <v>62170</v>
      </c>
      <c r="E16" s="25">
        <v>200677</v>
      </c>
      <c r="F16" s="25">
        <v>417164</v>
      </c>
      <c r="G16" s="25">
        <v>697255</v>
      </c>
      <c r="H16" s="25">
        <v>986301</v>
      </c>
    </row>
    <row r="17" spans="1:8" x14ac:dyDescent="0.25">
      <c r="A17" s="11" t="s">
        <v>386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</row>
    <row r="19" ht="24" customHeight="1" spans="1:8" x14ac:dyDescent="0.25">
      <c r="A19" s="19" t="s">
        <v>387</v>
      </c>
      <c r="B19" s="19"/>
      <c r="C19" s="19"/>
      <c r="D19" s="19"/>
      <c r="E19" s="19"/>
      <c r="F19" s="19"/>
      <c r="G19" s="19"/>
      <c r="H19" s="19"/>
    </row>
    <row r="20" spans="1:8" x14ac:dyDescent="0.25">
      <c r="A20" t="s">
        <v>7</v>
      </c>
      <c r="B20" t="s">
        <v>7</v>
      </c>
      <c r="C20" t="s">
        <v>7</v>
      </c>
      <c r="D20" s="57" t="s">
        <v>106</v>
      </c>
      <c r="E20" s="57" t="s">
        <v>107</v>
      </c>
      <c r="F20" s="57" t="s">
        <v>108</v>
      </c>
      <c r="G20" s="57" t="s">
        <v>109</v>
      </c>
      <c r="H20" s="57" t="s">
        <v>110</v>
      </c>
    </row>
    <row r="21" spans="1:8" x14ac:dyDescent="0.25">
      <c r="A21" s="11" t="s">
        <v>388</v>
      </c>
      <c r="D21" s="26">
        <v>0.13663808664259913</v>
      </c>
      <c r="E21" s="26">
        <v>0.4067620818062212</v>
      </c>
      <c r="F21" s="26">
        <v>0.5058728257176494</v>
      </c>
      <c r="G21" s="26">
        <v>0.5596038436877832</v>
      </c>
      <c r="H21" s="26">
        <v>0.5600748662293807</v>
      </c>
    </row>
    <row r="22" spans="1:8" x14ac:dyDescent="0.25">
      <c r="A22" s="11" t="s">
        <v>348</v>
      </c>
      <c r="D22" s="56" t="s">
        <v>349</v>
      </c>
      <c r="E22" s="56" t="s">
        <v>349</v>
      </c>
      <c r="F22" s="56" t="s">
        <v>349</v>
      </c>
      <c r="G22" s="56" t="s">
        <v>349</v>
      </c>
      <c r="H22" s="56" t="s">
        <v>349</v>
      </c>
    </row>
    <row r="23" spans="1:8" x14ac:dyDescent="0.25">
      <c r="A23" s="11" t="s">
        <v>214</v>
      </c>
      <c r="D23" s="26">
        <v>0.48</v>
      </c>
      <c r="E23" s="26">
        <v>0.72</v>
      </c>
      <c r="F23" s="26">
        <v>0.88</v>
      </c>
      <c r="G23" s="26">
        <v>1</v>
      </c>
      <c r="H23" s="26">
        <v>1</v>
      </c>
    </row>
    <row r="24" spans="1:8" x14ac:dyDescent="0.25">
      <c r="A24" s="11" t="s">
        <v>389</v>
      </c>
      <c r="D24" s="50">
        <v>12</v>
      </c>
      <c r="E24" s="50">
        <v>18</v>
      </c>
      <c r="F24" s="50">
        <v>22</v>
      </c>
      <c r="G24" s="50">
        <v>25</v>
      </c>
      <c r="H24" s="50">
        <v>25</v>
      </c>
    </row>
    <row r="26" ht="24" customHeight="1" spans="1:8" x14ac:dyDescent="0.25">
      <c r="A26" s="19" t="s">
        <v>390</v>
      </c>
      <c r="B26" s="19"/>
      <c r="C26" s="19"/>
      <c r="D26" s="19"/>
      <c r="E26" s="19"/>
      <c r="F26" s="19"/>
      <c r="G26" s="19"/>
      <c r="H26" s="19"/>
    </row>
    <row r="27" spans="1:8" x14ac:dyDescent="0.25">
      <c r="A27" t="s">
        <v>7</v>
      </c>
      <c r="B27" t="s">
        <v>7</v>
      </c>
      <c r="C27" t="s">
        <v>7</v>
      </c>
      <c r="D27" s="57" t="s">
        <v>106</v>
      </c>
      <c r="E27" s="57" t="s">
        <v>107</v>
      </c>
      <c r="F27" s="57" t="s">
        <v>108</v>
      </c>
      <c r="G27" s="57" t="s">
        <v>109</v>
      </c>
      <c r="H27" s="57" t="s">
        <v>110</v>
      </c>
    </row>
    <row r="28" spans="1:8" x14ac:dyDescent="0.25">
      <c r="A28" s="11" t="s">
        <v>391</v>
      </c>
      <c r="D28" s="50">
        <v>11</v>
      </c>
      <c r="E28" s="50">
        <v>11</v>
      </c>
      <c r="F28" s="50">
        <v>11</v>
      </c>
      <c r="G28" s="50">
        <v>11</v>
      </c>
      <c r="H28" s="50">
        <v>11</v>
      </c>
    </row>
    <row r="29" spans="1:8" x14ac:dyDescent="0.25">
      <c r="A29" s="11" t="s">
        <v>392</v>
      </c>
      <c r="D29" s="26">
        <v>0.44</v>
      </c>
      <c r="E29" s="26">
        <v>0.44</v>
      </c>
      <c r="F29" s="26">
        <v>0.44</v>
      </c>
      <c r="G29" s="26">
        <v>0.44</v>
      </c>
      <c r="H29" s="26">
        <v>0.44</v>
      </c>
    </row>
    <row r="30" spans="1:8" x14ac:dyDescent="0.25">
      <c r="A30" s="11" t="s">
        <v>393</v>
      </c>
      <c r="D30" s="56">
        <v>1.56</v>
      </c>
      <c r="E30" s="56">
        <v>14.81</v>
      </c>
      <c r="F30" s="56">
        <v>25.89</v>
      </c>
      <c r="G30" s="56">
        <v>34.9</v>
      </c>
      <c r="H30" s="56">
        <v>36.05</v>
      </c>
    </row>
    <row r="31" spans="1:8" x14ac:dyDescent="0.25">
      <c r="A31" s="11" t="s">
        <v>394</v>
      </c>
      <c r="D31" s="25">
        <v>18898</v>
      </c>
      <c r="E31" s="25">
        <v>115034</v>
      </c>
      <c r="F31" s="25">
        <v>288247</v>
      </c>
      <c r="G31" s="25">
        <v>524160</v>
      </c>
      <c r="H31" s="25">
        <v>768075</v>
      </c>
    </row>
    <row r="32" spans="1:8" x14ac:dyDescent="0.25">
      <c r="A32" s="11" t="s">
        <v>395</v>
      </c>
      <c r="D32" s="56" t="s">
        <v>349</v>
      </c>
      <c r="E32" s="56">
        <v>9.71</v>
      </c>
      <c r="F32" s="56">
        <v>20.63</v>
      </c>
      <c r="G32" s="56">
        <v>26.78</v>
      </c>
      <c r="H32" s="56">
        <v>27.68</v>
      </c>
    </row>
    <row r="33" spans="1:8" x14ac:dyDescent="0.25">
      <c r="A33" s="11" t="s">
        <v>396</v>
      </c>
      <c r="D33" s="25">
        <v>4523</v>
      </c>
      <c r="E33" s="25">
        <v>65131</v>
      </c>
      <c r="F33" s="25">
        <v>201757</v>
      </c>
      <c r="G33" s="25">
        <v>381152</v>
      </c>
      <c r="H33" s="25">
        <v>566866</v>
      </c>
    </row>
    <row r="35" spans="1:8" x14ac:dyDescent="0.25">
      <c r="A35" s="14" t="s">
        <v>397</v>
      </c>
      <c r="B35" s="14"/>
      <c r="C35" s="14"/>
      <c r="D35" s="14"/>
      <c r="E35" s="14"/>
      <c r="F35" s="14"/>
      <c r="G35" s="14"/>
      <c r="H35" s="14"/>
    </row>
  </sheetData>
  <mergeCells count="2">
    <mergeCell ref="A1:H1"/>
    <mergeCell ref="A35:H35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8555"/>
    <pageSetUpPr fitToPage="1"/>
  </sheetPr>
  <dimension ref="B2:I39"/>
  <sheetFormatPr defaultRowHeight="15" outlineLevelRow="0" outlineLevelCol="0" x14ac:dyDescent="55"/>
  <cols>
    <col min="1" max="1" width="4" customWidth="1"/>
    <col min="2" max="2" width="28" customWidth="1"/>
    <col min="3" max="7" width="16" customWidth="1"/>
    <col min="8" max="8" width="20" customWidth="1"/>
    <col min="9" max="9" width="40" customWidth="1"/>
  </cols>
  <sheetData>
    <row r="2" ht="30" customHeight="1" spans="2:9" x14ac:dyDescent="0.25">
      <c r="B2" s="1" t="s">
        <v>398</v>
      </c>
      <c r="C2" s="1"/>
      <c r="D2" s="1"/>
      <c r="E2" s="1"/>
      <c r="F2" s="1"/>
      <c r="G2" s="1"/>
      <c r="H2" s="1"/>
      <c r="I2" s="1"/>
    </row>
    <row r="3" spans="2:9" x14ac:dyDescent="0.25">
      <c r="B3" s="58" t="s">
        <v>399</v>
      </c>
      <c r="C3" s="58"/>
      <c r="D3" s="58"/>
      <c r="E3" s="58"/>
      <c r="F3" s="58"/>
      <c r="G3" s="58"/>
      <c r="H3" s="58"/>
      <c r="I3" s="58"/>
    </row>
    <row r="4" spans="2:6" x14ac:dyDescent="0.25">
      <c r="B4" s="59" t="s">
        <v>400</v>
      </c>
      <c r="D4" s="60" t="s">
        <v>401</v>
      </c>
      <c r="F4" s="61" t="s">
        <v>402</v>
      </c>
    </row>
    <row r="6" ht="24" customHeight="1" spans="2:8" x14ac:dyDescent="0.25">
      <c r="B6" s="19" t="s">
        <v>403</v>
      </c>
      <c r="C6" s="62" t="s">
        <v>404</v>
      </c>
      <c r="D6" s="62" t="s">
        <v>405</v>
      </c>
      <c r="E6" s="62" t="s">
        <v>406</v>
      </c>
      <c r="F6" s="62" t="s">
        <v>407</v>
      </c>
      <c r="G6" s="62" t="s">
        <v>408</v>
      </c>
      <c r="H6" s="62" t="s">
        <v>409</v>
      </c>
    </row>
    <row r="7" spans="2:7" x14ac:dyDescent="0.25">
      <c r="B7" s="11" t="s">
        <v>389</v>
      </c>
      <c r="C7" s="63">
        <v>12</v>
      </c>
      <c r="D7" s="63">
        <v>18</v>
      </c>
      <c r="E7" s="63">
        <v>22</v>
      </c>
      <c r="F7" s="63">
        <v>25</v>
      </c>
      <c r="G7" s="63">
        <v>25</v>
      </c>
    </row>
    <row r="8" spans="2:7" x14ac:dyDescent="0.25">
      <c r="B8" s="11" t="s">
        <v>344</v>
      </c>
      <c r="C8" s="64">
        <v>184666.66666666666</v>
      </c>
      <c r="D8" s="64">
        <v>340512</v>
      </c>
      <c r="E8" s="64">
        <v>427945.8</v>
      </c>
      <c r="F8" s="64">
        <v>500517.5</v>
      </c>
      <c r="G8" s="64">
        <v>516085</v>
      </c>
    </row>
    <row r="9" spans="2:7" x14ac:dyDescent="0.25">
      <c r="B9" s="11" t="s">
        <v>305</v>
      </c>
      <c r="C9" s="64">
        <v>118934.16666666667</v>
      </c>
      <c r="D9" s="64">
        <v>147002.63</v>
      </c>
      <c r="E9" s="64">
        <v>151412.70889999997</v>
      </c>
      <c r="F9" s="64">
        <v>155955.09016700002</v>
      </c>
      <c r="G9" s="64">
        <v>160633.74287201</v>
      </c>
    </row>
    <row r="10" spans="2:7" x14ac:dyDescent="0.25">
      <c r="B10" s="11" t="s">
        <v>306</v>
      </c>
      <c r="C10" s="64">
        <v>40500</v>
      </c>
      <c r="D10" s="64">
        <v>55002</v>
      </c>
      <c r="E10" s="64">
        <v>60046.93999999999</v>
      </c>
      <c r="F10" s="64">
        <v>64470.893</v>
      </c>
      <c r="G10" s="64">
        <v>66405.01979</v>
      </c>
    </row>
    <row r="11" spans="2:7" x14ac:dyDescent="0.25">
      <c r="B11" s="11" t="s">
        <v>307</v>
      </c>
      <c r="C11" s="64">
        <v>0</v>
      </c>
      <c r="D11" s="64">
        <v>0</v>
      </c>
      <c r="E11" s="64">
        <v>0</v>
      </c>
      <c r="F11" s="64">
        <v>0</v>
      </c>
      <c r="G11" s="64">
        <v>0</v>
      </c>
    </row>
    <row r="12" spans="2:7" x14ac:dyDescent="0.25">
      <c r="B12" s="10" t="s">
        <v>286</v>
      </c>
      <c r="C12" s="65">
        <v>25232.49999999997</v>
      </c>
      <c r="D12" s="65">
        <v>138507.37</v>
      </c>
      <c r="E12" s="65">
        <v>216486.15110000002</v>
      </c>
      <c r="F12" s="65">
        <v>280091.516833</v>
      </c>
      <c r="G12" s="65">
        <v>289046.23733798997</v>
      </c>
    </row>
    <row r="13" spans="2:7" x14ac:dyDescent="0.25">
      <c r="B13" s="10" t="s">
        <v>351</v>
      </c>
      <c r="C13" s="65">
        <v>62170</v>
      </c>
      <c r="D13" s="65">
        <v>200677.37</v>
      </c>
      <c r="E13" s="65">
        <v>417163.5211</v>
      </c>
      <c r="F13" s="65">
        <v>697255.037933</v>
      </c>
      <c r="G13" s="65">
        <v>986301.27527099</v>
      </c>
    </row>
    <row r="14" spans="2:7" x14ac:dyDescent="0.25">
      <c r="B14" s="10" t="s">
        <v>388</v>
      </c>
      <c r="C14" s="66">
        <v>0.13663808664259913</v>
      </c>
      <c r="D14" s="66">
        <v>0.4067620818062212</v>
      </c>
      <c r="E14" s="66">
        <v>0.5058728257176494</v>
      </c>
      <c r="F14" s="66">
        <v>0.5596038436877832</v>
      </c>
      <c r="G14" s="66">
        <v>0.5600748662293807</v>
      </c>
    </row>
    <row r="15" spans="2:8" x14ac:dyDescent="0.25">
      <c r="B15" s="10" t="s">
        <v>252</v>
      </c>
      <c r="C15" s="67">
        <v>15388.888888888889</v>
      </c>
      <c r="D15" s="67">
        <v>18917.333333333332</v>
      </c>
      <c r="E15" s="67">
        <v>19452.081818181818</v>
      </c>
      <c r="F15" s="67">
        <v>20020.7</v>
      </c>
      <c r="G15" s="67">
        <v>20643.4</v>
      </c>
      <c r="H15" s="68" t="s">
        <v>410</v>
      </c>
    </row>
    <row r="16" spans="2:7" x14ac:dyDescent="0.25">
      <c r="B16" s="10" t="s">
        <v>289</v>
      </c>
      <c r="C16" s="69">
        <v>13286.180555555557</v>
      </c>
      <c r="D16" s="69">
        <v>11222.479444444445</v>
      </c>
      <c r="E16" s="69">
        <v>9611.802222727272</v>
      </c>
      <c r="F16" s="69">
        <v>8817.03932668</v>
      </c>
      <c r="G16" s="69">
        <v>9081.550506480402</v>
      </c>
    </row>
    <row r="17" spans="2:7" x14ac:dyDescent="0.25">
      <c r="B17" s="11" t="s">
        <v>411</v>
      </c>
      <c r="C17" s="64">
        <v>500</v>
      </c>
      <c r="D17" s="64">
        <v>515</v>
      </c>
      <c r="E17" s="64">
        <v>530.4499999999999</v>
      </c>
      <c r="F17" s="64">
        <v>546.3635</v>
      </c>
      <c r="G17" s="64">
        <v>562.754405</v>
      </c>
    </row>
    <row r="18" spans="2:8" x14ac:dyDescent="0.25">
      <c r="B18" s="11" t="s">
        <v>412</v>
      </c>
      <c r="C18" s="70">
        <v>3000</v>
      </c>
      <c r="D18" s="70">
        <v>2060</v>
      </c>
      <c r="E18" s="67">
        <v>1736.0181818181816</v>
      </c>
      <c r="F18" s="67">
        <v>1573.52688</v>
      </c>
      <c r="G18" s="67">
        <v>1620.7326864000001</v>
      </c>
      <c r="H18" s="68" t="s">
        <v>413</v>
      </c>
    </row>
    <row r="19" spans="2:7" x14ac:dyDescent="0.25">
      <c r="B19" s="10" t="s">
        <v>414</v>
      </c>
      <c r="C19" s="71">
        <v>2102.7083333333308</v>
      </c>
      <c r="D19" s="71">
        <v>7694.853888888889</v>
      </c>
      <c r="E19" s="71">
        <v>9840.279595454545</v>
      </c>
      <c r="F19" s="71">
        <v>11203.66067332</v>
      </c>
      <c r="G19" s="71">
        <v>11561.8494935196</v>
      </c>
    </row>
    <row r="20" spans="2:8" x14ac:dyDescent="0.25">
      <c r="B20" s="10" t="s">
        <v>415</v>
      </c>
      <c r="C20" s="72">
        <v>0.6440478339350181</v>
      </c>
      <c r="D20" s="66">
        <v>0.4317105711399305</v>
      </c>
      <c r="E20" s="66">
        <v>0.3538128167165094</v>
      </c>
      <c r="F20" s="66">
        <v>0.31158768707787443</v>
      </c>
      <c r="G20" s="66">
        <v>0.3112544307081392</v>
      </c>
      <c r="H20" s="68" t="s">
        <v>416</v>
      </c>
    </row>
    <row r="21" spans="2:8" x14ac:dyDescent="0.25">
      <c r="B21" s="10" t="s">
        <v>417</v>
      </c>
      <c r="C21" s="72">
        <v>0.19494584837545129</v>
      </c>
      <c r="D21" s="66">
        <v>0.10889484071045955</v>
      </c>
      <c r="E21" s="66">
        <v>0.0892458811372842</v>
      </c>
      <c r="F21" s="66">
        <v>0.07859499817688692</v>
      </c>
      <c r="G21" s="66">
        <v>0.07851093746185223</v>
      </c>
      <c r="H21" s="68" t="s">
        <v>418</v>
      </c>
    </row>
    <row r="22" spans="2:8" x14ac:dyDescent="0.25">
      <c r="B22" s="10" t="s">
        <v>419</v>
      </c>
      <c r="C22" s="66">
        <v>0.13663808664259922</v>
      </c>
      <c r="D22" s="66">
        <v>0.4067620818062212</v>
      </c>
      <c r="E22" s="66">
        <v>0.5058728257176494</v>
      </c>
      <c r="F22" s="66">
        <v>0.5596038436877832</v>
      </c>
      <c r="G22" s="66">
        <v>0.5600748662293809</v>
      </c>
      <c r="H22" s="68" t="s">
        <v>420</v>
      </c>
    </row>
    <row r="23" spans="2:8" x14ac:dyDescent="0.25">
      <c r="B23" s="10" t="s">
        <v>421</v>
      </c>
      <c r="C23" s="73">
        <v>3</v>
      </c>
      <c r="D23" s="73">
        <v>3</v>
      </c>
      <c r="E23" s="73">
        <v>3</v>
      </c>
      <c r="F23" s="73">
        <v>3</v>
      </c>
      <c r="G23" s="73">
        <v>3</v>
      </c>
      <c r="H23" s="68" t="s">
        <v>422</v>
      </c>
    </row>
    <row r="24" spans="2:8" x14ac:dyDescent="0.25">
      <c r="B24" s="10" t="s">
        <v>348</v>
      </c>
      <c r="C24" s="74" t="s">
        <v>349</v>
      </c>
      <c r="D24" s="74" t="s">
        <v>349</v>
      </c>
      <c r="E24" s="74" t="s">
        <v>349</v>
      </c>
      <c r="F24" s="74" t="s">
        <v>349</v>
      </c>
      <c r="G24" s="74" t="s">
        <v>349</v>
      </c>
      <c r="H24" s="68" t="s">
        <v>349</v>
      </c>
    </row>
    <row r="25" spans="2:8" x14ac:dyDescent="0.25">
      <c r="B25" s="10" t="s">
        <v>423</v>
      </c>
      <c r="C25" s="42" t="str">
        <f>IF('5-Year Operating Stmt'!B18&gt;=0,"✓ Break-even","")</f>
        <v>✓ Break-even</v>
      </c>
      <c r="D25" s="75" t="str">
        <f>IF(AND('5-Year Operating Stmt'!C18&gt;=0,'5-Year Operating Stmt'!B18&lt;0),"✓ Break-even","")</f>
        <v>0</v>
      </c>
      <c r="E25" s="75" t="str">
        <f>IF(AND('5-Year Operating Stmt'!D18&gt;=0,'5-Year Operating Stmt'!C18&lt;0),"✓ Break-even","")</f>
        <v>0</v>
      </c>
      <c r="F25" s="75" t="str">
        <f>IF(AND('5-Year Operating Stmt'!E18&gt;=0,'5-Year Operating Stmt'!D18&lt;0),"✓ Break-even","")</f>
        <v>0</v>
      </c>
      <c r="G25" s="75" t="str">
        <f>IF(AND('5-Year Operating Stmt'!F18&gt;=0,'5-Year Operating Stmt'!E18&lt;0),"✓ Break-even","")</f>
        <v>0</v>
      </c>
      <c r="H25" s="68" t="s">
        <v>404</v>
      </c>
    </row>
    <row r="26" spans="2:8" x14ac:dyDescent="0.25">
      <c r="B26" s="10" t="s">
        <v>424</v>
      </c>
      <c r="C26" s="76">
        <v>5</v>
      </c>
      <c r="D26" s="77">
        <v>12</v>
      </c>
      <c r="E26" s="73">
        <v>24</v>
      </c>
      <c r="F26" s="73">
        <v>38</v>
      </c>
      <c r="G26" s="73">
        <v>52</v>
      </c>
      <c r="H26" s="68" t="s">
        <v>425</v>
      </c>
    </row>
    <row r="27" spans="2:8" x14ac:dyDescent="0.25">
      <c r="B27" s="10" t="s">
        <v>353</v>
      </c>
      <c r="C27" s="73">
        <v>142</v>
      </c>
      <c r="D27" s="73">
        <v>363</v>
      </c>
      <c r="E27" s="73">
        <v>720</v>
      </c>
      <c r="F27" s="73">
        <v>1155</v>
      </c>
      <c r="G27" s="73">
        <v>1586</v>
      </c>
      <c r="H27" s="68" t="s">
        <v>426</v>
      </c>
    </row>
    <row r="29" ht="24" customHeight="1" spans="2:9" x14ac:dyDescent="0.25">
      <c r="B29" s="19" t="s">
        <v>427</v>
      </c>
      <c r="C29" s="19" t="s">
        <v>428</v>
      </c>
      <c r="D29" s="19" t="s">
        <v>429</v>
      </c>
      <c r="E29" s="19"/>
      <c r="F29" s="19" t="s">
        <v>430</v>
      </c>
      <c r="G29" s="19"/>
      <c r="H29" s="19"/>
      <c r="I29" s="19"/>
    </row>
    <row r="30" ht="45" customHeight="1" spans="2:9" x14ac:dyDescent="0.25">
      <c r="B30" s="44" t="s">
        <v>431</v>
      </c>
      <c r="C30" s="42" t="s">
        <v>432</v>
      </c>
      <c r="D30" s="78" t="s">
        <v>433</v>
      </c>
      <c r="E30" s="78"/>
      <c r="F30" s="79" t="s">
        <v>434</v>
      </c>
      <c r="G30" s="79"/>
      <c r="H30" s="79"/>
      <c r="I30" s="79"/>
    </row>
    <row r="31" ht="45" customHeight="1" spans="2:9" x14ac:dyDescent="0.25">
      <c r="B31" s="44" t="s">
        <v>435</v>
      </c>
      <c r="C31" s="42" t="s">
        <v>432</v>
      </c>
      <c r="D31" s="78" t="s">
        <v>436</v>
      </c>
      <c r="E31" s="78"/>
      <c r="F31" s="79" t="s">
        <v>437</v>
      </c>
      <c r="G31" s="79"/>
      <c r="H31" s="79"/>
      <c r="I31" s="79"/>
    </row>
    <row r="32" ht="45" customHeight="1" spans="2:9" x14ac:dyDescent="0.25">
      <c r="B32" s="44" t="s">
        <v>438</v>
      </c>
      <c r="C32" s="42" t="s">
        <v>432</v>
      </c>
      <c r="D32" s="78" t="s">
        <v>439</v>
      </c>
      <c r="E32" s="78"/>
      <c r="F32" s="79" t="s">
        <v>440</v>
      </c>
      <c r="G32" s="79"/>
      <c r="H32" s="79"/>
      <c r="I32" s="79"/>
    </row>
    <row r="33" ht="45" customHeight="1" spans="2:9" x14ac:dyDescent="0.25">
      <c r="B33" s="44" t="s">
        <v>441</v>
      </c>
      <c r="C33" s="42" t="s">
        <v>432</v>
      </c>
      <c r="D33" s="78" t="s">
        <v>442</v>
      </c>
      <c r="E33" s="78"/>
      <c r="F33" s="79" t="s">
        <v>443</v>
      </c>
      <c r="G33" s="79"/>
      <c r="H33" s="79"/>
      <c r="I33" s="79"/>
    </row>
    <row r="34" ht="45" customHeight="1" spans="2:9" x14ac:dyDescent="0.25">
      <c r="B34" s="44" t="s">
        <v>444</v>
      </c>
      <c r="C34" s="42" t="s">
        <v>432</v>
      </c>
      <c r="D34" s="78" t="s">
        <v>445</v>
      </c>
      <c r="E34" s="78"/>
      <c r="F34" s="79" t="s">
        <v>446</v>
      </c>
      <c r="G34" s="79"/>
      <c r="H34" s="79"/>
      <c r="I34" s="79"/>
    </row>
    <row r="35" ht="45" customHeight="1" spans="2:9" x14ac:dyDescent="0.25">
      <c r="B35" s="44" t="s">
        <v>447</v>
      </c>
      <c r="C35" s="42" t="s">
        <v>432</v>
      </c>
      <c r="D35" s="78" t="s">
        <v>448</v>
      </c>
      <c r="E35" s="78"/>
      <c r="F35" s="79" t="s">
        <v>449</v>
      </c>
      <c r="G35" s="79"/>
      <c r="H35" s="79"/>
      <c r="I35" s="79"/>
    </row>
    <row r="37" spans="2:6" x14ac:dyDescent="0.25">
      <c r="B37" s="44" t="s">
        <v>450</v>
      </c>
      <c r="C37" s="10" t="s">
        <v>451</v>
      </c>
      <c r="D37" s="10"/>
      <c r="E37" s="10"/>
      <c r="F37" s="10"/>
    </row>
    <row r="39" spans="2:9" x14ac:dyDescent="0.25">
      <c r="B39" s="80" t="s">
        <v>452</v>
      </c>
      <c r="C39" s="80"/>
      <c r="D39" s="80"/>
      <c r="E39" s="80"/>
      <c r="F39" s="80"/>
      <c r="G39" s="80"/>
      <c r="H39" s="80"/>
      <c r="I39" s="80"/>
    </row>
  </sheetData>
  <mergeCells count="18">
    <mergeCell ref="B2:I2"/>
    <mergeCell ref="B3:I3"/>
    <mergeCell ref="D29:E29"/>
    <mergeCell ref="F29:I29"/>
    <mergeCell ref="D30:E30"/>
    <mergeCell ref="F30:I30"/>
    <mergeCell ref="D31:E31"/>
    <mergeCell ref="F31:I31"/>
    <mergeCell ref="D32:E32"/>
    <mergeCell ref="F32:I32"/>
    <mergeCell ref="D33:E33"/>
    <mergeCell ref="F33:I33"/>
    <mergeCell ref="D34:E34"/>
    <mergeCell ref="F34:I34"/>
    <mergeCell ref="D35:E35"/>
    <mergeCell ref="F35:I35"/>
    <mergeCell ref="C37:F37"/>
    <mergeCell ref="B39:I39"/>
  </mergeCells>
  <conditionalFormatting sqref="C12:G12">
    <cfRule type="expression" dxfId="0" priority="1">
      <formula>C12&gt;=0</formula>
    </cfRule>
    <cfRule type="expression" dxfId="1" priority="2">
      <formula>C12&gt;=-1</formula>
    </cfRule>
    <cfRule type="expression" dxfId="2" priority="3">
      <formula>C12&lt;-1</formula>
    </cfRule>
  </conditionalFormatting>
  <conditionalFormatting sqref="C13:G13">
    <cfRule type="expression" dxfId="3" priority="1">
      <formula>C13&gt;=0</formula>
    </cfRule>
    <cfRule type="expression" dxfId="4" priority="2">
      <formula>C13&gt;=-1</formula>
    </cfRule>
    <cfRule type="expression" dxfId="5" priority="3">
      <formula>C13&lt;-1</formula>
    </cfRule>
  </conditionalFormatting>
  <conditionalFormatting sqref="C14:G14">
    <cfRule type="expression" dxfId="6" priority="1">
      <formula>C14&gt;=0.05</formula>
    </cfRule>
    <cfRule type="expression" dxfId="7" priority="2">
      <formula>C14&gt;=0</formula>
    </cfRule>
    <cfRule type="expression" dxfId="8" priority="3">
      <formula>C14&lt;0</formula>
    </cfRule>
  </conditionalFormatting>
  <conditionalFormatting sqref="C15:G15">
    <cfRule type="expression" dxfId="9" priority="1">
      <formula>C15&gt;=10000</formula>
    </cfRule>
    <cfRule type="expression" dxfId="10" priority="2">
      <formula>C15&gt;=7000</formula>
    </cfRule>
    <cfRule type="expression" dxfId="11" priority="3">
      <formula>C15&lt;7000</formula>
    </cfRule>
  </conditionalFormatting>
  <conditionalFormatting sqref="C20:G20">
    <cfRule type="expression" dxfId="12" priority="1">
      <formula>C20&lt;=0.55</formula>
    </cfRule>
    <cfRule type="expression" dxfId="13" priority="2">
      <formula>C20&lt;=0.65</formula>
    </cfRule>
    <cfRule type="expression" dxfId="14" priority="3">
      <formula>C20&gt;0.65</formula>
    </cfRule>
  </conditionalFormatting>
  <conditionalFormatting sqref="C21:G21">
    <cfRule type="expression" dxfId="15" priority="1">
      <formula>C21&lt;=0.15</formula>
    </cfRule>
    <cfRule type="expression" dxfId="16" priority="2">
      <formula>C21&lt;=0.22</formula>
    </cfRule>
    <cfRule type="expression" dxfId="17" priority="3">
      <formula>C21&gt;0.22</formula>
    </cfRule>
  </conditionalFormatting>
  <conditionalFormatting sqref="C22:G22">
    <cfRule type="expression" dxfId="18" priority="1">
      <formula>C22&gt;=0.10</formula>
    </cfRule>
    <cfRule type="expression" dxfId="19" priority="2">
      <formula>C22&gt;=0</formula>
    </cfRule>
    <cfRule type="expression" dxfId="20" priority="3">
      <formula>C22&lt;0</formula>
    </cfRule>
  </conditionalFormatting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28"/>
  <sheetFormatPr defaultRowHeight="15" outlineLevelRow="0" outlineLevelCol="0" x14ac:dyDescent="55"/>
  <cols>
    <col min="1" max="1" width="30" customWidth="1"/>
    <col min="2" max="2" width="70" customWidth="1"/>
  </cols>
  <sheetData>
    <row r="1" ht="28" customHeight="1" spans="1:2" x14ac:dyDescent="0.25">
      <c r="A1" s="21" t="s">
        <v>93</v>
      </c>
      <c r="B1" s="21"/>
    </row>
    <row r="3" ht="24" customHeight="1" spans="1:2" x14ac:dyDescent="0.25">
      <c r="A3" s="19" t="s">
        <v>453</v>
      </c>
      <c r="B3" s="19"/>
    </row>
    <row r="4" spans="1:2" x14ac:dyDescent="0.25">
      <c r="A4" s="81" t="s">
        <v>454</v>
      </c>
      <c r="B4" s="81"/>
    </row>
    <row r="6" ht="24" customHeight="1" spans="1:2" x14ac:dyDescent="0.25">
      <c r="A6" s="19" t="s">
        <v>455</v>
      </c>
      <c r="B6" s="19"/>
    </row>
    <row r="7" spans="1:2" x14ac:dyDescent="0.25">
      <c r="A7" s="81" t="s">
        <v>454</v>
      </c>
      <c r="B7" s="81"/>
    </row>
    <row r="9" ht="24" customHeight="1" spans="1:2" x14ac:dyDescent="0.25">
      <c r="A9" s="19" t="s">
        <v>456</v>
      </c>
      <c r="B9" s="19"/>
    </row>
    <row r="10" spans="1:2" x14ac:dyDescent="0.25">
      <c r="A10" s="81" t="s">
        <v>454</v>
      </c>
      <c r="B10" s="81"/>
    </row>
    <row r="12" ht="24" customHeight="1" spans="1:2" x14ac:dyDescent="0.25">
      <c r="A12" s="19" t="s">
        <v>457</v>
      </c>
      <c r="B12" s="19"/>
    </row>
    <row r="13" spans="1:2" x14ac:dyDescent="0.25">
      <c r="A13" s="81" t="s">
        <v>454</v>
      </c>
      <c r="B13" s="81"/>
    </row>
    <row r="15" ht="24" customHeight="1" spans="1:2" x14ac:dyDescent="0.25">
      <c r="A15" s="19" t="s">
        <v>458</v>
      </c>
      <c r="B15" s="19"/>
    </row>
    <row r="16" spans="1:2" x14ac:dyDescent="0.25">
      <c r="A16" s="81" t="s">
        <v>454</v>
      </c>
      <c r="B16" s="81"/>
    </row>
    <row r="18" ht="24" customHeight="1" spans="1:2" x14ac:dyDescent="0.25">
      <c r="A18" s="19" t="s">
        <v>459</v>
      </c>
      <c r="B18" s="19"/>
    </row>
    <row r="19" spans="1:2" x14ac:dyDescent="0.25">
      <c r="A19" s="81" t="s">
        <v>454</v>
      </c>
      <c r="B19" s="81"/>
    </row>
    <row r="21" ht="24" customHeight="1" spans="1:2" x14ac:dyDescent="0.25">
      <c r="A21" s="19" t="s">
        <v>460</v>
      </c>
      <c r="B21" s="19"/>
    </row>
    <row r="22" spans="1:2" x14ac:dyDescent="0.25">
      <c r="A22" s="81" t="s">
        <v>454</v>
      </c>
      <c r="B22" s="81"/>
    </row>
    <row r="24" ht="24" customHeight="1" spans="1:2" x14ac:dyDescent="0.25">
      <c r="A24" s="19" t="s">
        <v>461</v>
      </c>
      <c r="B24" s="19"/>
    </row>
    <row r="25" spans="1:2" x14ac:dyDescent="0.25">
      <c r="A25" s="81" t="s">
        <v>454</v>
      </c>
      <c r="B25" s="81"/>
    </row>
    <row r="27" ht="24" customHeight="1" spans="1:2" x14ac:dyDescent="0.25">
      <c r="A27" s="19" t="s">
        <v>462</v>
      </c>
      <c r="B27" s="19"/>
    </row>
    <row r="28" spans="1:2" x14ac:dyDescent="0.25">
      <c r="A28" s="81" t="s">
        <v>454</v>
      </c>
      <c r="B28" s="81"/>
    </row>
  </sheetData>
  <mergeCells count="10">
    <mergeCell ref="A1:B1"/>
    <mergeCell ref="A4:B4"/>
    <mergeCell ref="A7:B7"/>
    <mergeCell ref="A10:B10"/>
    <mergeCell ref="A13:B13"/>
    <mergeCell ref="A16:B16"/>
    <mergeCell ref="A19:B19"/>
    <mergeCell ref="A22:B22"/>
    <mergeCell ref="A25:B25"/>
    <mergeCell ref="A28:B28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"/>
  <sheetFormatPr defaultRowHeight="15" outlineLevelRow="0" outlineLevelCol="0" x14ac:dyDescent="55"/>
  <cols>
    <col min="1" max="1" width="22" customWidth="1"/>
    <col min="2" max="2" width="32" customWidth="1"/>
    <col min="3" max="3" width="22" customWidth="1"/>
    <col min="4" max="4" width="50" customWidth="1"/>
    <col min="5" max="5" width="18" customWidth="1"/>
  </cols>
  <sheetData>
    <row r="1" ht="28" customHeight="1" spans="1:5" x14ac:dyDescent="0.25">
      <c r="A1" s="21" t="s">
        <v>95</v>
      </c>
      <c r="B1" s="21"/>
      <c r="C1" s="21"/>
      <c r="D1" s="21"/>
      <c r="E1" s="21"/>
    </row>
    <row r="3" spans="1:5" x14ac:dyDescent="0.25">
      <c r="A3" s="81" t="s">
        <v>463</v>
      </c>
      <c r="B3" s="81"/>
      <c r="C3" s="81"/>
      <c r="D3" s="81"/>
      <c r="E3" s="81"/>
    </row>
  </sheetData>
  <mergeCells count="2">
    <mergeCell ref="A1:E1"/>
    <mergeCell ref="A3:E3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"/>
  <sheetFormatPr defaultRowHeight="15" outlineLevelRow="0" outlineLevelCol="0" x14ac:dyDescent="55"/>
  <cols>
    <col min="1" max="1" width="32" customWidth="1"/>
    <col min="2" max="2" width="38" customWidth="1"/>
    <col min="3" max="3" width="70" customWidth="1"/>
  </cols>
  <sheetData>
    <row r="1" ht="28" customHeight="1" spans="1:3" x14ac:dyDescent="0.25">
      <c r="A1" s="21" t="s">
        <v>464</v>
      </c>
      <c r="B1" s="21"/>
      <c r="C1" s="21"/>
    </row>
    <row r="2" spans="1:3" x14ac:dyDescent="0.25">
      <c r="A2" s="82" t="s">
        <v>465</v>
      </c>
      <c r="B2" s="82"/>
      <c r="C2" s="82"/>
    </row>
    <row r="4" ht="24" customHeight="1" spans="1:3" x14ac:dyDescent="0.25">
      <c r="A4" s="83" t="s">
        <v>466</v>
      </c>
      <c r="B4" s="83"/>
      <c r="C4" s="83"/>
    </row>
  </sheetData>
  <mergeCells count="3">
    <mergeCell ref="A1:C1"/>
    <mergeCell ref="A2:C2"/>
    <mergeCell ref="A4:C4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8555"/>
    <pageSetUpPr fitToPage="1"/>
  </sheetPr>
  <dimension ref="A1:H11"/>
  <sheetFormatPr defaultRowHeight="15" outlineLevelRow="0" outlineLevelCol="0" x14ac:dyDescent="55"/>
  <cols>
    <col min="1" max="1" width="3" customWidth="1"/>
    <col min="2" max="2" width="30" customWidth="1"/>
    <col min="3" max="3" width="22" customWidth="1"/>
    <col min="4" max="4" width="14" customWidth="1"/>
    <col min="5" max="5" width="30" customWidth="1"/>
    <col min="6" max="6" width="18" customWidth="1"/>
    <col min="7" max="7" width="38" customWidth="1"/>
    <col min="8" max="8" width="50" customWidth="1"/>
  </cols>
  <sheetData>
    <row r="1" ht="24" customHeight="1" spans="2:8" x14ac:dyDescent="0.25">
      <c r="B1" s="15" t="s">
        <v>467</v>
      </c>
      <c r="C1" s="15"/>
      <c r="D1" s="15"/>
      <c r="E1" s="15"/>
      <c r="F1" s="15"/>
      <c r="G1" s="15"/>
      <c r="H1" s="15"/>
    </row>
    <row r="2" ht="44" customHeight="1" spans="2:8" x14ac:dyDescent="0.25">
      <c r="B2" s="84" t="s">
        <v>468</v>
      </c>
      <c r="C2" s="84"/>
      <c r="D2" s="84"/>
      <c r="E2" s="84"/>
      <c r="F2" s="84"/>
      <c r="G2" s="84"/>
      <c r="H2" s="84"/>
    </row>
    <row r="4" ht="28" customHeight="1" spans="2:8" x14ac:dyDescent="0.25">
      <c r="B4" s="85" t="s">
        <v>469</v>
      </c>
      <c r="C4" s="85" t="s">
        <v>145</v>
      </c>
      <c r="D4" s="85" t="s">
        <v>470</v>
      </c>
      <c r="E4" s="85" t="s">
        <v>471</v>
      </c>
      <c r="F4" s="85" t="s">
        <v>472</v>
      </c>
      <c r="G4" s="85" t="s">
        <v>473</v>
      </c>
      <c r="H4" s="85" t="s">
        <v>474</v>
      </c>
    </row>
    <row r="5" ht="64" customHeight="1" spans="1:8" x14ac:dyDescent="0.25">
      <c r="A5" s="86"/>
      <c r="B5" s="87" t="s">
        <v>475</v>
      </c>
      <c r="C5" s="88" t="s">
        <v>476</v>
      </c>
      <c r="D5" s="89" t="s">
        <v>477</v>
      </c>
      <c r="E5" s="88" t="s">
        <v>478</v>
      </c>
      <c r="F5" s="90" t="s">
        <v>479</v>
      </c>
      <c r="G5" s="88" t="s">
        <v>480</v>
      </c>
      <c r="H5" s="88" t="s">
        <v>481</v>
      </c>
    </row>
    <row r="6" ht="32" customHeight="1" spans="1:8" x14ac:dyDescent="0.25">
      <c r="A6" s="86"/>
      <c r="B6" s="87" t="s">
        <v>482</v>
      </c>
      <c r="C6" s="88" t="s">
        <v>483</v>
      </c>
      <c r="D6" s="89" t="s">
        <v>477</v>
      </c>
      <c r="E6" s="88" t="s">
        <v>484</v>
      </c>
      <c r="F6" s="90" t="s">
        <v>485</v>
      </c>
      <c r="G6" s="88" t="s">
        <v>486</v>
      </c>
      <c r="H6" s="88" t="s">
        <v>487</v>
      </c>
    </row>
    <row r="7" ht="64" customHeight="1" spans="1:8" x14ac:dyDescent="0.25">
      <c r="A7" s="91"/>
      <c r="B7" s="87" t="s">
        <v>488</v>
      </c>
      <c r="C7" s="88" t="s">
        <v>489</v>
      </c>
      <c r="D7" s="92" t="s">
        <v>490</v>
      </c>
      <c r="E7" s="88" t="s">
        <v>491</v>
      </c>
      <c r="F7" s="90" t="s">
        <v>492</v>
      </c>
      <c r="G7" s="88" t="s">
        <v>493</v>
      </c>
      <c r="H7" s="88" t="s">
        <v>494</v>
      </c>
    </row>
    <row r="8" ht="32" customHeight="1" spans="1:8" x14ac:dyDescent="0.25">
      <c r="A8" s="93"/>
      <c r="B8" s="87" t="s">
        <v>495</v>
      </c>
      <c r="C8" s="88" t="s">
        <v>483</v>
      </c>
      <c r="D8" s="94" t="s">
        <v>496</v>
      </c>
      <c r="E8" s="88" t="s">
        <v>491</v>
      </c>
      <c r="F8" s="90" t="s">
        <v>497</v>
      </c>
      <c r="G8" s="88" t="s">
        <v>498</v>
      </c>
      <c r="H8" s="88" t="s">
        <v>499</v>
      </c>
    </row>
    <row r="9" ht="32" customHeight="1" spans="1:8" x14ac:dyDescent="0.25">
      <c r="A9" s="93"/>
      <c r="B9" s="87" t="s">
        <v>500</v>
      </c>
      <c r="C9" s="88" t="s">
        <v>489</v>
      </c>
      <c r="D9" s="94" t="s">
        <v>496</v>
      </c>
      <c r="E9" s="88" t="s">
        <v>491</v>
      </c>
      <c r="F9" s="90" t="s">
        <v>501</v>
      </c>
      <c r="G9" s="88" t="s">
        <v>502</v>
      </c>
      <c r="H9" s="88" t="s">
        <v>503</v>
      </c>
    </row>
    <row r="11" spans="2:8" x14ac:dyDescent="0.25">
      <c r="B11" s="58" t="s">
        <v>504</v>
      </c>
      <c r="C11" s="58"/>
      <c r="D11" s="58"/>
      <c r="E11" s="58"/>
      <c r="F11" s="58"/>
      <c r="G11" s="58"/>
      <c r="H11" s="58"/>
    </row>
  </sheetData>
  <mergeCells count="3">
    <mergeCell ref="B1:H1"/>
    <mergeCell ref="B2:H2"/>
    <mergeCell ref="B11:H1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Instructions</vt:lpstr>
      <vt:lpstr>Cover</vt:lpstr>
      <vt:lpstr>Assumptions</vt:lpstr>
      <vt:lpstr>Program Profile</vt:lpstr>
      <vt:lpstr>Enrollment Drivers</vt:lpstr>
      <vt:lpstr>Tuition &amp; Funding</vt:lpstr>
      <vt:lpstr>Staffing Drivers</vt:lpstr>
      <vt:lpstr>OpEx Drivers</vt:lpstr>
      <vt:lpstr>Capital Stack</vt:lpstr>
      <vt:lpstr>Enrollment Tuition Fcst</vt:lpstr>
      <vt:lpstr>Staffing Costs Fcst</vt:lpstr>
      <vt:lpstr>Budget Detail</vt:lpstr>
      <vt:lpstr>Budget Summary</vt:lpstr>
      <vt:lpstr>Monthly Cash Flow Y1</vt:lpstr>
      <vt:lpstr>5-Year Operating Stmt</vt:lpstr>
      <vt:lpstr>Debt Schedule</vt:lpstr>
      <vt:lpstr>Balance Sheet</vt:lpstr>
      <vt:lpstr>DSCR &amp; Covenants</vt:lpstr>
      <vt:lpstr>Sources &amp; Uses</vt:lpstr>
      <vt:lpstr>Scenarios</vt:lpstr>
      <vt:lpstr>Lender Snapshot</vt:lpstr>
      <vt:lpstr>Financial Health</vt:lpstr>
      <vt:lpstr>Budget Narrative</vt:lpstr>
      <vt:lpstr>Assumptions Confidence</vt:lpstr>
      <vt:lpstr>Assumptions Memo</vt:lpstr>
      <vt:lpstr>Decision 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</dc:creator>
  <dc:title/>
  <dc:subject/>
  <dc:description/>
  <cp:keywords/>
  <cp:category/>
  <cp:lastModifiedBy>Unknown</cp:lastModifiedBy>
  <dcterms:created xsi:type="dcterms:W3CDTF">2026-05-09T20:32:51Z</dcterms:created>
  <dcterms:modified xsi:type="dcterms:W3CDTF">2026-05-09T20:32:51Z</dcterms:modified>
</cp:coreProperties>
</file>