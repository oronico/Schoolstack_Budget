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Lender Snapshot" state="visible" r:id="rId24"/>
    <sheet sheetId="22" name="Financial Health" state="visible" r:id="rId25"/>
    <sheet sheetId="23" name="Budget Narrative" state="visible" r:id="rId26"/>
    <sheet sheetId="24" name="Assumptions Confidence" state="visible" r:id="rId27"/>
    <sheet sheetId="25" name="Assumptions Memo" state="visible" r:id="rId28"/>
    <sheet sheetId="26" name="Decision History" state="visible" r:id="rId29"/>
  </sheets>
  <calcPr calcId="171027" fullCalcOnLoad="1"/>
</workbook>
</file>

<file path=xl/sharedStrings.xml><?xml version="1.0" encoding="utf-8"?>
<sst xmlns="http://schemas.openxmlformats.org/spreadsheetml/2006/main" count="876" uniqueCount="505">
  <si>
    <t>How to Use This Workbook</t>
  </si>
  <si>
    <t>Bright Horizons Microschool</t>
  </si>
  <si>
    <t>Generated May 9,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</si>
  <si>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</si>
  <si>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</si>
  <si>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</si>
  <si>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</si>
  <si>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</si>
  <si>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</si>
  <si>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</si>
  <si>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</si>
  <si>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</si>
  <si>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</si>
  <si>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</si>
  <si>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</si>
  <si>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</si>
  <si>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</si>
  <si>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</si>
  <si>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</si>
  <si>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</si>
  <si>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</si>
  <si>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</si>
  <si>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</si>
  <si>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</si>
  <si>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</si>
  <si>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</si>
  <si>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</si>
  <si>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</si>
  <si>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</si>
  <si>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</si>
  <si>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</si>
  <si>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— Founder Planning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</si>
  <si>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</si>
  <si>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</si>
  <si>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</si>
  <si>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</si>
  <si>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</si>
  <si>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</si>
  <si>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</si>
  <si>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</si>
  <si>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</si>
  <si>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</si>
  <si>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May 9,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</si>
  <si>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</si>
  <si>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</si>
  <si>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</si>
  <si>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</si>
  <si>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</si>
  <si>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</si>
  <si>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</si>
  <si>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</si>
  <si>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</si>
  <si>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</si>
  <si>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</si>
  <si>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</si>
  <si>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</si>
  <si>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</si>
  <si>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</si>
  <si>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</si>
  <si>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</si>
  <si>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</si>
  <si>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</si>
  <si>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</si>
  <si>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</si>
  <si>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</si>
  <si>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</si>
  <si>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</si>
  <si>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</si>
  <si>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</si>
  <si>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</si>
  <si>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</si>
  <si>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</si>
  <si>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</si>
  <si>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</si>
  <si>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</si>
  <si>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</si>
  <si>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</si>
  <si>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</si>
  <si>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</si>
  <si>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</si>
  <si>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</si>
  <si>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</si>
  <si>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</si>
  <si>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</si>
  <si>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</si>
  <si>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</si>
  <si>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</si>
  <si>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</si>
  <si>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</si>
  <si>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Lender Snapshot</t>
  </si>
  <si>
    <t>22.</t>
  </si>
  <si>
    <t>Financial Health</t>
  </si>
  <si>
    <t>23.</t>
  </si>
  <si>
    <t>Budget Narrative</t>
  </si>
  <si>
    <t>24.</t>
  </si>
  <si>
    <t>Assumptions Confidence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</si>
  <si>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</si>
  <si>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</si>
  <si>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</si>
  <si>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</si>
  <si>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</si>
  <si>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</si>
  <si>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</si>
  <si>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</si>
  <si>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</si>
  <si>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</si>
  <si>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</si>
  <si>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</si>
  <si>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</si>
  <si>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</si>
  <si>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</si>
  <si>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</si>
  <si>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</si>
  <si>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</si>
  <si>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</si>
  <si>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</si>
  <si>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</si>
  <si>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</si>
  <si>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Timing</t>
  </si>
  <si>
    <t>Tuition</t>
  </si>
  <si>
    <t>Tuition &amp; Fees</t>
  </si>
  <si>
    <t>Per Student</t>
  </si>
  <si>
    <t>Default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</si>
  <si>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</si>
  <si>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</si>
  <si>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</si>
  <si>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</si>
  <si>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</si>
  <si>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</si>
  <si>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</si>
  <si>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</si>
  <si>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</si>
  <si>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REVENUE QUALITY</t>
  </si>
  <si>
    <t>Bucket</t>
  </si>
  <si>
    <t>Contracted</t>
  </si>
  <si>
    <t>Projected</t>
  </si>
  <si>
    <t>Donor-dependent</t>
  </si>
  <si>
    <t>Policy-dependent</t>
  </si>
  <si>
    <t>Contracted %</t>
  </si>
  <si>
    <t>Projected %</t>
  </si>
  <si>
    <t>Donor-dependent %</t>
  </si>
  <si>
    <t>Policy-dependent %</t>
  </si>
  <si>
    <t>Hard Rev Coverage (Contracted ÷ Fixed + Debt)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</si>
  <si>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</si>
  <si>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</si>
  <si>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</si>
  <si>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</si>
  <si>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</si>
  <si>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</si>
  <si>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</si>
  <si>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</si>
  <si>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</si>
  <si>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</si>
  <si>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</si>
  <si>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</si>
  <si>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</si>
  <si>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</si>
  <si>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</si>
  <si>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</si>
  <si>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</si>
  <si>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</si>
  <si>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</si>
  <si>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</si>
  <si>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</si>
  <si>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</si>
  <si>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</si>
  <si>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</si>
  <si>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</si>
  <si>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</si>
  <si>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</si>
  <si>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</si>
  <si>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</si>
  <si>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</si>
  <si>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</si>
  <si>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</si>
  <si>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</si>
  <si>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</si>
  <si>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</si>
  <si>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</si>
  <si>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</si>
  <si>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</si>
  <si>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</si>
  <si>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</si>
  <si>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Enrollment Growth Rate</t>
  </si>
  <si>
    <t>Rent Escalation Rate</t>
  </si>
  <si>
    <t>Tuition Escalation Rate</t>
  </si>
  <si>
    <t>Default Benefits Rate</t>
  </si>
  <si>
    <t>Default Payroll Tax Rate</t>
  </si>
  <si>
    <t>Student Retention Rate</t>
  </si>
  <si>
    <t>REVENUE COLLECTION DEFAULTS</t>
  </si>
  <si>
    <t>Default Billing Months</t>
  </si>
  <si>
    <t>10 months (Aug-May)</t>
  </si>
  <si>
    <t>Default Collection Method</t>
  </si>
  <si>
    <t>Autopay</t>
  </si>
  <si>
    <t>Default Collection Rate</t>
  </si>
  <si>
    <t>Default Collection Delay</t>
  </si>
  <si>
    <t>0 days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</si>
  <si>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</si>
  <si>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</si>
  <si>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</si>
  <si>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</si>
  <si>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</si>
  <si>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</si>
  <si>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</si>
  <si>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</si>
  <si>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</si>
  <si>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</si>
  <si>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</si>
  <si>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</si>
  <si>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</si>
  <si>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</si>
  <si>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</si>
  <si>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</si>
  <si>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</si>
  <si>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</si>
  <si>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</si>
  <si>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</si>
  <si>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</si>
  <si>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</si>
  <si>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</si>
  <si>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</si>
  <si>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</si>
  <si>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</si>
  <si>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</si>
  <si>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</si>
  <si>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</si>
  <si>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</si>
  <si>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</si>
  <si>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Rates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</si>
  <si>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</si>
  <si>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</si>
  <si>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</si>
  <si>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</si>
  <si>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</si>
  <si>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</si>
  <si>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</si>
  <si>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</si>
  <si>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</si>
  <si>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</si>
  <si>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</si>
  <si>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</si>
  <si>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</si>
  <si>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</si>
  <si>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</si>
  <si>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</si>
  <si>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</si>
  <si>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</si>
  <si>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</si>
  <si>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</si>
  <si>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</si>
  <si>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</si>
  <si>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</si>
  <si>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</si>
  <si>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</si>
  <si>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 [1 FTE]</t>
  </si>
  <si>
    <t xml:space="preserve">  Teaching Assistant [0.5 FTE]</t>
  </si>
  <si>
    <t>Total Instructional</t>
  </si>
  <si>
    <t xml:space="preserve">  Founder / Head of School [1 FTE]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</si>
  <si>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</si>
  <si>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</si>
  <si>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</si>
  <si>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</si>
  <si>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</si>
  <si>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</si>
  <si>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</si>
  <si>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</si>
  <si>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</si>
  <si>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</si>
  <si>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</si>
  <si>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Founder / Head of School</t>
  </si>
  <si>
    <t xml:space="preserve">  Lead Teacher</t>
  </si>
  <si>
    <t xml:space="preserve">  Teaching Assistant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</si>
  <si>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</si>
  <si>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</si>
  <si>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</si>
  <si>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</si>
  <si>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</si>
  <si>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</si>
  <si>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</si>
  <si>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</si>
  <si>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</si>
  <si>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</si>
  <si>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</si>
  <si>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</si>
  <si>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</si>
  <si>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</si>
  <si>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</si>
  <si>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</si>
  <si>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</si>
  <si>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</si>
  <si>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</si>
  <si>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</si>
  <si>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</si>
  <si>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</si>
  <si>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</si>
  <si>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</si>
  <si>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</si>
  <si>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</si>
  <si>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</si>
  <si>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</si>
  <si>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</si>
  <si>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</si>
  <si>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</si>
  <si>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</si>
  <si>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</si>
  <si>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</si>
  <si>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</si>
  <si>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</si>
  <si>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</si>
  <si>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</si>
  <si>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</si>
  <si>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</si>
  <si>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</si>
  <si>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</si>
  <si>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Cash Trough: September (Month 3)</t>
  </si>
  <si>
    <t>Your lowest cash point is the month lenders focus on to ensure you won't run out of money before collections start. Plan reserves to cover this trough.</t>
  </si>
  <si>
    <t>Bright Horizons Microschool - 5-Year Operating Statement</t>
  </si>
  <si>
    <t>Projections prepared on an accrual basis. School currently keeps books on a undetermined basis.</t>
  </si>
  <si>
    <t>Interest Expense</t>
  </si>
  <si>
    <t>Principal &amp; Capital Outlays</t>
  </si>
  <si>
    <t>Depreciation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</si>
  <si>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</si>
  <si>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</si>
  <si>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</si>
  <si>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</si>
  <si>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</si>
  <si>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</si>
  <si>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</si>
  <si>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</si>
  <si>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</si>
  <si>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</si>
  <si>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</si>
  <si>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 (Net of Depreciation)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</si>
  <si>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</si>
  <si>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</si>
  <si>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</si>
  <si>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</si>
  <si>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</si>
  <si>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</si>
  <si>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</si>
  <si>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</si>
  <si>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</si>
  <si>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</si>
  <si>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</si>
  <si>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</si>
  <si>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Depreciation Add-Back</t>
  </si>
  <si>
    <t>Debt Service (Loan)</t>
  </si>
  <si>
    <t>CFADS (NI + Depr + DS)</t>
  </si>
  <si>
    <t>DSCR</t>
  </si>
  <si>
    <t>N/A</t>
  </si>
  <si>
    <t>LIQUIDITY METRICS</t>
  </si>
  <si>
    <t>Ending Cash</t>
  </si>
  <si>
    <t>Working-Capital Cash (basis for runway/days)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</si>
  <si>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</si>
  <si>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</si>
  <si>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</si>
  <si>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</si>
  <si>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</si>
  <si>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</si>
  <si>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</si>
  <si>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</si>
  <si>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</si>
  <si>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</si>
  <si>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Current Ratio ≥ 1.1x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</si>
  <si>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</si>
  <si>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</si>
  <si>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</si>
  <si>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</si>
  <si>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</si>
  <si>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</si>
  <si>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</si>
  <si>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</si>
  <si>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</si>
  <si>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</si>
  <si>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</si>
  <si>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</si>
  <si>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</si>
  <si>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</si>
  <si>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</si>
  <si>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</si>
  <si>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</si>
  <si>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Lender Conversation Snapshot -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</si>
  <si>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</si>
  <si>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</si>
  <si>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</si>
  <si>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</si>
  <si>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</si>
  <si>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</si>
  <si>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</si>
  <si>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</si>
  <si>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BREAK-EVEN &amp; DOWNSIDE</t>
  </si>
  <si>
    <t>Break-Even Students</t>
  </si>
  <si>
    <t>Break-Even Utilization %</t>
  </si>
  <si>
    <t>-10% Enrollment: DSCR</t>
  </si>
  <si>
    <t>-10% Enrollment: Ending Cash</t>
  </si>
  <si>
    <t>-20% Enrollment: DSCR</t>
  </si>
  <si>
    <t>-20% Enrollment: Ending Cash</t>
  </si>
  <si>
    <t>Prepared by SchoolStack Budget - budget.schoolstack.ai</t>
  </si>
  <si>
    <t>Bright Horizons Microschool — Financial Health Dashboard</t>
  </si>
  <si>
    <t>Generated May 9,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</si>
  <si>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</si>
  <si>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</si>
  <si>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</si>
  <si>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</si>
  <si>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</si>
  <si>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</si>
  <si>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</si>
  <si>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</si>
  <si>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</si>
  <si>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</si>
  <si>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</si>
  <si>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</si>
  <si>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</si>
  <si>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</si>
  <si>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</si>
  <si>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</si>
  <si>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</si>
  <si>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</si>
  <si>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</si>
  <si>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</si>
  <si>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</si>
  <si>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</si>
  <si>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</si>
  <si>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</si>
  <si>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</si>
  <si>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</si>
  <si>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</si>
  <si>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</si>
  <si>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</si>
  <si>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</si>
  <si>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</si>
  <si>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</si>
  <si>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</si>
  <si>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</si>
  <si>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Compare your real Year 1 enrollment against this projection as students enroll.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</si>
  <si>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</si>
  <si>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</si>
  <si>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</si>
  <si>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</si>
  <si>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</si>
  <si>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</si>
  <si>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</si>
  <si>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</si>
  <si>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</si>
  <si>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</si>
  <si>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</si>
  <si>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</si>
  <si>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</si>
  <si>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52.1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</si>
  <si>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</si>
  <si>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</si>
  <si>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</si>
  <si>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</si>
  <si>
    <t>Enrollment Strategy</t>
  </si>
  <si>
    <t>(Not provided)</t>
  </si>
  <si>
    <t>Retention Plan</t>
  </si>
  <si>
    <t>Risk Mitigation</t>
  </si>
  <si>
    <t>Mission &amp; Vision</t>
  </si>
  <si>
    <t>Revenue Assumptions</t>
  </si>
  <si>
    <t>Staffing Philosophy</t>
  </si>
  <si>
    <t>Expense Assumptions</t>
  </si>
  <si>
    <t>Growth Strategy</t>
  </si>
  <si>
    <t>Additional Context</t>
  </si>
  <si>
    <t>No assumptions tagged yet — open the wizard and tag each major assumption (Actuals, Signed agreement, Written quote, Research, Estimate) with a one-line evidence note. The tags surface here, in the lender PDF, and on share links.</t>
  </si>
  <si>
    <t>Assumptions Memo</t>
  </si>
  <si>
    <t>Founder-supplied reasoning for each assumption captured during the wizard. Empty when no rationale was entered for that area.</t>
  </si>
  <si>
    <t>No founder rationale captured.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</si>
  <si>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</si>
  <si>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</si>
  <si>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</si>
  <si>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</si>
  <si>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</si>
  <si>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</si>
  <si>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</si>
  <si>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</si>
  <si>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</si>
  <si>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</si>
  <si>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</si>
  <si>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</si>
  <si>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</si>
  <si>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</si>
  <si>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</si>
  <si>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</si>
  <si>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</si>
  <si>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</si>
  <si>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</si>
  <si>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</si>
  <si>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</si>
  <si>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</si>
  <si>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</si>
  <si>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</si>
  <si>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</si>
  <si>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</si>
  <si>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</si>
  <si>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</si>
  <si>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</si>
  <si>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</si>
  <si>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</si>
  <si>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-$500/student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</si>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</sst>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&quot;×&quot;"/>
    <numFmt numFmtId="168" formatCode="0.0"/>
    <numFmt numFmtId="169" formatCode="0.00x"/>
  </numFmts>
  <fonts count="2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i/>
      <color rgb="FF9CA3AF"/>
      <sz val="9"/>
      <name val="Calibri"/>
    </font>
    <font>
      <i/>
      <color rgb="FF64748B"/>
      <sz val="10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  <font>
      <i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165" fontId="6" fillId="0" borderId="1" xfId="0" applyNumberFormat="1" applyFont="1" applyBorder="1"/>
    <xf numFmtId="166" fontId="6" fillId="0" borderId="1" xfId="0" applyNumberFormat="1" applyFont="1" applyBorder="1"/>
    <xf numFmtId="167" fontId="6" fillId="0" borderId="1" xfId="0" applyNumberFormat="1" applyFont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8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16" fillId="0" borderId="0" xfId="0" applyFont="1"/>
    <xf numFmtId="0" fontId="17" fillId="0" borderId="0" xfId="0" applyFont="1"/>
    <xf numFmtId="0" fontId="9" fillId="0" borderId="3" xfId="0" applyFont="1" applyBorder="1"/>
    <xf numFmtId="0" fontId="18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9" fillId="0" borderId="1" xfId="0" applyNumberFormat="1" applyFont="1" applyBorder="1"/>
    <xf numFmtId="169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20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14" fillId="6" borderId="1" xfId="0" applyFont="1" applyFill="1" applyBorder="1"/>
    <xf numFmtId="169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2" fillId="0" borderId="0" xfId="0" applyFont="1"/>
    <xf numFmtId="0" fontId="18" fillId="0" borderId="0" xfId="0" applyFont="1"/>
    <xf numFmtId="0" fontId="23" fillId="0" borderId="0" xfId="0" applyFont="1"/>
    <xf numFmtId="0" fontId="24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2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6" fillId="7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2" fillId="0" borderId="1" xfId="0" applyFont="1" applyBorder="1" applyAlignment="1">
      <alignment wrapText="1"/>
    </xf>
    <xf numFmtId="0" fontId="25" fillId="0" borderId="0" xfId="0" applyFont="1" applyAlignment="1">
      <alignment horizontal="center"/>
    </xf>
    <xf numFmtId="0" fontId="6" fillId="0" borderId="0" xfId="0" applyFont="1" applyAlignment="1">
      <alignment vertical="top" wrapText="1"/>
    </xf>
    <xf numFmtId="0" fontId="26" fillId="0" borderId="0" xfId="0" applyFont="1" applyAlignment="1">
      <alignment vertical="top" wrapText="1"/>
    </xf>
    <xf numFmtId="0" fontId="26" fillId="5" borderId="1" xfId="0" applyFont="1" applyFill="1" applyBorder="1"/>
    <xf numFmtId="0" fontId="22" fillId="0" borderId="0" xfId="0" applyFont="1" applyAlignment="1">
      <alignment vertical="top" wrapText="1"/>
    </xf>
    <xf numFmtId="0" fontId="14" fillId="6" borderId="1" xfId="0" applyFont="1" applyFill="1" applyBorder="1" applyAlignment="1">
      <alignment horizontal="left" vertical="center" wrapText="1"/>
    </xf>
    <xf numFmtId="0" fontId="0" fillId="3" borderId="0" xfId="0" applyFill="1"/>
    <xf numFmtId="0" fontId="9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left" vertical="top"/>
    </xf>
    <xf numFmtId="0" fontId="0" fillId="7" borderId="0" xfId="0" applyFill="1"/>
    <xf numFmtId="0" fontId="4" fillId="7" borderId="1" xfId="0" applyFont="1" applyFill="1" applyBorder="1" applyAlignment="1">
      <alignment horizontal="center" vertical="top"/>
    </xf>
    <xf numFmtId="0" fontId="0" fillId="8" borderId="0" xfId="0" applyFill="1"/>
    <xf numFmtId="0" fontId="4" fillId="8" borderId="1" xfId="0" applyFont="1" applyFill="1" applyBorder="1" applyAlignment="1">
      <alignment horizontal="center" vertical="top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Lender Snapshot&apos;!A1" TargetMode="External"/><Relationship Id="rId22" Type="http://schemas.openxmlformats.org/officeDocument/2006/relationships/hyperlink" Target="#&apos;Financial Health&apos;!A1" TargetMode="External"/><Relationship Id="rId23" Type="http://schemas.openxmlformats.org/officeDocument/2006/relationships/hyperlink" Target="#&apos;Budget Narrative&apos;!A1" TargetMode="External"/><Relationship Id="rId24" Type="http://schemas.openxmlformats.org/officeDocument/2006/relationships/hyperlink" Target="#&apos;Assumptions Confidence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5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1" spans="2:3" x14ac:dyDescent="0.25">
      <c r="B41" s="6" t="s">
        <v>92</v>
      </c>
      <c r="C41" s="13" t="s">
        <v>93</v>
      </c>
    </row>
    <row r="42" spans="2:3" x14ac:dyDescent="0.25">
      <c r="B42" s="6" t="s">
        <v>94</v>
      </c>
      <c r="C42" s="13" t="s">
        <v>95</v>
      </c>
    </row>
    <row r="45" spans="2:3" x14ac:dyDescent="0.25">
      <c r="B45" s="14" t="s">
        <v>96</v>
      </c>
      <c r="C45" s="14"/>
    </row>
  </sheetData>
  <mergeCells count="4">
    <mergeCell ref="B3:C3"/>
    <mergeCell ref="B5:C5"/>
    <mergeCell ref="B18:C18"/>
    <mergeCell ref="B45:C45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Lender Snapshot'!A1"/>
    <hyperlink ref="C40" r:id="rId22" location="#'Financial Health'!A1"/>
    <hyperlink ref="C41" r:id="rId23" location="#'Budget Narrative'!A1"/>
    <hyperlink ref="C42" r:id="rId24" location="#'Assumptions Confidence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97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98</v>
      </c>
      <c r="D2" s="18" t="s">
        <v>7</v>
      </c>
      <c r="E2" s="17" t="s">
        <v>99</v>
      </c>
    </row>
    <row r="4" ht="24" customHeight="1" spans="1:7" x14ac:dyDescent="0.25">
      <c r="A4" s="19" t="s">
        <v>100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101</v>
      </c>
      <c r="B9" s="20" t="s">
        <v>102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103</v>
      </c>
      <c r="B12" s="20">
        <v>7</v>
      </c>
    </row>
    <row r="13" spans="1:2" x14ac:dyDescent="0.25">
      <c r="A13" s="11" t="s">
        <v>104</v>
      </c>
      <c r="B13" s="20">
        <v>25</v>
      </c>
    </row>
    <row r="15" ht="24" customHeight="1" spans="1:6" x14ac:dyDescent="0.25">
      <c r="A15" s="19" t="s">
        <v>105</v>
      </c>
      <c r="B15" s="19"/>
      <c r="C15" s="19"/>
      <c r="D15" s="19"/>
      <c r="E15" s="19"/>
      <c r="F15" s="19"/>
    </row>
    <row r="16" ht="28" customHeight="1" spans="1:6" x14ac:dyDescent="0.25">
      <c r="A16" s="21" t="s">
        <v>7</v>
      </c>
      <c r="B16" s="21" t="s">
        <v>106</v>
      </c>
      <c r="C16" s="21" t="s">
        <v>107</v>
      </c>
      <c r="D16" s="21" t="s">
        <v>108</v>
      </c>
      <c r="E16" s="21" t="s">
        <v>109</v>
      </c>
      <c r="F16" s="21" t="s">
        <v>110</v>
      </c>
    </row>
    <row r="17" spans="1:6" x14ac:dyDescent="0.25">
      <c r="A17" s="11" t="s">
        <v>111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112</v>
      </c>
      <c r="B19" s="19"/>
      <c r="C19" s="19"/>
      <c r="D19" s="19"/>
      <c r="E19" s="19"/>
      <c r="F19" s="19"/>
      <c r="G19" s="19"/>
    </row>
    <row r="20" ht="28" customHeight="1" spans="1:6" x14ac:dyDescent="0.25">
      <c r="A20" s="21" t="s">
        <v>113</v>
      </c>
      <c r="B20" s="21" t="s">
        <v>114</v>
      </c>
      <c r="C20" s="21" t="s">
        <v>115</v>
      </c>
      <c r="D20" s="21" t="s">
        <v>116</v>
      </c>
      <c r="E20" s="21" t="s">
        <v>117</v>
      </c>
      <c r="F20" s="21" t="s">
        <v>118</v>
      </c>
    </row>
    <row r="21" spans="1:6" x14ac:dyDescent="0.25">
      <c r="A21" s="11" t="s">
        <v>119</v>
      </c>
      <c r="B21" s="11" t="s">
        <v>120</v>
      </c>
      <c r="C21" s="11" t="s">
        <v>121</v>
      </c>
      <c r="D21" s="23">
        <v>12000</v>
      </c>
      <c r="E21" s="24">
        <v>0</v>
      </c>
      <c r="F21" s="11" t="s">
        <v>122</v>
      </c>
    </row>
    <row r="22" spans="1:6" x14ac:dyDescent="0.25">
      <c r="A22" s="11" t="s">
        <v>123</v>
      </c>
      <c r="B22" s="11" t="s">
        <v>120</v>
      </c>
      <c r="C22" s="11" t="s">
        <v>121</v>
      </c>
      <c r="D22" s="23">
        <v>250</v>
      </c>
      <c r="E22" s="24">
        <v>0</v>
      </c>
      <c r="F22" s="11" t="s">
        <v>122</v>
      </c>
    </row>
    <row r="23" spans="1:6" x14ac:dyDescent="0.25">
      <c r="A23" s="11" t="s">
        <v>124</v>
      </c>
      <c r="B23" s="11" t="s">
        <v>125</v>
      </c>
      <c r="C23" s="11" t="s">
        <v>121</v>
      </c>
      <c r="D23" s="23">
        <v>7000</v>
      </c>
      <c r="E23" s="24">
        <v>0</v>
      </c>
      <c r="F23" s="11" t="s">
        <v>122</v>
      </c>
    </row>
    <row r="24" spans="1:6" x14ac:dyDescent="0.25">
      <c r="A24" s="11" t="s">
        <v>126</v>
      </c>
      <c r="B24" s="11" t="s">
        <v>127</v>
      </c>
      <c r="C24" s="11" t="s">
        <v>128</v>
      </c>
      <c r="D24" s="23">
        <v>5000</v>
      </c>
      <c r="E24" s="24">
        <v>0</v>
      </c>
      <c r="F24" s="11" t="s">
        <v>122</v>
      </c>
    </row>
    <row r="25" spans="1:6" x14ac:dyDescent="0.25">
      <c r="A25" s="11" t="s">
        <v>129</v>
      </c>
      <c r="B25" s="11" t="s">
        <v>130</v>
      </c>
      <c r="C25" s="11" t="s">
        <v>131</v>
      </c>
      <c r="D25" s="23">
        <v>10</v>
      </c>
      <c r="E25" s="24">
        <v>0</v>
      </c>
      <c r="F25" s="11" t="s">
        <v>122</v>
      </c>
    </row>
    <row r="27" ht="24" customHeight="1" spans="1:6" x14ac:dyDescent="0.25">
      <c r="A27" s="19" t="s">
        <v>132</v>
      </c>
      <c r="B27" s="19"/>
      <c r="C27" s="19"/>
      <c r="D27" s="19"/>
      <c r="E27" s="19"/>
      <c r="F27" s="19"/>
    </row>
    <row r="28" ht="28" customHeight="1" spans="1:6" x14ac:dyDescent="0.25">
      <c r="A28" s="21" t="s">
        <v>133</v>
      </c>
      <c r="B28" s="21" t="s">
        <v>106</v>
      </c>
      <c r="C28" s="21" t="s">
        <v>107</v>
      </c>
      <c r="D28" s="21" t="s">
        <v>108</v>
      </c>
      <c r="E28" s="21" t="s">
        <v>109</v>
      </c>
      <c r="F28" s="21" t="s">
        <v>110</v>
      </c>
    </row>
    <row r="29" spans="1:6" x14ac:dyDescent="0.25">
      <c r="A29" s="11" t="s">
        <v>134</v>
      </c>
      <c r="B29" s="25">
        <v>-12000</v>
      </c>
      <c r="C29" s="25">
        <v>-22248</v>
      </c>
      <c r="D29" s="25">
        <v>-28007.76</v>
      </c>
      <c r="E29" s="25">
        <v>-32781.81</v>
      </c>
      <c r="F29" s="25">
        <v>-33765.2643</v>
      </c>
    </row>
    <row r="30" spans="1:6" x14ac:dyDescent="0.25">
      <c r="A30" s="11" t="s">
        <v>135</v>
      </c>
      <c r="B30" s="25">
        <v>122500</v>
      </c>
      <c r="C30" s="25">
        <v>227115</v>
      </c>
      <c r="D30" s="25">
        <v>285912.55</v>
      </c>
      <c r="E30" s="25">
        <v>334647.64375</v>
      </c>
      <c r="F30" s="25">
        <v>344687.07306250004</v>
      </c>
    </row>
    <row r="31" spans="1:6" x14ac:dyDescent="0.25">
      <c r="A31" s="11" t="s">
        <v>136</v>
      </c>
      <c r="B31" s="25">
        <v>4166.666666666667</v>
      </c>
      <c r="C31" s="25">
        <v>5150</v>
      </c>
      <c r="D31" s="25">
        <v>5304.5</v>
      </c>
      <c r="E31" s="25">
        <v>5463.635</v>
      </c>
      <c r="F31" s="25">
        <v>5627.54405</v>
      </c>
    </row>
    <row r="32" spans="1:6" x14ac:dyDescent="0.25">
      <c r="A32" s="11" t="s">
        <v>137</v>
      </c>
      <c r="B32" s="25">
        <v>70000</v>
      </c>
      <c r="C32" s="25">
        <v>129780</v>
      </c>
      <c r="D32" s="25">
        <v>163378.59999999998</v>
      </c>
      <c r="E32" s="25">
        <v>191227.225</v>
      </c>
      <c r="F32" s="25">
        <v>196964.04175000003</v>
      </c>
    </row>
    <row r="33" spans="1:6" x14ac:dyDescent="0.25">
      <c r="A33" s="11" t="s">
        <v>138</v>
      </c>
      <c r="B33" s="26">
        <v>-0.06498194945848376</v>
      </c>
      <c r="C33" s="26">
        <v>-0.06547438617762959</v>
      </c>
      <c r="D33" s="26">
        <v>-0.06565530962447153</v>
      </c>
      <c r="E33" s="26">
        <v>-0.06575342465753424</v>
      </c>
      <c r="F33" s="26">
        <v>-0.06575342465753424</v>
      </c>
    </row>
    <row r="34" spans="1:6" x14ac:dyDescent="0.25">
      <c r="A34" s="11" t="s">
        <v>139</v>
      </c>
      <c r="B34" s="26">
        <v>0.6633574007220217</v>
      </c>
      <c r="C34" s="26">
        <v>0.6683843588966354</v>
      </c>
      <c r="D34" s="26">
        <v>0.6702312857498135</v>
      </c>
      <c r="E34" s="26">
        <v>0.6712328767123287</v>
      </c>
      <c r="F34" s="26">
        <v>0.6712328767123287</v>
      </c>
    </row>
    <row r="35" spans="1:6" x14ac:dyDescent="0.25">
      <c r="A35" s="11" t="s">
        <v>140</v>
      </c>
      <c r="B35" s="26">
        <v>0.02256317689530686</v>
      </c>
      <c r="C35" s="26">
        <v>0.01515610791148833</v>
      </c>
      <c r="D35" s="26">
        <v>0.012434717731907487</v>
      </c>
      <c r="E35" s="26">
        <v>0.010958904109589041</v>
      </c>
      <c r="F35" s="26">
        <v>0.01095890410958904</v>
      </c>
    </row>
    <row r="36" spans="1:6" x14ac:dyDescent="0.25">
      <c r="A36" s="11" t="s">
        <v>141</v>
      </c>
      <c r="B36" s="26">
        <v>0.37906137184115524</v>
      </c>
      <c r="C36" s="26">
        <v>0.38193391936950594</v>
      </c>
      <c r="D36" s="26">
        <v>0.38298930614275056</v>
      </c>
      <c r="E36" s="26">
        <v>0.3835616438356164</v>
      </c>
      <c r="F36" s="26">
        <v>0.3835616438356164</v>
      </c>
    </row>
    <row r="37" spans="1:6" x14ac:dyDescent="0.25">
      <c r="A37" s="11" t="s">
        <v>142</v>
      </c>
      <c r="B37" s="27">
        <v>-0.07745225122498264</v>
      </c>
      <c r="C37" s="27">
        <v>-0.1215720233091732</v>
      </c>
      <c r="D37" s="27">
        <v>-0.14944429416974292</v>
      </c>
      <c r="E37" s="27">
        <v>-0.17077853976927615</v>
      </c>
      <c r="F37" s="27">
        <v>-0.1717165314906201</v>
      </c>
    </row>
    <row r="39" ht="24" customHeight="1" spans="1:7" x14ac:dyDescent="0.25">
      <c r="A39" s="19" t="s">
        <v>143</v>
      </c>
      <c r="B39" s="19"/>
      <c r="C39" s="19"/>
      <c r="D39" s="19"/>
      <c r="E39" s="19"/>
      <c r="F39" s="19"/>
      <c r="G39" s="19"/>
    </row>
    <row r="40" ht="28" customHeight="1" spans="1:7" x14ac:dyDescent="0.25">
      <c r="A40" s="21" t="s">
        <v>144</v>
      </c>
      <c r="B40" s="21" t="s">
        <v>114</v>
      </c>
      <c r="C40" s="21" t="s">
        <v>145</v>
      </c>
      <c r="D40" s="21" t="s">
        <v>146</v>
      </c>
      <c r="E40" s="21" t="s">
        <v>147</v>
      </c>
      <c r="F40" s="21" t="s">
        <v>148</v>
      </c>
      <c r="G40" s="21" t="s">
        <v>149</v>
      </c>
    </row>
    <row r="41" spans="1:7" x14ac:dyDescent="0.25">
      <c r="A41" s="11" t="s">
        <v>150</v>
      </c>
      <c r="B41" s="11" t="s">
        <v>151</v>
      </c>
      <c r="C41" s="11" t="s">
        <v>152</v>
      </c>
      <c r="D41" s="28">
        <v>1</v>
      </c>
      <c r="E41" s="23">
        <v>55000</v>
      </c>
      <c r="F41" s="24">
        <v>0.2</v>
      </c>
      <c r="G41" s="24">
        <v>0.0765</v>
      </c>
    </row>
    <row r="42" spans="1:7" x14ac:dyDescent="0.25">
      <c r="A42" s="11" t="s">
        <v>153</v>
      </c>
      <c r="B42" s="11" t="s">
        <v>154</v>
      </c>
      <c r="C42" s="11" t="s">
        <v>152</v>
      </c>
      <c r="D42" s="28">
        <v>1</v>
      </c>
      <c r="E42" s="23">
        <v>45000</v>
      </c>
      <c r="F42" s="24">
        <v>0.2</v>
      </c>
      <c r="G42" s="24">
        <v>0.0765</v>
      </c>
    </row>
    <row r="43" spans="1:7" x14ac:dyDescent="0.25">
      <c r="A43" s="11" t="s">
        <v>155</v>
      </c>
      <c r="B43" s="11" t="s">
        <v>154</v>
      </c>
      <c r="C43" s="11" t="s">
        <v>156</v>
      </c>
      <c r="D43" s="28">
        <v>0.5</v>
      </c>
      <c r="E43" s="23">
        <v>28000</v>
      </c>
      <c r="F43" s="24">
        <v>0</v>
      </c>
      <c r="G43" s="24">
        <v>0.0765</v>
      </c>
    </row>
    <row r="45" ht="24" customHeight="1" spans="1:7" x14ac:dyDescent="0.25">
      <c r="A45" s="19" t="s">
        <v>157</v>
      </c>
      <c r="B45" s="19"/>
      <c r="C45" s="19"/>
      <c r="D45" s="19"/>
      <c r="E45" s="19"/>
      <c r="F45" s="19"/>
      <c r="G45" s="19"/>
    </row>
    <row r="46" ht="28" customHeight="1" spans="1:5" x14ac:dyDescent="0.25">
      <c r="A46" s="21" t="s">
        <v>113</v>
      </c>
      <c r="B46" s="21" t="s">
        <v>114</v>
      </c>
      <c r="C46" s="21" t="s">
        <v>115</v>
      </c>
      <c r="D46" s="21" t="s">
        <v>116</v>
      </c>
      <c r="E46" s="21" t="s">
        <v>117</v>
      </c>
    </row>
    <row r="47" spans="1:5" x14ac:dyDescent="0.25">
      <c r="A47" s="11" t="s">
        <v>158</v>
      </c>
      <c r="B47" s="11" t="s">
        <v>159</v>
      </c>
      <c r="C47" s="11" t="s">
        <v>160</v>
      </c>
      <c r="D47" s="23">
        <v>2500</v>
      </c>
      <c r="E47" s="24">
        <v>0.03</v>
      </c>
    </row>
    <row r="48" spans="1:5" x14ac:dyDescent="0.25">
      <c r="A48" s="11" t="s">
        <v>161</v>
      </c>
      <c r="B48" s="11" t="s">
        <v>159</v>
      </c>
      <c r="C48" s="11" t="s">
        <v>160</v>
      </c>
      <c r="D48" s="23">
        <v>300</v>
      </c>
      <c r="E48" s="24">
        <v>0</v>
      </c>
    </row>
    <row r="49" spans="1:5" x14ac:dyDescent="0.25">
      <c r="A49" s="11" t="s">
        <v>162</v>
      </c>
      <c r="B49" s="11" t="s">
        <v>159</v>
      </c>
      <c r="C49" s="11" t="s">
        <v>128</v>
      </c>
      <c r="D49" s="23">
        <v>2400</v>
      </c>
      <c r="E49" s="24">
        <v>0</v>
      </c>
    </row>
    <row r="50" spans="1:5" x14ac:dyDescent="0.25">
      <c r="A50" s="11" t="s">
        <v>163</v>
      </c>
      <c r="B50" s="11" t="s">
        <v>164</v>
      </c>
      <c r="C50" s="11" t="s">
        <v>121</v>
      </c>
      <c r="D50" s="23">
        <v>500</v>
      </c>
      <c r="E50" s="24">
        <v>0</v>
      </c>
    </row>
    <row r="51" spans="1:5" x14ac:dyDescent="0.25">
      <c r="A51" s="11" t="s">
        <v>165</v>
      </c>
      <c r="B51" s="11" t="s">
        <v>165</v>
      </c>
      <c r="C51" s="11" t="s">
        <v>121</v>
      </c>
      <c r="D51" s="23">
        <v>300</v>
      </c>
      <c r="E51" s="24">
        <v>0</v>
      </c>
    </row>
    <row r="52" spans="1:5" x14ac:dyDescent="0.25">
      <c r="A52" s="11" t="s">
        <v>166</v>
      </c>
      <c r="B52" s="11" t="s">
        <v>167</v>
      </c>
      <c r="C52" s="11" t="s">
        <v>128</v>
      </c>
      <c r="D52" s="23">
        <v>3000</v>
      </c>
      <c r="E52" s="24">
        <v>0</v>
      </c>
    </row>
    <row r="54" ht="24" customHeight="1" spans="1:7" x14ac:dyDescent="0.25">
      <c r="A54" s="19" t="s">
        <v>168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169</v>
      </c>
      <c r="B55" s="21" t="s">
        <v>145</v>
      </c>
      <c r="C55" s="21" t="s">
        <v>170</v>
      </c>
      <c r="D55" s="21" t="s">
        <v>147</v>
      </c>
      <c r="E55" s="21" t="s">
        <v>171</v>
      </c>
    </row>
    <row r="56" spans="1:5" x14ac:dyDescent="0.25">
      <c r="A56" s="11" t="s">
        <v>172</v>
      </c>
      <c r="B56" s="11" t="s">
        <v>173</v>
      </c>
      <c r="C56" s="23">
        <v>30000</v>
      </c>
      <c r="D56" s="24">
        <v>0.06</v>
      </c>
      <c r="E56" s="22">
        <v>5</v>
      </c>
    </row>
    <row r="58" ht="24" customHeight="1" spans="1:7" x14ac:dyDescent="0.25">
      <c r="A58" s="19" t="s">
        <v>174</v>
      </c>
      <c r="B58" s="19"/>
      <c r="C58" s="19"/>
      <c r="D58" s="19"/>
      <c r="E58" s="19"/>
      <c r="F58" s="19"/>
      <c r="G58" s="19"/>
    </row>
    <row r="59" spans="1:3" x14ac:dyDescent="0.25">
      <c r="A59" s="11" t="s">
        <v>175</v>
      </c>
      <c r="B59" s="24">
        <v>0.03</v>
      </c>
      <c r="C59" s="29" t="s">
        <v>176</v>
      </c>
    </row>
    <row r="60" spans="1:3" x14ac:dyDescent="0.25">
      <c r="A60" s="11" t="s">
        <v>177</v>
      </c>
      <c r="B60" s="24">
        <v>0.03</v>
      </c>
      <c r="C60" s="29" t="s">
        <v>178</v>
      </c>
    </row>
    <row r="61" spans="1:2" x14ac:dyDescent="0.25">
      <c r="A61" s="11" t="s">
        <v>179</v>
      </c>
      <c r="B61" s="28">
        <v>0.8333333333333334</v>
      </c>
    </row>
    <row r="62" spans="1:2" x14ac:dyDescent="0.25">
      <c r="A62" s="11" t="s">
        <v>180</v>
      </c>
      <c r="B62" s="23">
        <v>0</v>
      </c>
    </row>
    <row r="63" spans="1:2" x14ac:dyDescent="0.25">
      <c r="A63" s="11" t="s">
        <v>181</v>
      </c>
      <c r="B63" s="20" t="s">
        <v>182</v>
      </c>
    </row>
    <row r="64" spans="1:2" x14ac:dyDescent="0.25">
      <c r="A64" s="11" t="s">
        <v>183</v>
      </c>
      <c r="B64" s="24">
        <v>0</v>
      </c>
    </row>
    <row r="65" spans="1:2" x14ac:dyDescent="0.25">
      <c r="A65" s="11" t="s">
        <v>184</v>
      </c>
      <c r="B65" s="24">
        <v>0.03</v>
      </c>
    </row>
    <row r="66" spans="1:2" x14ac:dyDescent="0.25">
      <c r="A66" s="11" t="s">
        <v>185</v>
      </c>
      <c r="B66" s="24">
        <v>0.03</v>
      </c>
    </row>
    <row r="67" spans="1:2" x14ac:dyDescent="0.25">
      <c r="A67" s="11" t="s">
        <v>186</v>
      </c>
      <c r="B67" s="24">
        <v>0.2</v>
      </c>
    </row>
    <row r="68" spans="1:2" x14ac:dyDescent="0.25">
      <c r="A68" s="11" t="s">
        <v>187</v>
      </c>
      <c r="B68" s="24">
        <v>0.08</v>
      </c>
    </row>
    <row r="69" spans="1:2" x14ac:dyDescent="0.25">
      <c r="A69" s="11" t="s">
        <v>188</v>
      </c>
      <c r="B69" s="24">
        <v>0.85</v>
      </c>
    </row>
    <row r="71" ht="24" customHeight="1" spans="1:7" x14ac:dyDescent="0.25">
      <c r="A71" s="19" t="s">
        <v>189</v>
      </c>
      <c r="B71" s="19"/>
      <c r="C71" s="19"/>
      <c r="D71" s="19"/>
      <c r="E71" s="19"/>
      <c r="F71" s="19"/>
      <c r="G71" s="19"/>
    </row>
    <row r="72" spans="1:2" x14ac:dyDescent="0.25">
      <c r="A72" s="11" t="s">
        <v>190</v>
      </c>
      <c r="B72" s="20" t="s">
        <v>191</v>
      </c>
    </row>
    <row r="73" spans="1:2" x14ac:dyDescent="0.25">
      <c r="A73" s="11" t="s">
        <v>192</v>
      </c>
      <c r="B73" s="20" t="s">
        <v>193</v>
      </c>
    </row>
    <row r="74" spans="1:2" x14ac:dyDescent="0.25">
      <c r="A74" s="11" t="s">
        <v>194</v>
      </c>
      <c r="B74" s="24">
        <v>1</v>
      </c>
    </row>
    <row r="75" spans="1:2" x14ac:dyDescent="0.25">
      <c r="A75" s="11" t="s">
        <v>195</v>
      </c>
      <c r="B75" s="20" t="s">
        <v>196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197</v>
      </c>
      <c r="B3" s="11" t="s">
        <v>198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199</v>
      </c>
      <c r="B6" s="11" t="s">
        <v>200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201</v>
      </c>
      <c r="B8" s="11" t="s">
        <v>46</v>
      </c>
    </row>
    <row r="9" spans="1:2" x14ac:dyDescent="0.25">
      <c r="A9" s="10" t="s">
        <v>103</v>
      </c>
      <c r="B9" s="11" t="s">
        <v>202</v>
      </c>
    </row>
    <row r="10" spans="1:2" x14ac:dyDescent="0.25">
      <c r="A10" s="10" t="s">
        <v>203</v>
      </c>
      <c r="B10" s="11" t="s">
        <v>204</v>
      </c>
    </row>
    <row r="11" spans="1:2" x14ac:dyDescent="0.25">
      <c r="A11" s="10" t="s">
        <v>205</v>
      </c>
      <c r="B11" s="11" t="s">
        <v>206</v>
      </c>
    </row>
    <row r="12" spans="1:2" x14ac:dyDescent="0.25">
      <c r="A12" s="10" t="s">
        <v>181</v>
      </c>
      <c r="B12" s="11" t="s">
        <v>182</v>
      </c>
    </row>
    <row r="13" spans="1:2" x14ac:dyDescent="0.25">
      <c r="A13" s="10" t="s">
        <v>104</v>
      </c>
      <c r="B13" s="11" t="s">
        <v>207</v>
      </c>
    </row>
    <row r="14" spans="1:2" x14ac:dyDescent="0.25">
      <c r="A14" s="10" t="s">
        <v>208</v>
      </c>
      <c r="B14" s="11" t="s">
        <v>182</v>
      </c>
    </row>
    <row r="15" spans="1:2" x14ac:dyDescent="0.25">
      <c r="A15" s="10" t="s">
        <v>209</v>
      </c>
      <c r="B15" s="11" t="s">
        <v>210</v>
      </c>
    </row>
    <row r="16" spans="1:2" x14ac:dyDescent="0.25">
      <c r="A16" s="10" t="s">
        <v>211</v>
      </c>
      <c r="B16" s="11" t="s">
        <v>212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106</v>
      </c>
      <c r="C3" s="21" t="s">
        <v>107</v>
      </c>
      <c r="D3" s="21" t="s">
        <v>108</v>
      </c>
      <c r="E3" s="21" t="s">
        <v>109</v>
      </c>
      <c r="F3" s="21" t="s">
        <v>110</v>
      </c>
    </row>
    <row r="5" ht="24" customHeight="1" spans="1:6" x14ac:dyDescent="0.25">
      <c r="A5" s="19" t="s">
        <v>213</v>
      </c>
      <c r="B5" s="19"/>
      <c r="C5" s="19"/>
      <c r="D5" s="19"/>
      <c r="E5" s="19"/>
      <c r="F5" s="19"/>
    </row>
    <row r="6" spans="1:6" x14ac:dyDescent="0.25">
      <c r="A6" s="10" t="s">
        <v>111</v>
      </c>
      <c r="B6" s="30">
        <v>12</v>
      </c>
      <c r="C6" s="30">
        <v>18</v>
      </c>
      <c r="D6" s="30">
        <v>22</v>
      </c>
      <c r="E6" s="30">
        <v>25</v>
      </c>
      <c r="F6" s="30">
        <v>25</v>
      </c>
    </row>
    <row r="7" spans="1:2" x14ac:dyDescent="0.25">
      <c r="A7" s="11" t="s">
        <v>104</v>
      </c>
      <c r="B7" s="22">
        <v>25</v>
      </c>
    </row>
    <row r="8" spans="1:6" x14ac:dyDescent="0.25">
      <c r="A8" s="11" t="s">
        <v>214</v>
      </c>
      <c r="B8" s="31">
        <f>B6/$B$7</f>
        <v>0.48</v>
      </c>
      <c r="C8" s="31">
        <f>C6/$B$7</f>
        <v>0.72</v>
      </c>
      <c r="D8" s="31">
        <f>D6/$B$7</f>
        <v>0.88</v>
      </c>
      <c r="E8" s="31">
        <f>E6/$B$7</f>
        <v>1</v>
      </c>
      <c r="F8" s="31">
        <f>F6/$B$7</f>
        <v>1</v>
      </c>
    </row>
    <row r="10" spans="1:6" x14ac:dyDescent="0.25">
      <c r="A10" s="11" t="s">
        <v>183</v>
      </c>
      <c r="B10" s="11" t="s">
        <v>215</v>
      </c>
      <c r="C10" s="26">
        <f>IF(B6=0,0,(C6-B6)/B6)</f>
        <v>0.5</v>
      </c>
      <c r="D10" s="26">
        <f>IF(C6=0,0,(D6-C6)/C6)</f>
        <v>0.22222222</v>
      </c>
      <c r="E10" s="26">
        <f>IF(D6=0,0,(E6-D6)/D6)</f>
        <v>0.13636364</v>
      </c>
      <c r="F10" s="26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106</v>
      </c>
      <c r="C3" s="21" t="s">
        <v>107</v>
      </c>
      <c r="D3" s="21" t="s">
        <v>108</v>
      </c>
      <c r="E3" s="21" t="s">
        <v>109</v>
      </c>
      <c r="F3" s="21" t="s">
        <v>110</v>
      </c>
    </row>
    <row r="4" ht="24" customHeight="1" spans="1:6" x14ac:dyDescent="0.25">
      <c r="A4" s="19" t="s">
        <v>217</v>
      </c>
      <c r="B4" s="19"/>
      <c r="C4" s="19"/>
      <c r="D4" s="19"/>
      <c r="E4" s="19"/>
      <c r="F4" s="19"/>
    </row>
    <row r="5" spans="1:6" x14ac:dyDescent="0.25">
      <c r="A5" s="11" t="s">
        <v>119</v>
      </c>
      <c r="B5" s="25">
        <v>144000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11" t="s">
        <v>123</v>
      </c>
      <c r="B6" s="25">
        <v>3000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10" t="s">
        <v>218</v>
      </c>
      <c r="B7" s="32">
        <f>SUM(B5,B6)</f>
        <v>147000</v>
      </c>
      <c r="C7" s="32">
        <f>SUM(C5,C6)</f>
        <v>227115</v>
      </c>
      <c r="D7" s="32">
        <f>SUM(D5,D6)</f>
        <v>285913</v>
      </c>
      <c r="E7" s="32">
        <f>SUM(E5,E6)</f>
        <v>334648</v>
      </c>
      <c r="F7" s="32">
        <f>SUM(F5,F6)</f>
        <v>344687</v>
      </c>
    </row>
    <row r="8" ht="24" customHeight="1" spans="1:6" x14ac:dyDescent="0.25">
      <c r="A8" s="19" t="s">
        <v>219</v>
      </c>
      <c r="B8" s="19"/>
      <c r="C8" s="19"/>
      <c r="D8" s="19"/>
      <c r="E8" s="19"/>
      <c r="F8" s="19"/>
    </row>
    <row r="9" spans="1:6" x14ac:dyDescent="0.25">
      <c r="A9" s="11" t="s">
        <v>129</v>
      </c>
      <c r="B9" s="25">
        <v>-10</v>
      </c>
      <c r="C9" s="25">
        <v>-10</v>
      </c>
      <c r="D9" s="25">
        <v>-11</v>
      </c>
      <c r="E9" s="25">
        <v>-11</v>
      </c>
      <c r="F9" s="25">
        <v>-11</v>
      </c>
    </row>
    <row r="10" spans="1:6" x14ac:dyDescent="0.25">
      <c r="A10" s="10" t="s">
        <v>220</v>
      </c>
      <c r="B10" s="32">
        <f>SUM(B9)</f>
        <v>-10</v>
      </c>
      <c r="C10" s="32">
        <f>SUM(C9)</f>
        <v>-10</v>
      </c>
      <c r="D10" s="32">
        <f>SUM(D9)</f>
        <v>-11</v>
      </c>
      <c r="E10" s="32">
        <f>SUM(E9)</f>
        <v>-11</v>
      </c>
      <c r="F10" s="32">
        <f>SUM(F9)</f>
        <v>-11</v>
      </c>
    </row>
    <row r="11" ht="24" customHeight="1" spans="1:6" x14ac:dyDescent="0.25">
      <c r="A11" s="19" t="s">
        <v>221</v>
      </c>
      <c r="B11" s="19"/>
      <c r="C11" s="19"/>
      <c r="D11" s="19"/>
      <c r="E11" s="19"/>
      <c r="F11" s="19"/>
    </row>
    <row r="12" spans="1:6" x14ac:dyDescent="0.25">
      <c r="A12" s="11" t="s">
        <v>124</v>
      </c>
      <c r="B12" s="25">
        <v>84000</v>
      </c>
      <c r="C12" s="25">
        <v>129780</v>
      </c>
      <c r="D12" s="25">
        <v>163379</v>
      </c>
      <c r="E12" s="25">
        <v>191227</v>
      </c>
      <c r="F12" s="25">
        <v>196964</v>
      </c>
    </row>
    <row r="13" spans="1:6" x14ac:dyDescent="0.25">
      <c r="A13" s="10" t="s">
        <v>222</v>
      </c>
      <c r="B13" s="32">
        <f>SUM(B12)</f>
        <v>84000</v>
      </c>
      <c r="C13" s="32">
        <f>SUM(C12)</f>
        <v>129780</v>
      </c>
      <c r="D13" s="32">
        <f>SUM(D12)</f>
        <v>163379</v>
      </c>
      <c r="E13" s="32">
        <f>SUM(E12)</f>
        <v>191227</v>
      </c>
      <c r="F13" s="32">
        <f>SUM(F12)</f>
        <v>196964</v>
      </c>
    </row>
    <row r="14" ht="24" customHeight="1" spans="1:6" x14ac:dyDescent="0.25">
      <c r="A14" s="19" t="s">
        <v>223</v>
      </c>
      <c r="B14" s="19"/>
      <c r="C14" s="19"/>
      <c r="D14" s="19"/>
      <c r="E14" s="19"/>
      <c r="F14" s="19"/>
    </row>
    <row r="15" spans="1:6" x14ac:dyDescent="0.25">
      <c r="A15" s="11" t="s">
        <v>126</v>
      </c>
      <c r="B15" s="23">
        <v>5000</v>
      </c>
      <c r="C15" s="25">
        <v>5150</v>
      </c>
      <c r="D15" s="25">
        <v>5305</v>
      </c>
      <c r="E15" s="25">
        <v>5464</v>
      </c>
      <c r="F15" s="25">
        <v>5628</v>
      </c>
    </row>
    <row r="16" spans="1:6" x14ac:dyDescent="0.25">
      <c r="A16" s="10" t="s">
        <v>224</v>
      </c>
      <c r="B16" s="32">
        <f>SUM(B15)</f>
        <v>5000</v>
      </c>
      <c r="C16" s="32">
        <f>SUM(C15)</f>
        <v>5150</v>
      </c>
      <c r="D16" s="32">
        <f>SUM(D15)</f>
        <v>5305</v>
      </c>
      <c r="E16" s="32">
        <f>SUM(E15)</f>
        <v>5464</v>
      </c>
      <c r="F16" s="32">
        <f>SUM(F15)</f>
        <v>5628</v>
      </c>
    </row>
    <row r="18" ht="24" customHeight="1" spans="1:6" x14ac:dyDescent="0.25">
      <c r="A18" s="19" t="s">
        <v>225</v>
      </c>
      <c r="B18" s="33">
        <f>SUM(B7,B10,B13,B16)</f>
        <v>221600</v>
      </c>
      <c r="C18" s="33">
        <f>SUM(C7,C10,C13,C16)</f>
        <v>339130</v>
      </c>
      <c r="D18" s="33">
        <f>SUM(D7,D10,D13,D16)</f>
        <v>424882</v>
      </c>
      <c r="E18" s="33">
        <f>SUM(E7,E10,E13,E16)</f>
        <v>495517</v>
      </c>
      <c r="F18" s="33">
        <f>SUM(F7,F10,F13,F16)</f>
        <v>509276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  <col min="8" max="8" width="12" customWidth="1"/>
  </cols>
  <sheetData>
    <row r="1" spans="1:8" x14ac:dyDescent="0.25">
      <c r="A1" s="15" t="s">
        <v>61</v>
      </c>
      <c r="B1" s="15"/>
      <c r="C1" s="15"/>
      <c r="D1" s="15"/>
      <c r="E1" s="15"/>
      <c r="F1" s="15"/>
      <c r="G1" s="15"/>
      <c r="H1" s="15"/>
    </row>
    <row r="3" ht="28" customHeight="1" spans="1:8" x14ac:dyDescent="0.25">
      <c r="A3" s="21" t="s">
        <v>144</v>
      </c>
      <c r="B3" s="21" t="s">
        <v>114</v>
      </c>
      <c r="C3" s="21" t="s">
        <v>146</v>
      </c>
      <c r="D3" s="21" t="s">
        <v>226</v>
      </c>
      <c r="E3" s="21" t="s">
        <v>148</v>
      </c>
      <c r="F3" s="21" t="s">
        <v>149</v>
      </c>
      <c r="G3" s="21" t="s">
        <v>227</v>
      </c>
      <c r="H3" s="21" t="s">
        <v>228</v>
      </c>
    </row>
    <row r="4" spans="1:8" x14ac:dyDescent="0.25">
      <c r="A4" s="11" t="s">
        <v>150</v>
      </c>
      <c r="B4" s="11" t="s">
        <v>151</v>
      </c>
      <c r="C4" s="28">
        <v>1</v>
      </c>
      <c r="D4" s="23">
        <v>55000</v>
      </c>
      <c r="E4" s="24">
        <v>0.2</v>
      </c>
      <c r="F4" s="24">
        <v>0.0765</v>
      </c>
      <c r="G4" s="34">
        <v>70208</v>
      </c>
      <c r="H4" s="11" t="s">
        <v>122</v>
      </c>
    </row>
    <row r="5" spans="1:8" x14ac:dyDescent="0.25">
      <c r="A5" s="11" t="s">
        <v>153</v>
      </c>
      <c r="B5" s="11" t="s">
        <v>154</v>
      </c>
      <c r="C5" s="28">
        <v>1</v>
      </c>
      <c r="D5" s="23">
        <v>45000</v>
      </c>
      <c r="E5" s="24">
        <v>0.2</v>
      </c>
      <c r="F5" s="24">
        <v>0.0765</v>
      </c>
      <c r="G5" s="34">
        <v>57443</v>
      </c>
      <c r="H5" s="11" t="s">
        <v>122</v>
      </c>
    </row>
    <row r="6" spans="1:8" x14ac:dyDescent="0.25">
      <c r="A6" s="11" t="s">
        <v>155</v>
      </c>
      <c r="B6" s="11" t="s">
        <v>154</v>
      </c>
      <c r="C6" s="28">
        <v>0.5</v>
      </c>
      <c r="D6" s="23">
        <v>28000</v>
      </c>
      <c r="E6" s="24">
        <v>0</v>
      </c>
      <c r="F6" s="24">
        <v>0.0765</v>
      </c>
      <c r="G6" s="34">
        <v>15071</v>
      </c>
      <c r="H6" s="11" t="s">
        <v>122</v>
      </c>
    </row>
    <row r="8" ht="24" customHeight="1" spans="1:6" x14ac:dyDescent="0.25">
      <c r="A8" s="19" t="s">
        <v>229</v>
      </c>
      <c r="B8" s="19"/>
      <c r="C8" s="19"/>
      <c r="D8" s="19"/>
      <c r="E8" s="19"/>
      <c r="F8" s="19"/>
    </row>
    <row r="9" ht="28" customHeight="1" spans="1:6" x14ac:dyDescent="0.25">
      <c r="A9" s="21" t="s">
        <v>7</v>
      </c>
      <c r="B9" s="21" t="s">
        <v>106</v>
      </c>
      <c r="C9" s="21" t="s">
        <v>107</v>
      </c>
      <c r="D9" s="21" t="s">
        <v>108</v>
      </c>
      <c r="E9" s="21" t="s">
        <v>109</v>
      </c>
      <c r="F9" s="21" t="s">
        <v>110</v>
      </c>
    </row>
    <row r="10" spans="1:6" x14ac:dyDescent="0.25">
      <c r="A10" s="10" t="s">
        <v>230</v>
      </c>
      <c r="B10" s="33">
        <v>118934</v>
      </c>
      <c r="C10" s="33">
        <v>147003</v>
      </c>
      <c r="D10" s="33">
        <v>151413</v>
      </c>
      <c r="E10" s="33">
        <v>155955</v>
      </c>
      <c r="F10" s="33">
        <v>160634</v>
      </c>
    </row>
    <row r="11" spans="1:6" x14ac:dyDescent="0.25">
      <c r="A11" s="11" t="s">
        <v>231</v>
      </c>
      <c r="B11" s="26">
        <v>0.5367065282791817</v>
      </c>
      <c r="C11" s="26">
        <v>0.43347041172111334</v>
      </c>
      <c r="D11" s="26">
        <v>0.35636395851265434</v>
      </c>
      <c r="E11" s="26">
        <v>0.314732109434181</v>
      </c>
      <c r="F11" s="26">
        <v>0.31541616487727187</v>
      </c>
    </row>
    <row r="12" spans="1:6" x14ac:dyDescent="0.25">
      <c r="A12" s="11" t="s">
        <v>232</v>
      </c>
      <c r="B12" s="35">
        <v>4.8</v>
      </c>
      <c r="C12" s="35">
        <v>7.2</v>
      </c>
      <c r="D12" s="35">
        <v>8.8</v>
      </c>
      <c r="E12" s="35">
        <v>10</v>
      </c>
      <c r="F12" s="35">
        <v>10</v>
      </c>
    </row>
  </sheetData>
  <mergeCells count="1">
    <mergeCell ref="A1:H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106</v>
      </c>
      <c r="C3" s="21" t="s">
        <v>107</v>
      </c>
      <c r="D3" s="21" t="s">
        <v>108</v>
      </c>
      <c r="E3" s="21" t="s">
        <v>109</v>
      </c>
      <c r="F3" s="21" t="s">
        <v>110</v>
      </c>
    </row>
    <row r="4" ht="24" customHeight="1" spans="1:6" x14ac:dyDescent="0.25">
      <c r="A4" s="19" t="s">
        <v>164</v>
      </c>
      <c r="B4" s="19"/>
      <c r="C4" s="19"/>
      <c r="D4" s="19"/>
      <c r="E4" s="19"/>
      <c r="F4" s="19"/>
    </row>
    <row r="5" spans="1:6" x14ac:dyDescent="0.25">
      <c r="A5" s="11" t="s">
        <v>234</v>
      </c>
      <c r="B5" s="25">
        <v>6000</v>
      </c>
      <c r="C5" s="25">
        <v>9270</v>
      </c>
      <c r="D5" s="25">
        <v>11670</v>
      </c>
      <c r="E5" s="25">
        <v>13659</v>
      </c>
      <c r="F5" s="25">
        <v>14069</v>
      </c>
    </row>
    <row r="6" spans="1:6" x14ac:dyDescent="0.25">
      <c r="A6" s="10" t="s">
        <v>235</v>
      </c>
      <c r="B6" s="32">
        <f>SUM(B5:B5)</f>
        <v>6000</v>
      </c>
      <c r="C6" s="32">
        <f>SUM(C5:C5)</f>
        <v>9270</v>
      </c>
      <c r="D6" s="32">
        <f>SUM(D5:D5)</f>
        <v>11670</v>
      </c>
      <c r="E6" s="32">
        <f>SUM(E5:E5)</f>
        <v>13659</v>
      </c>
      <c r="F6" s="32">
        <f>SUM(F5:F5)</f>
        <v>14069</v>
      </c>
    </row>
    <row r="7" ht="24" customHeight="1" spans="1:6" x14ac:dyDescent="0.25">
      <c r="A7" s="19" t="s">
        <v>165</v>
      </c>
      <c r="B7" s="19"/>
      <c r="C7" s="19"/>
      <c r="D7" s="19"/>
      <c r="E7" s="19"/>
      <c r="F7" s="19"/>
    </row>
    <row r="8" spans="1:6" x14ac:dyDescent="0.25">
      <c r="A8" s="11" t="s">
        <v>236</v>
      </c>
      <c r="B8" s="25">
        <v>3600</v>
      </c>
      <c r="C8" s="25">
        <v>5562</v>
      </c>
      <c r="D8" s="25">
        <v>7002</v>
      </c>
      <c r="E8" s="25">
        <v>8195</v>
      </c>
      <c r="F8" s="25">
        <v>8441</v>
      </c>
    </row>
    <row r="9" spans="1:6" x14ac:dyDescent="0.25">
      <c r="A9" s="10" t="s">
        <v>237</v>
      </c>
      <c r="B9" s="32">
        <f>SUM(B8:B8)</f>
        <v>3600</v>
      </c>
      <c r="C9" s="32">
        <f>SUM(C8:C8)</f>
        <v>5562</v>
      </c>
      <c r="D9" s="32">
        <f>SUM(D8:D8)</f>
        <v>7002</v>
      </c>
      <c r="E9" s="32">
        <f>SUM(E8:E8)</f>
        <v>8195</v>
      </c>
      <c r="F9" s="32">
        <f>SUM(F8:F8)</f>
        <v>8441</v>
      </c>
    </row>
    <row r="10" ht="24" customHeight="1" spans="1:6" x14ac:dyDescent="0.25">
      <c r="A10" s="19" t="s">
        <v>159</v>
      </c>
      <c r="B10" s="19"/>
      <c r="C10" s="19"/>
      <c r="D10" s="19"/>
      <c r="E10" s="19"/>
      <c r="F10" s="19"/>
    </row>
    <row r="11" spans="1:6" x14ac:dyDescent="0.25">
      <c r="A11" s="11" t="s">
        <v>238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11" t="s">
        <v>239</v>
      </c>
      <c r="B12" s="25">
        <v>3600</v>
      </c>
      <c r="C12" s="25">
        <v>3708</v>
      </c>
      <c r="D12" s="25">
        <v>3819</v>
      </c>
      <c r="E12" s="25">
        <v>3934</v>
      </c>
      <c r="F12" s="25">
        <v>4052</v>
      </c>
    </row>
    <row r="13" spans="1:6" x14ac:dyDescent="0.25">
      <c r="A13" s="11" t="s">
        <v>240</v>
      </c>
      <c r="B13" s="25">
        <v>2400</v>
      </c>
      <c r="C13" s="25">
        <v>2472</v>
      </c>
      <c r="D13" s="25">
        <v>2546</v>
      </c>
      <c r="E13" s="25">
        <v>2623</v>
      </c>
      <c r="F13" s="25">
        <v>2701</v>
      </c>
    </row>
    <row r="14" spans="1:6" x14ac:dyDescent="0.25">
      <c r="A14" s="10" t="s">
        <v>241</v>
      </c>
      <c r="B14" s="32">
        <f>SUM(B11:B13)</f>
        <v>36000</v>
      </c>
      <c r="C14" s="32">
        <f>SUM(C11:C13)</f>
        <v>37080</v>
      </c>
      <c r="D14" s="32">
        <f>SUM(D11:D13)</f>
        <v>38192</v>
      </c>
      <c r="E14" s="32">
        <f>SUM(E11:E13)</f>
        <v>39338</v>
      </c>
      <c r="F14" s="32">
        <f>SUM(F11:F13)</f>
        <v>40518</v>
      </c>
    </row>
    <row r="15" ht="24" customHeight="1" spans="1:6" x14ac:dyDescent="0.25">
      <c r="A15" s="19" t="s">
        <v>167</v>
      </c>
      <c r="B15" s="19"/>
      <c r="C15" s="19"/>
      <c r="D15" s="19"/>
      <c r="E15" s="19"/>
      <c r="F15" s="19"/>
    </row>
    <row r="16" spans="1:6" x14ac:dyDescent="0.25">
      <c r="A16" s="11" t="s">
        <v>242</v>
      </c>
      <c r="B16" s="25">
        <v>3000</v>
      </c>
      <c r="C16" s="25">
        <v>3090</v>
      </c>
      <c r="D16" s="25">
        <v>3183</v>
      </c>
      <c r="E16" s="25">
        <v>3278</v>
      </c>
      <c r="F16" s="25">
        <v>3377</v>
      </c>
    </row>
    <row r="17" spans="1:6" x14ac:dyDescent="0.25">
      <c r="A17" s="10" t="s">
        <v>243</v>
      </c>
      <c r="B17" s="32">
        <f>SUM(B16:B16)</f>
        <v>3000</v>
      </c>
      <c r="C17" s="32">
        <f>SUM(C16:C16)</f>
        <v>3090</v>
      </c>
      <c r="D17" s="32">
        <f>SUM(D16:D16)</f>
        <v>3183</v>
      </c>
      <c r="E17" s="32">
        <f>SUM(E16:E16)</f>
        <v>3278</v>
      </c>
      <c r="F17" s="32">
        <f>SUM(F16:F16)</f>
        <v>3377</v>
      </c>
    </row>
    <row r="19" ht="24" customHeight="1" spans="1:6" x14ac:dyDescent="0.25">
      <c r="A19" s="19" t="s">
        <v>244</v>
      </c>
      <c r="B19" s="33">
        <f>B6+B9+B14+B17</f>
        <v>48600</v>
      </c>
      <c r="C19" s="33">
        <f>C6+C9+C14+C17</f>
        <v>55002</v>
      </c>
      <c r="D19" s="33">
        <f>D6+D9+D14+D17</f>
        <v>60047</v>
      </c>
      <c r="E19" s="33">
        <f>E6+E9+E14+E17</f>
        <v>64471</v>
      </c>
      <c r="F19" s="33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245</v>
      </c>
      <c r="B1" s="15"/>
      <c r="C1" s="15"/>
      <c r="D1" s="15"/>
      <c r="E1" s="15"/>
      <c r="F1" s="15"/>
    </row>
    <row r="3" ht="28" customHeight="1" spans="1:6" x14ac:dyDescent="0.25">
      <c r="A3" s="21" t="s">
        <v>169</v>
      </c>
      <c r="B3" s="21" t="s">
        <v>145</v>
      </c>
      <c r="C3" s="21" t="s">
        <v>170</v>
      </c>
      <c r="D3" s="21" t="s">
        <v>147</v>
      </c>
      <c r="E3" s="21" t="s">
        <v>171</v>
      </c>
      <c r="F3" s="21" t="s">
        <v>246</v>
      </c>
    </row>
    <row r="4" spans="1:6" x14ac:dyDescent="0.25">
      <c r="A4" s="11" t="s">
        <v>172</v>
      </c>
      <c r="B4" s="11" t="s">
        <v>173</v>
      </c>
      <c r="C4" s="23">
        <v>30000</v>
      </c>
      <c r="D4" s="24">
        <v>0.06</v>
      </c>
      <c r="E4" s="22">
        <v>5</v>
      </c>
      <c r="F4" s="34">
        <v>6960</v>
      </c>
    </row>
    <row r="6" spans="1:6" x14ac:dyDescent="0.25">
      <c r="A6" s="10" t="s">
        <v>247</v>
      </c>
      <c r="F6" s="33">
        <v>6960</v>
      </c>
    </row>
    <row r="7" spans="1:6" x14ac:dyDescent="0.25">
      <c r="A7" s="10" t="s">
        <v>248</v>
      </c>
      <c r="F7" s="32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106</v>
      </c>
      <c r="C3" s="21" t="s">
        <v>107</v>
      </c>
      <c r="D3" s="21" t="s">
        <v>108</v>
      </c>
      <c r="E3" s="21" t="s">
        <v>109</v>
      </c>
      <c r="F3" s="21" t="s">
        <v>110</v>
      </c>
    </row>
    <row r="4" spans="1:6" x14ac:dyDescent="0.25">
      <c r="A4" s="10" t="s">
        <v>111</v>
      </c>
      <c r="B4" s="36">
        <v>12</v>
      </c>
      <c r="C4" s="36">
        <v>18</v>
      </c>
      <c r="D4" s="36">
        <v>22</v>
      </c>
      <c r="E4" s="36">
        <v>25</v>
      </c>
      <c r="F4" s="36">
        <v>25</v>
      </c>
    </row>
    <row r="6" ht="24" customHeight="1" spans="1:6" x14ac:dyDescent="0.25">
      <c r="A6" s="19" t="s">
        <v>250</v>
      </c>
      <c r="B6" s="19"/>
      <c r="C6" s="19"/>
      <c r="D6" s="19"/>
      <c r="E6" s="19"/>
      <c r="F6" s="19"/>
    </row>
    <row r="7" spans="1:6" x14ac:dyDescent="0.25">
      <c r="A7" s="11" t="s">
        <v>119</v>
      </c>
      <c r="B7" s="25">
        <v>144000</v>
      </c>
      <c r="C7" s="25">
        <v>222480</v>
      </c>
      <c r="D7" s="25">
        <v>280078</v>
      </c>
      <c r="E7" s="25">
        <v>327818</v>
      </c>
      <c r="F7" s="25">
        <v>337653</v>
      </c>
    </row>
    <row r="8" spans="1:6" x14ac:dyDescent="0.25">
      <c r="A8" s="11" t="s">
        <v>123</v>
      </c>
      <c r="B8" s="25">
        <v>3000</v>
      </c>
      <c r="C8" s="25">
        <v>4635</v>
      </c>
      <c r="D8" s="25">
        <v>5835</v>
      </c>
      <c r="E8" s="25">
        <v>6830</v>
      </c>
      <c r="F8" s="25">
        <v>7034</v>
      </c>
    </row>
    <row r="9" spans="1:6" x14ac:dyDescent="0.25">
      <c r="A9" s="11" t="s">
        <v>124</v>
      </c>
      <c r="B9" s="25">
        <v>84000</v>
      </c>
      <c r="C9" s="25">
        <v>129780</v>
      </c>
      <c r="D9" s="25">
        <v>163379</v>
      </c>
      <c r="E9" s="25">
        <v>191227</v>
      </c>
      <c r="F9" s="25">
        <v>196964</v>
      </c>
    </row>
    <row r="10" spans="1:6" x14ac:dyDescent="0.25">
      <c r="A10" s="11" t="s">
        <v>126</v>
      </c>
      <c r="B10" s="25">
        <v>5000</v>
      </c>
      <c r="C10" s="25">
        <v>5150</v>
      </c>
      <c r="D10" s="25">
        <v>5305</v>
      </c>
      <c r="E10" s="25">
        <v>5464</v>
      </c>
      <c r="F10" s="25">
        <v>5628</v>
      </c>
    </row>
    <row r="11" spans="1:6" x14ac:dyDescent="0.25">
      <c r="A11" s="11" t="s">
        <v>129</v>
      </c>
      <c r="B11" s="25">
        <v>-10</v>
      </c>
      <c r="C11" s="25">
        <v>-10</v>
      </c>
      <c r="D11" s="25">
        <v>-11</v>
      </c>
      <c r="E11" s="25">
        <v>-11</v>
      </c>
      <c r="F11" s="25">
        <v>-11</v>
      </c>
    </row>
    <row r="12" ht="24" customHeight="1" spans="1:6" x14ac:dyDescent="0.25">
      <c r="A12" s="19" t="s">
        <v>251</v>
      </c>
      <c r="B12" s="33">
        <f>SUM(B7:B11)</f>
        <v>221600</v>
      </c>
      <c r="C12" s="33">
        <f>SUM(C7:C11)</f>
        <v>339130</v>
      </c>
      <c r="D12" s="33">
        <f>SUM(D7:D11)</f>
        <v>424882</v>
      </c>
      <c r="E12" s="33">
        <f>SUM(E7:E11)</f>
        <v>495517</v>
      </c>
      <c r="F12" s="33">
        <f>SUM(F7:F11)</f>
        <v>509276</v>
      </c>
    </row>
    <row r="14" spans="1:6" x14ac:dyDescent="0.25">
      <c r="A14" s="11" t="s">
        <v>252</v>
      </c>
      <c r="B14" s="25">
        <v>18467</v>
      </c>
      <c r="C14" s="25">
        <v>18841</v>
      </c>
      <c r="D14" s="25">
        <v>19313</v>
      </c>
      <c r="E14" s="25">
        <v>19821</v>
      </c>
      <c r="F14" s="25">
        <v>20371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106</v>
      </c>
      <c r="C3" s="21" t="s">
        <v>107</v>
      </c>
      <c r="D3" s="21" t="s">
        <v>108</v>
      </c>
      <c r="E3" s="21" t="s">
        <v>109</v>
      </c>
      <c r="F3" s="21" t="s">
        <v>110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254</v>
      </c>
      <c r="B5" s="25">
        <v>47869</v>
      </c>
      <c r="C5" s="25">
        <v>59166</v>
      </c>
      <c r="D5" s="25">
        <v>60941</v>
      </c>
      <c r="E5" s="25">
        <v>62769</v>
      </c>
      <c r="F5" s="25">
        <v>64652</v>
      </c>
    </row>
    <row r="6" spans="1:6" x14ac:dyDescent="0.25">
      <c r="A6" s="11" t="s">
        <v>255</v>
      </c>
      <c r="B6" s="25">
        <v>12559</v>
      </c>
      <c r="C6" s="25">
        <v>15523</v>
      </c>
      <c r="D6" s="25">
        <v>15989</v>
      </c>
      <c r="E6" s="25">
        <v>16468</v>
      </c>
      <c r="F6" s="25">
        <v>16963</v>
      </c>
    </row>
    <row r="7" spans="1:6" x14ac:dyDescent="0.25">
      <c r="A7" s="10" t="s">
        <v>256</v>
      </c>
      <c r="B7" s="32">
        <f>SUM(B5:B6)</f>
        <v>60428</v>
      </c>
      <c r="C7" s="32">
        <f>SUM(C5:C6)</f>
        <v>74689</v>
      </c>
      <c r="D7" s="32">
        <f>SUM(D5:D6)</f>
        <v>76930</v>
      </c>
      <c r="E7" s="32">
        <f>SUM(E5:E6)</f>
        <v>79237</v>
      </c>
      <c r="F7" s="32">
        <f>SUM(F5:F6)</f>
        <v>81615</v>
      </c>
    </row>
    <row r="8" ht="24" customHeight="1" spans="1:6" x14ac:dyDescent="0.25">
      <c r="A8" s="19" t="s">
        <v>151</v>
      </c>
      <c r="B8" s="19"/>
      <c r="C8" s="19"/>
      <c r="D8" s="19"/>
      <c r="E8" s="19"/>
      <c r="F8" s="19"/>
    </row>
    <row r="9" spans="1:6" x14ac:dyDescent="0.25">
      <c r="A9" s="11" t="s">
        <v>257</v>
      </c>
      <c r="B9" s="25">
        <v>58506</v>
      </c>
      <c r="C9" s="25">
        <v>72314</v>
      </c>
      <c r="D9" s="25">
        <v>74483</v>
      </c>
      <c r="E9" s="25">
        <v>76718</v>
      </c>
      <c r="F9" s="25">
        <v>79019</v>
      </c>
    </row>
    <row r="10" spans="1:6" x14ac:dyDescent="0.25">
      <c r="A10" s="10" t="s">
        <v>258</v>
      </c>
      <c r="B10" s="32">
        <f>SUM(B9:B9)</f>
        <v>58506</v>
      </c>
      <c r="C10" s="32">
        <f>SUM(C9:C9)</f>
        <v>72314</v>
      </c>
      <c r="D10" s="32">
        <f>SUM(D9:D9)</f>
        <v>74483</v>
      </c>
      <c r="E10" s="32">
        <f>SUM(E9:E9)</f>
        <v>76718</v>
      </c>
      <c r="F10" s="32">
        <f>SUM(F9:F9)</f>
        <v>79019</v>
      </c>
    </row>
    <row r="12" ht="24" customHeight="1" spans="1:6" x14ac:dyDescent="0.25">
      <c r="A12" s="19" t="s">
        <v>259</v>
      </c>
      <c r="B12" s="33">
        <f>B7+B10</f>
        <v>118934</v>
      </c>
      <c r="C12" s="33">
        <f>C7+C10</f>
        <v>147003</v>
      </c>
      <c r="D12" s="33">
        <f>D7+D10</f>
        <v>151413</v>
      </c>
      <c r="E12" s="33">
        <f>E7+E10</f>
        <v>155955</v>
      </c>
      <c r="F12" s="33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106</v>
      </c>
      <c r="C3" s="21" t="s">
        <v>107</v>
      </c>
      <c r="D3" s="21" t="s">
        <v>108</v>
      </c>
      <c r="E3" s="21" t="s">
        <v>109</v>
      </c>
      <c r="F3" s="21" t="s">
        <v>110</v>
      </c>
    </row>
    <row r="4" ht="24" customHeight="1" spans="1:6" x14ac:dyDescent="0.25">
      <c r="A4" s="19" t="s">
        <v>261</v>
      </c>
      <c r="B4" s="19"/>
      <c r="C4" s="19"/>
      <c r="D4" s="19"/>
      <c r="E4" s="19"/>
      <c r="F4" s="19"/>
    </row>
    <row r="5" spans="1:6" x14ac:dyDescent="0.25">
      <c r="A5" s="11" t="s">
        <v>262</v>
      </c>
      <c r="B5" s="25">
        <v>120000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11" t="s">
        <v>263</v>
      </c>
      <c r="B6" s="25">
        <v>2500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11" t="s">
        <v>264</v>
      </c>
      <c r="B7" s="25">
        <v>70000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11" t="s">
        <v>265</v>
      </c>
      <c r="B8" s="25">
        <v>4167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11" t="s">
        <v>266</v>
      </c>
      <c r="B9" s="25">
        <v>-8</v>
      </c>
      <c r="C9" s="25">
        <v>-10</v>
      </c>
      <c r="D9" s="25">
        <v>-11</v>
      </c>
      <c r="E9" s="25">
        <v>-11</v>
      </c>
      <c r="F9" s="25">
        <v>-11</v>
      </c>
    </row>
    <row r="10" spans="1:6" x14ac:dyDescent="0.25">
      <c r="A10" s="10" t="s">
        <v>267</v>
      </c>
      <c r="B10" s="32">
        <f>SUM(B5:B9)</f>
        <v>184667</v>
      </c>
      <c r="C10" s="32">
        <f>SUM(C5:C9)</f>
        <v>340512</v>
      </c>
      <c r="D10" s="32">
        <f>SUM(D5:D9)</f>
        <v>427946</v>
      </c>
      <c r="E10" s="32">
        <f>SUM(E5:E9)</f>
        <v>500518</v>
      </c>
      <c r="F10" s="32">
        <f>SUM(F5:F9)</f>
        <v>516085</v>
      </c>
    </row>
    <row r="12" ht="24" customHeight="1" spans="1:6" x14ac:dyDescent="0.25">
      <c r="A12" s="19" t="s">
        <v>268</v>
      </c>
      <c r="B12" s="19"/>
      <c r="C12" s="19"/>
      <c r="D12" s="19"/>
      <c r="E12" s="19"/>
      <c r="F12" s="19"/>
    </row>
    <row r="13" spans="1:6" x14ac:dyDescent="0.25">
      <c r="A13" s="11" t="s">
        <v>269</v>
      </c>
      <c r="B13" s="25">
        <v>58506</v>
      </c>
      <c r="C13" s="25">
        <v>72314</v>
      </c>
      <c r="D13" s="25">
        <v>74483</v>
      </c>
      <c r="E13" s="25">
        <v>76718</v>
      </c>
      <c r="F13" s="25">
        <v>79019</v>
      </c>
    </row>
    <row r="14" spans="1:6" x14ac:dyDescent="0.25">
      <c r="A14" s="11" t="s">
        <v>270</v>
      </c>
      <c r="B14" s="25">
        <v>47869</v>
      </c>
      <c r="C14" s="25">
        <v>59166</v>
      </c>
      <c r="D14" s="25">
        <v>60941</v>
      </c>
      <c r="E14" s="25">
        <v>62769</v>
      </c>
      <c r="F14" s="25">
        <v>64652</v>
      </c>
    </row>
    <row r="15" spans="1:6" x14ac:dyDescent="0.25">
      <c r="A15" s="11" t="s">
        <v>271</v>
      </c>
      <c r="B15" s="25">
        <v>12559</v>
      </c>
      <c r="C15" s="25">
        <v>15523</v>
      </c>
      <c r="D15" s="25">
        <v>15989</v>
      </c>
      <c r="E15" s="25">
        <v>16468</v>
      </c>
      <c r="F15" s="25">
        <v>16963</v>
      </c>
    </row>
    <row r="16" spans="1:6" x14ac:dyDescent="0.25">
      <c r="A16" s="10" t="s">
        <v>230</v>
      </c>
      <c r="B16" s="32">
        <f>SUM(B13:B15)</f>
        <v>118934</v>
      </c>
      <c r="C16" s="32">
        <f>SUM(C13:C15)</f>
        <v>147003</v>
      </c>
      <c r="D16" s="32">
        <f>SUM(D13:D15)</f>
        <v>151413</v>
      </c>
      <c r="E16" s="32">
        <f>SUM(E13:E15)</f>
        <v>155955</v>
      </c>
      <c r="F16" s="32">
        <f>SUM(F13:F15)</f>
        <v>160634</v>
      </c>
    </row>
    <row r="18" ht="24" customHeight="1" spans="1:6" x14ac:dyDescent="0.25">
      <c r="A18" s="19" t="s">
        <v>157</v>
      </c>
      <c r="B18" s="19"/>
      <c r="C18" s="19"/>
      <c r="D18" s="19"/>
      <c r="E18" s="19"/>
      <c r="F18" s="19"/>
    </row>
    <row r="19" spans="1:1" x14ac:dyDescent="0.25">
      <c r="A19" s="37" t="s">
        <v>164</v>
      </c>
    </row>
    <row r="20" spans="1:6" x14ac:dyDescent="0.25">
      <c r="A20" s="11" t="s">
        <v>272</v>
      </c>
      <c r="B20" s="25">
        <v>5000</v>
      </c>
      <c r="C20" s="25">
        <v>9270</v>
      </c>
      <c r="D20" s="25">
        <v>11670</v>
      </c>
      <c r="E20" s="25">
        <v>13659</v>
      </c>
      <c r="F20" s="25">
        <v>14069</v>
      </c>
    </row>
    <row r="21" spans="1:1" x14ac:dyDescent="0.25">
      <c r="A21" s="37" t="s">
        <v>165</v>
      </c>
    </row>
    <row r="22" spans="1:6" x14ac:dyDescent="0.25">
      <c r="A22" s="11" t="s">
        <v>273</v>
      </c>
      <c r="B22" s="25">
        <v>3000</v>
      </c>
      <c r="C22" s="25">
        <v>5562</v>
      </c>
      <c r="D22" s="25">
        <v>7002</v>
      </c>
      <c r="E22" s="25">
        <v>8195</v>
      </c>
      <c r="F22" s="25">
        <v>8441</v>
      </c>
    </row>
    <row r="23" spans="1:1" x14ac:dyDescent="0.25">
      <c r="A23" s="37" t="s">
        <v>159</v>
      </c>
    </row>
    <row r="24" spans="1:6" x14ac:dyDescent="0.25">
      <c r="A24" s="11" t="s">
        <v>274</v>
      </c>
      <c r="B24" s="25">
        <v>25000</v>
      </c>
      <c r="C24" s="25">
        <v>30900</v>
      </c>
      <c r="D24" s="25">
        <v>31827</v>
      </c>
      <c r="E24" s="25">
        <v>32782</v>
      </c>
      <c r="F24" s="25">
        <v>33765</v>
      </c>
    </row>
    <row r="25" spans="1:6" x14ac:dyDescent="0.25">
      <c r="A25" s="11" t="s">
        <v>275</v>
      </c>
      <c r="B25" s="25">
        <v>3000</v>
      </c>
      <c r="C25" s="25">
        <v>3708</v>
      </c>
      <c r="D25" s="25">
        <v>3819</v>
      </c>
      <c r="E25" s="25">
        <v>3934</v>
      </c>
      <c r="F25" s="25">
        <v>4052</v>
      </c>
    </row>
    <row r="26" spans="1:6" x14ac:dyDescent="0.25">
      <c r="A26" s="11" t="s">
        <v>276</v>
      </c>
      <c r="B26" s="25">
        <v>2000</v>
      </c>
      <c r="C26" s="25">
        <v>2472</v>
      </c>
      <c r="D26" s="25">
        <v>2546</v>
      </c>
      <c r="E26" s="25">
        <v>2623</v>
      </c>
      <c r="F26" s="25">
        <v>2701</v>
      </c>
    </row>
    <row r="27" spans="1:6" x14ac:dyDescent="0.25">
      <c r="A27" s="10" t="s">
        <v>277</v>
      </c>
      <c r="B27" s="32">
        <f>SUM(B24:B26)</f>
        <v>30000</v>
      </c>
      <c r="C27" s="32">
        <f>SUM(C24:C26)</f>
        <v>37080</v>
      </c>
      <c r="D27" s="32">
        <f>SUM(D24:D26)</f>
        <v>38192</v>
      </c>
      <c r="E27" s="32">
        <f>SUM(E24:E26)</f>
        <v>39338</v>
      </c>
      <c r="F27" s="32">
        <f>SUM(F24:F26)</f>
        <v>40518</v>
      </c>
    </row>
    <row r="28" spans="1:1" x14ac:dyDescent="0.25">
      <c r="A28" s="37" t="s">
        <v>167</v>
      </c>
    </row>
    <row r="29" spans="1:6" x14ac:dyDescent="0.25">
      <c r="A29" s="11" t="s">
        <v>278</v>
      </c>
      <c r="B29" s="25">
        <v>2500</v>
      </c>
      <c r="C29" s="25">
        <v>3090</v>
      </c>
      <c r="D29" s="25">
        <v>3183</v>
      </c>
      <c r="E29" s="25">
        <v>3278</v>
      </c>
      <c r="F29" s="25">
        <v>3377</v>
      </c>
    </row>
    <row r="30" spans="1:6" x14ac:dyDescent="0.25">
      <c r="A30" s="10" t="s">
        <v>279</v>
      </c>
      <c r="B30" s="32">
        <f>B20+B22+B27+B29</f>
        <v>40500</v>
      </c>
      <c r="C30" s="32">
        <f>C20+C22+C27+C29</f>
        <v>55002</v>
      </c>
      <c r="D30" s="32">
        <f>D20+D22+D27+D29</f>
        <v>60047</v>
      </c>
      <c r="E30" s="32">
        <f>E20+E22+E27+E29</f>
        <v>64471</v>
      </c>
      <c r="F30" s="32">
        <f>F20+F22+F27+F29</f>
        <v>66405</v>
      </c>
    </row>
    <row r="32" ht="24" customHeight="1" spans="1:6" x14ac:dyDescent="0.25">
      <c r="A32" s="19" t="s">
        <v>280</v>
      </c>
      <c r="B32" s="19"/>
      <c r="C32" s="19"/>
      <c r="D32" s="19"/>
      <c r="E32" s="19"/>
      <c r="F32" s="19"/>
    </row>
    <row r="33" spans="1:6" x14ac:dyDescent="0.25">
      <c r="A33" s="10" t="s">
        <v>281</v>
      </c>
      <c r="B33" s="32" t="str">
        <f>SUM(B33:B32)</f>
        <v>0</v>
      </c>
      <c r="C33" s="32" t="str">
        <f>SUM(C33:C32)</f>
        <v>0</v>
      </c>
      <c r="D33" s="32" t="str">
        <f>SUM(D33:D32)</f>
        <v>0</v>
      </c>
      <c r="E33" s="32" t="str">
        <f>SUM(E33:E32)</f>
        <v>0</v>
      </c>
      <c r="F33" s="32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106</v>
      </c>
      <c r="C3" s="21" t="s">
        <v>107</v>
      </c>
      <c r="D3" s="21" t="s">
        <v>108</v>
      </c>
      <c r="E3" s="21" t="s">
        <v>109</v>
      </c>
      <c r="F3" s="21" t="s">
        <v>110</v>
      </c>
    </row>
    <row r="4" spans="1:6" x14ac:dyDescent="0.25">
      <c r="A4" s="10" t="s">
        <v>267</v>
      </c>
      <c r="B4" s="34">
        <f>'Budget Detail'!B10</f>
        <v>184667</v>
      </c>
      <c r="C4" s="34">
        <f>'Budget Detail'!C10</f>
        <v>340512</v>
      </c>
      <c r="D4" s="34">
        <f>'Budget Detail'!D10</f>
        <v>427946</v>
      </c>
      <c r="E4" s="34">
        <f>'Budget Detail'!E10</f>
        <v>500518</v>
      </c>
      <c r="F4" s="34">
        <f>'Budget Detail'!F10</f>
        <v>516085</v>
      </c>
    </row>
    <row r="5" spans="1:6" x14ac:dyDescent="0.25">
      <c r="A5" s="10" t="s">
        <v>230</v>
      </c>
      <c r="B5" s="34">
        <f>'Budget Detail'!B16</f>
        <v>118934</v>
      </c>
      <c r="C5" s="34">
        <f>'Budget Detail'!C16</f>
        <v>147003</v>
      </c>
      <c r="D5" s="34">
        <f>'Budget Detail'!D16</f>
        <v>151413</v>
      </c>
      <c r="E5" s="34">
        <f>'Budget Detail'!E16</f>
        <v>155955</v>
      </c>
      <c r="F5" s="34">
        <f>'Budget Detail'!F16</f>
        <v>160634</v>
      </c>
    </row>
    <row r="6" spans="1:6" x14ac:dyDescent="0.25">
      <c r="A6" s="10" t="s">
        <v>279</v>
      </c>
      <c r="B6" s="34">
        <f>'Budget Detail'!B30</f>
        <v>40500</v>
      </c>
      <c r="C6" s="34">
        <f>'Budget Detail'!C30</f>
        <v>55002</v>
      </c>
      <c r="D6" s="34">
        <f>'Budget Detail'!D30</f>
        <v>60047</v>
      </c>
      <c r="E6" s="34">
        <f>'Budget Detail'!E30</f>
        <v>64471</v>
      </c>
      <c r="F6" s="34">
        <f>'Budget Detail'!F30</f>
        <v>66405</v>
      </c>
    </row>
    <row r="7" spans="1:6" x14ac:dyDescent="0.25">
      <c r="A7" s="10" t="s">
        <v>283</v>
      </c>
      <c r="B7" s="34" t="str">
        <f>'Budget Detail'!B33</f>
        <v>0</v>
      </c>
      <c r="C7" s="34" t="str">
        <f>'Budget Detail'!C33</f>
        <v>0</v>
      </c>
      <c r="D7" s="34" t="str">
        <f>'Budget Detail'!D33</f>
        <v>0</v>
      </c>
      <c r="E7" s="34" t="str">
        <f>'Budget Detail'!E33</f>
        <v>0</v>
      </c>
      <c r="F7" s="34" t="str">
        <f>'Budget Detail'!F33</f>
        <v>0</v>
      </c>
    </row>
    <row r="8" spans="1:6" x14ac:dyDescent="0.25">
      <c r="A8" s="10" t="s">
        <v>284</v>
      </c>
      <c r="B8" s="32">
        <f>SUM(B5:B7)</f>
        <v>159434</v>
      </c>
      <c r="C8" s="32">
        <f>SUM(C5:C7)</f>
        <v>202005</v>
      </c>
      <c r="D8" s="32">
        <f>SUM(D5:D7)</f>
        <v>211460</v>
      </c>
      <c r="E8" s="32">
        <f>SUM(E5:E7)</f>
        <v>220426</v>
      </c>
      <c r="F8" s="32">
        <f>SUM(F5:F7)</f>
        <v>227039</v>
      </c>
    </row>
    <row r="10" ht="24" customHeight="1" spans="1:6" x14ac:dyDescent="0.25">
      <c r="A10" s="19" t="s">
        <v>285</v>
      </c>
      <c r="B10" s="19"/>
      <c r="C10" s="19"/>
      <c r="D10" s="19"/>
      <c r="E10" s="19"/>
      <c r="F10" s="19"/>
    </row>
    <row r="11" spans="1:6" x14ac:dyDescent="0.25">
      <c r="A11" s="10" t="s">
        <v>286</v>
      </c>
      <c r="B11" s="33">
        <f>B4-B8</f>
        <v>25232</v>
      </c>
      <c r="C11" s="33">
        <f>C4-C8</f>
        <v>138507</v>
      </c>
      <c r="D11" s="33">
        <f>D4-D8</f>
        <v>216486</v>
      </c>
      <c r="E11" s="33">
        <f>E4-E8</f>
        <v>280092</v>
      </c>
      <c r="F11" s="33">
        <f>F4-F8</f>
        <v>289046</v>
      </c>
    </row>
    <row r="12" spans="1:6" x14ac:dyDescent="0.25">
      <c r="A12" s="11" t="s">
        <v>287</v>
      </c>
      <c r="B12" s="26">
        <f>IF(B4=0,0,B11/B4)</f>
        <v>0.13663809</v>
      </c>
      <c r="C12" s="26">
        <f>IF(C4=0,0,C11/C4)</f>
        <v>0.40676208</v>
      </c>
      <c r="D12" s="26">
        <f>IF(D4=0,0,D11/D4)</f>
        <v>0.50587283</v>
      </c>
      <c r="E12" s="26">
        <f>IF(E4=0,0,E11/E4)</f>
        <v>0.55960384</v>
      </c>
      <c r="F12" s="26">
        <f>IF(F4=0,0,F11/F4)</f>
        <v>0.56007487</v>
      </c>
    </row>
    <row r="13" spans="1:6" x14ac:dyDescent="0.25">
      <c r="A13" s="11" t="s">
        <v>288</v>
      </c>
      <c r="B13" s="25">
        <v>25232</v>
      </c>
      <c r="C13" s="25">
        <v>163740</v>
      </c>
      <c r="D13" s="25">
        <v>380226</v>
      </c>
      <c r="E13" s="25">
        <v>660318</v>
      </c>
      <c r="F13" s="25">
        <v>949364</v>
      </c>
    </row>
    <row r="14" spans="1:6" x14ac:dyDescent="0.25">
      <c r="A14" s="11" t="s">
        <v>252</v>
      </c>
      <c r="B14" s="25">
        <v>15389</v>
      </c>
      <c r="C14" s="25">
        <v>18917</v>
      </c>
      <c r="D14" s="25">
        <v>19452</v>
      </c>
      <c r="E14" s="25">
        <v>20021</v>
      </c>
      <c r="F14" s="25">
        <v>20643</v>
      </c>
    </row>
    <row r="15" spans="1:6" x14ac:dyDescent="0.25">
      <c r="A15" s="11" t="s">
        <v>289</v>
      </c>
      <c r="B15" s="25">
        <v>13286</v>
      </c>
      <c r="C15" s="25">
        <v>11222</v>
      </c>
      <c r="D15" s="25">
        <v>9612</v>
      </c>
      <c r="E15" s="25">
        <v>8817</v>
      </c>
      <c r="F15" s="25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1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291</v>
      </c>
      <c r="C2" s="21" t="s">
        <v>292</v>
      </c>
      <c r="D2" s="21" t="s">
        <v>293</v>
      </c>
      <c r="E2" s="21" t="s">
        <v>294</v>
      </c>
      <c r="F2" s="21" t="s">
        <v>295</v>
      </c>
      <c r="G2" s="21" t="s">
        <v>296</v>
      </c>
      <c r="H2" s="21" t="s">
        <v>297</v>
      </c>
      <c r="I2" s="21" t="s">
        <v>298</v>
      </c>
      <c r="J2" s="21" t="s">
        <v>299</v>
      </c>
      <c r="K2" s="21" t="s">
        <v>300</v>
      </c>
      <c r="L2" s="21" t="s">
        <v>301</v>
      </c>
      <c r="M2" s="21" t="s">
        <v>302</v>
      </c>
      <c r="N2" s="21" t="s">
        <v>303</v>
      </c>
    </row>
    <row r="3" ht="24" customHeight="1" spans="1:14" x14ac:dyDescent="0.25">
      <c r="A3" s="19" t="s">
        <v>261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267</v>
      </c>
      <c r="B4" s="32">
        <v>26250</v>
      </c>
      <c r="C4" s="32">
        <v>13210</v>
      </c>
      <c r="D4" s="32">
        <v>13210</v>
      </c>
      <c r="E4" s="32">
        <v>34210</v>
      </c>
      <c r="F4" s="32">
        <v>13210</v>
      </c>
      <c r="G4" s="32">
        <v>13210</v>
      </c>
      <c r="H4" s="32">
        <v>34210</v>
      </c>
      <c r="I4" s="32">
        <v>13210</v>
      </c>
      <c r="J4" s="32">
        <v>13210</v>
      </c>
      <c r="K4" s="32">
        <v>34210</v>
      </c>
      <c r="L4" s="32">
        <v>13210</v>
      </c>
      <c r="M4" s="32">
        <v>250</v>
      </c>
      <c r="N4" s="32">
        <f>SUM(B4:M4)</f>
        <v>221600</v>
      </c>
    </row>
    <row r="6" ht="24" customHeight="1" spans="1:14" x14ac:dyDescent="0.25">
      <c r="A6" s="19" t="s">
        <v>304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305</v>
      </c>
      <c r="B7" s="25">
        <v>11893</v>
      </c>
      <c r="C7" s="25">
        <v>11893</v>
      </c>
      <c r="D7" s="25">
        <v>11893</v>
      </c>
      <c r="E7" s="25">
        <v>11893</v>
      </c>
      <c r="F7" s="25">
        <v>11893</v>
      </c>
      <c r="G7" s="25">
        <v>11893</v>
      </c>
      <c r="H7" s="25">
        <v>11893</v>
      </c>
      <c r="I7" s="25">
        <v>11893</v>
      </c>
      <c r="J7" s="25">
        <v>11893</v>
      </c>
      <c r="K7" s="25">
        <v>11893</v>
      </c>
      <c r="L7" s="25">
        <v>0</v>
      </c>
      <c r="M7" s="25">
        <v>0</v>
      </c>
      <c r="N7" s="25">
        <f>SUM(B7:M7)</f>
        <v>118934</v>
      </c>
    </row>
    <row r="8" spans="1:14" x14ac:dyDescent="0.25">
      <c r="A8" s="11" t="s">
        <v>306</v>
      </c>
      <c r="B8" s="25">
        <v>4050</v>
      </c>
      <c r="C8" s="25">
        <v>4050</v>
      </c>
      <c r="D8" s="25">
        <v>4050</v>
      </c>
      <c r="E8" s="25">
        <v>4050</v>
      </c>
      <c r="F8" s="25">
        <v>4050</v>
      </c>
      <c r="G8" s="25">
        <v>4050</v>
      </c>
      <c r="H8" s="25">
        <v>4050</v>
      </c>
      <c r="I8" s="25">
        <v>4050</v>
      </c>
      <c r="J8" s="25">
        <v>4050</v>
      </c>
      <c r="K8" s="25">
        <v>4050</v>
      </c>
      <c r="L8" s="25">
        <v>0</v>
      </c>
      <c r="M8" s="25">
        <v>0</v>
      </c>
      <c r="N8" s="25">
        <f>SUM(B8:M8)</f>
        <v>40500</v>
      </c>
    </row>
    <row r="9" spans="1:14" x14ac:dyDescent="0.25">
      <c r="A9" s="11" t="s">
        <v>307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 t="str">
        <f>SUM(B9:M9)</f>
        <v>0</v>
      </c>
    </row>
    <row r="11" ht="24" customHeight="1" spans="1:14" x14ac:dyDescent="0.25">
      <c r="A11" s="19" t="s">
        <v>308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284</v>
      </c>
      <c r="B12" s="34">
        <f>B7+B8+B9</f>
        <v>15943</v>
      </c>
      <c r="C12" s="34">
        <f>C7+C8+C9</f>
        <v>15943</v>
      </c>
      <c r="D12" s="34">
        <f>D7+D8+D9</f>
        <v>15943</v>
      </c>
      <c r="E12" s="34">
        <f>E7+E8+E9</f>
        <v>15943</v>
      </c>
      <c r="F12" s="34">
        <f>F7+F8+F9</f>
        <v>15943</v>
      </c>
      <c r="G12" s="34">
        <f>G7+G8+G9</f>
        <v>15943</v>
      </c>
      <c r="H12" s="34">
        <f>H7+H8+H9</f>
        <v>15943</v>
      </c>
      <c r="I12" s="34">
        <f>I7+I8+I9</f>
        <v>15943</v>
      </c>
      <c r="J12" s="34">
        <f>J7+J8+J9</f>
        <v>15943</v>
      </c>
      <c r="K12" s="34">
        <f>K7+K8+K9</f>
        <v>15943</v>
      </c>
      <c r="L12" s="34" t="str">
        <f>L7+L8+L9</f>
        <v>0</v>
      </c>
      <c r="M12" s="34" t="str">
        <f>M7+M8+M9</f>
        <v>0</v>
      </c>
      <c r="N12" s="34">
        <f>SUM(B12:M12)</f>
        <v>159430</v>
      </c>
    </row>
    <row r="13" spans="1:14" x14ac:dyDescent="0.25">
      <c r="A13" s="10" t="s">
        <v>309</v>
      </c>
      <c r="B13" s="34">
        <f>B4-B12</f>
        <v>10307</v>
      </c>
      <c r="C13" s="34">
        <f>C4-C12</f>
        <v>-2733</v>
      </c>
      <c r="D13" s="34">
        <f>D4-D12</f>
        <v>-2733</v>
      </c>
      <c r="E13" s="34">
        <f>E4-E12</f>
        <v>18267</v>
      </c>
      <c r="F13" s="34">
        <f>F4-F12</f>
        <v>-2733</v>
      </c>
      <c r="G13" s="34">
        <f>G4-G12</f>
        <v>-2733</v>
      </c>
      <c r="H13" s="34">
        <f>H4-H12</f>
        <v>18267</v>
      </c>
      <c r="I13" s="34">
        <f>I4-I12</f>
        <v>-2733</v>
      </c>
      <c r="J13" s="34">
        <f>J4-J12</f>
        <v>-2733</v>
      </c>
      <c r="K13" s="34">
        <f>K4-K12</f>
        <v>18267</v>
      </c>
      <c r="L13" s="34">
        <f>L4-L12</f>
        <v>13210</v>
      </c>
      <c r="M13" s="34">
        <f>M4-M12</f>
        <v>250</v>
      </c>
      <c r="N13" s="34">
        <f>SUM(B13:M13)</f>
        <v>62170</v>
      </c>
    </row>
    <row r="14" spans="1:14" x14ac:dyDescent="0.25">
      <c r="A14" s="10" t="s">
        <v>310</v>
      </c>
      <c r="B14" s="38">
        <f>B17+B13</f>
        <v>10307</v>
      </c>
      <c r="C14" s="38">
        <f>B14+C13</f>
        <v>7574</v>
      </c>
      <c r="D14" s="38">
        <f>C14+D13</f>
        <v>4841</v>
      </c>
      <c r="E14" s="38">
        <f>D14+E13</f>
        <v>23108</v>
      </c>
      <c r="F14" s="38">
        <f>E14+F13</f>
        <v>20375</v>
      </c>
      <c r="G14" s="38">
        <f>F14+G13</f>
        <v>17642</v>
      </c>
      <c r="H14" s="38">
        <f>G14+H13</f>
        <v>35909</v>
      </c>
      <c r="I14" s="38">
        <f>H14+I13</f>
        <v>33176</v>
      </c>
      <c r="J14" s="38">
        <f>I14+J13</f>
        <v>30443</v>
      </c>
      <c r="K14" s="38">
        <f>J14+K13</f>
        <v>48710</v>
      </c>
      <c r="L14" s="38">
        <f>K14+L13</f>
        <v>61920</v>
      </c>
      <c r="M14" s="38">
        <f>L14+M13</f>
        <v>62170</v>
      </c>
      <c r="N14" s="33">
        <f>M14</f>
        <v>62170</v>
      </c>
    </row>
    <row r="16" ht="24" customHeight="1" spans="1:3" x14ac:dyDescent="0.25">
      <c r="A16" s="19" t="s">
        <v>311</v>
      </c>
      <c r="B16" s="19"/>
      <c r="C16" s="19"/>
    </row>
    <row r="17" spans="1:2" x14ac:dyDescent="0.25">
      <c r="A17" s="11" t="s">
        <v>180</v>
      </c>
      <c r="B17" s="23">
        <v>0</v>
      </c>
    </row>
    <row r="18" spans="1:2" x14ac:dyDescent="0.25">
      <c r="A18" s="11" t="s">
        <v>312</v>
      </c>
      <c r="B18" s="38">
        <f>M14</f>
        <v>62170</v>
      </c>
    </row>
    <row r="19" spans="1:2" x14ac:dyDescent="0.25">
      <c r="A19" s="11" t="s">
        <v>313</v>
      </c>
      <c r="B19" s="25">
        <f>MIN(B14:M14)</f>
        <v>4841</v>
      </c>
    </row>
    <row r="20" spans="1:6" x14ac:dyDescent="0.25">
      <c r="A20" s="3" t="s">
        <v>314</v>
      </c>
      <c r="B20" s="3"/>
      <c r="C20" s="3"/>
      <c r="D20" s="3"/>
      <c r="E20" s="3"/>
      <c r="F20" s="3"/>
    </row>
    <row r="21" spans="1:8" x14ac:dyDescent="0.25">
      <c r="A21" s="39" t="s">
        <v>315</v>
      </c>
      <c r="B21" s="39"/>
      <c r="C21" s="39"/>
      <c r="D21" s="39"/>
      <c r="E21" s="39"/>
      <c r="F21" s="39"/>
      <c r="G21" s="39"/>
      <c r="H21" s="39"/>
    </row>
  </sheetData>
  <mergeCells count="3">
    <mergeCell ref="A1:N1"/>
    <mergeCell ref="A20:F20"/>
    <mergeCell ref="A21:H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316</v>
      </c>
      <c r="B1" s="15"/>
      <c r="C1" s="15"/>
      <c r="D1" s="15"/>
      <c r="E1" s="15"/>
      <c r="F1" s="15"/>
    </row>
    <row r="2" spans="1:6" x14ac:dyDescent="0.25">
      <c r="A2" s="40" t="s">
        <v>317</v>
      </c>
      <c r="B2" s="40"/>
      <c r="C2" s="40"/>
      <c r="D2" s="40"/>
      <c r="E2" s="40"/>
      <c r="F2" s="40"/>
    </row>
    <row r="3" ht="28" customHeight="1" spans="1:6" x14ac:dyDescent="0.25">
      <c r="A3" s="21" t="s">
        <v>7</v>
      </c>
      <c r="B3" s="21" t="s">
        <v>106</v>
      </c>
      <c r="C3" s="21" t="s">
        <v>107</v>
      </c>
      <c r="D3" s="21" t="s">
        <v>108</v>
      </c>
      <c r="E3" s="21" t="s">
        <v>109</v>
      </c>
      <c r="F3" s="21" t="s">
        <v>110</v>
      </c>
    </row>
    <row r="4" ht="24" customHeight="1" spans="1:6" x14ac:dyDescent="0.25">
      <c r="A4" s="19" t="s">
        <v>261</v>
      </c>
      <c r="B4" s="19"/>
      <c r="C4" s="19"/>
      <c r="D4" s="19"/>
      <c r="E4" s="19"/>
      <c r="F4" s="19"/>
    </row>
    <row r="5" spans="1:6" x14ac:dyDescent="0.25">
      <c r="A5" s="41" t="s">
        <v>267</v>
      </c>
      <c r="B5" s="32">
        <v>184667</v>
      </c>
      <c r="C5" s="32">
        <v>340512</v>
      </c>
      <c r="D5" s="32">
        <v>427946</v>
      </c>
      <c r="E5" s="32">
        <v>500518</v>
      </c>
      <c r="F5" s="32">
        <v>516085</v>
      </c>
    </row>
    <row r="7" ht="24" customHeight="1" spans="1:6" x14ac:dyDescent="0.25">
      <c r="A7" s="19" t="s">
        <v>304</v>
      </c>
      <c r="B7" s="19"/>
      <c r="C7" s="19"/>
      <c r="D7" s="19"/>
      <c r="E7" s="19"/>
      <c r="F7" s="19"/>
    </row>
    <row r="8" spans="1:6" x14ac:dyDescent="0.25">
      <c r="A8" s="10" t="s">
        <v>305</v>
      </c>
      <c r="B8" s="34">
        <v>118934</v>
      </c>
      <c r="C8" s="34">
        <v>147003</v>
      </c>
      <c r="D8" s="34">
        <v>151413</v>
      </c>
      <c r="E8" s="34">
        <v>155955</v>
      </c>
      <c r="F8" s="34">
        <v>160634</v>
      </c>
    </row>
    <row r="9" spans="1:6" x14ac:dyDescent="0.25">
      <c r="A9" s="10" t="s">
        <v>306</v>
      </c>
      <c r="B9" s="34">
        <v>40500</v>
      </c>
      <c r="C9" s="34">
        <v>55002</v>
      </c>
      <c r="D9" s="34">
        <v>60047</v>
      </c>
      <c r="E9" s="34">
        <v>64471</v>
      </c>
      <c r="F9" s="34">
        <v>66405</v>
      </c>
    </row>
    <row r="10" spans="1:6" x14ac:dyDescent="0.25">
      <c r="A10" s="10" t="s">
        <v>318</v>
      </c>
      <c r="B10" s="34">
        <v>0</v>
      </c>
      <c r="C10" s="34">
        <v>0</v>
      </c>
      <c r="D10" s="34">
        <v>0</v>
      </c>
      <c r="E10" s="34">
        <v>0</v>
      </c>
      <c r="F10" s="34">
        <v>0</v>
      </c>
    </row>
    <row r="11" spans="1:6" x14ac:dyDescent="0.25">
      <c r="A11" s="10" t="s">
        <v>319</v>
      </c>
      <c r="B11" s="34">
        <v>0</v>
      </c>
      <c r="C11" s="34">
        <v>0</v>
      </c>
      <c r="D11" s="34">
        <v>0</v>
      </c>
      <c r="E11" s="34">
        <v>0</v>
      </c>
      <c r="F11" s="34">
        <v>0</v>
      </c>
    </row>
    <row r="12" spans="1:6" x14ac:dyDescent="0.25">
      <c r="A12" s="10" t="s">
        <v>320</v>
      </c>
      <c r="B12" s="34">
        <v>714</v>
      </c>
      <c r="C12" s="34">
        <v>714</v>
      </c>
      <c r="D12" s="34">
        <v>714</v>
      </c>
      <c r="E12" s="34">
        <v>714</v>
      </c>
      <c r="F12" s="34">
        <v>714</v>
      </c>
    </row>
    <row r="13" spans="1:6" x14ac:dyDescent="0.25">
      <c r="A13" s="41" t="s">
        <v>284</v>
      </c>
      <c r="B13" s="32">
        <f>SUM(B8:B12)</f>
        <v>160148</v>
      </c>
      <c r="C13" s="32">
        <f>SUM(C8:C12)</f>
        <v>202719</v>
      </c>
      <c r="D13" s="32">
        <f>SUM(D8:D12)</f>
        <v>212174</v>
      </c>
      <c r="E13" s="32">
        <f>SUM(E8:E12)</f>
        <v>221140</v>
      </c>
      <c r="F13" s="32">
        <f>SUM(F8:F12)</f>
        <v>227753</v>
      </c>
    </row>
    <row r="15" ht="24" customHeight="1" spans="1:6" x14ac:dyDescent="0.25">
      <c r="A15" s="19" t="s">
        <v>321</v>
      </c>
      <c r="B15" s="19"/>
      <c r="C15" s="19"/>
      <c r="D15" s="19"/>
      <c r="E15" s="19"/>
      <c r="F15" s="19"/>
    </row>
    <row r="16" spans="1:6" x14ac:dyDescent="0.25">
      <c r="A16" s="41" t="s">
        <v>286</v>
      </c>
      <c r="B16" s="33">
        <f>B5-B13</f>
        <v>24518</v>
      </c>
      <c r="C16" s="33">
        <f>C5-C13</f>
        <v>137793</v>
      </c>
      <c r="D16" s="33">
        <f>D5-D13</f>
        <v>215772</v>
      </c>
      <c r="E16" s="33">
        <f>E5-E13</f>
        <v>279377</v>
      </c>
      <c r="F16" s="33">
        <f>F5-F13</f>
        <v>288332</v>
      </c>
    </row>
    <row r="17" spans="1:6" x14ac:dyDescent="0.25">
      <c r="A17" s="11" t="s">
        <v>287</v>
      </c>
      <c r="B17" s="26">
        <f>IF(B5=0,0,B16/B5)</f>
        <v>0.13277011</v>
      </c>
      <c r="C17" s="26">
        <f>IF(C5=0,0,C16/C5)</f>
        <v>0.4046644</v>
      </c>
      <c r="D17" s="26">
        <f>IF(D5=0,0,D16/D5)</f>
        <v>0.50420372</v>
      </c>
      <c r="E17" s="26">
        <f>IF(E5=0,0,E16/E5)</f>
        <v>0.55817675</v>
      </c>
      <c r="F17" s="26">
        <f>IF(F5=0,0,F16/F5)</f>
        <v>0.55869082</v>
      </c>
    </row>
    <row r="18" spans="1:6" x14ac:dyDescent="0.25">
      <c r="A18" s="10" t="s">
        <v>288</v>
      </c>
      <c r="B18" s="34">
        <f>B16</f>
        <v>24518</v>
      </c>
      <c r="C18" s="34">
        <f>B18+C16</f>
        <v>162311</v>
      </c>
      <c r="D18" s="34">
        <f>C18+D16</f>
        <v>378083</v>
      </c>
      <c r="E18" s="34">
        <f>D18+E16</f>
        <v>657460</v>
      </c>
      <c r="F18" s="34">
        <f>E18+F16</f>
        <v>945792</v>
      </c>
    </row>
    <row r="19" spans="1:6" x14ac:dyDescent="0.25">
      <c r="A19" s="10" t="s">
        <v>322</v>
      </c>
      <c r="B19" s="42" t="s">
        <v>323</v>
      </c>
      <c r="C19" s="43" t="s">
        <v>7</v>
      </c>
      <c r="D19" s="43" t="s">
        <v>7</v>
      </c>
      <c r="E19" s="43" t="s">
        <v>7</v>
      </c>
      <c r="F19" s="43" t="s">
        <v>7</v>
      </c>
    </row>
  </sheetData>
  <mergeCells count="2">
    <mergeCell ref="A1:F1"/>
    <mergeCell ref="A2:F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106</v>
      </c>
      <c r="C3" s="21" t="s">
        <v>107</v>
      </c>
      <c r="D3" s="21" t="s">
        <v>108</v>
      </c>
      <c r="E3" s="21" t="s">
        <v>109</v>
      </c>
      <c r="F3" s="21" t="s">
        <v>110</v>
      </c>
    </row>
    <row r="4" ht="24" customHeight="1" spans="1:6" x14ac:dyDescent="0.25">
      <c r="A4" s="19" t="s">
        <v>324</v>
      </c>
      <c r="B4" s="19"/>
      <c r="C4" s="19"/>
      <c r="D4" s="19"/>
      <c r="E4" s="19"/>
      <c r="F4" s="19"/>
    </row>
    <row r="5" spans="1:5" x14ac:dyDescent="0.25">
      <c r="A5" s="44" t="s">
        <v>325</v>
      </c>
      <c r="B5" s="45" t="s">
        <v>170</v>
      </c>
      <c r="C5" s="46" t="s">
        <v>326</v>
      </c>
      <c r="D5" s="44" t="s">
        <v>327</v>
      </c>
      <c r="E5" s="45" t="s">
        <v>246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106</v>
      </c>
      <c r="C3" s="21" t="s">
        <v>107</v>
      </c>
      <c r="D3" s="21" t="s">
        <v>108</v>
      </c>
      <c r="E3" s="21" t="s">
        <v>109</v>
      </c>
      <c r="F3" s="21" t="s">
        <v>110</v>
      </c>
    </row>
    <row r="4" ht="24" customHeight="1" spans="1:6" x14ac:dyDescent="0.25">
      <c r="A4" s="19" t="s">
        <v>329</v>
      </c>
      <c r="B4" s="19"/>
      <c r="C4" s="19"/>
      <c r="D4" s="19"/>
      <c r="E4" s="19"/>
      <c r="F4" s="19"/>
    </row>
    <row r="5" spans="1:6" x14ac:dyDescent="0.25">
      <c r="A5" s="11" t="s">
        <v>330</v>
      </c>
      <c r="B5" s="47">
        <f>'Monthly Cash Flow Y1'!M14</f>
        <v>62170</v>
      </c>
      <c r="C5" s="47">
        <f>B5+'5-Year Operating Stmt'!C16</f>
        <v>200677</v>
      </c>
      <c r="D5" s="47">
        <f>B5+'5-Year Operating Stmt'!C16+'5-Year Operating Stmt'!D16</f>
        <v>417164</v>
      </c>
      <c r="E5" s="47">
        <f>B5+'5-Year Operating Stmt'!C16+'5-Year Operating Stmt'!D16+'5-Year Operating Stmt'!E16</f>
        <v>697255</v>
      </c>
      <c r="F5" s="47">
        <f>B5+'5-Year Operating Stmt'!C16+'5-Year Operating Stmt'!D16+'5-Year Operating Stmt'!E16+'5-Year Operating Stmt'!F16</f>
        <v>986301</v>
      </c>
    </row>
    <row r="6" spans="1:6" x14ac:dyDescent="0.25">
      <c r="A6" s="11" t="s">
        <v>331</v>
      </c>
      <c r="B6" s="25">
        <v>1007</v>
      </c>
      <c r="C6" s="25">
        <v>1036</v>
      </c>
      <c r="D6" s="25">
        <v>1067</v>
      </c>
      <c r="E6" s="25">
        <v>1098</v>
      </c>
      <c r="F6" s="25">
        <v>1131</v>
      </c>
    </row>
    <row r="7" spans="1:6" x14ac:dyDescent="0.25">
      <c r="A7" s="11" t="s">
        <v>332</v>
      </c>
      <c r="B7" s="25">
        <v>4286</v>
      </c>
      <c r="C7" s="25">
        <v>3571</v>
      </c>
      <c r="D7" s="25">
        <v>2857</v>
      </c>
      <c r="E7" s="25">
        <v>2143</v>
      </c>
      <c r="F7" s="25">
        <v>1429</v>
      </c>
    </row>
    <row r="8" spans="1:6" x14ac:dyDescent="0.25">
      <c r="A8" s="11" t="s">
        <v>333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10" t="s">
        <v>334</v>
      </c>
      <c r="B9" s="32">
        <f>SUM(B5:B8)</f>
        <v>67463</v>
      </c>
      <c r="C9" s="32">
        <f>SUM(C5:C8)</f>
        <v>205285</v>
      </c>
      <c r="D9" s="32">
        <f>SUM(D5:D8)</f>
        <v>421088</v>
      </c>
      <c r="E9" s="32">
        <f>SUM(E5:E8)</f>
        <v>700496</v>
      </c>
      <c r="F9" s="32">
        <f>SUM(F5:F8)</f>
        <v>988860</v>
      </c>
    </row>
    <row r="11" ht="24" customHeight="1" spans="1:6" x14ac:dyDescent="0.25">
      <c r="A11" s="19" t="s">
        <v>335</v>
      </c>
      <c r="B11" s="19"/>
      <c r="C11" s="19"/>
      <c r="D11" s="19"/>
      <c r="E11" s="19"/>
      <c r="F11" s="19"/>
    </row>
    <row r="12" spans="1:6" x14ac:dyDescent="0.25">
      <c r="A12" s="11" t="s">
        <v>336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11" t="s">
        <v>337</v>
      </c>
      <c r="B13" s="25">
        <v>0</v>
      </c>
      <c r="C13" s="25">
        <v>0</v>
      </c>
      <c r="D13" s="25">
        <v>0</v>
      </c>
      <c r="E13" s="25">
        <v>0</v>
      </c>
      <c r="F13" s="25">
        <v>0</v>
      </c>
    </row>
    <row r="14" spans="1:6" x14ac:dyDescent="0.25">
      <c r="A14" s="10" t="s">
        <v>338</v>
      </c>
      <c r="B14" s="32" t="str">
        <f>SUM(B12:B13)</f>
        <v>0</v>
      </c>
      <c r="C14" s="32" t="str">
        <f>SUM(C12:C13)</f>
        <v>0</v>
      </c>
      <c r="D14" s="32" t="str">
        <f>SUM(D12:D13)</f>
        <v>0</v>
      </c>
      <c r="E14" s="32" t="str">
        <f>SUM(E12:E13)</f>
        <v>0</v>
      </c>
      <c r="F14" s="32" t="str">
        <f>SUM(F12:F13)</f>
        <v>0</v>
      </c>
    </row>
    <row r="16" ht="24" customHeight="1" spans="1:6" x14ac:dyDescent="0.25">
      <c r="A16" s="19" t="s">
        <v>339</v>
      </c>
      <c r="B16" s="19"/>
      <c r="C16" s="19"/>
      <c r="D16" s="19"/>
      <c r="E16" s="19"/>
      <c r="F16" s="19"/>
    </row>
    <row r="17" spans="1:6" x14ac:dyDescent="0.25">
      <c r="A17" s="10" t="s">
        <v>340</v>
      </c>
      <c r="B17" s="33">
        <f>B9-B14</f>
        <v>67463</v>
      </c>
      <c r="C17" s="33">
        <f>C9-C14</f>
        <v>205285</v>
      </c>
      <c r="D17" s="33">
        <f>D9-D14</f>
        <v>421088</v>
      </c>
      <c r="E17" s="33">
        <f>E9-E14</f>
        <v>700496</v>
      </c>
      <c r="F17" s="33">
        <f>F9-F14</f>
        <v>988860</v>
      </c>
    </row>
    <row r="19" spans="1:6" x14ac:dyDescent="0.25">
      <c r="A19" s="10" t="s">
        <v>341</v>
      </c>
      <c r="B19" s="48" t="str">
        <f>B9-B14-B17</f>
        <v>0</v>
      </c>
      <c r="C19" s="48" t="str">
        <f>C9-C14-C17</f>
        <v>0</v>
      </c>
      <c r="D19" s="48" t="str">
        <f>D9-D14-D17</f>
        <v>0</v>
      </c>
      <c r="E19" s="48" t="str">
        <f>E9-E14-E17</f>
        <v>0</v>
      </c>
      <c r="F19" s="48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106</v>
      </c>
      <c r="C3" s="21" t="s">
        <v>107</v>
      </c>
      <c r="D3" s="21" t="s">
        <v>108</v>
      </c>
      <c r="E3" s="21" t="s">
        <v>109</v>
      </c>
      <c r="F3" s="21" t="s">
        <v>110</v>
      </c>
    </row>
    <row r="4" ht="24" customHeight="1" spans="1:6" x14ac:dyDescent="0.25">
      <c r="A4" s="19" t="s">
        <v>343</v>
      </c>
      <c r="B4" s="19"/>
      <c r="C4" s="19"/>
      <c r="D4" s="19"/>
      <c r="E4" s="19"/>
      <c r="F4" s="19"/>
    </row>
    <row r="5" spans="1:6" x14ac:dyDescent="0.25">
      <c r="A5" s="11" t="s">
        <v>344</v>
      </c>
      <c r="B5" s="25">
        <v>184667</v>
      </c>
      <c r="C5" s="25">
        <v>340512</v>
      </c>
      <c r="D5" s="25">
        <v>427946</v>
      </c>
      <c r="E5" s="25">
        <v>500518</v>
      </c>
      <c r="F5" s="25">
        <v>516085</v>
      </c>
    </row>
    <row r="6" spans="1:6" x14ac:dyDescent="0.25">
      <c r="A6" s="11" t="s">
        <v>305</v>
      </c>
      <c r="B6" s="25">
        <v>118934</v>
      </c>
      <c r="C6" s="25">
        <v>147003</v>
      </c>
      <c r="D6" s="25">
        <v>151413</v>
      </c>
      <c r="E6" s="25">
        <v>155955</v>
      </c>
      <c r="F6" s="25">
        <v>160634</v>
      </c>
    </row>
    <row r="7" spans="1:6" x14ac:dyDescent="0.25">
      <c r="A7" s="11" t="s">
        <v>306</v>
      </c>
      <c r="B7" s="25">
        <v>40500</v>
      </c>
      <c r="C7" s="25">
        <v>55002</v>
      </c>
      <c r="D7" s="25">
        <v>60047</v>
      </c>
      <c r="E7" s="25">
        <v>64471</v>
      </c>
      <c r="F7" s="25">
        <v>66405</v>
      </c>
    </row>
    <row r="8" spans="1:6" x14ac:dyDescent="0.25">
      <c r="A8" s="10" t="s">
        <v>286</v>
      </c>
      <c r="B8" s="34">
        <v>25232</v>
      </c>
      <c r="C8" s="34">
        <v>138507</v>
      </c>
      <c r="D8" s="34">
        <v>216486</v>
      </c>
      <c r="E8" s="34">
        <v>280092</v>
      </c>
      <c r="F8" s="34">
        <v>289046</v>
      </c>
    </row>
    <row r="9" spans="1:6" x14ac:dyDescent="0.25">
      <c r="A9" s="11" t="s">
        <v>345</v>
      </c>
      <c r="B9" s="25">
        <v>714</v>
      </c>
      <c r="C9" s="25">
        <v>714</v>
      </c>
      <c r="D9" s="25">
        <v>714</v>
      </c>
      <c r="E9" s="25">
        <v>714</v>
      </c>
      <c r="F9" s="25">
        <v>714</v>
      </c>
    </row>
    <row r="10" spans="1:6" x14ac:dyDescent="0.25">
      <c r="A10" s="11" t="s">
        <v>346</v>
      </c>
      <c r="B10" s="25">
        <v>0</v>
      </c>
      <c r="C10" s="25">
        <v>0</v>
      </c>
      <c r="D10" s="25">
        <v>0</v>
      </c>
      <c r="E10" s="25">
        <v>0</v>
      </c>
      <c r="F10" s="25">
        <v>0</v>
      </c>
    </row>
    <row r="11" spans="1:6" x14ac:dyDescent="0.25">
      <c r="A11" s="10" t="s">
        <v>347</v>
      </c>
      <c r="B11" s="34">
        <f>B8+B9+B10</f>
        <v>25947</v>
      </c>
      <c r="C11" s="34">
        <f>C8+C9+C10</f>
        <v>139222</v>
      </c>
      <c r="D11" s="34">
        <f>D8+D9+D10</f>
        <v>217200</v>
      </c>
      <c r="E11" s="34">
        <f>E8+E9+E10</f>
        <v>280806</v>
      </c>
      <c r="F11" s="34">
        <f>F8+F9+F10</f>
        <v>289761</v>
      </c>
    </row>
    <row r="12" spans="1:6" x14ac:dyDescent="0.25">
      <c r="A12" s="10" t="s">
        <v>348</v>
      </c>
      <c r="B12" s="49" t="s">
        <v>349</v>
      </c>
      <c r="C12" s="49" t="s">
        <v>349</v>
      </c>
      <c r="D12" s="49" t="s">
        <v>349</v>
      </c>
      <c r="E12" s="49" t="s">
        <v>349</v>
      </c>
      <c r="F12" s="49" t="s">
        <v>349</v>
      </c>
    </row>
    <row r="14" ht="24" customHeight="1" spans="1:6" x14ac:dyDescent="0.25">
      <c r="A14" s="19" t="s">
        <v>350</v>
      </c>
      <c r="B14" s="19"/>
      <c r="C14" s="19"/>
      <c r="D14" s="19"/>
      <c r="E14" s="19"/>
      <c r="F14" s="19"/>
    </row>
    <row r="15" spans="1:6" x14ac:dyDescent="0.25">
      <c r="A15" s="11" t="s">
        <v>351</v>
      </c>
      <c r="B15" s="25">
        <v>40232</v>
      </c>
      <c r="C15" s="25">
        <v>178740</v>
      </c>
      <c r="D15" s="25">
        <v>395226</v>
      </c>
      <c r="E15" s="25">
        <v>675318</v>
      </c>
      <c r="F15" s="25">
        <v>964364</v>
      </c>
    </row>
    <row r="16" hidden="1" spans="1:6" x14ac:dyDescent="0.25">
      <c r="A16" s="11" t="s">
        <v>352</v>
      </c>
      <c r="B16" s="25">
        <v>62170</v>
      </c>
      <c r="C16" s="25">
        <v>200677</v>
      </c>
      <c r="D16" s="25">
        <v>417164</v>
      </c>
      <c r="E16" s="25">
        <v>697255</v>
      </c>
      <c r="F16" s="25">
        <v>986301</v>
      </c>
    </row>
    <row r="17" spans="1:6" x14ac:dyDescent="0.25">
      <c r="A17" s="11" t="s">
        <v>353</v>
      </c>
      <c r="B17" s="50">
        <f>IF((B5-B8)=0,0,(B16/(B5-B8))*365)</f>
        <v>142</v>
      </c>
      <c r="C17" s="50">
        <f>IF((C5-C8)=0,0,(C16/(C5-C8))*365)</f>
        <v>363</v>
      </c>
      <c r="D17" s="50">
        <f>IF((D5-D8)=0,0,(D16/(D5-D8))*365)</f>
        <v>720</v>
      </c>
      <c r="E17" s="50">
        <f>IF((E5-E8)=0,0,(E16/(E5-E8))*365)</f>
        <v>1155</v>
      </c>
      <c r="F17" s="50">
        <f>IF((F5-F8)=0,0,(F16/(F5-F8))*365)</f>
        <v>1586</v>
      </c>
    </row>
    <row r="18" spans="1:6" x14ac:dyDescent="0.25">
      <c r="A18" s="11" t="s">
        <v>354</v>
      </c>
      <c r="B18" s="35">
        <f>IF((B5-B8)=0,0,B16/((B5-B8)/12))</f>
        <v>4.7</v>
      </c>
      <c r="C18" s="35">
        <f>IF((C5-C8)=0,0,C16/((C5-C8)/12))</f>
        <v>11.9</v>
      </c>
      <c r="D18" s="35">
        <f>IF((D5-D8)=0,0,D16/((D5-D8)/12))</f>
        <v>23.7</v>
      </c>
      <c r="E18" s="35">
        <f>IF((E5-E8)=0,0,E16/((E5-E8)/12))</f>
        <v>38</v>
      </c>
      <c r="F18" s="35">
        <f>IF((F5-F8)=0,0,F16/((F5-F8)/12))</f>
        <v>52.1</v>
      </c>
    </row>
    <row r="19" spans="1:6" x14ac:dyDescent="0.25">
      <c r="A19" s="11" t="s">
        <v>214</v>
      </c>
      <c r="B19" s="26">
        <v>0.48</v>
      </c>
      <c r="C19" s="26">
        <v>0.72</v>
      </c>
      <c r="D19" s="26">
        <v>0.88</v>
      </c>
      <c r="E19" s="26">
        <v>1</v>
      </c>
      <c r="F19" s="26">
        <v>1</v>
      </c>
    </row>
    <row r="21" ht="24" customHeight="1" spans="1:6" x14ac:dyDescent="0.25">
      <c r="A21" s="19" t="s">
        <v>355</v>
      </c>
      <c r="B21" s="19"/>
      <c r="C21" s="19"/>
      <c r="D21" s="19"/>
      <c r="E21" s="19"/>
      <c r="F21" s="19"/>
    </row>
    <row r="22" spans="1:6" x14ac:dyDescent="0.25">
      <c r="A22" s="11" t="s">
        <v>252</v>
      </c>
      <c r="B22" s="25">
        <v>15389</v>
      </c>
      <c r="C22" s="25">
        <v>18917</v>
      </c>
      <c r="D22" s="25">
        <v>19452</v>
      </c>
      <c r="E22" s="25">
        <v>20021</v>
      </c>
      <c r="F22" s="25">
        <v>20643</v>
      </c>
    </row>
    <row r="23" spans="1:6" x14ac:dyDescent="0.25">
      <c r="A23" s="11" t="s">
        <v>356</v>
      </c>
      <c r="B23" s="25">
        <v>118934</v>
      </c>
      <c r="C23" s="25">
        <v>147003</v>
      </c>
      <c r="D23" s="25">
        <v>151413</v>
      </c>
      <c r="E23" s="25">
        <v>155955</v>
      </c>
      <c r="F23" s="25">
        <v>160634</v>
      </c>
    </row>
    <row r="24" spans="1:6" x14ac:dyDescent="0.25">
      <c r="A24" s="11" t="s">
        <v>357</v>
      </c>
      <c r="B24" s="25">
        <v>3375</v>
      </c>
      <c r="C24" s="25">
        <v>3056</v>
      </c>
      <c r="D24" s="25">
        <v>2729</v>
      </c>
      <c r="E24" s="25">
        <v>2579</v>
      </c>
      <c r="F24" s="25">
        <v>2656</v>
      </c>
    </row>
    <row r="25" spans="1:6" x14ac:dyDescent="0.25">
      <c r="A25" s="10" t="s">
        <v>358</v>
      </c>
      <c r="B25" s="51">
        <v>11</v>
      </c>
      <c r="C25" s="51">
        <v>11</v>
      </c>
      <c r="D25" s="51">
        <v>11</v>
      </c>
      <c r="E25" s="51">
        <v>11</v>
      </c>
      <c r="F25" s="51">
        <v>11</v>
      </c>
    </row>
    <row r="27" ht="24" customHeight="1" spans="1:6" x14ac:dyDescent="0.25">
      <c r="A27" s="19" t="s">
        <v>359</v>
      </c>
      <c r="B27" s="19"/>
      <c r="C27" s="19"/>
      <c r="D27" s="19"/>
      <c r="E27" s="19"/>
      <c r="F27" s="19"/>
    </row>
    <row r="28" spans="1:6" x14ac:dyDescent="0.25">
      <c r="A28" s="11" t="s">
        <v>360</v>
      </c>
      <c r="B28" s="52" t="s">
        <v>349</v>
      </c>
      <c r="C28" s="52" t="s">
        <v>349</v>
      </c>
      <c r="D28" s="52" t="s">
        <v>349</v>
      </c>
      <c r="E28" s="52" t="s">
        <v>349</v>
      </c>
      <c r="F28" s="52" t="s">
        <v>349</v>
      </c>
    </row>
    <row r="29" spans="1:6" x14ac:dyDescent="0.25">
      <c r="A29" s="11" t="s">
        <v>361</v>
      </c>
      <c r="B29" s="53" t="s">
        <v>362</v>
      </c>
      <c r="C29" s="53" t="s">
        <v>362</v>
      </c>
      <c r="D29" s="53" t="s">
        <v>362</v>
      </c>
      <c r="E29" s="53" t="s">
        <v>362</v>
      </c>
      <c r="F29" s="53" t="s">
        <v>362</v>
      </c>
    </row>
    <row r="30" spans="1:6" x14ac:dyDescent="0.25">
      <c r="A30" s="11" t="s">
        <v>363</v>
      </c>
      <c r="B30" s="52" t="s">
        <v>349</v>
      </c>
      <c r="C30" s="52" t="s">
        <v>349</v>
      </c>
      <c r="D30" s="52" t="s">
        <v>349</v>
      </c>
      <c r="E30" s="52" t="s">
        <v>349</v>
      </c>
      <c r="F30" s="52" t="s">
        <v>349</v>
      </c>
    </row>
    <row r="31" spans="1:6" x14ac:dyDescent="0.25">
      <c r="A31" s="11" t="s">
        <v>364</v>
      </c>
      <c r="B31" s="54" t="s">
        <v>365</v>
      </c>
      <c r="C31" s="53" t="s">
        <v>362</v>
      </c>
      <c r="D31" s="53" t="s">
        <v>362</v>
      </c>
      <c r="E31" s="53" t="s">
        <v>362</v>
      </c>
      <c r="F31" s="53" t="s">
        <v>362</v>
      </c>
    </row>
    <row r="32" spans="1:6" x14ac:dyDescent="0.25">
      <c r="A32" s="11" t="s">
        <v>366</v>
      </c>
      <c r="B32" s="53" t="s">
        <v>362</v>
      </c>
      <c r="C32" s="53" t="s">
        <v>362</v>
      </c>
      <c r="D32" s="53" t="s">
        <v>362</v>
      </c>
      <c r="E32" s="53" t="s">
        <v>362</v>
      </c>
      <c r="F32" s="53" t="s">
        <v>362</v>
      </c>
    </row>
    <row r="33" spans="1:6" x14ac:dyDescent="0.25">
      <c r="A33" s="11" t="s">
        <v>367</v>
      </c>
      <c r="B33" s="53" t="s">
        <v>362</v>
      </c>
      <c r="C33" s="53" t="s">
        <v>362</v>
      </c>
      <c r="D33" s="53" t="s">
        <v>362</v>
      </c>
      <c r="E33" s="53" t="s">
        <v>362</v>
      </c>
      <c r="F33" s="53" t="s">
        <v>362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5" t="s">
        <v>368</v>
      </c>
      <c r="B3" s="55" t="s">
        <v>116</v>
      </c>
      <c r="D3" s="55" t="s">
        <v>369</v>
      </c>
      <c r="E3" s="55" t="s">
        <v>116</v>
      </c>
    </row>
    <row r="4" spans="1:5" x14ac:dyDescent="0.25">
      <c r="A4" s="11" t="s">
        <v>370</v>
      </c>
      <c r="B4" s="25">
        <v>20000</v>
      </c>
      <c r="D4" s="11" t="s">
        <v>371</v>
      </c>
      <c r="E4" s="25">
        <v>15000</v>
      </c>
    </row>
    <row r="5" spans="4:5" x14ac:dyDescent="0.25">
      <c r="D5" s="11" t="s">
        <v>372</v>
      </c>
      <c r="E5" s="25">
        <v>5000</v>
      </c>
    </row>
    <row r="7" spans="1:5" x14ac:dyDescent="0.25">
      <c r="A7" s="10" t="s">
        <v>373</v>
      </c>
      <c r="B7" s="33">
        <v>20000</v>
      </c>
      <c r="D7" s="10" t="s">
        <v>374</v>
      </c>
      <c r="E7" s="33">
        <v>20000</v>
      </c>
    </row>
    <row r="8" spans="1:2" x14ac:dyDescent="0.25">
      <c r="A8" s="10" t="s">
        <v>375</v>
      </c>
      <c r="B8" s="48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376</v>
      </c>
      <c r="B1" s="15"/>
      <c r="C1" s="15"/>
      <c r="D1" s="15"/>
      <c r="E1" s="15"/>
      <c r="F1" s="15"/>
    </row>
    <row r="3" ht="24" customHeight="1" spans="1:6" x14ac:dyDescent="0.25">
      <c r="A3" s="19" t="s">
        <v>377</v>
      </c>
      <c r="B3" s="19"/>
      <c r="C3" s="19"/>
      <c r="D3" s="19"/>
      <c r="E3" s="19"/>
      <c r="F3" s="19"/>
    </row>
    <row r="4" spans="1:1" x14ac:dyDescent="0.25">
      <c r="A4" s="17" t="s">
        <v>378</v>
      </c>
    </row>
    <row r="5" ht="28" customHeight="1" spans="1:6" x14ac:dyDescent="0.25">
      <c r="A5" s="21" t="s">
        <v>7</v>
      </c>
      <c r="B5" s="21" t="s">
        <v>106</v>
      </c>
      <c r="C5" s="21" t="s">
        <v>107</v>
      </c>
      <c r="D5" s="21" t="s">
        <v>108</v>
      </c>
      <c r="E5" s="21" t="s">
        <v>109</v>
      </c>
      <c r="F5" s="21" t="s">
        <v>110</v>
      </c>
    </row>
    <row r="6" spans="1:6" x14ac:dyDescent="0.25">
      <c r="A6" s="11" t="s">
        <v>344</v>
      </c>
      <c r="B6" s="25">
        <v>184667</v>
      </c>
      <c r="C6" s="25">
        <v>340512</v>
      </c>
      <c r="D6" s="25">
        <v>427946</v>
      </c>
      <c r="E6" s="25">
        <v>500518</v>
      </c>
      <c r="F6" s="25">
        <v>516085</v>
      </c>
    </row>
    <row r="7" spans="1:6" x14ac:dyDescent="0.25">
      <c r="A7" s="11" t="s">
        <v>284</v>
      </c>
      <c r="B7" s="25">
        <v>159434</v>
      </c>
      <c r="C7" s="25">
        <v>202005</v>
      </c>
      <c r="D7" s="25">
        <v>211460</v>
      </c>
      <c r="E7" s="25">
        <v>220426</v>
      </c>
      <c r="F7" s="25">
        <v>227039</v>
      </c>
    </row>
    <row r="8" spans="1:6" x14ac:dyDescent="0.25">
      <c r="A8" s="10" t="s">
        <v>286</v>
      </c>
      <c r="B8" s="33">
        <v>25232</v>
      </c>
      <c r="C8" s="33">
        <v>138507</v>
      </c>
      <c r="D8" s="33">
        <v>216486</v>
      </c>
      <c r="E8" s="33">
        <v>280092</v>
      </c>
      <c r="F8" s="33">
        <v>289046</v>
      </c>
    </row>
    <row r="9" spans="1:6" x14ac:dyDescent="0.25">
      <c r="A9" s="11" t="s">
        <v>287</v>
      </c>
      <c r="B9" s="26">
        <v>0.13663808664259913</v>
      </c>
      <c r="C9" s="26">
        <v>0.4067620818062212</v>
      </c>
      <c r="D9" s="26">
        <v>0.5058728257176494</v>
      </c>
      <c r="E9" s="26">
        <v>0.5596038436877832</v>
      </c>
      <c r="F9" s="26">
        <v>0.5600748662293807</v>
      </c>
    </row>
    <row r="10" spans="1:6" x14ac:dyDescent="0.25">
      <c r="A10" s="11" t="s">
        <v>348</v>
      </c>
      <c r="B10" s="56" t="s">
        <v>349</v>
      </c>
      <c r="C10" s="56" t="s">
        <v>349</v>
      </c>
      <c r="D10" s="56" t="s">
        <v>349</v>
      </c>
      <c r="E10" s="56" t="s">
        <v>349</v>
      </c>
      <c r="F10" s="56" t="s">
        <v>349</v>
      </c>
    </row>
    <row r="11" spans="1:6" x14ac:dyDescent="0.25">
      <c r="A11" s="11" t="s">
        <v>358</v>
      </c>
      <c r="B11" s="50">
        <v>10</v>
      </c>
      <c r="C11" s="50">
        <v>10</v>
      </c>
      <c r="D11" s="50">
        <v>10</v>
      </c>
      <c r="E11" s="50">
        <v>9</v>
      </c>
      <c r="F11" s="50">
        <v>9</v>
      </c>
    </row>
    <row r="13" ht="24" customHeight="1" spans="1:6" x14ac:dyDescent="0.25">
      <c r="A13" s="19" t="s">
        <v>379</v>
      </c>
      <c r="B13" s="19"/>
      <c r="C13" s="19"/>
      <c r="D13" s="19"/>
      <c r="E13" s="19"/>
      <c r="F13" s="19"/>
    </row>
    <row r="14" spans="1:1" x14ac:dyDescent="0.25">
      <c r="A14" s="17" t="s">
        <v>380</v>
      </c>
    </row>
    <row r="15" ht="28" customHeight="1" spans="1:6" x14ac:dyDescent="0.25">
      <c r="A15" s="21" t="s">
        <v>7</v>
      </c>
      <c r="B15" s="21" t="s">
        <v>106</v>
      </c>
      <c r="C15" s="21" t="s">
        <v>107</v>
      </c>
      <c r="D15" s="21" t="s">
        <v>108</v>
      </c>
      <c r="E15" s="21" t="s">
        <v>109</v>
      </c>
      <c r="F15" s="21" t="s">
        <v>110</v>
      </c>
    </row>
    <row r="16" spans="1:6" x14ac:dyDescent="0.25">
      <c r="A16" s="11" t="s">
        <v>344</v>
      </c>
      <c r="B16" s="25">
        <v>147733</v>
      </c>
      <c r="C16" s="25">
        <v>272410</v>
      </c>
      <c r="D16" s="25">
        <v>342357</v>
      </c>
      <c r="E16" s="25">
        <v>400414</v>
      </c>
      <c r="F16" s="25">
        <v>412868</v>
      </c>
    </row>
    <row r="17" spans="1:6" x14ac:dyDescent="0.25">
      <c r="A17" s="11" t="s">
        <v>284</v>
      </c>
      <c r="B17" s="25">
        <v>159434</v>
      </c>
      <c r="C17" s="25">
        <v>202005</v>
      </c>
      <c r="D17" s="25">
        <v>211460</v>
      </c>
      <c r="E17" s="25">
        <v>220426</v>
      </c>
      <c r="F17" s="25">
        <v>227039</v>
      </c>
    </row>
    <row r="18" spans="1:6" x14ac:dyDescent="0.25">
      <c r="A18" s="10" t="s">
        <v>286</v>
      </c>
      <c r="B18" s="33">
        <v>-11701</v>
      </c>
      <c r="C18" s="33">
        <v>70405</v>
      </c>
      <c r="D18" s="33">
        <v>130897</v>
      </c>
      <c r="E18" s="33">
        <v>179988</v>
      </c>
      <c r="F18" s="33">
        <v>185829</v>
      </c>
    </row>
    <row r="19" spans="1:6" x14ac:dyDescent="0.25">
      <c r="A19" s="11" t="s">
        <v>287</v>
      </c>
      <c r="B19" s="26">
        <v>-0.07920239169675096</v>
      </c>
      <c r="C19" s="26">
        <v>0.2584526022577766</v>
      </c>
      <c r="D19" s="26">
        <v>0.3823410321470617</v>
      </c>
      <c r="E19" s="26">
        <v>0.4495048046097289</v>
      </c>
      <c r="F19" s="26">
        <v>0.45009358278672595</v>
      </c>
    </row>
    <row r="20" spans="1:6" x14ac:dyDescent="0.25">
      <c r="A20" s="11" t="s">
        <v>348</v>
      </c>
      <c r="B20" s="56" t="s">
        <v>349</v>
      </c>
      <c r="C20" s="56" t="s">
        <v>349</v>
      </c>
      <c r="D20" s="56" t="s">
        <v>349</v>
      </c>
      <c r="E20" s="56" t="s">
        <v>349</v>
      </c>
      <c r="F20" s="56" t="s">
        <v>349</v>
      </c>
    </row>
    <row r="21" spans="1:6" x14ac:dyDescent="0.25">
      <c r="A21" s="11" t="s">
        <v>358</v>
      </c>
      <c r="B21" s="50">
        <v>12</v>
      </c>
      <c r="C21" s="50">
        <v>10</v>
      </c>
      <c r="D21" s="50">
        <v>10</v>
      </c>
      <c r="E21" s="50">
        <v>10</v>
      </c>
      <c r="F21" s="50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5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100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145</v>
      </c>
      <c r="B5" s="11" t="s">
        <v>34</v>
      </c>
    </row>
    <row r="6" spans="1:2" x14ac:dyDescent="0.25">
      <c r="A6" s="11" t="s">
        <v>382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383</v>
      </c>
      <c r="B9" s="11" t="s">
        <v>46</v>
      </c>
    </row>
    <row r="11" ht="24" customHeight="1" spans="1:8" x14ac:dyDescent="0.25">
      <c r="A11" s="19" t="s">
        <v>384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7" t="s">
        <v>106</v>
      </c>
      <c r="E12" s="57" t="s">
        <v>107</v>
      </c>
      <c r="F12" s="57" t="s">
        <v>108</v>
      </c>
      <c r="G12" s="57" t="s">
        <v>109</v>
      </c>
      <c r="H12" s="57" t="s">
        <v>110</v>
      </c>
    </row>
    <row r="13" spans="1:8" x14ac:dyDescent="0.25">
      <c r="A13" s="11" t="s">
        <v>344</v>
      </c>
      <c r="D13" s="25">
        <v>184667</v>
      </c>
      <c r="E13" s="25">
        <v>340512</v>
      </c>
      <c r="F13" s="25">
        <v>427946</v>
      </c>
      <c r="G13" s="25">
        <v>500518</v>
      </c>
      <c r="H13" s="25">
        <v>516085</v>
      </c>
    </row>
    <row r="14" spans="1:8" x14ac:dyDescent="0.25">
      <c r="A14" s="11" t="s">
        <v>284</v>
      </c>
      <c r="D14" s="25">
        <v>159434</v>
      </c>
      <c r="E14" s="25">
        <v>202005</v>
      </c>
      <c r="F14" s="25">
        <v>211460</v>
      </c>
      <c r="G14" s="25">
        <v>220426</v>
      </c>
      <c r="H14" s="25">
        <v>227039</v>
      </c>
    </row>
    <row r="15" spans="1:8" x14ac:dyDescent="0.25">
      <c r="A15" s="11" t="s">
        <v>286</v>
      </c>
      <c r="D15" s="25">
        <v>25232</v>
      </c>
      <c r="E15" s="25">
        <v>138507</v>
      </c>
      <c r="F15" s="25">
        <v>216486</v>
      </c>
      <c r="G15" s="25">
        <v>280092</v>
      </c>
      <c r="H15" s="25">
        <v>289046</v>
      </c>
    </row>
    <row r="16" spans="1:8" x14ac:dyDescent="0.25">
      <c r="A16" s="11" t="s">
        <v>385</v>
      </c>
      <c r="D16" s="25">
        <v>62170</v>
      </c>
      <c r="E16" s="25">
        <v>200677</v>
      </c>
      <c r="F16" s="25">
        <v>417164</v>
      </c>
      <c r="G16" s="25">
        <v>697255</v>
      </c>
      <c r="H16" s="25">
        <v>986301</v>
      </c>
    </row>
    <row r="17" spans="1:8" x14ac:dyDescent="0.25">
      <c r="A17" s="11" t="s">
        <v>386</v>
      </c>
      <c r="D17" s="25">
        <v>0</v>
      </c>
      <c r="E17" s="25">
        <v>0</v>
      </c>
      <c r="F17" s="25">
        <v>0</v>
      </c>
      <c r="G17" s="25">
        <v>0</v>
      </c>
      <c r="H17" s="25">
        <v>0</v>
      </c>
    </row>
    <row r="19" ht="24" customHeight="1" spans="1:8" x14ac:dyDescent="0.25">
      <c r="A19" s="19" t="s">
        <v>387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7" t="s">
        <v>106</v>
      </c>
      <c r="E20" s="57" t="s">
        <v>107</v>
      </c>
      <c r="F20" s="57" t="s">
        <v>108</v>
      </c>
      <c r="G20" s="57" t="s">
        <v>109</v>
      </c>
      <c r="H20" s="57" t="s">
        <v>110</v>
      </c>
    </row>
    <row r="21" spans="1:8" x14ac:dyDescent="0.25">
      <c r="A21" s="11" t="s">
        <v>388</v>
      </c>
      <c r="D21" s="26">
        <v>0.13663808664259913</v>
      </c>
      <c r="E21" s="26">
        <v>0.4067620818062212</v>
      </c>
      <c r="F21" s="26">
        <v>0.5058728257176494</v>
      </c>
      <c r="G21" s="26">
        <v>0.5596038436877832</v>
      </c>
      <c r="H21" s="26">
        <v>0.5600748662293807</v>
      </c>
    </row>
    <row r="22" spans="1:8" x14ac:dyDescent="0.25">
      <c r="A22" s="11" t="s">
        <v>348</v>
      </c>
      <c r="D22" s="56" t="s">
        <v>349</v>
      </c>
      <c r="E22" s="56" t="s">
        <v>349</v>
      </c>
      <c r="F22" s="56" t="s">
        <v>349</v>
      </c>
      <c r="G22" s="56" t="s">
        <v>349</v>
      </c>
      <c r="H22" s="56" t="s">
        <v>349</v>
      </c>
    </row>
    <row r="23" spans="1:8" x14ac:dyDescent="0.25">
      <c r="A23" s="11" t="s">
        <v>214</v>
      </c>
      <c r="D23" s="26">
        <v>0.48</v>
      </c>
      <c r="E23" s="26">
        <v>0.72</v>
      </c>
      <c r="F23" s="26">
        <v>0.88</v>
      </c>
      <c r="G23" s="26">
        <v>1</v>
      </c>
      <c r="H23" s="26">
        <v>1</v>
      </c>
    </row>
    <row r="24" spans="1:8" x14ac:dyDescent="0.25">
      <c r="A24" s="11" t="s">
        <v>389</v>
      </c>
      <c r="D24" s="50">
        <v>12</v>
      </c>
      <c r="E24" s="50">
        <v>18</v>
      </c>
      <c r="F24" s="50">
        <v>22</v>
      </c>
      <c r="G24" s="50">
        <v>25</v>
      </c>
      <c r="H24" s="50">
        <v>25</v>
      </c>
    </row>
    <row r="26" ht="24" customHeight="1" spans="1:8" x14ac:dyDescent="0.25">
      <c r="A26" s="19" t="s">
        <v>390</v>
      </c>
      <c r="B26" s="19"/>
      <c r="C26" s="19"/>
      <c r="D26" s="19"/>
      <c r="E26" s="19"/>
      <c r="F26" s="19"/>
      <c r="G26" s="19"/>
      <c r="H26" s="19"/>
    </row>
    <row r="27" spans="1:8" x14ac:dyDescent="0.25">
      <c r="A27" t="s">
        <v>7</v>
      </c>
      <c r="B27" t="s">
        <v>7</v>
      </c>
      <c r="C27" t="s">
        <v>7</v>
      </c>
      <c r="D27" s="57" t="s">
        <v>106</v>
      </c>
      <c r="E27" s="57" t="s">
        <v>107</v>
      </c>
      <c r="F27" s="57" t="s">
        <v>108</v>
      </c>
      <c r="G27" s="57" t="s">
        <v>109</v>
      </c>
      <c r="H27" s="57" t="s">
        <v>110</v>
      </c>
    </row>
    <row r="28" spans="1:8" x14ac:dyDescent="0.25">
      <c r="A28" s="11" t="s">
        <v>391</v>
      </c>
      <c r="D28" s="50">
        <v>11</v>
      </c>
      <c r="E28" s="50">
        <v>11</v>
      </c>
      <c r="F28" s="50">
        <v>11</v>
      </c>
      <c r="G28" s="50">
        <v>11</v>
      </c>
      <c r="H28" s="50">
        <v>11</v>
      </c>
    </row>
    <row r="29" spans="1:8" x14ac:dyDescent="0.25">
      <c r="A29" s="11" t="s">
        <v>392</v>
      </c>
      <c r="D29" s="26">
        <v>0.44</v>
      </c>
      <c r="E29" s="26">
        <v>0.44</v>
      </c>
      <c r="F29" s="26">
        <v>0.44</v>
      </c>
      <c r="G29" s="26">
        <v>0.44</v>
      </c>
      <c r="H29" s="26">
        <v>0.44</v>
      </c>
    </row>
    <row r="30" spans="1:8" x14ac:dyDescent="0.25">
      <c r="A30" s="11" t="s">
        <v>393</v>
      </c>
      <c r="D30" s="56">
        <v>1.56</v>
      </c>
      <c r="E30" s="56">
        <v>14.81</v>
      </c>
      <c r="F30" s="56">
        <v>25.89</v>
      </c>
      <c r="G30" s="56">
        <v>34.9</v>
      </c>
      <c r="H30" s="56">
        <v>36.05</v>
      </c>
    </row>
    <row r="31" spans="1:8" x14ac:dyDescent="0.25">
      <c r="A31" s="11" t="s">
        <v>394</v>
      </c>
      <c r="D31" s="25">
        <v>18898</v>
      </c>
      <c r="E31" s="25">
        <v>115034</v>
      </c>
      <c r="F31" s="25">
        <v>288247</v>
      </c>
      <c r="G31" s="25">
        <v>524160</v>
      </c>
      <c r="H31" s="25">
        <v>768075</v>
      </c>
    </row>
    <row r="32" spans="1:8" x14ac:dyDescent="0.25">
      <c r="A32" s="11" t="s">
        <v>395</v>
      </c>
      <c r="D32" s="56" t="s">
        <v>349</v>
      </c>
      <c r="E32" s="56">
        <v>9.71</v>
      </c>
      <c r="F32" s="56">
        <v>20.63</v>
      </c>
      <c r="G32" s="56">
        <v>26.78</v>
      </c>
      <c r="H32" s="56">
        <v>27.68</v>
      </c>
    </row>
    <row r="33" spans="1:8" x14ac:dyDescent="0.25">
      <c r="A33" s="11" t="s">
        <v>396</v>
      </c>
      <c r="D33" s="25">
        <v>4523</v>
      </c>
      <c r="E33" s="25">
        <v>65131</v>
      </c>
      <c r="F33" s="25">
        <v>201757</v>
      </c>
      <c r="G33" s="25">
        <v>381152</v>
      </c>
      <c r="H33" s="25">
        <v>566866</v>
      </c>
    </row>
    <row r="35" spans="1:8" x14ac:dyDescent="0.25">
      <c r="A35" s="14" t="s">
        <v>397</v>
      </c>
      <c r="B35" s="14"/>
      <c r="C35" s="14"/>
      <c r="D35" s="14"/>
      <c r="E35" s="14"/>
      <c r="F35" s="14"/>
      <c r="G35" s="14"/>
      <c r="H35" s="14"/>
    </row>
  </sheetData>
  <mergeCells count="2">
    <mergeCell ref="A1:H1"/>
    <mergeCell ref="A35:H3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I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9" x14ac:dyDescent="0.25">
      <c r="B2" s="1" t="s">
        <v>398</v>
      </c>
      <c r="C2" s="1"/>
      <c r="D2" s="1"/>
      <c r="E2" s="1"/>
      <c r="F2" s="1"/>
      <c r="G2" s="1"/>
      <c r="H2" s="1"/>
      <c r="I2" s="1"/>
    </row>
    <row r="3" spans="2:9" x14ac:dyDescent="0.25">
      <c r="B3" s="58" t="s">
        <v>399</v>
      </c>
      <c r="C3" s="58"/>
      <c r="D3" s="58"/>
      <c r="E3" s="58"/>
      <c r="F3" s="58"/>
      <c r="G3" s="58"/>
      <c r="H3" s="58"/>
      <c r="I3" s="58"/>
    </row>
    <row r="4" spans="2:6" x14ac:dyDescent="0.25">
      <c r="B4" s="59" t="s">
        <v>400</v>
      </c>
      <c r="D4" s="60" t="s">
        <v>401</v>
      </c>
      <c r="F4" s="61" t="s">
        <v>402</v>
      </c>
    </row>
    <row r="6" ht="24" customHeight="1" spans="2:8" x14ac:dyDescent="0.25">
      <c r="B6" s="19" t="s">
        <v>403</v>
      </c>
      <c r="C6" s="62" t="s">
        <v>404</v>
      </c>
      <c r="D6" s="62" t="s">
        <v>405</v>
      </c>
      <c r="E6" s="62" t="s">
        <v>406</v>
      </c>
      <c r="F6" s="62" t="s">
        <v>407</v>
      </c>
      <c r="G6" s="62" t="s">
        <v>408</v>
      </c>
      <c r="H6" s="62" t="s">
        <v>409</v>
      </c>
    </row>
    <row r="7" spans="2:7" x14ac:dyDescent="0.25">
      <c r="B7" s="11" t="s">
        <v>389</v>
      </c>
      <c r="C7" s="63">
        <v>12</v>
      </c>
      <c r="D7" s="63">
        <v>18</v>
      </c>
      <c r="E7" s="63">
        <v>22</v>
      </c>
      <c r="F7" s="63">
        <v>25</v>
      </c>
      <c r="G7" s="63">
        <v>25</v>
      </c>
    </row>
    <row r="8" spans="2:7" x14ac:dyDescent="0.25">
      <c r="B8" s="11" t="s">
        <v>344</v>
      </c>
      <c r="C8" s="64">
        <v>184666.66666666666</v>
      </c>
      <c r="D8" s="64">
        <v>340512</v>
      </c>
      <c r="E8" s="64">
        <v>427945.8</v>
      </c>
      <c r="F8" s="64">
        <v>500517.5</v>
      </c>
      <c r="G8" s="64">
        <v>516085</v>
      </c>
    </row>
    <row r="9" spans="2:7" x14ac:dyDescent="0.25">
      <c r="B9" s="11" t="s">
        <v>305</v>
      </c>
      <c r="C9" s="64">
        <v>118934.16666666667</v>
      </c>
      <c r="D9" s="64">
        <v>147002.63</v>
      </c>
      <c r="E9" s="64">
        <v>151412.70889999997</v>
      </c>
      <c r="F9" s="64">
        <v>155955.09016700002</v>
      </c>
      <c r="G9" s="64">
        <v>160633.74287201</v>
      </c>
    </row>
    <row r="10" spans="2:7" x14ac:dyDescent="0.25">
      <c r="B10" s="11" t="s">
        <v>306</v>
      </c>
      <c r="C10" s="64">
        <v>40500</v>
      </c>
      <c r="D10" s="64">
        <v>55002</v>
      </c>
      <c r="E10" s="64">
        <v>60046.93999999999</v>
      </c>
      <c r="F10" s="64">
        <v>64470.893</v>
      </c>
      <c r="G10" s="64">
        <v>66405.01979</v>
      </c>
    </row>
    <row r="11" spans="2:7" x14ac:dyDescent="0.25">
      <c r="B11" s="11" t="s">
        <v>307</v>
      </c>
      <c r="C11" s="64">
        <v>0</v>
      </c>
      <c r="D11" s="64">
        <v>0</v>
      </c>
      <c r="E11" s="64">
        <v>0</v>
      </c>
      <c r="F11" s="64">
        <v>0</v>
      </c>
      <c r="G11" s="64">
        <v>0</v>
      </c>
    </row>
    <row r="12" spans="2:7" x14ac:dyDescent="0.25">
      <c r="B12" s="10" t="s">
        <v>286</v>
      </c>
      <c r="C12" s="65">
        <v>25232.49999999997</v>
      </c>
      <c r="D12" s="65">
        <v>138507.37</v>
      </c>
      <c r="E12" s="65">
        <v>216486.15110000002</v>
      </c>
      <c r="F12" s="65">
        <v>280091.516833</v>
      </c>
      <c r="G12" s="65">
        <v>289046.23733798997</v>
      </c>
    </row>
    <row r="13" spans="2:7" x14ac:dyDescent="0.25">
      <c r="B13" s="10" t="s">
        <v>351</v>
      </c>
      <c r="C13" s="65">
        <v>62170</v>
      </c>
      <c r="D13" s="65">
        <v>200677.37</v>
      </c>
      <c r="E13" s="65">
        <v>417163.5211</v>
      </c>
      <c r="F13" s="65">
        <v>697255.037933</v>
      </c>
      <c r="G13" s="65">
        <v>986301.27527099</v>
      </c>
    </row>
    <row r="14" spans="2:7" x14ac:dyDescent="0.25">
      <c r="B14" s="10" t="s">
        <v>388</v>
      </c>
      <c r="C14" s="66">
        <v>0.13663808664259913</v>
      </c>
      <c r="D14" s="66">
        <v>0.4067620818062212</v>
      </c>
      <c r="E14" s="66">
        <v>0.5058728257176494</v>
      </c>
      <c r="F14" s="66">
        <v>0.5596038436877832</v>
      </c>
      <c r="G14" s="66">
        <v>0.5600748662293807</v>
      </c>
    </row>
    <row r="15" spans="2:8" x14ac:dyDescent="0.25">
      <c r="B15" s="10" t="s">
        <v>252</v>
      </c>
      <c r="C15" s="67">
        <v>15388.888888888889</v>
      </c>
      <c r="D15" s="67">
        <v>18917.333333333332</v>
      </c>
      <c r="E15" s="67">
        <v>19452.081818181818</v>
      </c>
      <c r="F15" s="67">
        <v>20020.7</v>
      </c>
      <c r="G15" s="67">
        <v>20643.4</v>
      </c>
      <c r="H15" s="68" t="s">
        <v>410</v>
      </c>
    </row>
    <row r="16" spans="2:7" x14ac:dyDescent="0.25">
      <c r="B16" s="10" t="s">
        <v>289</v>
      </c>
      <c r="C16" s="69">
        <v>13286.180555555557</v>
      </c>
      <c r="D16" s="69">
        <v>11222.479444444445</v>
      </c>
      <c r="E16" s="69">
        <v>9611.802222727272</v>
      </c>
      <c r="F16" s="69">
        <v>8817.03932668</v>
      </c>
      <c r="G16" s="69">
        <v>9081.550506480402</v>
      </c>
    </row>
    <row r="17" spans="2:7" x14ac:dyDescent="0.25">
      <c r="B17" s="11" t="s">
        <v>411</v>
      </c>
      <c r="C17" s="64">
        <v>500</v>
      </c>
      <c r="D17" s="64">
        <v>515</v>
      </c>
      <c r="E17" s="64">
        <v>530.4499999999999</v>
      </c>
      <c r="F17" s="64">
        <v>546.3635</v>
      </c>
      <c r="G17" s="64">
        <v>562.754405</v>
      </c>
    </row>
    <row r="18" spans="2:8" x14ac:dyDescent="0.25">
      <c r="B18" s="11" t="s">
        <v>412</v>
      </c>
      <c r="C18" s="70">
        <v>3000</v>
      </c>
      <c r="D18" s="70">
        <v>2060</v>
      </c>
      <c r="E18" s="67">
        <v>1736.0181818181816</v>
      </c>
      <c r="F18" s="67">
        <v>1573.52688</v>
      </c>
      <c r="G18" s="67">
        <v>1620.7326864000001</v>
      </c>
      <c r="H18" s="68" t="s">
        <v>413</v>
      </c>
    </row>
    <row r="19" spans="2:7" x14ac:dyDescent="0.25">
      <c r="B19" s="10" t="s">
        <v>414</v>
      </c>
      <c r="C19" s="71">
        <v>2102.7083333333308</v>
      </c>
      <c r="D19" s="71">
        <v>7694.853888888889</v>
      </c>
      <c r="E19" s="71">
        <v>9840.279595454545</v>
      </c>
      <c r="F19" s="71">
        <v>11203.66067332</v>
      </c>
      <c r="G19" s="71">
        <v>11561.8494935196</v>
      </c>
    </row>
    <row r="20" spans="2:8" x14ac:dyDescent="0.25">
      <c r="B20" s="10" t="s">
        <v>415</v>
      </c>
      <c r="C20" s="72">
        <v>0.6440478339350181</v>
      </c>
      <c r="D20" s="66">
        <v>0.4317105711399305</v>
      </c>
      <c r="E20" s="66">
        <v>0.3538128167165094</v>
      </c>
      <c r="F20" s="66">
        <v>0.31158768707787443</v>
      </c>
      <c r="G20" s="66">
        <v>0.3112544307081392</v>
      </c>
      <c r="H20" s="68" t="s">
        <v>416</v>
      </c>
    </row>
    <row r="21" spans="2:8" x14ac:dyDescent="0.25">
      <c r="B21" s="10" t="s">
        <v>417</v>
      </c>
      <c r="C21" s="72">
        <v>0.19494584837545129</v>
      </c>
      <c r="D21" s="66">
        <v>0.10889484071045955</v>
      </c>
      <c r="E21" s="66">
        <v>0.0892458811372842</v>
      </c>
      <c r="F21" s="66">
        <v>0.07859499817688692</v>
      </c>
      <c r="G21" s="66">
        <v>0.07851093746185223</v>
      </c>
      <c r="H21" s="68" t="s">
        <v>418</v>
      </c>
    </row>
    <row r="22" spans="2:8" x14ac:dyDescent="0.25">
      <c r="B22" s="10" t="s">
        <v>419</v>
      </c>
      <c r="C22" s="66">
        <v>0.13663808664259922</v>
      </c>
      <c r="D22" s="66">
        <v>0.4067620818062212</v>
      </c>
      <c r="E22" s="66">
        <v>0.5058728257176494</v>
      </c>
      <c r="F22" s="66">
        <v>0.5596038436877832</v>
      </c>
      <c r="G22" s="66">
        <v>0.5600748662293809</v>
      </c>
      <c r="H22" s="68" t="s">
        <v>420</v>
      </c>
    </row>
    <row r="23" spans="2:8" x14ac:dyDescent="0.25">
      <c r="B23" s="10" t="s">
        <v>421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8" t="s">
        <v>422</v>
      </c>
    </row>
    <row r="24" spans="2:8" x14ac:dyDescent="0.25">
      <c r="B24" s="10" t="s">
        <v>348</v>
      </c>
      <c r="C24" s="74" t="s">
        <v>349</v>
      </c>
      <c r="D24" s="74" t="s">
        <v>349</v>
      </c>
      <c r="E24" s="74" t="s">
        <v>349</v>
      </c>
      <c r="F24" s="74" t="s">
        <v>349</v>
      </c>
      <c r="G24" s="74" t="s">
        <v>349</v>
      </c>
      <c r="H24" s="68" t="s">
        <v>349</v>
      </c>
    </row>
    <row r="25" spans="2:8" x14ac:dyDescent="0.25">
      <c r="B25" s="10" t="s">
        <v>423</v>
      </c>
      <c r="C25" s="42" t="str">
        <f>IF('5-Year Operating Stmt'!B18&gt;=0,"✓ Break-even","")</f>
        <v>✓ Break-even</v>
      </c>
      <c r="D25" s="75" t="str">
        <f>IF(AND('5-Year Operating Stmt'!C18&gt;=0,'5-Year Operating Stmt'!B18&lt;0),"✓ Break-even","")</f>
        <v>0</v>
      </c>
      <c r="E25" s="75" t="str">
        <f>IF(AND('5-Year Operating Stmt'!D18&gt;=0,'5-Year Operating Stmt'!C18&lt;0),"✓ Break-even","")</f>
        <v>0</v>
      </c>
      <c r="F25" s="75" t="str">
        <f>IF(AND('5-Year Operating Stmt'!E18&gt;=0,'5-Year Operating Stmt'!D18&lt;0),"✓ Break-even","")</f>
        <v>0</v>
      </c>
      <c r="G25" s="75" t="str">
        <f>IF(AND('5-Year Operating Stmt'!F18&gt;=0,'5-Year Operating Stmt'!E18&lt;0),"✓ Break-even","")</f>
        <v>0</v>
      </c>
      <c r="H25" s="68" t="s">
        <v>404</v>
      </c>
    </row>
    <row r="26" spans="2:8" x14ac:dyDescent="0.25">
      <c r="B26" s="10" t="s">
        <v>424</v>
      </c>
      <c r="C26" s="76">
        <v>5</v>
      </c>
      <c r="D26" s="77">
        <v>12</v>
      </c>
      <c r="E26" s="73">
        <v>24</v>
      </c>
      <c r="F26" s="73">
        <v>38</v>
      </c>
      <c r="G26" s="73">
        <v>52</v>
      </c>
      <c r="H26" s="68" t="s">
        <v>425</v>
      </c>
    </row>
    <row r="27" spans="2:8" x14ac:dyDescent="0.25">
      <c r="B27" s="10" t="s">
        <v>353</v>
      </c>
      <c r="C27" s="73">
        <v>142</v>
      </c>
      <c r="D27" s="73">
        <v>363</v>
      </c>
      <c r="E27" s="73">
        <v>720</v>
      </c>
      <c r="F27" s="73">
        <v>1155</v>
      </c>
      <c r="G27" s="73">
        <v>1586</v>
      </c>
      <c r="H27" s="68" t="s">
        <v>426</v>
      </c>
    </row>
    <row r="29" ht="24" customHeight="1" spans="2:9" x14ac:dyDescent="0.25">
      <c r="B29" s="19" t="s">
        <v>427</v>
      </c>
      <c r="C29" s="19" t="s">
        <v>428</v>
      </c>
      <c r="D29" s="19" t="s">
        <v>429</v>
      </c>
      <c r="E29" s="19"/>
      <c r="F29" s="19" t="s">
        <v>430</v>
      </c>
      <c r="G29" s="19"/>
      <c r="H29" s="19"/>
      <c r="I29" s="19"/>
    </row>
    <row r="30" ht="45" customHeight="1" spans="2:9" x14ac:dyDescent="0.25">
      <c r="B30" s="44" t="s">
        <v>431</v>
      </c>
      <c r="C30" s="42" t="s">
        <v>432</v>
      </c>
      <c r="D30" s="78" t="s">
        <v>433</v>
      </c>
      <c r="E30" s="78"/>
      <c r="F30" s="79" t="s">
        <v>434</v>
      </c>
      <c r="G30" s="79"/>
      <c r="H30" s="79"/>
      <c r="I30" s="79"/>
    </row>
    <row r="31" ht="45" customHeight="1" spans="2:9" x14ac:dyDescent="0.25">
      <c r="B31" s="44" t="s">
        <v>435</v>
      </c>
      <c r="C31" s="42" t="s">
        <v>432</v>
      </c>
      <c r="D31" s="78" t="s">
        <v>436</v>
      </c>
      <c r="E31" s="78"/>
      <c r="F31" s="79" t="s">
        <v>437</v>
      </c>
      <c r="G31" s="79"/>
      <c r="H31" s="79"/>
      <c r="I31" s="79"/>
    </row>
    <row r="32" ht="45" customHeight="1" spans="2:9" x14ac:dyDescent="0.25">
      <c r="B32" s="44" t="s">
        <v>438</v>
      </c>
      <c r="C32" s="42" t="s">
        <v>432</v>
      </c>
      <c r="D32" s="78" t="s">
        <v>439</v>
      </c>
      <c r="E32" s="78"/>
      <c r="F32" s="79" t="s">
        <v>440</v>
      </c>
      <c r="G32" s="79"/>
      <c r="H32" s="79"/>
      <c r="I32" s="79"/>
    </row>
    <row r="33" ht="45" customHeight="1" spans="2:9" x14ac:dyDescent="0.25">
      <c r="B33" s="44" t="s">
        <v>441</v>
      </c>
      <c r="C33" s="42" t="s">
        <v>432</v>
      </c>
      <c r="D33" s="78" t="s">
        <v>442</v>
      </c>
      <c r="E33" s="78"/>
      <c r="F33" s="79" t="s">
        <v>443</v>
      </c>
      <c r="G33" s="79"/>
      <c r="H33" s="79"/>
      <c r="I33" s="79"/>
    </row>
    <row r="34" ht="45" customHeight="1" spans="2:9" x14ac:dyDescent="0.25">
      <c r="B34" s="44" t="s">
        <v>444</v>
      </c>
      <c r="C34" s="42" t="s">
        <v>432</v>
      </c>
      <c r="D34" s="78" t="s">
        <v>445</v>
      </c>
      <c r="E34" s="78"/>
      <c r="F34" s="79" t="s">
        <v>446</v>
      </c>
      <c r="G34" s="79"/>
      <c r="H34" s="79"/>
      <c r="I34" s="79"/>
    </row>
    <row r="35" ht="45" customHeight="1" spans="2:9" x14ac:dyDescent="0.25">
      <c r="B35" s="44" t="s">
        <v>447</v>
      </c>
      <c r="C35" s="42" t="s">
        <v>432</v>
      </c>
      <c r="D35" s="78" t="s">
        <v>448</v>
      </c>
      <c r="E35" s="78"/>
      <c r="F35" s="79" t="s">
        <v>449</v>
      </c>
      <c r="G35" s="79"/>
      <c r="H35" s="79"/>
      <c r="I35" s="79"/>
    </row>
    <row r="37" spans="2:6" x14ac:dyDescent="0.25">
      <c r="B37" s="44" t="s">
        <v>450</v>
      </c>
      <c r="C37" s="10" t="s">
        <v>451</v>
      </c>
      <c r="D37" s="10"/>
      <c r="E37" s="10"/>
      <c r="F37" s="10"/>
    </row>
    <row r="39" spans="2:9" x14ac:dyDescent="0.25">
      <c r="B39" s="80" t="s">
        <v>452</v>
      </c>
      <c r="C39" s="80"/>
      <c r="D39" s="80"/>
      <c r="E39" s="80"/>
      <c r="F39" s="80"/>
      <c r="G39" s="80"/>
      <c r="H39" s="80"/>
      <c r="I39" s="80"/>
    </row>
  </sheetData>
  <mergeCells count="18">
    <mergeCell ref="B2:I2"/>
    <mergeCell ref="B3:I3"/>
    <mergeCell ref="D29:E29"/>
    <mergeCell ref="F29:I29"/>
    <mergeCell ref="D30:E30"/>
    <mergeCell ref="F30:I30"/>
    <mergeCell ref="D31:E31"/>
    <mergeCell ref="F31:I31"/>
    <mergeCell ref="D32:E32"/>
    <mergeCell ref="F32:I32"/>
    <mergeCell ref="D33:E33"/>
    <mergeCell ref="F33:I33"/>
    <mergeCell ref="D34:E34"/>
    <mergeCell ref="F34:I34"/>
    <mergeCell ref="D35:E35"/>
    <mergeCell ref="F35:I35"/>
    <mergeCell ref="C37:F37"/>
    <mergeCell ref="B39:I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28"/>
  <sheetFormatPr defaultRowHeight="15" outlineLevelRow="0" outlineLevelCol="0" x14ac:dyDescent="55"/>
  <cols>
    <col min="1" max="1" width="30" customWidth="1"/>
    <col min="2" max="2" width="70" customWidth="1"/>
  </cols>
  <sheetData>
    <row r="1" ht="28" customHeight="1" spans="1:2" x14ac:dyDescent="0.25">
      <c r="A1" s="21" t="s">
        <v>93</v>
      </c>
      <c r="B1" s="21"/>
    </row>
    <row r="3" ht="24" customHeight="1" spans="1:2" x14ac:dyDescent="0.25">
      <c r="A3" s="19" t="s">
        <v>453</v>
      </c>
      <c r="B3" s="19"/>
    </row>
    <row r="4" spans="1:2" x14ac:dyDescent="0.25">
      <c r="A4" s="81" t="s">
        <v>454</v>
      </c>
      <c r="B4" s="81"/>
    </row>
    <row r="6" ht="24" customHeight="1" spans="1:2" x14ac:dyDescent="0.25">
      <c r="A6" s="19" t="s">
        <v>455</v>
      </c>
      <c r="B6" s="19"/>
    </row>
    <row r="7" spans="1:2" x14ac:dyDescent="0.25">
      <c r="A7" s="81" t="s">
        <v>454</v>
      </c>
      <c r="B7" s="81"/>
    </row>
    <row r="9" ht="24" customHeight="1" spans="1:2" x14ac:dyDescent="0.25">
      <c r="A9" s="19" t="s">
        <v>456</v>
      </c>
      <c r="B9" s="19"/>
    </row>
    <row r="10" spans="1:2" x14ac:dyDescent="0.25">
      <c r="A10" s="81" t="s">
        <v>454</v>
      </c>
      <c r="B10" s="81"/>
    </row>
    <row r="12" ht="24" customHeight="1" spans="1:2" x14ac:dyDescent="0.25">
      <c r="A12" s="19" t="s">
        <v>457</v>
      </c>
      <c r="B12" s="19"/>
    </row>
    <row r="13" spans="1:2" x14ac:dyDescent="0.25">
      <c r="A13" s="81" t="s">
        <v>454</v>
      </c>
      <c r="B13" s="81"/>
    </row>
    <row r="15" ht="24" customHeight="1" spans="1:2" x14ac:dyDescent="0.25">
      <c r="A15" s="19" t="s">
        <v>458</v>
      </c>
      <c r="B15" s="19"/>
    </row>
    <row r="16" spans="1:2" x14ac:dyDescent="0.25">
      <c r="A16" s="81" t="s">
        <v>454</v>
      </c>
      <c r="B16" s="81"/>
    </row>
    <row r="18" ht="24" customHeight="1" spans="1:2" x14ac:dyDescent="0.25">
      <c r="A18" s="19" t="s">
        <v>459</v>
      </c>
      <c r="B18" s="19"/>
    </row>
    <row r="19" spans="1:2" x14ac:dyDescent="0.25">
      <c r="A19" s="81" t="s">
        <v>454</v>
      </c>
      <c r="B19" s="81"/>
    </row>
    <row r="21" ht="24" customHeight="1" spans="1:2" x14ac:dyDescent="0.25">
      <c r="A21" s="19" t="s">
        <v>460</v>
      </c>
      <c r="B21" s="19"/>
    </row>
    <row r="22" spans="1:2" x14ac:dyDescent="0.25">
      <c r="A22" s="81" t="s">
        <v>454</v>
      </c>
      <c r="B22" s="81"/>
    </row>
    <row r="24" ht="24" customHeight="1" spans="1:2" x14ac:dyDescent="0.25">
      <c r="A24" s="19" t="s">
        <v>461</v>
      </c>
      <c r="B24" s="19"/>
    </row>
    <row r="25" spans="1:2" x14ac:dyDescent="0.25">
      <c r="A25" s="81" t="s">
        <v>454</v>
      </c>
      <c r="B25" s="81"/>
    </row>
    <row r="27" ht="24" customHeight="1" spans="1:2" x14ac:dyDescent="0.25">
      <c r="A27" s="19" t="s">
        <v>462</v>
      </c>
      <c r="B27" s="19"/>
    </row>
    <row r="28" spans="1:2" x14ac:dyDescent="0.25">
      <c r="A28" s="81" t="s">
        <v>454</v>
      </c>
      <c r="B28" s="81"/>
    </row>
  </sheetData>
  <mergeCells count="10">
    <mergeCell ref="A1:B1"/>
    <mergeCell ref="A4:B4"/>
    <mergeCell ref="A7:B7"/>
    <mergeCell ref="A10:B10"/>
    <mergeCell ref="A13:B13"/>
    <mergeCell ref="A16:B16"/>
    <mergeCell ref="A19:B19"/>
    <mergeCell ref="A22:B22"/>
    <mergeCell ref="A25:B25"/>
    <mergeCell ref="A28:B28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"/>
  <sheetFormatPr defaultRowHeight="15" outlineLevelRow="0" outlineLevelCol="0" x14ac:dyDescent="55"/>
  <cols>
    <col min="1" max="1" width="22" customWidth="1"/>
    <col min="2" max="2" width="32" customWidth="1"/>
    <col min="3" max="3" width="22" customWidth="1"/>
    <col min="4" max="4" width="50" customWidth="1"/>
    <col min="5" max="5" width="18" customWidth="1"/>
  </cols>
  <sheetData>
    <row r="1" ht="28" customHeight="1" spans="1:5" x14ac:dyDescent="0.25">
      <c r="A1" s="21" t="s">
        <v>95</v>
      </c>
      <c r="B1" s="21"/>
      <c r="C1" s="21"/>
      <c r="D1" s="21"/>
      <c r="E1" s="21"/>
    </row>
    <row r="3" spans="1:5" x14ac:dyDescent="0.25">
      <c r="A3" s="81" t="s">
        <v>463</v>
      </c>
      <c r="B3" s="81"/>
      <c r="C3" s="81"/>
      <c r="D3" s="81"/>
      <c r="E3" s="81"/>
    </row>
  </sheetData>
  <mergeCells count="2">
    <mergeCell ref="A1:E1"/>
    <mergeCell ref="A3:E3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4"/>
  <sheetFormatPr defaultRowHeight="15" outlineLevelRow="0" outlineLevelCol="0" x14ac:dyDescent="55"/>
  <cols>
    <col min="1" max="1" width="32" customWidth="1"/>
    <col min="2" max="2" width="38" customWidth="1"/>
    <col min="3" max="3" width="70" customWidth="1"/>
  </cols>
  <sheetData>
    <row r="1" ht="28" customHeight="1" spans="1:3" x14ac:dyDescent="0.25">
      <c r="A1" s="21" t="s">
        <v>464</v>
      </c>
      <c r="B1" s="21"/>
      <c r="C1" s="21"/>
    </row>
    <row r="2" spans="1:3" x14ac:dyDescent="0.25">
      <c r="A2" s="82" t="s">
        <v>465</v>
      </c>
      <c r="B2" s="82"/>
      <c r="C2" s="82"/>
    </row>
    <row r="4" ht="24" customHeight="1" spans="1:3" x14ac:dyDescent="0.25">
      <c r="A4" s="83" t="s">
        <v>466</v>
      </c>
      <c r="B4" s="83"/>
      <c r="C4" s="83"/>
    </row>
  </sheetData>
  <mergeCells count="3">
    <mergeCell ref="A1:C1"/>
    <mergeCell ref="A2:C2"/>
    <mergeCell ref="A4:C4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5" t="s">
        <v>467</v>
      </c>
      <c r="C1" s="15"/>
      <c r="D1" s="15"/>
      <c r="E1" s="15"/>
      <c r="F1" s="15"/>
      <c r="G1" s="15"/>
      <c r="H1" s="15"/>
    </row>
    <row r="2" ht="44" customHeight="1" spans="2:8" x14ac:dyDescent="0.25">
      <c r="B2" s="84" t="s">
        <v>468</v>
      </c>
      <c r="C2" s="84"/>
      <c r="D2" s="84"/>
      <c r="E2" s="84"/>
      <c r="F2" s="84"/>
      <c r="G2" s="84"/>
      <c r="H2" s="84"/>
    </row>
    <row r="4" ht="28" customHeight="1" spans="2:8" x14ac:dyDescent="0.25">
      <c r="B4" s="85" t="s">
        <v>469</v>
      </c>
      <c r="C4" s="85" t="s">
        <v>145</v>
      </c>
      <c r="D4" s="85" t="s">
        <v>470</v>
      </c>
      <c r="E4" s="85" t="s">
        <v>471</v>
      </c>
      <c r="F4" s="85" t="s">
        <v>472</v>
      </c>
      <c r="G4" s="85" t="s">
        <v>473</v>
      </c>
      <c r="H4" s="85" t="s">
        <v>474</v>
      </c>
    </row>
    <row r="5" ht="64" customHeight="1" spans="1:8" x14ac:dyDescent="0.25">
      <c r="A5" s="86"/>
      <c r="B5" s="87" t="s">
        <v>475</v>
      </c>
      <c r="C5" s="88" t="s">
        <v>476</v>
      </c>
      <c r="D5" s="89" t="s">
        <v>477</v>
      </c>
      <c r="E5" s="88" t="s">
        <v>478</v>
      </c>
      <c r="F5" s="90" t="s">
        <v>479</v>
      </c>
      <c r="G5" s="88" t="s">
        <v>480</v>
      </c>
      <c r="H5" s="88" t="s">
        <v>481</v>
      </c>
    </row>
    <row r="6" ht="32" customHeight="1" spans="1:8" x14ac:dyDescent="0.25">
      <c r="A6" s="86"/>
      <c r="B6" s="87" t="s">
        <v>482</v>
      </c>
      <c r="C6" s="88" t="s">
        <v>483</v>
      </c>
      <c r="D6" s="89" t="s">
        <v>477</v>
      </c>
      <c r="E6" s="88" t="s">
        <v>484</v>
      </c>
      <c r="F6" s="90" t="s">
        <v>485</v>
      </c>
      <c r="G6" s="88" t="s">
        <v>486</v>
      </c>
      <c r="H6" s="88" t="s">
        <v>487</v>
      </c>
    </row>
    <row r="7" ht="64" customHeight="1" spans="1:8" x14ac:dyDescent="0.25">
      <c r="A7" s="91"/>
      <c r="B7" s="87" t="s">
        <v>488</v>
      </c>
      <c r="C7" s="88" t="s">
        <v>489</v>
      </c>
      <c r="D7" s="92" t="s">
        <v>490</v>
      </c>
      <c r="E7" s="88" t="s">
        <v>491</v>
      </c>
      <c r="F7" s="90" t="s">
        <v>492</v>
      </c>
      <c r="G7" s="88" t="s">
        <v>493</v>
      </c>
      <c r="H7" s="88" t="s">
        <v>494</v>
      </c>
    </row>
    <row r="8" ht="32" customHeight="1" spans="1:8" x14ac:dyDescent="0.25">
      <c r="A8" s="93"/>
      <c r="B8" s="87" t="s">
        <v>495</v>
      </c>
      <c r="C8" s="88" t="s">
        <v>483</v>
      </c>
      <c r="D8" s="94" t="s">
        <v>496</v>
      </c>
      <c r="E8" s="88" t="s">
        <v>491</v>
      </c>
      <c r="F8" s="90" t="s">
        <v>497</v>
      </c>
      <c r="G8" s="88" t="s">
        <v>498</v>
      </c>
      <c r="H8" s="88" t="s">
        <v>499</v>
      </c>
    </row>
    <row r="9" ht="32" customHeight="1" spans="1:8" x14ac:dyDescent="0.25">
      <c r="A9" s="93"/>
      <c r="B9" s="87" t="s">
        <v>500</v>
      </c>
      <c r="C9" s="88" t="s">
        <v>489</v>
      </c>
      <c r="D9" s="94" t="s">
        <v>496</v>
      </c>
      <c r="E9" s="88" t="s">
        <v>491</v>
      </c>
      <c r="F9" s="90" t="s">
        <v>501</v>
      </c>
      <c r="G9" s="88" t="s">
        <v>502</v>
      </c>
      <c r="H9" s="88" t="s">
        <v>503</v>
      </c>
    </row>
    <row r="11" spans="2:8" x14ac:dyDescent="0.25">
      <c r="B11" s="58" t="s">
        <v>504</v>
      </c>
      <c r="C11" s="58"/>
      <c r="D11" s="58"/>
      <c r="E11" s="58"/>
      <c r="F11" s="58"/>
      <c r="G11" s="58"/>
      <c r="H11" s="58"/>
    </row>
  </sheetData>
  <mergeCells count="3">
    <mergeCell ref="B1:H1"/>
    <mergeCell ref="B2:H2"/>
    <mergeCell ref="B11:H1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Lender Snapshot</vt:lpstr>
      <vt:lpstr>Financial Health</vt:lpstr>
      <vt:lpstr>Budget Narrative</vt:lpstr>
      <vt:lpstr>Assumptions Confidence</vt:lpstr>
      <vt:lpstr>Assumptions Memo</vt:lpstr>
      <vt:lpstr>Decision History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2026-05-09T18:17:43Z</dcterms:created>
  <dcterms:modified xsi:type="dcterms:W3CDTF">2026-05-09T18:17:43Z</dcterms:modified>
</cp:coreProperties>
</file>