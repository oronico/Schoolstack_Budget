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'Assumptions'!$A1:$B10</definedName>
    <definedName name="_xlnm.Print_Titles" localSheetId="0">'Assumptions'!$1:$1</definedName>
    <definedName name="_xlnm.Print_Area" localSheetId="1">'Revenue'!$A1:$N8</definedName>
    <definedName name="_xlnm.Print_Titles" localSheetId="1">'Revenue'!$1:$1</definedName>
    <definedName name="_xlnm.Print_Area" localSheetId="2">'Personnel'!$A1:$N9</definedName>
    <definedName name="_xlnm.Print_Titles" localSheetId="2">'Personnel'!$1:$1</definedName>
    <definedName name="_xlnm.Print_Area" localSheetId="3">'Operating Expenses'!$A1:$N11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<sst xmlns="http://schemas.openxmlformats.org/spreadsheetml/2006/main" count="97" uniqueCount="55">
  <si>
    <t>Year 1 Budget Assumptions</t>
  </si>
  <si>
    <t>School Name</t>
  </si>
  <si>
    <t>Heritage Academy Charter</t>
  </si>
  <si>
    <t>School Type</t>
  </si>
  <si>
    <t>charter_school</t>
  </si>
  <si>
    <t>KEY ASSUMPTIONS</t>
  </si>
  <si>
    <t>Enrollment</t>
  </si>
  <si>
    <t>Salary Escalation</t>
  </si>
  <si>
    <t>Cost Inflation</t>
  </si>
  <si>
    <t>Year 1 Proration Factor</t>
  </si>
  <si>
    <t/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</si>
  <si>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</si>
  <si>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</si>
  <si>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</si>
  <si>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</si>
  <si>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</si>
  <si>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</si>
  <si>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</si>
  <si>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</si>
  <si>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</si>
  <si>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</si>
  <si>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</si>
  <si>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</si>
  <si>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</si>
  <si>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State Per-Pupil Funding</t>
  </si>
  <si>
    <t>Federal Title I</t>
  </si>
  <si>
    <t>IDEA Special Ed</t>
  </si>
  <si>
    <t>CSP Startup Grant</t>
  </si>
  <si>
    <t>Annual Fundraising</t>
  </si>
  <si>
    <t>Before/After Care</t>
  </si>
  <si>
    <t>TOTAL REVENUE</t>
  </si>
  <si>
    <t>Head of School</t>
  </si>
  <si>
    <t>Assistant Principal</t>
  </si>
  <si>
    <t>Lead Teachers</t>
  </si>
  <si>
    <t>SPED Teacher</t>
  </si>
  <si>
    <t>Instructional Aides</t>
  </si>
  <si>
    <t>Business Manager</t>
  </si>
  <si>
    <t>Front Office</t>
  </si>
  <si>
    <t>TOTAL PERSONNEL</t>
  </si>
  <si>
    <t>Facility Lease</t>
  </si>
  <si>
    <t>Utilities</t>
  </si>
  <si>
    <t>Property Insurance</t>
  </si>
  <si>
    <t>Curriculum</t>
  </si>
  <si>
    <t>Devices &amp; Software</t>
  </si>
  <si>
    <t>Marketing</t>
  </si>
  <si>
    <t>Professional Development</t>
  </si>
  <si>
    <t>Legal &amp; Audit</t>
  </si>
  <si>
    <t>Food Service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</si>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</sst>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5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F00"/>
      </patternFill>
    </fill>
    <fill>
      <patternFill patternType="solid">
        <fgColor rgb="FF1E293B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3" borderId="0" xfId="0" applyNumberFormat="1" applyFill="1"/>
    <xf numFmtId="165" fontId="0" fillId="3" borderId="0" xfId="0" applyNumberFormat="1" applyFill="1"/>
    <xf numFmtId="2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166" fontId="2" fillId="0" borderId="1" xfId="0" applyNumberFormat="1" applyFont="1" applyBorder="1"/>
    <xf numFmtId="166" fontId="4" fillId="2" borderId="1" xfId="0" applyNumberFormat="1" applyFont="1" applyFill="1" applyBorder="1"/>
    <xf numFmtId="0" fontId="4" fillId="0" borderId="0" xfId="0" applyFont="1"/>
    <xf numFmtId="166" fontId="4" fillId="0" borderId="1" xfId="0" applyNumberFormat="1" applyFont="1" applyBorder="1"/>
    <xf numFmtId="166" fontId="4" fillId="2" borderId="2" xfId="0" applyNumberFormat="1" applyFont="1" applyFill="1" applyBorder="1"/>
    <xf numFmtId="166" fontId="4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ht="24" customHeight="1" spans="1:2" x14ac:dyDescent="0.25">
      <c r="A6" s="1" t="s">
        <v>5</v>
      </c>
      <c r="B6" s="1"/>
    </row>
    <row r="7" spans="1:2" x14ac:dyDescent="0.25">
      <c r="A7" s="2" t="s">
        <v>6</v>
      </c>
      <c r="B7" s="3">
        <v>120</v>
      </c>
    </row>
    <row r="8" spans="1:2" x14ac:dyDescent="0.25">
      <c r="A8" s="2" t="s">
        <v>7</v>
      </c>
      <c r="B8" s="4">
        <v>0</v>
      </c>
    </row>
    <row r="9" spans="1:2" x14ac:dyDescent="0.25">
      <c r="A9" s="2" t="s">
        <v>8</v>
      </c>
      <c r="B9" s="4">
        <v>0</v>
      </c>
    </row>
    <row r="10" spans="1:2" x14ac:dyDescent="0.25">
      <c r="A10" s="2" t="s">
        <v>9</v>
      </c>
      <c r="B10" s="5">
        <v>0.8333333333333334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</row>
    <row r="2" spans="1:14" x14ac:dyDescent="0.25">
      <c r="A2" s="2" t="s">
        <v>24</v>
      </c>
      <c r="B2" s="7">
        <v>102000</v>
      </c>
      <c r="C2" s="7">
        <v>102000</v>
      </c>
      <c r="D2" s="7">
        <v>102000</v>
      </c>
      <c r="E2" s="7">
        <v>102000</v>
      </c>
      <c r="F2" s="7">
        <v>102000</v>
      </c>
      <c r="G2" s="7">
        <v>102000</v>
      </c>
      <c r="H2" s="7">
        <v>102000</v>
      </c>
      <c r="I2" s="7">
        <v>102000</v>
      </c>
      <c r="J2" s="7">
        <v>102000</v>
      </c>
      <c r="K2" s="7">
        <v>102000</v>
      </c>
      <c r="L2" s="7">
        <v>0</v>
      </c>
      <c r="M2" s="7">
        <v>0</v>
      </c>
      <c r="N2" s="7">
        <f>SUM(B2:M2)</f>
        <v>850000</v>
      </c>
    </row>
    <row r="3" spans="1:14" x14ac:dyDescent="0.25">
      <c r="A3" s="2" t="s">
        <v>25</v>
      </c>
      <c r="B3" s="7">
        <v>9000</v>
      </c>
      <c r="C3" s="7">
        <v>9000</v>
      </c>
      <c r="D3" s="7">
        <v>9000</v>
      </c>
      <c r="E3" s="7">
        <v>9000</v>
      </c>
      <c r="F3" s="7">
        <v>9000</v>
      </c>
      <c r="G3" s="7">
        <v>9000</v>
      </c>
      <c r="H3" s="7">
        <v>9000</v>
      </c>
      <c r="I3" s="7">
        <v>9000</v>
      </c>
      <c r="J3" s="7">
        <v>9000</v>
      </c>
      <c r="K3" s="7">
        <v>9000</v>
      </c>
      <c r="L3" s="7">
        <v>0</v>
      </c>
      <c r="M3" s="7">
        <v>0</v>
      </c>
      <c r="N3" s="7">
        <f>SUM(B3:M3)</f>
        <v>75000</v>
      </c>
    </row>
    <row r="4" spans="1:14" x14ac:dyDescent="0.25">
      <c r="A4" s="2" t="s">
        <v>26</v>
      </c>
      <c r="B4" s="7">
        <v>13200</v>
      </c>
      <c r="C4" s="7">
        <v>13200</v>
      </c>
      <c r="D4" s="7">
        <v>13200</v>
      </c>
      <c r="E4" s="7">
        <v>13200</v>
      </c>
      <c r="F4" s="7">
        <v>13200</v>
      </c>
      <c r="G4" s="7">
        <v>13200</v>
      </c>
      <c r="H4" s="7">
        <v>13200</v>
      </c>
      <c r="I4" s="7">
        <v>13200</v>
      </c>
      <c r="J4" s="7">
        <v>13200</v>
      </c>
      <c r="K4" s="7">
        <v>13200</v>
      </c>
      <c r="L4" s="7">
        <v>0</v>
      </c>
      <c r="M4" s="7">
        <v>0</v>
      </c>
      <c r="N4" s="7">
        <f>SUM(B4:M4)</f>
        <v>110000</v>
      </c>
    </row>
    <row r="5" spans="1:14" x14ac:dyDescent="0.25">
      <c r="A5" s="2" t="s">
        <v>27</v>
      </c>
      <c r="B5" s="7">
        <v>15000</v>
      </c>
      <c r="C5" s="7">
        <v>15000</v>
      </c>
      <c r="D5" s="7">
        <v>15000</v>
      </c>
      <c r="E5" s="7">
        <v>15000</v>
      </c>
      <c r="F5" s="7">
        <v>15000</v>
      </c>
      <c r="G5" s="7">
        <v>15000</v>
      </c>
      <c r="H5" s="7">
        <v>15000</v>
      </c>
      <c r="I5" s="7">
        <v>15000</v>
      </c>
      <c r="J5" s="7">
        <v>15000</v>
      </c>
      <c r="K5" s="7">
        <v>15000</v>
      </c>
      <c r="L5" s="7">
        <v>0</v>
      </c>
      <c r="M5" s="7">
        <v>0</v>
      </c>
      <c r="N5" s="7">
        <f>SUM(B5:M5)</f>
        <v>125000</v>
      </c>
    </row>
    <row r="6" spans="1:14" x14ac:dyDescent="0.25">
      <c r="A6" s="2" t="s">
        <v>28</v>
      </c>
      <c r="B6" s="7">
        <v>2500</v>
      </c>
      <c r="C6" s="7">
        <v>2500</v>
      </c>
      <c r="D6" s="7">
        <v>2500</v>
      </c>
      <c r="E6" s="7">
        <v>2500</v>
      </c>
      <c r="F6" s="7">
        <v>2500</v>
      </c>
      <c r="G6" s="7">
        <v>2500</v>
      </c>
      <c r="H6" s="7">
        <v>2500</v>
      </c>
      <c r="I6" s="7">
        <v>2500</v>
      </c>
      <c r="J6" s="7">
        <v>2500</v>
      </c>
      <c r="K6" s="7">
        <v>2500</v>
      </c>
      <c r="L6" s="7">
        <v>0</v>
      </c>
      <c r="M6" s="7">
        <v>0</v>
      </c>
      <c r="N6" s="7">
        <f>SUM(B6:M6)</f>
        <v>20833</v>
      </c>
    </row>
    <row r="7" spans="1:14" x14ac:dyDescent="0.25">
      <c r="A7" s="2" t="s">
        <v>29</v>
      </c>
      <c r="B7" s="7">
        <v>4800</v>
      </c>
      <c r="C7" s="7">
        <v>4800</v>
      </c>
      <c r="D7" s="7">
        <v>4800</v>
      </c>
      <c r="E7" s="7">
        <v>4800</v>
      </c>
      <c r="F7" s="7">
        <v>4800</v>
      </c>
      <c r="G7" s="7">
        <v>4800</v>
      </c>
      <c r="H7" s="7">
        <v>4800</v>
      </c>
      <c r="I7" s="7">
        <v>4800</v>
      </c>
      <c r="J7" s="7">
        <v>4800</v>
      </c>
      <c r="K7" s="7">
        <v>4800</v>
      </c>
      <c r="L7" s="7">
        <v>0</v>
      </c>
      <c r="M7" s="7">
        <v>0</v>
      </c>
      <c r="N7" s="7">
        <f>SUM(B7:M7)</f>
        <v>40000</v>
      </c>
    </row>
    <row r="8" ht="24" customHeight="1" spans="1:14" x14ac:dyDescent="0.25">
      <c r="A8" s="1" t="s">
        <v>30</v>
      </c>
      <c r="B8" s="8">
        <f>SUM(B2:B7)</f>
        <v>146500</v>
      </c>
      <c r="C8" s="8">
        <f>SUM(C2:C7)</f>
        <v>146500</v>
      </c>
      <c r="D8" s="8">
        <f>SUM(D2:D7)</f>
        <v>146500</v>
      </c>
      <c r="E8" s="8">
        <f>SUM(E2:E7)</f>
        <v>146500</v>
      </c>
      <c r="F8" s="8">
        <f>SUM(F2:F7)</f>
        <v>146500</v>
      </c>
      <c r="G8" s="8">
        <f>SUM(G2:G7)</f>
        <v>146500</v>
      </c>
      <c r="H8" s="8">
        <f>SUM(H2:H7)</f>
        <v>146500</v>
      </c>
      <c r="I8" s="8">
        <f>SUM(I2:I7)</f>
        <v>146500</v>
      </c>
      <c r="J8" s="8">
        <f>SUM(J2:J7)</f>
        <v>146500</v>
      </c>
      <c r="K8" s="8">
        <f>SUM(K2:K7)</f>
        <v>146500</v>
      </c>
      <c r="L8" s="8" t="str">
        <f>SUM(L2:L7)</f>
        <v>0</v>
      </c>
      <c r="M8" s="8" t="str">
        <f>SUM(M2:M7)</f>
        <v>0</v>
      </c>
      <c r="N8" s="8">
        <f>SUM(B8:M8)</f>
        <v>1465000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</row>
    <row r="2" spans="1:14" x14ac:dyDescent="0.25">
      <c r="A2" s="2" t="s">
        <v>31</v>
      </c>
      <c r="B2" s="7">
        <v>303188</v>
      </c>
      <c r="C2" s="7">
        <v>303188</v>
      </c>
      <c r="D2" s="7">
        <v>303188</v>
      </c>
      <c r="E2" s="7">
        <v>303188</v>
      </c>
      <c r="F2" s="7">
        <v>303188</v>
      </c>
      <c r="G2" s="7">
        <v>303188</v>
      </c>
      <c r="H2" s="7">
        <v>303188</v>
      </c>
      <c r="I2" s="7">
        <v>303188</v>
      </c>
      <c r="J2" s="7">
        <v>303188</v>
      </c>
      <c r="K2" s="7">
        <v>303188</v>
      </c>
      <c r="L2" s="7">
        <v>0</v>
      </c>
      <c r="M2" s="7">
        <v>0</v>
      </c>
      <c r="N2" s="7">
        <f>SUM(B2:M2)</f>
        <v>3031875</v>
      </c>
    </row>
    <row r="3" spans="1:14" x14ac:dyDescent="0.25">
      <c r="A3" s="2" t="s">
        <v>32</v>
      </c>
      <c r="B3" s="7">
        <v>236775</v>
      </c>
      <c r="C3" s="7">
        <v>236775</v>
      </c>
      <c r="D3" s="7">
        <v>236775</v>
      </c>
      <c r="E3" s="7">
        <v>236775</v>
      </c>
      <c r="F3" s="7">
        <v>236775</v>
      </c>
      <c r="G3" s="7">
        <v>236775</v>
      </c>
      <c r="H3" s="7">
        <v>236775</v>
      </c>
      <c r="I3" s="7">
        <v>236775</v>
      </c>
      <c r="J3" s="7">
        <v>236775</v>
      </c>
      <c r="K3" s="7">
        <v>236775</v>
      </c>
      <c r="L3" s="7">
        <v>0</v>
      </c>
      <c r="M3" s="7">
        <v>0</v>
      </c>
      <c r="N3" s="7">
        <f>SUM(B3:M3)</f>
        <v>2367750</v>
      </c>
    </row>
    <row r="4" spans="1:14" x14ac:dyDescent="0.25">
      <c r="A4" s="2" t="s">
        <v>33</v>
      </c>
      <c r="B4" s="7">
        <v>721875</v>
      </c>
      <c r="C4" s="7">
        <v>721875</v>
      </c>
      <c r="D4" s="7">
        <v>721875</v>
      </c>
      <c r="E4" s="7">
        <v>721875</v>
      </c>
      <c r="F4" s="7">
        <v>721875</v>
      </c>
      <c r="G4" s="7">
        <v>721875</v>
      </c>
      <c r="H4" s="7">
        <v>721875</v>
      </c>
      <c r="I4" s="7">
        <v>721875</v>
      </c>
      <c r="J4" s="7">
        <v>721875</v>
      </c>
      <c r="K4" s="7">
        <v>721875</v>
      </c>
      <c r="L4" s="7">
        <v>0</v>
      </c>
      <c r="M4" s="7">
        <v>0</v>
      </c>
      <c r="N4" s="7">
        <f>SUM(B4:M4)</f>
        <v>7218750</v>
      </c>
    </row>
    <row r="5" spans="1:14" x14ac:dyDescent="0.25">
      <c r="A5" s="2" t="s">
        <v>34</v>
      </c>
      <c r="B5" s="7">
        <v>153038</v>
      </c>
      <c r="C5" s="7">
        <v>153038</v>
      </c>
      <c r="D5" s="7">
        <v>153038</v>
      </c>
      <c r="E5" s="7">
        <v>153038</v>
      </c>
      <c r="F5" s="7">
        <v>153038</v>
      </c>
      <c r="G5" s="7">
        <v>153038</v>
      </c>
      <c r="H5" s="7">
        <v>153038</v>
      </c>
      <c r="I5" s="7">
        <v>153038</v>
      </c>
      <c r="J5" s="7">
        <v>153038</v>
      </c>
      <c r="K5" s="7">
        <v>153038</v>
      </c>
      <c r="L5" s="7">
        <v>0</v>
      </c>
      <c r="M5" s="7">
        <v>0</v>
      </c>
      <c r="N5" s="7">
        <f>SUM(B5:M5)</f>
        <v>1530375</v>
      </c>
    </row>
    <row r="6" spans="1:14" x14ac:dyDescent="0.25">
      <c r="A6" s="2" t="s">
        <v>35</v>
      </c>
      <c r="B6" s="7">
        <v>186550</v>
      </c>
      <c r="C6" s="7">
        <v>186550</v>
      </c>
      <c r="D6" s="7">
        <v>186550</v>
      </c>
      <c r="E6" s="7">
        <v>186550</v>
      </c>
      <c r="F6" s="7">
        <v>186550</v>
      </c>
      <c r="G6" s="7">
        <v>186550</v>
      </c>
      <c r="H6" s="7">
        <v>186550</v>
      </c>
      <c r="I6" s="7">
        <v>186550</v>
      </c>
      <c r="J6" s="7">
        <v>186550</v>
      </c>
      <c r="K6" s="7">
        <v>186550</v>
      </c>
      <c r="L6" s="7">
        <v>0</v>
      </c>
      <c r="M6" s="7">
        <v>0</v>
      </c>
      <c r="N6" s="7">
        <f>SUM(B6:M6)</f>
        <v>1865500</v>
      </c>
    </row>
    <row r="7" spans="1:14" x14ac:dyDescent="0.25">
      <c r="A7" s="2" t="s">
        <v>36</v>
      </c>
      <c r="B7" s="7">
        <v>179025</v>
      </c>
      <c r="C7" s="7">
        <v>179025</v>
      </c>
      <c r="D7" s="7">
        <v>179025</v>
      </c>
      <c r="E7" s="7">
        <v>179025</v>
      </c>
      <c r="F7" s="7">
        <v>179025</v>
      </c>
      <c r="G7" s="7">
        <v>179025</v>
      </c>
      <c r="H7" s="7">
        <v>179025</v>
      </c>
      <c r="I7" s="7">
        <v>179025</v>
      </c>
      <c r="J7" s="7">
        <v>179025</v>
      </c>
      <c r="K7" s="7">
        <v>179025</v>
      </c>
      <c r="L7" s="7">
        <v>0</v>
      </c>
      <c r="M7" s="7">
        <v>0</v>
      </c>
      <c r="N7" s="7">
        <f>SUM(B7:M7)</f>
        <v>1790250</v>
      </c>
    </row>
    <row r="8" spans="1:14" x14ac:dyDescent="0.25">
      <c r="A8" s="2" t="s">
        <v>37</v>
      </c>
      <c r="B8" s="7">
        <v>183900</v>
      </c>
      <c r="C8" s="7">
        <v>183900</v>
      </c>
      <c r="D8" s="7">
        <v>183900</v>
      </c>
      <c r="E8" s="7">
        <v>183900</v>
      </c>
      <c r="F8" s="7">
        <v>183900</v>
      </c>
      <c r="G8" s="7">
        <v>183900</v>
      </c>
      <c r="H8" s="7">
        <v>183900</v>
      </c>
      <c r="I8" s="7">
        <v>183900</v>
      </c>
      <c r="J8" s="7">
        <v>183900</v>
      </c>
      <c r="K8" s="7">
        <v>183900</v>
      </c>
      <c r="L8" s="7">
        <v>0</v>
      </c>
      <c r="M8" s="7">
        <v>0</v>
      </c>
      <c r="N8" s="7">
        <f>SUM(B8:M8)</f>
        <v>1839000</v>
      </c>
    </row>
    <row r="9" ht="24" customHeight="1" spans="1:14" x14ac:dyDescent="0.25">
      <c r="A9" s="1" t="s">
        <v>38</v>
      </c>
      <c r="B9" s="8" t="str">
        <f>SUM(B2:B8)</f>
        <v>0</v>
      </c>
      <c r="C9" s="8" t="str">
        <f>SUM(C2:C8)</f>
        <v>0</v>
      </c>
      <c r="D9" s="8" t="str">
        <f>SUM(D2:D8)</f>
        <v>0</v>
      </c>
      <c r="E9" s="8" t="str">
        <f>SUM(E2:E8)</f>
        <v>0</v>
      </c>
      <c r="F9" s="8" t="str">
        <f>SUM(F2:F8)</f>
        <v>0</v>
      </c>
      <c r="G9" s="8" t="str">
        <f>SUM(G2:G8)</f>
        <v>0</v>
      </c>
      <c r="H9" s="8" t="str">
        <f>SUM(H2:H8)</f>
        <v>0</v>
      </c>
      <c r="I9" s="8" t="str">
        <f>SUM(I2:I8)</f>
        <v>0</v>
      </c>
      <c r="J9" s="8" t="str">
        <f>SUM(J2:J8)</f>
        <v>0</v>
      </c>
      <c r="K9" s="8" t="str">
        <f>SUM(K2:K8)</f>
        <v>0</v>
      </c>
      <c r="L9" s="8" t="str">
        <f>SUM(L2:L8)</f>
        <v>0</v>
      </c>
      <c r="M9" s="8" t="str">
        <f>SUM(M2:M8)</f>
        <v>0</v>
      </c>
      <c r="N9" s="8" t="str">
        <f>SUM(B9:M9)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</row>
    <row r="2" spans="1:14" x14ac:dyDescent="0.25">
      <c r="A2" s="2" t="s">
        <v>39</v>
      </c>
      <c r="B2" s="7">
        <v>22000</v>
      </c>
      <c r="C2" s="7">
        <v>22000</v>
      </c>
      <c r="D2" s="7">
        <v>22000</v>
      </c>
      <c r="E2" s="7">
        <v>22000</v>
      </c>
      <c r="F2" s="7">
        <v>22000</v>
      </c>
      <c r="G2" s="7">
        <v>22000</v>
      </c>
      <c r="H2" s="7">
        <v>22000</v>
      </c>
      <c r="I2" s="7">
        <v>22000</v>
      </c>
      <c r="J2" s="7">
        <v>22000</v>
      </c>
      <c r="K2" s="7">
        <v>22000</v>
      </c>
      <c r="L2" s="7">
        <v>0</v>
      </c>
      <c r="M2" s="7">
        <v>0</v>
      </c>
      <c r="N2" s="7">
        <f>SUM(B2:M2)</f>
        <v>220000</v>
      </c>
    </row>
    <row r="3" spans="1:14" x14ac:dyDescent="0.25">
      <c r="A3" s="2" t="s">
        <v>40</v>
      </c>
      <c r="B3" s="7">
        <v>3000</v>
      </c>
      <c r="C3" s="7">
        <v>3000</v>
      </c>
      <c r="D3" s="7">
        <v>3000</v>
      </c>
      <c r="E3" s="7">
        <v>3000</v>
      </c>
      <c r="F3" s="7">
        <v>3000</v>
      </c>
      <c r="G3" s="7">
        <v>3000</v>
      </c>
      <c r="H3" s="7">
        <v>3000</v>
      </c>
      <c r="I3" s="7">
        <v>3000</v>
      </c>
      <c r="J3" s="7">
        <v>3000</v>
      </c>
      <c r="K3" s="7">
        <v>3000</v>
      </c>
      <c r="L3" s="7">
        <v>0</v>
      </c>
      <c r="M3" s="7">
        <v>0</v>
      </c>
      <c r="N3" s="7">
        <f>SUM(B3:M3)</f>
        <v>30000</v>
      </c>
    </row>
    <row r="4" spans="1:14" x14ac:dyDescent="0.25">
      <c r="A4" s="2" t="s">
        <v>41</v>
      </c>
      <c r="B4" s="7">
        <v>1833</v>
      </c>
      <c r="C4" s="7">
        <v>1833</v>
      </c>
      <c r="D4" s="7">
        <v>1833</v>
      </c>
      <c r="E4" s="7">
        <v>1833</v>
      </c>
      <c r="F4" s="7">
        <v>1833</v>
      </c>
      <c r="G4" s="7">
        <v>1833</v>
      </c>
      <c r="H4" s="7">
        <v>1833</v>
      </c>
      <c r="I4" s="7">
        <v>1833</v>
      </c>
      <c r="J4" s="7">
        <v>1833</v>
      </c>
      <c r="K4" s="7">
        <v>1833</v>
      </c>
      <c r="L4" s="7">
        <v>0</v>
      </c>
      <c r="M4" s="7">
        <v>0</v>
      </c>
      <c r="N4" s="7">
        <f>SUM(B4:M4)</f>
        <v>18333</v>
      </c>
    </row>
    <row r="5" spans="1:14" x14ac:dyDescent="0.25">
      <c r="A5" s="2" t="s">
        <v>42</v>
      </c>
      <c r="B5" s="7">
        <v>6500</v>
      </c>
      <c r="C5" s="7">
        <v>6500</v>
      </c>
      <c r="D5" s="7">
        <v>6500</v>
      </c>
      <c r="E5" s="7">
        <v>6500</v>
      </c>
      <c r="F5" s="7">
        <v>6500</v>
      </c>
      <c r="G5" s="7">
        <v>6500</v>
      </c>
      <c r="H5" s="7">
        <v>6500</v>
      </c>
      <c r="I5" s="7">
        <v>6500</v>
      </c>
      <c r="J5" s="7">
        <v>6500</v>
      </c>
      <c r="K5" s="7">
        <v>6500</v>
      </c>
      <c r="L5" s="7">
        <v>0</v>
      </c>
      <c r="M5" s="7">
        <v>0</v>
      </c>
      <c r="N5" s="7">
        <f>SUM(B5:M5)</f>
        <v>65000</v>
      </c>
    </row>
    <row r="6" spans="1:14" x14ac:dyDescent="0.25">
      <c r="A6" s="2" t="s">
        <v>43</v>
      </c>
      <c r="B6" s="7">
        <v>4500</v>
      </c>
      <c r="C6" s="7">
        <v>4500</v>
      </c>
      <c r="D6" s="7">
        <v>4500</v>
      </c>
      <c r="E6" s="7">
        <v>4500</v>
      </c>
      <c r="F6" s="7">
        <v>4500</v>
      </c>
      <c r="G6" s="7">
        <v>4500</v>
      </c>
      <c r="H6" s="7">
        <v>4500</v>
      </c>
      <c r="I6" s="7">
        <v>4500</v>
      </c>
      <c r="J6" s="7">
        <v>4500</v>
      </c>
      <c r="K6" s="7">
        <v>4500</v>
      </c>
      <c r="L6" s="7">
        <v>0</v>
      </c>
      <c r="M6" s="7">
        <v>0</v>
      </c>
      <c r="N6" s="7">
        <f>SUM(B6:M6)</f>
        <v>45000</v>
      </c>
    </row>
    <row r="7" spans="1:14" x14ac:dyDescent="0.25">
      <c r="A7" s="2" t="s">
        <v>44</v>
      </c>
      <c r="B7" s="7">
        <v>2500</v>
      </c>
      <c r="C7" s="7">
        <v>2500</v>
      </c>
      <c r="D7" s="7">
        <v>2500</v>
      </c>
      <c r="E7" s="7">
        <v>2500</v>
      </c>
      <c r="F7" s="7">
        <v>2500</v>
      </c>
      <c r="G7" s="7">
        <v>2500</v>
      </c>
      <c r="H7" s="7">
        <v>2500</v>
      </c>
      <c r="I7" s="7">
        <v>2500</v>
      </c>
      <c r="J7" s="7">
        <v>2500</v>
      </c>
      <c r="K7" s="7">
        <v>2500</v>
      </c>
      <c r="L7" s="7">
        <v>0</v>
      </c>
      <c r="M7" s="7">
        <v>0</v>
      </c>
      <c r="N7" s="7">
        <f>SUM(B7:M7)</f>
        <v>25000</v>
      </c>
    </row>
    <row r="8" spans="1:14" x14ac:dyDescent="0.25">
      <c r="A8" s="2" t="s">
        <v>45</v>
      </c>
      <c r="B8" s="7">
        <v>1000</v>
      </c>
      <c r="C8" s="7">
        <v>1000</v>
      </c>
      <c r="D8" s="7">
        <v>1000</v>
      </c>
      <c r="E8" s="7">
        <v>1000</v>
      </c>
      <c r="F8" s="7">
        <v>1000</v>
      </c>
      <c r="G8" s="7">
        <v>1000</v>
      </c>
      <c r="H8" s="7">
        <v>1000</v>
      </c>
      <c r="I8" s="7">
        <v>1000</v>
      </c>
      <c r="J8" s="7">
        <v>1000</v>
      </c>
      <c r="K8" s="7">
        <v>1000</v>
      </c>
      <c r="L8" s="7">
        <v>0</v>
      </c>
      <c r="M8" s="7">
        <v>0</v>
      </c>
      <c r="N8" s="7">
        <f>SUM(B8:M8)</f>
        <v>10000</v>
      </c>
    </row>
    <row r="9" spans="1:14" x14ac:dyDescent="0.25">
      <c r="A9" s="2" t="s">
        <v>46</v>
      </c>
      <c r="B9" s="7">
        <v>1500</v>
      </c>
      <c r="C9" s="7">
        <v>1500</v>
      </c>
      <c r="D9" s="7">
        <v>1500</v>
      </c>
      <c r="E9" s="7">
        <v>1500</v>
      </c>
      <c r="F9" s="7">
        <v>1500</v>
      </c>
      <c r="G9" s="7">
        <v>1500</v>
      </c>
      <c r="H9" s="7">
        <v>1500</v>
      </c>
      <c r="I9" s="7">
        <v>1500</v>
      </c>
      <c r="J9" s="7">
        <v>1500</v>
      </c>
      <c r="K9" s="7">
        <v>1500</v>
      </c>
      <c r="L9" s="7">
        <v>0</v>
      </c>
      <c r="M9" s="7">
        <v>0</v>
      </c>
      <c r="N9" s="7">
        <f>SUM(B9:M9)</f>
        <v>15000</v>
      </c>
    </row>
    <row r="10" spans="1:14" x14ac:dyDescent="0.25">
      <c r="A10" s="2" t="s">
        <v>47</v>
      </c>
      <c r="B10" s="7">
        <v>7500</v>
      </c>
      <c r="C10" s="7">
        <v>7500</v>
      </c>
      <c r="D10" s="7">
        <v>7500</v>
      </c>
      <c r="E10" s="7">
        <v>7500</v>
      </c>
      <c r="F10" s="7">
        <v>7500</v>
      </c>
      <c r="G10" s="7">
        <v>7500</v>
      </c>
      <c r="H10" s="7">
        <v>7500</v>
      </c>
      <c r="I10" s="7">
        <v>7500</v>
      </c>
      <c r="J10" s="7">
        <v>7500</v>
      </c>
      <c r="K10" s="7">
        <v>7500</v>
      </c>
      <c r="L10" s="7">
        <v>0</v>
      </c>
      <c r="M10" s="7">
        <v>0</v>
      </c>
      <c r="N10" s="7">
        <f>SUM(B10:M10)</f>
        <v>75000</v>
      </c>
    </row>
    <row r="11" ht="24" customHeight="1" spans="1:14" x14ac:dyDescent="0.25">
      <c r="A11" s="1" t="s">
        <v>48</v>
      </c>
      <c r="B11" s="8" t="str">
        <f>SUM(B2:B10)</f>
        <v>0</v>
      </c>
      <c r="C11" s="8" t="str">
        <f>SUM(C2:C10)</f>
        <v>0</v>
      </c>
      <c r="D11" s="8" t="str">
        <f>SUM(D2:D10)</f>
        <v>0</v>
      </c>
      <c r="E11" s="8" t="str">
        <f>SUM(E2:E10)</f>
        <v>0</v>
      </c>
      <c r="F11" s="8" t="str">
        <f>SUM(F2:F10)</f>
        <v>0</v>
      </c>
      <c r="G11" s="8" t="str">
        <f>SUM(G2:G10)</f>
        <v>0</v>
      </c>
      <c r="H11" s="8" t="str">
        <f>SUM(H2:H10)</f>
        <v>0</v>
      </c>
      <c r="I11" s="8" t="str">
        <f>SUM(I2:I10)</f>
        <v>0</v>
      </c>
      <c r="J11" s="8" t="str">
        <f>SUM(J2:J10)</f>
        <v>0</v>
      </c>
      <c r="K11" s="8" t="str">
        <f>SUM(K2:K10)</f>
        <v>0</v>
      </c>
      <c r="L11" s="8" t="str">
        <f>SUM(L2:L10)</f>
        <v>0</v>
      </c>
      <c r="M11" s="8" t="str">
        <f>SUM(M2:M10)</f>
        <v>0</v>
      </c>
      <c r="N11" s="8" t="str">
        <f>SUM(B11:M11)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</row>
    <row r="2" spans="1:14" x14ac:dyDescent="0.25">
      <c r="A2" s="9" t="s">
        <v>49</v>
      </c>
      <c r="B2" s="10">
        <f>Revenue!B8</f>
        <v>146500</v>
      </c>
      <c r="C2" s="10">
        <f>Revenue!C8</f>
        <v>146500</v>
      </c>
      <c r="D2" s="10">
        <f>Revenue!D8</f>
        <v>146500</v>
      </c>
      <c r="E2" s="10">
        <f>Revenue!E8</f>
        <v>146500</v>
      </c>
      <c r="F2" s="10">
        <f>Revenue!F8</f>
        <v>146500</v>
      </c>
      <c r="G2" s="10">
        <f>Revenue!G8</f>
        <v>146500</v>
      </c>
      <c r="H2" s="10">
        <f>Revenue!H8</f>
        <v>146500</v>
      </c>
      <c r="I2" s="10">
        <f>Revenue!I8</f>
        <v>146500</v>
      </c>
      <c r="J2" s="10">
        <f>Revenue!J8</f>
        <v>146500</v>
      </c>
      <c r="K2" s="10">
        <f>Revenue!K8</f>
        <v>146500</v>
      </c>
      <c r="L2" s="10" t="str">
        <f>Revenue!L8</f>
        <v>0</v>
      </c>
      <c r="M2" s="10" t="str">
        <f>Revenue!M8</f>
        <v>0</v>
      </c>
      <c r="N2" s="10">
        <f>SUM(B2:M2)</f>
        <v>1465000</v>
      </c>
    </row>
    <row r="3" spans="1:14" x14ac:dyDescent="0.25">
      <c r="A3" s="2" t="s">
        <v>50</v>
      </c>
      <c r="B3" s="7">
        <f>Personnel!B9</f>
        <v>78054</v>
      </c>
      <c r="C3" s="7">
        <f>Personnel!C9</f>
        <v>78054</v>
      </c>
      <c r="D3" s="7">
        <f>Personnel!D9</f>
        <v>78054</v>
      </c>
      <c r="E3" s="7">
        <f>Personnel!E9</f>
        <v>78054</v>
      </c>
      <c r="F3" s="7">
        <f>Personnel!F9</f>
        <v>78054</v>
      </c>
      <c r="G3" s="7">
        <f>Personnel!G9</f>
        <v>78054</v>
      </c>
      <c r="H3" s="7">
        <f>Personnel!H9</f>
        <v>78054</v>
      </c>
      <c r="I3" s="7">
        <f>Personnel!I9</f>
        <v>78054</v>
      </c>
      <c r="J3" s="7">
        <f>Personnel!J9</f>
        <v>78054</v>
      </c>
      <c r="K3" s="7">
        <f>Personnel!K9</f>
        <v>78054</v>
      </c>
      <c r="L3" s="7" t="str">
        <f>Personnel!L9</f>
        <v>0</v>
      </c>
      <c r="M3" s="7" t="str">
        <f>Personnel!M9</f>
        <v>0</v>
      </c>
      <c r="N3" s="7">
        <f>SUM(B3:M3)</f>
        <v>780535</v>
      </c>
    </row>
    <row r="4" spans="1:14" x14ac:dyDescent="0.25">
      <c r="A4" s="2" t="s">
        <v>51</v>
      </c>
      <c r="B4" s="7">
        <f>'Operating Expenses'!B11</f>
        <v>50333</v>
      </c>
      <c r="C4" s="7">
        <f>'Operating Expenses'!C11</f>
        <v>50333</v>
      </c>
      <c r="D4" s="7">
        <f>'Operating Expenses'!D11</f>
        <v>50333</v>
      </c>
      <c r="E4" s="7">
        <f>'Operating Expenses'!E11</f>
        <v>50333</v>
      </c>
      <c r="F4" s="7">
        <f>'Operating Expenses'!F11</f>
        <v>50333</v>
      </c>
      <c r="G4" s="7">
        <f>'Operating Expenses'!G11</f>
        <v>50333</v>
      </c>
      <c r="H4" s="7">
        <f>'Operating Expenses'!H11</f>
        <v>50333</v>
      </c>
      <c r="I4" s="7">
        <f>'Operating Expenses'!I11</f>
        <v>50333</v>
      </c>
      <c r="J4" s="7">
        <f>'Operating Expenses'!J11</f>
        <v>50333</v>
      </c>
      <c r="K4" s="7">
        <f>'Operating Expenses'!K11</f>
        <v>50333</v>
      </c>
      <c r="L4" s="7" t="str">
        <f>'Operating Expenses'!L11</f>
        <v>0</v>
      </c>
      <c r="M4" s="7" t="str">
        <f>'Operating Expenses'!M11</f>
        <v>0</v>
      </c>
      <c r="N4" s="7">
        <f>SUM(B4:M4)</f>
        <v>503333</v>
      </c>
    </row>
    <row r="5" spans="1:14" x14ac:dyDescent="0.25">
      <c r="A5" s="2" t="s">
        <v>52</v>
      </c>
      <c r="B5" s="7">
        <v>8886</v>
      </c>
      <c r="C5" s="7">
        <v>8886</v>
      </c>
      <c r="D5" s="7">
        <v>8886</v>
      </c>
      <c r="E5" s="7">
        <v>8886</v>
      </c>
      <c r="F5" s="7">
        <v>8886</v>
      </c>
      <c r="G5" s="7">
        <v>8886</v>
      </c>
      <c r="H5" s="7">
        <v>8886</v>
      </c>
      <c r="I5" s="7">
        <v>8886</v>
      </c>
      <c r="J5" s="7">
        <v>8886</v>
      </c>
      <c r="K5" s="7">
        <v>8886</v>
      </c>
      <c r="L5" s="7">
        <v>8886</v>
      </c>
      <c r="M5" s="7">
        <v>8886</v>
      </c>
      <c r="N5" s="7">
        <f>SUM(B5:M5)</f>
        <v>106629</v>
      </c>
    </row>
    <row r="6" ht="24" customHeight="1" spans="1:14" x14ac:dyDescent="0.25">
      <c r="A6" s="1" t="s">
        <v>53</v>
      </c>
      <c r="B6" s="11" t="str">
        <f>SUM(B3:B5)</f>
        <v>0</v>
      </c>
      <c r="C6" s="11" t="str">
        <f>SUM(C3:C5)</f>
        <v>0</v>
      </c>
      <c r="D6" s="11" t="str">
        <f>SUM(D3:D5)</f>
        <v>0</v>
      </c>
      <c r="E6" s="11" t="str">
        <f>SUM(E3:E5)</f>
        <v>0</v>
      </c>
      <c r="F6" s="11" t="str">
        <f>SUM(F3:F5)</f>
        <v>0</v>
      </c>
      <c r="G6" s="11" t="str">
        <f>SUM(G3:G5)</f>
        <v>0</v>
      </c>
      <c r="H6" s="11" t="str">
        <f>SUM(H3:H5)</f>
        <v>0</v>
      </c>
      <c r="I6" s="11" t="str">
        <f>SUM(I3:I5)</f>
        <v>0</v>
      </c>
      <c r="J6" s="11" t="str">
        <f>SUM(J3:J5)</f>
        <v>0</v>
      </c>
      <c r="K6" s="11" t="str">
        <f>SUM(K3:K5)</f>
        <v>0</v>
      </c>
      <c r="L6" s="11" t="str">
        <f>SUM(L3:L5)</f>
        <v>0</v>
      </c>
      <c r="M6" s="11" t="str">
        <f>SUM(M3:M5)</f>
        <v>0</v>
      </c>
      <c r="N6" s="11">
        <f>SUM(B6:M6)</f>
        <v>1390497</v>
      </c>
    </row>
    <row r="7" spans="1:14" x14ac:dyDescent="0.25">
      <c r="A7" s="9" t="s">
        <v>54</v>
      </c>
      <c r="B7" s="12" t="str">
        <f>B2-B6</f>
        <v>0</v>
      </c>
      <c r="C7" s="12" t="str">
        <f>C2-C6</f>
        <v>0</v>
      </c>
      <c r="D7" s="12" t="str">
        <f>D2-D6</f>
        <v>0</v>
      </c>
      <c r="E7" s="12" t="str">
        <f>E2-E6</f>
        <v>0</v>
      </c>
      <c r="F7" s="12" t="str">
        <f>F2-F6</f>
        <v>0</v>
      </c>
      <c r="G7" s="12" t="str">
        <f>G2-G6</f>
        <v>0</v>
      </c>
      <c r="H7" s="12" t="str">
        <f>H2-H6</f>
        <v>0</v>
      </c>
      <c r="I7" s="12" t="str">
        <f>I2-I6</f>
        <v>0</v>
      </c>
      <c r="J7" s="12" t="str">
        <f>J2-J6</f>
        <v>0</v>
      </c>
      <c r="K7" s="12" t="str">
        <f>K2-K6</f>
        <v>0</v>
      </c>
      <c r="L7" s="12" t="str">
        <f>L2-L6</f>
        <v>0</v>
      </c>
      <c r="M7" s="12" t="str">
        <f>M2-M6</f>
        <v>0</v>
      </c>
      <c r="N7" s="12">
        <f>N2-N6</f>
        <v>-212164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 Charter&amp;R&amp;8&amp;IP&amp;L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2026-03-17T17:12:58Z</dcterms:created>
  <dcterms:modified xsi:type="dcterms:W3CDTF">2026-03-17T17:12:58Z</dcterms:modified>
</cp:coreProperties>
</file>