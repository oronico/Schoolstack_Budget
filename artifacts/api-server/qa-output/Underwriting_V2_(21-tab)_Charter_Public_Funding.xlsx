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<sst xmlns="http://schemas.openxmlformats.org/spreadsheetml/2006/main" count="814" uniqueCount="441">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</sst>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400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375</v>
      </c>
      <c r="F17" s="21">
        <v>400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9500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800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1200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100000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30000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300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110000</v>
      </c>
      <c r="F30" s="23">
        <v>0.28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90000</v>
      </c>
      <c r="F31" s="23">
        <v>0.28</v>
      </c>
      <c r="G31" s="23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4">
        <v>1</v>
      </c>
      <c r="E32" s="22">
        <v>72000</v>
      </c>
      <c r="F32" s="23">
        <v>0.28</v>
      </c>
      <c r="G32" s="23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4">
        <v>6</v>
      </c>
      <c r="E33" s="22">
        <v>52000</v>
      </c>
      <c r="F33" s="23">
        <v>0.28</v>
      </c>
      <c r="G33" s="23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4">
        <v>1</v>
      </c>
      <c r="E34" s="22">
        <v>55000</v>
      </c>
      <c r="F34" s="23">
        <v>0.28</v>
      </c>
      <c r="G34" s="23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4">
        <v>3</v>
      </c>
      <c r="E35" s="22">
        <v>30000</v>
      </c>
      <c r="F35" s="23">
        <v>0.2</v>
      </c>
      <c r="G35" s="23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4">
        <v>1</v>
      </c>
      <c r="E36" s="22">
        <v>55000</v>
      </c>
      <c r="F36" s="23">
        <v>0.28</v>
      </c>
      <c r="G36" s="23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4">
        <v>2</v>
      </c>
      <c r="E37" s="22">
        <v>38000</v>
      </c>
      <c r="F37" s="23">
        <v>0.25</v>
      </c>
      <c r="G37" s="23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4">
        <v>1</v>
      </c>
      <c r="E38" s="22">
        <v>55000</v>
      </c>
      <c r="F38" s="23">
        <v>0.28</v>
      </c>
      <c r="G38" s="23">
        <v>0.0765</v>
      </c>
    </row>
    <row r="40" ht="24" customHeight="1" spans="1:7" x14ac:dyDescent="0.25">
      <c r="A40" s="18" t="s">
        <v>146</v>
      </c>
      <c r="B40" s="18"/>
      <c r="C40" s="18"/>
      <c r="D40" s="18"/>
      <c r="E40" s="18"/>
      <c r="F40" s="18"/>
      <c r="G40" s="18"/>
    </row>
    <row r="41" ht="28" customHeight="1" spans="1:5" x14ac:dyDescent="0.25">
      <c r="A41" s="20" t="s">
        <v>108</v>
      </c>
      <c r="B41" s="20" t="s">
        <v>109</v>
      </c>
      <c r="C41" s="20" t="s">
        <v>110</v>
      </c>
      <c r="D41" s="20" t="s">
        <v>111</v>
      </c>
      <c r="E41" s="20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2">
        <v>18000</v>
      </c>
      <c r="E42" s="23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2">
        <v>2500</v>
      </c>
      <c r="E43" s="23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2">
        <v>18000</v>
      </c>
      <c r="E44" s="23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2">
        <v>1500</v>
      </c>
      <c r="E45" s="23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2">
        <v>700</v>
      </c>
      <c r="E46" s="23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2">
        <v>500</v>
      </c>
      <c r="E47" s="23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2">
        <v>25000</v>
      </c>
      <c r="E48" s="23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2">
        <v>15000</v>
      </c>
      <c r="E49" s="23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2">
        <v>20000</v>
      </c>
      <c r="E50" s="23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2">
        <v>800</v>
      </c>
      <c r="E51" s="23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2">
        <v>600</v>
      </c>
      <c r="E52" s="23">
        <v>0</v>
      </c>
    </row>
    <row r="54" ht="24" customHeight="1" spans="1:7" x14ac:dyDescent="0.25">
      <c r="A54" s="18" t="s">
        <v>163</v>
      </c>
      <c r="B54" s="18"/>
      <c r="C54" s="18"/>
      <c r="D54" s="18"/>
      <c r="E54" s="18"/>
      <c r="F54" s="18"/>
      <c r="G54" s="18"/>
    </row>
    <row r="55" ht="28" customHeight="1" spans="1:5" x14ac:dyDescent="0.25">
      <c r="A55" s="20" t="s">
        <v>164</v>
      </c>
      <c r="B55" s="20" t="s">
        <v>126</v>
      </c>
      <c r="C55" s="20" t="s">
        <v>134</v>
      </c>
      <c r="D55" s="20" t="s">
        <v>128</v>
      </c>
      <c r="E55" s="20" t="s">
        <v>165</v>
      </c>
    </row>
    <row r="56" spans="1:5" x14ac:dyDescent="0.25">
      <c r="A56" s="11" t="s">
        <v>166</v>
      </c>
      <c r="B56" s="11" t="s">
        <v>167</v>
      </c>
      <c r="C56" s="22">
        <v>500000</v>
      </c>
      <c r="D56" s="23">
        <v>0.0575</v>
      </c>
      <c r="E56" s="21">
        <v>15</v>
      </c>
    </row>
    <row r="57" spans="1:5" x14ac:dyDescent="0.25">
      <c r="A57" s="11" t="s">
        <v>168</v>
      </c>
      <c r="B57" s="11" t="s">
        <v>169</v>
      </c>
      <c r="C57" s="22">
        <v>75000</v>
      </c>
      <c r="D57" s="23">
        <v>0</v>
      </c>
      <c r="E57" s="21">
        <v>0</v>
      </c>
    </row>
    <row r="58" spans="1:5" x14ac:dyDescent="0.25">
      <c r="A58" s="11" t="s">
        <v>170</v>
      </c>
      <c r="B58" s="11" t="s">
        <v>169</v>
      </c>
      <c r="C58" s="22">
        <v>40000</v>
      </c>
      <c r="D58" s="23">
        <v>0</v>
      </c>
      <c r="E58" s="21">
        <v>0</v>
      </c>
    </row>
    <row r="60" ht="24" customHeight="1" spans="1:7" x14ac:dyDescent="0.25">
      <c r="A60" s="18" t="s">
        <v>171</v>
      </c>
      <c r="B60" s="18"/>
      <c r="C60" s="18"/>
      <c r="D60" s="18"/>
      <c r="E60" s="18"/>
      <c r="F60" s="18"/>
      <c r="G60" s="18"/>
    </row>
    <row r="61" spans="1:3" x14ac:dyDescent="0.25">
      <c r="A61" s="11" t="s">
        <v>172</v>
      </c>
      <c r="B61" s="23">
        <v>0.03</v>
      </c>
      <c r="C61" s="25" t="s">
        <v>173</v>
      </c>
    </row>
    <row r="62" spans="1:3" x14ac:dyDescent="0.25">
      <c r="A62" s="11" t="s">
        <v>174</v>
      </c>
      <c r="B62" s="23">
        <v>0.03</v>
      </c>
      <c r="C62" s="25" t="s">
        <v>175</v>
      </c>
    </row>
    <row r="63" spans="1:2" x14ac:dyDescent="0.25">
      <c r="A63" s="11" t="s">
        <v>176</v>
      </c>
      <c r="B63" s="24">
        <v>0.8333333333333334</v>
      </c>
    </row>
    <row r="64" spans="1:2" x14ac:dyDescent="0.25">
      <c r="A64" s="11" t="s">
        <v>177</v>
      </c>
      <c r="B64" s="22">
        <v>0</v>
      </c>
    </row>
    <row r="65" spans="1:2" x14ac:dyDescent="0.25">
      <c r="A65" s="11" t="s">
        <v>178</v>
      </c>
      <c r="B65" s="19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197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375</v>
      </c>
      <c r="F6" s="26">
        <v>400</v>
      </c>
    </row>
    <row r="7" spans="1:2" x14ac:dyDescent="0.25">
      <c r="A7" s="11" t="s">
        <v>99</v>
      </c>
      <c r="B7" s="21">
        <v>400</v>
      </c>
    </row>
    <row r="8" spans="1:6" x14ac:dyDescent="0.25">
      <c r="A8" s="11" t="s">
        <v>198</v>
      </c>
      <c r="B8" s="27">
        <f>B6/$B$7</f>
        <v>0.3</v>
      </c>
      <c r="C8" s="27">
        <f>C6/$B$7</f>
        <v>0.5</v>
      </c>
      <c r="D8" s="27">
        <f>D6/$B$7</f>
        <v>0.75</v>
      </c>
      <c r="E8" s="27">
        <f>E6/$B$7</f>
        <v>0.9375</v>
      </c>
      <c r="F8" s="27">
        <f>F6/$B$7</f>
        <v>1</v>
      </c>
    </row>
    <row r="10" spans="1:6" x14ac:dyDescent="0.25">
      <c r="A10" s="11" t="s">
        <v>199</v>
      </c>
      <c r="B10" s="11" t="s">
        <v>200</v>
      </c>
      <c r="C10" s="28">
        <f>IF(B6=0,0,(C6-B6)/B6)</f>
        <v>0.66666667</v>
      </c>
      <c r="D10" s="28">
        <f>IF(C6=0,0,(D6-C6)/C6)</f>
        <v>0.5</v>
      </c>
      <c r="E10" s="28">
        <f>IF(D6=0,0,(E6-D6)/D6)</f>
        <v>0.25</v>
      </c>
      <c r="F10" s="28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202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1140000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116</v>
      </c>
      <c r="B6" s="29">
        <v>96000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117</v>
      </c>
      <c r="B7" s="29">
        <v>144000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0" t="s">
        <v>203</v>
      </c>
      <c r="B8" s="30">
        <f>SUBTOTAL(9,B5:B7)</f>
        <v>1380000</v>
      </c>
      <c r="C8" s="30">
        <f>SUBTOTAL(9,C5:C7)</f>
        <v>2369000</v>
      </c>
      <c r="D8" s="30">
        <f>SUBTOTAL(9,D5:D7)</f>
        <v>3660105</v>
      </c>
      <c r="E8" s="30">
        <f>SUBTOTAL(9,E5:E7)</f>
        <v>4712385</v>
      </c>
      <c r="F8" s="30">
        <f>SUBTOTAL(9,F5:F7)</f>
        <v>5177341</v>
      </c>
    </row>
    <row r="9" ht="24" customHeight="1" spans="1:6" x14ac:dyDescent="0.25">
      <c r="A9" s="18" t="s">
        <v>204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2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0" t="s">
        <v>205</v>
      </c>
      <c r="B12" s="30">
        <f>SUBTOTAL(9,B10:B11)</f>
        <v>130000</v>
      </c>
      <c r="C12" s="30">
        <f>SUBTOTAL(9,C10:C11)</f>
        <v>133900</v>
      </c>
      <c r="D12" s="30">
        <f>SUBTOTAL(9,D10:D11)</f>
        <v>137917</v>
      </c>
      <c r="E12" s="30">
        <f>SUBTOTAL(9,E10:E11)</f>
        <v>142055</v>
      </c>
      <c r="F12" s="30">
        <f>SUBTOTAL(9,F10:F11)</f>
        <v>146316</v>
      </c>
    </row>
    <row r="13" ht="24" customHeight="1" spans="1:6" x14ac:dyDescent="0.25">
      <c r="A13" s="18" t="s">
        <v>206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29">
        <v>36000</v>
      </c>
      <c r="C14" s="29">
        <v>61800</v>
      </c>
      <c r="D14" s="29">
        <v>95481</v>
      </c>
      <c r="E14" s="29">
        <v>122932</v>
      </c>
      <c r="F14" s="29">
        <v>135061</v>
      </c>
    </row>
    <row r="15" spans="1:6" x14ac:dyDescent="0.25">
      <c r="A15" s="10" t="s">
        <v>207</v>
      </c>
      <c r="B15" s="30">
        <f>SUBTOTAL(9,B14:B14)</f>
        <v>36000</v>
      </c>
      <c r="C15" s="30">
        <f>SUBTOTAL(9,C14:C14)</f>
        <v>61800</v>
      </c>
      <c r="D15" s="30">
        <f>SUBTOTAL(9,D14:D14)</f>
        <v>95481</v>
      </c>
      <c r="E15" s="30">
        <f>SUBTOTAL(9,E14:E14)</f>
        <v>122932</v>
      </c>
      <c r="F15" s="30">
        <f>SUBTOTAL(9,F14:F14)</f>
        <v>135061</v>
      </c>
    </row>
    <row r="17" ht="24" customHeight="1" spans="1:6" x14ac:dyDescent="0.25">
      <c r="A17" s="18" t="s">
        <v>208</v>
      </c>
      <c r="B17" s="31">
        <f>SUM(B8,B12,B15)</f>
        <v>1546000</v>
      </c>
      <c r="C17" s="31">
        <f>SUM(C8,C12,C15)</f>
        <v>2564700</v>
      </c>
      <c r="D17" s="31">
        <f>SUM(D8,D12,D15)</f>
        <v>3893503</v>
      </c>
      <c r="E17" s="31">
        <f>SUM(E8,E12,E15)</f>
        <v>4977371</v>
      </c>
      <c r="F17" s="31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209</v>
      </c>
      <c r="E3" s="20" t="s">
        <v>129</v>
      </c>
      <c r="F3" s="20" t="s">
        <v>130</v>
      </c>
      <c r="G3" s="20" t="s">
        <v>210</v>
      </c>
    </row>
    <row r="4" spans="1:7" x14ac:dyDescent="0.25">
      <c r="A4" s="11" t="s">
        <v>131</v>
      </c>
      <c r="B4" s="11" t="s">
        <v>132</v>
      </c>
      <c r="C4" s="32">
        <v>1</v>
      </c>
      <c r="D4" s="29">
        <v>110000</v>
      </c>
      <c r="E4" s="28">
        <v>0.28</v>
      </c>
      <c r="F4" s="28">
        <v>0.0765</v>
      </c>
      <c r="G4" s="33">
        <v>149215</v>
      </c>
    </row>
    <row r="5" spans="1:7" x14ac:dyDescent="0.25">
      <c r="A5" s="11" t="s">
        <v>134</v>
      </c>
      <c r="B5" s="11" t="s">
        <v>132</v>
      </c>
      <c r="C5" s="32">
        <v>1</v>
      </c>
      <c r="D5" s="29">
        <v>90000</v>
      </c>
      <c r="E5" s="28">
        <v>0.28</v>
      </c>
      <c r="F5" s="28">
        <v>0.0765</v>
      </c>
      <c r="G5" s="33">
        <v>122085</v>
      </c>
    </row>
    <row r="6" spans="1:7" x14ac:dyDescent="0.25">
      <c r="A6" s="11" t="s">
        <v>135</v>
      </c>
      <c r="B6" s="11" t="s">
        <v>132</v>
      </c>
      <c r="C6" s="32">
        <v>1</v>
      </c>
      <c r="D6" s="29">
        <v>72000</v>
      </c>
      <c r="E6" s="28">
        <v>0.28</v>
      </c>
      <c r="F6" s="28">
        <v>0.0765</v>
      </c>
      <c r="G6" s="33">
        <v>97668</v>
      </c>
    </row>
    <row r="7" spans="1:7" x14ac:dyDescent="0.25">
      <c r="A7" s="11" t="s">
        <v>136</v>
      </c>
      <c r="B7" s="11" t="s">
        <v>137</v>
      </c>
      <c r="C7" s="32">
        <v>6</v>
      </c>
      <c r="D7" s="29">
        <v>52000</v>
      </c>
      <c r="E7" s="28">
        <v>0.28</v>
      </c>
      <c r="F7" s="28">
        <v>0.0765</v>
      </c>
      <c r="G7" s="33">
        <v>423228</v>
      </c>
    </row>
    <row r="8" spans="1:7" x14ac:dyDescent="0.25">
      <c r="A8" s="11" t="s">
        <v>138</v>
      </c>
      <c r="B8" s="11" t="s">
        <v>137</v>
      </c>
      <c r="C8" s="32">
        <v>1</v>
      </c>
      <c r="D8" s="29">
        <v>55000</v>
      </c>
      <c r="E8" s="28">
        <v>0.28</v>
      </c>
      <c r="F8" s="28">
        <v>0.0765</v>
      </c>
      <c r="G8" s="33">
        <v>74608</v>
      </c>
    </row>
    <row r="9" spans="1:7" x14ac:dyDescent="0.25">
      <c r="A9" s="11" t="s">
        <v>139</v>
      </c>
      <c r="B9" s="11" t="s">
        <v>137</v>
      </c>
      <c r="C9" s="32">
        <v>3</v>
      </c>
      <c r="D9" s="29">
        <v>30000</v>
      </c>
      <c r="E9" s="28">
        <v>0.2</v>
      </c>
      <c r="F9" s="28">
        <v>0.0765</v>
      </c>
      <c r="G9" s="33">
        <v>114885</v>
      </c>
    </row>
    <row r="10" spans="1:7" x14ac:dyDescent="0.25">
      <c r="A10" s="11" t="s">
        <v>140</v>
      </c>
      <c r="B10" s="11" t="s">
        <v>141</v>
      </c>
      <c r="C10" s="32">
        <v>1</v>
      </c>
      <c r="D10" s="29">
        <v>55000</v>
      </c>
      <c r="E10" s="28">
        <v>0.28</v>
      </c>
      <c r="F10" s="28">
        <v>0.0765</v>
      </c>
      <c r="G10" s="33">
        <v>74608</v>
      </c>
    </row>
    <row r="11" spans="1:7" x14ac:dyDescent="0.25">
      <c r="A11" s="11" t="s">
        <v>142</v>
      </c>
      <c r="B11" s="11" t="s">
        <v>143</v>
      </c>
      <c r="C11" s="32">
        <v>2</v>
      </c>
      <c r="D11" s="29">
        <v>38000</v>
      </c>
      <c r="E11" s="28">
        <v>0.25</v>
      </c>
      <c r="F11" s="28">
        <v>0.0765</v>
      </c>
      <c r="G11" s="33">
        <v>100814</v>
      </c>
    </row>
    <row r="12" spans="1:7" x14ac:dyDescent="0.25">
      <c r="A12" s="11" t="s">
        <v>144</v>
      </c>
      <c r="B12" s="11" t="s">
        <v>145</v>
      </c>
      <c r="C12" s="32">
        <v>1</v>
      </c>
      <c r="D12" s="29">
        <v>55000</v>
      </c>
      <c r="E12" s="28">
        <v>0.28</v>
      </c>
      <c r="F12" s="28">
        <v>0.0765</v>
      </c>
      <c r="G12" s="33">
        <v>74608</v>
      </c>
    </row>
    <row r="14" ht="24" customHeight="1" spans="1:7" x14ac:dyDescent="0.25">
      <c r="A14" s="18" t="s">
        <v>211</v>
      </c>
      <c r="B14" s="18"/>
      <c r="C14" s="18"/>
      <c r="D14" s="18"/>
      <c r="E14" s="18"/>
      <c r="F14" s="18"/>
      <c r="G14" s="18"/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0" t="s">
        <v>212</v>
      </c>
      <c r="B16" s="31">
        <v>1026431</v>
      </c>
      <c r="C16" s="31">
        <v>1268669</v>
      </c>
      <c r="D16" s="31">
        <v>1306729</v>
      </c>
      <c r="E16" s="31">
        <v>1345931</v>
      </c>
      <c r="F16" s="31">
        <v>1386309</v>
      </c>
    </row>
    <row r="17" spans="1:6" x14ac:dyDescent="0.25">
      <c r="A17" s="11" t="s">
        <v>213</v>
      </c>
      <c r="B17" s="28">
        <v>0.6639270698576973</v>
      </c>
      <c r="C17" s="28">
        <v>0.49466566265060247</v>
      </c>
      <c r="D17" s="28">
        <v>0.3356178474114441</v>
      </c>
      <c r="E17" s="28">
        <v>0.27040998902305163</v>
      </c>
      <c r="F17" s="28">
        <v>0.25396237113402065</v>
      </c>
    </row>
    <row r="18" spans="1:6" x14ac:dyDescent="0.25">
      <c r="A18" s="11" t="s">
        <v>214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154</v>
      </c>
      <c r="B4" s="18"/>
      <c r="C4" s="18"/>
      <c r="D4" s="18"/>
      <c r="E4" s="18"/>
      <c r="F4" s="18"/>
    </row>
    <row r="5" spans="1:6" x14ac:dyDescent="0.25">
      <c r="A5" s="11" t="s">
        <v>216</v>
      </c>
      <c r="B5" s="29">
        <v>84000</v>
      </c>
      <c r="C5" s="29">
        <v>144200</v>
      </c>
      <c r="D5" s="29">
        <v>222789</v>
      </c>
      <c r="E5" s="29">
        <v>286841</v>
      </c>
      <c r="F5" s="29">
        <v>315142</v>
      </c>
    </row>
    <row r="6" spans="1:6" x14ac:dyDescent="0.25">
      <c r="A6" s="10" t="s">
        <v>217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8" t="s">
        <v>156</v>
      </c>
      <c r="B7" s="18"/>
      <c r="C7" s="18"/>
      <c r="D7" s="18"/>
      <c r="E7" s="18"/>
      <c r="F7" s="18"/>
    </row>
    <row r="8" spans="1:6" x14ac:dyDescent="0.25">
      <c r="A8" s="11" t="s">
        <v>218</v>
      </c>
      <c r="B8" s="29">
        <v>60000</v>
      </c>
      <c r="C8" s="29">
        <v>103000</v>
      </c>
      <c r="D8" s="29">
        <v>159135</v>
      </c>
      <c r="E8" s="29">
        <v>204886</v>
      </c>
      <c r="F8" s="29">
        <v>225102</v>
      </c>
    </row>
    <row r="9" spans="1:6" x14ac:dyDescent="0.25">
      <c r="A9" s="10" t="s">
        <v>219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8" t="s">
        <v>148</v>
      </c>
      <c r="B10" s="18"/>
      <c r="C10" s="18"/>
      <c r="D10" s="18"/>
      <c r="E10" s="18"/>
      <c r="F10" s="18"/>
    </row>
    <row r="11" spans="1:6" x14ac:dyDescent="0.25">
      <c r="A11" s="11" t="s">
        <v>220</v>
      </c>
      <c r="B11" s="29">
        <v>216000</v>
      </c>
      <c r="C11" s="29">
        <v>222480</v>
      </c>
      <c r="D11" s="29">
        <v>229154</v>
      </c>
      <c r="E11" s="29">
        <v>236029</v>
      </c>
      <c r="F11" s="29">
        <v>243110</v>
      </c>
    </row>
    <row r="12" spans="1:6" x14ac:dyDescent="0.25">
      <c r="A12" s="11" t="s">
        <v>221</v>
      </c>
      <c r="B12" s="29">
        <v>30000</v>
      </c>
      <c r="C12" s="29">
        <v>30900</v>
      </c>
      <c r="D12" s="29">
        <v>31827</v>
      </c>
      <c r="E12" s="29">
        <v>32782</v>
      </c>
      <c r="F12" s="29">
        <v>33765</v>
      </c>
    </row>
    <row r="13" spans="1:6" x14ac:dyDescent="0.25">
      <c r="A13" s="11" t="s">
        <v>222</v>
      </c>
      <c r="B13" s="29">
        <v>18000</v>
      </c>
      <c r="C13" s="29">
        <v>18540</v>
      </c>
      <c r="D13" s="29">
        <v>19096</v>
      </c>
      <c r="E13" s="29">
        <v>19669</v>
      </c>
      <c r="F13" s="29">
        <v>20259</v>
      </c>
    </row>
    <row r="14" spans="1:6" x14ac:dyDescent="0.25">
      <c r="A14" s="11" t="s">
        <v>223</v>
      </c>
      <c r="B14" s="29">
        <v>18000</v>
      </c>
      <c r="C14" s="29">
        <v>18540</v>
      </c>
      <c r="D14" s="29">
        <v>19096</v>
      </c>
      <c r="E14" s="29">
        <v>19669</v>
      </c>
      <c r="F14" s="29">
        <v>20259</v>
      </c>
    </row>
    <row r="15" spans="1:6" x14ac:dyDescent="0.25">
      <c r="A15" s="10" t="s">
        <v>224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8" t="s">
        <v>158</v>
      </c>
      <c r="B16" s="18"/>
      <c r="C16" s="18"/>
      <c r="D16" s="18"/>
      <c r="E16" s="18"/>
      <c r="F16" s="18"/>
    </row>
    <row r="17" spans="1:6" x14ac:dyDescent="0.25">
      <c r="A17" s="11" t="s">
        <v>225</v>
      </c>
      <c r="B17" s="29">
        <v>25000</v>
      </c>
      <c r="C17" s="29">
        <v>25750</v>
      </c>
      <c r="D17" s="29">
        <v>26523</v>
      </c>
      <c r="E17" s="29">
        <v>27318</v>
      </c>
      <c r="F17" s="29">
        <v>28138</v>
      </c>
    </row>
    <row r="18" spans="1:6" x14ac:dyDescent="0.25">
      <c r="A18" s="11" t="s">
        <v>226</v>
      </c>
      <c r="B18" s="29">
        <v>15000</v>
      </c>
      <c r="C18" s="29">
        <v>15450</v>
      </c>
      <c r="D18" s="29">
        <v>15914</v>
      </c>
      <c r="E18" s="29">
        <v>16391</v>
      </c>
      <c r="F18" s="29">
        <v>16883</v>
      </c>
    </row>
    <row r="19" spans="1:6" x14ac:dyDescent="0.25">
      <c r="A19" s="11" t="s">
        <v>227</v>
      </c>
      <c r="B19" s="29">
        <v>20000</v>
      </c>
      <c r="C19" s="29">
        <v>20600</v>
      </c>
      <c r="D19" s="29">
        <v>21218</v>
      </c>
      <c r="E19" s="29">
        <v>21855</v>
      </c>
      <c r="F19" s="29">
        <v>22510</v>
      </c>
    </row>
    <row r="20" spans="1:6" x14ac:dyDescent="0.25">
      <c r="A20" s="11" t="s">
        <v>228</v>
      </c>
      <c r="B20" s="29">
        <v>96000</v>
      </c>
      <c r="C20" s="29">
        <v>164800</v>
      </c>
      <c r="D20" s="29">
        <v>254616</v>
      </c>
      <c r="E20" s="29">
        <v>327818</v>
      </c>
      <c r="F20" s="29">
        <v>360163</v>
      </c>
    </row>
    <row r="21" spans="1:6" x14ac:dyDescent="0.25">
      <c r="A21" s="11" t="s">
        <v>229</v>
      </c>
      <c r="B21" s="29">
        <v>72000</v>
      </c>
      <c r="C21" s="29">
        <v>123600</v>
      </c>
      <c r="D21" s="29">
        <v>190962</v>
      </c>
      <c r="E21" s="29">
        <v>245864</v>
      </c>
      <c r="F21" s="29">
        <v>270122</v>
      </c>
    </row>
    <row r="22" spans="1:6" x14ac:dyDescent="0.25">
      <c r="A22" s="10" t="s">
        <v>230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8" t="s">
        <v>231</v>
      </c>
      <c r="B24" s="31">
        <f>B6+B9+B15+B22</f>
        <v>654000</v>
      </c>
      <c r="C24" s="31">
        <f>C6+C9+C15+C22</f>
        <v>887860</v>
      </c>
      <c r="D24" s="31">
        <f>D6+D9+D15+D22</f>
        <v>1190330</v>
      </c>
      <c r="E24" s="31">
        <f>E6+E9+E15+E22</f>
        <v>1439121</v>
      </c>
      <c r="F24" s="31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164</v>
      </c>
      <c r="B3" s="20" t="s">
        <v>126</v>
      </c>
      <c r="C3" s="20" t="s">
        <v>134</v>
      </c>
      <c r="D3" s="20" t="s">
        <v>128</v>
      </c>
      <c r="E3" s="20" t="s">
        <v>165</v>
      </c>
      <c r="F3" s="20" t="s">
        <v>233</v>
      </c>
    </row>
    <row r="4" spans="1:6" x14ac:dyDescent="0.25">
      <c r="A4" s="11" t="s">
        <v>166</v>
      </c>
      <c r="B4" s="11" t="s">
        <v>167</v>
      </c>
      <c r="C4" s="22">
        <v>500000</v>
      </c>
      <c r="D4" s="28">
        <v>0.0575</v>
      </c>
      <c r="E4" s="35">
        <v>15</v>
      </c>
      <c r="F4" s="33">
        <v>49825</v>
      </c>
    </row>
    <row r="5" spans="1:6" x14ac:dyDescent="0.25">
      <c r="A5" s="11" t="s">
        <v>168</v>
      </c>
      <c r="B5" s="11" t="s">
        <v>234</v>
      </c>
      <c r="C5" s="22">
        <v>75000</v>
      </c>
      <c r="D5" s="28">
        <v>0</v>
      </c>
      <c r="E5" s="35">
        <v>0</v>
      </c>
      <c r="F5" s="33">
        <v>75000</v>
      </c>
    </row>
    <row r="6" spans="1:6" x14ac:dyDescent="0.25">
      <c r="A6" s="11" t="s">
        <v>170</v>
      </c>
      <c r="B6" s="11" t="s">
        <v>234</v>
      </c>
      <c r="C6" s="22">
        <v>40000</v>
      </c>
      <c r="D6" s="28">
        <v>0</v>
      </c>
      <c r="E6" s="35">
        <v>0</v>
      </c>
      <c r="F6" s="33">
        <v>40000</v>
      </c>
    </row>
    <row r="8" spans="1:6" x14ac:dyDescent="0.25">
      <c r="A8" s="10" t="s">
        <v>235</v>
      </c>
      <c r="F8" s="31">
        <v>49825</v>
      </c>
    </row>
    <row r="9" spans="1:6" x14ac:dyDescent="0.25">
      <c r="A9" s="10" t="s">
        <v>236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1140000</v>
      </c>
      <c r="C7" s="29">
        <v>1957000</v>
      </c>
      <c r="D7" s="29">
        <v>3023565</v>
      </c>
      <c r="E7" s="29">
        <v>3892840</v>
      </c>
      <c r="F7" s="29">
        <v>4276933</v>
      </c>
    </row>
    <row r="8" spans="1:6" x14ac:dyDescent="0.25">
      <c r="A8" s="11" t="s">
        <v>116</v>
      </c>
      <c r="B8" s="29">
        <v>96000</v>
      </c>
      <c r="C8" s="29">
        <v>164800</v>
      </c>
      <c r="D8" s="29">
        <v>254616</v>
      </c>
      <c r="E8" s="29">
        <v>327818</v>
      </c>
      <c r="F8" s="29">
        <v>360163</v>
      </c>
    </row>
    <row r="9" spans="1:6" x14ac:dyDescent="0.25">
      <c r="A9" s="11" t="s">
        <v>117</v>
      </c>
      <c r="B9" s="29">
        <v>144000</v>
      </c>
      <c r="C9" s="29">
        <v>247200</v>
      </c>
      <c r="D9" s="29">
        <v>381924</v>
      </c>
      <c r="E9" s="29">
        <v>491727</v>
      </c>
      <c r="F9" s="29">
        <v>540244</v>
      </c>
    </row>
    <row r="10" spans="1:6" x14ac:dyDescent="0.25">
      <c r="A10" s="11" t="s">
        <v>118</v>
      </c>
      <c r="B10" s="29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122</v>
      </c>
      <c r="B12" s="29">
        <v>36000</v>
      </c>
      <c r="C12" s="29">
        <v>61800</v>
      </c>
      <c r="D12" s="29">
        <v>95481</v>
      </c>
      <c r="E12" s="29">
        <v>122932</v>
      </c>
      <c r="F12" s="29">
        <v>135061</v>
      </c>
    </row>
    <row r="13" ht="24" customHeight="1" spans="1:6" x14ac:dyDescent="0.25">
      <c r="A13" s="18" t="s">
        <v>239</v>
      </c>
      <c r="B13" s="31">
        <f>SUM(B7:B12)</f>
        <v>1546000</v>
      </c>
      <c r="C13" s="31">
        <f>SUM(C7:C12)</f>
        <v>2564700</v>
      </c>
      <c r="D13" s="31">
        <f>SUM(D7:D12)</f>
        <v>3893503</v>
      </c>
      <c r="E13" s="31">
        <f>SUM(E7:E12)</f>
        <v>4977371</v>
      </c>
      <c r="F13" s="31">
        <f>SUM(F7:F12)</f>
        <v>5458718</v>
      </c>
    </row>
    <row r="15" spans="1:6" x14ac:dyDescent="0.25">
      <c r="A15" s="11" t="s">
        <v>240</v>
      </c>
      <c r="B15" s="29">
        <v>12883</v>
      </c>
      <c r="C15" s="29">
        <v>12824</v>
      </c>
      <c r="D15" s="29">
        <v>12978</v>
      </c>
      <c r="E15" s="29">
        <v>13273</v>
      </c>
      <c r="F15" s="29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137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29">
        <v>352690</v>
      </c>
      <c r="C5" s="29">
        <v>435925</v>
      </c>
      <c r="D5" s="29">
        <v>449003</v>
      </c>
      <c r="E5" s="29">
        <v>462473</v>
      </c>
      <c r="F5" s="29">
        <v>476347</v>
      </c>
    </row>
    <row r="6" spans="1:6" x14ac:dyDescent="0.25">
      <c r="A6" s="11" t="s">
        <v>243</v>
      </c>
      <c r="B6" s="29">
        <v>62173</v>
      </c>
      <c r="C6" s="29">
        <v>76846</v>
      </c>
      <c r="D6" s="29">
        <v>79151</v>
      </c>
      <c r="E6" s="29">
        <v>81526</v>
      </c>
      <c r="F6" s="29">
        <v>83971</v>
      </c>
    </row>
    <row r="7" spans="1:6" x14ac:dyDescent="0.25">
      <c r="A7" s="11" t="s">
        <v>244</v>
      </c>
      <c r="B7" s="29">
        <v>95738</v>
      </c>
      <c r="C7" s="29">
        <v>118332</v>
      </c>
      <c r="D7" s="29">
        <v>121881</v>
      </c>
      <c r="E7" s="29">
        <v>125538</v>
      </c>
      <c r="F7" s="29">
        <v>129304</v>
      </c>
    </row>
    <row r="8" spans="1:6" x14ac:dyDescent="0.25">
      <c r="A8" s="10" t="s">
        <v>245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246</v>
      </c>
      <c r="B10" s="29">
        <v>124346</v>
      </c>
      <c r="C10" s="29">
        <v>153691</v>
      </c>
      <c r="D10" s="29">
        <v>158302</v>
      </c>
      <c r="E10" s="29">
        <v>163051</v>
      </c>
      <c r="F10" s="29">
        <v>167943</v>
      </c>
    </row>
    <row r="11" spans="1:6" x14ac:dyDescent="0.25">
      <c r="A11" s="11" t="s">
        <v>247</v>
      </c>
      <c r="B11" s="29">
        <v>101738</v>
      </c>
      <c r="C11" s="29">
        <v>125748</v>
      </c>
      <c r="D11" s="29">
        <v>129520</v>
      </c>
      <c r="E11" s="29">
        <v>133406</v>
      </c>
      <c r="F11" s="29">
        <v>137408</v>
      </c>
    </row>
    <row r="12" spans="1:6" x14ac:dyDescent="0.25">
      <c r="A12" s="11" t="s">
        <v>248</v>
      </c>
      <c r="B12" s="29">
        <v>81390</v>
      </c>
      <c r="C12" s="29">
        <v>100598</v>
      </c>
      <c r="D12" s="29">
        <v>103616</v>
      </c>
      <c r="E12" s="29">
        <v>106724</v>
      </c>
      <c r="F12" s="29">
        <v>109926</v>
      </c>
    </row>
    <row r="13" spans="1:6" x14ac:dyDescent="0.25">
      <c r="A13" s="10" t="s">
        <v>249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8" t="s">
        <v>145</v>
      </c>
      <c r="B14" s="18"/>
      <c r="C14" s="18"/>
      <c r="D14" s="18"/>
      <c r="E14" s="18"/>
      <c r="F14" s="18"/>
    </row>
    <row r="15" spans="1:6" x14ac:dyDescent="0.25">
      <c r="A15" s="11" t="s">
        <v>250</v>
      </c>
      <c r="B15" s="29">
        <v>62173</v>
      </c>
      <c r="C15" s="29">
        <v>76846</v>
      </c>
      <c r="D15" s="29">
        <v>79151</v>
      </c>
      <c r="E15" s="29">
        <v>81526</v>
      </c>
      <c r="F15" s="29">
        <v>83971</v>
      </c>
    </row>
    <row r="16" spans="1:6" x14ac:dyDescent="0.25">
      <c r="A16" s="10" t="s">
        <v>251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8" t="s">
        <v>141</v>
      </c>
      <c r="B17" s="18"/>
      <c r="C17" s="18"/>
      <c r="D17" s="18"/>
      <c r="E17" s="18"/>
      <c r="F17" s="18"/>
    </row>
    <row r="18" spans="1:6" x14ac:dyDescent="0.25">
      <c r="A18" s="11" t="s">
        <v>252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0" t="s">
        <v>253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8" t="s">
        <v>143</v>
      </c>
      <c r="B20" s="18"/>
      <c r="C20" s="18"/>
      <c r="D20" s="18"/>
      <c r="E20" s="18"/>
      <c r="F20" s="18"/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0" t="s">
        <v>255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8" t="s">
        <v>256</v>
      </c>
      <c r="B24" s="31">
        <f>B8+B13+B16+B19+B22</f>
        <v>1026431</v>
      </c>
      <c r="C24" s="31">
        <f>C8+C13+C16+C19+C22</f>
        <v>1268669</v>
      </c>
      <c r="D24" s="31">
        <f>D8+D13+D16+D19+D22</f>
        <v>1306729</v>
      </c>
      <c r="E24" s="31">
        <f>E8+E13+E16+E19+E22</f>
        <v>1345931</v>
      </c>
      <c r="F24" s="31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11" t="s">
        <v>259</v>
      </c>
      <c r="B5" s="29">
        <v>950000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260</v>
      </c>
      <c r="B6" s="29">
        <v>80000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261</v>
      </c>
      <c r="B7" s="29">
        <v>120000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1" t="s">
        <v>262</v>
      </c>
      <c r="B8" s="29">
        <v>83333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11" t="s">
        <v>263</v>
      </c>
      <c r="B9" s="29">
        <v>25000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11" t="s">
        <v>264</v>
      </c>
      <c r="B10" s="29">
        <v>30000</v>
      </c>
      <c r="C10" s="29">
        <v>61800</v>
      </c>
      <c r="D10" s="29">
        <v>95481</v>
      </c>
      <c r="E10" s="29">
        <v>122932</v>
      </c>
      <c r="F10" s="29">
        <v>135061</v>
      </c>
    </row>
    <row r="11" spans="1:6" x14ac:dyDescent="0.25">
      <c r="A11" s="10" t="s">
        <v>265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8" t="s">
        <v>266</v>
      </c>
      <c r="B13" s="18"/>
      <c r="C13" s="18"/>
      <c r="D13" s="18"/>
      <c r="E13" s="18"/>
      <c r="F13" s="18"/>
    </row>
    <row r="14" spans="1:6" x14ac:dyDescent="0.25">
      <c r="A14" s="11" t="s">
        <v>246</v>
      </c>
      <c r="B14" s="29">
        <v>124346</v>
      </c>
      <c r="C14" s="29">
        <v>153691</v>
      </c>
      <c r="D14" s="29">
        <v>158302</v>
      </c>
      <c r="E14" s="29">
        <v>163051</v>
      </c>
      <c r="F14" s="29">
        <v>167943</v>
      </c>
    </row>
    <row r="15" spans="1:6" x14ac:dyDescent="0.25">
      <c r="A15" s="11" t="s">
        <v>247</v>
      </c>
      <c r="B15" s="29">
        <v>101738</v>
      </c>
      <c r="C15" s="29">
        <v>125748</v>
      </c>
      <c r="D15" s="29">
        <v>129520</v>
      </c>
      <c r="E15" s="29">
        <v>133406</v>
      </c>
      <c r="F15" s="29">
        <v>137408</v>
      </c>
    </row>
    <row r="16" spans="1:6" x14ac:dyDescent="0.25">
      <c r="A16" s="11" t="s">
        <v>248</v>
      </c>
      <c r="B16" s="29">
        <v>81390</v>
      </c>
      <c r="C16" s="29">
        <v>100598</v>
      </c>
      <c r="D16" s="29">
        <v>103616</v>
      </c>
      <c r="E16" s="29">
        <v>106724</v>
      </c>
      <c r="F16" s="29">
        <v>109926</v>
      </c>
    </row>
    <row r="17" spans="1:6" x14ac:dyDescent="0.25">
      <c r="A17" s="11" t="s">
        <v>242</v>
      </c>
      <c r="B17" s="29">
        <v>352690</v>
      </c>
      <c r="C17" s="29">
        <v>435925</v>
      </c>
      <c r="D17" s="29">
        <v>449003</v>
      </c>
      <c r="E17" s="29">
        <v>462473</v>
      </c>
      <c r="F17" s="29">
        <v>476347</v>
      </c>
    </row>
    <row r="18" spans="1:6" x14ac:dyDescent="0.25">
      <c r="A18" s="11" t="s">
        <v>243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1" t="s">
        <v>244</v>
      </c>
      <c r="B19" s="29">
        <v>95738</v>
      </c>
      <c r="C19" s="29">
        <v>118332</v>
      </c>
      <c r="D19" s="29">
        <v>121881</v>
      </c>
      <c r="E19" s="29">
        <v>125538</v>
      </c>
      <c r="F19" s="29">
        <v>129304</v>
      </c>
    </row>
    <row r="20" spans="1:6" x14ac:dyDescent="0.25">
      <c r="A20" s="11" t="s">
        <v>252</v>
      </c>
      <c r="B20" s="29">
        <v>62173</v>
      </c>
      <c r="C20" s="29">
        <v>76846</v>
      </c>
      <c r="D20" s="29">
        <v>79151</v>
      </c>
      <c r="E20" s="29">
        <v>81526</v>
      </c>
      <c r="F20" s="29">
        <v>83971</v>
      </c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1" t="s">
        <v>250</v>
      </c>
      <c r="B22" s="29">
        <v>62173</v>
      </c>
      <c r="C22" s="29">
        <v>76846</v>
      </c>
      <c r="D22" s="29">
        <v>79151</v>
      </c>
      <c r="E22" s="29">
        <v>81526</v>
      </c>
      <c r="F22" s="29">
        <v>83971</v>
      </c>
    </row>
    <row r="23" spans="1:6" x14ac:dyDescent="0.25">
      <c r="A23" s="10" t="s">
        <v>212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8" t="s">
        <v>146</v>
      </c>
      <c r="B25" s="18"/>
      <c r="C25" s="18"/>
      <c r="D25" s="18"/>
      <c r="E25" s="18"/>
      <c r="F25" s="18"/>
    </row>
    <row r="26" spans="1:1" x14ac:dyDescent="0.25">
      <c r="A26" s="37" t="s">
        <v>154</v>
      </c>
    </row>
    <row r="27" spans="1:6" x14ac:dyDescent="0.25">
      <c r="A27" s="11" t="s">
        <v>267</v>
      </c>
      <c r="B27" s="29">
        <v>70000</v>
      </c>
      <c r="C27" s="29">
        <v>144200</v>
      </c>
      <c r="D27" s="29">
        <v>222789</v>
      </c>
      <c r="E27" s="29">
        <v>286841</v>
      </c>
      <c r="F27" s="29">
        <v>315142</v>
      </c>
    </row>
    <row r="28" spans="1:1" x14ac:dyDescent="0.25">
      <c r="A28" s="37" t="s">
        <v>156</v>
      </c>
    </row>
    <row r="29" spans="1:6" x14ac:dyDescent="0.25">
      <c r="A29" s="11" t="s">
        <v>268</v>
      </c>
      <c r="B29" s="29">
        <v>50000</v>
      </c>
      <c r="C29" s="29">
        <v>103000</v>
      </c>
      <c r="D29" s="29">
        <v>159135</v>
      </c>
      <c r="E29" s="29">
        <v>204886</v>
      </c>
      <c r="F29" s="29">
        <v>225102</v>
      </c>
    </row>
    <row r="30" spans="1:1" x14ac:dyDescent="0.25">
      <c r="A30" s="37" t="s">
        <v>148</v>
      </c>
    </row>
    <row r="31" spans="1:6" x14ac:dyDescent="0.25">
      <c r="A31" s="11" t="s">
        <v>269</v>
      </c>
      <c r="B31" s="29">
        <v>180000</v>
      </c>
      <c r="C31" s="29">
        <v>222480</v>
      </c>
      <c r="D31" s="29">
        <v>229154</v>
      </c>
      <c r="E31" s="29">
        <v>236029</v>
      </c>
      <c r="F31" s="29">
        <v>243110</v>
      </c>
    </row>
    <row r="32" spans="1:6" x14ac:dyDescent="0.25">
      <c r="A32" s="11" t="s">
        <v>270</v>
      </c>
      <c r="B32" s="29">
        <v>25000</v>
      </c>
      <c r="C32" s="29">
        <v>30900</v>
      </c>
      <c r="D32" s="29">
        <v>31827</v>
      </c>
      <c r="E32" s="29">
        <v>32782</v>
      </c>
      <c r="F32" s="29">
        <v>33765</v>
      </c>
    </row>
    <row r="33" spans="1:6" x14ac:dyDescent="0.25">
      <c r="A33" s="11" t="s">
        <v>271</v>
      </c>
      <c r="B33" s="29">
        <v>15000</v>
      </c>
      <c r="C33" s="29">
        <v>18540</v>
      </c>
      <c r="D33" s="29">
        <v>19096</v>
      </c>
      <c r="E33" s="29">
        <v>19669</v>
      </c>
      <c r="F33" s="29">
        <v>20259</v>
      </c>
    </row>
    <row r="34" spans="1:6" x14ac:dyDescent="0.25">
      <c r="A34" s="11" t="s">
        <v>272</v>
      </c>
      <c r="B34" s="29">
        <v>15000</v>
      </c>
      <c r="C34" s="29">
        <v>18540</v>
      </c>
      <c r="D34" s="29">
        <v>19096</v>
      </c>
      <c r="E34" s="29">
        <v>19669</v>
      </c>
      <c r="F34" s="29">
        <v>20259</v>
      </c>
    </row>
    <row r="35" spans="1:6" x14ac:dyDescent="0.25">
      <c r="A35" s="10" t="s">
        <v>273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7" t="s">
        <v>158</v>
      </c>
    </row>
    <row r="37" spans="1:6" x14ac:dyDescent="0.25">
      <c r="A37" s="11" t="s">
        <v>274</v>
      </c>
      <c r="B37" s="29">
        <v>20833</v>
      </c>
      <c r="C37" s="29">
        <v>25750</v>
      </c>
      <c r="D37" s="29">
        <v>26523</v>
      </c>
      <c r="E37" s="29">
        <v>27318</v>
      </c>
      <c r="F37" s="29">
        <v>28138</v>
      </c>
    </row>
    <row r="38" spans="1:6" x14ac:dyDescent="0.25">
      <c r="A38" s="11" t="s">
        <v>275</v>
      </c>
      <c r="B38" s="29">
        <v>12500</v>
      </c>
      <c r="C38" s="29">
        <v>15450</v>
      </c>
      <c r="D38" s="29">
        <v>15914</v>
      </c>
      <c r="E38" s="29">
        <v>16391</v>
      </c>
      <c r="F38" s="29">
        <v>16883</v>
      </c>
    </row>
    <row r="39" spans="1:6" x14ac:dyDescent="0.25">
      <c r="A39" s="11" t="s">
        <v>276</v>
      </c>
      <c r="B39" s="29">
        <v>16667</v>
      </c>
      <c r="C39" s="29">
        <v>20600</v>
      </c>
      <c r="D39" s="29">
        <v>21218</v>
      </c>
      <c r="E39" s="29">
        <v>21855</v>
      </c>
      <c r="F39" s="29">
        <v>22510</v>
      </c>
    </row>
    <row r="40" spans="1:6" x14ac:dyDescent="0.25">
      <c r="A40" s="11" t="s">
        <v>277</v>
      </c>
      <c r="B40" s="29">
        <v>80000</v>
      </c>
      <c r="C40" s="29">
        <v>164800</v>
      </c>
      <c r="D40" s="29">
        <v>254616</v>
      </c>
      <c r="E40" s="29">
        <v>327818</v>
      </c>
      <c r="F40" s="29">
        <v>360163</v>
      </c>
    </row>
    <row r="41" spans="1:6" x14ac:dyDescent="0.25">
      <c r="A41" s="11" t="s">
        <v>278</v>
      </c>
      <c r="B41" s="29">
        <v>60000</v>
      </c>
      <c r="C41" s="29">
        <v>123600</v>
      </c>
      <c r="D41" s="29">
        <v>190962</v>
      </c>
      <c r="E41" s="29">
        <v>245864</v>
      </c>
      <c r="F41" s="29">
        <v>270122</v>
      </c>
    </row>
    <row r="42" spans="1:6" x14ac:dyDescent="0.25">
      <c r="A42" s="10" t="s">
        <v>279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10" t="s">
        <v>280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8" t="s">
        <v>281</v>
      </c>
      <c r="B45" s="18"/>
      <c r="C45" s="18"/>
      <c r="D45" s="18"/>
      <c r="E45" s="18"/>
      <c r="F45" s="18"/>
    </row>
    <row r="46" spans="1:6" x14ac:dyDescent="0.25">
      <c r="A46" s="11" t="s">
        <v>282</v>
      </c>
      <c r="B46" s="29">
        <v>49825</v>
      </c>
      <c r="C46" s="29">
        <v>49825</v>
      </c>
      <c r="D46" s="29">
        <v>49825</v>
      </c>
      <c r="E46" s="29">
        <v>49825</v>
      </c>
      <c r="F46" s="29">
        <v>49825</v>
      </c>
    </row>
    <row r="47" spans="1:6" x14ac:dyDescent="0.25">
      <c r="A47" s="11" t="s">
        <v>283</v>
      </c>
      <c r="B47" s="29">
        <v>75000</v>
      </c>
      <c r="C47" s="29">
        <v>25000</v>
      </c>
      <c r="D47" s="29">
        <v>30000</v>
      </c>
      <c r="E47" s="29">
        <v>15000</v>
      </c>
      <c r="F47" s="29">
        <v>10000</v>
      </c>
    </row>
    <row r="48" spans="1:6" x14ac:dyDescent="0.25">
      <c r="A48" s="11" t="s">
        <v>284</v>
      </c>
      <c r="B48" s="29">
        <v>40000</v>
      </c>
      <c r="C48" s="29">
        <v>15000</v>
      </c>
      <c r="D48" s="29">
        <v>10000</v>
      </c>
      <c r="E48" s="29">
        <v>10000</v>
      </c>
      <c r="F48" s="29">
        <v>10000</v>
      </c>
    </row>
    <row r="49" spans="1:6" x14ac:dyDescent="0.25">
      <c r="A49" s="10" t="s">
        <v>285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265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212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288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8" t="s">
        <v>289</v>
      </c>
      <c r="B10" s="18"/>
      <c r="C10" s="18"/>
      <c r="D10" s="18"/>
      <c r="E10" s="18"/>
      <c r="F10" s="18"/>
    </row>
    <row r="11" spans="1:6" x14ac:dyDescent="0.25">
      <c r="A11" s="10" t="s">
        <v>290</v>
      </c>
      <c r="B11" s="31">
        <f>B4-B8</f>
        <v>-447923</v>
      </c>
      <c r="C11" s="31">
        <f>C4-C8</f>
        <v>318346</v>
      </c>
      <c r="D11" s="31">
        <f>D4-D8</f>
        <v>1306619</v>
      </c>
      <c r="E11" s="31">
        <f>E4-E8</f>
        <v>2117494</v>
      </c>
      <c r="F11" s="31">
        <f>F4-F8</f>
        <v>2447131</v>
      </c>
    </row>
    <row r="12" spans="1:6" x14ac:dyDescent="0.25">
      <c r="A12" s="11" t="s">
        <v>291</v>
      </c>
      <c r="B12" s="28">
        <f>IF(B4=0,0,B11/B4)</f>
        <v>-0.34767595</v>
      </c>
      <c r="C12" s="28">
        <f>IF(C4=0,0,C11/C4)</f>
        <v>0.12412616</v>
      </c>
      <c r="D12" s="28">
        <f>IF(D4=0,0,D11/D4)</f>
        <v>0.3355897</v>
      </c>
      <c r="E12" s="28">
        <f>IF(E4=0,0,E11/E4)</f>
        <v>0.42542423</v>
      </c>
      <c r="F12" s="28">
        <f>IF(F4=0,0,F11/F4)</f>
        <v>0.44829778</v>
      </c>
    </row>
    <row r="13" spans="1:6" x14ac:dyDescent="0.25">
      <c r="A13" s="11" t="s">
        <v>292</v>
      </c>
      <c r="B13" s="29">
        <v>-447923</v>
      </c>
      <c r="C13" s="29">
        <v>-129576</v>
      </c>
      <c r="D13" s="29">
        <v>1177043</v>
      </c>
      <c r="E13" s="29">
        <v>3294538</v>
      </c>
      <c r="F13" s="29">
        <v>5741669</v>
      </c>
    </row>
    <row r="14" spans="1:6" x14ac:dyDescent="0.25">
      <c r="A14" s="11" t="s">
        <v>240</v>
      </c>
      <c r="B14" s="29">
        <v>10736</v>
      </c>
      <c r="C14" s="29">
        <v>12824</v>
      </c>
      <c r="D14" s="29">
        <v>12978</v>
      </c>
      <c r="E14" s="29">
        <v>13273</v>
      </c>
      <c r="F14" s="29">
        <v>13647</v>
      </c>
    </row>
    <row r="15" spans="1:6" x14ac:dyDescent="0.25">
      <c r="A15" s="11" t="s">
        <v>293</v>
      </c>
      <c r="B15" s="29">
        <v>14469</v>
      </c>
      <c r="C15" s="29">
        <v>11232</v>
      </c>
      <c r="D15" s="29">
        <v>8623</v>
      </c>
      <c r="E15" s="29">
        <v>7626</v>
      </c>
      <c r="F15" s="29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295</v>
      </c>
      <c r="C2" s="20" t="s">
        <v>296</v>
      </c>
      <c r="D2" s="20" t="s">
        <v>297</v>
      </c>
      <c r="E2" s="20" t="s">
        <v>298</v>
      </c>
      <c r="F2" s="20" t="s">
        <v>299</v>
      </c>
      <c r="G2" s="20" t="s">
        <v>300</v>
      </c>
      <c r="H2" s="20" t="s">
        <v>301</v>
      </c>
      <c r="I2" s="20" t="s">
        <v>302</v>
      </c>
      <c r="J2" s="20" t="s">
        <v>303</v>
      </c>
      <c r="K2" s="20" t="s">
        <v>304</v>
      </c>
      <c r="L2" s="20" t="s">
        <v>305</v>
      </c>
      <c r="M2" s="20" t="s">
        <v>306</v>
      </c>
      <c r="N2" s="20" t="s">
        <v>307</v>
      </c>
    </row>
    <row r="3" ht="24" customHeight="1" spans="1:14" x14ac:dyDescent="0.25">
      <c r="A3" s="18" t="s">
        <v>258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265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8" t="s">
        <v>308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309</v>
      </c>
      <c r="B7" s="29">
        <v>102643</v>
      </c>
      <c r="C7" s="29">
        <v>102643</v>
      </c>
      <c r="D7" s="29">
        <v>102643</v>
      </c>
      <c r="E7" s="29">
        <v>102643</v>
      </c>
      <c r="F7" s="29">
        <v>102643</v>
      </c>
      <c r="G7" s="29">
        <v>102643</v>
      </c>
      <c r="H7" s="29">
        <v>102643</v>
      </c>
      <c r="I7" s="29">
        <v>102643</v>
      </c>
      <c r="J7" s="29">
        <v>102643</v>
      </c>
      <c r="K7" s="29">
        <v>102643</v>
      </c>
      <c r="L7" s="29">
        <v>0</v>
      </c>
      <c r="M7" s="29">
        <v>0</v>
      </c>
      <c r="N7" s="29">
        <f>SUM(B7:M7)</f>
        <v>1026431</v>
      </c>
    </row>
    <row r="8" spans="1:14" x14ac:dyDescent="0.25">
      <c r="A8" s="11" t="s">
        <v>310</v>
      </c>
      <c r="B8" s="29">
        <v>54500</v>
      </c>
      <c r="C8" s="29">
        <v>54500</v>
      </c>
      <c r="D8" s="29">
        <v>54500</v>
      </c>
      <c r="E8" s="29">
        <v>54500</v>
      </c>
      <c r="F8" s="29">
        <v>54500</v>
      </c>
      <c r="G8" s="29">
        <v>54500</v>
      </c>
      <c r="H8" s="29">
        <v>54500</v>
      </c>
      <c r="I8" s="29">
        <v>54500</v>
      </c>
      <c r="J8" s="29">
        <v>54500</v>
      </c>
      <c r="K8" s="29">
        <v>54500</v>
      </c>
      <c r="L8" s="29">
        <v>0</v>
      </c>
      <c r="M8" s="29">
        <v>0</v>
      </c>
      <c r="N8" s="29">
        <f>SUM(B8:M8)</f>
        <v>545000</v>
      </c>
    </row>
    <row r="9" spans="1:14" x14ac:dyDescent="0.25">
      <c r="A9" s="11" t="s">
        <v>311</v>
      </c>
      <c r="B9" s="29">
        <v>13735</v>
      </c>
      <c r="C9" s="29">
        <v>13735</v>
      </c>
      <c r="D9" s="29">
        <v>13735</v>
      </c>
      <c r="E9" s="29">
        <v>13735</v>
      </c>
      <c r="F9" s="29">
        <v>13735</v>
      </c>
      <c r="G9" s="29">
        <v>13735</v>
      </c>
      <c r="H9" s="29">
        <v>13735</v>
      </c>
      <c r="I9" s="29">
        <v>13735</v>
      </c>
      <c r="J9" s="29">
        <v>13735</v>
      </c>
      <c r="K9" s="29">
        <v>13735</v>
      </c>
      <c r="L9" s="29">
        <v>13735</v>
      </c>
      <c r="M9" s="29">
        <v>13735</v>
      </c>
      <c r="N9" s="29">
        <f>SUM(B9:M9)</f>
        <v>164825</v>
      </c>
    </row>
    <row r="11" ht="24" customHeight="1" spans="1:14" x14ac:dyDescent="0.25">
      <c r="A11" s="18" t="s">
        <v>312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288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313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314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1">
        <f>M14</f>
        <v>-190250</v>
      </c>
    </row>
    <row r="16" ht="24" customHeight="1" spans="1:3" x14ac:dyDescent="0.25">
      <c r="A16" s="18" t="s">
        <v>315</v>
      </c>
      <c r="B16" s="18"/>
      <c r="C16" s="18"/>
    </row>
    <row r="17" spans="1:2" x14ac:dyDescent="0.25">
      <c r="A17" s="11" t="s">
        <v>177</v>
      </c>
      <c r="B17" s="22">
        <v>0</v>
      </c>
    </row>
    <row r="18" spans="1:2" x14ac:dyDescent="0.25">
      <c r="A18" s="11" t="s">
        <v>316</v>
      </c>
      <c r="B18" s="38">
        <f>M14</f>
        <v>-190250</v>
      </c>
    </row>
    <row r="19" spans="1:2" x14ac:dyDescent="0.25">
      <c r="A19" s="11" t="s">
        <v>317</v>
      </c>
      <c r="B19" s="29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39" t="s">
        <v>265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8" t="s">
        <v>308</v>
      </c>
      <c r="B7" s="18"/>
      <c r="C7" s="18"/>
      <c r="D7" s="18"/>
      <c r="E7" s="18"/>
      <c r="F7" s="18"/>
    </row>
    <row r="8" spans="1:6" x14ac:dyDescent="0.25">
      <c r="A8" s="10" t="s">
        <v>309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319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288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8" t="s">
        <v>320</v>
      </c>
      <c r="B13" s="18"/>
      <c r="C13" s="18"/>
      <c r="D13" s="18"/>
      <c r="E13" s="18"/>
      <c r="F13" s="18"/>
    </row>
    <row r="14" spans="1:6" x14ac:dyDescent="0.25">
      <c r="A14" s="39" t="s">
        <v>290</v>
      </c>
      <c r="B14" s="31">
        <f>B5-B11</f>
        <v>-447923</v>
      </c>
      <c r="C14" s="31">
        <f>C5-C11</f>
        <v>318346</v>
      </c>
      <c r="D14" s="31">
        <f>D5-D11</f>
        <v>1306619</v>
      </c>
      <c r="E14" s="31">
        <f>E5-E11</f>
        <v>2117494</v>
      </c>
      <c r="F14" s="31">
        <f>F5-F11</f>
        <v>2447131</v>
      </c>
    </row>
    <row r="15" spans="1:6" x14ac:dyDescent="0.25">
      <c r="A15" s="11" t="s">
        <v>291</v>
      </c>
      <c r="B15" s="28">
        <f>IF(B5=0,0,B14/B5)</f>
        <v>-0.34767595</v>
      </c>
      <c r="C15" s="28">
        <f>IF(C5=0,0,C14/C5)</f>
        <v>0.12412616</v>
      </c>
      <c r="D15" s="28">
        <f>IF(D5=0,0,D14/D5)</f>
        <v>0.3355897</v>
      </c>
      <c r="E15" s="28">
        <f>IF(E5=0,0,E14/E5)</f>
        <v>0.42542423</v>
      </c>
      <c r="F15" s="28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321</v>
      </c>
      <c r="B4" s="18"/>
      <c r="C4" s="18"/>
      <c r="D4" s="18"/>
      <c r="E4" s="18"/>
      <c r="F4" s="18"/>
    </row>
    <row r="5" spans="1:5" x14ac:dyDescent="0.25">
      <c r="A5" s="40" t="s">
        <v>322</v>
      </c>
      <c r="B5" s="41" t="s">
        <v>134</v>
      </c>
      <c r="C5" s="42" t="s">
        <v>323</v>
      </c>
      <c r="D5" s="40" t="s">
        <v>324</v>
      </c>
      <c r="E5" s="41" t="s">
        <v>233</v>
      </c>
    </row>
    <row r="6" spans="1:5" x14ac:dyDescent="0.25">
      <c r="A6" s="19" t="s">
        <v>166</v>
      </c>
      <c r="B6" s="22">
        <v>500000</v>
      </c>
      <c r="C6" s="23">
        <v>0.0575</v>
      </c>
      <c r="D6" s="19">
        <v>15</v>
      </c>
      <c r="E6" s="29">
        <f>IF(OR(B6=0,D6=0),0,IF(C6=0,B6/D6,-PMT(C6/12,D6*12,B6)*12))</f>
        <v>49825</v>
      </c>
    </row>
    <row r="8" ht="24" customHeight="1" spans="1:6" x14ac:dyDescent="0.25">
      <c r="A8" s="18" t="s">
        <v>325</v>
      </c>
      <c r="B8" s="18"/>
      <c r="C8" s="18"/>
      <c r="D8" s="18"/>
      <c r="E8" s="18"/>
      <c r="F8" s="18"/>
    </row>
    <row r="9" spans="1:6" x14ac:dyDescent="0.25">
      <c r="A9" s="11" t="s">
        <v>326</v>
      </c>
      <c r="B9" s="29">
        <f>B6</f>
        <v>500000</v>
      </c>
      <c r="C9" s="29">
        <f>B13</f>
        <v>478361</v>
      </c>
      <c r="D9" s="29">
        <f>C13</f>
        <v>455444</v>
      </c>
      <c r="E9" s="29">
        <f>D13</f>
        <v>431175</v>
      </c>
      <c r="F9" s="29">
        <f>E13</f>
        <v>405473</v>
      </c>
    </row>
    <row r="10" spans="1:6" x14ac:dyDescent="0.25">
      <c r="A10" s="11" t="s">
        <v>327</v>
      </c>
      <c r="B10" s="29">
        <f>IF(OR(D6=0,1&gt;D6*12),0,IF(C6=0,0,-CUMIPMT(C6/12,D6*12,B6,1,12,0)))</f>
        <v>28186</v>
      </c>
      <c r="C10" s="29">
        <f>IF(OR(D6=0,13&gt;D6*12),0,IF(C6=0,0,-CUMIPMT(C6/12,D6*12,B6,13,24,0)))</f>
        <v>26908</v>
      </c>
      <c r="D10" s="29">
        <f>IF(OR(D6=0,25&gt;D6*12),0,IF(C6=0,0,-CUMIPMT(C6/12,D6*12,B6,25,36,0)))</f>
        <v>25555</v>
      </c>
      <c r="E10" s="29">
        <f>IF(OR(D6=0,37&gt;D6*12),0,IF(C6=0,0,-CUMIPMT(C6/12,D6*12,B6,37,48,0)))</f>
        <v>24122</v>
      </c>
      <c r="F10" s="29">
        <f>IF(OR(D6=0,49&gt;D6*12),0,IF(C6=0,0,-CUMIPMT(C6/12,D6*12,B6,49,60,0)))</f>
        <v>22605</v>
      </c>
    </row>
    <row r="11" spans="1:6" x14ac:dyDescent="0.25">
      <c r="A11" s="11" t="s">
        <v>328</v>
      </c>
      <c r="B11" s="29">
        <f>IF(OR(D6=0,1&gt;D6*12),0,IF(C6=0,B6/D6,-CUMPRINC(C6/12,D6*12,B6,1,12,0)))</f>
        <v>21639</v>
      </c>
      <c r="C11" s="29">
        <f>IF(OR(D6=0,13&gt;D6*12),0,IF(C6=0,B6/D6,-CUMPRINC(C6/12,D6*12,B6,13,24,0)))</f>
        <v>22917</v>
      </c>
      <c r="D11" s="29">
        <f>IF(OR(D6=0,25&gt;D6*12),0,IF(C6=0,B6/D6,-CUMPRINC(C6/12,D6*12,B6,25,36,0)))</f>
        <v>24270</v>
      </c>
      <c r="E11" s="29">
        <f>IF(OR(D6=0,37&gt;D6*12),0,IF(C6=0,B6/D6,-CUMPRINC(C6/12,D6*12,B6,37,48,0)))</f>
        <v>25702</v>
      </c>
      <c r="F11" s="29">
        <f>IF(OR(D6=0,49&gt;D6*12),0,IF(C6=0,B6/D6,-CUMPRINC(C6/12,D6*12,B6,49,60,0)))</f>
        <v>27220</v>
      </c>
    </row>
    <row r="12" spans="1:6" x14ac:dyDescent="0.25">
      <c r="A12" s="10" t="s">
        <v>329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330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332</v>
      </c>
      <c r="B4" s="18"/>
      <c r="C4" s="18"/>
      <c r="D4" s="18"/>
      <c r="E4" s="18"/>
      <c r="F4" s="18"/>
    </row>
    <row r="5" spans="1:6" x14ac:dyDescent="0.25">
      <c r="A5" s="11" t="s">
        <v>333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335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11" t="s">
        <v>336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337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8" t="s">
        <v>338</v>
      </c>
      <c r="B11" s="18"/>
      <c r="C11" s="18"/>
      <c r="D11" s="18"/>
      <c r="E11" s="18"/>
      <c r="F11" s="18"/>
    </row>
    <row r="12" spans="1:6" x14ac:dyDescent="0.25">
      <c r="A12" s="11" t="s">
        <v>339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340</v>
      </c>
      <c r="B13" s="29">
        <f>'Debt Schedule'!B13</f>
        <v>478361</v>
      </c>
      <c r="C13" s="29">
        <f>'Debt Schedule'!C13</f>
        <v>455444</v>
      </c>
      <c r="D13" s="29">
        <f>'Debt Schedule'!D13</f>
        <v>431175</v>
      </c>
      <c r="E13" s="29">
        <f>'Debt Schedule'!E13</f>
        <v>405473</v>
      </c>
      <c r="F13" s="29">
        <f>'Debt Schedule'!F13</f>
        <v>378253</v>
      </c>
    </row>
    <row r="14" spans="1:6" x14ac:dyDescent="0.25">
      <c r="A14" s="10" t="s">
        <v>341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8" t="s">
        <v>342</v>
      </c>
      <c r="B16" s="18"/>
      <c r="C16" s="18"/>
      <c r="D16" s="18"/>
      <c r="E16" s="18"/>
      <c r="F16" s="18"/>
    </row>
    <row r="17" spans="1:6" x14ac:dyDescent="0.25">
      <c r="A17" s="10" t="s">
        <v>343</v>
      </c>
      <c r="B17" s="31">
        <f>B9-B14</f>
        <v>-668611</v>
      </c>
      <c r="C17" s="31">
        <f>C9-C14</f>
        <v>-327348</v>
      </c>
      <c r="D17" s="31">
        <f>D9-D14</f>
        <v>1003541</v>
      </c>
      <c r="E17" s="31">
        <f>E9-E14</f>
        <v>3146738</v>
      </c>
      <c r="F17" s="31">
        <f>F9-F14</f>
        <v>5621089</v>
      </c>
    </row>
    <row r="19" spans="1:6" x14ac:dyDescent="0.25">
      <c r="A19" s="10" t="s">
        <v>344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346</v>
      </c>
      <c r="B4" s="18"/>
      <c r="C4" s="18"/>
      <c r="D4" s="18"/>
      <c r="E4" s="18"/>
      <c r="F4" s="18"/>
    </row>
    <row r="5" spans="1:6" x14ac:dyDescent="0.25">
      <c r="A5" s="11" t="s">
        <v>347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6" spans="1:6" x14ac:dyDescent="0.25">
      <c r="A6" s="11" t="s">
        <v>309</v>
      </c>
      <c r="B6" s="29">
        <v>1026431</v>
      </c>
      <c r="C6" s="29">
        <v>1268669</v>
      </c>
      <c r="D6" s="29">
        <v>1306729</v>
      </c>
      <c r="E6" s="29">
        <v>1345931</v>
      </c>
      <c r="F6" s="29">
        <v>1386309</v>
      </c>
    </row>
    <row r="7" spans="1:6" x14ac:dyDescent="0.25">
      <c r="A7" s="11" t="s">
        <v>310</v>
      </c>
      <c r="B7" s="29">
        <v>545000</v>
      </c>
      <c r="C7" s="29">
        <v>887860</v>
      </c>
      <c r="D7" s="29">
        <v>1190330</v>
      </c>
      <c r="E7" s="29">
        <v>1439121</v>
      </c>
      <c r="F7" s="29">
        <v>1555453</v>
      </c>
    </row>
    <row r="8" spans="1:6" x14ac:dyDescent="0.25">
      <c r="A8" s="10" t="s">
        <v>348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311</v>
      </c>
      <c r="B9" s="29">
        <v>49825</v>
      </c>
      <c r="C9" s="29">
        <v>49825</v>
      </c>
      <c r="D9" s="29">
        <v>49825</v>
      </c>
      <c r="E9" s="29">
        <v>49825</v>
      </c>
      <c r="F9" s="29">
        <v>49825</v>
      </c>
    </row>
    <row r="10" spans="1:6" x14ac:dyDescent="0.25">
      <c r="A10" s="10" t="s">
        <v>349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8" t="s">
        <v>350</v>
      </c>
      <c r="B12" s="18"/>
      <c r="C12" s="18"/>
      <c r="D12" s="18"/>
      <c r="E12" s="18"/>
      <c r="F12" s="18"/>
    </row>
    <row r="13" spans="1:6" x14ac:dyDescent="0.25">
      <c r="A13" s="11" t="s">
        <v>351</v>
      </c>
      <c r="B13" s="29">
        <v>-190250</v>
      </c>
      <c r="C13" s="29">
        <v>128096</v>
      </c>
      <c r="D13" s="29">
        <v>1434716</v>
      </c>
      <c r="E13" s="29">
        <v>3552210</v>
      </c>
      <c r="F13" s="29">
        <v>5999341</v>
      </c>
    </row>
    <row r="14" spans="1:6" x14ac:dyDescent="0.25">
      <c r="A14" s="11" t="s">
        <v>352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353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198</v>
      </c>
      <c r="B16" s="28">
        <v>0.3</v>
      </c>
      <c r="C16" s="28">
        <v>0.5</v>
      </c>
      <c r="D16" s="28">
        <v>0.75</v>
      </c>
      <c r="E16" s="28">
        <v>0.9375</v>
      </c>
      <c r="F16" s="28">
        <v>1</v>
      </c>
    </row>
    <row r="18" ht="24" customHeight="1" spans="1:6" x14ac:dyDescent="0.25">
      <c r="A18" s="18" t="s">
        <v>354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29">
        <v>10736</v>
      </c>
      <c r="C19" s="29">
        <v>12824</v>
      </c>
      <c r="D19" s="29">
        <v>12978</v>
      </c>
      <c r="E19" s="29">
        <v>13273</v>
      </c>
      <c r="F19" s="29">
        <v>13647</v>
      </c>
    </row>
    <row r="20" spans="1:6" x14ac:dyDescent="0.25">
      <c r="A20" s="11" t="s">
        <v>355</v>
      </c>
      <c r="B20" s="29">
        <v>1076256</v>
      </c>
      <c r="C20" s="29">
        <v>1318494</v>
      </c>
      <c r="D20" s="29">
        <v>1356554</v>
      </c>
      <c r="E20" s="29">
        <v>1395756</v>
      </c>
      <c r="F20" s="29">
        <v>1436134</v>
      </c>
    </row>
    <row r="21" spans="1:6" x14ac:dyDescent="0.25">
      <c r="A21" s="11" t="s">
        <v>356</v>
      </c>
      <c r="B21" s="29">
        <v>4542</v>
      </c>
      <c r="C21" s="29">
        <v>4439</v>
      </c>
      <c r="D21" s="29">
        <v>3968</v>
      </c>
      <c r="E21" s="29">
        <v>3838</v>
      </c>
      <c r="F21" s="29">
        <v>3889</v>
      </c>
    </row>
    <row r="22" spans="1:6" x14ac:dyDescent="0.25">
      <c r="A22" s="10" t="s">
        <v>357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8" t="s">
        <v>358</v>
      </c>
      <c r="B24" s="18"/>
      <c r="C24" s="18"/>
      <c r="D24" s="18"/>
      <c r="E24" s="18"/>
      <c r="F24" s="18"/>
    </row>
    <row r="25" spans="1:6" x14ac:dyDescent="0.25">
      <c r="A25" s="11" t="s">
        <v>359</v>
      </c>
      <c r="B25" s="48" t="s">
        <v>360</v>
      </c>
      <c r="C25" s="49" t="s">
        <v>361</v>
      </c>
      <c r="D25" s="49" t="s">
        <v>361</v>
      </c>
      <c r="E25" s="49" t="s">
        <v>361</v>
      </c>
      <c r="F25" s="49" t="s">
        <v>361</v>
      </c>
    </row>
    <row r="26" spans="1:6" x14ac:dyDescent="0.25">
      <c r="A26" s="11" t="s">
        <v>362</v>
      </c>
      <c r="B26" s="48" t="s">
        <v>360</v>
      </c>
      <c r="C26" s="49" t="s">
        <v>361</v>
      </c>
      <c r="D26" s="49" t="s">
        <v>361</v>
      </c>
      <c r="E26" s="49" t="s">
        <v>361</v>
      </c>
      <c r="F26" s="49" t="s">
        <v>361</v>
      </c>
    </row>
    <row r="27" spans="1:6" x14ac:dyDescent="0.25">
      <c r="A27" s="11" t="s">
        <v>363</v>
      </c>
      <c r="B27" s="48" t="s">
        <v>360</v>
      </c>
      <c r="C27" s="48" t="s">
        <v>360</v>
      </c>
      <c r="D27" s="48" t="s">
        <v>360</v>
      </c>
      <c r="E27" s="48" t="s">
        <v>360</v>
      </c>
      <c r="F27" s="48" t="s">
        <v>360</v>
      </c>
    </row>
    <row r="28" spans="1:6" x14ac:dyDescent="0.25">
      <c r="A28" s="11" t="s">
        <v>364</v>
      </c>
      <c r="B28" s="48" t="s">
        <v>360</v>
      </c>
      <c r="C28" s="48" t="s">
        <v>360</v>
      </c>
      <c r="D28" s="49" t="s">
        <v>361</v>
      </c>
      <c r="E28" s="49" t="s">
        <v>361</v>
      </c>
      <c r="F28" s="49" t="s">
        <v>361</v>
      </c>
    </row>
    <row r="29" spans="1:6" x14ac:dyDescent="0.25">
      <c r="A29" s="11" t="s">
        <v>365</v>
      </c>
      <c r="B29" s="48" t="s">
        <v>360</v>
      </c>
      <c r="C29" s="48" t="s">
        <v>360</v>
      </c>
      <c r="D29" s="49" t="s">
        <v>361</v>
      </c>
      <c r="E29" s="49" t="s">
        <v>361</v>
      </c>
      <c r="F29" s="49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366</v>
      </c>
      <c r="B3" s="50" t="s">
        <v>111</v>
      </c>
      <c r="D3" s="50" t="s">
        <v>367</v>
      </c>
      <c r="E3" s="50" t="s">
        <v>111</v>
      </c>
    </row>
    <row r="4" spans="1:5" x14ac:dyDescent="0.25">
      <c r="A4" s="11" t="s">
        <v>166</v>
      </c>
      <c r="B4" s="29">
        <v>500000</v>
      </c>
      <c r="D4" s="11" t="s">
        <v>368</v>
      </c>
      <c r="E4" s="29">
        <v>400000</v>
      </c>
    </row>
    <row r="5" spans="1:5" x14ac:dyDescent="0.25">
      <c r="A5" s="11" t="s">
        <v>118</v>
      </c>
      <c r="B5" s="29">
        <v>100000</v>
      </c>
      <c r="D5" s="11" t="s">
        <v>369</v>
      </c>
      <c r="E5" s="29">
        <v>75000</v>
      </c>
    </row>
    <row r="6" spans="1:5" x14ac:dyDescent="0.25">
      <c r="A6" s="11" t="s">
        <v>370</v>
      </c>
      <c r="B6" s="29">
        <v>50000</v>
      </c>
      <c r="D6" s="11" t="s">
        <v>371</v>
      </c>
      <c r="E6" s="29">
        <v>40000</v>
      </c>
    </row>
    <row r="7" spans="4:5" x14ac:dyDescent="0.25">
      <c r="D7" s="11" t="s">
        <v>372</v>
      </c>
      <c r="E7" s="29">
        <v>60000</v>
      </c>
    </row>
    <row r="8" spans="4:5" x14ac:dyDescent="0.25">
      <c r="D8" s="11" t="s">
        <v>373</v>
      </c>
      <c r="E8" s="29">
        <v>75000</v>
      </c>
    </row>
    <row r="10" spans="1:5" x14ac:dyDescent="0.25">
      <c r="A10" s="10" t="s">
        <v>374</v>
      </c>
      <c r="B10" s="31">
        <v>650000</v>
      </c>
      <c r="D10" s="10" t="s">
        <v>375</v>
      </c>
      <c r="E10" s="31">
        <v>650000</v>
      </c>
    </row>
    <row r="11" spans="1:2" x14ac:dyDescent="0.25">
      <c r="A11" s="10" t="s">
        <v>376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8" t="s">
        <v>378</v>
      </c>
      <c r="B3" s="18"/>
      <c r="C3" s="18"/>
      <c r="D3" s="18"/>
      <c r="E3" s="18"/>
      <c r="F3" s="18"/>
    </row>
    <row r="4" spans="1:1" x14ac:dyDescent="0.25">
      <c r="A4" s="17" t="s">
        <v>379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347</v>
      </c>
      <c r="B6" s="29">
        <v>1288333</v>
      </c>
      <c r="C6" s="29">
        <v>2564700</v>
      </c>
      <c r="D6" s="29">
        <v>3893503</v>
      </c>
      <c r="E6" s="29">
        <v>4977371</v>
      </c>
      <c r="F6" s="29">
        <v>5458718</v>
      </c>
    </row>
    <row r="7" spans="1:6" x14ac:dyDescent="0.25">
      <c r="A7" s="11" t="s">
        <v>288</v>
      </c>
      <c r="B7" s="29">
        <v>1621256</v>
      </c>
      <c r="C7" s="29">
        <v>2206354</v>
      </c>
      <c r="D7" s="29">
        <v>2546884</v>
      </c>
      <c r="E7" s="29">
        <v>2834877</v>
      </c>
      <c r="F7" s="29">
        <v>2991587</v>
      </c>
    </row>
    <row r="8" spans="1:6" x14ac:dyDescent="0.25">
      <c r="A8" s="10" t="s">
        <v>290</v>
      </c>
      <c r="B8" s="31">
        <v>-332923</v>
      </c>
      <c r="C8" s="31">
        <v>358346</v>
      </c>
      <c r="D8" s="31">
        <v>1346619</v>
      </c>
      <c r="E8" s="31">
        <v>2142494</v>
      </c>
      <c r="F8" s="31">
        <v>2467131</v>
      </c>
    </row>
    <row r="9" spans="1:6" x14ac:dyDescent="0.25">
      <c r="A9" s="11" t="s">
        <v>291</v>
      </c>
      <c r="B9" s="28">
        <v>-0.2584133416981985</v>
      </c>
      <c r="C9" s="28">
        <v>0.1397225288645145</v>
      </c>
      <c r="D9" s="28">
        <v>0.3458632236905482</v>
      </c>
      <c r="E9" s="28">
        <v>0.43044696555461553</v>
      </c>
      <c r="F9" s="28">
        <v>0.4519616461017463</v>
      </c>
    </row>
    <row r="10" spans="1:6" x14ac:dyDescent="0.25">
      <c r="A10" s="11" t="s">
        <v>349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357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8" t="s">
        <v>380</v>
      </c>
      <c r="B13" s="18"/>
      <c r="C13" s="18"/>
      <c r="D13" s="18"/>
      <c r="E13" s="18"/>
      <c r="F13" s="18"/>
    </row>
    <row r="14" spans="1:1" x14ac:dyDescent="0.25">
      <c r="A14" s="17" t="s">
        <v>381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347</v>
      </c>
      <c r="B16" s="29">
        <v>966250</v>
      </c>
      <c r="C16" s="29">
        <v>1923525</v>
      </c>
      <c r="D16" s="29">
        <v>2920127</v>
      </c>
      <c r="E16" s="29">
        <v>3733029</v>
      </c>
      <c r="F16" s="29">
        <v>4094038</v>
      </c>
    </row>
    <row r="17" spans="1:6" x14ac:dyDescent="0.25">
      <c r="A17" s="11" t="s">
        <v>288</v>
      </c>
      <c r="B17" s="29">
        <v>1621256</v>
      </c>
      <c r="C17" s="29">
        <v>2206354</v>
      </c>
      <c r="D17" s="29">
        <v>2546884</v>
      </c>
      <c r="E17" s="29">
        <v>2834877</v>
      </c>
      <c r="F17" s="29">
        <v>2991587</v>
      </c>
    </row>
    <row r="18" spans="1:6" x14ac:dyDescent="0.25">
      <c r="A18" s="10" t="s">
        <v>290</v>
      </c>
      <c r="B18" s="31">
        <v>-655006</v>
      </c>
      <c r="C18" s="31">
        <v>-282829</v>
      </c>
      <c r="D18" s="31">
        <v>373244</v>
      </c>
      <c r="E18" s="31">
        <v>898152</v>
      </c>
      <c r="F18" s="31">
        <v>1102452</v>
      </c>
    </row>
    <row r="19" spans="1:6" x14ac:dyDescent="0.25">
      <c r="A19" s="11" t="s">
        <v>291</v>
      </c>
      <c r="B19" s="28">
        <v>-0.677884455597598</v>
      </c>
      <c r="C19" s="28">
        <v>-0.14703662818064733</v>
      </c>
      <c r="D19" s="28">
        <v>0.12781763158739762</v>
      </c>
      <c r="E19" s="28">
        <v>0.2405959540728207</v>
      </c>
      <c r="F19" s="28">
        <v>0.26928219480232835</v>
      </c>
    </row>
    <row r="20" spans="1:6" x14ac:dyDescent="0.25">
      <c r="A20" s="11" t="s">
        <v>349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357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8" t="s">
        <v>382</v>
      </c>
      <c r="B23" s="18"/>
      <c r="C23" s="18"/>
      <c r="D23" s="18"/>
      <c r="E23" s="18"/>
      <c r="F23" s="18"/>
    </row>
    <row r="24" spans="1:1" x14ac:dyDescent="0.25">
      <c r="A24" s="17" t="s">
        <v>383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347</v>
      </c>
      <c r="B26" s="29">
        <v>1223917</v>
      </c>
      <c r="C26" s="29">
        <v>2436465</v>
      </c>
      <c r="D26" s="29">
        <v>3698828</v>
      </c>
      <c r="E26" s="29">
        <v>4728503</v>
      </c>
      <c r="F26" s="29">
        <v>5185782</v>
      </c>
    </row>
    <row r="27" spans="1:6" x14ac:dyDescent="0.25">
      <c r="A27" s="11" t="s">
        <v>288</v>
      </c>
      <c r="B27" s="29">
        <v>1621256</v>
      </c>
      <c r="C27" s="29">
        <v>2206354</v>
      </c>
      <c r="D27" s="29">
        <v>2546884</v>
      </c>
      <c r="E27" s="29">
        <v>2834877</v>
      </c>
      <c r="F27" s="29">
        <v>2991587</v>
      </c>
    </row>
    <row r="28" spans="1:6" x14ac:dyDescent="0.25">
      <c r="A28" s="10" t="s">
        <v>290</v>
      </c>
      <c r="B28" s="31">
        <v>-397339</v>
      </c>
      <c r="C28" s="31">
        <v>230111</v>
      </c>
      <c r="D28" s="31">
        <v>1151944</v>
      </c>
      <c r="E28" s="31">
        <v>1893626</v>
      </c>
      <c r="F28" s="31">
        <v>2194195</v>
      </c>
    </row>
    <row r="29" spans="1:6" x14ac:dyDescent="0.25">
      <c r="A29" s="11" t="s">
        <v>291</v>
      </c>
      <c r="B29" s="28">
        <v>-0.3246456228402091</v>
      </c>
      <c r="C29" s="28">
        <v>0.09444476722580472</v>
      </c>
      <c r="D29" s="28">
        <v>0.31143497230584016</v>
      </c>
      <c r="E29" s="28">
        <v>0.40047049005748997</v>
      </c>
      <c r="F29" s="28">
        <v>0.4231175222123644</v>
      </c>
    </row>
    <row r="30" spans="1:6" x14ac:dyDescent="0.25">
      <c r="A30" s="11" t="s">
        <v>349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357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8" t="s">
        <v>384</v>
      </c>
      <c r="B33" s="18"/>
      <c r="C33" s="18"/>
      <c r="D33" s="18"/>
      <c r="E33" s="18"/>
      <c r="F33" s="18"/>
    </row>
    <row r="34" spans="1:1" x14ac:dyDescent="0.25">
      <c r="A34" s="17" t="s">
        <v>385</v>
      </c>
    </row>
    <row r="35" ht="28" customHeight="1" spans="1:6" x14ac:dyDescent="0.25">
      <c r="A35" s="20" t="s">
        <v>7</v>
      </c>
      <c r="B35" s="20" t="s">
        <v>101</v>
      </c>
      <c r="C35" s="20" t="s">
        <v>102</v>
      </c>
      <c r="D35" s="20" t="s">
        <v>103</v>
      </c>
      <c r="E35" s="20" t="s">
        <v>104</v>
      </c>
      <c r="F35" s="20" t="s">
        <v>105</v>
      </c>
    </row>
    <row r="36" spans="1:6" x14ac:dyDescent="0.25">
      <c r="A36" s="11" t="s">
        <v>347</v>
      </c>
      <c r="B36" s="29">
        <v>1288333</v>
      </c>
      <c r="C36" s="29">
        <v>2564700</v>
      </c>
      <c r="D36" s="29">
        <v>3893503</v>
      </c>
      <c r="E36" s="29">
        <v>4977371</v>
      </c>
      <c r="F36" s="29">
        <v>5458718</v>
      </c>
    </row>
    <row r="37" spans="1:6" x14ac:dyDescent="0.25">
      <c r="A37" s="11" t="s">
        <v>288</v>
      </c>
      <c r="B37" s="29">
        <v>1667756</v>
      </c>
      <c r="C37" s="29">
        <v>2295964</v>
      </c>
      <c r="D37" s="29">
        <v>2680557</v>
      </c>
      <c r="E37" s="29">
        <v>3004523</v>
      </c>
      <c r="F37" s="29">
        <v>3177296</v>
      </c>
    </row>
    <row r="38" spans="1:6" x14ac:dyDescent="0.25">
      <c r="A38" s="10" t="s">
        <v>290</v>
      </c>
      <c r="B38" s="31">
        <v>-379423</v>
      </c>
      <c r="C38" s="31">
        <v>268736</v>
      </c>
      <c r="D38" s="31">
        <v>1212946</v>
      </c>
      <c r="E38" s="31">
        <v>1972849</v>
      </c>
      <c r="F38" s="31">
        <v>2281422</v>
      </c>
    </row>
    <row r="39" spans="1:6" x14ac:dyDescent="0.25">
      <c r="A39" s="11" t="s">
        <v>291</v>
      </c>
      <c r="B39" s="28">
        <v>-0.2945064852945763</v>
      </c>
      <c r="C39" s="28">
        <v>0.10478276982836991</v>
      </c>
      <c r="D39" s="28">
        <v>0.31153079862242844</v>
      </c>
      <c r="E39" s="28">
        <v>0.3963635407467121</v>
      </c>
      <c r="F39" s="28">
        <v>0.4179410275450453</v>
      </c>
    </row>
    <row r="40" spans="1:6" x14ac:dyDescent="0.25">
      <c r="A40" s="11" t="s">
        <v>349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357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8" t="s">
        <v>389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347</v>
      </c>
      <c r="D13" s="29">
        <v>1288333</v>
      </c>
      <c r="E13" s="29">
        <v>2564700</v>
      </c>
      <c r="F13" s="29">
        <v>3893503</v>
      </c>
      <c r="G13" s="29">
        <v>4977371</v>
      </c>
      <c r="H13" s="29">
        <v>5458718</v>
      </c>
    </row>
    <row r="14" spans="1:8" x14ac:dyDescent="0.25">
      <c r="A14" s="11" t="s">
        <v>288</v>
      </c>
      <c r="D14" s="29">
        <v>1621256</v>
      </c>
      <c r="E14" s="29">
        <v>2206354</v>
      </c>
      <c r="F14" s="29">
        <v>2546884</v>
      </c>
      <c r="G14" s="29">
        <v>2834877</v>
      </c>
      <c r="H14" s="29">
        <v>2991587</v>
      </c>
    </row>
    <row r="15" spans="1:8" x14ac:dyDescent="0.25">
      <c r="A15" s="11" t="s">
        <v>290</v>
      </c>
      <c r="D15" s="29">
        <v>-447923</v>
      </c>
      <c r="E15" s="29">
        <v>318346</v>
      </c>
      <c r="F15" s="29">
        <v>1306619</v>
      </c>
      <c r="G15" s="29">
        <v>2117494</v>
      </c>
      <c r="H15" s="29">
        <v>2447131</v>
      </c>
    </row>
    <row r="16" spans="1:8" x14ac:dyDescent="0.25">
      <c r="A16" s="11" t="s">
        <v>390</v>
      </c>
      <c r="D16" s="29">
        <v>-190250</v>
      </c>
      <c r="E16" s="29">
        <v>128096</v>
      </c>
      <c r="F16" s="29">
        <v>1434716</v>
      </c>
      <c r="G16" s="29">
        <v>3552210</v>
      </c>
      <c r="H16" s="29">
        <v>5999341</v>
      </c>
    </row>
    <row r="17" spans="1:8" x14ac:dyDescent="0.25">
      <c r="A17" s="11" t="s">
        <v>391</v>
      </c>
      <c r="D17" s="29">
        <v>478361</v>
      </c>
      <c r="E17" s="29">
        <v>455444</v>
      </c>
      <c r="F17" s="29">
        <v>431175</v>
      </c>
      <c r="G17" s="29">
        <v>405473</v>
      </c>
      <c r="H17" s="29">
        <v>378253</v>
      </c>
    </row>
    <row r="19" ht="24" customHeight="1" spans="1:8" x14ac:dyDescent="0.25">
      <c r="A19" s="18" t="s">
        <v>392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393</v>
      </c>
      <c r="D21" s="28">
        <v>-0.34767595489354136</v>
      </c>
      <c r="E21" s="28">
        <v>0.12412616281780338</v>
      </c>
      <c r="F21" s="28">
        <v>0.33558969879535744</v>
      </c>
      <c r="G21" s="28">
        <v>0.42542423416409325</v>
      </c>
      <c r="H21" s="28">
        <v>0.44829778198663</v>
      </c>
    </row>
    <row r="22" spans="1:8" x14ac:dyDescent="0.25">
      <c r="A22" s="11" t="s">
        <v>349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198</v>
      </c>
      <c r="D23" s="28">
        <v>0.3</v>
      </c>
      <c r="E23" s="28">
        <v>0.5</v>
      </c>
      <c r="F23" s="28">
        <v>0.75</v>
      </c>
      <c r="G23" s="28">
        <v>0.9375</v>
      </c>
      <c r="H23" s="28">
        <v>1</v>
      </c>
    </row>
    <row r="24" spans="1:8" x14ac:dyDescent="0.25">
      <c r="A24" s="11" t="s">
        <v>394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3" t="s">
        <v>397</v>
      </c>
      <c r="C3" s="53"/>
      <c r="D3" s="53"/>
      <c r="E3" s="53"/>
      <c r="F3" s="53"/>
      <c r="G3" s="53"/>
    </row>
    <row r="5" ht="24" customHeight="1" spans="2:7" x14ac:dyDescent="0.25">
      <c r="B5" s="18" t="s">
        <v>398</v>
      </c>
      <c r="C5" s="54" t="s">
        <v>399</v>
      </c>
      <c r="D5" s="54" t="s">
        <v>400</v>
      </c>
      <c r="E5" s="54" t="s">
        <v>401</v>
      </c>
      <c r="F5" s="54" t="s">
        <v>402</v>
      </c>
      <c r="G5" s="54" t="s">
        <v>403</v>
      </c>
    </row>
    <row r="6" spans="2:7" x14ac:dyDescent="0.25">
      <c r="B6" s="11" t="s">
        <v>394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347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309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310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311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404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351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393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240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405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406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407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349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408</v>
      </c>
      <c r="C19" s="63" t="s">
        <v>400</v>
      </c>
      <c r="D19" s="63"/>
      <c r="E19" s="63"/>
      <c r="F19" s="63"/>
      <c r="G19" s="63"/>
    </row>
    <row r="20" spans="2:7" x14ac:dyDescent="0.25">
      <c r="B20" s="10" t="s">
        <v>409</v>
      </c>
      <c r="C20" s="64" t="s">
        <v>410</v>
      </c>
      <c r="D20" s="64"/>
      <c r="E20" s="64"/>
      <c r="F20" s="64"/>
      <c r="G20" s="64"/>
    </row>
    <row r="22" ht="24" customHeight="1" spans="2:7" x14ac:dyDescent="0.25">
      <c r="B22" s="18" t="s">
        <v>411</v>
      </c>
      <c r="C22" s="18" t="s">
        <v>412</v>
      </c>
      <c r="D22" s="18" t="s">
        <v>413</v>
      </c>
      <c r="E22" s="18"/>
      <c r="F22" s="18" t="s">
        <v>414</v>
      </c>
      <c r="G22" s="18"/>
    </row>
    <row r="23" ht="45" customHeight="1" spans="2:7" x14ac:dyDescent="0.25">
      <c r="B23" s="40" t="s">
        <v>415</v>
      </c>
      <c r="C23" s="65" t="s">
        <v>416</v>
      </c>
      <c r="D23" s="66" t="s">
        <v>417</v>
      </c>
      <c r="E23" s="66"/>
      <c r="F23" s="67" t="s">
        <v>418</v>
      </c>
      <c r="G23" s="67"/>
    </row>
    <row r="24" ht="45" customHeight="1" spans="2:7" x14ac:dyDescent="0.25">
      <c r="B24" s="40" t="s">
        <v>419</v>
      </c>
      <c r="C24" s="68" t="s">
        <v>420</v>
      </c>
      <c r="D24" s="66" t="s">
        <v>421</v>
      </c>
      <c r="E24" s="66"/>
      <c r="F24" s="67" t="s">
        <v>422</v>
      </c>
      <c r="G24" s="67"/>
    </row>
    <row r="25" ht="45" customHeight="1" spans="2:7" x14ac:dyDescent="0.25">
      <c r="B25" s="40" t="s">
        <v>423</v>
      </c>
      <c r="C25" s="65" t="s">
        <v>416</v>
      </c>
      <c r="D25" s="66" t="s">
        <v>424</v>
      </c>
      <c r="E25" s="66"/>
      <c r="F25" s="67" t="s">
        <v>425</v>
      </c>
      <c r="G25" s="67"/>
    </row>
    <row r="26" ht="45" customHeight="1" spans="2:7" x14ac:dyDescent="0.25">
      <c r="B26" s="40" t="s">
        <v>426</v>
      </c>
      <c r="C26" s="65" t="s">
        <v>416</v>
      </c>
      <c r="D26" s="66" t="s">
        <v>427</v>
      </c>
      <c r="E26" s="66"/>
      <c r="F26" s="67" t="s">
        <v>428</v>
      </c>
      <c r="G26" s="67"/>
    </row>
    <row r="27" ht="45" customHeight="1" spans="2:7" x14ac:dyDescent="0.25">
      <c r="B27" s="40" t="s">
        <v>429</v>
      </c>
      <c r="C27" s="65" t="s">
        <v>416</v>
      </c>
      <c r="D27" s="66" t="s">
        <v>430</v>
      </c>
      <c r="E27" s="66"/>
      <c r="F27" s="67" t="s">
        <v>431</v>
      </c>
      <c r="G27" s="67"/>
    </row>
    <row r="28" ht="45" customHeight="1" spans="2:7" x14ac:dyDescent="0.25">
      <c r="B28" s="40" t="s">
        <v>432</v>
      </c>
      <c r="C28" s="65" t="s">
        <v>416</v>
      </c>
      <c r="D28" s="66" t="s">
        <v>433</v>
      </c>
      <c r="E28" s="66"/>
      <c r="F28" s="67" t="s">
        <v>434</v>
      </c>
      <c r="G28" s="67"/>
    </row>
    <row r="29" ht="45" customHeight="1" spans="2:7" x14ac:dyDescent="0.25">
      <c r="B29" s="40" t="s">
        <v>435</v>
      </c>
      <c r="C29" s="65" t="s">
        <v>416</v>
      </c>
      <c r="D29" s="66" t="s">
        <v>436</v>
      </c>
      <c r="E29" s="66"/>
      <c r="F29" s="67" t="s">
        <v>437</v>
      </c>
      <c r="G29" s="67"/>
    </row>
    <row r="31" spans="2:5" x14ac:dyDescent="0.25">
      <c r="B31" s="40" t="s">
        <v>438</v>
      </c>
      <c r="C31" s="10" t="s">
        <v>439</v>
      </c>
      <c r="D31" s="10"/>
      <c r="E31" s="10"/>
    </row>
    <row r="33" spans="2:7" x14ac:dyDescent="0.25">
      <c r="B33" s="69" t="s">
        <v>440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