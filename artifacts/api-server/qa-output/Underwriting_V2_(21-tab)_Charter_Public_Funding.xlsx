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Instructions" state="visible" r:id="rId5"/>
    <sheet sheetId="3" name="Assumptions" state="visible" r:id="rId6"/>
    <sheet sheetId="4" name="Program Profile" state="visible" r:id="rId7"/>
    <sheet sheetId="5" name="Enrollment Drivers" state="visible" r:id="rId8"/>
    <sheet sheetId="6" name="Tuition &amp; Funding" state="visible" r:id="rId9"/>
    <sheet sheetId="7" name="Staffing Drivers" state="visible" r:id="rId10"/>
    <sheet sheetId="8" name="OpEx Drivers" state="visible" r:id="rId11"/>
    <sheet sheetId="9" name="Capital Stack" state="visible" r:id="rId12"/>
    <sheet sheetId="10" name="Enrollment Tuition Fcst" state="visible" r:id="rId13"/>
    <sheet sheetId="11" name="Staffing Costs Fcst" state="visible" r:id="rId14"/>
    <sheet sheetId="12" name="Budget Detail" state="visible" r:id="rId15"/>
    <sheet sheetId="13" name="Budget Summary" state="visible" r:id="rId16"/>
    <sheet sheetId="14" name="Monthly Cash Flow Y1" state="visible" r:id="rId17"/>
    <sheet sheetId="15" name="5-Year Operating Stmt" state="visible" r:id="rId18"/>
    <sheet sheetId="16" name="Debt Schedule" state="visible" r:id="rId19"/>
    <sheet sheetId="17" name="Balance Sheet" state="visible" r:id="rId20"/>
    <sheet sheetId="18" name="DSCR &amp; Covenants" state="visible" r:id="rId21"/>
    <sheet sheetId="19" name="Sources &amp; Uses" state="visible" r:id="rId22"/>
    <sheet sheetId="20" name="Scenarios" state="visible" r:id="rId23"/>
    <sheet sheetId="21" name="Underwriting Snapshot" state="visible" r:id="rId24"/>
  </sheets>
  <calcPr calcId="171027"/>
</workbook>
</file>

<file path=xl/sharedStrings.xml><?xml version="1.0" encoding="utf-8"?>
<sst xmlns="http://schemas.openxmlformats.org/spreadsheetml/2006/main" count="727" uniqueCount="379">
  <si>
    <t>SchoolStack Budget</t>
  </si>
  <si>
    <t>5-Year Financial Model &amp; Underwriting Workbook</t>
  </si>
  <si>
    <t>School Name</t>
  </si>
  <si>
    <t>Civic Scholars Charter</t>
  </si>
  <si>
    <t>School Type</t>
  </si>
  <si>
    <t>Charter School</t>
  </si>
  <si>
    <t>Entity Type</t>
  </si>
  <si>
    <t>501(c)(3) Nonprofit</t>
  </si>
  <si>
    <t>State</t>
  </si>
  <si>
    <t>OH</t>
  </si>
  <si>
    <t>Fiscal Year Start</t>
  </si>
  <si>
    <t>Month 7</t>
  </si>
  <si>
    <t>Model Date</t>
  </si>
  <si>
    <t>March 17, 2026</t>
  </si>
  <si>
    <t>Stage</t>
  </si>
  <si>
    <t>Startup / Pre-Opening</t>
  </si>
  <si>
    <t>Funding Profile</t>
  </si>
  <si>
    <t>Public Funded (Charter)</t>
  </si>
  <si>
    <t>Table of Contents</t>
  </si>
  <si>
    <t>1.</t>
  </si>
  <si>
    <t>Cover</t>
  </si>
  <si>
    <t>2.</t>
  </si>
  <si>
    <t>Instructions</t>
  </si>
  <si>
    <t>3.</t>
  </si>
  <si>
    <t>Assumptions</t>
  </si>
  <si>
    <t>4.</t>
  </si>
  <si>
    <t>Program Profile</t>
  </si>
  <si>
    <t>5.</t>
  </si>
  <si>
    <t>Enrollment Drivers</t>
  </si>
  <si>
    <t>6.</t>
  </si>
  <si>
    <t>Tuition &amp; Funding</t>
  </si>
  <si>
    <t>7.</t>
  </si>
  <si>
    <t>Staffing Drivers</t>
  </si>
  <si>
    <t>8.</t>
  </si>
  <si>
    <t>OpEx Drivers</t>
  </si>
  <si>
    <t>9.</t>
  </si>
  <si>
    <t>Capital Stack</t>
  </si>
  <si>
    <t>10.</t>
  </si>
  <si>
    <t>Enrollment Tuition Fcst</t>
  </si>
  <si>
    <t>11.</t>
  </si>
  <si>
    <t>Staffing Costs Fcst</t>
  </si>
  <si>
    <t>12.</t>
  </si>
  <si>
    <t>Budget Detail</t>
  </si>
  <si>
    <t>13.</t>
  </si>
  <si>
    <t>Budget Summary</t>
  </si>
  <si>
    <t>14.</t>
  </si>
  <si>
    <t>Monthly Cash Flow Y1</t>
  </si>
  <si>
    <t>15.</t>
  </si>
  <si>
    <t>5-Year Operating Stmt</t>
  </si>
  <si>
    <t>16.</t>
  </si>
  <si>
    <t>Debt Schedule</t>
  </si>
  <si>
    <t>17.</t>
  </si>
  <si>
    <t>Balance Sheet</t>
  </si>
  <si>
    <t>18.</t>
  </si>
  <si>
    <t>DSCR &amp; Covenants</t>
  </si>
  <si>
    <t>19.</t>
  </si>
  <si>
    <t>Sources &amp; Uses</t>
  </si>
  <si>
    <t>20.</t>
  </si>
  <si>
    <t>Scenarios</t>
  </si>
  <si>
    <t>21.</t>
  </si>
  <si>
    <t>Underwriting Snapshot</t>
  </si>
  <si>
    <t>CONFIDENTIAL - Prepared by SchoolStack Budget (budget.schoolstack.ai)</t>
  </si>
  <si>
    <t>How to Use This Workbook</t>
  </si>
  <si>
    <t>Color Legend</t>
  </si>
  <si>
    <t>Yellow cells are editable inputs - change these to update your model.</t>
  </si>
  <si>
    <t>Gray cells contain formulas - do not edit.</t>
  </si>
  <si>
    <t>Green cells are key outputs and summary metrics.</t>
  </si>
  <si>
    <t/>
  </si>
  <si>
    <t>Navigation</t>
  </si>
  <si>
    <t>The Assumptions tab is the central control panel - all other tabs reference it.</t>
  </si>
  <si>
    <t>Structure</t>
  </si>
  <si>
    <t>Tabs 5-9: Drivers &amp; inputs</t>
  </si>
  <si>
    <t>Tabs 10-13: Forecasts &amp; budgets</t>
  </si>
  <si>
    <t>Tabs 14-17: Financial statements</t>
  </si>
  <si>
    <t>Tabs 18-21: Analysis &amp; underwriting</t>
  </si>
  <si>
    <t>Tips</t>
  </si>
  <si>
    <t>Review the Budget Summary for a high-level view.</t>
  </si>
  <si>
    <t>Check DSCR &amp; Covenants for lender readiness.</t>
  </si>
  <si>
    <t>The Underwriting Snapshot provides a one-page summary.</t>
  </si>
  <si>
    <t>Disclaimer</t>
  </si>
  <si>
    <t>a loan commitment, or a guarantee of funding. All projections are based on</t>
  </si>
  <si>
    <t>user-provided assumptions and should be independently verified.</t>
  </si>
  <si>
    <t>Civic Scholars Charter - Assumptions</t>
  </si>
  <si>
    <t>Yellow cells are editable inputs. All other cells are formulas.</t>
  </si>
  <si>
    <t>SCHOOL PROFILE</t>
  </si>
  <si>
    <t>EIN</t>
  </si>
  <si>
    <t>31-5551234</t>
  </si>
  <si>
    <t>Fiscal Year Start Month</t>
  </si>
  <si>
    <t>Max Capacity</t>
  </si>
  <si>
    <t>ENROLLMENT</t>
  </si>
  <si>
    <t>2026-27</t>
  </si>
  <si>
    <t>2027-28</t>
  </si>
  <si>
    <t>2028-29</t>
  </si>
  <si>
    <t>2029-30</t>
  </si>
  <si>
    <t>2030-31</t>
  </si>
  <si>
    <t>Total Students</t>
  </si>
  <si>
    <t>REVENUE DRIVERS</t>
  </si>
  <si>
    <t>Line Item</t>
  </si>
  <si>
    <t>Category</t>
  </si>
  <si>
    <t>Driver</t>
  </si>
  <si>
    <t>Amount</t>
  </si>
  <si>
    <t>Escalation %</t>
  </si>
  <si>
    <t>State Per-Pupil Funding</t>
  </si>
  <si>
    <t>Public Funding</t>
  </si>
  <si>
    <t>Per Student</t>
  </si>
  <si>
    <t>Federal Title I</t>
  </si>
  <si>
    <t>Special Education Funding</t>
  </si>
  <si>
    <t>CSP Startup Grant</t>
  </si>
  <si>
    <t>Philanthropy</t>
  </si>
  <si>
    <t>Annual Fixed</t>
  </si>
  <si>
    <t>Annual Fundraising</t>
  </si>
  <si>
    <t>Food Service Revenue</t>
  </si>
  <si>
    <t>Other Revenue</t>
  </si>
  <si>
    <t>STAFFING</t>
  </si>
  <si>
    <t>Role</t>
  </si>
  <si>
    <t>Type</t>
  </si>
  <si>
    <t>FTE</t>
  </si>
  <si>
    <t>Rate</t>
  </si>
  <si>
    <t>Benefits %</t>
  </si>
  <si>
    <t>Tax %</t>
  </si>
  <si>
    <t>Executive Director</t>
  </si>
  <si>
    <t>School Leadership</t>
  </si>
  <si>
    <t>full_time</t>
  </si>
  <si>
    <t>Principal</t>
  </si>
  <si>
    <t>Dean of Students</t>
  </si>
  <si>
    <t>Core Teachers</t>
  </si>
  <si>
    <t>Instructional</t>
  </si>
  <si>
    <t>Special Education Teacher</t>
  </si>
  <si>
    <t>Instructional Aides</t>
  </si>
  <si>
    <t>Operations Manager</t>
  </si>
  <si>
    <t>Operations</t>
  </si>
  <si>
    <t>Office Staff</t>
  </si>
  <si>
    <t>Administrative</t>
  </si>
  <si>
    <t>School Counselor</t>
  </si>
  <si>
    <t>Student Support</t>
  </si>
  <si>
    <t>OPERATING EXPENSES</t>
  </si>
  <si>
    <t>Facility Lease</t>
  </si>
  <si>
    <t>Occupancy / Facility</t>
  </si>
  <si>
    <t>Monthly</t>
  </si>
  <si>
    <t>Utilities</t>
  </si>
  <si>
    <t>Insurance</t>
  </si>
  <si>
    <t>Janitorial</t>
  </si>
  <si>
    <t>Curriculum &amp; Textbooks</t>
  </si>
  <si>
    <t>Instructional / Program</t>
  </si>
  <si>
    <t>Technology &amp; Devices</t>
  </si>
  <si>
    <t>Technology</t>
  </si>
  <si>
    <t>Marketing &amp; Recruitment</t>
  </si>
  <si>
    <t>Administrative / General</t>
  </si>
  <si>
    <t>Professional Development</t>
  </si>
  <si>
    <t>Legal &amp; Compliance</t>
  </si>
  <si>
    <t>Food Service</t>
  </si>
  <si>
    <t>Transportation</t>
  </si>
  <si>
    <t>CAPITAL &amp; DEBT</t>
  </si>
  <si>
    <t>Instrument</t>
  </si>
  <si>
    <t>Term (Yrs)</t>
  </si>
  <si>
    <t>Facility Improvement Loan</t>
  </si>
  <si>
    <t>Loan</t>
  </si>
  <si>
    <t>FF&amp;E Purchase</t>
  </si>
  <si>
    <t>Capital</t>
  </si>
  <si>
    <t>Technology Infrastructure</t>
  </si>
  <si>
    <t>GROWTH &amp; TIMING</t>
  </si>
  <si>
    <t>Salary Escalation Rate</t>
  </si>
  <si>
    <t>Derived from tuition escalation rate</t>
  </si>
  <si>
    <t>Cost Inflation Rate</t>
  </si>
  <si>
    <t>Year 1 Proration Factor</t>
  </si>
  <si>
    <t>Starting Cash</t>
  </si>
  <si>
    <t>Debt Included</t>
  </si>
  <si>
    <t>Yes</t>
  </si>
  <si>
    <t>School Model</t>
  </si>
  <si>
    <t>charter</t>
  </si>
  <si>
    <t>Financial Label Convention</t>
  </si>
  <si>
    <t>Nonprofit (Change in Net Assets / Net Assets)</t>
  </si>
  <si>
    <t>Funding Mix</t>
  </si>
  <si>
    <t>7</t>
  </si>
  <si>
    <t>Year 1 Operating Months</t>
  </si>
  <si>
    <t>10</t>
  </si>
  <si>
    <t>Proration Factor</t>
  </si>
  <si>
    <t>83.3%</t>
  </si>
  <si>
    <t>400</t>
  </si>
  <si>
    <t>Accredited</t>
  </si>
  <si>
    <t>No</t>
  </si>
  <si>
    <t>Location</t>
  </si>
  <si>
    <t>789 Elm Blvd, Columbus, OH 43215</t>
  </si>
  <si>
    <t>Facility</t>
  </si>
  <si>
    <t>Leased</t>
  </si>
  <si>
    <t>TOTAL ENROLLMENT</t>
  </si>
  <si>
    <t>Capacity Utilization</t>
  </si>
  <si>
    <t>Enrollment Growth Rate</t>
  </si>
  <si>
    <t>-</t>
  </si>
  <si>
    <t>Tuition &amp; Funding Drivers</t>
  </si>
  <si>
    <t>REVENUE BY LINE ITEM</t>
  </si>
  <si>
    <t>State Per-Pupil Funding (Public Funding)</t>
  </si>
  <si>
    <t>Federal Title I (Public Funding)</t>
  </si>
  <si>
    <t>Special Education Funding (Public Funding)</t>
  </si>
  <si>
    <t>CSP Startup Grant (Philanthropy)</t>
  </si>
  <si>
    <t>Annual Fundraising (Philanthropy)</t>
  </si>
  <si>
    <t>Food Service Revenue (Other Revenue)</t>
  </si>
  <si>
    <t>TOTAL REVENUE</t>
  </si>
  <si>
    <t>Base Rate</t>
  </si>
  <si>
    <t>Loaded Cost</t>
  </si>
  <si>
    <t>5-YEAR TOTAL PERSONNEL COST</t>
  </si>
  <si>
    <t>Total Personnel</t>
  </si>
  <si>
    <t>Personnel as % of Revenue</t>
  </si>
  <si>
    <t>Students per FTE</t>
  </si>
  <si>
    <t>Operating Expense Drivers</t>
  </si>
  <si>
    <t xml:space="preserve">  Curriculum &amp; Textbooks</t>
  </si>
  <si>
    <t>Total Instructional / Program</t>
  </si>
  <si>
    <t xml:space="preserve">  Technology &amp; Devices</t>
  </si>
  <si>
    <t>Total Technology</t>
  </si>
  <si>
    <t xml:space="preserve">  Facility Lease</t>
  </si>
  <si>
    <t xml:space="preserve">  Utilities</t>
  </si>
  <si>
    <t xml:space="preserve">  Insurance</t>
  </si>
  <si>
    <t xml:space="preserve">  Janitorial</t>
  </si>
  <si>
    <t>Total Occupancy / Facility</t>
  </si>
  <si>
    <t xml:space="preserve">  Marketing &amp; Recruitment</t>
  </si>
  <si>
    <t xml:space="preserve">  Professional Development</t>
  </si>
  <si>
    <t xml:space="preserve">  Legal &amp; Compliance</t>
  </si>
  <si>
    <t xml:space="preserve">  Food Service</t>
  </si>
  <si>
    <t xml:space="preserve">  Transportation</t>
  </si>
  <si>
    <t>Total Administrative / General</t>
  </si>
  <si>
    <t>TOTAL OPERATING EXPENSES</t>
  </si>
  <si>
    <t>Capital Stack &amp; Loan Terms</t>
  </si>
  <si>
    <t>Annual Payment</t>
  </si>
  <si>
    <t>Capital Expense</t>
  </si>
  <si>
    <t>Total Annual Debt Service</t>
  </si>
  <si>
    <t>Total Loan Principal</t>
  </si>
  <si>
    <t>Enrollment &amp; Tuition Forecast</t>
  </si>
  <si>
    <t>REVENUE FORECAST</t>
  </si>
  <si>
    <t>Revenue per Student</t>
  </si>
  <si>
    <t>Staffing Costs Forecast</t>
  </si>
  <si>
    <t xml:space="preserve">  Core Teachers</t>
  </si>
  <si>
    <t xml:space="preserve">  Special Education Teacher</t>
  </si>
  <si>
    <t xml:space="preserve">  Instructional Aides</t>
  </si>
  <si>
    <t>Total Instructional</t>
  </si>
  <si>
    <t xml:space="preserve">  Executive Director</t>
  </si>
  <si>
    <t xml:space="preserve">  Principal</t>
  </si>
  <si>
    <t xml:space="preserve">  Dean of Students</t>
  </si>
  <si>
    <t>Total School Leadership</t>
  </si>
  <si>
    <t xml:space="preserve">  School Counselor</t>
  </si>
  <si>
    <t>Total Student Support</t>
  </si>
  <si>
    <t xml:space="preserve">  Operations Manager</t>
  </si>
  <si>
    <t>Total Operations</t>
  </si>
  <si>
    <t xml:space="preserve">  Office Staff</t>
  </si>
  <si>
    <t>Total Administrative</t>
  </si>
  <si>
    <t>TOTAL PERSONNEL</t>
  </si>
  <si>
    <t>Civic Scholars Charter - Budget Detail</t>
  </si>
  <si>
    <t>REVENUE</t>
  </si>
  <si>
    <t xml:space="preserve">  State Per-Pupil Funding</t>
  </si>
  <si>
    <t xml:space="preserve">  Federal Title I</t>
  </si>
  <si>
    <t xml:space="preserve">  Special Education Funding</t>
  </si>
  <si>
    <t xml:space="preserve">  CSP Startup Grant</t>
  </si>
  <si>
    <t xml:space="preserve">  Annual Fundraising</t>
  </si>
  <si>
    <t xml:space="preserve">  Food Service Revenue</t>
  </si>
  <si>
    <t>Total Revenue</t>
  </si>
  <si>
    <t>PERSONNEL</t>
  </si>
  <si>
    <t xml:space="preserve">    Curriculum &amp; Textbooks</t>
  </si>
  <si>
    <t xml:space="preserve">    Technology &amp; Devices</t>
  </si>
  <si>
    <t xml:space="preserve">    Facility Lease</t>
  </si>
  <si>
    <t xml:space="preserve">    Utilities</t>
  </si>
  <si>
    <t xml:space="preserve">    Insurance</t>
  </si>
  <si>
    <t xml:space="preserve">    Janitorial</t>
  </si>
  <si>
    <t xml:space="preserve">  Total Occupancy / Facility</t>
  </si>
  <si>
    <t xml:space="preserve">    Marketing &amp; Recruitment</t>
  </si>
  <si>
    <t xml:space="preserve">    Professional Development</t>
  </si>
  <si>
    <t xml:space="preserve">    Legal &amp; Compliance</t>
  </si>
  <si>
    <t xml:space="preserve">    Food Service</t>
  </si>
  <si>
    <t xml:space="preserve">    Transportation</t>
  </si>
  <si>
    <t xml:space="preserve">  Total Administrative / General</t>
  </si>
  <si>
    <t>Total Operating Expenses</t>
  </si>
  <si>
    <t>CAPITAL &amp; DEBT SERVICE</t>
  </si>
  <si>
    <t xml:space="preserve">  Facility Improvement Loan</t>
  </si>
  <si>
    <t xml:space="preserve">  FF&amp;E Purchase</t>
  </si>
  <si>
    <t xml:space="preserve">  Technology Infrastructure</t>
  </si>
  <si>
    <t>Total Capital &amp; Debt</t>
  </si>
  <si>
    <t>Civic Scholars Charter - Budget Summary</t>
  </si>
  <si>
    <t>Total Capital &amp; Debt Service</t>
  </si>
  <si>
    <t>Total Expenses</t>
  </si>
  <si>
    <t>KEY METRICS</t>
  </si>
  <si>
    <t>Change in Net Assets</t>
  </si>
  <si>
    <t>Net Margin %</t>
  </si>
  <si>
    <t>Cumulative Change in Net Assets</t>
  </si>
  <si>
    <t>Cost per Student</t>
  </si>
  <si>
    <t>Civic Scholars Charter - Year 1 Monthly Cash Flow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</si>
  <si>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</si>
  <si>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</si>
  <si>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</si>
  <si>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</si>
  <si>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</si>
  <si>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</si>
  <si>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</si>
  <si>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</si>
  <si>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</si>
  <si>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</si>
  <si>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</si>
  <si>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</si>
  <si>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Total</t>
  </si>
  <si>
    <t>EXPENSES</t>
  </si>
  <si>
    <t>Personnel</t>
  </si>
  <si>
    <t>Operating Expenses</t>
  </si>
  <si>
    <t>Debt Service</t>
  </si>
  <si>
    <t>CASH FLOW</t>
  </si>
  <si>
    <t>Net Cash Flow</t>
  </si>
  <si>
    <t>Cumulative Cash</t>
  </si>
  <si>
    <t>CASH FLOW METRICS</t>
  </si>
  <si>
    <t>Ending Cash (Month 12)</t>
  </si>
  <si>
    <t>Minimum Cash Month</t>
  </si>
  <si>
    <t>Civic Scholars Charter - 5-Year Operating Statement</t>
  </si>
  <si>
    <t>Capital &amp; Debt Service</t>
  </si>
  <si>
    <t>BOTTOM LINE</t>
  </si>
  <si>
    <t>Beginning Balance</t>
  </si>
  <si>
    <t>Interest</t>
  </si>
  <si>
    <t>Principal Payment</t>
  </si>
  <si>
    <t>Total Payment</t>
  </si>
  <si>
    <t>Ending Balance</t>
  </si>
  <si>
    <t>Civic Scholars Charter - Balance Sheet</t>
  </si>
  <si>
    <t>ASSETS</t>
  </si>
  <si>
    <t>Cash &amp; Equivalents</t>
  </si>
  <si>
    <t>Accounts Receivable</t>
  </si>
  <si>
    <t>Fixed Assets</t>
  </si>
  <si>
    <t>Other Assets</t>
  </si>
  <si>
    <t>Total Assets</t>
  </si>
  <si>
    <t>LIABILITIES</t>
  </si>
  <si>
    <t>Accounts Payable</t>
  </si>
  <si>
    <t>Long-Term Debt</t>
  </si>
  <si>
    <t>Total Liabilities</t>
  </si>
  <si>
    <t>NET ASSETS</t>
  </si>
  <si>
    <t>Net Assets</t>
  </si>
  <si>
    <t>Balance Check (should = 0)</t>
  </si>
  <si>
    <t>DSCR &amp; Covenant Checks</t>
  </si>
  <si>
    <t>CASH FLOW &amp; DEBT</t>
  </si>
  <si>
    <t>Revenue</t>
  </si>
  <si>
    <t>CFADS (Rev - Pers - OpEx)</t>
  </si>
  <si>
    <t>DSCR</t>
  </si>
  <si>
    <t>LIQUIDITY METRICS</t>
  </si>
  <si>
    <t>Ending Cash</t>
  </si>
  <si>
    <t>Days Cash on Hand</t>
  </si>
  <si>
    <t>Months of Runway</t>
  </si>
  <si>
    <t>BREAK-EVEN ANALYSIS</t>
  </si>
  <si>
    <t>Fixed Costs (Pers + Debt)</t>
  </si>
  <si>
    <t>Variable Cost per Student (OpEx)</t>
  </si>
  <si>
    <t>Break-Even Enrollment</t>
  </si>
  <si>
    <t>COVENANT CHECKS</t>
  </si>
  <si>
    <t>DSCR ≥ 1.15x</t>
  </si>
  <si>
    <t>FAIL</t>
  </si>
  <si>
    <t>PASS</t>
  </si>
  <si>
    <t>Positive Net Income</t>
  </si>
  <si>
    <t>Capacity ≥ 7000%</t>
  </si>
  <si>
    <t>Cash Reserve ≥ 2 months</t>
  </si>
  <si>
    <t>Days Cash ≥ 45</t>
  </si>
  <si>
    <t>SOURCES</t>
  </si>
  <si>
    <t>USES</t>
  </si>
  <si>
    <t>Facility Buildout</t>
  </si>
  <si>
    <t>FF&amp;E</t>
  </si>
  <si>
    <t>Capital Campaign Gifts</t>
  </si>
  <si>
    <t>Technology Setup</t>
  </si>
  <si>
    <t>Pre-Opening Staffing</t>
  </si>
  <si>
    <t>Working Capital</t>
  </si>
  <si>
    <t>Total Sources</t>
  </si>
  <si>
    <t>Total Uses</t>
  </si>
  <si>
    <t>Sources - Uses (should = 0)</t>
  </si>
  <si>
    <t>Scenario Analysis</t>
  </si>
  <si>
    <t>BASE CASE</t>
  </si>
  <si>
    <t>Enrollment: +0%  |  Revenue: +0%  |  Staffing: +0%  |  Facility: +0%  |  Expenses: +0%</t>
  </si>
  <si>
    <t>SLOW RAMP</t>
  </si>
  <si>
    <t>Enrollment: -25%  |  Revenue: +0%  |  Staffing: +0%  |  Facility: +0%  |  Expenses: +0%</t>
  </si>
  <si>
    <t>FUNDING CUT</t>
  </si>
  <si>
    <t>Enrollment: +0%  |  Revenue: -5%  |  Staffing: +0%  |  Facility: +0%  |  Expenses: +0%</t>
  </si>
  <si>
    <t>COST OVERRUN</t>
  </si>
  <si>
    <t>Enrollment: +0%  |  Revenue: +0%  |  Staffing: +0%  |  Facility: +0%  |  Expenses: +15%</t>
  </si>
  <si>
    <t>Underwriting Snapshot - Loan Committee Summary</t>
  </si>
  <si>
    <t>Entity</t>
  </si>
  <si>
    <t>Funding</t>
  </si>
  <si>
    <t>5-YEAR FINANCIAL TREND</t>
  </si>
  <si>
    <t>Cash Position</t>
  </si>
  <si>
    <t>Outstanding Debt</t>
  </si>
  <si>
    <t>KEY RATIOS</t>
  </si>
  <si>
    <t>Net Margin</t>
  </si>
  <si>
    <t>Enrollment</t>
  </si>
  <si>
    <t>Prepared by SchoolStack Budget - budget.schoolstack.ai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</si>
</sst>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#,##0;&quot;-&quot;"/>
    <numFmt numFmtId="165" formatCode="_(&quot;$&quot;* #,##0_);_(&quot;$&quot;* (#,##0);_(&quot;$&quot;* &quot;-&quot;??_);_(@_)"/>
    <numFmt numFmtId="166" formatCode="0.0%;[Red](0.0%);&quot;-&quot;"/>
    <numFmt numFmtId="167" formatCode="0.0"/>
    <numFmt numFmtId="168" formatCode="0.00x"/>
  </numFmts>
  <fonts count="15" x14ac:knownFonts="1">
    <font>
      <color theme="1"/>
      <family val="2"/>
      <scheme val="minor"/>
      <sz val="11"/>
      <name val="Calibri"/>
    </font>
    <font>
      <b/>
      <color rgb="FF328555"/>
      <sz val="22"/>
      <name val="Calibri"/>
    </font>
    <font>
      <b/>
      <color rgb="FF1E293B"/>
      <sz val="14"/>
      <name val="Calibri"/>
    </font>
    <font>
      <b/>
      <sz val="11"/>
      <name val="Calibri"/>
    </font>
    <font>
      <sz val="11"/>
      <name val="Calibri"/>
    </font>
    <font>
      <b/>
      <color rgb="FF1E293B"/>
      <sz val="13"/>
      <name val="Calibri"/>
    </font>
    <font>
      <u/>
      <color rgb="FF328555"/>
      <sz val="11"/>
      <name val="Calibri"/>
    </font>
    <font>
      <i/>
      <color rgb="FF999999"/>
      <sz val="11"/>
      <name val="Calibri"/>
    </font>
    <font>
      <b/>
      <color rgb="FF1E293B"/>
      <sz val="16"/>
      <name val="Calibri"/>
    </font>
    <font>
      <b/>
      <color rgb="FF1E293B"/>
      <sz val="11"/>
      <name val="Calibri"/>
    </font>
    <font>
      <i/>
      <color rgb="FF666666"/>
      <sz val="11"/>
      <name val="Calibri"/>
    </font>
    <font>
      <b/>
      <color rgb="FFFFFFFF"/>
      <sz val="11"/>
      <name val="Calibri"/>
    </font>
    <font>
      <i/>
      <color rgb="FF808080"/>
      <sz val="11"/>
      <name val="Calibri"/>
    </font>
    <font>
      <b/>
      <color rgb="FF328555"/>
      <sz val="11"/>
      <name val="Calibri"/>
    </font>
    <font>
      <b/>
      <color rgb="FFFF0000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FFFDE8"/>
      </patternFill>
    </fill>
    <fill>
      <patternFill patternType="solid">
        <fgColor rgb="FF1E293B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2" fillId="0" borderId="0" xfId="0" applyFont="1"/>
    <xf numFmtId="0" fontId="10" fillId="0" borderId="0" xfId="0" applyFont="1"/>
    <xf numFmtId="0" fontId="9" fillId="2" borderId="1" xfId="0" applyFont="1" applyFill="1" applyBorder="1"/>
    <xf numFmtId="0" fontId="4" fillId="3" borderId="1" xfId="0" applyFont="1" applyFill="1" applyBorder="1"/>
    <xf numFmtId="0" fontId="11" fillId="4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/>
    <xf numFmtId="165" fontId="4" fillId="3" borderId="1" xfId="0" applyNumberFormat="1" applyFont="1" applyFill="1" applyBorder="1"/>
    <xf numFmtId="166" fontId="4" fillId="3" borderId="1" xfId="0" applyNumberFormat="1" applyFont="1" applyFill="1" applyBorder="1"/>
    <xf numFmtId="2" fontId="4" fillId="3" borderId="1" xfId="0" applyNumberFormat="1" applyFont="1" applyFill="1" applyBorder="1"/>
    <xf numFmtId="0" fontId="12" fillId="0" borderId="0" xfId="0" applyFont="1"/>
    <xf numFmtId="164" fontId="3" fillId="5" borderId="2" xfId="0" applyNumberFormat="1" applyFont="1" applyFill="1" applyBorder="1"/>
    <xf numFmtId="164" fontId="4" fillId="0" borderId="1" xfId="0" applyNumberFormat="1" applyFont="1" applyBorder="1"/>
    <xf numFmtId="166" fontId="4" fillId="5" borderId="1" xfId="0" applyNumberFormat="1" applyFont="1" applyFill="1" applyBorder="1"/>
    <xf numFmtId="166" fontId="4" fillId="0" borderId="1" xfId="0" applyNumberFormat="1" applyFont="1" applyBorder="1"/>
    <xf numFmtId="165" fontId="4" fillId="0" borderId="1" xfId="0" applyNumberFormat="1" applyFont="1" applyBorder="1"/>
    <xf numFmtId="165" fontId="3" fillId="5" borderId="2" xfId="0" applyNumberFormat="1" applyFont="1" applyFill="1" applyBorder="1"/>
    <xf numFmtId="2" fontId="4" fillId="0" borderId="1" xfId="0" applyNumberFormat="1" applyFont="1" applyBorder="1"/>
    <xf numFmtId="165" fontId="3" fillId="0" borderId="1" xfId="0" applyNumberFormat="1" applyFont="1" applyBorder="1"/>
    <xf numFmtId="167" fontId="4" fillId="0" borderId="1" xfId="0" applyNumberFormat="1" applyFont="1" applyBorder="1"/>
    <xf numFmtId="165" fontId="3" fillId="0" borderId="2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165" fontId="3" fillId="5" borderId="1" xfId="0" applyNumberFormat="1" applyFont="1" applyFill="1" applyBorder="1"/>
    <xf numFmtId="0" fontId="3" fillId="0" borderId="2" xfId="0" applyFont="1" applyBorder="1"/>
    <xf numFmtId="165" fontId="4" fillId="5" borderId="1" xfId="0" applyNumberFormat="1" applyFont="1" applyFill="1" applyBorder="1"/>
    <xf numFmtId="165" fontId="13" fillId="0" borderId="1" xfId="0" applyNumberFormat="1" applyFont="1" applyBorder="1"/>
    <xf numFmtId="165" fontId="14" fillId="0" borderId="1" xfId="0" applyNumberFormat="1" applyFont="1" applyBorder="1"/>
    <xf numFmtId="168" fontId="3" fillId="5" borderId="1" xfId="0" applyNumberFormat="1" applyFont="1" applyFill="1" applyBorder="1"/>
    <xf numFmtId="164" fontId="3" fillId="5" borderId="1" xfId="0" applyNumberFormat="1" applyFont="1" applyFill="1" applyBorder="1"/>
    <xf numFmtId="0" fontId="14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1" fillId="4" borderId="1" xfId="0" applyFont="1" applyFill="1" applyBorder="1"/>
    <xf numFmtId="168" fontId="4" fillId="0" borderId="1" xfId="0" applyNumberFormat="1" applyFont="1" applyBorder="1"/>
    <xf numFmtId="0" fontId="1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Cover&apos;!A1" TargetMode="External"/><Relationship Id="rId2" Type="http://schemas.openxmlformats.org/officeDocument/2006/relationships/hyperlink" Target="#&apos;Instructions&apos;!A1" TargetMode="External"/><Relationship Id="rId3" Type="http://schemas.openxmlformats.org/officeDocument/2006/relationships/hyperlink" Target="#&apos;Assumptions&apos;!A1" TargetMode="External"/><Relationship Id="rId4" Type="http://schemas.openxmlformats.org/officeDocument/2006/relationships/hyperlink" Target="#&apos;Program Profile&apos;!A1" TargetMode="External"/><Relationship Id="rId5" Type="http://schemas.openxmlformats.org/officeDocument/2006/relationships/hyperlink" Target="#&apos;Enrollment Drivers&apos;!A1" TargetMode="External"/><Relationship Id="rId6" Type="http://schemas.openxmlformats.org/officeDocument/2006/relationships/hyperlink" Target="#&apos;Tuition &amp; Funding&apos;!A1" TargetMode="External"/><Relationship Id="rId7" Type="http://schemas.openxmlformats.org/officeDocument/2006/relationships/hyperlink" Target="#&apos;Staffing Drivers&apos;!A1" TargetMode="External"/><Relationship Id="rId8" Type="http://schemas.openxmlformats.org/officeDocument/2006/relationships/hyperlink" Target="#&apos;OpEx Drivers&apos;!A1" TargetMode="External"/><Relationship Id="rId9" Type="http://schemas.openxmlformats.org/officeDocument/2006/relationships/hyperlink" Target="#&apos;Capital Stack&apos;!A1" TargetMode="External"/><Relationship Id="rId10" Type="http://schemas.openxmlformats.org/officeDocument/2006/relationships/hyperlink" Target="#&apos;Enrollment Tuition Fcst&apos;!A1" TargetMode="External"/><Relationship Id="rId11" Type="http://schemas.openxmlformats.org/officeDocument/2006/relationships/hyperlink" Target="#&apos;Staffing Costs Fcst&apos;!A1" TargetMode="External"/><Relationship Id="rId12" Type="http://schemas.openxmlformats.org/officeDocument/2006/relationships/hyperlink" Target="#&apos;Budget Detail&apos;!A1" TargetMode="External"/><Relationship Id="rId13" Type="http://schemas.openxmlformats.org/officeDocument/2006/relationships/hyperlink" Target="#&apos;Budget Summary&apos;!A1" TargetMode="External"/><Relationship Id="rId14" Type="http://schemas.openxmlformats.org/officeDocument/2006/relationships/hyperlink" Target="#&apos;Monthly Cash Flow Y1&apos;!A1" TargetMode="External"/><Relationship Id="rId15" Type="http://schemas.openxmlformats.org/officeDocument/2006/relationships/hyperlink" Target="#&apos;5-Year Operating Stmt&apos;!A1" TargetMode="External"/><Relationship Id="rId16" Type="http://schemas.openxmlformats.org/officeDocument/2006/relationships/hyperlink" Target="#&apos;Debt Schedule&apos;!A1" TargetMode="External"/><Relationship Id="rId17" Type="http://schemas.openxmlformats.org/officeDocument/2006/relationships/hyperlink" Target="#&apos;Balance Sheet&apos;!A1" TargetMode="External"/><Relationship Id="rId18" Type="http://schemas.openxmlformats.org/officeDocument/2006/relationships/hyperlink" Target="#&apos;DSCR &amp; Covenants&apos;!A1" TargetMode="External"/><Relationship Id="rId19" Type="http://schemas.openxmlformats.org/officeDocument/2006/relationships/hyperlink" Target="#&apos;Sources &amp; Uses&apos;!A1" TargetMode="External"/><Relationship Id="rId20" Type="http://schemas.openxmlformats.org/officeDocument/2006/relationships/hyperlink" Target="#&apos;Scenarios&apos;!A1" TargetMode="External"/><Relationship Id="rId21" Type="http://schemas.openxmlformats.org/officeDocument/2006/relationships/hyperlink" Target="#&apos;Underwriting Snapshot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C42"/>
  <sheetFormatPr defaultRowHeight="15" outlineLevelRow="0" outlineLevelCol="0" x14ac:dyDescent="55"/>
  <cols>
    <col min="1" max="1" width="4" customWidth="1"/>
    <col min="2" max="3" width="40" customWidth="1"/>
    <col min="4" max="4" width="4" customWidth="1"/>
  </cols>
  <sheetData>
    <row r="3" spans="2:3" x14ac:dyDescent="0.25">
      <c r="B3" s="1" t="s">
        <v>0</v>
      </c>
      <c r="C3" s="1"/>
    </row>
    <row r="5" spans="2:3" x14ac:dyDescent="0.25">
      <c r="B5" s="2" t="s">
        <v>1</v>
      </c>
      <c r="C5" s="2"/>
    </row>
    <row r="8" spans="2:3" x14ac:dyDescent="0.25">
      <c r="B8" s="3" t="s">
        <v>2</v>
      </c>
      <c r="C8" s="4" t="s">
        <v>3</v>
      </c>
    </row>
    <row r="9" spans="2:3" x14ac:dyDescent="0.25">
      <c r="B9" s="3" t="s">
        <v>4</v>
      </c>
      <c r="C9" s="4" t="s">
        <v>5</v>
      </c>
    </row>
    <row r="10" spans="2:3" x14ac:dyDescent="0.25">
      <c r="B10" s="3" t="s">
        <v>6</v>
      </c>
      <c r="C10" s="4" t="s">
        <v>7</v>
      </c>
    </row>
    <row r="11" spans="2:3" x14ac:dyDescent="0.25">
      <c r="B11" s="3" t="s">
        <v>8</v>
      </c>
      <c r="C11" s="4" t="s">
        <v>9</v>
      </c>
    </row>
    <row r="12" spans="2:3" x14ac:dyDescent="0.25">
      <c r="B12" s="3" t="s">
        <v>10</v>
      </c>
      <c r="C12" s="4" t="s">
        <v>11</v>
      </c>
    </row>
    <row r="13" spans="2:3" x14ac:dyDescent="0.25">
      <c r="B13" s="3" t="s">
        <v>12</v>
      </c>
      <c r="C13" s="4" t="s">
        <v>13</v>
      </c>
    </row>
    <row r="14" spans="2:3" x14ac:dyDescent="0.25">
      <c r="B14" s="3" t="s">
        <v>14</v>
      </c>
      <c r="C14" s="4" t="s">
        <v>15</v>
      </c>
    </row>
    <row r="15" spans="2:3" x14ac:dyDescent="0.25">
      <c r="B15" s="3" t="s">
        <v>16</v>
      </c>
      <c r="C15" s="4" t="s">
        <v>17</v>
      </c>
    </row>
    <row r="18" spans="2:3" x14ac:dyDescent="0.25">
      <c r="B18" s="5" t="s">
        <v>18</v>
      </c>
      <c r="C18" s="5"/>
    </row>
    <row r="19" spans="2:3" x14ac:dyDescent="0.25">
      <c r="B19" s="6" t="s">
        <v>19</v>
      </c>
      <c r="C19" s="7" t="s">
        <v>20</v>
      </c>
    </row>
    <row r="20" spans="2:3" x14ac:dyDescent="0.25">
      <c r="B20" s="6" t="s">
        <v>21</v>
      </c>
      <c r="C20" s="7" t="s">
        <v>22</v>
      </c>
    </row>
    <row r="21" spans="2:3" x14ac:dyDescent="0.25">
      <c r="B21" s="6" t="s">
        <v>23</v>
      </c>
      <c r="C21" s="7" t="s">
        <v>24</v>
      </c>
    </row>
    <row r="22" spans="2:3" x14ac:dyDescent="0.25">
      <c r="B22" s="6" t="s">
        <v>25</v>
      </c>
      <c r="C22" s="7" t="s">
        <v>26</v>
      </c>
    </row>
    <row r="23" spans="2:3" x14ac:dyDescent="0.25">
      <c r="B23" s="6" t="s">
        <v>27</v>
      </c>
      <c r="C23" s="7" t="s">
        <v>28</v>
      </c>
    </row>
    <row r="24" spans="2:3" x14ac:dyDescent="0.25">
      <c r="B24" s="6" t="s">
        <v>29</v>
      </c>
      <c r="C24" s="7" t="s">
        <v>30</v>
      </c>
    </row>
    <row r="25" spans="2:3" x14ac:dyDescent="0.25">
      <c r="B25" s="6" t="s">
        <v>31</v>
      </c>
      <c r="C25" s="7" t="s">
        <v>32</v>
      </c>
    </row>
    <row r="26" spans="2:3" x14ac:dyDescent="0.25">
      <c r="B26" s="6" t="s">
        <v>33</v>
      </c>
      <c r="C26" s="7" t="s">
        <v>34</v>
      </c>
    </row>
    <row r="27" spans="2:3" x14ac:dyDescent="0.25">
      <c r="B27" s="6" t="s">
        <v>35</v>
      </c>
      <c r="C27" s="7" t="s">
        <v>36</v>
      </c>
    </row>
    <row r="28" spans="2:3" x14ac:dyDescent="0.25">
      <c r="B28" s="6" t="s">
        <v>37</v>
      </c>
      <c r="C28" s="7" t="s">
        <v>38</v>
      </c>
    </row>
    <row r="29" spans="2:3" x14ac:dyDescent="0.25">
      <c r="B29" s="6" t="s">
        <v>39</v>
      </c>
      <c r="C29" s="7" t="s">
        <v>40</v>
      </c>
    </row>
    <row r="30" spans="2:3" x14ac:dyDescent="0.25">
      <c r="B30" s="6" t="s">
        <v>41</v>
      </c>
      <c r="C30" s="7" t="s">
        <v>42</v>
      </c>
    </row>
    <row r="31" spans="2:3" x14ac:dyDescent="0.25">
      <c r="B31" s="6" t="s">
        <v>43</v>
      </c>
      <c r="C31" s="7" t="s">
        <v>44</v>
      </c>
    </row>
    <row r="32" spans="2:3" x14ac:dyDescent="0.25">
      <c r="B32" s="6" t="s">
        <v>45</v>
      </c>
      <c r="C32" s="7" t="s">
        <v>46</v>
      </c>
    </row>
    <row r="33" spans="2:3" x14ac:dyDescent="0.25">
      <c r="B33" s="6" t="s">
        <v>47</v>
      </c>
      <c r="C33" s="7" t="s">
        <v>48</v>
      </c>
    </row>
    <row r="34" spans="2:3" x14ac:dyDescent="0.25">
      <c r="B34" s="6" t="s">
        <v>49</v>
      </c>
      <c r="C34" s="7" t="s">
        <v>50</v>
      </c>
    </row>
    <row r="35" spans="2:3" x14ac:dyDescent="0.25">
      <c r="B35" s="6" t="s">
        <v>51</v>
      </c>
      <c r="C35" s="7" t="s">
        <v>52</v>
      </c>
    </row>
    <row r="36" spans="2:3" x14ac:dyDescent="0.25">
      <c r="B36" s="6" t="s">
        <v>53</v>
      </c>
      <c r="C36" s="7" t="s">
        <v>54</v>
      </c>
    </row>
    <row r="37" spans="2:3" x14ac:dyDescent="0.25">
      <c r="B37" s="6" t="s">
        <v>55</v>
      </c>
      <c r="C37" s="7" t="s">
        <v>56</v>
      </c>
    </row>
    <row r="38" spans="2:3" x14ac:dyDescent="0.25">
      <c r="B38" s="6" t="s">
        <v>57</v>
      </c>
      <c r="C38" s="7" t="s">
        <v>58</v>
      </c>
    </row>
    <row r="39" spans="2:3" x14ac:dyDescent="0.25">
      <c r="B39" s="6" t="s">
        <v>59</v>
      </c>
      <c r="C39" s="7" t="s">
        <v>60</v>
      </c>
    </row>
    <row r="42" spans="2:3" x14ac:dyDescent="0.25">
      <c r="B42" s="8" t="s">
        <v>61</v>
      </c>
      <c r="C42" s="8"/>
    </row>
  </sheetData>
  <mergeCells count="4">
    <mergeCell ref="B3:C3"/>
    <mergeCell ref="B5:C5"/>
    <mergeCell ref="B18:C18"/>
    <mergeCell ref="B42:C42"/>
  </mergeCells>
  <hyperlinks>
    <hyperlink ref="C19" r:id="rId1" location="#'Cover'!A1"/>
    <hyperlink ref="C20" r:id="rId2" location="#'Instructions'!A1"/>
    <hyperlink ref="C21" r:id="rId3" location="#'Assumptions'!A1"/>
    <hyperlink ref="C22" r:id="rId4" location="#'Program Profile'!A1"/>
    <hyperlink ref="C23" r:id="rId5" location="#'Enrollment Drivers'!A1"/>
    <hyperlink ref="C24" r:id="rId6" location="#'Tuition &amp; Funding'!A1"/>
    <hyperlink ref="C25" r:id="rId7" location="#'Staffing Drivers'!A1"/>
    <hyperlink ref="C26" r:id="rId8" location="#'OpEx Drivers'!A1"/>
    <hyperlink ref="C27" r:id="rId9" location="#'Capital Stack'!A1"/>
    <hyperlink ref="C28" r:id="rId10" location="#'Enrollment Tuition Fcst'!A1"/>
    <hyperlink ref="C29" r:id="rId11" location="#'Staffing Costs Fcst'!A1"/>
    <hyperlink ref="C30" r:id="rId12" location="#'Budget Detail'!A1"/>
    <hyperlink ref="C31" r:id="rId13" location="#'Budget Summary'!A1"/>
    <hyperlink ref="C32" r:id="rId14" location="#'Monthly Cash Flow Y1'!A1"/>
    <hyperlink ref="C33" r:id="rId15" location="#'5-Year Operating Stmt'!A1"/>
    <hyperlink ref="C34" r:id="rId16" location="#'Debt Schedule'!A1"/>
    <hyperlink ref="C35" r:id="rId17" location="#'Balance Sheet'!A1"/>
    <hyperlink ref="C36" r:id="rId18" location="#'DSCR &amp; Covenants'!A1"/>
    <hyperlink ref="C37" r:id="rId19" location="#'Sources &amp; Uses'!A1"/>
    <hyperlink ref="C38" r:id="rId20" location="#'Scenarios'!A1"/>
    <hyperlink ref="C39" r:id="rId21" location="#'Underwriting Snapshot'!A1"/>
  </hyperlink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25"/>
  <sheetFormatPr defaultRowHeight="15" outlineLevelRow="0" outlineLevelCol="0" x14ac:dyDescent="55"/>
  <cols>
    <col min="1" max="1" width="4" customWidth="1"/>
    <col min="2" max="2" width="80" customWidth="1"/>
  </cols>
  <sheetData>
    <row r="2" spans="2:2" x14ac:dyDescent="0.25">
      <c r="B2" s="9" t="s">
        <v>62</v>
      </c>
    </row>
    <row r="4" spans="2:2" x14ac:dyDescent="0.25">
      <c r="B4" s="10" t="s">
        <v>63</v>
      </c>
    </row>
    <row r="5" spans="2:2" x14ac:dyDescent="0.25">
      <c r="B5" s="6" t="s">
        <v>64</v>
      </c>
    </row>
    <row r="6" spans="2:2" x14ac:dyDescent="0.25">
      <c r="B6" s="6" t="s">
        <v>65</v>
      </c>
    </row>
    <row r="7" spans="2:2" x14ac:dyDescent="0.25">
      <c r="B7" s="6" t="s">
        <v>66</v>
      </c>
    </row>
    <row r="8" spans="2:2" x14ac:dyDescent="0.25">
      <c r="B8" s="6" t="s">
        <v>67</v>
      </c>
    </row>
    <row r="9" spans="2:2" x14ac:dyDescent="0.25">
      <c r="B9" s="10" t="s">
        <v>68</v>
      </c>
    </row>
    <row r="10" spans="2:2" x14ac:dyDescent="0.25">
      <c r="B10" s="6" t="s">
        <v>69</v>
      </c>
    </row>
    <row r="11" spans="2:2" x14ac:dyDescent="0.25">
      <c r="B11" s="6" t="s">
        <v>67</v>
      </c>
    </row>
    <row r="12" spans="2:2" x14ac:dyDescent="0.25">
      <c r="B12" s="10" t="s">
        <v>70</v>
      </c>
    </row>
    <row r="13" spans="2:2" x14ac:dyDescent="0.25">
      <c r="B13" s="6" t="s">
        <v>71</v>
      </c>
    </row>
    <row r="14" spans="2:2" x14ac:dyDescent="0.25">
      <c r="B14" s="6" t="s">
        <v>72</v>
      </c>
    </row>
    <row r="15" spans="2:2" x14ac:dyDescent="0.25">
      <c r="B15" s="6" t="s">
        <v>73</v>
      </c>
    </row>
    <row r="16" spans="2:2" x14ac:dyDescent="0.25">
      <c r="B16" s="6" t="s">
        <v>74</v>
      </c>
    </row>
    <row r="17" spans="2:2" x14ac:dyDescent="0.25">
      <c r="B17" s="6" t="s">
        <v>67</v>
      </c>
    </row>
    <row r="18" spans="2:2" x14ac:dyDescent="0.25">
      <c r="B18" s="10" t="s">
        <v>75</v>
      </c>
    </row>
    <row r="19" spans="2:2" x14ac:dyDescent="0.25">
      <c r="B19" s="6" t="s">
        <v>76</v>
      </c>
    </row>
    <row r="20" spans="2:2" x14ac:dyDescent="0.25">
      <c r="B20" s="6" t="s">
        <v>77</v>
      </c>
    </row>
    <row r="21" spans="2:2" x14ac:dyDescent="0.25">
      <c r="B21" s="6" t="s">
        <v>78</v>
      </c>
    </row>
    <row r="22" spans="2:2" x14ac:dyDescent="0.25">
      <c r="B22" s="6" t="s">
        <v>67</v>
      </c>
    </row>
    <row r="23" spans="2:2" x14ac:dyDescent="0.25">
      <c r="B23" s="10" t="s">
        <v>79</v>
      </c>
    </row>
    <row r="24" spans="2:2" x14ac:dyDescent="0.25">
      <c r="B24" s="6" t="s">
        <v>80</v>
      </c>
    </row>
    <row r="25" spans="2:2" x14ac:dyDescent="0.25">
      <c r="B25" s="6" t="s">
        <v>81</v>
      </c>
    </row>
  </sheetData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5"/>
  <sheetFormatPr defaultRowHeight="15" outlineLevelRow="0" outlineLevelCol="0" x14ac:dyDescent="55"/>
  <cols>
    <col min="1" max="1" width="36" customWidth="1"/>
    <col min="2" max="2" width="18" customWidth="1"/>
    <col min="3" max="7" width="16" customWidth="1"/>
  </cols>
  <sheetData>
    <row r="1" ht="32" customHeight="1" spans="1:7" x14ac:dyDescent="0.25">
      <c r="A1" s="11" t="s">
        <v>82</v>
      </c>
      <c r="B1" s="11"/>
      <c r="C1" s="11"/>
      <c r="D1" s="11"/>
      <c r="E1" s="11"/>
      <c r="F1" s="11"/>
      <c r="G1" s="11"/>
    </row>
    <row r="2" spans="1:1" x14ac:dyDescent="0.25">
      <c r="A2" s="12" t="s">
        <v>83</v>
      </c>
    </row>
    <row r="4" ht="24" customHeight="1" spans="1:7" x14ac:dyDescent="0.25">
      <c r="A4" s="13" t="s">
        <v>84</v>
      </c>
      <c r="B4" s="13"/>
      <c r="C4" s="13"/>
      <c r="D4" s="13"/>
      <c r="E4" s="13"/>
      <c r="F4" s="13"/>
      <c r="G4" s="13"/>
    </row>
    <row r="5" spans="1:2" x14ac:dyDescent="0.25">
      <c r="A5" s="4" t="s">
        <v>2</v>
      </c>
      <c r="B5" s="14" t="s">
        <v>3</v>
      </c>
    </row>
    <row r="6" spans="1:2" x14ac:dyDescent="0.25">
      <c r="A6" s="4" t="s">
        <v>4</v>
      </c>
      <c r="B6" s="14" t="s">
        <v>5</v>
      </c>
    </row>
    <row r="7" spans="1:2" x14ac:dyDescent="0.25">
      <c r="A7" s="4" t="s">
        <v>6</v>
      </c>
      <c r="B7" s="14" t="s">
        <v>7</v>
      </c>
    </row>
    <row r="8" spans="1:2" x14ac:dyDescent="0.25">
      <c r="A8" s="4" t="s">
        <v>8</v>
      </c>
      <c r="B8" s="14" t="s">
        <v>9</v>
      </c>
    </row>
    <row r="9" spans="1:2" x14ac:dyDescent="0.25">
      <c r="A9" s="4" t="s">
        <v>85</v>
      </c>
      <c r="B9" s="14" t="s">
        <v>86</v>
      </c>
    </row>
    <row r="10" spans="1:2" x14ac:dyDescent="0.25">
      <c r="A10" s="4" t="s">
        <v>14</v>
      </c>
      <c r="B10" s="14" t="s">
        <v>15</v>
      </c>
    </row>
    <row r="11" spans="1:2" x14ac:dyDescent="0.25">
      <c r="A11" s="4" t="s">
        <v>16</v>
      </c>
      <c r="B11" s="14" t="s">
        <v>17</v>
      </c>
    </row>
    <row r="12" spans="1:2" x14ac:dyDescent="0.25">
      <c r="A12" s="4" t="s">
        <v>87</v>
      </c>
      <c r="B12" s="14">
        <v>7</v>
      </c>
    </row>
    <row r="13" spans="1:2" x14ac:dyDescent="0.25">
      <c r="A13" s="4" t="s">
        <v>88</v>
      </c>
      <c r="B13" s="14">
        <v>400</v>
      </c>
    </row>
    <row r="15" ht="24" customHeight="1" spans="1:7" x14ac:dyDescent="0.25">
      <c r="A15" s="13" t="s">
        <v>89</v>
      </c>
      <c r="B15" s="13"/>
      <c r="C15" s="13"/>
      <c r="D15" s="13"/>
      <c r="E15" s="13"/>
      <c r="F15" s="13"/>
      <c r="G15" s="13"/>
    </row>
    <row r="16" ht="28" customHeight="1" spans="1:6" x14ac:dyDescent="0.25">
      <c r="A16" s="15" t="s">
        <v>67</v>
      </c>
      <c r="B16" s="15" t="s">
        <v>90</v>
      </c>
      <c r="C16" s="15" t="s">
        <v>91</v>
      </c>
      <c r="D16" s="15" t="s">
        <v>92</v>
      </c>
      <c r="E16" s="15" t="s">
        <v>93</v>
      </c>
      <c r="F16" s="15" t="s">
        <v>94</v>
      </c>
    </row>
    <row r="17" spans="1:6" x14ac:dyDescent="0.25">
      <c r="A17" s="4" t="s">
        <v>95</v>
      </c>
      <c r="B17" s="16">
        <v>120</v>
      </c>
      <c r="C17" s="16">
        <v>200</v>
      </c>
      <c r="D17" s="16">
        <v>300</v>
      </c>
      <c r="E17" s="16">
        <v>375</v>
      </c>
      <c r="F17" s="16">
        <v>400</v>
      </c>
    </row>
    <row r="19" ht="24" customHeight="1" spans="1:7" x14ac:dyDescent="0.25">
      <c r="A19" s="13" t="s">
        <v>96</v>
      </c>
      <c r="B19" s="13"/>
      <c r="C19" s="13"/>
      <c r="D19" s="13"/>
      <c r="E19" s="13"/>
      <c r="F19" s="13"/>
      <c r="G19" s="13"/>
    </row>
    <row r="20" ht="28" customHeight="1" spans="1:5" x14ac:dyDescent="0.25">
      <c r="A20" s="15" t="s">
        <v>97</v>
      </c>
      <c r="B20" s="15" t="s">
        <v>98</v>
      </c>
      <c r="C20" s="15" t="s">
        <v>99</v>
      </c>
      <c r="D20" s="15" t="s">
        <v>100</v>
      </c>
      <c r="E20" s="15" t="s">
        <v>101</v>
      </c>
    </row>
    <row r="21" spans="1:5" x14ac:dyDescent="0.25">
      <c r="A21" s="4" t="s">
        <v>102</v>
      </c>
      <c r="B21" s="4" t="s">
        <v>103</v>
      </c>
      <c r="C21" s="4" t="s">
        <v>104</v>
      </c>
      <c r="D21" s="17">
        <v>9500</v>
      </c>
      <c r="E21" s="18">
        <v>0</v>
      </c>
    </row>
    <row r="22" spans="1:5" x14ac:dyDescent="0.25">
      <c r="A22" s="4" t="s">
        <v>105</v>
      </c>
      <c r="B22" s="4" t="s">
        <v>103</v>
      </c>
      <c r="C22" s="4" t="s">
        <v>104</v>
      </c>
      <c r="D22" s="17">
        <v>800</v>
      </c>
      <c r="E22" s="18">
        <v>0</v>
      </c>
    </row>
    <row r="23" spans="1:5" x14ac:dyDescent="0.25">
      <c r="A23" s="4" t="s">
        <v>106</v>
      </c>
      <c r="B23" s="4" t="s">
        <v>103</v>
      </c>
      <c r="C23" s="4" t="s">
        <v>104</v>
      </c>
      <c r="D23" s="17">
        <v>1200</v>
      </c>
      <c r="E23" s="18">
        <v>0</v>
      </c>
    </row>
    <row r="24" spans="1:5" x14ac:dyDescent="0.25">
      <c r="A24" s="4" t="s">
        <v>107</v>
      </c>
      <c r="B24" s="4" t="s">
        <v>108</v>
      </c>
      <c r="C24" s="4" t="s">
        <v>109</v>
      </c>
      <c r="D24" s="17">
        <v>100000</v>
      </c>
      <c r="E24" s="18">
        <v>0</v>
      </c>
    </row>
    <row r="25" spans="1:5" x14ac:dyDescent="0.25">
      <c r="A25" s="4" t="s">
        <v>110</v>
      </c>
      <c r="B25" s="4" t="s">
        <v>108</v>
      </c>
      <c r="C25" s="4" t="s">
        <v>109</v>
      </c>
      <c r="D25" s="17">
        <v>30000</v>
      </c>
      <c r="E25" s="18">
        <v>0</v>
      </c>
    </row>
    <row r="26" spans="1:5" x14ac:dyDescent="0.25">
      <c r="A26" s="4" t="s">
        <v>111</v>
      </c>
      <c r="B26" s="4" t="s">
        <v>112</v>
      </c>
      <c r="C26" s="4" t="s">
        <v>104</v>
      </c>
      <c r="D26" s="17">
        <v>300</v>
      </c>
      <c r="E26" s="18">
        <v>0</v>
      </c>
    </row>
    <row r="28" ht="24" customHeight="1" spans="1:7" x14ac:dyDescent="0.25">
      <c r="A28" s="13" t="s">
        <v>113</v>
      </c>
      <c r="B28" s="13"/>
      <c r="C28" s="13"/>
      <c r="D28" s="13"/>
      <c r="E28" s="13"/>
      <c r="F28" s="13"/>
      <c r="G28" s="13"/>
    </row>
    <row r="29" ht="28" customHeight="1" spans="1:7" x14ac:dyDescent="0.25">
      <c r="A29" s="15" t="s">
        <v>114</v>
      </c>
      <c r="B29" s="15" t="s">
        <v>98</v>
      </c>
      <c r="C29" s="15" t="s">
        <v>115</v>
      </c>
      <c r="D29" s="15" t="s">
        <v>116</v>
      </c>
      <c r="E29" s="15" t="s">
        <v>117</v>
      </c>
      <c r="F29" s="15" t="s">
        <v>118</v>
      </c>
      <c r="G29" s="15" t="s">
        <v>119</v>
      </c>
    </row>
    <row r="30" spans="1:7" x14ac:dyDescent="0.25">
      <c r="A30" s="4" t="s">
        <v>120</v>
      </c>
      <c r="B30" s="4" t="s">
        <v>121</v>
      </c>
      <c r="C30" s="4" t="s">
        <v>122</v>
      </c>
      <c r="D30" s="19">
        <v>1</v>
      </c>
      <c r="E30" s="17">
        <v>110000</v>
      </c>
      <c r="F30" s="18">
        <v>0.28</v>
      </c>
      <c r="G30" s="18">
        <v>0.0765</v>
      </c>
    </row>
    <row r="31" spans="1:7" x14ac:dyDescent="0.25">
      <c r="A31" s="4" t="s">
        <v>123</v>
      </c>
      <c r="B31" s="4" t="s">
        <v>121</v>
      </c>
      <c r="C31" s="4" t="s">
        <v>122</v>
      </c>
      <c r="D31" s="19">
        <v>1</v>
      </c>
      <c r="E31" s="17">
        <v>90000</v>
      </c>
      <c r="F31" s="18">
        <v>0.28</v>
      </c>
      <c r="G31" s="18">
        <v>0.0765</v>
      </c>
    </row>
    <row r="32" spans="1:7" x14ac:dyDescent="0.25">
      <c r="A32" s="4" t="s">
        <v>124</v>
      </c>
      <c r="B32" s="4" t="s">
        <v>121</v>
      </c>
      <c r="C32" s="4" t="s">
        <v>122</v>
      </c>
      <c r="D32" s="19">
        <v>1</v>
      </c>
      <c r="E32" s="17">
        <v>72000</v>
      </c>
      <c r="F32" s="18">
        <v>0.28</v>
      </c>
      <c r="G32" s="18">
        <v>0.0765</v>
      </c>
    </row>
    <row r="33" spans="1:7" x14ac:dyDescent="0.25">
      <c r="A33" s="4" t="s">
        <v>125</v>
      </c>
      <c r="B33" s="4" t="s">
        <v>126</v>
      </c>
      <c r="C33" s="4" t="s">
        <v>122</v>
      </c>
      <c r="D33" s="19">
        <v>6</v>
      </c>
      <c r="E33" s="17">
        <v>52000</v>
      </c>
      <c r="F33" s="18">
        <v>0.28</v>
      </c>
      <c r="G33" s="18">
        <v>0.0765</v>
      </c>
    </row>
    <row r="34" spans="1:7" x14ac:dyDescent="0.25">
      <c r="A34" s="4" t="s">
        <v>127</v>
      </c>
      <c r="B34" s="4" t="s">
        <v>126</v>
      </c>
      <c r="C34" s="4" t="s">
        <v>122</v>
      </c>
      <c r="D34" s="19">
        <v>1</v>
      </c>
      <c r="E34" s="17">
        <v>55000</v>
      </c>
      <c r="F34" s="18">
        <v>0.28</v>
      </c>
      <c r="G34" s="18">
        <v>0.0765</v>
      </c>
    </row>
    <row r="35" spans="1:7" x14ac:dyDescent="0.25">
      <c r="A35" s="4" t="s">
        <v>128</v>
      </c>
      <c r="B35" s="4" t="s">
        <v>126</v>
      </c>
      <c r="C35" s="4" t="s">
        <v>122</v>
      </c>
      <c r="D35" s="19">
        <v>3</v>
      </c>
      <c r="E35" s="17">
        <v>30000</v>
      </c>
      <c r="F35" s="18">
        <v>0.2</v>
      </c>
      <c r="G35" s="18">
        <v>0.0765</v>
      </c>
    </row>
    <row r="36" spans="1:7" x14ac:dyDescent="0.25">
      <c r="A36" s="4" t="s">
        <v>129</v>
      </c>
      <c r="B36" s="4" t="s">
        <v>130</v>
      </c>
      <c r="C36" s="4" t="s">
        <v>122</v>
      </c>
      <c r="D36" s="19">
        <v>1</v>
      </c>
      <c r="E36" s="17">
        <v>55000</v>
      </c>
      <c r="F36" s="18">
        <v>0.28</v>
      </c>
      <c r="G36" s="18">
        <v>0.0765</v>
      </c>
    </row>
    <row r="37" spans="1:7" x14ac:dyDescent="0.25">
      <c r="A37" s="4" t="s">
        <v>131</v>
      </c>
      <c r="B37" s="4" t="s">
        <v>132</v>
      </c>
      <c r="C37" s="4" t="s">
        <v>122</v>
      </c>
      <c r="D37" s="19">
        <v>2</v>
      </c>
      <c r="E37" s="17">
        <v>38000</v>
      </c>
      <c r="F37" s="18">
        <v>0.25</v>
      </c>
      <c r="G37" s="18">
        <v>0.0765</v>
      </c>
    </row>
    <row r="38" spans="1:7" x14ac:dyDescent="0.25">
      <c r="A38" s="4" t="s">
        <v>133</v>
      </c>
      <c r="B38" s="4" t="s">
        <v>134</v>
      </c>
      <c r="C38" s="4" t="s">
        <v>122</v>
      </c>
      <c r="D38" s="19">
        <v>1</v>
      </c>
      <c r="E38" s="17">
        <v>55000</v>
      </c>
      <c r="F38" s="18">
        <v>0.28</v>
      </c>
      <c r="G38" s="18">
        <v>0.0765</v>
      </c>
    </row>
    <row r="40" ht="24" customHeight="1" spans="1:7" x14ac:dyDescent="0.25">
      <c r="A40" s="13" t="s">
        <v>135</v>
      </c>
      <c r="B40" s="13"/>
      <c r="C40" s="13"/>
      <c r="D40" s="13"/>
      <c r="E40" s="13"/>
      <c r="F40" s="13"/>
      <c r="G40" s="13"/>
    </row>
    <row r="41" ht="28" customHeight="1" spans="1:5" x14ac:dyDescent="0.25">
      <c r="A41" s="15" t="s">
        <v>97</v>
      </c>
      <c r="B41" s="15" t="s">
        <v>98</v>
      </c>
      <c r="C41" s="15" t="s">
        <v>99</v>
      </c>
      <c r="D41" s="15" t="s">
        <v>100</v>
      </c>
      <c r="E41" s="15" t="s">
        <v>101</v>
      </c>
    </row>
    <row r="42" spans="1:5" x14ac:dyDescent="0.25">
      <c r="A42" s="4" t="s">
        <v>136</v>
      </c>
      <c r="B42" s="4" t="s">
        <v>137</v>
      </c>
      <c r="C42" s="4" t="s">
        <v>138</v>
      </c>
      <c r="D42" s="17">
        <v>18000</v>
      </c>
      <c r="E42" s="18">
        <v>0.03</v>
      </c>
    </row>
    <row r="43" spans="1:5" x14ac:dyDescent="0.25">
      <c r="A43" s="4" t="s">
        <v>139</v>
      </c>
      <c r="B43" s="4" t="s">
        <v>137</v>
      </c>
      <c r="C43" s="4" t="s">
        <v>138</v>
      </c>
      <c r="D43" s="17">
        <v>2500</v>
      </c>
      <c r="E43" s="18">
        <v>0</v>
      </c>
    </row>
    <row r="44" spans="1:5" x14ac:dyDescent="0.25">
      <c r="A44" s="4" t="s">
        <v>140</v>
      </c>
      <c r="B44" s="4" t="s">
        <v>137</v>
      </c>
      <c r="C44" s="4" t="s">
        <v>109</v>
      </c>
      <c r="D44" s="17">
        <v>18000</v>
      </c>
      <c r="E44" s="18">
        <v>0</v>
      </c>
    </row>
    <row r="45" spans="1:5" x14ac:dyDescent="0.25">
      <c r="A45" s="4" t="s">
        <v>141</v>
      </c>
      <c r="B45" s="4" t="s">
        <v>137</v>
      </c>
      <c r="C45" s="4" t="s">
        <v>138</v>
      </c>
      <c r="D45" s="17">
        <v>1500</v>
      </c>
      <c r="E45" s="18">
        <v>0</v>
      </c>
    </row>
    <row r="46" spans="1:5" x14ac:dyDescent="0.25">
      <c r="A46" s="4" t="s">
        <v>142</v>
      </c>
      <c r="B46" s="4" t="s">
        <v>143</v>
      </c>
      <c r="C46" s="4" t="s">
        <v>104</v>
      </c>
      <c r="D46" s="17">
        <v>700</v>
      </c>
      <c r="E46" s="18">
        <v>0</v>
      </c>
    </row>
    <row r="47" spans="1:5" x14ac:dyDescent="0.25">
      <c r="A47" s="4" t="s">
        <v>144</v>
      </c>
      <c r="B47" s="4" t="s">
        <v>145</v>
      </c>
      <c r="C47" s="4" t="s">
        <v>104</v>
      </c>
      <c r="D47" s="17">
        <v>500</v>
      </c>
      <c r="E47" s="18">
        <v>0</v>
      </c>
    </row>
    <row r="48" spans="1:5" x14ac:dyDescent="0.25">
      <c r="A48" s="4" t="s">
        <v>146</v>
      </c>
      <c r="B48" s="4" t="s">
        <v>147</v>
      </c>
      <c r="C48" s="4" t="s">
        <v>109</v>
      </c>
      <c r="D48" s="17">
        <v>25000</v>
      </c>
      <c r="E48" s="18">
        <v>0</v>
      </c>
    </row>
    <row r="49" spans="1:5" x14ac:dyDescent="0.25">
      <c r="A49" s="4" t="s">
        <v>148</v>
      </c>
      <c r="B49" s="4" t="s">
        <v>147</v>
      </c>
      <c r="C49" s="4" t="s">
        <v>109</v>
      </c>
      <c r="D49" s="17">
        <v>15000</v>
      </c>
      <c r="E49" s="18">
        <v>0</v>
      </c>
    </row>
    <row r="50" spans="1:5" x14ac:dyDescent="0.25">
      <c r="A50" s="4" t="s">
        <v>149</v>
      </c>
      <c r="B50" s="4" t="s">
        <v>147</v>
      </c>
      <c r="C50" s="4" t="s">
        <v>109</v>
      </c>
      <c r="D50" s="17">
        <v>20000</v>
      </c>
      <c r="E50" s="18">
        <v>0</v>
      </c>
    </row>
    <row r="51" spans="1:5" x14ac:dyDescent="0.25">
      <c r="A51" s="4" t="s">
        <v>150</v>
      </c>
      <c r="B51" s="4" t="s">
        <v>147</v>
      </c>
      <c r="C51" s="4" t="s">
        <v>104</v>
      </c>
      <c r="D51" s="17">
        <v>800</v>
      </c>
      <c r="E51" s="18">
        <v>0</v>
      </c>
    </row>
    <row r="52" spans="1:5" x14ac:dyDescent="0.25">
      <c r="A52" s="4" t="s">
        <v>151</v>
      </c>
      <c r="B52" s="4" t="s">
        <v>147</v>
      </c>
      <c r="C52" s="4" t="s">
        <v>104</v>
      </c>
      <c r="D52" s="17">
        <v>600</v>
      </c>
      <c r="E52" s="18">
        <v>0</v>
      </c>
    </row>
    <row r="54" ht="24" customHeight="1" spans="1:7" x14ac:dyDescent="0.25">
      <c r="A54" s="13" t="s">
        <v>152</v>
      </c>
      <c r="B54" s="13"/>
      <c r="C54" s="13"/>
      <c r="D54" s="13"/>
      <c r="E54" s="13"/>
      <c r="F54" s="13"/>
      <c r="G54" s="13"/>
    </row>
    <row r="55" ht="28" customHeight="1" spans="1:5" x14ac:dyDescent="0.25">
      <c r="A55" s="15" t="s">
        <v>153</v>
      </c>
      <c r="B55" s="15" t="s">
        <v>115</v>
      </c>
      <c r="C55" s="15" t="s">
        <v>123</v>
      </c>
      <c r="D55" s="15" t="s">
        <v>117</v>
      </c>
      <c r="E55" s="15" t="s">
        <v>154</v>
      </c>
    </row>
    <row r="56" spans="1:5" x14ac:dyDescent="0.25">
      <c r="A56" s="4" t="s">
        <v>155</v>
      </c>
      <c r="B56" s="4" t="s">
        <v>156</v>
      </c>
      <c r="C56" s="17">
        <v>500000</v>
      </c>
      <c r="D56" s="18">
        <v>0.0575</v>
      </c>
      <c r="E56" s="16">
        <v>15</v>
      </c>
    </row>
    <row r="57" spans="1:5" x14ac:dyDescent="0.25">
      <c r="A57" s="4" t="s">
        <v>157</v>
      </c>
      <c r="B57" s="4" t="s">
        <v>158</v>
      </c>
      <c r="C57" s="17">
        <v>75000</v>
      </c>
      <c r="D57" s="18">
        <v>0</v>
      </c>
      <c r="E57" s="16">
        <v>0</v>
      </c>
    </row>
    <row r="58" spans="1:5" x14ac:dyDescent="0.25">
      <c r="A58" s="4" t="s">
        <v>159</v>
      </c>
      <c r="B58" s="4" t="s">
        <v>158</v>
      </c>
      <c r="C58" s="17">
        <v>40000</v>
      </c>
      <c r="D58" s="18">
        <v>0</v>
      </c>
      <c r="E58" s="16">
        <v>0</v>
      </c>
    </row>
    <row r="60" ht="24" customHeight="1" spans="1:7" x14ac:dyDescent="0.25">
      <c r="A60" s="13" t="s">
        <v>160</v>
      </c>
      <c r="B60" s="13"/>
      <c r="C60" s="13"/>
      <c r="D60" s="13"/>
      <c r="E60" s="13"/>
      <c r="F60" s="13"/>
      <c r="G60" s="13"/>
    </row>
    <row r="61" spans="1:3" x14ac:dyDescent="0.25">
      <c r="A61" s="4" t="s">
        <v>161</v>
      </c>
      <c r="B61" s="18">
        <v>0.03</v>
      </c>
      <c r="C61" s="20" t="s">
        <v>162</v>
      </c>
    </row>
    <row r="62" spans="1:3" x14ac:dyDescent="0.25">
      <c r="A62" s="4" t="s">
        <v>163</v>
      </c>
      <c r="B62" s="18">
        <v>0.03</v>
      </c>
      <c r="C62" s="20" t="s">
        <v>162</v>
      </c>
    </row>
    <row r="63" spans="1:2" x14ac:dyDescent="0.25">
      <c r="A63" s="4" t="s">
        <v>164</v>
      </c>
      <c r="B63" s="19">
        <v>0.8333333333333334</v>
      </c>
    </row>
    <row r="64" spans="1:2" x14ac:dyDescent="0.25">
      <c r="A64" s="4" t="s">
        <v>165</v>
      </c>
      <c r="B64" s="17">
        <v>0</v>
      </c>
    </row>
    <row r="65" spans="1:2" x14ac:dyDescent="0.25">
      <c r="A65" s="4" t="s">
        <v>166</v>
      </c>
      <c r="B65" s="14" t="s">
        <v>167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FormatPr defaultRowHeight="15" outlineLevelRow="0" outlineLevelCol="0" x14ac:dyDescent="55"/>
  <cols>
    <col min="1" max="1" width="36" customWidth="1"/>
    <col min="2" max="2" width="30" customWidth="1"/>
  </cols>
  <sheetData>
    <row r="1" spans="1:2" x14ac:dyDescent="0.25">
      <c r="A1" s="11" t="s">
        <v>26</v>
      </c>
      <c r="B1" s="11"/>
    </row>
    <row r="3" spans="1:2" x14ac:dyDescent="0.25">
      <c r="A3" s="3" t="s">
        <v>168</v>
      </c>
      <c r="B3" s="4" t="s">
        <v>169</v>
      </c>
    </row>
    <row r="4" spans="1:2" x14ac:dyDescent="0.25">
      <c r="A4" s="3" t="s">
        <v>4</v>
      </c>
      <c r="B4" s="4" t="s">
        <v>5</v>
      </c>
    </row>
    <row r="5" spans="1:2" x14ac:dyDescent="0.25">
      <c r="A5" s="3" t="s">
        <v>6</v>
      </c>
      <c r="B5" s="4" t="s">
        <v>7</v>
      </c>
    </row>
    <row r="6" spans="1:2" x14ac:dyDescent="0.25">
      <c r="A6" s="3" t="s">
        <v>170</v>
      </c>
      <c r="B6" s="4" t="s">
        <v>171</v>
      </c>
    </row>
    <row r="7" spans="1:2" x14ac:dyDescent="0.25">
      <c r="A7" s="3" t="s">
        <v>14</v>
      </c>
      <c r="B7" s="4" t="s">
        <v>15</v>
      </c>
    </row>
    <row r="8" spans="1:2" x14ac:dyDescent="0.25">
      <c r="A8" s="3" t="s">
        <v>172</v>
      </c>
      <c r="B8" s="4" t="s">
        <v>17</v>
      </c>
    </row>
    <row r="9" spans="1:2" x14ac:dyDescent="0.25">
      <c r="A9" s="3" t="s">
        <v>87</v>
      </c>
      <c r="B9" s="4" t="s">
        <v>173</v>
      </c>
    </row>
    <row r="10" spans="1:2" x14ac:dyDescent="0.25">
      <c r="A10" s="3" t="s">
        <v>174</v>
      </c>
      <c r="B10" s="4" t="s">
        <v>175</v>
      </c>
    </row>
    <row r="11" spans="1:2" x14ac:dyDescent="0.25">
      <c r="A11" s="3" t="s">
        <v>176</v>
      </c>
      <c r="B11" s="4" t="s">
        <v>177</v>
      </c>
    </row>
    <row r="12" spans="1:2" x14ac:dyDescent="0.25">
      <c r="A12" s="3" t="s">
        <v>166</v>
      </c>
      <c r="B12" s="4" t="s">
        <v>167</v>
      </c>
    </row>
    <row r="13" spans="1:2" x14ac:dyDescent="0.25">
      <c r="A13" s="3" t="s">
        <v>88</v>
      </c>
      <c r="B13" s="4" t="s">
        <v>178</v>
      </c>
    </row>
    <row r="14" spans="1:2" x14ac:dyDescent="0.25">
      <c r="A14" s="3" t="s">
        <v>179</v>
      </c>
      <c r="B14" s="4" t="s">
        <v>180</v>
      </c>
    </row>
    <row r="15" spans="1:2" x14ac:dyDescent="0.25">
      <c r="A15" s="3" t="s">
        <v>181</v>
      </c>
      <c r="B15" s="4" t="s">
        <v>182</v>
      </c>
    </row>
    <row r="16" spans="1:2" x14ac:dyDescent="0.25">
      <c r="A16" s="3" t="s">
        <v>183</v>
      </c>
      <c r="B16" s="4" t="s">
        <v>184</v>
      </c>
    </row>
  </sheetData>
  <mergeCells count="1">
    <mergeCell ref="A1:B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FormatPr defaultRowHeight="15" outlineLevelRow="0" outlineLevelCol="0" x14ac:dyDescent="55"/>
  <cols>
    <col min="1" max="1" width="32" customWidth="1"/>
    <col min="2" max="8" width="14" customWidth="1"/>
  </cols>
  <sheetData>
    <row r="1" spans="1:7" x14ac:dyDescent="0.25">
      <c r="A1" s="11" t="s">
        <v>28</v>
      </c>
      <c r="B1" s="11"/>
      <c r="C1" s="11"/>
      <c r="D1" s="11"/>
      <c r="E1" s="11"/>
      <c r="F1" s="11"/>
      <c r="G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5" ht="24" customHeight="1" spans="1:6" x14ac:dyDescent="0.25">
      <c r="A5" s="13" t="s">
        <v>185</v>
      </c>
      <c r="B5" s="13"/>
      <c r="C5" s="13"/>
      <c r="D5" s="13"/>
      <c r="E5" s="13"/>
      <c r="F5" s="13"/>
    </row>
    <row r="6" spans="1:6" x14ac:dyDescent="0.25">
      <c r="A6" s="3" t="s">
        <v>95</v>
      </c>
      <c r="B6" s="21">
        <v>120</v>
      </c>
      <c r="C6" s="21">
        <v>200</v>
      </c>
      <c r="D6" s="21">
        <v>300</v>
      </c>
      <c r="E6" s="21">
        <v>375</v>
      </c>
      <c r="F6" s="21">
        <v>400</v>
      </c>
    </row>
    <row r="7" spans="1:2" x14ac:dyDescent="0.25">
      <c r="A7" s="4" t="s">
        <v>88</v>
      </c>
      <c r="B7" s="22">
        <v>400</v>
      </c>
    </row>
    <row r="8" spans="1:6" x14ac:dyDescent="0.25">
      <c r="A8" s="4" t="s">
        <v>186</v>
      </c>
      <c r="B8" s="23">
        <v>0.3</v>
      </c>
      <c r="C8" s="23">
        <v>0.5</v>
      </c>
      <c r="D8" s="23">
        <v>0.75</v>
      </c>
      <c r="E8" s="23">
        <v>0.9375</v>
      </c>
      <c r="F8" s="23">
        <v>1</v>
      </c>
    </row>
    <row r="10" spans="1:6" x14ac:dyDescent="0.25">
      <c r="A10" s="4" t="s">
        <v>187</v>
      </c>
      <c r="B10" s="4" t="s">
        <v>188</v>
      </c>
      <c r="C10" s="24">
        <v>0.6666666666666666</v>
      </c>
      <c r="D10" s="24">
        <v>0.5</v>
      </c>
      <c r="E10" s="24">
        <v>0.25</v>
      </c>
      <c r="F10" s="24">
        <v>0.06666666666666667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FormatPr defaultRowHeight="15" outlineLevelRow="0" outlineLevelCol="0" x14ac:dyDescent="55"/>
  <cols>
    <col min="1" max="1" width="32" customWidth="1"/>
    <col min="2" max="7" width="16" customWidth="1"/>
  </cols>
  <sheetData>
    <row r="1" spans="1:6" x14ac:dyDescent="0.25">
      <c r="A1" s="11" t="s">
        <v>189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ht="24" customHeight="1" spans="1:6" x14ac:dyDescent="0.25">
      <c r="A4" s="13" t="s">
        <v>190</v>
      </c>
      <c r="B4" s="13"/>
      <c r="C4" s="13"/>
      <c r="D4" s="13"/>
      <c r="E4" s="13"/>
      <c r="F4" s="13"/>
    </row>
    <row r="5" spans="1:6" x14ac:dyDescent="0.25">
      <c r="A5" s="4" t="s">
        <v>191</v>
      </c>
      <c r="B5" s="25">
        <v>1140000</v>
      </c>
      <c r="C5" s="25">
        <v>1957000</v>
      </c>
      <c r="D5" s="25">
        <v>3023565</v>
      </c>
      <c r="E5" s="25">
        <v>3892840</v>
      </c>
      <c r="F5" s="25">
        <v>4276933</v>
      </c>
    </row>
    <row r="6" spans="1:6" x14ac:dyDescent="0.25">
      <c r="A6" s="4" t="s">
        <v>192</v>
      </c>
      <c r="B6" s="25">
        <v>96000</v>
      </c>
      <c r="C6" s="25">
        <v>164800</v>
      </c>
      <c r="D6" s="25">
        <v>254616</v>
      </c>
      <c r="E6" s="25">
        <v>327818</v>
      </c>
      <c r="F6" s="25">
        <v>360163</v>
      </c>
    </row>
    <row r="7" spans="1:6" x14ac:dyDescent="0.25">
      <c r="A7" s="4" t="s">
        <v>193</v>
      </c>
      <c r="B7" s="25">
        <v>144000</v>
      </c>
      <c r="C7" s="25">
        <v>247200</v>
      </c>
      <c r="D7" s="25">
        <v>381924</v>
      </c>
      <c r="E7" s="25">
        <v>491727</v>
      </c>
      <c r="F7" s="25">
        <v>540244</v>
      </c>
    </row>
    <row r="8" spans="1:6" x14ac:dyDescent="0.25">
      <c r="A8" s="4" t="s">
        <v>194</v>
      </c>
      <c r="B8" s="25">
        <v>100000</v>
      </c>
      <c r="C8" s="25">
        <v>103000</v>
      </c>
      <c r="D8" s="25">
        <v>106090</v>
      </c>
      <c r="E8" s="25">
        <v>109273</v>
      </c>
      <c r="F8" s="25">
        <v>112551</v>
      </c>
    </row>
    <row r="9" spans="1:6" x14ac:dyDescent="0.25">
      <c r="A9" s="4" t="s">
        <v>195</v>
      </c>
      <c r="B9" s="25">
        <v>30000</v>
      </c>
      <c r="C9" s="25">
        <v>30900</v>
      </c>
      <c r="D9" s="25">
        <v>31827</v>
      </c>
      <c r="E9" s="25">
        <v>32782</v>
      </c>
      <c r="F9" s="25">
        <v>33765</v>
      </c>
    </row>
    <row r="10" spans="1:6" x14ac:dyDescent="0.25">
      <c r="A10" s="4" t="s">
        <v>196</v>
      </c>
      <c r="B10" s="25">
        <v>36000</v>
      </c>
      <c r="C10" s="25">
        <v>61800</v>
      </c>
      <c r="D10" s="25">
        <v>95481</v>
      </c>
      <c r="E10" s="25">
        <v>122932</v>
      </c>
      <c r="F10" s="25">
        <v>135061</v>
      </c>
    </row>
    <row r="11" ht="24" customHeight="1" spans="1:6" x14ac:dyDescent="0.25">
      <c r="A11" s="13" t="s">
        <v>197</v>
      </c>
      <c r="B11" s="26">
        <f>SUM(B5:B10)</f>
        <v>1546000</v>
      </c>
      <c r="C11" s="26">
        <f>SUM(C5:C10)</f>
        <v>2564700</v>
      </c>
      <c r="D11" s="26">
        <f>SUM(D5:D10)</f>
        <v>3893503</v>
      </c>
      <c r="E11" s="26">
        <f>SUM(E5:E10)</f>
        <v>4977371</v>
      </c>
      <c r="F11" s="26">
        <f>SUM(F5:F10)</f>
        <v>5458718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"/>
  <sheetFormatPr defaultRowHeight="15" outlineLevelRow="0" outlineLevelCol="0" x14ac:dyDescent="55"/>
  <cols>
    <col min="1" max="1" width="28" customWidth="1"/>
    <col min="2" max="2" width="16" customWidth="1"/>
    <col min="3" max="3" width="10" customWidth="1"/>
    <col min="4" max="4" width="14" customWidth="1"/>
    <col min="5" max="6" width="12" customWidth="1"/>
    <col min="7" max="7" width="14" customWidth="1"/>
  </cols>
  <sheetData>
    <row r="1" spans="1:7" x14ac:dyDescent="0.25">
      <c r="A1" s="11" t="s">
        <v>32</v>
      </c>
      <c r="B1" s="11"/>
      <c r="C1" s="11"/>
      <c r="D1" s="11"/>
      <c r="E1" s="11"/>
      <c r="F1" s="11"/>
      <c r="G1" s="11"/>
    </row>
    <row r="3" ht="28" customHeight="1" spans="1:7" x14ac:dyDescent="0.25">
      <c r="A3" s="15" t="s">
        <v>114</v>
      </c>
      <c r="B3" s="15" t="s">
        <v>98</v>
      </c>
      <c r="C3" s="15" t="s">
        <v>116</v>
      </c>
      <c r="D3" s="15" t="s">
        <v>198</v>
      </c>
      <c r="E3" s="15" t="s">
        <v>118</v>
      </c>
      <c r="F3" s="15" t="s">
        <v>119</v>
      </c>
      <c r="G3" s="15" t="s">
        <v>199</v>
      </c>
    </row>
    <row r="4" spans="1:7" x14ac:dyDescent="0.25">
      <c r="A4" s="4" t="s">
        <v>120</v>
      </c>
      <c r="B4" s="4" t="s">
        <v>121</v>
      </c>
      <c r="C4" s="27">
        <v>1</v>
      </c>
      <c r="D4" s="25">
        <v>110000</v>
      </c>
      <c r="E4" s="24">
        <v>0.28</v>
      </c>
      <c r="F4" s="24">
        <v>0.0765</v>
      </c>
      <c r="G4" s="28">
        <v>149215</v>
      </c>
    </row>
    <row r="5" spans="1:7" x14ac:dyDescent="0.25">
      <c r="A5" s="4" t="s">
        <v>123</v>
      </c>
      <c r="B5" s="4" t="s">
        <v>121</v>
      </c>
      <c r="C5" s="27">
        <v>1</v>
      </c>
      <c r="D5" s="25">
        <v>90000</v>
      </c>
      <c r="E5" s="24">
        <v>0.28</v>
      </c>
      <c r="F5" s="24">
        <v>0.0765</v>
      </c>
      <c r="G5" s="28">
        <v>122085</v>
      </c>
    </row>
    <row r="6" spans="1:7" x14ac:dyDescent="0.25">
      <c r="A6" s="4" t="s">
        <v>124</v>
      </c>
      <c r="B6" s="4" t="s">
        <v>121</v>
      </c>
      <c r="C6" s="27">
        <v>1</v>
      </c>
      <c r="D6" s="25">
        <v>72000</v>
      </c>
      <c r="E6" s="24">
        <v>0.28</v>
      </c>
      <c r="F6" s="24">
        <v>0.0765</v>
      </c>
      <c r="G6" s="28">
        <v>97668</v>
      </c>
    </row>
    <row r="7" spans="1:7" x14ac:dyDescent="0.25">
      <c r="A7" s="4" t="s">
        <v>125</v>
      </c>
      <c r="B7" s="4" t="s">
        <v>126</v>
      </c>
      <c r="C7" s="27">
        <v>6</v>
      </c>
      <c r="D7" s="25">
        <v>52000</v>
      </c>
      <c r="E7" s="24">
        <v>0.28</v>
      </c>
      <c r="F7" s="24">
        <v>0.0765</v>
      </c>
      <c r="G7" s="28">
        <v>423228</v>
      </c>
    </row>
    <row r="8" spans="1:7" x14ac:dyDescent="0.25">
      <c r="A8" s="4" t="s">
        <v>127</v>
      </c>
      <c r="B8" s="4" t="s">
        <v>126</v>
      </c>
      <c r="C8" s="27">
        <v>1</v>
      </c>
      <c r="D8" s="25">
        <v>55000</v>
      </c>
      <c r="E8" s="24">
        <v>0.28</v>
      </c>
      <c r="F8" s="24">
        <v>0.0765</v>
      </c>
      <c r="G8" s="28">
        <v>74608</v>
      </c>
    </row>
    <row r="9" spans="1:7" x14ac:dyDescent="0.25">
      <c r="A9" s="4" t="s">
        <v>128</v>
      </c>
      <c r="B9" s="4" t="s">
        <v>126</v>
      </c>
      <c r="C9" s="27">
        <v>3</v>
      </c>
      <c r="D9" s="25">
        <v>30000</v>
      </c>
      <c r="E9" s="24">
        <v>0.2</v>
      </c>
      <c r="F9" s="24">
        <v>0.0765</v>
      </c>
      <c r="G9" s="28">
        <v>114885</v>
      </c>
    </row>
    <row r="10" spans="1:7" x14ac:dyDescent="0.25">
      <c r="A10" s="4" t="s">
        <v>129</v>
      </c>
      <c r="B10" s="4" t="s">
        <v>130</v>
      </c>
      <c r="C10" s="27">
        <v>1</v>
      </c>
      <c r="D10" s="25">
        <v>55000</v>
      </c>
      <c r="E10" s="24">
        <v>0.28</v>
      </c>
      <c r="F10" s="24">
        <v>0.0765</v>
      </c>
      <c r="G10" s="28">
        <v>74608</v>
      </c>
    </row>
    <row r="11" spans="1:7" x14ac:dyDescent="0.25">
      <c r="A11" s="4" t="s">
        <v>131</v>
      </c>
      <c r="B11" s="4" t="s">
        <v>132</v>
      </c>
      <c r="C11" s="27">
        <v>2</v>
      </c>
      <c r="D11" s="25">
        <v>38000</v>
      </c>
      <c r="E11" s="24">
        <v>0.25</v>
      </c>
      <c r="F11" s="24">
        <v>0.0765</v>
      </c>
      <c r="G11" s="28">
        <v>100814</v>
      </c>
    </row>
    <row r="12" spans="1:7" x14ac:dyDescent="0.25">
      <c r="A12" s="4" t="s">
        <v>133</v>
      </c>
      <c r="B12" s="4" t="s">
        <v>134</v>
      </c>
      <c r="C12" s="27">
        <v>1</v>
      </c>
      <c r="D12" s="25">
        <v>55000</v>
      </c>
      <c r="E12" s="24">
        <v>0.28</v>
      </c>
      <c r="F12" s="24">
        <v>0.0765</v>
      </c>
      <c r="G12" s="28">
        <v>74608</v>
      </c>
    </row>
    <row r="14" ht="24" customHeight="1" spans="1:7" x14ac:dyDescent="0.25">
      <c r="A14" s="13" t="s">
        <v>200</v>
      </c>
      <c r="B14" s="13"/>
      <c r="C14" s="13"/>
      <c r="D14" s="13"/>
      <c r="E14" s="13"/>
      <c r="F14" s="13"/>
      <c r="G14" s="13"/>
    </row>
    <row r="15" ht="28" customHeight="1" spans="1:6" x14ac:dyDescent="0.25">
      <c r="A15" s="15" t="s">
        <v>67</v>
      </c>
      <c r="B15" s="15" t="s">
        <v>90</v>
      </c>
      <c r="C15" s="15" t="s">
        <v>91</v>
      </c>
      <c r="D15" s="15" t="s">
        <v>92</v>
      </c>
      <c r="E15" s="15" t="s">
        <v>93</v>
      </c>
      <c r="F15" s="15" t="s">
        <v>94</v>
      </c>
    </row>
    <row r="16" spans="1:6" x14ac:dyDescent="0.25">
      <c r="A16" s="3" t="s">
        <v>201</v>
      </c>
      <c r="B16" s="26">
        <v>1026431</v>
      </c>
      <c r="C16" s="26">
        <v>1268669</v>
      </c>
      <c r="D16" s="26">
        <v>1306729</v>
      </c>
      <c r="E16" s="26">
        <v>1345931</v>
      </c>
      <c r="F16" s="26">
        <v>1386309</v>
      </c>
    </row>
    <row r="17" spans="1:6" x14ac:dyDescent="0.25">
      <c r="A17" s="4" t="s">
        <v>202</v>
      </c>
      <c r="B17" s="24">
        <v>0.6639270698576973</v>
      </c>
      <c r="C17" s="24">
        <v>0.49466566265060247</v>
      </c>
      <c r="D17" s="24">
        <v>0.3356178474114441</v>
      </c>
      <c r="E17" s="24">
        <v>0.27040998902305163</v>
      </c>
      <c r="F17" s="24">
        <v>0.25396237113402065</v>
      </c>
    </row>
    <row r="18" spans="1:6" x14ac:dyDescent="0.25">
      <c r="A18" s="4" t="s">
        <v>203</v>
      </c>
      <c r="B18" s="29">
        <v>7.1</v>
      </c>
      <c r="C18" s="29">
        <v>11.8</v>
      </c>
      <c r="D18" s="29">
        <v>17.6</v>
      </c>
      <c r="E18" s="29">
        <v>22.1</v>
      </c>
      <c r="F18" s="29">
        <v>23.5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4"/>
  <sheetFormatPr defaultRowHeight="15" outlineLevelRow="0" outlineLevelCol="0" x14ac:dyDescent="55"/>
  <cols>
    <col min="1" max="1" width="32" customWidth="1"/>
    <col min="2" max="7" width="16" customWidth="1"/>
  </cols>
  <sheetData>
    <row r="1" spans="1:6" x14ac:dyDescent="0.25">
      <c r="A1" s="11" t="s">
        <v>204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ht="24" customHeight="1" spans="1:6" x14ac:dyDescent="0.25">
      <c r="A4" s="13" t="s">
        <v>143</v>
      </c>
      <c r="B4" s="13"/>
      <c r="C4" s="13"/>
      <c r="D4" s="13"/>
      <c r="E4" s="13"/>
      <c r="F4" s="13"/>
    </row>
    <row r="5" spans="1:6" x14ac:dyDescent="0.25">
      <c r="A5" s="4" t="s">
        <v>205</v>
      </c>
      <c r="B5" s="25">
        <v>84000</v>
      </c>
      <c r="C5" s="25">
        <v>144200</v>
      </c>
      <c r="D5" s="25">
        <v>222789</v>
      </c>
      <c r="E5" s="25">
        <v>286841</v>
      </c>
      <c r="F5" s="25">
        <v>315142</v>
      </c>
    </row>
    <row r="6" spans="1:6" x14ac:dyDescent="0.25">
      <c r="A6" s="3" t="s">
        <v>206</v>
      </c>
      <c r="B6" s="30">
        <f>SUM(B5:B5)</f>
        <v>84000</v>
      </c>
      <c r="C6" s="30">
        <f>SUM(C5:C5)</f>
        <v>144200</v>
      </c>
      <c r="D6" s="30">
        <f>SUM(D5:D5)</f>
        <v>222789</v>
      </c>
      <c r="E6" s="30">
        <f>SUM(E5:E5)</f>
        <v>286841</v>
      </c>
      <c r="F6" s="30">
        <f>SUM(F5:F5)</f>
        <v>315142</v>
      </c>
    </row>
    <row r="7" ht="24" customHeight="1" spans="1:6" x14ac:dyDescent="0.25">
      <c r="A7" s="13" t="s">
        <v>145</v>
      </c>
      <c r="B7" s="13"/>
      <c r="C7" s="13"/>
      <c r="D7" s="13"/>
      <c r="E7" s="13"/>
      <c r="F7" s="13"/>
    </row>
    <row r="8" spans="1:6" x14ac:dyDescent="0.25">
      <c r="A8" s="4" t="s">
        <v>207</v>
      </c>
      <c r="B8" s="25">
        <v>60000</v>
      </c>
      <c r="C8" s="25">
        <v>103000</v>
      </c>
      <c r="D8" s="25">
        <v>159135</v>
      </c>
      <c r="E8" s="25">
        <v>204886</v>
      </c>
      <c r="F8" s="25">
        <v>225102</v>
      </c>
    </row>
    <row r="9" spans="1:6" x14ac:dyDescent="0.25">
      <c r="A9" s="3" t="s">
        <v>208</v>
      </c>
      <c r="B9" s="30">
        <f>SUM(B8:B8)</f>
        <v>60000</v>
      </c>
      <c r="C9" s="30">
        <f>SUM(C8:C8)</f>
        <v>103000</v>
      </c>
      <c r="D9" s="30">
        <f>SUM(D8:D8)</f>
        <v>159135</v>
      </c>
      <c r="E9" s="30">
        <f>SUM(E8:E8)</f>
        <v>204886</v>
      </c>
      <c r="F9" s="30">
        <f>SUM(F8:F8)</f>
        <v>225102</v>
      </c>
    </row>
    <row r="10" ht="24" customHeight="1" spans="1:6" x14ac:dyDescent="0.25">
      <c r="A10" s="13" t="s">
        <v>137</v>
      </c>
      <c r="B10" s="13"/>
      <c r="C10" s="13"/>
      <c r="D10" s="13"/>
      <c r="E10" s="13"/>
      <c r="F10" s="13"/>
    </row>
    <row r="11" spans="1:6" x14ac:dyDescent="0.25">
      <c r="A11" s="4" t="s">
        <v>209</v>
      </c>
      <c r="B11" s="25">
        <v>216000</v>
      </c>
      <c r="C11" s="25">
        <v>222480</v>
      </c>
      <c r="D11" s="25">
        <v>229154</v>
      </c>
      <c r="E11" s="25">
        <v>236029</v>
      </c>
      <c r="F11" s="25">
        <v>243110</v>
      </c>
    </row>
    <row r="12" spans="1:6" x14ac:dyDescent="0.25">
      <c r="A12" s="4" t="s">
        <v>210</v>
      </c>
      <c r="B12" s="25">
        <v>30000</v>
      </c>
      <c r="C12" s="25">
        <v>30900</v>
      </c>
      <c r="D12" s="25">
        <v>31827</v>
      </c>
      <c r="E12" s="25">
        <v>32782</v>
      </c>
      <c r="F12" s="25">
        <v>33765</v>
      </c>
    </row>
    <row r="13" spans="1:6" x14ac:dyDescent="0.25">
      <c r="A13" s="4" t="s">
        <v>211</v>
      </c>
      <c r="B13" s="25">
        <v>18000</v>
      </c>
      <c r="C13" s="25">
        <v>18540</v>
      </c>
      <c r="D13" s="25">
        <v>19096</v>
      </c>
      <c r="E13" s="25">
        <v>19669</v>
      </c>
      <c r="F13" s="25">
        <v>20259</v>
      </c>
    </row>
    <row r="14" spans="1:6" x14ac:dyDescent="0.25">
      <c r="A14" s="4" t="s">
        <v>212</v>
      </c>
      <c r="B14" s="25">
        <v>18000</v>
      </c>
      <c r="C14" s="25">
        <v>18540</v>
      </c>
      <c r="D14" s="25">
        <v>19096</v>
      </c>
      <c r="E14" s="25">
        <v>19669</v>
      </c>
      <c r="F14" s="25">
        <v>20259</v>
      </c>
    </row>
    <row r="15" spans="1:6" x14ac:dyDescent="0.25">
      <c r="A15" s="3" t="s">
        <v>213</v>
      </c>
      <c r="B15" s="30">
        <f>SUM(B11:B14)</f>
        <v>282000</v>
      </c>
      <c r="C15" s="30">
        <f>SUM(C11:C14)</f>
        <v>290460</v>
      </c>
      <c r="D15" s="30">
        <f>SUM(D11:D14)</f>
        <v>299174</v>
      </c>
      <c r="E15" s="30">
        <f>SUM(E11:E14)</f>
        <v>308149</v>
      </c>
      <c r="F15" s="30">
        <f>SUM(F11:F14)</f>
        <v>317393</v>
      </c>
    </row>
    <row r="16" ht="24" customHeight="1" spans="1:6" x14ac:dyDescent="0.25">
      <c r="A16" s="13" t="s">
        <v>147</v>
      </c>
      <c r="B16" s="13"/>
      <c r="C16" s="13"/>
      <c r="D16" s="13"/>
      <c r="E16" s="13"/>
      <c r="F16" s="13"/>
    </row>
    <row r="17" spans="1:6" x14ac:dyDescent="0.25">
      <c r="A17" s="4" t="s">
        <v>214</v>
      </c>
      <c r="B17" s="25">
        <v>25000</v>
      </c>
      <c r="C17" s="25">
        <v>25750</v>
      </c>
      <c r="D17" s="25">
        <v>26523</v>
      </c>
      <c r="E17" s="25">
        <v>27318</v>
      </c>
      <c r="F17" s="25">
        <v>28138</v>
      </c>
    </row>
    <row r="18" spans="1:6" x14ac:dyDescent="0.25">
      <c r="A18" s="4" t="s">
        <v>215</v>
      </c>
      <c r="B18" s="25">
        <v>15000</v>
      </c>
      <c r="C18" s="25">
        <v>15450</v>
      </c>
      <c r="D18" s="25">
        <v>15914</v>
      </c>
      <c r="E18" s="25">
        <v>16391</v>
      </c>
      <c r="F18" s="25">
        <v>16883</v>
      </c>
    </row>
    <row r="19" spans="1:6" x14ac:dyDescent="0.25">
      <c r="A19" s="4" t="s">
        <v>216</v>
      </c>
      <c r="B19" s="25">
        <v>20000</v>
      </c>
      <c r="C19" s="25">
        <v>20600</v>
      </c>
      <c r="D19" s="25">
        <v>21218</v>
      </c>
      <c r="E19" s="25">
        <v>21855</v>
      </c>
      <c r="F19" s="25">
        <v>22510</v>
      </c>
    </row>
    <row r="20" spans="1:6" x14ac:dyDescent="0.25">
      <c r="A20" s="4" t="s">
        <v>217</v>
      </c>
      <c r="B20" s="25">
        <v>96000</v>
      </c>
      <c r="C20" s="25">
        <v>164800</v>
      </c>
      <c r="D20" s="25">
        <v>254616</v>
      </c>
      <c r="E20" s="25">
        <v>327818</v>
      </c>
      <c r="F20" s="25">
        <v>360163</v>
      </c>
    </row>
    <row r="21" spans="1:6" x14ac:dyDescent="0.25">
      <c r="A21" s="4" t="s">
        <v>218</v>
      </c>
      <c r="B21" s="25">
        <v>72000</v>
      </c>
      <c r="C21" s="25">
        <v>123600</v>
      </c>
      <c r="D21" s="25">
        <v>190962</v>
      </c>
      <c r="E21" s="25">
        <v>245864</v>
      </c>
      <c r="F21" s="25">
        <v>270122</v>
      </c>
    </row>
    <row r="22" spans="1:6" x14ac:dyDescent="0.25">
      <c r="A22" s="3" t="s">
        <v>219</v>
      </c>
      <c r="B22" s="30">
        <f>SUM(B17:B21)</f>
        <v>228000</v>
      </c>
      <c r="C22" s="30">
        <f>SUM(C17:C21)</f>
        <v>350200</v>
      </c>
      <c r="D22" s="30">
        <f>SUM(D17:D21)</f>
        <v>509232</v>
      </c>
      <c r="E22" s="30">
        <f>SUM(E17:E21)</f>
        <v>639245</v>
      </c>
      <c r="F22" s="30">
        <f>SUM(F17:F21)</f>
        <v>697815</v>
      </c>
    </row>
    <row r="24" ht="24" customHeight="1" spans="1:6" x14ac:dyDescent="0.25">
      <c r="A24" s="13" t="s">
        <v>220</v>
      </c>
      <c r="B24" s="26">
        <f>B6+B9+B15+B22</f>
        <v>654000</v>
      </c>
      <c r="C24" s="26">
        <f>C6+C9+C15+C22</f>
        <v>887860</v>
      </c>
      <c r="D24" s="26">
        <f>D6+D9+D15+D22</f>
        <v>1190330</v>
      </c>
      <c r="E24" s="26">
        <f>E6+E9+E15+E22</f>
        <v>1439121</v>
      </c>
      <c r="F24" s="26">
        <f>F6+F9+F15+F22</f>
        <v>1555453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FormatPr defaultRowHeight="15" outlineLevelRow="0" outlineLevelCol="0" x14ac:dyDescent="55"/>
  <cols>
    <col min="1" max="1" width="28" customWidth="1"/>
    <col min="2" max="4" width="14" customWidth="1"/>
    <col min="5" max="6" width="16" customWidth="1"/>
  </cols>
  <sheetData>
    <row r="1" spans="1:6" x14ac:dyDescent="0.25">
      <c r="A1" s="11" t="s">
        <v>221</v>
      </c>
      <c r="B1" s="11"/>
      <c r="C1" s="11"/>
      <c r="D1" s="11"/>
      <c r="E1" s="11"/>
      <c r="F1" s="11"/>
    </row>
    <row r="3" ht="28" customHeight="1" spans="1:6" x14ac:dyDescent="0.25">
      <c r="A3" s="15" t="s">
        <v>153</v>
      </c>
      <c r="B3" s="15" t="s">
        <v>115</v>
      </c>
      <c r="C3" s="15" t="s">
        <v>123</v>
      </c>
      <c r="D3" s="15" t="s">
        <v>117</v>
      </c>
      <c r="E3" s="15" t="s">
        <v>154</v>
      </c>
      <c r="F3" s="15" t="s">
        <v>222</v>
      </c>
    </row>
    <row r="4" spans="1:6" x14ac:dyDescent="0.25">
      <c r="A4" s="4" t="s">
        <v>155</v>
      </c>
      <c r="B4" s="4" t="s">
        <v>156</v>
      </c>
      <c r="C4" s="17">
        <v>500000</v>
      </c>
      <c r="D4" s="24">
        <v>0.0575</v>
      </c>
      <c r="E4" s="22">
        <v>15</v>
      </c>
      <c r="F4" s="28">
        <v>49825</v>
      </c>
    </row>
    <row r="5" spans="1:6" x14ac:dyDescent="0.25">
      <c r="A5" s="4" t="s">
        <v>157</v>
      </c>
      <c r="B5" s="4" t="s">
        <v>223</v>
      </c>
      <c r="C5" s="17">
        <v>75000</v>
      </c>
      <c r="D5" s="24">
        <v>0</v>
      </c>
      <c r="E5" s="22">
        <v>0</v>
      </c>
      <c r="F5" s="28">
        <v>75000</v>
      </c>
    </row>
    <row r="6" spans="1:6" x14ac:dyDescent="0.25">
      <c r="A6" s="4" t="s">
        <v>159</v>
      </c>
      <c r="B6" s="4" t="s">
        <v>223</v>
      </c>
      <c r="C6" s="17">
        <v>40000</v>
      </c>
      <c r="D6" s="24">
        <v>0</v>
      </c>
      <c r="E6" s="22">
        <v>0</v>
      </c>
      <c r="F6" s="28">
        <v>40000</v>
      </c>
    </row>
    <row r="8" spans="1:6" x14ac:dyDescent="0.25">
      <c r="A8" s="3" t="s">
        <v>224</v>
      </c>
      <c r="F8" s="26">
        <v>49825</v>
      </c>
    </row>
    <row r="9" spans="1:6" x14ac:dyDescent="0.25">
      <c r="A9" s="3" t="s">
        <v>225</v>
      </c>
      <c r="F9" s="30">
        <v>500000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226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spans="1:6" x14ac:dyDescent="0.25">
      <c r="A4" s="3" t="s">
        <v>95</v>
      </c>
      <c r="B4" s="31">
        <v>120</v>
      </c>
      <c r="C4" s="31">
        <v>200</v>
      </c>
      <c r="D4" s="31">
        <v>300</v>
      </c>
      <c r="E4" s="31">
        <v>375</v>
      </c>
      <c r="F4" s="31">
        <v>400</v>
      </c>
    </row>
    <row r="6" ht="24" customHeight="1" spans="1:6" x14ac:dyDescent="0.25">
      <c r="A6" s="13" t="s">
        <v>227</v>
      </c>
      <c r="B6" s="13"/>
      <c r="C6" s="13"/>
      <c r="D6" s="13"/>
      <c r="E6" s="13"/>
      <c r="F6" s="13"/>
    </row>
    <row r="7" spans="1:6" x14ac:dyDescent="0.25">
      <c r="A7" s="4" t="s">
        <v>102</v>
      </c>
      <c r="B7" s="25">
        <v>1140000</v>
      </c>
      <c r="C7" s="25">
        <v>1957000</v>
      </c>
      <c r="D7" s="25">
        <v>3023565</v>
      </c>
      <c r="E7" s="25">
        <v>3892840</v>
      </c>
      <c r="F7" s="25">
        <v>4276933</v>
      </c>
    </row>
    <row r="8" spans="1:6" x14ac:dyDescent="0.25">
      <c r="A8" s="4" t="s">
        <v>105</v>
      </c>
      <c r="B8" s="25">
        <v>96000</v>
      </c>
      <c r="C8" s="25">
        <v>164800</v>
      </c>
      <c r="D8" s="25">
        <v>254616</v>
      </c>
      <c r="E8" s="25">
        <v>327818</v>
      </c>
      <c r="F8" s="25">
        <v>360163</v>
      </c>
    </row>
    <row r="9" spans="1:6" x14ac:dyDescent="0.25">
      <c r="A9" s="4" t="s">
        <v>106</v>
      </c>
      <c r="B9" s="25">
        <v>144000</v>
      </c>
      <c r="C9" s="25">
        <v>247200</v>
      </c>
      <c r="D9" s="25">
        <v>381924</v>
      </c>
      <c r="E9" s="25">
        <v>491727</v>
      </c>
      <c r="F9" s="25">
        <v>540244</v>
      </c>
    </row>
    <row r="10" spans="1:6" x14ac:dyDescent="0.25">
      <c r="A10" s="4" t="s">
        <v>107</v>
      </c>
      <c r="B10" s="25">
        <v>100000</v>
      </c>
      <c r="C10" s="25">
        <v>103000</v>
      </c>
      <c r="D10" s="25">
        <v>106090</v>
      </c>
      <c r="E10" s="25">
        <v>109273</v>
      </c>
      <c r="F10" s="25">
        <v>112551</v>
      </c>
    </row>
    <row r="11" spans="1:6" x14ac:dyDescent="0.25">
      <c r="A11" s="4" t="s">
        <v>110</v>
      </c>
      <c r="B11" s="25">
        <v>30000</v>
      </c>
      <c r="C11" s="25">
        <v>30900</v>
      </c>
      <c r="D11" s="25">
        <v>31827</v>
      </c>
      <c r="E11" s="25">
        <v>32782</v>
      </c>
      <c r="F11" s="25">
        <v>33765</v>
      </c>
    </row>
    <row r="12" spans="1:6" x14ac:dyDescent="0.25">
      <c r="A12" s="4" t="s">
        <v>111</v>
      </c>
      <c r="B12" s="25">
        <v>36000</v>
      </c>
      <c r="C12" s="25">
        <v>61800</v>
      </c>
      <c r="D12" s="25">
        <v>95481</v>
      </c>
      <c r="E12" s="25">
        <v>122932</v>
      </c>
      <c r="F12" s="25">
        <v>135061</v>
      </c>
    </row>
    <row r="13" ht="24" customHeight="1" spans="1:6" x14ac:dyDescent="0.25">
      <c r="A13" s="13" t="s">
        <v>197</v>
      </c>
      <c r="B13" s="26">
        <f>SUM(B7:B12)</f>
        <v>1546000</v>
      </c>
      <c r="C13" s="26">
        <f>SUM(C7:C12)</f>
        <v>2564700</v>
      </c>
      <c r="D13" s="26">
        <f>SUM(D7:D12)</f>
        <v>3893503</v>
      </c>
      <c r="E13" s="26">
        <f>SUM(E7:E12)</f>
        <v>4977371</v>
      </c>
      <c r="F13" s="26">
        <f>SUM(F7:F12)</f>
        <v>5458718</v>
      </c>
    </row>
    <row r="15" spans="1:6" x14ac:dyDescent="0.25">
      <c r="A15" s="4" t="s">
        <v>228</v>
      </c>
      <c r="B15" s="25">
        <v>12883</v>
      </c>
      <c r="C15" s="25">
        <v>12824</v>
      </c>
      <c r="D15" s="25">
        <v>12978</v>
      </c>
      <c r="E15" s="25">
        <v>13273</v>
      </c>
      <c r="F15" s="25">
        <v>13647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4"/>
  <sheetFormatPr defaultRowHeight="15" outlineLevelRow="0" outlineLevelCol="0" x14ac:dyDescent="55"/>
  <cols>
    <col min="1" max="1" width="30" customWidth="1"/>
    <col min="2" max="6" width="16" customWidth="1"/>
  </cols>
  <sheetData>
    <row r="1" spans="1:6" x14ac:dyDescent="0.25">
      <c r="A1" s="11" t="s">
        <v>229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ht="24" customHeight="1" spans="1:6" x14ac:dyDescent="0.25">
      <c r="A4" s="13" t="s">
        <v>126</v>
      </c>
      <c r="B4" s="13"/>
      <c r="C4" s="13"/>
      <c r="D4" s="13"/>
      <c r="E4" s="13"/>
      <c r="F4" s="13"/>
    </row>
    <row r="5" spans="1:6" x14ac:dyDescent="0.25">
      <c r="A5" s="4" t="s">
        <v>230</v>
      </c>
      <c r="B5" s="25">
        <v>352690</v>
      </c>
      <c r="C5" s="25">
        <v>435925</v>
      </c>
      <c r="D5" s="25">
        <v>449003</v>
      </c>
      <c r="E5" s="25">
        <v>462473</v>
      </c>
      <c r="F5" s="25">
        <v>476347</v>
      </c>
    </row>
    <row r="6" spans="1:6" x14ac:dyDescent="0.25">
      <c r="A6" s="4" t="s">
        <v>231</v>
      </c>
      <c r="B6" s="25">
        <v>62173</v>
      </c>
      <c r="C6" s="25">
        <v>76846</v>
      </c>
      <c r="D6" s="25">
        <v>79151</v>
      </c>
      <c r="E6" s="25">
        <v>81526</v>
      </c>
      <c r="F6" s="25">
        <v>83971</v>
      </c>
    </row>
    <row r="7" spans="1:6" x14ac:dyDescent="0.25">
      <c r="A7" s="4" t="s">
        <v>232</v>
      </c>
      <c r="B7" s="25">
        <v>95738</v>
      </c>
      <c r="C7" s="25">
        <v>118332</v>
      </c>
      <c r="D7" s="25">
        <v>121881</v>
      </c>
      <c r="E7" s="25">
        <v>125538</v>
      </c>
      <c r="F7" s="25">
        <v>129304</v>
      </c>
    </row>
    <row r="8" spans="1:6" x14ac:dyDescent="0.25">
      <c r="A8" s="3" t="s">
        <v>233</v>
      </c>
      <c r="B8" s="30">
        <f>SUM(B5:B7)</f>
        <v>510600</v>
      </c>
      <c r="C8" s="30">
        <f>SUM(C5:C7)</f>
        <v>631102</v>
      </c>
      <c r="D8" s="30">
        <f>SUM(D5:D7)</f>
        <v>650035</v>
      </c>
      <c r="E8" s="30">
        <f>SUM(E5:E7)</f>
        <v>669536</v>
      </c>
      <c r="F8" s="30">
        <f>SUM(F5:F7)</f>
        <v>689622</v>
      </c>
    </row>
    <row r="9" ht="24" customHeight="1" spans="1:6" x14ac:dyDescent="0.25">
      <c r="A9" s="13" t="s">
        <v>121</v>
      </c>
      <c r="B9" s="13"/>
      <c r="C9" s="13"/>
      <c r="D9" s="13"/>
      <c r="E9" s="13"/>
      <c r="F9" s="13"/>
    </row>
    <row r="10" spans="1:6" x14ac:dyDescent="0.25">
      <c r="A10" s="4" t="s">
        <v>234</v>
      </c>
      <c r="B10" s="25">
        <v>124346</v>
      </c>
      <c r="C10" s="25">
        <v>153691</v>
      </c>
      <c r="D10" s="25">
        <v>158302</v>
      </c>
      <c r="E10" s="25">
        <v>163051</v>
      </c>
      <c r="F10" s="25">
        <v>167943</v>
      </c>
    </row>
    <row r="11" spans="1:6" x14ac:dyDescent="0.25">
      <c r="A11" s="4" t="s">
        <v>235</v>
      </c>
      <c r="B11" s="25">
        <v>101738</v>
      </c>
      <c r="C11" s="25">
        <v>125748</v>
      </c>
      <c r="D11" s="25">
        <v>129520</v>
      </c>
      <c r="E11" s="25">
        <v>133406</v>
      </c>
      <c r="F11" s="25">
        <v>137408</v>
      </c>
    </row>
    <row r="12" spans="1:6" x14ac:dyDescent="0.25">
      <c r="A12" s="4" t="s">
        <v>236</v>
      </c>
      <c r="B12" s="25">
        <v>81390</v>
      </c>
      <c r="C12" s="25">
        <v>100598</v>
      </c>
      <c r="D12" s="25">
        <v>103616</v>
      </c>
      <c r="E12" s="25">
        <v>106724</v>
      </c>
      <c r="F12" s="25">
        <v>109926</v>
      </c>
    </row>
    <row r="13" spans="1:6" x14ac:dyDescent="0.25">
      <c r="A13" s="3" t="s">
        <v>237</v>
      </c>
      <c r="B13" s="30">
        <f>SUM(B10:B12)</f>
        <v>307473</v>
      </c>
      <c r="C13" s="30">
        <f>SUM(C10:C12)</f>
        <v>380037</v>
      </c>
      <c r="D13" s="30">
        <f>SUM(D10:D12)</f>
        <v>391438</v>
      </c>
      <c r="E13" s="30">
        <f>SUM(E10:E12)</f>
        <v>403181</v>
      </c>
      <c r="F13" s="30">
        <f>SUM(F10:F12)</f>
        <v>415277</v>
      </c>
    </row>
    <row r="14" ht="24" customHeight="1" spans="1:6" x14ac:dyDescent="0.25">
      <c r="A14" s="13" t="s">
        <v>134</v>
      </c>
      <c r="B14" s="13"/>
      <c r="C14" s="13"/>
      <c r="D14" s="13"/>
      <c r="E14" s="13"/>
      <c r="F14" s="13"/>
    </row>
    <row r="15" spans="1:6" x14ac:dyDescent="0.25">
      <c r="A15" s="4" t="s">
        <v>238</v>
      </c>
      <c r="B15" s="25">
        <v>62173</v>
      </c>
      <c r="C15" s="25">
        <v>76846</v>
      </c>
      <c r="D15" s="25">
        <v>79151</v>
      </c>
      <c r="E15" s="25">
        <v>81526</v>
      </c>
      <c r="F15" s="25">
        <v>83971</v>
      </c>
    </row>
    <row r="16" spans="1:6" x14ac:dyDescent="0.25">
      <c r="A16" s="3" t="s">
        <v>239</v>
      </c>
      <c r="B16" s="30">
        <f>SUM(B15:B15)</f>
        <v>62173</v>
      </c>
      <c r="C16" s="30">
        <f>SUM(C15:C15)</f>
        <v>76846</v>
      </c>
      <c r="D16" s="30">
        <f>SUM(D15:D15)</f>
        <v>79151</v>
      </c>
      <c r="E16" s="30">
        <f>SUM(E15:E15)</f>
        <v>81526</v>
      </c>
      <c r="F16" s="30">
        <f>SUM(F15:F15)</f>
        <v>83971</v>
      </c>
    </row>
    <row r="17" ht="24" customHeight="1" spans="1:6" x14ac:dyDescent="0.25">
      <c r="A17" s="13" t="s">
        <v>130</v>
      </c>
      <c r="B17" s="13"/>
      <c r="C17" s="13"/>
      <c r="D17" s="13"/>
      <c r="E17" s="13"/>
      <c r="F17" s="13"/>
    </row>
    <row r="18" spans="1:6" x14ac:dyDescent="0.25">
      <c r="A18" s="4" t="s">
        <v>240</v>
      </c>
      <c r="B18" s="25">
        <v>62173</v>
      </c>
      <c r="C18" s="25">
        <v>76846</v>
      </c>
      <c r="D18" s="25">
        <v>79151</v>
      </c>
      <c r="E18" s="25">
        <v>81526</v>
      </c>
      <c r="F18" s="25">
        <v>83971</v>
      </c>
    </row>
    <row r="19" spans="1:6" x14ac:dyDescent="0.25">
      <c r="A19" s="3" t="s">
        <v>241</v>
      </c>
      <c r="B19" s="30">
        <f>SUM(B18:B18)</f>
        <v>62173</v>
      </c>
      <c r="C19" s="30">
        <f>SUM(C18:C18)</f>
        <v>76846</v>
      </c>
      <c r="D19" s="30">
        <f>SUM(D18:D18)</f>
        <v>79151</v>
      </c>
      <c r="E19" s="30">
        <f>SUM(E18:E18)</f>
        <v>81526</v>
      </c>
      <c r="F19" s="30">
        <f>SUM(F18:F18)</f>
        <v>83971</v>
      </c>
    </row>
    <row r="20" ht="24" customHeight="1" spans="1:6" x14ac:dyDescent="0.25">
      <c r="A20" s="13" t="s">
        <v>132</v>
      </c>
      <c r="B20" s="13"/>
      <c r="C20" s="13"/>
      <c r="D20" s="13"/>
      <c r="E20" s="13"/>
      <c r="F20" s="13"/>
    </row>
    <row r="21" spans="1:6" x14ac:dyDescent="0.25">
      <c r="A21" s="4" t="s">
        <v>242</v>
      </c>
      <c r="B21" s="25">
        <v>84012</v>
      </c>
      <c r="C21" s="25">
        <v>103838</v>
      </c>
      <c r="D21" s="25">
        <v>106954</v>
      </c>
      <c r="E21" s="25">
        <v>110162</v>
      </c>
      <c r="F21" s="25">
        <v>113467</v>
      </c>
    </row>
    <row r="22" spans="1:6" x14ac:dyDescent="0.25">
      <c r="A22" s="3" t="s">
        <v>243</v>
      </c>
      <c r="B22" s="30">
        <f>SUM(B21:B21)</f>
        <v>84012</v>
      </c>
      <c r="C22" s="30">
        <f>SUM(C21:C21)</f>
        <v>103838</v>
      </c>
      <c r="D22" s="30">
        <f>SUM(D21:D21)</f>
        <v>106954</v>
      </c>
      <c r="E22" s="30">
        <f>SUM(E21:E21)</f>
        <v>110162</v>
      </c>
      <c r="F22" s="30">
        <f>SUM(F21:F21)</f>
        <v>113467</v>
      </c>
    </row>
    <row r="24" ht="24" customHeight="1" spans="1:6" x14ac:dyDescent="0.25">
      <c r="A24" s="13" t="s">
        <v>244</v>
      </c>
      <c r="B24" s="26">
        <f>B8+B13+B16+B19+B22</f>
        <v>1026431</v>
      </c>
      <c r="C24" s="26">
        <f>C8+C13+C16+C19+C22</f>
        <v>1268669</v>
      </c>
      <c r="D24" s="26">
        <f>D8+D13+D16+D19+D22</f>
        <v>1306729</v>
      </c>
      <c r="E24" s="26">
        <f>E8+E13+E16+E19+E22</f>
        <v>1345931</v>
      </c>
      <c r="F24" s="26">
        <f>F8+F13+F16+F19+F22</f>
        <v>1386309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9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245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ht="24" customHeight="1" spans="1:6" x14ac:dyDescent="0.25">
      <c r="A4" s="13" t="s">
        <v>246</v>
      </c>
      <c r="B4" s="13"/>
      <c r="C4" s="13"/>
      <c r="D4" s="13"/>
      <c r="E4" s="13"/>
      <c r="F4" s="13"/>
    </row>
    <row r="5" spans="1:6" x14ac:dyDescent="0.25">
      <c r="A5" s="4" t="s">
        <v>247</v>
      </c>
      <c r="B5" s="25">
        <v>950000</v>
      </c>
      <c r="C5" s="25">
        <v>1957000</v>
      </c>
      <c r="D5" s="25">
        <v>3023565</v>
      </c>
      <c r="E5" s="25">
        <v>3892840</v>
      </c>
      <c r="F5" s="25">
        <v>4276933</v>
      </c>
    </row>
    <row r="6" spans="1:6" x14ac:dyDescent="0.25">
      <c r="A6" s="4" t="s">
        <v>248</v>
      </c>
      <c r="B6" s="25">
        <v>80000</v>
      </c>
      <c r="C6" s="25">
        <v>164800</v>
      </c>
      <c r="D6" s="25">
        <v>254616</v>
      </c>
      <c r="E6" s="25">
        <v>327818</v>
      </c>
      <c r="F6" s="25">
        <v>360163</v>
      </c>
    </row>
    <row r="7" spans="1:6" x14ac:dyDescent="0.25">
      <c r="A7" s="4" t="s">
        <v>249</v>
      </c>
      <c r="B7" s="25">
        <v>120000</v>
      </c>
      <c r="C7" s="25">
        <v>247200</v>
      </c>
      <c r="D7" s="25">
        <v>381924</v>
      </c>
      <c r="E7" s="25">
        <v>491727</v>
      </c>
      <c r="F7" s="25">
        <v>540244</v>
      </c>
    </row>
    <row r="8" spans="1:6" x14ac:dyDescent="0.25">
      <c r="A8" s="4" t="s">
        <v>250</v>
      </c>
      <c r="B8" s="25">
        <v>83333</v>
      </c>
      <c r="C8" s="25">
        <v>103000</v>
      </c>
      <c r="D8" s="25">
        <v>106090</v>
      </c>
      <c r="E8" s="25">
        <v>109273</v>
      </c>
      <c r="F8" s="25">
        <v>112551</v>
      </c>
    </row>
    <row r="9" spans="1:6" x14ac:dyDescent="0.25">
      <c r="A9" s="4" t="s">
        <v>251</v>
      </c>
      <c r="B9" s="25">
        <v>25000</v>
      </c>
      <c r="C9" s="25">
        <v>30900</v>
      </c>
      <c r="D9" s="25">
        <v>31827</v>
      </c>
      <c r="E9" s="25">
        <v>32782</v>
      </c>
      <c r="F9" s="25">
        <v>33765</v>
      </c>
    </row>
    <row r="10" spans="1:6" x14ac:dyDescent="0.25">
      <c r="A10" s="4" t="s">
        <v>252</v>
      </c>
      <c r="B10" s="25">
        <v>30000</v>
      </c>
      <c r="C10" s="25">
        <v>61800</v>
      </c>
      <c r="D10" s="25">
        <v>95481</v>
      </c>
      <c r="E10" s="25">
        <v>122932</v>
      </c>
      <c r="F10" s="25">
        <v>135061</v>
      </c>
    </row>
    <row r="11" spans="1:6" x14ac:dyDescent="0.25">
      <c r="A11" s="3" t="s">
        <v>253</v>
      </c>
      <c r="B11" s="30">
        <f>SUM(B5:B10)</f>
        <v>1288333</v>
      </c>
      <c r="C11" s="30">
        <f>SUM(C5:C10)</f>
        <v>2564700</v>
      </c>
      <c r="D11" s="30">
        <f>SUM(D5:D10)</f>
        <v>3893503</v>
      </c>
      <c r="E11" s="30">
        <f>SUM(E5:E10)</f>
        <v>4977371</v>
      </c>
      <c r="F11" s="30">
        <f>SUM(F5:F10)</f>
        <v>5458718</v>
      </c>
    </row>
    <row r="13" ht="24" customHeight="1" spans="1:6" x14ac:dyDescent="0.25">
      <c r="A13" s="13" t="s">
        <v>254</v>
      </c>
      <c r="B13" s="13"/>
      <c r="C13" s="13"/>
      <c r="D13" s="13"/>
      <c r="E13" s="13"/>
      <c r="F13" s="13"/>
    </row>
    <row r="14" spans="1:6" x14ac:dyDescent="0.25">
      <c r="A14" s="4" t="s">
        <v>234</v>
      </c>
      <c r="B14" s="25">
        <v>124346</v>
      </c>
      <c r="C14" s="25">
        <v>153691</v>
      </c>
      <c r="D14" s="25">
        <v>158302</v>
      </c>
      <c r="E14" s="25">
        <v>163051</v>
      </c>
      <c r="F14" s="25">
        <v>167943</v>
      </c>
    </row>
    <row r="15" spans="1:6" x14ac:dyDescent="0.25">
      <c r="A15" s="4" t="s">
        <v>235</v>
      </c>
      <c r="B15" s="25">
        <v>101738</v>
      </c>
      <c r="C15" s="25">
        <v>125748</v>
      </c>
      <c r="D15" s="25">
        <v>129520</v>
      </c>
      <c r="E15" s="25">
        <v>133406</v>
      </c>
      <c r="F15" s="25">
        <v>137408</v>
      </c>
    </row>
    <row r="16" spans="1:6" x14ac:dyDescent="0.25">
      <c r="A16" s="4" t="s">
        <v>236</v>
      </c>
      <c r="B16" s="25">
        <v>81390</v>
      </c>
      <c r="C16" s="25">
        <v>100598</v>
      </c>
      <c r="D16" s="25">
        <v>103616</v>
      </c>
      <c r="E16" s="25">
        <v>106724</v>
      </c>
      <c r="F16" s="25">
        <v>109926</v>
      </c>
    </row>
    <row r="17" spans="1:6" x14ac:dyDescent="0.25">
      <c r="A17" s="4" t="s">
        <v>230</v>
      </c>
      <c r="B17" s="25">
        <v>352690</v>
      </c>
      <c r="C17" s="25">
        <v>435925</v>
      </c>
      <c r="D17" s="25">
        <v>449003</v>
      </c>
      <c r="E17" s="25">
        <v>462473</v>
      </c>
      <c r="F17" s="25">
        <v>476347</v>
      </c>
    </row>
    <row r="18" spans="1:6" x14ac:dyDescent="0.25">
      <c r="A18" s="4" t="s">
        <v>231</v>
      </c>
      <c r="B18" s="25">
        <v>62173</v>
      </c>
      <c r="C18" s="25">
        <v>76846</v>
      </c>
      <c r="D18" s="25">
        <v>79151</v>
      </c>
      <c r="E18" s="25">
        <v>81526</v>
      </c>
      <c r="F18" s="25">
        <v>83971</v>
      </c>
    </row>
    <row r="19" spans="1:6" x14ac:dyDescent="0.25">
      <c r="A19" s="4" t="s">
        <v>232</v>
      </c>
      <c r="B19" s="25">
        <v>95738</v>
      </c>
      <c r="C19" s="25">
        <v>118332</v>
      </c>
      <c r="D19" s="25">
        <v>121881</v>
      </c>
      <c r="E19" s="25">
        <v>125538</v>
      </c>
      <c r="F19" s="25">
        <v>129304</v>
      </c>
    </row>
    <row r="20" spans="1:6" x14ac:dyDescent="0.25">
      <c r="A20" s="4" t="s">
        <v>240</v>
      </c>
      <c r="B20" s="25">
        <v>62173</v>
      </c>
      <c r="C20" s="25">
        <v>76846</v>
      </c>
      <c r="D20" s="25">
        <v>79151</v>
      </c>
      <c r="E20" s="25">
        <v>81526</v>
      </c>
      <c r="F20" s="25">
        <v>83971</v>
      </c>
    </row>
    <row r="21" spans="1:6" x14ac:dyDescent="0.25">
      <c r="A21" s="4" t="s">
        <v>242</v>
      </c>
      <c r="B21" s="25">
        <v>84012</v>
      </c>
      <c r="C21" s="25">
        <v>103838</v>
      </c>
      <c r="D21" s="25">
        <v>106954</v>
      </c>
      <c r="E21" s="25">
        <v>110162</v>
      </c>
      <c r="F21" s="25">
        <v>113467</v>
      </c>
    </row>
    <row r="22" spans="1:6" x14ac:dyDescent="0.25">
      <c r="A22" s="4" t="s">
        <v>238</v>
      </c>
      <c r="B22" s="25">
        <v>62173</v>
      </c>
      <c r="C22" s="25">
        <v>76846</v>
      </c>
      <c r="D22" s="25">
        <v>79151</v>
      </c>
      <c r="E22" s="25">
        <v>81526</v>
      </c>
      <c r="F22" s="25">
        <v>83971</v>
      </c>
    </row>
    <row r="23" spans="1:6" x14ac:dyDescent="0.25">
      <c r="A23" s="3" t="s">
        <v>201</v>
      </c>
      <c r="B23" s="30">
        <f>SUM(B14:B22)</f>
        <v>1026431</v>
      </c>
      <c r="C23" s="30">
        <f>SUM(C14:C22)</f>
        <v>1268669</v>
      </c>
      <c r="D23" s="30">
        <f>SUM(D14:D22)</f>
        <v>1306729</v>
      </c>
      <c r="E23" s="30">
        <f>SUM(E14:E22)</f>
        <v>1345931</v>
      </c>
      <c r="F23" s="30">
        <f>SUM(F14:F22)</f>
        <v>1386309</v>
      </c>
    </row>
    <row r="25" ht="24" customHeight="1" spans="1:6" x14ac:dyDescent="0.25">
      <c r="A25" s="13" t="s">
        <v>135</v>
      </c>
      <c r="B25" s="13"/>
      <c r="C25" s="13"/>
      <c r="D25" s="13"/>
      <c r="E25" s="13"/>
      <c r="F25" s="13"/>
    </row>
    <row r="26" spans="1:1" x14ac:dyDescent="0.25">
      <c r="A26" s="32" t="s">
        <v>143</v>
      </c>
    </row>
    <row r="27" spans="1:6" x14ac:dyDescent="0.25">
      <c r="A27" s="4" t="s">
        <v>255</v>
      </c>
      <c r="B27" s="25">
        <v>70000</v>
      </c>
      <c r="C27" s="25">
        <v>144200</v>
      </c>
      <c r="D27" s="25">
        <v>222789</v>
      </c>
      <c r="E27" s="25">
        <v>286841</v>
      </c>
      <c r="F27" s="25">
        <v>315142</v>
      </c>
    </row>
    <row r="28" spans="1:1" x14ac:dyDescent="0.25">
      <c r="A28" s="32" t="s">
        <v>145</v>
      </c>
    </row>
    <row r="29" spans="1:6" x14ac:dyDescent="0.25">
      <c r="A29" s="4" t="s">
        <v>256</v>
      </c>
      <c r="B29" s="25">
        <v>50000</v>
      </c>
      <c r="C29" s="25">
        <v>103000</v>
      </c>
      <c r="D29" s="25">
        <v>159135</v>
      </c>
      <c r="E29" s="25">
        <v>204886</v>
      </c>
      <c r="F29" s="25">
        <v>225102</v>
      </c>
    </row>
    <row r="30" spans="1:1" x14ac:dyDescent="0.25">
      <c r="A30" s="32" t="s">
        <v>137</v>
      </c>
    </row>
    <row r="31" spans="1:6" x14ac:dyDescent="0.25">
      <c r="A31" s="4" t="s">
        <v>257</v>
      </c>
      <c r="B31" s="25">
        <v>180000</v>
      </c>
      <c r="C31" s="25">
        <v>222480</v>
      </c>
      <c r="D31" s="25">
        <v>229154</v>
      </c>
      <c r="E31" s="25">
        <v>236029</v>
      </c>
      <c r="F31" s="25">
        <v>243110</v>
      </c>
    </row>
    <row r="32" spans="1:6" x14ac:dyDescent="0.25">
      <c r="A32" s="4" t="s">
        <v>258</v>
      </c>
      <c r="B32" s="25">
        <v>25000</v>
      </c>
      <c r="C32" s="25">
        <v>30900</v>
      </c>
      <c r="D32" s="25">
        <v>31827</v>
      </c>
      <c r="E32" s="25">
        <v>32782</v>
      </c>
      <c r="F32" s="25">
        <v>33765</v>
      </c>
    </row>
    <row r="33" spans="1:6" x14ac:dyDescent="0.25">
      <c r="A33" s="4" t="s">
        <v>259</v>
      </c>
      <c r="B33" s="25">
        <v>15000</v>
      </c>
      <c r="C33" s="25">
        <v>18540</v>
      </c>
      <c r="D33" s="25">
        <v>19096</v>
      </c>
      <c r="E33" s="25">
        <v>19669</v>
      </c>
      <c r="F33" s="25">
        <v>20259</v>
      </c>
    </row>
    <row r="34" spans="1:6" x14ac:dyDescent="0.25">
      <c r="A34" s="4" t="s">
        <v>260</v>
      </c>
      <c r="B34" s="25">
        <v>15000</v>
      </c>
      <c r="C34" s="25">
        <v>18540</v>
      </c>
      <c r="D34" s="25">
        <v>19096</v>
      </c>
      <c r="E34" s="25">
        <v>19669</v>
      </c>
      <c r="F34" s="25">
        <v>20259</v>
      </c>
    </row>
    <row r="35" spans="1:6" x14ac:dyDescent="0.25">
      <c r="A35" s="3" t="s">
        <v>261</v>
      </c>
      <c r="B35" s="30">
        <f>SUM(B31:B34)</f>
        <v>235000</v>
      </c>
      <c r="C35" s="30">
        <f>SUM(C31:C34)</f>
        <v>290460</v>
      </c>
      <c r="D35" s="30">
        <f>SUM(D31:D34)</f>
        <v>299174</v>
      </c>
      <c r="E35" s="30">
        <f>SUM(E31:E34)</f>
        <v>308149</v>
      </c>
      <c r="F35" s="30">
        <f>SUM(F31:F34)</f>
        <v>317393</v>
      </c>
    </row>
    <row r="36" spans="1:1" x14ac:dyDescent="0.25">
      <c r="A36" s="32" t="s">
        <v>147</v>
      </c>
    </row>
    <row r="37" spans="1:6" x14ac:dyDescent="0.25">
      <c r="A37" s="4" t="s">
        <v>262</v>
      </c>
      <c r="B37" s="25">
        <v>20833</v>
      </c>
      <c r="C37" s="25">
        <v>25750</v>
      </c>
      <c r="D37" s="25">
        <v>26523</v>
      </c>
      <c r="E37" s="25">
        <v>27318</v>
      </c>
      <c r="F37" s="25">
        <v>28138</v>
      </c>
    </row>
    <row r="38" spans="1:6" x14ac:dyDescent="0.25">
      <c r="A38" s="4" t="s">
        <v>263</v>
      </c>
      <c r="B38" s="25">
        <v>12500</v>
      </c>
      <c r="C38" s="25">
        <v>15450</v>
      </c>
      <c r="D38" s="25">
        <v>15914</v>
      </c>
      <c r="E38" s="25">
        <v>16391</v>
      </c>
      <c r="F38" s="25">
        <v>16883</v>
      </c>
    </row>
    <row r="39" spans="1:6" x14ac:dyDescent="0.25">
      <c r="A39" s="4" t="s">
        <v>264</v>
      </c>
      <c r="B39" s="25">
        <v>16667</v>
      </c>
      <c r="C39" s="25">
        <v>20600</v>
      </c>
      <c r="D39" s="25">
        <v>21218</v>
      </c>
      <c r="E39" s="25">
        <v>21855</v>
      </c>
      <c r="F39" s="25">
        <v>22510</v>
      </c>
    </row>
    <row r="40" spans="1:6" x14ac:dyDescent="0.25">
      <c r="A40" s="4" t="s">
        <v>265</v>
      </c>
      <c r="B40" s="25">
        <v>80000</v>
      </c>
      <c r="C40" s="25">
        <v>164800</v>
      </c>
      <c r="D40" s="25">
        <v>254616</v>
      </c>
      <c r="E40" s="25">
        <v>327818</v>
      </c>
      <c r="F40" s="25">
        <v>360163</v>
      </c>
    </row>
    <row r="41" spans="1:6" x14ac:dyDescent="0.25">
      <c r="A41" s="4" t="s">
        <v>266</v>
      </c>
      <c r="B41" s="25">
        <v>60000</v>
      </c>
      <c r="C41" s="25">
        <v>123600</v>
      </c>
      <c r="D41" s="25">
        <v>190962</v>
      </c>
      <c r="E41" s="25">
        <v>245864</v>
      </c>
      <c r="F41" s="25">
        <v>270122</v>
      </c>
    </row>
    <row r="42" spans="1:6" x14ac:dyDescent="0.25">
      <c r="A42" s="3" t="s">
        <v>267</v>
      </c>
      <c r="B42" s="30">
        <f>SUM(B37:B41)</f>
        <v>190000</v>
      </c>
      <c r="C42" s="30">
        <f>SUM(C37:C41)</f>
        <v>350200</v>
      </c>
      <c r="D42" s="30">
        <f>SUM(D37:D41)</f>
        <v>509232</v>
      </c>
      <c r="E42" s="30">
        <f>SUM(E37:E41)</f>
        <v>639245</v>
      </c>
      <c r="F42" s="30">
        <f>SUM(F37:F41)</f>
        <v>697815</v>
      </c>
    </row>
    <row r="43" spans="1:6" x14ac:dyDescent="0.25">
      <c r="A43" s="3" t="s">
        <v>268</v>
      </c>
      <c r="B43" s="30">
        <f>B27+B29+B35+B42</f>
        <v>545000</v>
      </c>
      <c r="C43" s="30">
        <f>C27+C29+C35+C42</f>
        <v>887860</v>
      </c>
      <c r="D43" s="30">
        <f>D27+D29+D35+D42</f>
        <v>1190330</v>
      </c>
      <c r="E43" s="30">
        <f>E27+E29+E35+E42</f>
        <v>1439121</v>
      </c>
      <c r="F43" s="30">
        <f>F27+F29+F35+F42</f>
        <v>1555453</v>
      </c>
    </row>
    <row r="45" ht="24" customHeight="1" spans="1:6" x14ac:dyDescent="0.25">
      <c r="A45" s="13" t="s">
        <v>269</v>
      </c>
      <c r="B45" s="13"/>
      <c r="C45" s="13"/>
      <c r="D45" s="13"/>
      <c r="E45" s="13"/>
      <c r="F45" s="13"/>
    </row>
    <row r="46" spans="1:6" x14ac:dyDescent="0.25">
      <c r="A46" s="4" t="s">
        <v>270</v>
      </c>
      <c r="B46" s="25">
        <v>49825</v>
      </c>
      <c r="C46" s="25">
        <v>49825</v>
      </c>
      <c r="D46" s="25">
        <v>49825</v>
      </c>
      <c r="E46" s="25">
        <v>49825</v>
      </c>
      <c r="F46" s="25">
        <v>49825</v>
      </c>
    </row>
    <row r="47" spans="1:6" x14ac:dyDescent="0.25">
      <c r="A47" s="4" t="s">
        <v>271</v>
      </c>
      <c r="B47" s="25">
        <v>75000</v>
      </c>
      <c r="C47" s="25">
        <v>25000</v>
      </c>
      <c r="D47" s="25">
        <v>30000</v>
      </c>
      <c r="E47" s="25">
        <v>15000</v>
      </c>
      <c r="F47" s="25">
        <v>10000</v>
      </c>
    </row>
    <row r="48" spans="1:6" x14ac:dyDescent="0.25">
      <c r="A48" s="4" t="s">
        <v>272</v>
      </c>
      <c r="B48" s="25">
        <v>40000</v>
      </c>
      <c r="C48" s="25">
        <v>15000</v>
      </c>
      <c r="D48" s="25">
        <v>10000</v>
      </c>
      <c r="E48" s="25">
        <v>10000</v>
      </c>
      <c r="F48" s="25">
        <v>10000</v>
      </c>
    </row>
    <row r="49" spans="1:6" x14ac:dyDescent="0.25">
      <c r="A49" s="3" t="s">
        <v>273</v>
      </c>
      <c r="B49" s="30">
        <f>SUM(B46:B48)</f>
        <v>164825</v>
      </c>
      <c r="C49" s="30">
        <f>SUM(C46:C48)</f>
        <v>89825</v>
      </c>
      <c r="D49" s="30">
        <f>SUM(D46:D48)</f>
        <v>89825</v>
      </c>
      <c r="E49" s="30">
        <f>SUM(E46:E48)</f>
        <v>74825</v>
      </c>
      <c r="F49" s="30">
        <f>SUM(F46:F48)</f>
        <v>69825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274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spans="1:6" x14ac:dyDescent="0.25">
      <c r="A4" s="3" t="s">
        <v>253</v>
      </c>
      <c r="B4" s="28">
        <f>'Budget Detail'!B11</f>
        <v>1288333</v>
      </c>
      <c r="C4" s="28">
        <f>'Budget Detail'!C11</f>
        <v>2564700</v>
      </c>
      <c r="D4" s="28">
        <f>'Budget Detail'!D11</f>
        <v>3893503</v>
      </c>
      <c r="E4" s="28">
        <f>'Budget Detail'!E11</f>
        <v>4977371</v>
      </c>
      <c r="F4" s="28">
        <f>'Budget Detail'!F11</f>
        <v>5458718</v>
      </c>
    </row>
    <row r="5" spans="1:6" x14ac:dyDescent="0.25">
      <c r="A5" s="3" t="s">
        <v>201</v>
      </c>
      <c r="B5" s="28">
        <f>'Budget Detail'!B23</f>
        <v>1026431</v>
      </c>
      <c r="C5" s="28">
        <f>'Budget Detail'!C23</f>
        <v>1268669</v>
      </c>
      <c r="D5" s="28">
        <f>'Budget Detail'!D23</f>
        <v>1306729</v>
      </c>
      <c r="E5" s="28">
        <f>'Budget Detail'!E23</f>
        <v>1345931</v>
      </c>
      <c r="F5" s="28">
        <f>'Budget Detail'!F23</f>
        <v>1386309</v>
      </c>
    </row>
    <row r="6" spans="1:6" x14ac:dyDescent="0.25">
      <c r="A6" s="3" t="s">
        <v>268</v>
      </c>
      <c r="B6" s="28">
        <f>'Budget Detail'!B43</f>
        <v>545000</v>
      </c>
      <c r="C6" s="28">
        <f>'Budget Detail'!C43</f>
        <v>887860</v>
      </c>
      <c r="D6" s="28">
        <f>'Budget Detail'!D43</f>
        <v>1190330</v>
      </c>
      <c r="E6" s="28">
        <f>'Budget Detail'!E43</f>
        <v>1439121</v>
      </c>
      <c r="F6" s="28">
        <f>'Budget Detail'!F43</f>
        <v>1555453</v>
      </c>
    </row>
    <row r="7" spans="1:6" x14ac:dyDescent="0.25">
      <c r="A7" s="3" t="s">
        <v>275</v>
      </c>
      <c r="B7" s="28">
        <f>'Budget Detail'!B49</f>
        <v>164825</v>
      </c>
      <c r="C7" s="28">
        <f>'Budget Detail'!C49</f>
        <v>89825</v>
      </c>
      <c r="D7" s="28">
        <f>'Budget Detail'!D49</f>
        <v>89825</v>
      </c>
      <c r="E7" s="28">
        <f>'Budget Detail'!E49</f>
        <v>74825</v>
      </c>
      <c r="F7" s="28">
        <f>'Budget Detail'!F49</f>
        <v>69825</v>
      </c>
    </row>
    <row r="8" spans="1:6" x14ac:dyDescent="0.25">
      <c r="A8" s="3" t="s">
        <v>276</v>
      </c>
      <c r="B8" s="30">
        <f>SUM(B5:B7)</f>
        <v>1736256</v>
      </c>
      <c r="C8" s="30">
        <f>SUM(C5:C7)</f>
        <v>2246354</v>
      </c>
      <c r="D8" s="30">
        <f>SUM(D5:D7)</f>
        <v>2586884</v>
      </c>
      <c r="E8" s="30">
        <f>SUM(E5:E7)</f>
        <v>2859877</v>
      </c>
      <c r="F8" s="30">
        <f>SUM(F5:F7)</f>
        <v>3011587</v>
      </c>
    </row>
    <row r="10" ht="24" customHeight="1" spans="1:6" x14ac:dyDescent="0.25">
      <c r="A10" s="13" t="s">
        <v>277</v>
      </c>
      <c r="B10" s="13"/>
      <c r="C10" s="13"/>
      <c r="D10" s="13"/>
      <c r="E10" s="13"/>
      <c r="F10" s="13"/>
    </row>
    <row r="11" spans="1:6" x14ac:dyDescent="0.25">
      <c r="A11" s="3" t="s">
        <v>278</v>
      </c>
      <c r="B11" s="26">
        <f>B4-B8</f>
        <v>-447923</v>
      </c>
      <c r="C11" s="26">
        <f>C4-C8</f>
        <v>318346</v>
      </c>
      <c r="D11" s="26">
        <f>D4-D8</f>
        <v>1306619</v>
      </c>
      <c r="E11" s="26">
        <f>E4-E8</f>
        <v>2117494</v>
      </c>
      <c r="F11" s="26">
        <f>F4-F8</f>
        <v>2447131</v>
      </c>
    </row>
    <row r="12" spans="1:6" x14ac:dyDescent="0.25">
      <c r="A12" s="4" t="s">
        <v>279</v>
      </c>
      <c r="B12" s="24">
        <f>IF(B4=0,0,B11/B4)</f>
        <v>-0.34767595</v>
      </c>
      <c r="C12" s="24">
        <f>IF(C4=0,0,C11/C4)</f>
        <v>0.12412616</v>
      </c>
      <c r="D12" s="24">
        <f>IF(D4=0,0,D11/D4)</f>
        <v>0.3355897</v>
      </c>
      <c r="E12" s="24">
        <f>IF(E4=0,0,E11/E4)</f>
        <v>0.42542423</v>
      </c>
      <c r="F12" s="24">
        <f>IF(F4=0,0,F11/F4)</f>
        <v>0.44829778</v>
      </c>
    </row>
    <row r="13" spans="1:6" x14ac:dyDescent="0.25">
      <c r="A13" s="4" t="s">
        <v>280</v>
      </c>
      <c r="B13" s="25">
        <v>-447923</v>
      </c>
      <c r="C13" s="25">
        <v>-129576</v>
      </c>
      <c r="D13" s="25">
        <v>1177043</v>
      </c>
      <c r="E13" s="25">
        <v>3294538</v>
      </c>
      <c r="F13" s="25">
        <v>5741669</v>
      </c>
    </row>
    <row r="14" spans="1:6" x14ac:dyDescent="0.25">
      <c r="A14" s="4" t="s">
        <v>228</v>
      </c>
      <c r="B14" s="25">
        <v>10736</v>
      </c>
      <c r="C14" s="25">
        <v>12824</v>
      </c>
      <c r="D14" s="25">
        <v>12978</v>
      </c>
      <c r="E14" s="25">
        <v>13273</v>
      </c>
      <c r="F14" s="25">
        <v>13647</v>
      </c>
    </row>
    <row r="15" spans="1:6" x14ac:dyDescent="0.25">
      <c r="A15" s="4" t="s">
        <v>281</v>
      </c>
      <c r="B15" s="25">
        <v>14469</v>
      </c>
      <c r="C15" s="25">
        <v>11232</v>
      </c>
      <c r="D15" s="25">
        <v>8623</v>
      </c>
      <c r="E15" s="25">
        <v>7626</v>
      </c>
      <c r="F15" s="25">
        <v>7529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9"/>
  <sheetFormatPr defaultRowHeight="15" outlineLevelRow="0" outlineLevelCol="0" x14ac:dyDescent="55"/>
  <cols>
    <col min="1" max="1" width="28" customWidth="1"/>
    <col min="2" max="13" width="14" customWidth="1"/>
    <col min="14" max="14" width="16" customWidth="1"/>
  </cols>
  <sheetData>
    <row r="1" spans="1:14" x14ac:dyDescent="0.25">
      <c r="A1" s="11" t="s">
        <v>282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ht="28" customHeight="1" spans="1:14" x14ac:dyDescent="0.25">
      <c r="A2" s="15" t="s">
        <v>67</v>
      </c>
      <c r="B2" s="15" t="s">
        <v>283</v>
      </c>
      <c r="C2" s="15" t="s">
        <v>284</v>
      </c>
      <c r="D2" s="15" t="s">
        <v>285</v>
      </c>
      <c r="E2" s="15" t="s">
        <v>286</v>
      </c>
      <c r="F2" s="15" t="s">
        <v>287</v>
      </c>
      <c r="G2" s="15" t="s">
        <v>288</v>
      </c>
      <c r="H2" s="15" t="s">
        <v>289</v>
      </c>
      <c r="I2" s="15" t="s">
        <v>290</v>
      </c>
      <c r="J2" s="15" t="s">
        <v>291</v>
      </c>
      <c r="K2" s="15" t="s">
        <v>292</v>
      </c>
      <c r="L2" s="15" t="s">
        <v>293</v>
      </c>
      <c r="M2" s="15" t="s">
        <v>294</v>
      </c>
      <c r="N2" s="15" t="s">
        <v>295</v>
      </c>
    </row>
    <row r="3" ht="24" customHeight="1" spans="1:14" x14ac:dyDescent="0.25">
      <c r="A3" s="13" t="s">
        <v>246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x14ac:dyDescent="0.25">
      <c r="A4" s="3" t="s">
        <v>253</v>
      </c>
      <c r="B4" s="30">
        <v>154600</v>
      </c>
      <c r="C4" s="30">
        <v>154600</v>
      </c>
      <c r="D4" s="30">
        <v>154600</v>
      </c>
      <c r="E4" s="30">
        <v>154600</v>
      </c>
      <c r="F4" s="30">
        <v>154600</v>
      </c>
      <c r="G4" s="30">
        <v>154600</v>
      </c>
      <c r="H4" s="30">
        <v>154600</v>
      </c>
      <c r="I4" s="30">
        <v>154600</v>
      </c>
      <c r="J4" s="30">
        <v>154600</v>
      </c>
      <c r="K4" s="30">
        <v>154600</v>
      </c>
      <c r="L4" s="30">
        <v>0</v>
      </c>
      <c r="M4" s="30">
        <v>0</v>
      </c>
      <c r="N4" s="30">
        <v>1546000</v>
      </c>
    </row>
    <row r="6" ht="24" customHeight="1" spans="1:14" x14ac:dyDescent="0.25">
      <c r="A6" s="13" t="s">
        <v>296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x14ac:dyDescent="0.25">
      <c r="A7" s="4" t="s">
        <v>297</v>
      </c>
      <c r="B7" s="25">
        <v>102643</v>
      </c>
      <c r="C7" s="25">
        <v>102643</v>
      </c>
      <c r="D7" s="25">
        <v>102643</v>
      </c>
      <c r="E7" s="25">
        <v>102643</v>
      </c>
      <c r="F7" s="25">
        <v>102643</v>
      </c>
      <c r="G7" s="25">
        <v>102643</v>
      </c>
      <c r="H7" s="25">
        <v>102643</v>
      </c>
      <c r="I7" s="25">
        <v>102643</v>
      </c>
      <c r="J7" s="25">
        <v>102643</v>
      </c>
      <c r="K7" s="25">
        <v>102643</v>
      </c>
      <c r="L7" s="25">
        <v>0</v>
      </c>
      <c r="M7" s="25">
        <v>0</v>
      </c>
      <c r="N7" s="25">
        <v>1026431</v>
      </c>
    </row>
    <row r="8" spans="1:14" x14ac:dyDescent="0.25">
      <c r="A8" s="4" t="s">
        <v>298</v>
      </c>
      <c r="B8" s="25">
        <v>54500</v>
      </c>
      <c r="C8" s="25">
        <v>54500</v>
      </c>
      <c r="D8" s="25">
        <v>54500</v>
      </c>
      <c r="E8" s="25">
        <v>54500</v>
      </c>
      <c r="F8" s="25">
        <v>54500</v>
      </c>
      <c r="G8" s="25">
        <v>54500</v>
      </c>
      <c r="H8" s="25">
        <v>54500</v>
      </c>
      <c r="I8" s="25">
        <v>54500</v>
      </c>
      <c r="J8" s="25">
        <v>54500</v>
      </c>
      <c r="K8" s="25">
        <v>54500</v>
      </c>
      <c r="L8" s="25">
        <v>0</v>
      </c>
      <c r="M8" s="25">
        <v>0</v>
      </c>
      <c r="N8" s="25">
        <v>545000</v>
      </c>
    </row>
    <row r="9" spans="1:14" x14ac:dyDescent="0.25">
      <c r="A9" s="4" t="s">
        <v>299</v>
      </c>
      <c r="B9" s="25">
        <v>13735</v>
      </c>
      <c r="C9" s="25">
        <v>13735</v>
      </c>
      <c r="D9" s="25">
        <v>13735</v>
      </c>
      <c r="E9" s="25">
        <v>13735</v>
      </c>
      <c r="F9" s="25">
        <v>13735</v>
      </c>
      <c r="G9" s="25">
        <v>13735</v>
      </c>
      <c r="H9" s="25">
        <v>13735</v>
      </c>
      <c r="I9" s="25">
        <v>13735</v>
      </c>
      <c r="J9" s="25">
        <v>13735</v>
      </c>
      <c r="K9" s="25">
        <v>13735</v>
      </c>
      <c r="L9" s="25">
        <v>13735</v>
      </c>
      <c r="M9" s="25">
        <v>13735</v>
      </c>
      <c r="N9" s="25">
        <v>164825</v>
      </c>
    </row>
    <row r="11" ht="24" customHeight="1" spans="1:14" x14ac:dyDescent="0.25">
      <c r="A11" s="13" t="s">
        <v>300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x14ac:dyDescent="0.25">
      <c r="A12" s="3" t="s">
        <v>276</v>
      </c>
      <c r="B12" s="28">
        <v>170878</v>
      </c>
      <c r="C12" s="28">
        <v>170878</v>
      </c>
      <c r="D12" s="28">
        <v>170878</v>
      </c>
      <c r="E12" s="28">
        <v>170878</v>
      </c>
      <c r="F12" s="28">
        <v>170878</v>
      </c>
      <c r="G12" s="28">
        <v>170878</v>
      </c>
      <c r="H12" s="28">
        <v>170878</v>
      </c>
      <c r="I12" s="28">
        <v>170878</v>
      </c>
      <c r="J12" s="28">
        <v>170878</v>
      </c>
      <c r="K12" s="28">
        <v>170878</v>
      </c>
      <c r="L12" s="28">
        <v>13735</v>
      </c>
      <c r="M12" s="28">
        <v>13735</v>
      </c>
      <c r="N12" s="28">
        <v>1736250</v>
      </c>
    </row>
    <row r="13" spans="1:14" x14ac:dyDescent="0.25">
      <c r="A13" s="3" t="s">
        <v>301</v>
      </c>
      <c r="B13" s="28">
        <v>-16278</v>
      </c>
      <c r="C13" s="28">
        <v>-16278</v>
      </c>
      <c r="D13" s="28">
        <v>-16278</v>
      </c>
      <c r="E13" s="28">
        <v>-16278</v>
      </c>
      <c r="F13" s="28">
        <v>-16278</v>
      </c>
      <c r="G13" s="28">
        <v>-16278</v>
      </c>
      <c r="H13" s="28">
        <v>-16278</v>
      </c>
      <c r="I13" s="28">
        <v>-16278</v>
      </c>
      <c r="J13" s="28">
        <v>-16278</v>
      </c>
      <c r="K13" s="28">
        <v>-16278</v>
      </c>
      <c r="L13" s="28">
        <v>-13735</v>
      </c>
      <c r="M13" s="28">
        <v>-13735</v>
      </c>
      <c r="N13" s="28">
        <v>-190250</v>
      </c>
    </row>
    <row r="14" spans="1:14" x14ac:dyDescent="0.25">
      <c r="A14" s="3" t="s">
        <v>302</v>
      </c>
      <c r="B14" s="33">
        <v>-16278</v>
      </c>
      <c r="C14" s="33">
        <v>-32556</v>
      </c>
      <c r="D14" s="33">
        <v>-48834</v>
      </c>
      <c r="E14" s="33">
        <v>-65112</v>
      </c>
      <c r="F14" s="33">
        <v>-81390</v>
      </c>
      <c r="G14" s="33">
        <v>-97668</v>
      </c>
      <c r="H14" s="33">
        <v>-113946</v>
      </c>
      <c r="I14" s="33">
        <v>-130224</v>
      </c>
      <c r="J14" s="33">
        <v>-146502</v>
      </c>
      <c r="K14" s="33">
        <v>-162780</v>
      </c>
      <c r="L14" s="33">
        <v>-176515</v>
      </c>
      <c r="M14" s="33">
        <v>-190250</v>
      </c>
      <c r="N14" s="26">
        <v>-190250</v>
      </c>
    </row>
    <row r="16" ht="24" customHeight="1" spans="1:3" x14ac:dyDescent="0.25">
      <c r="A16" s="13" t="s">
        <v>303</v>
      </c>
      <c r="B16" s="13"/>
      <c r="C16" s="13"/>
    </row>
    <row r="17" spans="1:2" x14ac:dyDescent="0.25">
      <c r="A17" s="4" t="s">
        <v>165</v>
      </c>
      <c r="B17" s="25">
        <v>0</v>
      </c>
    </row>
    <row r="18" spans="1:2" x14ac:dyDescent="0.25">
      <c r="A18" s="4" t="s">
        <v>304</v>
      </c>
      <c r="B18" s="33">
        <v>-190250</v>
      </c>
    </row>
    <row r="19" spans="1:2" x14ac:dyDescent="0.25">
      <c r="A19" s="4" t="s">
        <v>305</v>
      </c>
      <c r="B19" s="25">
        <v>-190250</v>
      </c>
    </row>
  </sheetData>
  <mergeCells count="1">
    <mergeCell ref="A1:N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306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ht="24" customHeight="1" spans="1:6" x14ac:dyDescent="0.25">
      <c r="A4" s="13" t="s">
        <v>246</v>
      </c>
      <c r="B4" s="13"/>
      <c r="C4" s="13"/>
      <c r="D4" s="13"/>
      <c r="E4" s="13"/>
      <c r="F4" s="13"/>
    </row>
    <row r="5" spans="1:6" x14ac:dyDescent="0.25">
      <c r="A5" s="34" t="s">
        <v>253</v>
      </c>
      <c r="B5" s="30">
        <v>1288333</v>
      </c>
      <c r="C5" s="30">
        <v>2564700</v>
      </c>
      <c r="D5" s="30">
        <v>3893503</v>
      </c>
      <c r="E5" s="30">
        <v>4977371</v>
      </c>
      <c r="F5" s="30">
        <v>5458718</v>
      </c>
    </row>
    <row r="7" ht="24" customHeight="1" spans="1:6" x14ac:dyDescent="0.25">
      <c r="A7" s="13" t="s">
        <v>296</v>
      </c>
      <c r="B7" s="13"/>
      <c r="C7" s="13"/>
      <c r="D7" s="13"/>
      <c r="E7" s="13"/>
      <c r="F7" s="13"/>
    </row>
    <row r="8" spans="1:6" x14ac:dyDescent="0.25">
      <c r="A8" s="3" t="s">
        <v>297</v>
      </c>
      <c r="B8" s="28">
        <v>1026431</v>
      </c>
      <c r="C8" s="28">
        <v>1268669</v>
      </c>
      <c r="D8" s="28">
        <v>1306729</v>
      </c>
      <c r="E8" s="28">
        <v>1345931</v>
      </c>
      <c r="F8" s="28">
        <v>1386309</v>
      </c>
    </row>
    <row r="9" spans="1:6" x14ac:dyDescent="0.25">
      <c r="A9" s="3" t="s">
        <v>298</v>
      </c>
      <c r="B9" s="28">
        <v>545000</v>
      </c>
      <c r="C9" s="28">
        <v>887860</v>
      </c>
      <c r="D9" s="28">
        <v>1190330</v>
      </c>
      <c r="E9" s="28">
        <v>1439121</v>
      </c>
      <c r="F9" s="28">
        <v>1555453</v>
      </c>
    </row>
    <row r="10" spans="1:6" x14ac:dyDescent="0.25">
      <c r="A10" s="3" t="s">
        <v>307</v>
      </c>
      <c r="B10" s="28">
        <v>164825</v>
      </c>
      <c r="C10" s="28">
        <v>89825</v>
      </c>
      <c r="D10" s="28">
        <v>89825</v>
      </c>
      <c r="E10" s="28">
        <v>74825</v>
      </c>
      <c r="F10" s="28">
        <v>69825</v>
      </c>
    </row>
    <row r="11" spans="1:6" x14ac:dyDescent="0.25">
      <c r="A11" s="34" t="s">
        <v>276</v>
      </c>
      <c r="B11" s="30">
        <f>SUM(B8:B10)</f>
        <v>1736256</v>
      </c>
      <c r="C11" s="30">
        <f>SUM(C8:C10)</f>
        <v>2246354</v>
      </c>
      <c r="D11" s="30">
        <f>SUM(D8:D10)</f>
        <v>2586884</v>
      </c>
      <c r="E11" s="30">
        <f>SUM(E8:E10)</f>
        <v>2859877</v>
      </c>
      <c r="F11" s="30">
        <f>SUM(F8:F10)</f>
        <v>3011587</v>
      </c>
    </row>
    <row r="13" ht="24" customHeight="1" spans="1:6" x14ac:dyDescent="0.25">
      <c r="A13" s="13" t="s">
        <v>308</v>
      </c>
      <c r="B13" s="13"/>
      <c r="C13" s="13"/>
      <c r="D13" s="13"/>
      <c r="E13" s="13"/>
      <c r="F13" s="13"/>
    </row>
    <row r="14" spans="1:6" x14ac:dyDescent="0.25">
      <c r="A14" s="34" t="s">
        <v>278</v>
      </c>
      <c r="B14" s="26">
        <f>B5-B11</f>
        <v>-447923</v>
      </c>
      <c r="C14" s="26">
        <f>C5-C11</f>
        <v>318346</v>
      </c>
      <c r="D14" s="26">
        <f>D5-D11</f>
        <v>1306619</v>
      </c>
      <c r="E14" s="26">
        <f>E5-E11</f>
        <v>2117494</v>
      </c>
      <c r="F14" s="26">
        <f>F5-F11</f>
        <v>2447131</v>
      </c>
    </row>
    <row r="15" spans="1:6" x14ac:dyDescent="0.25">
      <c r="A15" s="4" t="s">
        <v>279</v>
      </c>
      <c r="B15" s="24">
        <f>IF(B5=0,0,B14/B5)</f>
        <v>-0.34767595</v>
      </c>
      <c r="C15" s="24">
        <f>IF(C5=0,0,C14/C5)</f>
        <v>0.12412616</v>
      </c>
      <c r="D15" s="24">
        <f>IF(D5=0,0,D14/D5)</f>
        <v>0.3355897</v>
      </c>
      <c r="E15" s="24">
        <f>IF(E5=0,0,E14/E5)</f>
        <v>0.42542423</v>
      </c>
      <c r="F15" s="24">
        <f>IF(F5=0,0,F14/F5)</f>
        <v>0.44829778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FormatPr defaultRowHeight="15" outlineLevelRow="0" outlineLevelCol="0" x14ac:dyDescent="55"/>
  <cols>
    <col min="1" max="1" width="28" customWidth="1"/>
    <col min="2" max="6" width="16" customWidth="1"/>
  </cols>
  <sheetData>
    <row r="1" spans="1:6" x14ac:dyDescent="0.25">
      <c r="A1" s="11" t="s">
        <v>50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ht="24" customHeight="1" spans="1:6" x14ac:dyDescent="0.25">
      <c r="A4" s="13" t="s">
        <v>155</v>
      </c>
      <c r="B4" s="13"/>
      <c r="C4" s="13"/>
      <c r="D4" s="13"/>
      <c r="E4" s="13"/>
      <c r="F4" s="13"/>
    </row>
    <row r="5" spans="1:6" x14ac:dyDescent="0.25">
      <c r="A5" s="4" t="s">
        <v>309</v>
      </c>
      <c r="B5" s="25">
        <v>500000</v>
      </c>
      <c r="C5" s="25">
        <v>478361</v>
      </c>
      <c r="D5" s="25">
        <v>455444</v>
      </c>
      <c r="E5" s="25">
        <v>431175</v>
      </c>
      <c r="F5" s="25">
        <v>405473</v>
      </c>
    </row>
    <row r="6" spans="1:6" x14ac:dyDescent="0.25">
      <c r="A6" s="4" t="s">
        <v>310</v>
      </c>
      <c r="B6" s="25">
        <v>28186</v>
      </c>
      <c r="C6" s="25">
        <v>26908</v>
      </c>
      <c r="D6" s="25">
        <v>25555</v>
      </c>
      <c r="E6" s="25">
        <v>24122</v>
      </c>
      <c r="F6" s="25">
        <v>22605</v>
      </c>
    </row>
    <row r="7" spans="1:6" x14ac:dyDescent="0.25">
      <c r="A7" s="4" t="s">
        <v>311</v>
      </c>
      <c r="B7" s="25">
        <v>21639</v>
      </c>
      <c r="C7" s="25">
        <v>22917</v>
      </c>
      <c r="D7" s="25">
        <v>24270</v>
      </c>
      <c r="E7" s="25">
        <v>25702</v>
      </c>
      <c r="F7" s="25">
        <v>27220</v>
      </c>
    </row>
    <row r="8" spans="1:6" x14ac:dyDescent="0.25">
      <c r="A8" s="3" t="s">
        <v>312</v>
      </c>
      <c r="B8" s="28">
        <v>49825</v>
      </c>
      <c r="C8" s="28">
        <v>49825</v>
      </c>
      <c r="D8" s="28">
        <v>49825</v>
      </c>
      <c r="E8" s="28">
        <v>49825</v>
      </c>
      <c r="F8" s="28">
        <v>49825</v>
      </c>
    </row>
    <row r="9" spans="1:6" x14ac:dyDescent="0.25">
      <c r="A9" s="3" t="s">
        <v>313</v>
      </c>
      <c r="B9" s="33">
        <v>478361</v>
      </c>
      <c r="C9" s="33">
        <v>455444</v>
      </c>
      <c r="D9" s="33">
        <v>431175</v>
      </c>
      <c r="E9" s="33">
        <v>405473</v>
      </c>
      <c r="F9" s="33">
        <v>378253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314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ht="24" customHeight="1" spans="1:6" x14ac:dyDescent="0.25">
      <c r="A4" s="13" t="s">
        <v>315</v>
      </c>
      <c r="B4" s="13"/>
      <c r="C4" s="13"/>
      <c r="D4" s="13"/>
      <c r="E4" s="13"/>
      <c r="F4" s="13"/>
    </row>
    <row r="5" spans="1:6" x14ac:dyDescent="0.25">
      <c r="A5" s="4" t="s">
        <v>316</v>
      </c>
      <c r="B5" s="35">
        <v>-190250</v>
      </c>
      <c r="C5" s="35">
        <v>128096</v>
      </c>
      <c r="D5" s="35">
        <v>1434716</v>
      </c>
      <c r="E5" s="35">
        <v>3552210</v>
      </c>
      <c r="F5" s="35">
        <v>5999341</v>
      </c>
    </row>
    <row r="6" spans="1:6" x14ac:dyDescent="0.25">
      <c r="A6" s="4" t="s">
        <v>317</v>
      </c>
      <c r="B6" s="25">
        <v>0</v>
      </c>
      <c r="C6" s="25">
        <v>0</v>
      </c>
      <c r="D6" s="25">
        <v>0</v>
      </c>
      <c r="E6" s="25">
        <v>0</v>
      </c>
      <c r="F6" s="25">
        <v>0</v>
      </c>
    </row>
    <row r="7" spans="1:6" x14ac:dyDescent="0.25">
      <c r="A7" s="4" t="s">
        <v>318</v>
      </c>
      <c r="B7" s="25">
        <v>0</v>
      </c>
      <c r="C7" s="25">
        <v>0</v>
      </c>
      <c r="D7" s="25">
        <v>0</v>
      </c>
      <c r="E7" s="25">
        <v>0</v>
      </c>
      <c r="F7" s="25">
        <v>0</v>
      </c>
    </row>
    <row r="8" spans="1:6" x14ac:dyDescent="0.25">
      <c r="A8" s="4" t="s">
        <v>319</v>
      </c>
      <c r="B8" s="25">
        <v>0</v>
      </c>
      <c r="C8" s="25">
        <v>0</v>
      </c>
      <c r="D8" s="25">
        <v>0</v>
      </c>
      <c r="E8" s="25">
        <v>0</v>
      </c>
      <c r="F8" s="25">
        <v>0</v>
      </c>
    </row>
    <row r="9" spans="1:6" x14ac:dyDescent="0.25">
      <c r="A9" s="3" t="s">
        <v>320</v>
      </c>
      <c r="B9" s="30">
        <v>-190250</v>
      </c>
      <c r="C9" s="30">
        <v>128096</v>
      </c>
      <c r="D9" s="30">
        <v>1434716</v>
      </c>
      <c r="E9" s="30">
        <v>3552210</v>
      </c>
      <c r="F9" s="30">
        <v>5999341</v>
      </c>
    </row>
    <row r="11" ht="24" customHeight="1" spans="1:6" x14ac:dyDescent="0.25">
      <c r="A11" s="13" t="s">
        <v>321</v>
      </c>
      <c r="B11" s="13"/>
      <c r="C11" s="13"/>
      <c r="D11" s="13"/>
      <c r="E11" s="13"/>
      <c r="F11" s="13"/>
    </row>
    <row r="12" spans="1:6" x14ac:dyDescent="0.25">
      <c r="A12" s="4" t="s">
        <v>322</v>
      </c>
      <c r="B12" s="25">
        <v>0</v>
      </c>
      <c r="C12" s="25">
        <v>0</v>
      </c>
      <c r="D12" s="25">
        <v>0</v>
      </c>
      <c r="E12" s="25">
        <v>0</v>
      </c>
      <c r="F12" s="25">
        <v>0</v>
      </c>
    </row>
    <row r="13" spans="1:6" x14ac:dyDescent="0.25">
      <c r="A13" s="4" t="s">
        <v>323</v>
      </c>
      <c r="B13" s="25">
        <v>478361</v>
      </c>
      <c r="C13" s="25">
        <v>455444</v>
      </c>
      <c r="D13" s="25">
        <v>431175</v>
      </c>
      <c r="E13" s="25">
        <v>405473</v>
      </c>
      <c r="F13" s="25">
        <v>378253</v>
      </c>
    </row>
    <row r="14" spans="1:6" x14ac:dyDescent="0.25">
      <c r="A14" s="3" t="s">
        <v>324</v>
      </c>
      <c r="B14" s="30">
        <v>478361</v>
      </c>
      <c r="C14" s="30">
        <v>455444</v>
      </c>
      <c r="D14" s="30">
        <v>431175</v>
      </c>
      <c r="E14" s="30">
        <v>405473</v>
      </c>
      <c r="F14" s="30">
        <v>378253</v>
      </c>
    </row>
    <row r="16" ht="24" customHeight="1" spans="1:6" x14ac:dyDescent="0.25">
      <c r="A16" s="13" t="s">
        <v>325</v>
      </c>
      <c r="B16" s="13"/>
      <c r="C16" s="13"/>
      <c r="D16" s="13"/>
      <c r="E16" s="13"/>
      <c r="F16" s="13"/>
    </row>
    <row r="17" spans="1:6" x14ac:dyDescent="0.25">
      <c r="A17" s="3" t="s">
        <v>326</v>
      </c>
      <c r="B17" s="26">
        <v>-668611</v>
      </c>
      <c r="C17" s="26">
        <v>-327348</v>
      </c>
      <c r="D17" s="26">
        <v>1003541</v>
      </c>
      <c r="E17" s="26">
        <v>3146738</v>
      </c>
      <c r="F17" s="26">
        <v>5621089</v>
      </c>
    </row>
    <row r="19" spans="1:6" x14ac:dyDescent="0.25">
      <c r="A19" s="3" t="s">
        <v>327</v>
      </c>
      <c r="B19" s="36">
        <v>0</v>
      </c>
      <c r="C19" s="36">
        <v>0</v>
      </c>
      <c r="D19" s="36">
        <v>0</v>
      </c>
      <c r="E19" s="37">
        <v>-1</v>
      </c>
      <c r="F19" s="37">
        <v>-1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328</v>
      </c>
      <c r="B1" s="11"/>
      <c r="C1" s="11"/>
      <c r="D1" s="11"/>
      <c r="E1" s="11"/>
      <c r="F1" s="11"/>
    </row>
    <row r="3" ht="28" customHeight="1" spans="1:6" x14ac:dyDescent="0.25">
      <c r="A3" s="15" t="s">
        <v>67</v>
      </c>
      <c r="B3" s="15" t="s">
        <v>90</v>
      </c>
      <c r="C3" s="15" t="s">
        <v>91</v>
      </c>
      <c r="D3" s="15" t="s">
        <v>92</v>
      </c>
      <c r="E3" s="15" t="s">
        <v>93</v>
      </c>
      <c r="F3" s="15" t="s">
        <v>94</v>
      </c>
    </row>
    <row r="4" ht="24" customHeight="1" spans="1:6" x14ac:dyDescent="0.25">
      <c r="A4" s="13" t="s">
        <v>329</v>
      </c>
      <c r="B4" s="13"/>
      <c r="C4" s="13"/>
      <c r="D4" s="13"/>
      <c r="E4" s="13"/>
      <c r="F4" s="13"/>
    </row>
    <row r="5" spans="1:6" x14ac:dyDescent="0.25">
      <c r="A5" s="4" t="s">
        <v>330</v>
      </c>
      <c r="B5" s="25">
        <v>1288333</v>
      </c>
      <c r="C5" s="25">
        <v>2564700</v>
      </c>
      <c r="D5" s="25">
        <v>3893503</v>
      </c>
      <c r="E5" s="25">
        <v>4977371</v>
      </c>
      <c r="F5" s="25">
        <v>5458718</v>
      </c>
    </row>
    <row r="6" spans="1:6" x14ac:dyDescent="0.25">
      <c r="A6" s="4" t="s">
        <v>297</v>
      </c>
      <c r="B6" s="25">
        <v>1026431</v>
      </c>
      <c r="C6" s="25">
        <v>1268669</v>
      </c>
      <c r="D6" s="25">
        <v>1306729</v>
      </c>
      <c r="E6" s="25">
        <v>1345931</v>
      </c>
      <c r="F6" s="25">
        <v>1386309</v>
      </c>
    </row>
    <row r="7" spans="1:6" x14ac:dyDescent="0.25">
      <c r="A7" s="4" t="s">
        <v>298</v>
      </c>
      <c r="B7" s="25">
        <v>545000</v>
      </c>
      <c r="C7" s="25">
        <v>887860</v>
      </c>
      <c r="D7" s="25">
        <v>1190330</v>
      </c>
      <c r="E7" s="25">
        <v>1439121</v>
      </c>
      <c r="F7" s="25">
        <v>1555453</v>
      </c>
    </row>
    <row r="8" spans="1:6" x14ac:dyDescent="0.25">
      <c r="A8" s="3" t="s">
        <v>331</v>
      </c>
      <c r="B8" s="28">
        <f>B5-B6-B7</f>
        <v>-283098</v>
      </c>
      <c r="C8" s="28">
        <f>C5-C6-C7</f>
        <v>408171</v>
      </c>
      <c r="D8" s="28">
        <f>D5-D6-D7</f>
        <v>1396444</v>
      </c>
      <c r="E8" s="28">
        <f>E5-E6-E7</f>
        <v>2192319</v>
      </c>
      <c r="F8" s="28">
        <f>F5-F6-F7</f>
        <v>2516956</v>
      </c>
    </row>
    <row r="9" spans="1:6" x14ac:dyDescent="0.25">
      <c r="A9" s="4" t="s">
        <v>299</v>
      </c>
      <c r="B9" s="25">
        <v>49825</v>
      </c>
      <c r="C9" s="25">
        <v>49825</v>
      </c>
      <c r="D9" s="25">
        <v>49825</v>
      </c>
      <c r="E9" s="25">
        <v>49825</v>
      </c>
      <c r="F9" s="25">
        <v>49825</v>
      </c>
    </row>
    <row r="10" spans="1:6" x14ac:dyDescent="0.25">
      <c r="A10" s="3" t="s">
        <v>332</v>
      </c>
      <c r="B10" s="38">
        <f>IF(B9=0,"N/A",B8/B9)</f>
        <v>-5.68</v>
      </c>
      <c r="C10" s="38">
        <f>IF(C9=0,"N/A",C8/C9)</f>
        <v>8.19</v>
      </c>
      <c r="D10" s="38">
        <f>IF(D9=0,"N/A",D8/D9)</f>
        <v>28.03</v>
      </c>
      <c r="E10" s="38">
        <f>IF(E9=0,"N/A",E8/E9)</f>
        <v>44</v>
      </c>
      <c r="F10" s="38">
        <f>IF(F9=0,"N/A",F8/F9)</f>
        <v>50.52</v>
      </c>
    </row>
    <row r="12" ht="24" customHeight="1" spans="1:6" x14ac:dyDescent="0.25">
      <c r="A12" s="13" t="s">
        <v>333</v>
      </c>
      <c r="B12" s="13"/>
      <c r="C12" s="13"/>
      <c r="D12" s="13"/>
      <c r="E12" s="13"/>
      <c r="F12" s="13"/>
    </row>
    <row r="13" spans="1:6" x14ac:dyDescent="0.25">
      <c r="A13" s="4" t="s">
        <v>334</v>
      </c>
      <c r="B13" s="25">
        <v>-190250</v>
      </c>
      <c r="C13" s="25">
        <v>128096</v>
      </c>
      <c r="D13" s="25">
        <v>1434716</v>
      </c>
      <c r="E13" s="25">
        <v>3552210</v>
      </c>
      <c r="F13" s="25">
        <v>5999341</v>
      </c>
    </row>
    <row r="14" spans="1:6" x14ac:dyDescent="0.25">
      <c r="A14" s="4" t="s">
        <v>335</v>
      </c>
      <c r="B14" s="22">
        <f>IF((B6+B7+B9)=0,0,(B13/(B6+B7+B9))*365)</f>
        <v>-43</v>
      </c>
      <c r="C14" s="22">
        <f>IF((C6+C7+C9)=0,0,(C13/(C6+C7+C9))*365)</f>
        <v>21</v>
      </c>
      <c r="D14" s="22">
        <f>IF((D6+D7+D9)=0,0,(D13/(D6+D7+D9))*365)</f>
        <v>206</v>
      </c>
      <c r="E14" s="22">
        <f>IF((E6+E7+E9)=0,0,(E13/(E6+E7+E9))*365)</f>
        <v>457</v>
      </c>
      <c r="F14" s="22">
        <f>IF((F6+F7+F9)=0,0,(F13/(F6+F7+F9))*365)</f>
        <v>732</v>
      </c>
    </row>
    <row r="15" spans="1:6" x14ac:dyDescent="0.25">
      <c r="A15" s="4" t="s">
        <v>336</v>
      </c>
      <c r="B15" s="29">
        <f>IF((B6+B7+B9)=0,0,B13/((B6+B7+B9)/12))</f>
        <v>-1.4</v>
      </c>
      <c r="C15" s="29">
        <f>IF((C6+C7+C9)=0,0,C13/((C6+C7+C9)/12))</f>
        <v>0.7</v>
      </c>
      <c r="D15" s="29">
        <f>IF((D6+D7+D9)=0,0,D13/((D6+D7+D9)/12))</f>
        <v>6.8</v>
      </c>
      <c r="E15" s="29">
        <f>IF((E6+E7+E9)=0,0,E13/((E6+E7+E9)/12))</f>
        <v>15</v>
      </c>
      <c r="F15" s="29">
        <f>IF((F6+F7+F9)=0,0,F13/((F6+F7+F9)/12))</f>
        <v>24.1</v>
      </c>
    </row>
    <row r="16" spans="1:6" x14ac:dyDescent="0.25">
      <c r="A16" s="4" t="s">
        <v>186</v>
      </c>
      <c r="B16" s="24">
        <v>0.3</v>
      </c>
      <c r="C16" s="24">
        <v>0.5</v>
      </c>
      <c r="D16" s="24">
        <v>0.75</v>
      </c>
      <c r="E16" s="24">
        <v>0.9375</v>
      </c>
      <c r="F16" s="24">
        <v>1</v>
      </c>
    </row>
    <row r="18" ht="24" customHeight="1" spans="1:6" x14ac:dyDescent="0.25">
      <c r="A18" s="13" t="s">
        <v>337</v>
      </c>
      <c r="B18" s="13"/>
      <c r="C18" s="13"/>
      <c r="D18" s="13"/>
      <c r="E18" s="13"/>
      <c r="F18" s="13"/>
    </row>
    <row r="19" spans="1:6" x14ac:dyDescent="0.25">
      <c r="A19" s="4" t="s">
        <v>228</v>
      </c>
      <c r="B19" s="25">
        <v>10736</v>
      </c>
      <c r="C19" s="25">
        <v>12824</v>
      </c>
      <c r="D19" s="25">
        <v>12978</v>
      </c>
      <c r="E19" s="25">
        <v>13273</v>
      </c>
      <c r="F19" s="25">
        <v>13647</v>
      </c>
    </row>
    <row r="20" spans="1:6" x14ac:dyDescent="0.25">
      <c r="A20" s="4" t="s">
        <v>338</v>
      </c>
      <c r="B20" s="25">
        <v>1076256</v>
      </c>
      <c r="C20" s="25">
        <v>1318494</v>
      </c>
      <c r="D20" s="25">
        <v>1356554</v>
      </c>
      <c r="E20" s="25">
        <v>1395756</v>
      </c>
      <c r="F20" s="25">
        <v>1436134</v>
      </c>
    </row>
    <row r="21" spans="1:6" x14ac:dyDescent="0.25">
      <c r="A21" s="4" t="s">
        <v>339</v>
      </c>
      <c r="B21" s="25">
        <v>4542</v>
      </c>
      <c r="C21" s="25">
        <v>4439</v>
      </c>
      <c r="D21" s="25">
        <v>3968</v>
      </c>
      <c r="E21" s="25">
        <v>3838</v>
      </c>
      <c r="F21" s="25">
        <v>3889</v>
      </c>
    </row>
    <row r="22" spans="1:6" x14ac:dyDescent="0.25">
      <c r="A22" s="3" t="s">
        <v>340</v>
      </c>
      <c r="B22" s="39">
        <v>174</v>
      </c>
      <c r="C22" s="39">
        <v>158</v>
      </c>
      <c r="D22" s="39">
        <v>151</v>
      </c>
      <c r="E22" s="39">
        <v>148</v>
      </c>
      <c r="F22" s="39">
        <v>148</v>
      </c>
    </row>
    <row r="24" ht="24" customHeight="1" spans="1:6" x14ac:dyDescent="0.25">
      <c r="A24" s="13" t="s">
        <v>341</v>
      </c>
      <c r="B24" s="13"/>
      <c r="C24" s="13"/>
      <c r="D24" s="13"/>
      <c r="E24" s="13"/>
      <c r="F24" s="13"/>
    </row>
    <row r="25" spans="1:6" x14ac:dyDescent="0.25">
      <c r="A25" s="4" t="s">
        <v>342</v>
      </c>
      <c r="B25" s="40" t="s">
        <v>343</v>
      </c>
      <c r="C25" s="41" t="s">
        <v>344</v>
      </c>
      <c r="D25" s="41" t="s">
        <v>344</v>
      </c>
      <c r="E25" s="41" t="s">
        <v>344</v>
      </c>
      <c r="F25" s="41" t="s">
        <v>344</v>
      </c>
    </row>
    <row r="26" spans="1:6" x14ac:dyDescent="0.25">
      <c r="A26" s="4" t="s">
        <v>345</v>
      </c>
      <c r="B26" s="40" t="s">
        <v>343</v>
      </c>
      <c r="C26" s="41" t="s">
        <v>344</v>
      </c>
      <c r="D26" s="41" t="s">
        <v>344</v>
      </c>
      <c r="E26" s="41" t="s">
        <v>344</v>
      </c>
      <c r="F26" s="41" t="s">
        <v>344</v>
      </c>
    </row>
    <row r="27" spans="1:6" x14ac:dyDescent="0.25">
      <c r="A27" s="4" t="s">
        <v>346</v>
      </c>
      <c r="B27" s="40" t="s">
        <v>343</v>
      </c>
      <c r="C27" s="40" t="s">
        <v>343</v>
      </c>
      <c r="D27" s="40" t="s">
        <v>343</v>
      </c>
      <c r="E27" s="40" t="s">
        <v>343</v>
      </c>
      <c r="F27" s="40" t="s">
        <v>343</v>
      </c>
    </row>
    <row r="28" spans="1:6" x14ac:dyDescent="0.25">
      <c r="A28" s="4" t="s">
        <v>347</v>
      </c>
      <c r="B28" s="40" t="s">
        <v>343</v>
      </c>
      <c r="C28" s="40" t="s">
        <v>343</v>
      </c>
      <c r="D28" s="41" t="s">
        <v>344</v>
      </c>
      <c r="E28" s="41" t="s">
        <v>344</v>
      </c>
      <c r="F28" s="41" t="s">
        <v>344</v>
      </c>
    </row>
    <row r="29" spans="1:6" x14ac:dyDescent="0.25">
      <c r="A29" s="4" t="s">
        <v>348</v>
      </c>
      <c r="B29" s="40" t="s">
        <v>343</v>
      </c>
      <c r="C29" s="40" t="s">
        <v>343</v>
      </c>
      <c r="D29" s="41" t="s">
        <v>344</v>
      </c>
      <c r="E29" s="41" t="s">
        <v>344</v>
      </c>
      <c r="F29" s="41" t="s">
        <v>344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FormatPr defaultRowHeight="15" outlineLevelRow="0" outlineLevelCol="0" x14ac:dyDescent="55"/>
  <cols>
    <col min="1" max="1" width="36" customWidth="1"/>
    <col min="2" max="2" width="20" customWidth="1"/>
    <col min="3" max="3" width="8" customWidth="1"/>
    <col min="4" max="4" width="36" customWidth="1"/>
    <col min="5" max="5" width="20" customWidth="1"/>
  </cols>
  <sheetData>
    <row r="1" spans="1:5" x14ac:dyDescent="0.25">
      <c r="A1" s="11" t="s">
        <v>56</v>
      </c>
      <c r="B1" s="11"/>
      <c r="C1" s="11"/>
      <c r="D1" s="11"/>
      <c r="E1" s="11"/>
    </row>
    <row r="3" spans="1:5" x14ac:dyDescent="0.25">
      <c r="A3" s="42" t="s">
        <v>349</v>
      </c>
      <c r="B3" s="42" t="s">
        <v>100</v>
      </c>
      <c r="D3" s="42" t="s">
        <v>350</v>
      </c>
      <c r="E3" s="42" t="s">
        <v>100</v>
      </c>
    </row>
    <row r="4" spans="1:5" x14ac:dyDescent="0.25">
      <c r="A4" s="4" t="s">
        <v>155</v>
      </c>
      <c r="B4" s="25">
        <v>500000</v>
      </c>
      <c r="D4" s="4" t="s">
        <v>351</v>
      </c>
      <c r="E4" s="25">
        <v>400000</v>
      </c>
    </row>
    <row r="5" spans="1:5" x14ac:dyDescent="0.25">
      <c r="A5" s="4" t="s">
        <v>107</v>
      </c>
      <c r="B5" s="25">
        <v>100000</v>
      </c>
      <c r="D5" s="4" t="s">
        <v>352</v>
      </c>
      <c r="E5" s="25">
        <v>75000</v>
      </c>
    </row>
    <row r="6" spans="1:5" x14ac:dyDescent="0.25">
      <c r="A6" s="4" t="s">
        <v>353</v>
      </c>
      <c r="B6" s="25">
        <v>50000</v>
      </c>
      <c r="D6" s="4" t="s">
        <v>354</v>
      </c>
      <c r="E6" s="25">
        <v>40000</v>
      </c>
    </row>
    <row r="7" spans="4:5" x14ac:dyDescent="0.25">
      <c r="D7" s="4" t="s">
        <v>355</v>
      </c>
      <c r="E7" s="25">
        <v>60000</v>
      </c>
    </row>
    <row r="8" spans="4:5" x14ac:dyDescent="0.25">
      <c r="D8" s="4" t="s">
        <v>356</v>
      </c>
      <c r="E8" s="25">
        <v>75000</v>
      </c>
    </row>
    <row r="10" spans="1:5" x14ac:dyDescent="0.25">
      <c r="A10" s="3" t="s">
        <v>357</v>
      </c>
      <c r="B10" s="26">
        <v>650000</v>
      </c>
      <c r="D10" s="3" t="s">
        <v>358</v>
      </c>
      <c r="E10" s="26">
        <v>650000</v>
      </c>
    </row>
    <row r="11" spans="1:2" x14ac:dyDescent="0.25">
      <c r="A11" s="3" t="s">
        <v>359</v>
      </c>
      <c r="B11" s="36">
        <v>0</v>
      </c>
    </row>
  </sheetData>
  <mergeCells count="1">
    <mergeCell ref="A1:E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1"/>
  <sheetFormatPr defaultRowHeight="15" outlineLevelRow="0" outlineLevelCol="0" x14ac:dyDescent="55"/>
  <cols>
    <col min="1" max="1" width="28" customWidth="1"/>
    <col min="2" max="6" width="16" customWidth="1"/>
  </cols>
  <sheetData>
    <row r="1" spans="1:6" x14ac:dyDescent="0.25">
      <c r="A1" s="11" t="s">
        <v>360</v>
      </c>
      <c r="B1" s="11"/>
      <c r="C1" s="11"/>
      <c r="D1" s="11"/>
      <c r="E1" s="11"/>
      <c r="F1" s="11"/>
    </row>
    <row r="3" ht="24" customHeight="1" spans="1:6" x14ac:dyDescent="0.25">
      <c r="A3" s="13" t="s">
        <v>361</v>
      </c>
      <c r="B3" s="13"/>
      <c r="C3" s="13"/>
      <c r="D3" s="13"/>
      <c r="E3" s="13"/>
      <c r="F3" s="13"/>
    </row>
    <row r="4" spans="1:1" x14ac:dyDescent="0.25">
      <c r="A4" s="12" t="s">
        <v>362</v>
      </c>
    </row>
    <row r="5" ht="28" customHeight="1" spans="1:6" x14ac:dyDescent="0.25">
      <c r="A5" s="15" t="s">
        <v>67</v>
      </c>
      <c r="B5" s="15" t="s">
        <v>90</v>
      </c>
      <c r="C5" s="15" t="s">
        <v>91</v>
      </c>
      <c r="D5" s="15" t="s">
        <v>92</v>
      </c>
      <c r="E5" s="15" t="s">
        <v>93</v>
      </c>
      <c r="F5" s="15" t="s">
        <v>94</v>
      </c>
    </row>
    <row r="6" spans="1:6" x14ac:dyDescent="0.25">
      <c r="A6" s="4" t="s">
        <v>330</v>
      </c>
      <c r="B6" s="25">
        <v>1288333</v>
      </c>
      <c r="C6" s="25">
        <v>2564700</v>
      </c>
      <c r="D6" s="25">
        <v>3893503</v>
      </c>
      <c r="E6" s="25">
        <v>4977371</v>
      </c>
      <c r="F6" s="25">
        <v>5458718</v>
      </c>
    </row>
    <row r="7" spans="1:6" x14ac:dyDescent="0.25">
      <c r="A7" s="4" t="s">
        <v>276</v>
      </c>
      <c r="B7" s="25">
        <v>1621256</v>
      </c>
      <c r="C7" s="25">
        <v>2206354</v>
      </c>
      <c r="D7" s="25">
        <v>2546884</v>
      </c>
      <c r="E7" s="25">
        <v>2834877</v>
      </c>
      <c r="F7" s="25">
        <v>2991587</v>
      </c>
    </row>
    <row r="8" spans="1:6" x14ac:dyDescent="0.25">
      <c r="A8" s="3" t="s">
        <v>278</v>
      </c>
      <c r="B8" s="26">
        <v>-332923</v>
      </c>
      <c r="C8" s="26">
        <v>358346</v>
      </c>
      <c r="D8" s="26">
        <v>1346619</v>
      </c>
      <c r="E8" s="26">
        <v>2142494</v>
      </c>
      <c r="F8" s="26">
        <v>2467131</v>
      </c>
    </row>
    <row r="9" spans="1:6" x14ac:dyDescent="0.25">
      <c r="A9" s="4" t="s">
        <v>279</v>
      </c>
      <c r="B9" s="24">
        <v>-0.2584133416981985</v>
      </c>
      <c r="C9" s="24">
        <v>0.1397225288645145</v>
      </c>
      <c r="D9" s="24">
        <v>0.3458632236905482</v>
      </c>
      <c r="E9" s="24">
        <v>0.43044696555461553</v>
      </c>
      <c r="F9" s="24">
        <v>0.4519616461017463</v>
      </c>
    </row>
    <row r="10" spans="1:6" x14ac:dyDescent="0.25">
      <c r="A10" s="4" t="s">
        <v>332</v>
      </c>
      <c r="B10" s="43">
        <v>-5.68</v>
      </c>
      <c r="C10" s="43">
        <v>8.19</v>
      </c>
      <c r="D10" s="43">
        <v>28.03</v>
      </c>
      <c r="E10" s="43">
        <v>44</v>
      </c>
      <c r="F10" s="43">
        <v>50.52</v>
      </c>
    </row>
    <row r="11" spans="1:6" x14ac:dyDescent="0.25">
      <c r="A11" s="4" t="s">
        <v>340</v>
      </c>
      <c r="B11" s="22">
        <v>174</v>
      </c>
      <c r="C11" s="22">
        <v>158</v>
      </c>
      <c r="D11" s="22">
        <v>151</v>
      </c>
      <c r="E11" s="22">
        <v>148</v>
      </c>
      <c r="F11" s="22">
        <v>148</v>
      </c>
    </row>
    <row r="13" ht="24" customHeight="1" spans="1:6" x14ac:dyDescent="0.25">
      <c r="A13" s="13" t="s">
        <v>363</v>
      </c>
      <c r="B13" s="13"/>
      <c r="C13" s="13"/>
      <c r="D13" s="13"/>
      <c r="E13" s="13"/>
      <c r="F13" s="13"/>
    </row>
    <row r="14" spans="1:1" x14ac:dyDescent="0.25">
      <c r="A14" s="12" t="s">
        <v>364</v>
      </c>
    </row>
    <row r="15" ht="28" customHeight="1" spans="1:6" x14ac:dyDescent="0.25">
      <c r="A15" s="15" t="s">
        <v>67</v>
      </c>
      <c r="B15" s="15" t="s">
        <v>90</v>
      </c>
      <c r="C15" s="15" t="s">
        <v>91</v>
      </c>
      <c r="D15" s="15" t="s">
        <v>92</v>
      </c>
      <c r="E15" s="15" t="s">
        <v>93</v>
      </c>
      <c r="F15" s="15" t="s">
        <v>94</v>
      </c>
    </row>
    <row r="16" spans="1:6" x14ac:dyDescent="0.25">
      <c r="A16" s="4" t="s">
        <v>330</v>
      </c>
      <c r="B16" s="25">
        <v>966250</v>
      </c>
      <c r="C16" s="25">
        <v>1923525</v>
      </c>
      <c r="D16" s="25">
        <v>2920127</v>
      </c>
      <c r="E16" s="25">
        <v>3733029</v>
      </c>
      <c r="F16" s="25">
        <v>4094038</v>
      </c>
    </row>
    <row r="17" spans="1:6" x14ac:dyDescent="0.25">
      <c r="A17" s="4" t="s">
        <v>276</v>
      </c>
      <c r="B17" s="25">
        <v>1621256</v>
      </c>
      <c r="C17" s="25">
        <v>2206354</v>
      </c>
      <c r="D17" s="25">
        <v>2546884</v>
      </c>
      <c r="E17" s="25">
        <v>2834877</v>
      </c>
      <c r="F17" s="25">
        <v>2991587</v>
      </c>
    </row>
    <row r="18" spans="1:6" x14ac:dyDescent="0.25">
      <c r="A18" s="3" t="s">
        <v>278</v>
      </c>
      <c r="B18" s="26">
        <v>-655006</v>
      </c>
      <c r="C18" s="26">
        <v>-282829</v>
      </c>
      <c r="D18" s="26">
        <v>373244</v>
      </c>
      <c r="E18" s="26">
        <v>898152</v>
      </c>
      <c r="F18" s="26">
        <v>1102452</v>
      </c>
    </row>
    <row r="19" spans="1:6" x14ac:dyDescent="0.25">
      <c r="A19" s="4" t="s">
        <v>279</v>
      </c>
      <c r="B19" s="24">
        <v>-0.677884455597598</v>
      </c>
      <c r="C19" s="24">
        <v>-0.14703662818064733</v>
      </c>
      <c r="D19" s="24">
        <v>0.12781763158739762</v>
      </c>
      <c r="E19" s="24">
        <v>0.2405959540728207</v>
      </c>
      <c r="F19" s="24">
        <v>0.26928219480232835</v>
      </c>
    </row>
    <row r="20" spans="1:6" x14ac:dyDescent="0.25">
      <c r="A20" s="4" t="s">
        <v>332</v>
      </c>
      <c r="B20" s="43">
        <v>-12.15</v>
      </c>
      <c r="C20" s="43">
        <v>-4.68</v>
      </c>
      <c r="D20" s="43">
        <v>8.49</v>
      </c>
      <c r="E20" s="43">
        <v>19.03</v>
      </c>
      <c r="F20" s="43">
        <v>23.13</v>
      </c>
    </row>
    <row r="21" spans="1:6" x14ac:dyDescent="0.25">
      <c r="A21" s="4" t="s">
        <v>340</v>
      </c>
      <c r="B21" s="22">
        <v>230</v>
      </c>
      <c r="C21" s="22">
        <v>191</v>
      </c>
      <c r="D21" s="22">
        <v>177</v>
      </c>
      <c r="E21" s="22">
        <v>171</v>
      </c>
      <c r="F21" s="22">
        <v>170</v>
      </c>
    </row>
    <row r="23" ht="24" customHeight="1" spans="1:6" x14ac:dyDescent="0.25">
      <c r="A23" s="13" t="s">
        <v>365</v>
      </c>
      <c r="B23" s="13"/>
      <c r="C23" s="13"/>
      <c r="D23" s="13"/>
      <c r="E23" s="13"/>
      <c r="F23" s="13"/>
    </row>
    <row r="24" spans="1:1" x14ac:dyDescent="0.25">
      <c r="A24" s="12" t="s">
        <v>366</v>
      </c>
    </row>
    <row r="25" ht="28" customHeight="1" spans="1:6" x14ac:dyDescent="0.25">
      <c r="A25" s="15" t="s">
        <v>67</v>
      </c>
      <c r="B25" s="15" t="s">
        <v>90</v>
      </c>
      <c r="C25" s="15" t="s">
        <v>91</v>
      </c>
      <c r="D25" s="15" t="s">
        <v>92</v>
      </c>
      <c r="E25" s="15" t="s">
        <v>93</v>
      </c>
      <c r="F25" s="15" t="s">
        <v>94</v>
      </c>
    </row>
    <row r="26" spans="1:6" x14ac:dyDescent="0.25">
      <c r="A26" s="4" t="s">
        <v>330</v>
      </c>
      <c r="B26" s="25">
        <v>1223917</v>
      </c>
      <c r="C26" s="25">
        <v>2436465</v>
      </c>
      <c r="D26" s="25">
        <v>3698828</v>
      </c>
      <c r="E26" s="25">
        <v>4728503</v>
      </c>
      <c r="F26" s="25">
        <v>5185782</v>
      </c>
    </row>
    <row r="27" spans="1:6" x14ac:dyDescent="0.25">
      <c r="A27" s="4" t="s">
        <v>276</v>
      </c>
      <c r="B27" s="25">
        <v>1621256</v>
      </c>
      <c r="C27" s="25">
        <v>2206354</v>
      </c>
      <c r="D27" s="25">
        <v>2546884</v>
      </c>
      <c r="E27" s="25">
        <v>2834877</v>
      </c>
      <c r="F27" s="25">
        <v>2991587</v>
      </c>
    </row>
    <row r="28" spans="1:6" x14ac:dyDescent="0.25">
      <c r="A28" s="3" t="s">
        <v>278</v>
      </c>
      <c r="B28" s="26">
        <v>-397339</v>
      </c>
      <c r="C28" s="26">
        <v>230111</v>
      </c>
      <c r="D28" s="26">
        <v>1151944</v>
      </c>
      <c r="E28" s="26">
        <v>1893626</v>
      </c>
      <c r="F28" s="26">
        <v>2194195</v>
      </c>
    </row>
    <row r="29" spans="1:6" x14ac:dyDescent="0.25">
      <c r="A29" s="4" t="s">
        <v>279</v>
      </c>
      <c r="B29" s="24">
        <v>-0.3246456228402091</v>
      </c>
      <c r="C29" s="24">
        <v>0.09444476722580472</v>
      </c>
      <c r="D29" s="24">
        <v>0.31143497230584016</v>
      </c>
      <c r="E29" s="24">
        <v>0.40047049005748997</v>
      </c>
      <c r="F29" s="24">
        <v>0.4231175222123644</v>
      </c>
    </row>
    <row r="30" spans="1:6" x14ac:dyDescent="0.25">
      <c r="A30" s="4" t="s">
        <v>332</v>
      </c>
      <c r="B30" s="43">
        <v>-6.97</v>
      </c>
      <c r="C30" s="43">
        <v>5.62</v>
      </c>
      <c r="D30" s="43">
        <v>24.12</v>
      </c>
      <c r="E30" s="43">
        <v>39.01</v>
      </c>
      <c r="F30" s="43">
        <v>45.04</v>
      </c>
    </row>
    <row r="31" spans="1:6" x14ac:dyDescent="0.25">
      <c r="A31" s="4" t="s">
        <v>340</v>
      </c>
      <c r="B31" s="22">
        <v>191</v>
      </c>
      <c r="C31" s="22">
        <v>171</v>
      </c>
      <c r="D31" s="22">
        <v>163</v>
      </c>
      <c r="E31" s="22">
        <v>160</v>
      </c>
      <c r="F31" s="22">
        <v>159</v>
      </c>
    </row>
    <row r="33" ht="24" customHeight="1" spans="1:6" x14ac:dyDescent="0.25">
      <c r="A33" s="13" t="s">
        <v>367</v>
      </c>
      <c r="B33" s="13"/>
      <c r="C33" s="13"/>
      <c r="D33" s="13"/>
      <c r="E33" s="13"/>
      <c r="F33" s="13"/>
    </row>
    <row r="34" spans="1:1" x14ac:dyDescent="0.25">
      <c r="A34" s="12" t="s">
        <v>368</v>
      </c>
    </row>
    <row r="35" ht="28" customHeight="1" spans="1:6" x14ac:dyDescent="0.25">
      <c r="A35" s="15" t="s">
        <v>67</v>
      </c>
      <c r="B35" s="15" t="s">
        <v>90</v>
      </c>
      <c r="C35" s="15" t="s">
        <v>91</v>
      </c>
      <c r="D35" s="15" t="s">
        <v>92</v>
      </c>
      <c r="E35" s="15" t="s">
        <v>93</v>
      </c>
      <c r="F35" s="15" t="s">
        <v>94</v>
      </c>
    </row>
    <row r="36" spans="1:6" x14ac:dyDescent="0.25">
      <c r="A36" s="4" t="s">
        <v>330</v>
      </c>
      <c r="B36" s="25">
        <v>1288333</v>
      </c>
      <c r="C36" s="25">
        <v>2564700</v>
      </c>
      <c r="D36" s="25">
        <v>3893503</v>
      </c>
      <c r="E36" s="25">
        <v>4977371</v>
      </c>
      <c r="F36" s="25">
        <v>5458718</v>
      </c>
    </row>
    <row r="37" spans="1:6" x14ac:dyDescent="0.25">
      <c r="A37" s="4" t="s">
        <v>276</v>
      </c>
      <c r="B37" s="25">
        <v>1667756</v>
      </c>
      <c r="C37" s="25">
        <v>2295964</v>
      </c>
      <c r="D37" s="25">
        <v>2680557</v>
      </c>
      <c r="E37" s="25">
        <v>3004523</v>
      </c>
      <c r="F37" s="25">
        <v>3177296</v>
      </c>
    </row>
    <row r="38" spans="1:6" x14ac:dyDescent="0.25">
      <c r="A38" s="3" t="s">
        <v>278</v>
      </c>
      <c r="B38" s="26">
        <v>-379423</v>
      </c>
      <c r="C38" s="26">
        <v>268736</v>
      </c>
      <c r="D38" s="26">
        <v>1212946</v>
      </c>
      <c r="E38" s="26">
        <v>1972849</v>
      </c>
      <c r="F38" s="26">
        <v>2281422</v>
      </c>
    </row>
    <row r="39" spans="1:6" x14ac:dyDescent="0.25">
      <c r="A39" s="4" t="s">
        <v>279</v>
      </c>
      <c r="B39" s="24">
        <v>-0.2945064852945763</v>
      </c>
      <c r="C39" s="24">
        <v>0.10478276982836991</v>
      </c>
      <c r="D39" s="24">
        <v>0.31153079862242844</v>
      </c>
      <c r="E39" s="24">
        <v>0.3963635407467121</v>
      </c>
      <c r="F39" s="24">
        <v>0.4179410275450453</v>
      </c>
    </row>
    <row r="40" spans="1:6" x14ac:dyDescent="0.25">
      <c r="A40" s="4" t="s">
        <v>332</v>
      </c>
      <c r="B40" s="43">
        <v>-6.62</v>
      </c>
      <c r="C40" s="43">
        <v>6.39</v>
      </c>
      <c r="D40" s="43">
        <v>25.34</v>
      </c>
      <c r="E40" s="43">
        <v>40.6</v>
      </c>
      <c r="F40" s="43">
        <v>46.79</v>
      </c>
    </row>
    <row r="41" spans="1:6" x14ac:dyDescent="0.25">
      <c r="A41" s="4" t="s">
        <v>340</v>
      </c>
      <c r="B41" s="22">
        <v>186</v>
      </c>
      <c r="C41" s="22">
        <v>167</v>
      </c>
      <c r="D41" s="22">
        <v>159</v>
      </c>
      <c r="E41" s="22">
        <v>156</v>
      </c>
      <c r="F41" s="22">
        <v>155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FormatPr defaultRowHeight="15" outlineLevelRow="0" outlineLevelCol="0" x14ac:dyDescent="55"/>
  <cols>
    <col min="1" max="1" width="28" customWidth="1"/>
    <col min="2" max="2" width="30" customWidth="1"/>
    <col min="3" max="3" width="4" customWidth="1"/>
    <col min="4" max="8" width="14" customWidth="1"/>
  </cols>
  <sheetData>
    <row r="1" spans="1:8" x14ac:dyDescent="0.25">
      <c r="A1" s="11" t="s">
        <v>369</v>
      </c>
      <c r="B1" s="11"/>
      <c r="C1" s="11"/>
      <c r="D1" s="11"/>
      <c r="E1" s="11"/>
      <c r="F1" s="11"/>
      <c r="G1" s="11"/>
      <c r="H1" s="11"/>
    </row>
    <row r="3" ht="24" customHeight="1" spans="1:2" x14ac:dyDescent="0.25">
      <c r="A3" s="13" t="s">
        <v>84</v>
      </c>
      <c r="B3" s="13"/>
    </row>
    <row r="4" spans="1:2" x14ac:dyDescent="0.25">
      <c r="A4" s="4" t="s">
        <v>2</v>
      </c>
      <c r="B4" s="4" t="s">
        <v>3</v>
      </c>
    </row>
    <row r="5" spans="1:2" x14ac:dyDescent="0.25">
      <c r="A5" s="4" t="s">
        <v>115</v>
      </c>
      <c r="B5" s="4" t="s">
        <v>5</v>
      </c>
    </row>
    <row r="6" spans="1:2" x14ac:dyDescent="0.25">
      <c r="A6" s="4" t="s">
        <v>370</v>
      </c>
      <c r="B6" s="4" t="s">
        <v>7</v>
      </c>
    </row>
    <row r="7" spans="1:2" x14ac:dyDescent="0.25">
      <c r="A7" s="4" t="s">
        <v>14</v>
      </c>
      <c r="B7" s="4" t="s">
        <v>15</v>
      </c>
    </row>
    <row r="8" spans="1:2" x14ac:dyDescent="0.25">
      <c r="A8" s="4" t="s">
        <v>8</v>
      </c>
      <c r="B8" s="4" t="s">
        <v>9</v>
      </c>
    </row>
    <row r="9" spans="1:2" x14ac:dyDescent="0.25">
      <c r="A9" s="4" t="s">
        <v>371</v>
      </c>
      <c r="B9" s="4" t="s">
        <v>17</v>
      </c>
    </row>
    <row r="11" ht="24" customHeight="1" spans="1:8" x14ac:dyDescent="0.25">
      <c r="A11" s="13" t="s">
        <v>372</v>
      </c>
      <c r="B11" s="13"/>
      <c r="C11" s="13"/>
      <c r="D11" s="13"/>
      <c r="E11" s="13"/>
      <c r="F11" s="13"/>
      <c r="G11" s="13"/>
      <c r="H11" s="13"/>
    </row>
    <row r="12" spans="1:8" x14ac:dyDescent="0.25">
      <c r="A12" t="s">
        <v>67</v>
      </c>
      <c r="B12" t="s">
        <v>67</v>
      </c>
      <c r="C12" t="s">
        <v>67</v>
      </c>
      <c r="D12" s="44" t="s">
        <v>90</v>
      </c>
      <c r="E12" s="44" t="s">
        <v>91</v>
      </c>
      <c r="F12" s="44" t="s">
        <v>92</v>
      </c>
      <c r="G12" s="44" t="s">
        <v>93</v>
      </c>
      <c r="H12" s="44" t="s">
        <v>94</v>
      </c>
    </row>
    <row r="13" spans="1:8" x14ac:dyDescent="0.25">
      <c r="A13" s="4" t="s">
        <v>330</v>
      </c>
      <c r="D13" s="25">
        <v>1288333</v>
      </c>
      <c r="E13" s="25">
        <v>2564700</v>
      </c>
      <c r="F13" s="25">
        <v>3893503</v>
      </c>
      <c r="G13" s="25">
        <v>4977371</v>
      </c>
      <c r="H13" s="25">
        <v>5458718</v>
      </c>
    </row>
    <row r="14" spans="1:8" x14ac:dyDescent="0.25">
      <c r="A14" s="4" t="s">
        <v>276</v>
      </c>
      <c r="D14" s="25">
        <v>1621256</v>
      </c>
      <c r="E14" s="25">
        <v>2206354</v>
      </c>
      <c r="F14" s="25">
        <v>2546884</v>
      </c>
      <c r="G14" s="25">
        <v>2834877</v>
      </c>
      <c r="H14" s="25">
        <v>2991587</v>
      </c>
    </row>
    <row r="15" spans="1:8" x14ac:dyDescent="0.25">
      <c r="A15" s="4" t="s">
        <v>278</v>
      </c>
      <c r="D15" s="25">
        <v>-447923</v>
      </c>
      <c r="E15" s="25">
        <v>318346</v>
      </c>
      <c r="F15" s="25">
        <v>1306619</v>
      </c>
      <c r="G15" s="25">
        <v>2117494</v>
      </c>
      <c r="H15" s="25">
        <v>2447131</v>
      </c>
    </row>
    <row r="16" spans="1:8" x14ac:dyDescent="0.25">
      <c r="A16" s="4" t="s">
        <v>373</v>
      </c>
      <c r="D16" s="25">
        <v>-190250</v>
      </c>
      <c r="E16" s="25">
        <v>128096</v>
      </c>
      <c r="F16" s="25">
        <v>1434716</v>
      </c>
      <c r="G16" s="25">
        <v>3552210</v>
      </c>
      <c r="H16" s="25">
        <v>5999341</v>
      </c>
    </row>
    <row r="17" spans="1:8" x14ac:dyDescent="0.25">
      <c r="A17" s="4" t="s">
        <v>374</v>
      </c>
      <c r="D17" s="25">
        <v>478361</v>
      </c>
      <c r="E17" s="25">
        <v>455444</v>
      </c>
      <c r="F17" s="25">
        <v>431175</v>
      </c>
      <c r="G17" s="25">
        <v>405473</v>
      </c>
      <c r="H17" s="25">
        <v>378253</v>
      </c>
    </row>
    <row r="19" ht="24" customHeight="1" spans="1:8" x14ac:dyDescent="0.25">
      <c r="A19" s="13" t="s">
        <v>375</v>
      </c>
      <c r="B19" s="13"/>
      <c r="C19" s="13"/>
      <c r="D19" s="13"/>
      <c r="E19" s="13"/>
      <c r="F19" s="13"/>
      <c r="G19" s="13"/>
      <c r="H19" s="13"/>
    </row>
    <row r="20" spans="1:8" x14ac:dyDescent="0.25">
      <c r="A20" t="s">
        <v>67</v>
      </c>
      <c r="B20" t="s">
        <v>67</v>
      </c>
      <c r="C20" t="s">
        <v>67</v>
      </c>
      <c r="D20" s="44" t="s">
        <v>90</v>
      </c>
      <c r="E20" s="44" t="s">
        <v>91</v>
      </c>
      <c r="F20" s="44" t="s">
        <v>92</v>
      </c>
      <c r="G20" s="44" t="s">
        <v>93</v>
      </c>
      <c r="H20" s="44" t="s">
        <v>94</v>
      </c>
    </row>
    <row r="21" spans="1:8" x14ac:dyDescent="0.25">
      <c r="A21" s="4" t="s">
        <v>376</v>
      </c>
      <c r="D21" s="24">
        <v>-0.34767595489354136</v>
      </c>
      <c r="E21" s="24">
        <v>0.12412616281780338</v>
      </c>
      <c r="F21" s="24">
        <v>0.33558969879535744</v>
      </c>
      <c r="G21" s="24">
        <v>0.42542423416409325</v>
      </c>
      <c r="H21" s="24">
        <v>0.44829778198663</v>
      </c>
    </row>
    <row r="22" spans="1:8" x14ac:dyDescent="0.25">
      <c r="A22" s="4" t="s">
        <v>332</v>
      </c>
      <c r="D22" s="43">
        <v>-5.68</v>
      </c>
      <c r="E22" s="43">
        <v>8.19</v>
      </c>
      <c r="F22" s="43">
        <v>28.03</v>
      </c>
      <c r="G22" s="43">
        <v>44</v>
      </c>
      <c r="H22" s="43">
        <v>50.52</v>
      </c>
    </row>
    <row r="23" spans="1:8" x14ac:dyDescent="0.25">
      <c r="A23" s="4" t="s">
        <v>186</v>
      </c>
      <c r="D23" s="24">
        <v>0.3</v>
      </c>
      <c r="E23" s="24">
        <v>0.5</v>
      </c>
      <c r="F23" s="24">
        <v>0.75</v>
      </c>
      <c r="G23" s="24">
        <v>0.9375</v>
      </c>
      <c r="H23" s="24">
        <v>1</v>
      </c>
    </row>
    <row r="24" spans="1:8" x14ac:dyDescent="0.25">
      <c r="A24" s="4" t="s">
        <v>377</v>
      </c>
      <c r="D24" s="22">
        <v>120</v>
      </c>
      <c r="E24" s="22">
        <v>200</v>
      </c>
      <c r="F24" s="22">
        <v>300</v>
      </c>
      <c r="G24" s="22">
        <v>375</v>
      </c>
      <c r="H24" s="22">
        <v>400</v>
      </c>
    </row>
    <row r="26" spans="1:8" x14ac:dyDescent="0.25">
      <c r="A26" s="8" t="s">
        <v>378</v>
      </c>
      <c r="B26" s="8"/>
      <c r="C26" s="8"/>
      <c r="D26" s="8"/>
      <c r="E26" s="8"/>
      <c r="F26" s="8"/>
      <c r="G26" s="8"/>
      <c r="H26" s="8"/>
    </row>
  </sheetData>
  <mergeCells count="2">
    <mergeCell ref="A1:H1"/>
    <mergeCell ref="A26:H26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Cover</vt:lpstr>
      <vt:lpstr>Instructions</vt:lpstr>
      <vt:lpstr>Assumptions</vt:lpstr>
      <vt:lpstr>Program Profile</vt:lpstr>
      <vt:lpstr>Enrollment Drivers</vt:lpstr>
      <vt:lpstr>Tuition &amp; Funding</vt:lpstr>
      <vt:lpstr>Staffing Drivers</vt:lpstr>
      <vt:lpstr>OpEx Drivers</vt:lpstr>
      <vt:lpstr>Capital Stack</vt:lpstr>
      <vt:lpstr>Enrollment Tuition Fcst</vt:lpstr>
      <vt:lpstr>Staffing Costs Fcst</vt:lpstr>
      <vt:lpstr>Budget Detail</vt:lpstr>
      <vt:lpstr>Budget Summary</vt:lpstr>
      <vt:lpstr>Monthly Cash Flow Y1</vt:lpstr>
      <vt:lpstr>5-Year Operating Stmt</vt:lpstr>
      <vt:lpstr>Debt Schedule</vt:lpstr>
      <vt:lpstr>Balance Sheet</vt:lpstr>
      <vt:lpstr>DSCR &amp; Covenants</vt:lpstr>
      <vt:lpstr>Sources &amp; Uses</vt:lpstr>
      <vt:lpstr>Scenarios</vt:lpstr>
      <vt:lpstr>Underwriting Snapshot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2026-03-17T17:29:24Z</dcterms:created>
  <dcterms:modified xsi:type="dcterms:W3CDTF">2026-03-17T17:29:24Z</dcterms:modified>
</cp:coreProperties>
</file>