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<sst xmlns="http://schemas.openxmlformats.org/spreadsheetml/2006/main" count="908" uniqueCount="509">
  <si>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</si>
  <si>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</si>
  <si>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</si>
  <si>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</si>
  <si>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</si>
  <si>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</si>
  <si>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</si>
  <si>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</si>
  <si>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</si>
  <si>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</si>
  <si>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</si>
  <si>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</si>
  <si>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</si>
  <si>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</si>
  <si>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</si>
  <si>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</si>
  <si>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</si>
  <si>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</si>
  <si>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</si>
  <si>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</si>
  <si>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</si>
  <si>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</si>
  <si>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</si>
  <si>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</si>
  <si>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</si>
  <si>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</si>
  <si>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</si>
  <si>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</si>
  <si>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</si>
  <si>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</si>
  <si>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</si>
  <si>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</si>
  <si>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</si>
  <si>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</si>
  <si>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</si>
  <si>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</si>
  <si>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</si>
  <si>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</si>
  <si>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</si>
  <si>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</si>
  <si>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</si>
  <si>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</si>
  <si>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</si>
  <si>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</si>
  <si>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</si>
  <si>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</si>
  <si>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</si>
  <si>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</si>
  <si>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</si>
  <si>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</si>
  <si>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</si>
  <si>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</si>
  <si>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</si>
  <si>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</si>
  <si>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</si>
  <si>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</si>
  <si>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</si>
  <si>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</si>
  <si>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</si>
  <si>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</si>
  <si>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</si>
  <si>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</si>
  <si>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</si>
  <si>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</si>
  <si>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</si>
  <si>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</si>
  <si>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</si>
  <si>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</si>
  <si>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</si>
  <si>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</si>
  <si>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</si>
  <si>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</si>
  <si>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</si>
  <si>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</si>
  <si>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</si>
  <si>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</si>
  <si>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</si>
  <si>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</si>
  <si>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</si>
  <si>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</si>
  <si>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</si>
  <si>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</si>
  <si>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</si>
  <si>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</si>
  <si>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</si>
  <si>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</si>
  <si>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</si>
  <si>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</si>
  <si>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</si>
  <si>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</si>
  <si>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</si>
  <si>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</si>
  <si>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</si>
  <si>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</si>
  <si>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</si>
  <si>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</si>
  <si>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</si>
  <si>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</si>
  <si>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</si>
  <si>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</si>
  <si>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</si>
  <si>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</si>
  <si>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</si>
  <si>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</si>
  <si>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</si>
  <si>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</si>
  <si>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</si>
  <si>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</si>
  <si>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</si>
  <si>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</si>
  <si>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</si>
  <si>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</si>
  <si>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</si>
  <si>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</si>
  <si>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</si>
  <si>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</si>
  <si>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</si>
  <si>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</si>
  <si>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</si>
  <si>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</si>
  <si>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</si>
  <si>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</si>
  <si>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</si>
  <si>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</si>
  <si>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</si>
  <si>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</si>
  <si>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</si>
  <si>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</si>
  <si>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</si>
  <si>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</si>
  <si>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</si>
  <si>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</si>
  <si>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</si>
  <si>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</si>
  <si>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</si>
  <si>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</si>
  <si>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</si>
  <si>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</si>
  <si>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</si>
  <si>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</si>
  <si>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</si>
  <si>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</si>
  <si>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</si>
  <si>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</si>
  <si>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</si>
  <si>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</si>
  <si>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</si>
  <si>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</si>
  <si>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</si>
  <si>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</si>
  <si>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</si>
  <si>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</si>
  <si>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</si>
  <si>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</si>
  <si>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</si>
  <si>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</si>
  <si>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</si>
  <si>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</si>
  <si>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</si>
  <si>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</si>
  <si>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</si>
  <si>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</si>
  <si>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</si>
  <si>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</si>
  <si>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</si>
  <si>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</si>
  <si>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</si>
  <si>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</si>
  <si>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</si>
  <si>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</si>
  <si>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</si>
  <si>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</si>
  <si>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</si>
  <si>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</si>
  <si>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</si>
  <si>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</si>
  <si>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</si>
  <si>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</si>
  <si>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</si>
  <si>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</si>
  <si>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</si>
  <si>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</si>
  <si>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</si>
  <si>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</si>
  <si>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</si>
  <si>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</si>
  <si>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</si>
  <si>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</si>
  <si>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</si>
  <si>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</si>
  <si>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</si>
  <si>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</si>
  <si>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</si>
  <si>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</si>
  <si>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</si>
  <si>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</si>
  <si>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</si>
  <si>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</si>
  <si>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</si>
  <si>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</si>
  <si>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</si>
  <si>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</si>
  <si>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</si>
  <si>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</si>
  <si>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</si>
  <si>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</si>
  <si>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</si>
  <si>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</si>
  <si>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</si>
  <si>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</si>
  <si>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</si>
  <si>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</si>
  <si>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</si>
  <si>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</si>
  <si>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</si>
  <si>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</si>
  <si>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</si>
  <si>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</si>
  <si>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</si>
  <si>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</si>
  <si>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</si>
  <si>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</si>
  <si>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</si>
  <si>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</si>
  <si>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</si>
  <si>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</si>
  <si>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</si>
  <si>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</si>
  <si>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</si>
  <si>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</si>
  <si>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</si>
  <si>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</si>
  <si>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</si>
  <si>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</si>
  <si>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</si>
  <si>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</si>
  <si>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</si>
  <si>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</si>
  <si>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</si>
  <si>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</si>
  <si>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</si>
  <si>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</si>
  <si>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</si>
  <si>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</si>
  <si>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</si>
  <si>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</si>
  <si>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</si>
  <si>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</si>
  <si>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</si>
  <si>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</si>
  <si>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</si>
  <si>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</si>
  <si>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</si>
  <si>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</si>
  <si>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</si>
  <si>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</si>
  <si>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</si>
  <si>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</si>
  <si>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</si>
  <si>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</si>
  <si>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</si>
  <si>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</si>
  <si>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</si>
  <si>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</si>
  <si>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</si>
  <si>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</si>
  <si>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</si>
  <si>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</si>
  <si>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</si>
  <si>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</si>
  <si>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</si>
  <si>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</si>
  <si>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</si>
  <si>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</si>
  <si>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</si>
  <si>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</si>
  <si>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</si>
  <si>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</si>
  <si>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</si>
  <si>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</si>
  <si>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</si>
  <si>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</si>
  <si>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</si>
  <si>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</si>
  <si>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</si>
  <si>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</si>
  <si>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</si>
  <si>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</si>
  <si>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</si>
  <si>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</si>
  <si>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</si>
  <si>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</si>
  <si>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</si>
  <si>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</si>
  <si>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</si>
  <si>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</si>
  <si>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</si>
  <si>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</si>
  <si>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</si>
  <si>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</si>
  <si>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</si>
  <si>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</si>
  <si>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</si>
  <si>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</si>
  <si>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</si>
  <si>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</si>
  <si>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</si>
  <si>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</si>
  <si>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</si>
  <si>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</si>
  <si>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</si>
  <si>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</si>
  <si>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</si>
  <si>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</si>
  <si>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</si>
  <si>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</si>
  <si>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</si>
  <si>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</si>
  <si>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</si>
  <si>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</si>
  <si>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</si>
  <si>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</si>
  <si>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</si>
  <si>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</si>
  <si>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</si>
  <si>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</si>
  <si>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</si>
  <si>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</si>
  <si>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</si>
  <si>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</si>
  <si>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</si>
  <si>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</si>
  <si>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</si>
  <si>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</si>
  <si>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</si>
  <si>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</si>
  <si>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</si>
  <si>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</si>
  <si>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</si>
  <si>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</si>
  <si>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</si>
  <si>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</si>
  <si>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</si>
  <si>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</si>
  <si>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</si>
  <si>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</si>
  <si>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</si>
  <si>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</si>
  <si>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</si>
  <si>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</si>
  <si>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</si>
  <si>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</si>
  <si>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</si>
  <si>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</si>
  <si>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</si>
  <si>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</si>
  <si>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</si>
  <si>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</si>
  <si>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</si>
  <si>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</si>
  <si>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</si>
  <si>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</si>
  <si>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</si>
  <si>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</si>
  <si>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</si>
  <si>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</si>
  <si>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</si>
  <si>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</si>
  <si>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</si>
  <si>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</si>
  <si>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</si>
  <si>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</si>
  <si>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</si>
  <si>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</si>
  <si>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</si>
  <si>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</si>
  <si>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</si>
  <si>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</si>
  <si>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</si>
  <si>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</si>
  <si>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</si>
  <si>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</si>
  <si>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</si>
  <si>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</si>
  <si>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</si>
  <si>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</si>
  <si>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</si>
  <si>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</si>
  <si>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</si>
  <si>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</si>
  <si>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</si>
  <si>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</si>
  <si>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</si>
  <si>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</si>
  <si>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</si>
  <si>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</si>
  <si>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</si>
  <si>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</si>
  <si>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</si>
  <si>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</si>
  <si>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</si>
  <si>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</si>
  <si>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</si>
  <si>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</si>
  <si>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</si>
  <si>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</si>
  <si>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</si>
  <si>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</si>
  <si>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</si>
  <si>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</si>
  <si>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</si>
  <si>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</si>
  <si>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</si>
  <si>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</si>
  <si>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</si>
  <si>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</si>
  <si>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</si>
  <si>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</si>
  <si>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</si>
  <si>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</si>
  <si>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</si>
  <si>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</si>
  <si>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</si>
  <si>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</si>
  <si>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</si>
  <si>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</si>
  <si>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</si>
  <si>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</si>
  <si>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</si>
  <si>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</si>
  <si>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</si>
  <si>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</si>
  <si>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</si>
  <si>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</si>
  <si>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</si>
  <si>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</si>
  <si>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</si>
  <si>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</si>
  <si>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</si>
  <si>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</si>
  <si>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</si>
  <si>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</si>
  <si>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</si>
  <si>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</si>
  <si>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</si>
  <si>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</si>
  <si>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</si>
  <si>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</si>
  <si>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</si>
  <si>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</si>
  <si>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</si>
  <si>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</si>
  <si>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</si>
  <si>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</si>
  <si>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</si>
  <si>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</si>
  <si>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</si>
  <si>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</si>
  <si>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</si>
  <si>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</si>
  <si>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</si>
  <si>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</si>
  <si>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</si>
  <si>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</si>
  <si>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</si>
  <si>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</si>
  <si>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</si>
  <si>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</si>
  <si>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</si>
  <si>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</si>
  <si>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</si>
  <si>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</si>
  <si>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</si>
  <si>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</si>
  <si>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</si>
  <si>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</si>
  <si>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</si>
  <si>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</si>
  <si>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</si>
  <si>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</si>
  <si>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</si>
  <si>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</si>
  <si>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</si>
  <si>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</si>
  <si>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</si>
  <si>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30.60x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</si>
  <si>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</si>
  <si>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</si>
  <si>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</si>
  <si>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</si>
  <si>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</si>
  <si>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9.9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</si>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</sst>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5" fontId="21"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7" x14ac:dyDescent="0.25">
      <c r="A14" s="19" t="s">
        <v>230</v>
      </c>
      <c r="B14" s="19"/>
      <c r="C14" s="19"/>
      <c r="D14" s="19"/>
      <c r="E14" s="19"/>
      <c r="F14" s="19"/>
      <c r="G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7"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2564700</v>
      </c>
      <c r="D11" s="31">
        <f>SUM(D5:D10)</f>
        <v>3893503</v>
      </c>
      <c r="E11" s="31">
        <f>SUM(E5:E10)</f>
        <v>4977371</v>
      </c>
      <c r="F11" s="31">
        <f>SUM(F5:F10)</f>
        <v>5458718</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2564700</v>
      </c>
      <c r="D4" s="33">
        <f>'Budget Detail'!D11</f>
        <v>3893503</v>
      </c>
      <c r="E4" s="33">
        <f>'Budget Detail'!E11</f>
        <v>4977371</v>
      </c>
      <c r="F4" s="33">
        <f>'Budget Detail'!F11</f>
        <v>5458718</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64057</v>
      </c>
      <c r="D11" s="32">
        <f>D4-D8</f>
        <v>707949</v>
      </c>
      <c r="E11" s="32">
        <f>E4-E8</f>
        <v>1231089</v>
      </c>
      <c r="F11" s="32">
        <f>F4-F8</f>
        <v>1454742</v>
      </c>
    </row>
    <row r="12" spans="1:6" x14ac:dyDescent="0.25">
      <c r="A12" s="11" t="s">
        <v>319</v>
      </c>
      <c r="B12" s="29">
        <f>IF(B4=0,0,B11/B4)</f>
        <v>-0.32486289</v>
      </c>
      <c r="C12" s="29">
        <f>IF(C4=0,0,C11/C4)</f>
        <v>0.02497636</v>
      </c>
      <c r="D12" s="29">
        <f>IF(D4=0,0,D11/D4)</f>
        <v>0.18182839</v>
      </c>
      <c r="E12" s="29">
        <f>IF(E4=0,0,E11/E4)</f>
        <v>0.24733708</v>
      </c>
      <c r="F12" s="29">
        <f>IF(F4=0,0,F11/F4)</f>
        <v>0.26649881</v>
      </c>
    </row>
    <row r="13" spans="1:6" x14ac:dyDescent="0.25">
      <c r="A13" s="11" t="s">
        <v>320</v>
      </c>
      <c r="B13" s="30">
        <v>-418532</v>
      </c>
      <c r="C13" s="30">
        <v>-354475</v>
      </c>
      <c r="D13" s="30">
        <v>353475</v>
      </c>
      <c r="E13" s="30">
        <v>1584563</v>
      </c>
      <c r="F13" s="30">
        <v>3039305</v>
      </c>
    </row>
    <row r="14" spans="1:6" x14ac:dyDescent="0.25">
      <c r="A14" s="11" t="s">
        <v>259</v>
      </c>
      <c r="B14" s="30">
        <v>10736</v>
      </c>
      <c r="C14" s="30">
        <v>12824</v>
      </c>
      <c r="D14" s="30">
        <v>12978</v>
      </c>
      <c r="E14" s="30">
        <v>13273</v>
      </c>
      <c r="F14" s="30">
        <v>13647</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2564700</v>
      </c>
      <c r="D5" s="31">
        <v>3893503</v>
      </c>
      <c r="E5" s="31">
        <v>4977371</v>
      </c>
      <c r="F5" s="31">
        <v>5458718</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64057</v>
      </c>
      <c r="D15" s="32">
        <f>D5-D12</f>
        <v>707949</v>
      </c>
      <c r="E15" s="32">
        <f>E5-E12</f>
        <v>1231089</v>
      </c>
      <c r="F15" s="32">
        <f>F5-F12</f>
        <v>1454742</v>
      </c>
    </row>
    <row r="16" spans="1:6" x14ac:dyDescent="0.25">
      <c r="A16" s="11" t="s">
        <v>319</v>
      </c>
      <c r="B16" s="29">
        <f>IF(B5=0,0,B15/B5)</f>
        <v>-0.32486289</v>
      </c>
      <c r="C16" s="29">
        <f>IF(C5=0,0,C15/C5)</f>
        <v>0.02497636</v>
      </c>
      <c r="D16" s="29">
        <f>IF(D5=0,0,D15/D5)</f>
        <v>0.18182839</v>
      </c>
      <c r="E16" s="29">
        <f>IF(E5=0,0,E15/E5)</f>
        <v>0.24733708</v>
      </c>
      <c r="F16" s="29">
        <f>IF(F5=0,0,F15/F5)</f>
        <v>0.26649881</v>
      </c>
    </row>
    <row r="17" spans="1:6" x14ac:dyDescent="0.25">
      <c r="A17" s="10" t="s">
        <v>353</v>
      </c>
      <c r="B17" s="33">
        <f>B15</f>
        <v>-418532</v>
      </c>
      <c r="C17" s="33">
        <f>B17+C15</f>
        <v>-354475</v>
      </c>
      <c r="D17" s="33">
        <f>C17+D15</f>
        <v>353475</v>
      </c>
      <c r="E17" s="33">
        <f>D17+E15</f>
        <v>1584563</v>
      </c>
      <c r="F17" s="33">
        <f>E17+F15</f>
        <v>3039305</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-96803</v>
      </c>
      <c r="D5" s="48">
        <f>B5+'5-Year Operating Stmt'!C15+'5-Year Operating Stmt'!D15</f>
        <v>611146</v>
      </c>
      <c r="E5" s="48">
        <f>B5+'5-Year Operating Stmt'!C15+'5-Year Operating Stmt'!D15+'5-Year Operating Stmt'!E15</f>
        <v>1842235</v>
      </c>
      <c r="F5" s="48">
        <f>B5+'5-Year Operating Stmt'!C15+'5-Year Operating Stmt'!D15+'5-Year Operating Stmt'!E15+'5-Year Operating Stmt'!F15</f>
        <v>3296977</v>
      </c>
    </row>
    <row r="6" spans="1:6" x14ac:dyDescent="0.25">
      <c r="A6" s="11" t="s">
        <v>369</v>
      </c>
      <c r="B6" s="30">
        <v>74123</v>
      </c>
      <c r="C6" s="30">
        <v>147558</v>
      </c>
      <c r="D6" s="30">
        <v>224010</v>
      </c>
      <c r="E6" s="30">
        <v>286369</v>
      </c>
      <c r="F6" s="30">
        <v>314063</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50755</v>
      </c>
      <c r="D9" s="31">
        <f>SUM(D5:D8)</f>
        <v>835156</v>
      </c>
      <c r="E9" s="31">
        <f>SUM(E5:E8)</f>
        <v>2128604</v>
      </c>
      <c r="F9" s="31">
        <f>SUM(F5:F8)</f>
        <v>3611040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-404690</v>
      </c>
      <c r="D17" s="32">
        <f>D9-D14</f>
        <v>403981</v>
      </c>
      <c r="E17" s="32">
        <f>E9-E14</f>
        <v>1723132</v>
      </c>
      <c r="F17" s="32">
        <f>F9-F14</f>
        <v>3232787</v>
      </c>
    </row>
    <row r="19" spans="1:6" x14ac:dyDescent="0.25">
      <c r="A19" s="10" t="s">
        <v>379</v>
      </c>
      <c r="B19" s="49" t="str">
        <f>B9-B14-B17</f>
        <v>0</v>
      </c>
      <c r="C19" s="50">
        <f>C9-C14-C17</f>
        <v>1</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2564700</v>
      </c>
      <c r="D5" s="30">
        <v>3893503</v>
      </c>
      <c r="E5" s="30">
        <v>4977371</v>
      </c>
      <c r="F5" s="30">
        <v>5458718</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64057</v>
      </c>
      <c r="D8" s="33">
        <v>707949</v>
      </c>
      <c r="E8" s="33">
        <v>1231089</v>
      </c>
      <c r="F8" s="33">
        <v>1454742</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113881</v>
      </c>
      <c r="D11" s="33">
        <f>D8+D9+D10</f>
        <v>757774</v>
      </c>
      <c r="E11" s="33">
        <f>E8+E9+E10</f>
        <v>1280913</v>
      </c>
      <c r="F11" s="33">
        <f>F8+F9+F10</f>
        <v>1504566</v>
      </c>
    </row>
    <row r="12" spans="1:6" x14ac:dyDescent="0.25">
      <c r="A12" s="10" t="s">
        <v>387</v>
      </c>
      <c r="B12" s="51">
        <f>IF(B10=0,"N/A",B11/B10)</f>
        <v>-7.4</v>
      </c>
      <c r="C12" s="51">
        <f>IF(C10=0,"N/A",C11/C10)</f>
        <v>2.29</v>
      </c>
      <c r="D12" s="51">
        <f>IF(D10=0,"N/A",D11/D10)</f>
        <v>15.21</v>
      </c>
      <c r="E12" s="51">
        <f>IF(E10=0,"N/A",E11/E10)</f>
        <v>25.71</v>
      </c>
      <c r="F12" s="51">
        <f>IF(F10=0,"N/A",F11/F10)</f>
        <v>30.2</v>
      </c>
    </row>
    <row r="14" ht="24" customHeight="1" spans="1:6" x14ac:dyDescent="0.25">
      <c r="A14" s="19" t="s">
        <v>388</v>
      </c>
      <c r="B14" s="19"/>
      <c r="C14" s="19"/>
      <c r="D14" s="19"/>
      <c r="E14" s="19"/>
      <c r="F14" s="19"/>
    </row>
    <row r="15" spans="1:6" x14ac:dyDescent="0.25">
      <c r="A15" s="11" t="s">
        <v>389</v>
      </c>
      <c r="B15" s="30">
        <v>-160860</v>
      </c>
      <c r="C15" s="30">
        <v>-96803</v>
      </c>
      <c r="D15" s="30">
        <v>611146</v>
      </c>
      <c r="E15" s="30">
        <v>1842235</v>
      </c>
      <c r="F15" s="30">
        <v>3296977</v>
      </c>
    </row>
    <row r="16" spans="1:6" x14ac:dyDescent="0.25">
      <c r="A16" s="11" t="s">
        <v>390</v>
      </c>
      <c r="B16" s="35">
        <f>IF((B5-B8)=0,0,(B15/(B5-B8))*365)</f>
        <v>-34</v>
      </c>
      <c r="C16" s="35">
        <f>IF((C5-C8)=0,0,(C15/(C5-C8))*365)</f>
        <v>-14</v>
      </c>
      <c r="D16" s="35">
        <f>IF((D5-D8)=0,0,(D15/(D5-D8))*365)</f>
        <v>70</v>
      </c>
      <c r="E16" s="35">
        <f>IF((E5-E8)=0,0,(E15/(E5-E8))*365)</f>
        <v>179</v>
      </c>
      <c r="F16" s="35">
        <f>IF((F5-F8)=0,0,(F15/(F5-F8))*365)</f>
        <v>301</v>
      </c>
    </row>
    <row r="17" spans="1:6" x14ac:dyDescent="0.25">
      <c r="A17" s="11" t="s">
        <v>391</v>
      </c>
      <c r="B17" s="34">
        <f>IF((B5-B8)=0,0,B15/((B5-B8)/12))</f>
        <v>-1.1</v>
      </c>
      <c r="C17" s="34">
        <f>IF((C5-C8)=0,0,C15/((C5-C8)/12))</f>
        <v>-0.5</v>
      </c>
      <c r="D17" s="34">
        <f>IF((D5-D8)=0,0,D15/((D5-D8)/12))</f>
        <v>2.3</v>
      </c>
      <c r="E17" s="34">
        <f>IF((E5-E8)=0,0,E15/((E5-E8)/12))</f>
        <v>5.9</v>
      </c>
      <c r="F17" s="34">
        <f>IF((F5-F8)=0,0,F15/((F5-F8)/12))</f>
        <v>9.9</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12824</v>
      </c>
      <c r="D21" s="30">
        <v>12978</v>
      </c>
      <c r="E21" s="30">
        <v>13273</v>
      </c>
      <c r="F21" s="30">
        <v>13647</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2">
        <v>170</v>
      </c>
      <c r="C24" s="52">
        <v>188</v>
      </c>
      <c r="D24" s="52">
        <v>217</v>
      </c>
      <c r="E24" s="52">
        <v>242</v>
      </c>
      <c r="F24" s="52">
        <v>249</v>
      </c>
    </row>
    <row r="26" ht="24" customHeight="1" spans="1:6" x14ac:dyDescent="0.25">
      <c r="A26" s="19" t="s">
        <v>396</v>
      </c>
      <c r="B26" s="19"/>
      <c r="C26" s="19"/>
      <c r="D26" s="19"/>
      <c r="E26" s="19"/>
      <c r="F26" s="19"/>
    </row>
    <row r="27" spans="1:6" x14ac:dyDescent="0.25">
      <c r="A27" s="11" t="s">
        <v>397</v>
      </c>
      <c r="B27" s="53" t="s">
        <v>398</v>
      </c>
      <c r="C27" s="54" t="s">
        <v>399</v>
      </c>
      <c r="D27" s="54" t="s">
        <v>399</v>
      </c>
      <c r="E27" s="54" t="s">
        <v>399</v>
      </c>
      <c r="F27" s="54" t="s">
        <v>399</v>
      </c>
    </row>
    <row r="28" spans="1:6" x14ac:dyDescent="0.25">
      <c r="A28" s="11" t="s">
        <v>400</v>
      </c>
      <c r="B28" s="53" t="s">
        <v>398</v>
      </c>
      <c r="C28" s="54" t="s">
        <v>399</v>
      </c>
      <c r="D28" s="54" t="s">
        <v>399</v>
      </c>
      <c r="E28" s="54" t="s">
        <v>399</v>
      </c>
      <c r="F28" s="54" t="s">
        <v>399</v>
      </c>
    </row>
    <row r="29" spans="1:6" x14ac:dyDescent="0.25">
      <c r="A29" s="11" t="s">
        <v>401</v>
      </c>
      <c r="B29" s="53" t="s">
        <v>398</v>
      </c>
      <c r="C29" s="53" t="s">
        <v>398</v>
      </c>
      <c r="D29" s="54" t="s">
        <v>399</v>
      </c>
      <c r="E29" s="54" t="s">
        <v>399</v>
      </c>
      <c r="F29" s="54" t="s">
        <v>399</v>
      </c>
    </row>
    <row r="30" spans="1:6" x14ac:dyDescent="0.25">
      <c r="A30" s="11" t="s">
        <v>402</v>
      </c>
      <c r="B30" s="53" t="s">
        <v>398</v>
      </c>
      <c r="C30" s="53" t="s">
        <v>398</v>
      </c>
      <c r="D30" s="53" t="s">
        <v>398</v>
      </c>
      <c r="E30" s="53" t="s">
        <v>398</v>
      </c>
      <c r="F30" s="53" t="s">
        <v>398</v>
      </c>
    </row>
    <row r="31" spans="1:6" x14ac:dyDescent="0.25">
      <c r="A31" s="11" t="s">
        <v>403</v>
      </c>
      <c r="B31" s="53" t="s">
        <v>398</v>
      </c>
      <c r="C31" s="53" t="s">
        <v>398</v>
      </c>
      <c r="D31" s="54" t="s">
        <v>399</v>
      </c>
      <c r="E31" s="54" t="s">
        <v>399</v>
      </c>
      <c r="F31" s="54" t="s">
        <v>399</v>
      </c>
    </row>
    <row r="32" spans="1:6" x14ac:dyDescent="0.25">
      <c r="A32" s="11" t="s">
        <v>404</v>
      </c>
      <c r="B32" s="53" t="s">
        <v>398</v>
      </c>
      <c r="C32" s="53" t="s">
        <v>398</v>
      </c>
      <c r="D32" s="54" t="s">
        <v>399</v>
      </c>
      <c r="E32" s="54" t="s">
        <v>399</v>
      </c>
      <c r="F32" s="54"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405</v>
      </c>
      <c r="B3" s="55" t="s">
        <v>114</v>
      </c>
      <c r="D3" s="55" t="s">
        <v>406</v>
      </c>
      <c r="E3" s="55"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2564700</v>
      </c>
      <c r="D6" s="30">
        <v>3893503</v>
      </c>
      <c r="E6" s="30">
        <v>4977371</v>
      </c>
      <c r="F6" s="30">
        <v>5458718</v>
      </c>
    </row>
    <row r="7" spans="1:6" x14ac:dyDescent="0.25">
      <c r="A7" s="11" t="s">
        <v>316</v>
      </c>
      <c r="B7" s="30">
        <v>1591865</v>
      </c>
      <c r="C7" s="30">
        <v>2460643</v>
      </c>
      <c r="D7" s="30">
        <v>3145554</v>
      </c>
      <c r="E7" s="30">
        <v>3721283</v>
      </c>
      <c r="F7" s="30">
        <v>3983976</v>
      </c>
    </row>
    <row r="8" spans="1:6" x14ac:dyDescent="0.25">
      <c r="A8" s="10" t="s">
        <v>318</v>
      </c>
      <c r="B8" s="32">
        <v>-303532</v>
      </c>
      <c r="C8" s="32">
        <v>104057</v>
      </c>
      <c r="D8" s="32">
        <v>747949</v>
      </c>
      <c r="E8" s="32">
        <v>1256089</v>
      </c>
      <c r="F8" s="32">
        <v>1474742</v>
      </c>
    </row>
    <row r="9" spans="1:6" x14ac:dyDescent="0.25">
      <c r="A9" s="11" t="s">
        <v>319</v>
      </c>
      <c r="B9" s="29">
        <v>-0.2356002757214845</v>
      </c>
      <c r="C9" s="29">
        <v>0.04057272966772744</v>
      </c>
      <c r="D9" s="29">
        <v>0.19210191578864091</v>
      </c>
      <c r="E9" s="29">
        <v>0.2523598085842533</v>
      </c>
      <c r="F9" s="29">
        <v>0.2701626770295813</v>
      </c>
    </row>
    <row r="10" spans="1:6" x14ac:dyDescent="0.25">
      <c r="A10" s="11" t="s">
        <v>387</v>
      </c>
      <c r="B10" s="56">
        <v>-5.09</v>
      </c>
      <c r="C10" s="56">
        <v>3.09</v>
      </c>
      <c r="D10" s="56">
        <v>16.01</v>
      </c>
      <c r="E10" s="56">
        <v>26.21</v>
      </c>
      <c r="F10" s="56">
        <v>30.6</v>
      </c>
    </row>
    <row r="11" spans="1:6" x14ac:dyDescent="0.25">
      <c r="A11" s="11" t="s">
        <v>395</v>
      </c>
      <c r="B11" s="35">
        <v>170</v>
      </c>
      <c r="C11" s="35">
        <v>188</v>
      </c>
      <c r="D11" s="35">
        <v>217</v>
      </c>
      <c r="E11" s="35">
        <v>242</v>
      </c>
      <c r="F11" s="35">
        <v>249</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1923525</v>
      </c>
      <c r="D16" s="30">
        <v>2920127</v>
      </c>
      <c r="E16" s="30">
        <v>3733029</v>
      </c>
      <c r="F16" s="30">
        <v>4094038</v>
      </c>
    </row>
    <row r="17" spans="1:6" x14ac:dyDescent="0.25">
      <c r="A17" s="11" t="s">
        <v>316</v>
      </c>
      <c r="B17" s="30">
        <v>1591865</v>
      </c>
      <c r="C17" s="30">
        <v>2460643</v>
      </c>
      <c r="D17" s="30">
        <v>3145554</v>
      </c>
      <c r="E17" s="30">
        <v>3721283</v>
      </c>
      <c r="F17" s="30">
        <v>3983976</v>
      </c>
    </row>
    <row r="18" spans="1:6" x14ac:dyDescent="0.25">
      <c r="A18" s="10" t="s">
        <v>318</v>
      </c>
      <c r="B18" s="32">
        <v>-625615</v>
      </c>
      <c r="C18" s="32">
        <v>-537118</v>
      </c>
      <c r="D18" s="32">
        <v>-225426</v>
      </c>
      <c r="E18" s="32">
        <v>11746</v>
      </c>
      <c r="F18" s="32">
        <v>110062</v>
      </c>
    </row>
    <row r="19" spans="1:6" x14ac:dyDescent="0.25">
      <c r="A19" s="11" t="s">
        <v>319</v>
      </c>
      <c r="B19" s="29">
        <v>-0.6474670342953127</v>
      </c>
      <c r="C19" s="29">
        <v>-0.2792363604430301</v>
      </c>
      <c r="D19" s="29">
        <v>-0.07719744561514545</v>
      </c>
      <c r="E19" s="29">
        <v>0.0031464114456710686</v>
      </c>
      <c r="F19" s="29">
        <v>0.026883569372774998</v>
      </c>
    </row>
    <row r="20" spans="1:6" x14ac:dyDescent="0.25">
      <c r="A20" s="11" t="s">
        <v>387</v>
      </c>
      <c r="B20" s="56">
        <v>-11.56</v>
      </c>
      <c r="C20" s="56">
        <v>-9.78</v>
      </c>
      <c r="D20" s="56">
        <v>-3.52</v>
      </c>
      <c r="E20" s="56">
        <v>1.24</v>
      </c>
      <c r="F20" s="56">
        <v>3.21</v>
      </c>
    </row>
    <row r="21" spans="1:6" x14ac:dyDescent="0.25">
      <c r="A21" s="11" t="s">
        <v>395</v>
      </c>
      <c r="B21" s="35">
        <v>224</v>
      </c>
      <c r="C21" s="35">
        <v>228</v>
      </c>
      <c r="D21" s="35">
        <v>255</v>
      </c>
      <c r="E21" s="35">
        <v>280</v>
      </c>
      <c r="F21" s="35">
        <v>287</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2436465</v>
      </c>
      <c r="D26" s="30">
        <v>3698828</v>
      </c>
      <c r="E26" s="30">
        <v>4728503</v>
      </c>
      <c r="F26" s="30">
        <v>5185782</v>
      </c>
    </row>
    <row r="27" spans="1:6" x14ac:dyDescent="0.25">
      <c r="A27" s="11" t="s">
        <v>316</v>
      </c>
      <c r="B27" s="30">
        <v>1591865</v>
      </c>
      <c r="C27" s="30">
        <v>2460643</v>
      </c>
      <c r="D27" s="30">
        <v>3145554</v>
      </c>
      <c r="E27" s="30">
        <v>3721283</v>
      </c>
      <c r="F27" s="30">
        <v>3983976</v>
      </c>
    </row>
    <row r="28" spans="1:6" x14ac:dyDescent="0.25">
      <c r="A28" s="10" t="s">
        <v>318</v>
      </c>
      <c r="B28" s="32">
        <v>-367948</v>
      </c>
      <c r="C28" s="32">
        <v>-24178</v>
      </c>
      <c r="D28" s="32">
        <v>553274</v>
      </c>
      <c r="E28" s="32">
        <v>1007220</v>
      </c>
      <c r="F28" s="32">
        <v>1201806</v>
      </c>
    </row>
    <row r="29" spans="1:6" x14ac:dyDescent="0.25">
      <c r="A29" s="11" t="s">
        <v>319</v>
      </c>
      <c r="B29" s="29">
        <v>-0.3006318691805101</v>
      </c>
      <c r="C29" s="29">
        <v>-0.00992344245502375</v>
      </c>
      <c r="D29" s="29">
        <v>0.14958096398804296</v>
      </c>
      <c r="E29" s="29">
        <v>0.2130103248255297</v>
      </c>
      <c r="F29" s="29">
        <v>0.2317501863469276</v>
      </c>
    </row>
    <row r="30" spans="1:6" x14ac:dyDescent="0.25">
      <c r="A30" s="11" t="s">
        <v>387</v>
      </c>
      <c r="B30" s="56">
        <v>-6.38</v>
      </c>
      <c r="C30" s="56">
        <v>0.51</v>
      </c>
      <c r="D30" s="56">
        <v>12.1</v>
      </c>
      <c r="E30" s="56">
        <v>21.22</v>
      </c>
      <c r="F30" s="56">
        <v>25.12</v>
      </c>
    </row>
    <row r="31" spans="1:6" x14ac:dyDescent="0.25">
      <c r="A31" s="11" t="s">
        <v>395</v>
      </c>
      <c r="B31" s="35">
        <v>186</v>
      </c>
      <c r="C31" s="35">
        <v>204</v>
      </c>
      <c r="D31" s="35">
        <v>234</v>
      </c>
      <c r="E31" s="35">
        <v>261</v>
      </c>
      <c r="F31" s="35">
        <v>268</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2564700</v>
      </c>
      <c r="D36" s="30">
        <v>3893503</v>
      </c>
      <c r="E36" s="30">
        <v>4977371</v>
      </c>
      <c r="F36" s="30">
        <v>5458718</v>
      </c>
    </row>
    <row r="37" spans="1:6" x14ac:dyDescent="0.25">
      <c r="A37" s="11" t="s">
        <v>316</v>
      </c>
      <c r="B37" s="30">
        <v>1638365</v>
      </c>
      <c r="C37" s="30">
        <v>2550253</v>
      </c>
      <c r="D37" s="30">
        <v>3279227</v>
      </c>
      <c r="E37" s="30">
        <v>3890929</v>
      </c>
      <c r="F37" s="30">
        <v>4169685</v>
      </c>
    </row>
    <row r="38" spans="1:6" x14ac:dyDescent="0.25">
      <c r="A38" s="10" t="s">
        <v>318</v>
      </c>
      <c r="B38" s="32">
        <v>-350032</v>
      </c>
      <c r="C38" s="32">
        <v>14447</v>
      </c>
      <c r="D38" s="32">
        <v>614276</v>
      </c>
      <c r="E38" s="32">
        <v>1086443</v>
      </c>
      <c r="F38" s="32">
        <v>1289033</v>
      </c>
    </row>
    <row r="39" spans="1:6" x14ac:dyDescent="0.25">
      <c r="A39" s="11" t="s">
        <v>319</v>
      </c>
      <c r="B39" s="29">
        <v>-0.27169341931786223</v>
      </c>
      <c r="C39" s="29">
        <v>0.005632970631582858</v>
      </c>
      <c r="D39" s="29">
        <v>0.15776949072052104</v>
      </c>
      <c r="E39" s="29">
        <v>0.2182763837763499</v>
      </c>
      <c r="F39" s="29">
        <v>0.23614205847288033</v>
      </c>
    </row>
    <row r="40" spans="1:6" x14ac:dyDescent="0.25">
      <c r="A40" s="11" t="s">
        <v>387</v>
      </c>
      <c r="B40" s="56">
        <v>-6.03</v>
      </c>
      <c r="C40" s="56">
        <v>1.29</v>
      </c>
      <c r="D40" s="56">
        <v>13.33</v>
      </c>
      <c r="E40" s="56">
        <v>22.81</v>
      </c>
      <c r="F40" s="56">
        <v>26.87</v>
      </c>
    </row>
    <row r="41" spans="1:6" x14ac:dyDescent="0.25">
      <c r="A41" s="11" t="s">
        <v>395</v>
      </c>
      <c r="B41" s="35">
        <v>181</v>
      </c>
      <c r="C41" s="35">
        <v>199</v>
      </c>
      <c r="D41" s="35">
        <v>229</v>
      </c>
      <c r="E41" s="35">
        <v>255</v>
      </c>
      <c r="F41" s="35">
        <v>262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382</v>
      </c>
      <c r="D13" s="30">
        <v>1288333</v>
      </c>
      <c r="E13" s="30">
        <v>2564700</v>
      </c>
      <c r="F13" s="30">
        <v>3893503</v>
      </c>
      <c r="G13" s="30">
        <v>4977371</v>
      </c>
      <c r="H13" s="30">
        <v>5458718</v>
      </c>
    </row>
    <row r="14" spans="1:8" x14ac:dyDescent="0.25">
      <c r="A14" s="11" t="s">
        <v>316</v>
      </c>
      <c r="D14" s="30">
        <v>1591865</v>
      </c>
      <c r="E14" s="30">
        <v>2460643</v>
      </c>
      <c r="F14" s="30">
        <v>3145554</v>
      </c>
      <c r="G14" s="30">
        <v>3721283</v>
      </c>
      <c r="H14" s="30">
        <v>3983976</v>
      </c>
    </row>
    <row r="15" spans="1:8" x14ac:dyDescent="0.25">
      <c r="A15" s="11" t="s">
        <v>318</v>
      </c>
      <c r="D15" s="30">
        <v>-418532</v>
      </c>
      <c r="E15" s="30">
        <v>64057</v>
      </c>
      <c r="F15" s="30">
        <v>707949</v>
      </c>
      <c r="G15" s="30">
        <v>1231089</v>
      </c>
      <c r="H15" s="30">
        <v>1454742</v>
      </c>
    </row>
    <row r="16" spans="1:8" x14ac:dyDescent="0.25">
      <c r="A16" s="11" t="s">
        <v>429</v>
      </c>
      <c r="D16" s="30">
        <v>-160860</v>
      </c>
      <c r="E16" s="30">
        <v>-96803</v>
      </c>
      <c r="F16" s="30">
        <v>611146</v>
      </c>
      <c r="G16" s="30">
        <v>1842235</v>
      </c>
      <c r="H16" s="30">
        <v>3296977</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432</v>
      </c>
      <c r="D21" s="29">
        <v>-0.3248628889168275</v>
      </c>
      <c r="E21" s="29">
        <v>0.02497636362101632</v>
      </c>
      <c r="F21" s="29">
        <v>0.18182839089345013</v>
      </c>
      <c r="G21" s="29">
        <v>0.24733707719373102</v>
      </c>
      <c r="H21" s="29">
        <v>0.26649881291446503</v>
      </c>
    </row>
    <row r="22" spans="1:8" x14ac:dyDescent="0.25">
      <c r="A22" s="11" t="s">
        <v>387</v>
      </c>
      <c r="D22" s="56">
        <v>-7.4</v>
      </c>
      <c r="E22" s="56">
        <v>2.29</v>
      </c>
      <c r="F22" s="56">
        <v>15.21</v>
      </c>
      <c r="G22" s="56">
        <v>25.71</v>
      </c>
      <c r="H22" s="56">
        <v>30.2</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435</v>
      </c>
      <c r="C2" s="1"/>
      <c r="D2" s="1"/>
      <c r="E2" s="1"/>
      <c r="F2" s="1"/>
      <c r="G2" s="1"/>
      <c r="H2" s="1"/>
    </row>
    <row r="3" spans="2:8" x14ac:dyDescent="0.25">
      <c r="B3" s="58" t="s">
        <v>436</v>
      </c>
      <c r="C3" s="58"/>
      <c r="D3" s="58"/>
      <c r="E3" s="58"/>
      <c r="F3" s="58"/>
      <c r="G3" s="58"/>
      <c r="H3" s="58"/>
    </row>
    <row r="4" spans="2:6" x14ac:dyDescent="0.25">
      <c r="B4" s="59" t="s">
        <v>437</v>
      </c>
      <c r="D4" s="60" t="s">
        <v>438</v>
      </c>
      <c r="F4" s="61" t="s">
        <v>439</v>
      </c>
    </row>
    <row r="6" ht="24" customHeight="1" spans="2:8" x14ac:dyDescent="0.25">
      <c r="B6" s="19" t="s">
        <v>440</v>
      </c>
      <c r="C6" s="62" t="s">
        <v>441</v>
      </c>
      <c r="D6" s="62" t="s">
        <v>442</v>
      </c>
      <c r="E6" s="62" t="s">
        <v>443</v>
      </c>
      <c r="F6" s="62" t="s">
        <v>444</v>
      </c>
      <c r="G6" s="62" t="s">
        <v>445</v>
      </c>
      <c r="H6" s="62" t="s">
        <v>446</v>
      </c>
    </row>
    <row r="7" spans="2:7" x14ac:dyDescent="0.25">
      <c r="B7" s="11" t="s">
        <v>433</v>
      </c>
      <c r="C7" s="63">
        <v>120</v>
      </c>
      <c r="D7" s="63">
        <v>200</v>
      </c>
      <c r="E7" s="63">
        <v>300</v>
      </c>
      <c r="F7" s="63">
        <v>375</v>
      </c>
      <c r="G7" s="63">
        <v>400</v>
      </c>
    </row>
    <row r="8" spans="2:7" x14ac:dyDescent="0.25">
      <c r="B8" s="11" t="s">
        <v>382</v>
      </c>
      <c r="C8" s="64">
        <v>1288333.3333333335</v>
      </c>
      <c r="D8" s="64">
        <v>2564700</v>
      </c>
      <c r="E8" s="64">
        <v>3893503</v>
      </c>
      <c r="F8" s="64">
        <v>4977371.484999999</v>
      </c>
      <c r="G8" s="64">
        <v>5458717.7285</v>
      </c>
    </row>
    <row r="9" spans="2:7" x14ac:dyDescent="0.25">
      <c r="B9" s="11" t="s">
        <v>337</v>
      </c>
      <c r="C9" s="64">
        <v>997040.4166666667</v>
      </c>
      <c r="D9" s="64">
        <v>1522958.5150000001</v>
      </c>
      <c r="E9" s="64">
        <v>1905399.20935</v>
      </c>
      <c r="F9" s="64">
        <v>2232336.9055715</v>
      </c>
      <c r="G9" s="64">
        <v>2378698.1531784255</v>
      </c>
    </row>
    <row r="10" spans="2:7" x14ac:dyDescent="0.25">
      <c r="B10" s="11" t="s">
        <v>338</v>
      </c>
      <c r="C10" s="64">
        <v>545000</v>
      </c>
      <c r="D10" s="64">
        <v>887860</v>
      </c>
      <c r="E10" s="64">
        <v>1190329.8</v>
      </c>
      <c r="F10" s="64">
        <v>1439121.459</v>
      </c>
      <c r="G10" s="64">
        <v>1555453.1754200002</v>
      </c>
    </row>
    <row r="11" spans="2:7" x14ac:dyDescent="0.25">
      <c r="B11" s="11" t="s">
        <v>339</v>
      </c>
      <c r="C11" s="64">
        <v>49824.605221179416</v>
      </c>
      <c r="D11" s="64">
        <v>49824.605221179416</v>
      </c>
      <c r="E11" s="64">
        <v>49824.605221179416</v>
      </c>
      <c r="F11" s="64">
        <v>49824.605221179416</v>
      </c>
      <c r="G11" s="64">
        <v>49824.605221179416</v>
      </c>
    </row>
    <row r="12" spans="2:7" x14ac:dyDescent="0.25">
      <c r="B12" s="10" t="s">
        <v>383</v>
      </c>
      <c r="C12" s="65">
        <v>-418531.6885545128</v>
      </c>
      <c r="D12" s="66">
        <v>64056.879778820556</v>
      </c>
      <c r="E12" s="66">
        <v>707949.3854288207</v>
      </c>
      <c r="F12" s="66">
        <v>1231088.5152073205</v>
      </c>
      <c r="G12" s="66">
        <v>1454741.7946803952</v>
      </c>
    </row>
    <row r="13" spans="2:7" x14ac:dyDescent="0.25">
      <c r="B13" s="10" t="s">
        <v>389</v>
      </c>
      <c r="C13" s="65">
        <v>-160860</v>
      </c>
      <c r="D13" s="65">
        <v>-96803.12022117944</v>
      </c>
      <c r="E13" s="66">
        <v>611146.2652076413</v>
      </c>
      <c r="F13" s="66">
        <v>1842234.7804149617</v>
      </c>
      <c r="G13" s="66">
        <v>3296976.575095357</v>
      </c>
    </row>
    <row r="14" spans="2:7" x14ac:dyDescent="0.25">
      <c r="B14" s="10" t="s">
        <v>432</v>
      </c>
      <c r="C14" s="67">
        <v>-0.3248628889168275</v>
      </c>
      <c r="D14" s="68">
        <v>0.02497636362101632</v>
      </c>
      <c r="E14" s="69">
        <v>0.18182839089345013</v>
      </c>
      <c r="F14" s="69">
        <v>0.24733707719373102</v>
      </c>
      <c r="G14" s="69">
        <v>0.26649881291446503</v>
      </c>
    </row>
    <row r="15" spans="2:8" x14ac:dyDescent="0.25">
      <c r="B15" s="10" t="s">
        <v>259</v>
      </c>
      <c r="C15" s="70">
        <v>10736.111111111113</v>
      </c>
      <c r="D15" s="70">
        <v>12823.5</v>
      </c>
      <c r="E15" s="70">
        <v>12978.343333333334</v>
      </c>
      <c r="F15" s="70">
        <v>13272.990626666666</v>
      </c>
      <c r="G15" s="70">
        <v>13646.794321250001</v>
      </c>
      <c r="H15" s="71" t="s">
        <v>447</v>
      </c>
    </row>
    <row r="16" spans="2:7" x14ac:dyDescent="0.25">
      <c r="B16" s="10" t="s">
        <v>321</v>
      </c>
      <c r="C16" s="72">
        <v>13265.541849065385</v>
      </c>
      <c r="D16" s="72">
        <v>12303.215601105898</v>
      </c>
      <c r="E16" s="72">
        <v>10485.178715237264</v>
      </c>
      <c r="F16" s="72">
        <v>9923.421252780478</v>
      </c>
      <c r="G16" s="72">
        <v>9959.939834549012</v>
      </c>
    </row>
    <row r="17" spans="2:7" x14ac:dyDescent="0.25">
      <c r="B17" s="11" t="s">
        <v>448</v>
      </c>
      <c r="C17" s="64">
        <v>700</v>
      </c>
      <c r="D17" s="64">
        <v>721</v>
      </c>
      <c r="E17" s="64">
        <v>742.63</v>
      </c>
      <c r="F17" s="64">
        <v>764.9089</v>
      </c>
      <c r="G17" s="64">
        <v>787.8561670000001</v>
      </c>
    </row>
    <row r="18" spans="2:8" x14ac:dyDescent="0.25">
      <c r="B18" s="11" t="s">
        <v>449</v>
      </c>
      <c r="C18" s="73">
        <v>2350</v>
      </c>
      <c r="D18" s="70">
        <v>1452.3</v>
      </c>
      <c r="E18" s="70">
        <v>997.2460000000002</v>
      </c>
      <c r="F18" s="70">
        <v>821.7307040000001</v>
      </c>
      <c r="G18" s="70">
        <v>793.48371105</v>
      </c>
      <c r="H18" s="71" t="s">
        <v>450</v>
      </c>
    </row>
    <row r="19" spans="2:7" x14ac:dyDescent="0.25">
      <c r="B19" s="10" t="s">
        <v>451</v>
      </c>
      <c r="C19" s="74">
        <v>-3487.764071287607</v>
      </c>
      <c r="D19" s="75">
        <v>320.28439889410276</v>
      </c>
      <c r="E19" s="75">
        <v>2359.831284762736</v>
      </c>
      <c r="F19" s="75">
        <v>3282.9027072195213</v>
      </c>
      <c r="G19" s="75">
        <v>3636.8544867009878</v>
      </c>
    </row>
    <row r="20" spans="2:8" x14ac:dyDescent="0.25">
      <c r="B20" s="10" t="s">
        <v>452</v>
      </c>
      <c r="C20" s="67">
        <v>0.7738994178525226</v>
      </c>
      <c r="D20" s="68">
        <v>0.5938154618473896</v>
      </c>
      <c r="E20" s="69">
        <v>0.48937915531335147</v>
      </c>
      <c r="F20" s="69">
        <v>0.44849714599341384</v>
      </c>
      <c r="G20" s="69">
        <v>0.4357613402061856</v>
      </c>
      <c r="H20" s="71" t="s">
        <v>453</v>
      </c>
    </row>
    <row r="21" spans="2:8" x14ac:dyDescent="0.25">
      <c r="B21" s="10" t="s">
        <v>454</v>
      </c>
      <c r="C21" s="68">
        <v>0.2188874514877102</v>
      </c>
      <c r="D21" s="69">
        <v>0.11325301204819277</v>
      </c>
      <c r="E21" s="69">
        <v>0.07683923705722072</v>
      </c>
      <c r="F21" s="69">
        <v>0.0619099890230516</v>
      </c>
      <c r="G21" s="69">
        <v>0.05814432989690721</v>
      </c>
      <c r="H21" s="71" t="s">
        <v>455</v>
      </c>
    </row>
    <row r="22" spans="2:8" x14ac:dyDescent="0.25">
      <c r="B22" s="10" t="s">
        <v>456</v>
      </c>
      <c r="C22" s="67">
        <v>-0.1969265847347994</v>
      </c>
      <c r="D22" s="68">
        <v>0.0599997991967871</v>
      </c>
      <c r="E22" s="69">
        <v>0.20489877384196187</v>
      </c>
      <c r="F22" s="69">
        <v>0.26237003293084515</v>
      </c>
      <c r="G22" s="69">
        <v>0.2792902061855669</v>
      </c>
      <c r="H22" s="71" t="s">
        <v>457</v>
      </c>
    </row>
    <row r="23" spans="2:8" x14ac:dyDescent="0.25">
      <c r="B23" s="10" t="s">
        <v>458</v>
      </c>
      <c r="C23" s="76">
        <v>3</v>
      </c>
      <c r="D23" s="76">
        <v>3</v>
      </c>
      <c r="E23" s="76">
        <v>3</v>
      </c>
      <c r="F23" s="76">
        <v>3</v>
      </c>
      <c r="G23" s="76">
        <v>3</v>
      </c>
      <c r="H23" s="71" t="s">
        <v>459</v>
      </c>
    </row>
    <row r="24" spans="2:8" x14ac:dyDescent="0.25">
      <c r="B24" s="10" t="s">
        <v>387</v>
      </c>
      <c r="C24" s="77">
        <v>-5.092003884568414</v>
      </c>
      <c r="D24" s="78">
        <v>3.0884637081798294</v>
      </c>
      <c r="E24" s="78">
        <v>16.01164699867773</v>
      </c>
      <c r="F24" s="78">
        <v>26.21020507099538</v>
      </c>
      <c r="G24" s="78">
        <v>30.598664919346167</v>
      </c>
      <c r="H24" s="71" t="s">
        <v>460</v>
      </c>
    </row>
    <row r="25" spans="2:8" x14ac:dyDescent="0.25">
      <c r="B25" s="10" t="s">
        <v>461</v>
      </c>
      <c r="C25" s="79" t="str">
        <f>IF('5-Year Operating Stmt'!B17&gt;=0,"✓ Break-even","")</f>
        <v>0</v>
      </c>
      <c r="D25" s="79" t="str">
        <f>IF(AND('5-Year Operating Stmt'!C17&gt;=0,'5-Year Operating Stmt'!B17&lt;0),"✓ Break-even","")</f>
        <v>0</v>
      </c>
      <c r="E25" s="44" t="str">
        <f>IF(AND('5-Year Operating Stmt'!D17&gt;=0,'5-Year Operating Stmt'!C17&lt;0),"✓ Break-even","")</f>
        <v>✓ Break-even</v>
      </c>
      <c r="F25" s="79" t="str">
        <f>IF(AND('5-Year Operating Stmt'!E17&gt;=0,'5-Year Operating Stmt'!D17&lt;0),"✓ Break-even","")</f>
        <v>0</v>
      </c>
      <c r="G25" s="79" t="str">
        <f>IF(AND('5-Year Operating Stmt'!F17&gt;=0,'5-Year Operating Stmt'!E17&lt;0),"✓ Break-even","")</f>
        <v>0</v>
      </c>
      <c r="H25" s="71" t="s">
        <v>441</v>
      </c>
    </row>
    <row r="26" spans="2:8" x14ac:dyDescent="0.25">
      <c r="B26" s="10" t="s">
        <v>462</v>
      </c>
      <c r="C26" s="80">
        <v>-1</v>
      </c>
      <c r="D26" s="80">
        <v>0</v>
      </c>
      <c r="E26" s="80">
        <v>2</v>
      </c>
      <c r="F26" s="80">
        <v>6</v>
      </c>
      <c r="G26" s="80">
        <v>10</v>
      </c>
      <c r="H26" s="71" t="s">
        <v>463</v>
      </c>
    </row>
    <row r="27" spans="2:8" x14ac:dyDescent="0.25">
      <c r="B27" s="10" t="s">
        <v>390</v>
      </c>
      <c r="C27" s="80">
        <v>0</v>
      </c>
      <c r="D27" s="80">
        <v>0</v>
      </c>
      <c r="E27" s="81">
        <v>71</v>
      </c>
      <c r="F27" s="76">
        <v>181</v>
      </c>
      <c r="G27" s="76">
        <v>302</v>
      </c>
      <c r="H27" s="71" t="s">
        <v>464</v>
      </c>
    </row>
    <row r="29" ht="24" customHeight="1" spans="2:8" x14ac:dyDescent="0.25">
      <c r="B29" s="19" t="s">
        <v>465</v>
      </c>
      <c r="C29" s="19" t="s">
        <v>466</v>
      </c>
      <c r="D29" s="19" t="s">
        <v>467</v>
      </c>
      <c r="E29" s="19"/>
      <c r="F29" s="19" t="s">
        <v>468</v>
      </c>
      <c r="G29" s="19"/>
      <c r="H29" s="19"/>
    </row>
    <row r="30" ht="45" customHeight="1" spans="2:8" x14ac:dyDescent="0.25">
      <c r="B30" s="45" t="s">
        <v>469</v>
      </c>
      <c r="C30" s="82" t="s">
        <v>470</v>
      </c>
      <c r="D30" s="83" t="s">
        <v>471</v>
      </c>
      <c r="E30" s="83"/>
      <c r="F30" s="84" t="s">
        <v>472</v>
      </c>
      <c r="G30" s="84"/>
      <c r="H30" s="84"/>
    </row>
    <row r="31" ht="45" customHeight="1" spans="2:8" x14ac:dyDescent="0.25">
      <c r="B31" s="45" t="s">
        <v>473</v>
      </c>
      <c r="C31" s="85" t="s">
        <v>474</v>
      </c>
      <c r="D31" s="83" t="s">
        <v>475</v>
      </c>
      <c r="E31" s="83"/>
      <c r="F31" s="84" t="s">
        <v>476</v>
      </c>
      <c r="G31" s="84"/>
      <c r="H31" s="84"/>
    </row>
    <row r="32" ht="45" customHeight="1" spans="2:8" x14ac:dyDescent="0.25">
      <c r="B32" s="45" t="s">
        <v>477</v>
      </c>
      <c r="C32" s="44" t="s">
        <v>478</v>
      </c>
      <c r="D32" s="83" t="s">
        <v>479</v>
      </c>
      <c r="E32" s="83"/>
      <c r="F32" s="84" t="s">
        <v>480</v>
      </c>
      <c r="G32" s="84"/>
      <c r="H32" s="84"/>
    </row>
    <row r="33" ht="45" customHeight="1" spans="2:8" x14ac:dyDescent="0.25">
      <c r="B33" s="45" t="s">
        <v>481</v>
      </c>
      <c r="C33" s="44" t="s">
        <v>478</v>
      </c>
      <c r="D33" s="83" t="s">
        <v>482</v>
      </c>
      <c r="E33" s="83"/>
      <c r="F33" s="84" t="s">
        <v>483</v>
      </c>
      <c r="G33" s="84"/>
      <c r="H33" s="84"/>
    </row>
    <row r="34" ht="45" customHeight="1" spans="2:8" x14ac:dyDescent="0.25">
      <c r="B34" s="45" t="s">
        <v>484</v>
      </c>
      <c r="C34" s="44" t="s">
        <v>478</v>
      </c>
      <c r="D34" s="83" t="s">
        <v>485</v>
      </c>
      <c r="E34" s="83"/>
      <c r="F34" s="84" t="s">
        <v>486</v>
      </c>
      <c r="G34" s="84"/>
      <c r="H34" s="84"/>
    </row>
    <row r="35" ht="45" customHeight="1" spans="2:8" x14ac:dyDescent="0.25">
      <c r="B35" s="45" t="s">
        <v>487</v>
      </c>
      <c r="C35" s="44" t="s">
        <v>478</v>
      </c>
      <c r="D35" s="83" t="s">
        <v>488</v>
      </c>
      <c r="E35" s="83"/>
      <c r="F35" s="84" t="s">
        <v>489</v>
      </c>
      <c r="G35" s="84"/>
      <c r="H35" s="84"/>
    </row>
    <row r="36" ht="45" customHeight="1" spans="2:8" x14ac:dyDescent="0.25">
      <c r="B36" s="45" t="s">
        <v>490</v>
      </c>
      <c r="C36" s="44" t="s">
        <v>478</v>
      </c>
      <c r="D36" s="83" t="s">
        <v>491</v>
      </c>
      <c r="E36" s="83"/>
      <c r="F36" s="84" t="s">
        <v>492</v>
      </c>
      <c r="G36" s="84"/>
      <c r="H36" s="84"/>
    </row>
    <row r="38" spans="2:6" x14ac:dyDescent="0.25">
      <c r="B38" s="45" t="s">
        <v>493</v>
      </c>
      <c r="C38" s="10" t="s">
        <v>494</v>
      </c>
      <c r="D38" s="10"/>
      <c r="E38" s="10"/>
      <c r="F38" s="10"/>
    </row>
    <row r="40" spans="2:8" x14ac:dyDescent="0.25">
      <c r="B40" s="86" t="s">
        <v>495</v>
      </c>
      <c r="C40" s="86"/>
      <c r="D40" s="86"/>
      <c r="E40" s="86"/>
      <c r="F40" s="86"/>
      <c r="G40" s="86"/>
      <c r="H40" s="8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7" t="s">
        <v>497</v>
      </c>
      <c r="B4" s="87"/>
    </row>
    <row r="6" ht="24" customHeight="1" spans="1:2" x14ac:dyDescent="0.25">
      <c r="A6" s="19" t="s">
        <v>498</v>
      </c>
      <c r="B6" s="19"/>
    </row>
    <row r="7" spans="1:2" x14ac:dyDescent="0.25">
      <c r="A7" s="87" t="s">
        <v>497</v>
      </c>
      <c r="B7" s="87"/>
    </row>
    <row r="9" ht="24" customHeight="1" spans="1:2" x14ac:dyDescent="0.25">
      <c r="A9" s="19" t="s">
        <v>499</v>
      </c>
      <c r="B9" s="19"/>
    </row>
    <row r="10" spans="1:2" x14ac:dyDescent="0.25">
      <c r="A10" s="87" t="s">
        <v>497</v>
      </c>
      <c r="B10" s="87"/>
    </row>
    <row r="12" ht="24" customHeight="1" spans="1:2" x14ac:dyDescent="0.25">
      <c r="A12" s="19" t="s">
        <v>500</v>
      </c>
      <c r="B12" s="19"/>
    </row>
    <row r="13" spans="1:2" x14ac:dyDescent="0.25">
      <c r="A13" s="87" t="s">
        <v>497</v>
      </c>
      <c r="B13" s="87"/>
    </row>
    <row r="15" ht="24" customHeight="1" spans="1:2" x14ac:dyDescent="0.25">
      <c r="A15" s="19" t="s">
        <v>501</v>
      </c>
      <c r="B15" s="19"/>
    </row>
    <row r="16" spans="1:2" x14ac:dyDescent="0.25">
      <c r="A16" s="87" t="s">
        <v>497</v>
      </c>
      <c r="B16" s="87"/>
    </row>
    <row r="18" ht="24" customHeight="1" spans="1:2" x14ac:dyDescent="0.25">
      <c r="A18" s="19" t="s">
        <v>502</v>
      </c>
      <c r="B18" s="19"/>
    </row>
    <row r="19" spans="1:2" x14ac:dyDescent="0.25">
      <c r="A19" s="87" t="s">
        <v>497</v>
      </c>
      <c r="B19" s="87"/>
    </row>
    <row r="21" ht="24" customHeight="1" spans="1:2" x14ac:dyDescent="0.25">
      <c r="A21" s="19" t="s">
        <v>503</v>
      </c>
      <c r="B21" s="19"/>
    </row>
    <row r="22" spans="1:2" x14ac:dyDescent="0.25">
      <c r="A22" s="87" t="s">
        <v>497</v>
      </c>
      <c r="B22" s="87"/>
    </row>
    <row r="24" ht="24" customHeight="1" spans="1:2" x14ac:dyDescent="0.25">
      <c r="A24" s="19" t="s">
        <v>504</v>
      </c>
      <c r="B24" s="19"/>
    </row>
    <row r="25" spans="1:2" x14ac:dyDescent="0.25">
      <c r="A25" s="87" t="s">
        <v>497</v>
      </c>
      <c r="B25" s="87"/>
    </row>
    <row r="27" ht="24" customHeight="1" spans="1:2" x14ac:dyDescent="0.25">
      <c r="A27" s="19" t="s">
        <v>505</v>
      </c>
      <c r="B27" s="19"/>
    </row>
    <row r="28" spans="1:2" x14ac:dyDescent="0.25">
      <c r="A28" s="87" t="s">
        <v>497</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506</v>
      </c>
      <c r="C1" s="15"/>
      <c r="D1" s="15"/>
      <c r="E1" s="15"/>
      <c r="F1" s="15"/>
      <c r="G1" s="15"/>
      <c r="H1" s="15"/>
    </row>
    <row r="2" ht="60" customHeight="1" spans="2:8" x14ac:dyDescent="0.25">
      <c r="B2" s="88" t="s">
        <v>507</v>
      </c>
      <c r="C2" s="88"/>
      <c r="D2" s="88"/>
      <c r="E2" s="88"/>
      <c r="F2" s="88"/>
      <c r="G2" s="88"/>
      <c r="H2" s="88"/>
    </row>
    <row r="4" ht="30" customHeight="1" spans="2:8" x14ac:dyDescent="0.25">
      <c r="B4" s="89" t="s">
        <v>508</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