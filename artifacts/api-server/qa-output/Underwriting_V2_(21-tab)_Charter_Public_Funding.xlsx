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<sst xmlns="http://schemas.openxmlformats.org/spreadsheetml/2006/main" count="841" uniqueCount="471">
  <si>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</si>
  <si>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</si>
  <si>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</si>
  <si>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</si>
  <si>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</si>
  <si>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</si>
  <si>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</si>
  <si>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</si>
  <si>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</si>
  <si>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</si>
  <si>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</si>
  <si>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</si>
  <si>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</si>
  <si>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</si>
  <si>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</si>
  <si>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</si>
  <si>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</si>
  <si>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</si>
  <si>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</si>
  <si>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</si>
  <si>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</si>
  <si>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</si>
  <si>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</si>
  <si>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</si>
  <si>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</si>
  <si>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</si>
  <si>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</si>
  <si>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</si>
  <si>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</si>
  <si>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</si>
  <si>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</si>
  <si>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</si>
  <si>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</si>
  <si>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</si>
  <si>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</si>
  <si>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</si>
  <si>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</si>
  <si>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</si>
  <si>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</si>
  <si>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</si>
  <si>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</si>
  <si>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</si>
  <si>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</si>
  <si>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</si>
  <si>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</si>
  <si>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</si>
  <si>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</si>
  <si>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</si>
  <si>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</si>
  <si>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</si>
  <si>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</si>
  <si>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</si>
  <si>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</si>
  <si>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</si>
  <si>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</si>
  <si>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</si>
  <si>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</si>
  <si>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</si>
  <si>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</si>
  <si>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</si>
  <si>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</si>
  <si>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</si>
  <si>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</si>
  <si>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</si>
  <si>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</si>
  <si>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</si>
  <si>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</si>
  <si>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</si>
  <si>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</si>
  <si>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</si>
  <si>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</si>
  <si>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</si>
  <si>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</si>
  <si>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</si>
  <si>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</si>
  <si>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</si>
  <si>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</si>
  <si>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</si>
  <si>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</si>
  <si>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</si>
  <si>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</si>
  <si>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</si>
  <si>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</si>
  <si>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</si>
  <si>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</si>
  <si>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</si>
  <si>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</si>
  <si>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</si>
  <si>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</si>
  <si>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</si>
  <si>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</si>
  <si>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</si>
  <si>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</si>
  <si>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</si>
  <si>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</si>
  <si>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</si>
  <si>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</si>
  <si>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</si>
  <si>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</si>
  <si>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</si>
  <si>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</si>
  <si>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</si>
  <si>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</si>
  <si>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</si>
  <si>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</si>
  <si>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</si>
  <si>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</si>
  <si>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</si>
  <si>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</si>
  <si>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</si>
  <si>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</si>
  <si>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</si>
  <si>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</si>
  <si>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</si>
  <si>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</si>
  <si>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</si>
  <si>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</si>
  <si>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</si>
  <si>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</si>
  <si>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</si>
  <si>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</si>
  <si>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</si>
  <si>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</si>
  <si>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</si>
  <si>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</si>
  <si>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</si>
  <si>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</si>
  <si>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</si>
  <si>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</si>
  <si>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</si>
  <si>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</si>
  <si>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</si>
  <si>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</si>
  <si>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</si>
  <si>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</si>
  <si>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</si>
  <si>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</si>
  <si>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</si>
  <si>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</si>
  <si>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</si>
  <si>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</si>
  <si>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</si>
  <si>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</si>
  <si>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</si>
  <si>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</si>
  <si>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</si>
  <si>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</si>
  <si>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</si>
  <si>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</si>
  <si>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</si>
  <si>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</si>
  <si>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</si>
  <si>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</si>
  <si>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</si>
  <si>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</si>
  <si>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</si>
  <si>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</si>
  <si>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</si>
  <si>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</si>
  <si>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</si>
  <si>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</si>
  <si>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</si>
  <si>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</si>
  <si>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</si>
  <si>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</si>
  <si>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</si>
  <si>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</si>
  <si>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</si>
  <si>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</si>
  <si>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</si>
  <si>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</si>
  <si>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</si>
  <si>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</si>
  <si>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</si>
  <si>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</si>
  <si>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</si>
  <si>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</si>
  <si>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</si>
  <si>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</si>
  <si>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</si>
  <si>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</si>
  <si>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</si>
  <si>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</si>
  <si>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</si>
  <si>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</si>
  <si>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</si>
  <si>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</si>
  <si>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</si>
  <si>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</si>
  <si>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</si>
  <si>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</si>
  <si>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</si>
  <si>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</si>
  <si>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</si>
  <si>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</si>
  <si>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</si>
  <si>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</si>
  <si>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</si>
  <si>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</si>
  <si>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</si>
  <si>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</si>
  <si>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</si>
  <si>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</si>
  <si>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</si>
  <si>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</si>
  <si>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</si>
  <si>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</si>
  <si>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</si>
  <si>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</si>
  <si>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</si>
  <si>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</si>
  <si>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</si>
  <si>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</si>
  <si>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</si>
  <si>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</si>
  <si>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</si>
  <si>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</si>
  <si>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</si>
  <si>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</si>
  <si>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</si>
  <si>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</si>
  <si>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</si>
  <si>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</si>
  <si>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</si>
  <si>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</si>
  <si>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</si>
  <si>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</si>
  <si>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</si>
  <si>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</si>
  <si>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</si>
  <si>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</si>
  <si>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</si>
  <si>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</si>
  <si>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</si>
  <si>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</si>
  <si>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</si>
  <si>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</si>
  <si>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</si>
  <si>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</si>
  <si>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</si>
  <si>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</si>
  <si>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</si>
  <si>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</si>
  <si>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 [1:22]</t>
  </si>
  <si>
    <t xml:space="preserve">  Special Education Teacher [1 FTE]</t>
  </si>
  <si>
    <t xml:space="preserve">  Instructional Aides [3 FTE]</t>
  </si>
  <si>
    <t>Total Instructional</t>
  </si>
  <si>
    <t xml:space="preserve">  Executive Director [1 FTE]</t>
  </si>
  <si>
    <t xml:space="preserve">  Principal [1 FTE]</t>
  </si>
  <si>
    <t xml:space="preserve">  Dean of Students [1 FTE]</t>
  </si>
  <si>
    <t>Total School Leadership</t>
  </si>
  <si>
    <t xml:space="preserve">  School Counselor [1 FTE]</t>
  </si>
  <si>
    <t>Total Student Support</t>
  </si>
  <si>
    <t xml:space="preserve">  Operations Manager [1 FTE]</t>
  </si>
  <si>
    <t>Total Operations</t>
  </si>
  <si>
    <t xml:space="preserve">  Office Staff [2 FTE]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</si>
  <si>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</si>
  <si>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</si>
  <si>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</si>
  <si>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</si>
  <si>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</si>
  <si>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</si>
  <si>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</si>
  <si>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</si>
  <si>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</si>
  <si>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</si>
  <si>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</si>
  <si>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</si>
  <si>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Executive Director</t>
  </si>
  <si>
    <t xml:space="preserve">  Principal</t>
  </si>
  <si>
    <t xml:space="preserve">  Dean of Students</t>
  </si>
  <si>
    <t xml:space="preserve">  Core Teachers</t>
  </si>
  <si>
    <t xml:space="preserve">  Special Education Teacher</t>
  </si>
  <si>
    <t xml:space="preserve">  Instructional Aides</t>
  </si>
  <si>
    <t xml:space="preserve">  Operations Manager</t>
  </si>
  <si>
    <t xml:space="preserve">  Office Staff</t>
  </si>
  <si>
    <t xml:space="preserve">  School Counselor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</si>
  <si>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</si>
  <si>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</si>
  <si>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</si>
  <si>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</si>
  <si>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</si>
  <si>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</si>
  <si>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</si>
  <si>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</si>
  <si>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</si>
  <si>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</si>
  <si>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</si>
  <si>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</si>
  <si>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</si>
  <si>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</si>
  <si>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</si>
  <si>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</si>
  <si>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</si>
  <si>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</si>
  <si>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</si>
  <si>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</si>
  <si>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</si>
  <si>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</si>
  <si>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</si>
  <si>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</si>
  <si>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</si>
  <si>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</si>
  <si>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</si>
  <si>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</si>
  <si>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</si>
  <si>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</si>
  <si>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</si>
  <si>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</si>
  <si>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</si>
  <si>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</si>
  <si>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</si>
  <si>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</si>
  <si>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</si>
  <si>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</si>
  <si>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</si>
  <si>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</si>
  <si>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</si>
  <si>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</si>
  <si>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</si>
  <si>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</si>
  <si>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</si>
  <si>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</si>
  <si>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</si>
  <si>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</si>
  <si>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</si>
  <si>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</si>
  <si>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</si>
  <si>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</si>
  <si>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</si>
  <si>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</si>
  <si>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</si>
  <si>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</si>
  <si>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</si>
  <si>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</si>
  <si>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</si>
  <si>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</si>
  <si>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</si>
  <si>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</si>
  <si>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</si>
  <si>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</si>
  <si>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</si>
  <si>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</si>
  <si>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</si>
  <si>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</si>
  <si>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</si>
  <si>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</si>
  <si>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</si>
  <si>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</si>
  <si>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</si>
  <si>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</si>
  <si>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</si>
  <si>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</si>
  <si>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</si>
  <si>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</si>
  <si>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</si>
  <si>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</si>
  <si>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</si>
  <si>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</si>
  <si>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</si>
  <si>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</si>
  <si>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</si>
  <si>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</si>
  <si>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</si>
  <si>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</si>
  <si>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</si>
  <si>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</si>
  <si>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</si>
  <si>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</si>
  <si>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</si>
  <si>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</si>
  <si>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</si>
  <si>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</si>
  <si>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</si>
  <si>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</si>
  <si>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</si>
  <si>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</si>
  <si>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</si>
  <si>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</si>
  <si>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</si>
  <si>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</si>
  <si>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</si>
  <si>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</si>
  <si>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</si>
  <si>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</si>
  <si>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</si>
  <si>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</si>
  <si>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</si>
  <si>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</si>
  <si>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</si>
  <si>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</si>
  <si>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</si>
  <si>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</si>
  <si>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</si>
  <si>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</si>
  <si>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</si>
  <si>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</si>
  <si>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</si>
  <si>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</si>
  <si>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</si>
  <si>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</si>
  <si>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</si>
  <si>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</si>
  <si>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</si>
  <si>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</si>
  <si>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</si>
  <si>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</si>
  <si>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</si>
  <si>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</si>
  <si>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</si>
  <si>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</si>
  <si>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</si>
  <si>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</si>
  <si>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</si>
  <si>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</si>
  <si>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</si>
  <si>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</si>
  <si>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</si>
  <si>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</si>
  <si>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</si>
  <si>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</si>
  <si>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</si>
  <si>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</si>
  <si>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</si>
  <si>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</si>
  <si>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</si>
  <si>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</si>
  <si>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</si>
  <si>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</si>
  <si>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</si>
  <si>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</si>
  <si>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</si>
  <si>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</si>
  <si>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</si>
  <si>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</si>
  <si>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</si>
  <si>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</si>
  <si>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</si>
  <si>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</si>
  <si>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</si>
  <si>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</si>
  <si>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</si>
  <si>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</si>
  <si>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</si>
  <si>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</si>
  <si>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</si>
  <si>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</si>
  <si>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</si>
  <si>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</si>
  <si>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</si>
  <si>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</si>
  <si>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</si>
  <si>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</si>
  <si>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</si>
  <si>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</si>
  <si>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</si>
  <si>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</si>
  <si>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</si>
  <si>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</si>
  <si>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</si>
  <si>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30.60x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</si>
  <si>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</si>
  <si>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</si>
  <si>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</si>
  <si>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</si>
  <si>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</si>
  <si>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9.9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</si>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</sst>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8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9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387959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997040</v>
      </c>
      <c r="C16" s="32">
        <v>1522959</v>
      </c>
      <c r="D16" s="32">
        <v>1905399</v>
      </c>
      <c r="E16" s="32">
        <v>2232337</v>
      </c>
      <c r="F16" s="32">
        <v>2378698</v>
      </c>
    </row>
    <row r="17" spans="1:6" x14ac:dyDescent="0.25">
      <c r="A17" s="11" t="s">
        <v>214</v>
      </c>
      <c r="B17" s="29">
        <v>0.644916181543769</v>
      </c>
      <c r="C17" s="29">
        <v>0.5938154618473896</v>
      </c>
      <c r="D17" s="29">
        <v>0.48937915531335147</v>
      </c>
      <c r="E17" s="29">
        <v>0.44849714599341384</v>
      </c>
      <c r="F17" s="29">
        <v>0.4357613402061856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323299</v>
      </c>
      <c r="C5" s="30">
        <v>690214</v>
      </c>
      <c r="D5" s="30">
        <v>1047673</v>
      </c>
      <c r="E5" s="30">
        <v>1348879</v>
      </c>
      <c r="F5" s="30">
        <v>1468736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481210</v>
      </c>
      <c r="C8" s="31">
        <f>SUM(C5:C7)</f>
        <v>885392</v>
      </c>
      <c r="D8" s="31">
        <f>SUM(D5:D7)</f>
        <v>1248705</v>
      </c>
      <c r="E8" s="31">
        <f>SUM(E5:E7)</f>
        <v>1555942</v>
      </c>
      <c r="F8" s="31">
        <f>SUM(F5:F7)</f>
        <v>1682012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997040</v>
      </c>
      <c r="C24" s="32">
        <f>C8+C13+C16+C19+C22</f>
        <v>1522959</v>
      </c>
      <c r="D24" s="32">
        <f>D8+D13+D16+D19+D22</f>
        <v>1905399</v>
      </c>
      <c r="E24" s="32">
        <f>E8+E13+E16+E19+E22</f>
        <v>2232337</v>
      </c>
      <c r="F24" s="32">
        <f>F8+F13+F16+F19+F22</f>
        <v>2378698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268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269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270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271</v>
      </c>
      <c r="B17" s="30">
        <v>323299</v>
      </c>
      <c r="C17" s="30">
        <v>690214</v>
      </c>
      <c r="D17" s="30">
        <v>1047673</v>
      </c>
      <c r="E17" s="30">
        <v>1348879</v>
      </c>
      <c r="F17" s="30">
        <v>1468736</v>
      </c>
    </row>
    <row r="18" spans="1:6" x14ac:dyDescent="0.25">
      <c r="A18" s="11" t="s">
        <v>272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273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274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275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276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997040</v>
      </c>
      <c r="C23" s="31">
        <f>SUM(C14:C22)</f>
        <v>1522959</v>
      </c>
      <c r="D23" s="31">
        <f>SUM(D14:D22)</f>
        <v>1905399</v>
      </c>
      <c r="E23" s="31">
        <f>SUM(E14:E22)</f>
        <v>2232337</v>
      </c>
      <c r="F23" s="31">
        <f>SUM(F14:F22)</f>
        <v>2378698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277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278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279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280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281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282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283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284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285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286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287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288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289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290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291</v>
      </c>
      <c r="B45" s="19"/>
      <c r="C45" s="19"/>
      <c r="D45" s="19"/>
      <c r="E45" s="19"/>
      <c r="F45" s="19"/>
    </row>
    <row r="46" spans="1:6" x14ac:dyDescent="0.25">
      <c r="A46" s="11" t="s">
        <v>292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293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294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295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997040</v>
      </c>
      <c r="C5" s="33">
        <f>'Budget Detail'!C23</f>
        <v>1522959</v>
      </c>
      <c r="D5" s="33">
        <f>'Budget Detail'!D23</f>
        <v>1905399</v>
      </c>
      <c r="E5" s="33">
        <f>'Budget Detail'!E23</f>
        <v>2232337</v>
      </c>
      <c r="F5" s="33">
        <f>'Budget Detail'!F23</f>
        <v>2378698</v>
      </c>
    </row>
    <row r="6" spans="1:6" x14ac:dyDescent="0.25">
      <c r="A6" s="10" t="s">
        <v>290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297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298</v>
      </c>
      <c r="B8" s="31">
        <f>SUM(B5:B7)</f>
        <v>1706865</v>
      </c>
      <c r="C8" s="31">
        <f>SUM(C5:C7)</f>
        <v>2500643</v>
      </c>
      <c r="D8" s="31">
        <f>SUM(D5:D7)</f>
        <v>3185554</v>
      </c>
      <c r="E8" s="31">
        <f>SUM(E5:E7)</f>
        <v>3746283</v>
      </c>
      <c r="F8" s="31">
        <f>SUM(F5:F7)</f>
        <v>4003976</v>
      </c>
    </row>
    <row r="10" ht="24" customHeight="1" spans="1:6" x14ac:dyDescent="0.25">
      <c r="A10" s="19" t="s">
        <v>299</v>
      </c>
      <c r="B10" s="19"/>
      <c r="C10" s="19"/>
      <c r="D10" s="19"/>
      <c r="E10" s="19"/>
      <c r="F10" s="19"/>
    </row>
    <row r="11" spans="1:6" x14ac:dyDescent="0.25">
      <c r="A11" s="10" t="s">
        <v>300</v>
      </c>
      <c r="B11" s="32">
        <f>B4-B8</f>
        <v>-418532</v>
      </c>
      <c r="C11" s="32">
        <f>C4-C8</f>
        <v>64057</v>
      </c>
      <c r="D11" s="32">
        <f>D4-D8</f>
        <v>707949</v>
      </c>
      <c r="E11" s="32">
        <f>E4-E8</f>
        <v>1231089</v>
      </c>
      <c r="F11" s="32">
        <f>F4-F8</f>
        <v>1454742</v>
      </c>
    </row>
    <row r="12" spans="1:6" x14ac:dyDescent="0.25">
      <c r="A12" s="11" t="s">
        <v>301</v>
      </c>
      <c r="B12" s="29">
        <f>IF(B4=0,0,B11/B4)</f>
        <v>-0.32486289</v>
      </c>
      <c r="C12" s="29">
        <f>IF(C4=0,0,C11/C4)</f>
        <v>0.02497636</v>
      </c>
      <c r="D12" s="29">
        <f>IF(D4=0,0,D11/D4)</f>
        <v>0.18182839</v>
      </c>
      <c r="E12" s="29">
        <f>IF(E4=0,0,E11/E4)</f>
        <v>0.24733708</v>
      </c>
      <c r="F12" s="29">
        <f>IF(F4=0,0,F11/F4)</f>
        <v>0.26649881</v>
      </c>
    </row>
    <row r="13" spans="1:6" x14ac:dyDescent="0.25">
      <c r="A13" s="11" t="s">
        <v>302</v>
      </c>
      <c r="B13" s="30">
        <v>-418532</v>
      </c>
      <c r="C13" s="30">
        <v>-354475</v>
      </c>
      <c r="D13" s="30">
        <v>353475</v>
      </c>
      <c r="E13" s="30">
        <v>1584563</v>
      </c>
      <c r="F13" s="30">
        <v>3039305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303</v>
      </c>
      <c r="B15" s="30">
        <v>14224</v>
      </c>
      <c r="C15" s="30">
        <v>12503</v>
      </c>
      <c r="D15" s="30">
        <v>10619</v>
      </c>
      <c r="E15" s="30">
        <v>9990</v>
      </c>
      <c r="F15" s="30">
        <v>10010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305</v>
      </c>
      <c r="C2" s="21" t="s">
        <v>306</v>
      </c>
      <c r="D2" s="21" t="s">
        <v>307</v>
      </c>
      <c r="E2" s="21" t="s">
        <v>308</v>
      </c>
      <c r="F2" s="21" t="s">
        <v>309</v>
      </c>
      <c r="G2" s="21" t="s">
        <v>310</v>
      </c>
      <c r="H2" s="21" t="s">
        <v>311</v>
      </c>
      <c r="I2" s="21" t="s">
        <v>312</v>
      </c>
      <c r="J2" s="21" t="s">
        <v>313</v>
      </c>
      <c r="K2" s="21" t="s">
        <v>314</v>
      </c>
      <c r="L2" s="21" t="s">
        <v>315</v>
      </c>
      <c r="M2" s="21" t="s">
        <v>316</v>
      </c>
      <c r="N2" s="21" t="s">
        <v>317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318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319</v>
      </c>
      <c r="B7" s="30">
        <v>99704</v>
      </c>
      <c r="C7" s="30">
        <v>99704</v>
      </c>
      <c r="D7" s="30">
        <v>99704</v>
      </c>
      <c r="E7" s="30">
        <v>99704</v>
      </c>
      <c r="F7" s="30">
        <v>99704</v>
      </c>
      <c r="G7" s="30">
        <v>99704</v>
      </c>
      <c r="H7" s="30">
        <v>99704</v>
      </c>
      <c r="I7" s="30">
        <v>99704</v>
      </c>
      <c r="J7" s="30">
        <v>99704</v>
      </c>
      <c r="K7" s="30">
        <v>99704</v>
      </c>
      <c r="L7" s="30">
        <v>0</v>
      </c>
      <c r="M7" s="30">
        <v>0</v>
      </c>
      <c r="N7" s="30">
        <f>SUM(B7:M7)</f>
        <v>997040</v>
      </c>
    </row>
    <row r="8" spans="1:14" x14ac:dyDescent="0.25">
      <c r="A8" s="11" t="s">
        <v>320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321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322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298</v>
      </c>
      <c r="B12" s="33">
        <f>B7+B8+B9</f>
        <v>167939</v>
      </c>
      <c r="C12" s="33">
        <f>C7+C8+C9</f>
        <v>167939</v>
      </c>
      <c r="D12" s="33">
        <f>D7+D8+D9</f>
        <v>167939</v>
      </c>
      <c r="E12" s="33">
        <f>E7+E8+E9</f>
        <v>167939</v>
      </c>
      <c r="F12" s="33">
        <f>F7+F8+F9</f>
        <v>167939</v>
      </c>
      <c r="G12" s="33">
        <f>G7+G8+G9</f>
        <v>167939</v>
      </c>
      <c r="H12" s="33">
        <f>H7+H8+H9</f>
        <v>167939</v>
      </c>
      <c r="I12" s="33">
        <f>I7+I8+I9</f>
        <v>167939</v>
      </c>
      <c r="J12" s="33">
        <f>J7+J8+J9</f>
        <v>167939</v>
      </c>
      <c r="K12" s="33">
        <f>K7+K8+K9</f>
        <v>167939</v>
      </c>
      <c r="L12" s="33">
        <f>L7+L8+L9</f>
        <v>13735</v>
      </c>
      <c r="M12" s="33">
        <f>M7+M8+M9</f>
        <v>13735</v>
      </c>
      <c r="N12" s="33">
        <f>SUM(B12:M12)</f>
        <v>1706860</v>
      </c>
    </row>
    <row r="13" spans="1:14" x14ac:dyDescent="0.25">
      <c r="A13" s="10" t="s">
        <v>323</v>
      </c>
      <c r="B13" s="33">
        <f>B4-B12</f>
        <v>-13339</v>
      </c>
      <c r="C13" s="33">
        <f>C4-C12</f>
        <v>-13339</v>
      </c>
      <c r="D13" s="33">
        <f>D4-D12</f>
        <v>-13339</v>
      </c>
      <c r="E13" s="33">
        <f>E4-E12</f>
        <v>-13339</v>
      </c>
      <c r="F13" s="33">
        <f>F4-F12</f>
        <v>-13339</v>
      </c>
      <c r="G13" s="33">
        <f>G4-G12</f>
        <v>-13339</v>
      </c>
      <c r="H13" s="33">
        <f>H4-H12</f>
        <v>-13339</v>
      </c>
      <c r="I13" s="33">
        <f>I4-I12</f>
        <v>-13339</v>
      </c>
      <c r="J13" s="33">
        <f>J4-J12</f>
        <v>-13339</v>
      </c>
      <c r="K13" s="33">
        <f>K4-K12</f>
        <v>-13339</v>
      </c>
      <c r="L13" s="33">
        <f>L4-L12</f>
        <v>-13735</v>
      </c>
      <c r="M13" s="33">
        <f>M4-M12</f>
        <v>-13735</v>
      </c>
      <c r="N13" s="33">
        <f>SUM(B13:M13)</f>
        <v>-160860</v>
      </c>
    </row>
    <row r="14" spans="1:14" x14ac:dyDescent="0.25">
      <c r="A14" s="10" t="s">
        <v>324</v>
      </c>
      <c r="B14" s="38">
        <f>B17+B13</f>
        <v>-13339</v>
      </c>
      <c r="C14" s="38">
        <f>B14+C13</f>
        <v>-26678</v>
      </c>
      <c r="D14" s="38">
        <f>C14+D13</f>
        <v>-40017</v>
      </c>
      <c r="E14" s="38">
        <f>D14+E13</f>
        <v>-53356</v>
      </c>
      <c r="F14" s="38">
        <f>E14+F13</f>
        <v>-66695</v>
      </c>
      <c r="G14" s="38">
        <f>F14+G13</f>
        <v>-80034</v>
      </c>
      <c r="H14" s="38">
        <f>G14+H13</f>
        <v>-93373</v>
      </c>
      <c r="I14" s="38">
        <f>H14+I13</f>
        <v>-106712</v>
      </c>
      <c r="J14" s="38">
        <f>I14+J13</f>
        <v>-120051</v>
      </c>
      <c r="K14" s="38">
        <f>J14+K13</f>
        <v>-133390</v>
      </c>
      <c r="L14" s="38">
        <f>K14+L13</f>
        <v>-147125</v>
      </c>
      <c r="M14" s="38">
        <f>L14+M13</f>
        <v>-160860</v>
      </c>
      <c r="N14" s="32">
        <f>M14</f>
        <v>-160860</v>
      </c>
    </row>
    <row r="16" ht="24" customHeight="1" spans="1:3" x14ac:dyDescent="0.25">
      <c r="A16" s="19" t="s">
        <v>325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326</v>
      </c>
      <c r="B18" s="38">
        <f>M14</f>
        <v>-160860</v>
      </c>
    </row>
    <row r="19" spans="1:2" x14ac:dyDescent="0.25">
      <c r="A19" s="11" t="s">
        <v>327</v>
      </c>
      <c r="B19" s="30">
        <f>MIN(B14:M14)</f>
        <v>-160860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318</v>
      </c>
      <c r="B7" s="19"/>
      <c r="C7" s="19"/>
      <c r="D7" s="19"/>
      <c r="E7" s="19"/>
      <c r="F7" s="19"/>
    </row>
    <row r="8" spans="1:6" x14ac:dyDescent="0.25">
      <c r="A8" s="10" t="s">
        <v>319</v>
      </c>
      <c r="B8" s="33">
        <v>997040</v>
      </c>
      <c r="C8" s="33">
        <v>1522959</v>
      </c>
      <c r="D8" s="33">
        <v>1905399</v>
      </c>
      <c r="E8" s="33">
        <v>2232337</v>
      </c>
      <c r="F8" s="33">
        <v>2378698</v>
      </c>
    </row>
    <row r="9" spans="1:6" x14ac:dyDescent="0.25">
      <c r="A9" s="10" t="s">
        <v>320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329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298</v>
      </c>
      <c r="B11" s="31">
        <f>SUM(B8:B10)</f>
        <v>1706865</v>
      </c>
      <c r="C11" s="31">
        <f>SUM(C8:C10)</f>
        <v>2500643</v>
      </c>
      <c r="D11" s="31">
        <f>SUM(D8:D10)</f>
        <v>3185554</v>
      </c>
      <c r="E11" s="31">
        <f>SUM(E8:E10)</f>
        <v>3746283</v>
      </c>
      <c r="F11" s="31">
        <f>SUM(F8:F10)</f>
        <v>4003976</v>
      </c>
    </row>
    <row r="13" ht="24" customHeight="1" spans="1:6" x14ac:dyDescent="0.25">
      <c r="A13" s="19" t="s">
        <v>330</v>
      </c>
      <c r="B13" s="19"/>
      <c r="C13" s="19"/>
      <c r="D13" s="19"/>
      <c r="E13" s="19"/>
      <c r="F13" s="19"/>
    </row>
    <row r="14" spans="1:6" x14ac:dyDescent="0.25">
      <c r="A14" s="39" t="s">
        <v>300</v>
      </c>
      <c r="B14" s="32">
        <f>B5-B11</f>
        <v>-418532</v>
      </c>
      <c r="C14" s="32">
        <f>C5-C11</f>
        <v>64057</v>
      </c>
      <c r="D14" s="32">
        <f>D5-D11</f>
        <v>707949</v>
      </c>
      <c r="E14" s="32">
        <f>E5-E11</f>
        <v>1231089</v>
      </c>
      <c r="F14" s="32">
        <f>F5-F11</f>
        <v>1454742</v>
      </c>
    </row>
    <row r="15" spans="1:6" x14ac:dyDescent="0.25">
      <c r="A15" s="11" t="s">
        <v>301</v>
      </c>
      <c r="B15" s="29">
        <f>IF(B5=0,0,B14/B5)</f>
        <v>-0.32486289</v>
      </c>
      <c r="C15" s="29">
        <f>IF(C5=0,0,C14/C5)</f>
        <v>0.02497636</v>
      </c>
      <c r="D15" s="29">
        <f>IF(D5=0,0,D14/D5)</f>
        <v>0.18182839</v>
      </c>
      <c r="E15" s="29">
        <f>IF(E5=0,0,E14/E5)</f>
        <v>0.24733708</v>
      </c>
      <c r="F15" s="29">
        <f>IF(F5=0,0,F14/F5)</f>
        <v>0.26649881</v>
      </c>
    </row>
    <row r="16" spans="1:6" x14ac:dyDescent="0.25">
      <c r="A16" s="10" t="s">
        <v>331</v>
      </c>
      <c r="B16" s="33">
        <f>B14</f>
        <v>-418532</v>
      </c>
      <c r="C16" s="33">
        <f>B16+C14</f>
        <v>-354475</v>
      </c>
      <c r="D16" s="33">
        <f>C16+D14</f>
        <v>353475</v>
      </c>
      <c r="E16" s="33">
        <f>D16+E14</f>
        <v>1584563</v>
      </c>
      <c r="F16" s="33">
        <f>E16+F14</f>
        <v>3039305</v>
      </c>
    </row>
    <row r="17" spans="1:6" x14ac:dyDescent="0.25">
      <c r="A17" s="10" t="s">
        <v>332</v>
      </c>
      <c r="B17" s="40" t="s">
        <v>7</v>
      </c>
      <c r="C17" s="40" t="s">
        <v>7</v>
      </c>
      <c r="D17" s="41" t="s">
        <v>333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334</v>
      </c>
      <c r="B4" s="19"/>
      <c r="C4" s="19"/>
      <c r="D4" s="19"/>
      <c r="E4" s="19"/>
      <c r="F4" s="19"/>
    </row>
    <row r="5" spans="1:5" x14ac:dyDescent="0.25">
      <c r="A5" s="42" t="s">
        <v>335</v>
      </c>
      <c r="B5" s="43" t="s">
        <v>135</v>
      </c>
      <c r="C5" s="44" t="s">
        <v>336</v>
      </c>
      <c r="D5" s="42" t="s">
        <v>337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338</v>
      </c>
      <c r="B8" s="19"/>
      <c r="C8" s="19"/>
      <c r="D8" s="19"/>
      <c r="E8" s="19"/>
      <c r="F8" s="19"/>
    </row>
    <row r="9" spans="1:6" x14ac:dyDescent="0.25">
      <c r="A9" s="11" t="s">
        <v>339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340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341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342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343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345</v>
      </c>
      <c r="B4" s="19"/>
      <c r="C4" s="19"/>
      <c r="D4" s="19"/>
      <c r="E4" s="19"/>
      <c r="F4" s="19"/>
    </row>
    <row r="5" spans="1:6" x14ac:dyDescent="0.25">
      <c r="A5" s="11" t="s">
        <v>346</v>
      </c>
      <c r="B5" s="45">
        <f>'Monthly Cash Flow Y1'!M14</f>
        <v>-160860</v>
      </c>
      <c r="C5" s="45">
        <f>B5+'5-Year Operating Stmt'!C14</f>
        <v>-96803</v>
      </c>
      <c r="D5" s="45">
        <f>B5+'5-Year Operating Stmt'!C14+'5-Year Operating Stmt'!D14</f>
        <v>611146</v>
      </c>
      <c r="E5" s="45">
        <f>B5+'5-Year Operating Stmt'!C14+'5-Year Operating Stmt'!D14+'5-Year Operating Stmt'!E14</f>
        <v>1842235</v>
      </c>
      <c r="F5" s="45">
        <f>B5+'5-Year Operating Stmt'!C14+'5-Year Operating Stmt'!D14+'5-Year Operating Stmt'!E14+'5-Year Operating Stmt'!F14</f>
        <v>3296977</v>
      </c>
    </row>
    <row r="6" spans="1:6" x14ac:dyDescent="0.25">
      <c r="A6" s="11" t="s">
        <v>347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348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350</v>
      </c>
      <c r="B9" s="31">
        <f>SUM(B5:B8)</f>
        <v>-160860</v>
      </c>
      <c r="C9" s="31">
        <f>SUM(C5:C8)</f>
        <v>-96803</v>
      </c>
      <c r="D9" s="31">
        <f>SUM(D5:D8)</f>
        <v>611146</v>
      </c>
      <c r="E9" s="31">
        <f>SUM(E5:E8)</f>
        <v>1842235</v>
      </c>
      <c r="F9" s="31">
        <f>SUM(F5:F8)</f>
        <v>3296977</v>
      </c>
    </row>
    <row r="11" ht="24" customHeight="1" spans="1:6" x14ac:dyDescent="0.25">
      <c r="A11" s="19" t="s">
        <v>351</v>
      </c>
      <c r="B11" s="19"/>
      <c r="C11" s="19"/>
      <c r="D11" s="19"/>
      <c r="E11" s="19"/>
      <c r="F11" s="19"/>
    </row>
    <row r="12" spans="1:6" x14ac:dyDescent="0.25">
      <c r="A12" s="11" t="s">
        <v>352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353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354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355</v>
      </c>
      <c r="B16" s="19"/>
      <c r="C16" s="19"/>
      <c r="D16" s="19"/>
      <c r="E16" s="19"/>
      <c r="F16" s="19"/>
    </row>
    <row r="17" spans="1:6" x14ac:dyDescent="0.25">
      <c r="A17" s="10" t="s">
        <v>356</v>
      </c>
      <c r="B17" s="32">
        <f>B9-B14</f>
        <v>-639221</v>
      </c>
      <c r="C17" s="32">
        <f>C9-C14</f>
        <v>-552248</v>
      </c>
      <c r="D17" s="32">
        <f>D9-D14</f>
        <v>179971</v>
      </c>
      <c r="E17" s="32">
        <f>E9-E14</f>
        <v>1436762</v>
      </c>
      <c r="F17" s="32">
        <f>F9-F14</f>
        <v>2918724</v>
      </c>
    </row>
    <row r="19" spans="1:6" x14ac:dyDescent="0.25">
      <c r="A19" s="10" t="s">
        <v>357</v>
      </c>
      <c r="B19" s="46" t="str">
        <f>B9-B14-B17</f>
        <v>0</v>
      </c>
      <c r="C19" s="47">
        <f>C9-C14-C17</f>
        <v>1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359</v>
      </c>
      <c r="B4" s="19"/>
      <c r="C4" s="19"/>
      <c r="D4" s="19"/>
      <c r="E4" s="19"/>
      <c r="F4" s="19"/>
    </row>
    <row r="5" spans="1:6" x14ac:dyDescent="0.25">
      <c r="A5" s="11" t="s">
        <v>360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319</v>
      </c>
      <c r="B6" s="30">
        <v>997040</v>
      </c>
      <c r="C6" s="30">
        <v>1522959</v>
      </c>
      <c r="D6" s="30">
        <v>1905399</v>
      </c>
      <c r="E6" s="30">
        <v>2232337</v>
      </c>
      <c r="F6" s="30">
        <v>2378698</v>
      </c>
    </row>
    <row r="7" spans="1:6" x14ac:dyDescent="0.25">
      <c r="A7" s="11" t="s">
        <v>320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361</v>
      </c>
      <c r="B8" s="33">
        <f>B5-B6-B7</f>
        <v>-253707</v>
      </c>
      <c r="C8" s="33">
        <f>C5-C6-C7</f>
        <v>153881</v>
      </c>
      <c r="D8" s="33">
        <f>D5-D6-D7</f>
        <v>797774</v>
      </c>
      <c r="E8" s="33">
        <f>E5-E6-E7</f>
        <v>1305913</v>
      </c>
      <c r="F8" s="33">
        <f>F5-F6-F7</f>
        <v>1524566</v>
      </c>
    </row>
    <row r="9" spans="1:6" x14ac:dyDescent="0.25">
      <c r="A9" s="11" t="s">
        <v>321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362</v>
      </c>
      <c r="B10" s="48">
        <f>IF(B9=0,"N/A",B8/B9)</f>
        <v>-5.09</v>
      </c>
      <c r="C10" s="48">
        <f>IF(C9=0,"N/A",C8/C9)</f>
        <v>3.09</v>
      </c>
      <c r="D10" s="48">
        <f>IF(D9=0,"N/A",D8/D9)</f>
        <v>16.01</v>
      </c>
      <c r="E10" s="48">
        <f>IF(E9=0,"N/A",E8/E9)</f>
        <v>26.21</v>
      </c>
      <c r="F10" s="48">
        <f>IF(F9=0,"N/A",F8/F9)</f>
        <v>30.6</v>
      </c>
    </row>
    <row r="12" ht="24" customHeight="1" spans="1:6" x14ac:dyDescent="0.25">
      <c r="A12" s="19" t="s">
        <v>363</v>
      </c>
      <c r="B12" s="19"/>
      <c r="C12" s="19"/>
      <c r="D12" s="19"/>
      <c r="E12" s="19"/>
      <c r="F12" s="19"/>
    </row>
    <row r="13" spans="1:6" x14ac:dyDescent="0.25">
      <c r="A13" s="11" t="s">
        <v>364</v>
      </c>
      <c r="B13" s="30">
        <v>-160860</v>
      </c>
      <c r="C13" s="30">
        <v>-96803</v>
      </c>
      <c r="D13" s="30">
        <v>611146</v>
      </c>
      <c r="E13" s="30">
        <v>1842235</v>
      </c>
      <c r="F13" s="30">
        <v>3296977</v>
      </c>
    </row>
    <row r="14" spans="1:6" x14ac:dyDescent="0.25">
      <c r="A14" s="11" t="s">
        <v>365</v>
      </c>
      <c r="B14" s="35">
        <f>IF((B6+B7+B9)=0,0,(B13/(B6+B7+B9))*365)</f>
        <v>-37</v>
      </c>
      <c r="C14" s="35">
        <f>IF((C6+C7+C9)=0,0,(C13/(C6+C7+C9))*365)</f>
        <v>-14</v>
      </c>
      <c r="D14" s="35">
        <f>IF((D6+D7+D9)=0,0,(D13/(D6+D7+D9))*365)</f>
        <v>71</v>
      </c>
      <c r="E14" s="35">
        <f>IF((E6+E7+E9)=0,0,(E13/(E6+E7+E9))*365)</f>
        <v>181</v>
      </c>
      <c r="F14" s="35">
        <f>IF((F6+F7+F9)=0,0,(F13/(F6+F7+F9))*365)</f>
        <v>302</v>
      </c>
    </row>
    <row r="15" spans="1:6" x14ac:dyDescent="0.25">
      <c r="A15" s="11" t="s">
        <v>366</v>
      </c>
      <c r="B15" s="34">
        <f>IF((B6+B7+B9)=0,0,B13/((B6+B7+B9)/12))</f>
        <v>-1.2</v>
      </c>
      <c r="C15" s="34">
        <f>IF((C6+C7+C9)=0,0,C13/((C6+C7+C9)/12))</f>
        <v>-0.5</v>
      </c>
      <c r="D15" s="34">
        <f>IF((D6+D7+D9)=0,0,D13/((D6+D7+D9)/12))</f>
        <v>2.3</v>
      </c>
      <c r="E15" s="34">
        <f>IF((E6+E7+E9)=0,0,E13/((E6+E7+E9)/12))</f>
        <v>5.9</v>
      </c>
      <c r="F15" s="34">
        <f>IF((F6+F7+F9)=0,0,F13/((F6+F7+F9)/12))</f>
        <v>9.9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367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368</v>
      </c>
      <c r="B20" s="30">
        <v>1046865</v>
      </c>
      <c r="C20" s="30">
        <v>1572783</v>
      </c>
      <c r="D20" s="30">
        <v>1955224</v>
      </c>
      <c r="E20" s="30">
        <v>2282162</v>
      </c>
      <c r="F20" s="30">
        <v>2428523</v>
      </c>
    </row>
    <row r="21" spans="1:6" x14ac:dyDescent="0.25">
      <c r="A21" s="11" t="s">
        <v>369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370</v>
      </c>
      <c r="B22" s="49">
        <v>170</v>
      </c>
      <c r="C22" s="49">
        <v>188</v>
      </c>
      <c r="D22" s="49">
        <v>217</v>
      </c>
      <c r="E22" s="49">
        <v>242</v>
      </c>
      <c r="F22" s="49">
        <v>249</v>
      </c>
    </row>
    <row r="24" ht="24" customHeight="1" spans="1:6" x14ac:dyDescent="0.25">
      <c r="A24" s="19" t="s">
        <v>371</v>
      </c>
      <c r="B24" s="19"/>
      <c r="C24" s="19"/>
      <c r="D24" s="19"/>
      <c r="E24" s="19"/>
      <c r="F24" s="19"/>
    </row>
    <row r="25" spans="1:6" x14ac:dyDescent="0.25">
      <c r="A25" s="11" t="s">
        <v>372</v>
      </c>
      <c r="B25" s="50" t="s">
        <v>373</v>
      </c>
      <c r="C25" s="51" t="s">
        <v>374</v>
      </c>
      <c r="D25" s="51" t="s">
        <v>374</v>
      </c>
      <c r="E25" s="51" t="s">
        <v>374</v>
      </c>
      <c r="F25" s="51" t="s">
        <v>374</v>
      </c>
    </row>
    <row r="26" spans="1:6" x14ac:dyDescent="0.25">
      <c r="A26" s="11" t="s">
        <v>375</v>
      </c>
      <c r="B26" s="50" t="s">
        <v>373</v>
      </c>
      <c r="C26" s="51" t="s">
        <v>374</v>
      </c>
      <c r="D26" s="51" t="s">
        <v>374</v>
      </c>
      <c r="E26" s="51" t="s">
        <v>374</v>
      </c>
      <c r="F26" s="51" t="s">
        <v>374</v>
      </c>
    </row>
    <row r="27" spans="1:6" x14ac:dyDescent="0.25">
      <c r="A27" s="11" t="s">
        <v>376</v>
      </c>
      <c r="B27" s="50" t="s">
        <v>373</v>
      </c>
      <c r="C27" s="50" t="s">
        <v>373</v>
      </c>
      <c r="D27" s="50" t="s">
        <v>373</v>
      </c>
      <c r="E27" s="50" t="s">
        <v>373</v>
      </c>
      <c r="F27" s="50" t="s">
        <v>373</v>
      </c>
    </row>
    <row r="28" spans="1:6" x14ac:dyDescent="0.25">
      <c r="A28" s="11" t="s">
        <v>377</v>
      </c>
      <c r="B28" s="50" t="s">
        <v>373</v>
      </c>
      <c r="C28" s="50" t="s">
        <v>373</v>
      </c>
      <c r="D28" s="51" t="s">
        <v>374</v>
      </c>
      <c r="E28" s="51" t="s">
        <v>374</v>
      </c>
      <c r="F28" s="51" t="s">
        <v>374</v>
      </c>
    </row>
    <row r="29" spans="1:6" x14ac:dyDescent="0.25">
      <c r="A29" s="11" t="s">
        <v>378</v>
      </c>
      <c r="B29" s="50" t="s">
        <v>373</v>
      </c>
      <c r="C29" s="50" t="s">
        <v>373</v>
      </c>
      <c r="D29" s="51" t="s">
        <v>374</v>
      </c>
      <c r="E29" s="51" t="s">
        <v>374</v>
      </c>
      <c r="F29" s="51" t="s">
        <v>374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379</v>
      </c>
      <c r="B3" s="52" t="s">
        <v>112</v>
      </c>
      <c r="D3" s="52" t="s">
        <v>380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381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382</v>
      </c>
      <c r="E5" s="30">
        <v>75000</v>
      </c>
    </row>
    <row r="6" spans="1:5" x14ac:dyDescent="0.25">
      <c r="A6" s="11" t="s">
        <v>383</v>
      </c>
      <c r="B6" s="30">
        <v>50000</v>
      </c>
      <c r="D6" s="11" t="s">
        <v>384</v>
      </c>
      <c r="E6" s="30">
        <v>40000</v>
      </c>
    </row>
    <row r="7" spans="4:5" x14ac:dyDescent="0.25">
      <c r="D7" s="11" t="s">
        <v>385</v>
      </c>
      <c r="E7" s="30">
        <v>60000</v>
      </c>
    </row>
    <row r="8" spans="4:5" x14ac:dyDescent="0.25">
      <c r="D8" s="11" t="s">
        <v>386</v>
      </c>
      <c r="E8" s="30">
        <v>75000</v>
      </c>
    </row>
    <row r="10" spans="1:5" x14ac:dyDescent="0.25">
      <c r="A10" s="10" t="s">
        <v>387</v>
      </c>
      <c r="B10" s="32">
        <v>650000</v>
      </c>
      <c r="D10" s="10" t="s">
        <v>388</v>
      </c>
      <c r="E10" s="32">
        <v>650000</v>
      </c>
    </row>
    <row r="11" spans="1:2" x14ac:dyDescent="0.25">
      <c r="A11" s="10" t="s">
        <v>389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390</v>
      </c>
      <c r="B1" s="15"/>
      <c r="C1" s="15"/>
      <c r="D1" s="15"/>
      <c r="E1" s="15"/>
      <c r="F1" s="15"/>
    </row>
    <row r="3" ht="24" customHeight="1" spans="1:6" x14ac:dyDescent="0.25">
      <c r="A3" s="19" t="s">
        <v>391</v>
      </c>
      <c r="B3" s="19"/>
      <c r="C3" s="19"/>
      <c r="D3" s="19"/>
      <c r="E3" s="19"/>
      <c r="F3" s="19"/>
    </row>
    <row r="4" spans="1:1" x14ac:dyDescent="0.25">
      <c r="A4" s="17" t="s">
        <v>392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360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298</v>
      </c>
      <c r="B7" s="30">
        <v>1591865</v>
      </c>
      <c r="C7" s="30">
        <v>2460643</v>
      </c>
      <c r="D7" s="30">
        <v>3145554</v>
      </c>
      <c r="E7" s="30">
        <v>3721283</v>
      </c>
      <c r="F7" s="30">
        <v>3983976</v>
      </c>
    </row>
    <row r="8" spans="1:6" x14ac:dyDescent="0.25">
      <c r="A8" s="10" t="s">
        <v>300</v>
      </c>
      <c r="B8" s="32">
        <v>-303532</v>
      </c>
      <c r="C8" s="32">
        <v>104057</v>
      </c>
      <c r="D8" s="32">
        <v>747949</v>
      </c>
      <c r="E8" s="32">
        <v>1256089</v>
      </c>
      <c r="F8" s="32">
        <v>1474742</v>
      </c>
    </row>
    <row r="9" spans="1:6" x14ac:dyDescent="0.25">
      <c r="A9" s="11" t="s">
        <v>301</v>
      </c>
      <c r="B9" s="29">
        <v>-0.2356002757214845</v>
      </c>
      <c r="C9" s="29">
        <v>0.04057272966772744</v>
      </c>
      <c r="D9" s="29">
        <v>0.19210191578864091</v>
      </c>
      <c r="E9" s="29">
        <v>0.2523598085842533</v>
      </c>
      <c r="F9" s="29">
        <v>0.2701626770295813</v>
      </c>
    </row>
    <row r="10" spans="1:6" x14ac:dyDescent="0.25">
      <c r="A10" s="11" t="s">
        <v>362</v>
      </c>
      <c r="B10" s="53">
        <v>-5.09</v>
      </c>
      <c r="C10" s="53">
        <v>3.09</v>
      </c>
      <c r="D10" s="53">
        <v>16.01</v>
      </c>
      <c r="E10" s="53">
        <v>26.21</v>
      </c>
      <c r="F10" s="53">
        <v>30.6</v>
      </c>
    </row>
    <row r="11" spans="1:6" x14ac:dyDescent="0.25">
      <c r="A11" s="11" t="s">
        <v>370</v>
      </c>
      <c r="B11" s="35">
        <v>170</v>
      </c>
      <c r="C11" s="35">
        <v>188</v>
      </c>
      <c r="D11" s="35">
        <v>217</v>
      </c>
      <c r="E11" s="35">
        <v>242</v>
      </c>
      <c r="F11" s="35">
        <v>249</v>
      </c>
    </row>
    <row r="13" ht="24" customHeight="1" spans="1:6" x14ac:dyDescent="0.25">
      <c r="A13" s="19" t="s">
        <v>393</v>
      </c>
      <c r="B13" s="19"/>
      <c r="C13" s="19"/>
      <c r="D13" s="19"/>
      <c r="E13" s="19"/>
      <c r="F13" s="19"/>
    </row>
    <row r="14" spans="1:1" x14ac:dyDescent="0.25">
      <c r="A14" s="17" t="s">
        <v>394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360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298</v>
      </c>
      <c r="B17" s="30">
        <v>1591865</v>
      </c>
      <c r="C17" s="30">
        <v>2460643</v>
      </c>
      <c r="D17" s="30">
        <v>3145554</v>
      </c>
      <c r="E17" s="30">
        <v>3721283</v>
      </c>
      <c r="F17" s="30">
        <v>3983976</v>
      </c>
    </row>
    <row r="18" spans="1:6" x14ac:dyDescent="0.25">
      <c r="A18" s="10" t="s">
        <v>300</v>
      </c>
      <c r="B18" s="32">
        <v>-625615</v>
      </c>
      <c r="C18" s="32">
        <v>-537118</v>
      </c>
      <c r="D18" s="32">
        <v>-225426</v>
      </c>
      <c r="E18" s="32">
        <v>11746</v>
      </c>
      <c r="F18" s="32">
        <v>110062</v>
      </c>
    </row>
    <row r="19" spans="1:6" x14ac:dyDescent="0.25">
      <c r="A19" s="11" t="s">
        <v>301</v>
      </c>
      <c r="B19" s="29">
        <v>-0.6474670342953127</v>
      </c>
      <c r="C19" s="29">
        <v>-0.2792363604430301</v>
      </c>
      <c r="D19" s="29">
        <v>-0.07719744561514545</v>
      </c>
      <c r="E19" s="29">
        <v>0.0031464114456710686</v>
      </c>
      <c r="F19" s="29">
        <v>0.026883569372774998</v>
      </c>
    </row>
    <row r="20" spans="1:6" x14ac:dyDescent="0.25">
      <c r="A20" s="11" t="s">
        <v>362</v>
      </c>
      <c r="B20" s="53">
        <v>-11.56</v>
      </c>
      <c r="C20" s="53">
        <v>-9.78</v>
      </c>
      <c r="D20" s="53">
        <v>-3.52</v>
      </c>
      <c r="E20" s="53">
        <v>1.24</v>
      </c>
      <c r="F20" s="53">
        <v>3.21</v>
      </c>
    </row>
    <row r="21" spans="1:6" x14ac:dyDescent="0.25">
      <c r="A21" s="11" t="s">
        <v>370</v>
      </c>
      <c r="B21" s="35">
        <v>224</v>
      </c>
      <c r="C21" s="35">
        <v>228</v>
      </c>
      <c r="D21" s="35">
        <v>255</v>
      </c>
      <c r="E21" s="35">
        <v>280</v>
      </c>
      <c r="F21" s="35">
        <v>287</v>
      </c>
    </row>
    <row r="23" ht="24" customHeight="1" spans="1:6" x14ac:dyDescent="0.25">
      <c r="A23" s="19" t="s">
        <v>395</v>
      </c>
      <c r="B23" s="19"/>
      <c r="C23" s="19"/>
      <c r="D23" s="19"/>
      <c r="E23" s="19"/>
      <c r="F23" s="19"/>
    </row>
    <row r="24" spans="1:1" x14ac:dyDescent="0.25">
      <c r="A24" s="17" t="s">
        <v>396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360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298</v>
      </c>
      <c r="B27" s="30">
        <v>1591865</v>
      </c>
      <c r="C27" s="30">
        <v>2460643</v>
      </c>
      <c r="D27" s="30">
        <v>3145554</v>
      </c>
      <c r="E27" s="30">
        <v>3721283</v>
      </c>
      <c r="F27" s="30">
        <v>3983976</v>
      </c>
    </row>
    <row r="28" spans="1:6" x14ac:dyDescent="0.25">
      <c r="A28" s="10" t="s">
        <v>300</v>
      </c>
      <c r="B28" s="32">
        <v>-367948</v>
      </c>
      <c r="C28" s="32">
        <v>-24178</v>
      </c>
      <c r="D28" s="32">
        <v>553274</v>
      </c>
      <c r="E28" s="32">
        <v>1007220</v>
      </c>
      <c r="F28" s="32">
        <v>1201806</v>
      </c>
    </row>
    <row r="29" spans="1:6" x14ac:dyDescent="0.25">
      <c r="A29" s="11" t="s">
        <v>301</v>
      </c>
      <c r="B29" s="29">
        <v>-0.3006318691805101</v>
      </c>
      <c r="C29" s="29">
        <v>-0.00992344245502375</v>
      </c>
      <c r="D29" s="29">
        <v>0.14958096398804296</v>
      </c>
      <c r="E29" s="29">
        <v>0.2130103248255297</v>
      </c>
      <c r="F29" s="29">
        <v>0.2317501863469276</v>
      </c>
    </row>
    <row r="30" spans="1:6" x14ac:dyDescent="0.25">
      <c r="A30" s="11" t="s">
        <v>362</v>
      </c>
      <c r="B30" s="53">
        <v>-6.38</v>
      </c>
      <c r="C30" s="53">
        <v>0.51</v>
      </c>
      <c r="D30" s="53">
        <v>12.1</v>
      </c>
      <c r="E30" s="53">
        <v>21.22</v>
      </c>
      <c r="F30" s="53">
        <v>25.12</v>
      </c>
    </row>
    <row r="31" spans="1:6" x14ac:dyDescent="0.25">
      <c r="A31" s="11" t="s">
        <v>370</v>
      </c>
      <c r="B31" s="35">
        <v>186</v>
      </c>
      <c r="C31" s="35">
        <v>204</v>
      </c>
      <c r="D31" s="35">
        <v>234</v>
      </c>
      <c r="E31" s="35">
        <v>261</v>
      </c>
      <c r="F31" s="35">
        <v>268</v>
      </c>
    </row>
    <row r="33" ht="24" customHeight="1" spans="1:6" x14ac:dyDescent="0.25">
      <c r="A33" s="19" t="s">
        <v>397</v>
      </c>
      <c r="B33" s="19"/>
      <c r="C33" s="19"/>
      <c r="D33" s="19"/>
      <c r="E33" s="19"/>
      <c r="F33" s="19"/>
    </row>
    <row r="34" spans="1:1" x14ac:dyDescent="0.25">
      <c r="A34" s="17" t="s">
        <v>398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360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298</v>
      </c>
      <c r="B37" s="30">
        <v>1638365</v>
      </c>
      <c r="C37" s="30">
        <v>2550253</v>
      </c>
      <c r="D37" s="30">
        <v>3279227</v>
      </c>
      <c r="E37" s="30">
        <v>3890929</v>
      </c>
      <c r="F37" s="30">
        <v>4169685</v>
      </c>
    </row>
    <row r="38" spans="1:6" x14ac:dyDescent="0.25">
      <c r="A38" s="10" t="s">
        <v>300</v>
      </c>
      <c r="B38" s="32">
        <v>-350032</v>
      </c>
      <c r="C38" s="32">
        <v>14447</v>
      </c>
      <c r="D38" s="32">
        <v>614276</v>
      </c>
      <c r="E38" s="32">
        <v>1086443</v>
      </c>
      <c r="F38" s="32">
        <v>1289033</v>
      </c>
    </row>
    <row r="39" spans="1:6" x14ac:dyDescent="0.25">
      <c r="A39" s="11" t="s">
        <v>301</v>
      </c>
      <c r="B39" s="29">
        <v>-0.27169341931786223</v>
      </c>
      <c r="C39" s="29">
        <v>0.005632970631582858</v>
      </c>
      <c r="D39" s="29">
        <v>0.15776949072052104</v>
      </c>
      <c r="E39" s="29">
        <v>0.2182763837763499</v>
      </c>
      <c r="F39" s="29">
        <v>0.23614205847288033</v>
      </c>
    </row>
    <row r="40" spans="1:6" x14ac:dyDescent="0.25">
      <c r="A40" s="11" t="s">
        <v>362</v>
      </c>
      <c r="B40" s="53">
        <v>-6.03</v>
      </c>
      <c r="C40" s="53">
        <v>1.29</v>
      </c>
      <c r="D40" s="53">
        <v>13.33</v>
      </c>
      <c r="E40" s="53">
        <v>22.81</v>
      </c>
      <c r="F40" s="53">
        <v>26.87</v>
      </c>
    </row>
    <row r="41" spans="1:6" x14ac:dyDescent="0.25">
      <c r="A41" s="11" t="s">
        <v>370</v>
      </c>
      <c r="B41" s="35">
        <v>181</v>
      </c>
      <c r="C41" s="35">
        <v>199</v>
      </c>
      <c r="D41" s="35">
        <v>229</v>
      </c>
      <c r="E41" s="35">
        <v>255</v>
      </c>
      <c r="F41" s="35">
        <v>262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400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401</v>
      </c>
      <c r="B9" s="11" t="s">
        <v>46</v>
      </c>
    </row>
    <row r="11" ht="24" customHeight="1" spans="1:8" x14ac:dyDescent="0.25">
      <c r="A11" s="19" t="s">
        <v>402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360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298</v>
      </c>
      <c r="D14" s="30">
        <v>1591865</v>
      </c>
      <c r="E14" s="30">
        <v>2460643</v>
      </c>
      <c r="F14" s="30">
        <v>3145554</v>
      </c>
      <c r="G14" s="30">
        <v>3721283</v>
      </c>
      <c r="H14" s="30">
        <v>3983976</v>
      </c>
    </row>
    <row r="15" spans="1:8" x14ac:dyDescent="0.25">
      <c r="A15" s="11" t="s">
        <v>300</v>
      </c>
      <c r="D15" s="30">
        <v>-418532</v>
      </c>
      <c r="E15" s="30">
        <v>64057</v>
      </c>
      <c r="F15" s="30">
        <v>707949</v>
      </c>
      <c r="G15" s="30">
        <v>1231089</v>
      </c>
      <c r="H15" s="30">
        <v>1454742</v>
      </c>
    </row>
    <row r="16" spans="1:8" x14ac:dyDescent="0.25">
      <c r="A16" s="11" t="s">
        <v>403</v>
      </c>
      <c r="D16" s="30">
        <v>-160860</v>
      </c>
      <c r="E16" s="30">
        <v>-96803</v>
      </c>
      <c r="F16" s="30">
        <v>611146</v>
      </c>
      <c r="G16" s="30">
        <v>1842235</v>
      </c>
      <c r="H16" s="30">
        <v>3296977</v>
      </c>
    </row>
    <row r="17" spans="1:8" x14ac:dyDescent="0.25">
      <c r="A17" s="11" t="s">
        <v>404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405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406</v>
      </c>
      <c r="D21" s="29">
        <v>-0.3248628889168275</v>
      </c>
      <c r="E21" s="29">
        <v>0.02497636362101632</v>
      </c>
      <c r="F21" s="29">
        <v>0.18182839089345013</v>
      </c>
      <c r="G21" s="29">
        <v>0.24733707719373102</v>
      </c>
      <c r="H21" s="29">
        <v>0.26649881291446503</v>
      </c>
    </row>
    <row r="22" spans="1:8" x14ac:dyDescent="0.25">
      <c r="A22" s="11" t="s">
        <v>362</v>
      </c>
      <c r="D22" s="53">
        <v>-5.09</v>
      </c>
      <c r="E22" s="53">
        <v>3.09</v>
      </c>
      <c r="F22" s="53">
        <v>16.01</v>
      </c>
      <c r="G22" s="53">
        <v>26.21</v>
      </c>
      <c r="H22" s="53">
        <v>30.6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407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408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409</v>
      </c>
      <c r="C2" s="1"/>
      <c r="D2" s="1"/>
      <c r="E2" s="1"/>
      <c r="F2" s="1"/>
      <c r="G2" s="1"/>
      <c r="H2" s="1"/>
    </row>
    <row r="3" spans="2:8" x14ac:dyDescent="0.25">
      <c r="B3" s="55" t="s">
        <v>410</v>
      </c>
      <c r="C3" s="55"/>
      <c r="D3" s="55"/>
      <c r="E3" s="55"/>
      <c r="F3" s="55"/>
      <c r="G3" s="55"/>
      <c r="H3" s="55"/>
    </row>
    <row r="4" spans="2:6" x14ac:dyDescent="0.25">
      <c r="B4" s="56" t="s">
        <v>411</v>
      </c>
      <c r="D4" s="57" t="s">
        <v>412</v>
      </c>
      <c r="F4" s="58" t="s">
        <v>413</v>
      </c>
    </row>
    <row r="6" ht="24" customHeight="1" spans="2:8" x14ac:dyDescent="0.25">
      <c r="B6" s="19" t="s">
        <v>414</v>
      </c>
      <c r="C6" s="59" t="s">
        <v>415</v>
      </c>
      <c r="D6" s="59" t="s">
        <v>416</v>
      </c>
      <c r="E6" s="59" t="s">
        <v>417</v>
      </c>
      <c r="F6" s="59" t="s">
        <v>418</v>
      </c>
      <c r="G6" s="59" t="s">
        <v>419</v>
      </c>
      <c r="H6" s="59" t="s">
        <v>420</v>
      </c>
    </row>
    <row r="7" spans="2:7" x14ac:dyDescent="0.25">
      <c r="B7" s="11" t="s">
        <v>407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360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319</v>
      </c>
      <c r="C9" s="61">
        <v>997040.4166666667</v>
      </c>
      <c r="D9" s="61">
        <v>1522958.5150000001</v>
      </c>
      <c r="E9" s="61">
        <v>1905399.20935</v>
      </c>
      <c r="F9" s="61">
        <v>2232336.9055715</v>
      </c>
      <c r="G9" s="61">
        <v>2378698.1531784255</v>
      </c>
    </row>
    <row r="10" spans="2:7" x14ac:dyDescent="0.25">
      <c r="B10" s="11" t="s">
        <v>320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321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421</v>
      </c>
      <c r="C12" s="62">
        <v>-418531.6885545128</v>
      </c>
      <c r="D12" s="63">
        <v>64056.879778820556</v>
      </c>
      <c r="E12" s="63">
        <v>707949.3854288207</v>
      </c>
      <c r="F12" s="63">
        <v>1231088.5152073205</v>
      </c>
      <c r="G12" s="63">
        <v>1454741.7946803952</v>
      </c>
    </row>
    <row r="13" spans="2:7" x14ac:dyDescent="0.25">
      <c r="B13" s="10" t="s">
        <v>364</v>
      </c>
      <c r="C13" s="62">
        <v>-160860</v>
      </c>
      <c r="D13" s="62">
        <v>-96803.12022117944</v>
      </c>
      <c r="E13" s="63">
        <v>611146.2652076413</v>
      </c>
      <c r="F13" s="63">
        <v>1842234.7804149617</v>
      </c>
      <c r="G13" s="63">
        <v>3296976.575095357</v>
      </c>
    </row>
    <row r="14" spans="2:7" x14ac:dyDescent="0.25">
      <c r="B14" s="10" t="s">
        <v>406</v>
      </c>
      <c r="C14" s="64">
        <v>-0.3248628889168275</v>
      </c>
      <c r="D14" s="65">
        <v>0.02497636362101632</v>
      </c>
      <c r="E14" s="66">
        <v>0.18182839089345013</v>
      </c>
      <c r="F14" s="66">
        <v>0.24733707719373102</v>
      </c>
      <c r="G14" s="66">
        <v>0.26649881291446503</v>
      </c>
    </row>
    <row r="15" spans="2:8" x14ac:dyDescent="0.25">
      <c r="B15" s="10" t="s">
        <v>241</v>
      </c>
      <c r="C15" s="67">
        <v>10736.111111111113</v>
      </c>
      <c r="D15" s="67">
        <v>12823.5</v>
      </c>
      <c r="E15" s="67">
        <v>12978.343333333334</v>
      </c>
      <c r="F15" s="67">
        <v>13272.990626666666</v>
      </c>
      <c r="G15" s="67">
        <v>13646.794321250001</v>
      </c>
      <c r="H15" s="68" t="s">
        <v>422</v>
      </c>
    </row>
    <row r="16" spans="2:7" x14ac:dyDescent="0.25">
      <c r="B16" s="10" t="s">
        <v>303</v>
      </c>
      <c r="C16" s="69">
        <v>13265.541849065385</v>
      </c>
      <c r="D16" s="69">
        <v>12303.215601105898</v>
      </c>
      <c r="E16" s="69">
        <v>10485.178715237264</v>
      </c>
      <c r="F16" s="69">
        <v>9923.421252780478</v>
      </c>
      <c r="G16" s="69">
        <v>9959.939834549012</v>
      </c>
    </row>
    <row r="17" spans="2:7" x14ac:dyDescent="0.25">
      <c r="B17" s="11" t="s">
        <v>423</v>
      </c>
      <c r="C17" s="61">
        <v>700</v>
      </c>
      <c r="D17" s="61">
        <v>721</v>
      </c>
      <c r="E17" s="61">
        <v>742.63</v>
      </c>
      <c r="F17" s="61">
        <v>764.9089</v>
      </c>
      <c r="G17" s="61">
        <v>787.8561670000001</v>
      </c>
    </row>
    <row r="18" spans="2:8" x14ac:dyDescent="0.25">
      <c r="B18" s="11" t="s">
        <v>424</v>
      </c>
      <c r="C18" s="70">
        <v>2350</v>
      </c>
      <c r="D18" s="67">
        <v>1452.3</v>
      </c>
      <c r="E18" s="67">
        <v>997.2460000000002</v>
      </c>
      <c r="F18" s="67">
        <v>821.7307040000001</v>
      </c>
      <c r="G18" s="67">
        <v>793.48371105</v>
      </c>
      <c r="H18" s="68" t="s">
        <v>425</v>
      </c>
    </row>
    <row r="19" spans="2:7" x14ac:dyDescent="0.25">
      <c r="B19" s="10" t="s">
        <v>426</v>
      </c>
      <c r="C19" s="71">
        <v>-3487.764071287607</v>
      </c>
      <c r="D19" s="72">
        <v>320.28439889410276</v>
      </c>
      <c r="E19" s="72">
        <v>2359.831284762736</v>
      </c>
      <c r="F19" s="72">
        <v>3282.9027072195213</v>
      </c>
      <c r="G19" s="72">
        <v>3636.8544867009878</v>
      </c>
    </row>
    <row r="20" spans="2:8" x14ac:dyDescent="0.25">
      <c r="B20" s="10" t="s">
        <v>427</v>
      </c>
      <c r="C20" s="64">
        <v>0.7738994178525226</v>
      </c>
      <c r="D20" s="65">
        <v>0.5938154618473896</v>
      </c>
      <c r="E20" s="66">
        <v>0.48937915531335147</v>
      </c>
      <c r="F20" s="66">
        <v>0.44849714599341384</v>
      </c>
      <c r="G20" s="66">
        <v>0.4357613402061856</v>
      </c>
      <c r="H20" s="68" t="s">
        <v>428</v>
      </c>
    </row>
    <row r="21" spans="2:8" x14ac:dyDescent="0.25">
      <c r="B21" s="10" t="s">
        <v>429</v>
      </c>
      <c r="C21" s="65">
        <v>0.2188874514877102</v>
      </c>
      <c r="D21" s="66">
        <v>0.11325301204819277</v>
      </c>
      <c r="E21" s="66">
        <v>0.07683923705722072</v>
      </c>
      <c r="F21" s="66">
        <v>0.0619099890230516</v>
      </c>
      <c r="G21" s="66">
        <v>0.05814432989690721</v>
      </c>
      <c r="H21" s="68" t="s">
        <v>430</v>
      </c>
    </row>
    <row r="22" spans="2:8" x14ac:dyDescent="0.25">
      <c r="B22" s="10" t="s">
        <v>431</v>
      </c>
      <c r="C22" s="64">
        <v>-0.1969265847347994</v>
      </c>
      <c r="D22" s="65">
        <v>0.0599997991967871</v>
      </c>
      <c r="E22" s="66">
        <v>0.20489877384196187</v>
      </c>
      <c r="F22" s="66">
        <v>0.26237003293084515</v>
      </c>
      <c r="G22" s="66">
        <v>0.2792902061855669</v>
      </c>
      <c r="H22" s="68" t="s">
        <v>432</v>
      </c>
    </row>
    <row r="23" spans="2:8" x14ac:dyDescent="0.25">
      <c r="B23" s="10" t="s">
        <v>433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434</v>
      </c>
    </row>
    <row r="24" spans="2:8" x14ac:dyDescent="0.25">
      <c r="B24" s="10" t="s">
        <v>362</v>
      </c>
      <c r="C24" s="74">
        <v>-5.092003884568414</v>
      </c>
      <c r="D24" s="75">
        <v>3.0884637081798294</v>
      </c>
      <c r="E24" s="75">
        <v>16.01164699867773</v>
      </c>
      <c r="F24" s="75">
        <v>26.21020507099538</v>
      </c>
      <c r="G24" s="75">
        <v>30.598664919346167</v>
      </c>
      <c r="H24" s="68" t="s">
        <v>435</v>
      </c>
    </row>
    <row r="25" spans="2:8" x14ac:dyDescent="0.25">
      <c r="B25" s="10" t="s">
        <v>436</v>
      </c>
      <c r="C25" s="76" t="str">
        <f>IF('5-Year Operating Stmt'!B16&gt;=0,"✓ Break-even","")</f>
        <v>0</v>
      </c>
      <c r="D25" s="76" t="str">
        <f>IF(AND('5-Year Operating Stmt'!C16&gt;=0,'5-Year Operating Stmt'!B16&lt;0),"✓ Break-even","")</f>
        <v>0</v>
      </c>
      <c r="E25" s="41" t="str">
        <f>IF(AND('5-Year Operating Stmt'!D16&gt;=0,'5-Year Operating Stmt'!C16&lt;0),"✓ Break-even","")</f>
        <v>✓ Break-even</v>
      </c>
      <c r="F25" s="76" t="str">
        <f>IF(AND('5-Year Operating Stmt'!E16&gt;=0,'5-Year Operating Stmt'!D16&lt;0),"✓ Break-even","")</f>
        <v>0</v>
      </c>
      <c r="G25" s="76" t="str">
        <f>IF(AND('5-Year Operating Stmt'!F16&gt;=0,'5-Year Operating Stmt'!E16&lt;0),"✓ Break-even","")</f>
        <v>0</v>
      </c>
      <c r="H25" s="68" t="s">
        <v>415</v>
      </c>
    </row>
    <row r="26" spans="2:8" x14ac:dyDescent="0.25">
      <c r="B26" s="10" t="s">
        <v>437</v>
      </c>
      <c r="C26" s="77">
        <v>-1</v>
      </c>
      <c r="D26" s="77">
        <v>0</v>
      </c>
      <c r="E26" s="77">
        <v>2</v>
      </c>
      <c r="F26" s="77">
        <v>6</v>
      </c>
      <c r="G26" s="77">
        <v>10</v>
      </c>
      <c r="H26" s="68" t="s">
        <v>438</v>
      </c>
    </row>
    <row r="27" spans="2:8" x14ac:dyDescent="0.25">
      <c r="B27" s="10" t="s">
        <v>365</v>
      </c>
      <c r="C27" s="77">
        <v>0</v>
      </c>
      <c r="D27" s="77">
        <v>0</v>
      </c>
      <c r="E27" s="78">
        <v>71</v>
      </c>
      <c r="F27" s="73">
        <v>181</v>
      </c>
      <c r="G27" s="73">
        <v>302</v>
      </c>
      <c r="H27" s="68" t="s">
        <v>439</v>
      </c>
    </row>
    <row r="29" ht="24" customHeight="1" spans="2:8" x14ac:dyDescent="0.25">
      <c r="B29" s="19" t="s">
        <v>440</v>
      </c>
      <c r="C29" s="19" t="s">
        <v>441</v>
      </c>
      <c r="D29" s="19" t="s">
        <v>442</v>
      </c>
      <c r="E29" s="19"/>
      <c r="F29" s="19" t="s">
        <v>443</v>
      </c>
      <c r="G29" s="19"/>
      <c r="H29" s="19"/>
    </row>
    <row r="30" ht="45" customHeight="1" spans="2:8" x14ac:dyDescent="0.25">
      <c r="B30" s="42" t="s">
        <v>444</v>
      </c>
      <c r="C30" s="79" t="s">
        <v>445</v>
      </c>
      <c r="D30" s="80" t="s">
        <v>446</v>
      </c>
      <c r="E30" s="80"/>
      <c r="F30" s="81" t="s">
        <v>447</v>
      </c>
      <c r="G30" s="81"/>
      <c r="H30" s="81"/>
    </row>
    <row r="31" ht="45" customHeight="1" spans="2:8" x14ac:dyDescent="0.25">
      <c r="B31" s="42" t="s">
        <v>448</v>
      </c>
      <c r="C31" s="82" t="s">
        <v>449</v>
      </c>
      <c r="D31" s="80" t="s">
        <v>450</v>
      </c>
      <c r="E31" s="80"/>
      <c r="F31" s="81" t="s">
        <v>451</v>
      </c>
      <c r="G31" s="81"/>
      <c r="H31" s="81"/>
    </row>
    <row r="32" ht="45" customHeight="1" spans="2:8" x14ac:dyDescent="0.25">
      <c r="B32" s="42" t="s">
        <v>452</v>
      </c>
      <c r="C32" s="41" t="s">
        <v>453</v>
      </c>
      <c r="D32" s="80" t="s">
        <v>454</v>
      </c>
      <c r="E32" s="80"/>
      <c r="F32" s="81" t="s">
        <v>455</v>
      </c>
      <c r="G32" s="81"/>
      <c r="H32" s="81"/>
    </row>
    <row r="33" ht="45" customHeight="1" spans="2:8" x14ac:dyDescent="0.25">
      <c r="B33" s="42" t="s">
        <v>456</v>
      </c>
      <c r="C33" s="41" t="s">
        <v>453</v>
      </c>
      <c r="D33" s="80" t="s">
        <v>457</v>
      </c>
      <c r="E33" s="80"/>
      <c r="F33" s="81" t="s">
        <v>458</v>
      </c>
      <c r="G33" s="81"/>
      <c r="H33" s="81"/>
    </row>
    <row r="34" ht="45" customHeight="1" spans="2:8" x14ac:dyDescent="0.25">
      <c r="B34" s="42" t="s">
        <v>459</v>
      </c>
      <c r="C34" s="41" t="s">
        <v>453</v>
      </c>
      <c r="D34" s="80" t="s">
        <v>460</v>
      </c>
      <c r="E34" s="80"/>
      <c r="F34" s="81" t="s">
        <v>461</v>
      </c>
      <c r="G34" s="81"/>
      <c r="H34" s="81"/>
    </row>
    <row r="35" ht="45" customHeight="1" spans="2:8" x14ac:dyDescent="0.25">
      <c r="B35" s="42" t="s">
        <v>462</v>
      </c>
      <c r="C35" s="41" t="s">
        <v>453</v>
      </c>
      <c r="D35" s="80" t="s">
        <v>463</v>
      </c>
      <c r="E35" s="80"/>
      <c r="F35" s="81" t="s">
        <v>464</v>
      </c>
      <c r="G35" s="81"/>
      <c r="H35" s="81"/>
    </row>
    <row r="36" ht="45" customHeight="1" spans="2:8" x14ac:dyDescent="0.25">
      <c r="B36" s="42" t="s">
        <v>465</v>
      </c>
      <c r="C36" s="41" t="s">
        <v>453</v>
      </c>
      <c r="D36" s="80" t="s">
        <v>466</v>
      </c>
      <c r="E36" s="80"/>
      <c r="F36" s="81" t="s">
        <v>467</v>
      </c>
      <c r="G36" s="81"/>
      <c r="H36" s="81"/>
    </row>
    <row r="38" spans="2:6" x14ac:dyDescent="0.25">
      <c r="B38" s="42" t="s">
        <v>468</v>
      </c>
      <c r="C38" s="10" t="s">
        <v>469</v>
      </c>
      <c r="D38" s="10"/>
      <c r="E38" s="10"/>
      <c r="F38" s="10"/>
    </row>
    <row r="40" spans="2:8" x14ac:dyDescent="0.25">
      <c r="B40" s="83" t="s">
        <v>470</v>
      </c>
      <c r="C40" s="83"/>
      <c r="D40" s="83"/>
      <c r="E40" s="83"/>
      <c r="F40" s="83"/>
      <c r="G40" s="83"/>
      <c r="H40" s="8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2026-03-27T03:26:00Z</dcterms:created>
  <dcterms:modified xsi:type="dcterms:W3CDTF">2026-03-27T03:26:00Z</dcterms:modified>
</cp:coreProperties>
</file>