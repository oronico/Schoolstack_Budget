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Decision History" state="visible" r:id="rId27"/>
  </sheets>
  <calcPr calcId="171027" fullCalcOnLoad="1"/>
</workbook>
</file>

<file path=xl/sharedStrings.xml><?xml version="1.0" encoding="utf-8"?>
<sst xmlns="http://schemas.openxmlformats.org/spreadsheetml/2006/main" count="908" uniqueCount="509">
  <si>
    <t>How to Use This Workbook</t>
  </si>
  <si>
    <t>Civic Scholars Charter</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</si>
  <si>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</si>
  <si>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</si>
  <si>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</si>
  <si>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</si>
  <si>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</si>
  <si>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</si>
  <si>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</si>
  <si>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</si>
  <si>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</si>
  <si>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</si>
  <si>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</si>
  <si>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</si>
  <si>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</si>
  <si>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</si>
  <si>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</si>
  <si>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</si>
  <si>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</si>
  <si>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</si>
  <si>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</si>
  <si>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</si>
  <si>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</si>
  <si>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</si>
  <si>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</si>
  <si>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</si>
  <si>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</si>
  <si>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</si>
  <si>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</si>
  <si>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</si>
  <si>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</si>
  <si>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</si>
  <si>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</si>
  <si>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</si>
  <si>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Charter School</t>
  </si>
  <si>
    <t>Entity Type</t>
  </si>
  <si>
    <t>501(c)(3) Nonprofit</t>
  </si>
  <si>
    <t>State</t>
  </si>
  <si>
    <t>OH</t>
  </si>
  <si>
    <t>Fiscal Year Start</t>
  </si>
  <si>
    <t>Month 7</t>
  </si>
  <si>
    <t>Model Date</t>
  </si>
  <si>
    <t>April 29, 2026</t>
  </si>
  <si>
    <t>Stage</t>
  </si>
  <si>
    <t>Startup / Pre-Opening</t>
  </si>
  <si>
    <t>Funding Profile</t>
  </si>
  <si>
    <t>Public Funded (Charter)</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</si>
  <si>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</si>
  <si>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</si>
  <si>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</si>
  <si>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</si>
  <si>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</si>
  <si>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</si>
  <si>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</si>
  <si>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</si>
  <si>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</si>
  <si>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</si>
  <si>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</si>
  <si>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</si>
  <si>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</si>
  <si>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</si>
  <si>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</si>
  <si>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</si>
  <si>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</si>
  <si>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</si>
  <si>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</si>
  <si>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</si>
  <si>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</si>
  <si>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</si>
  <si>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</si>
  <si>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</si>
  <si>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</si>
  <si>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</si>
  <si>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</si>
  <si>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</si>
  <si>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</si>
  <si>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</si>
  <si>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</si>
  <si>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</si>
  <si>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</si>
  <si>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</si>
  <si>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</si>
  <si>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</si>
  <si>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</si>
  <si>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</si>
  <si>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</si>
  <si>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</si>
  <si>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</si>
  <si>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</si>
  <si>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</si>
  <si>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</si>
  <si>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</si>
  <si>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</si>
  <si>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</si>
  <si>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</si>
  <si>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Civic Scholars Charter - Assumptions</t>
  </si>
  <si>
    <t>Editable assumption — change this value</t>
  </si>
  <si>
    <t>Calculated — driven by formula</t>
  </si>
  <si>
    <t>SCHOOL PROFILE</t>
  </si>
  <si>
    <t>EIN</t>
  </si>
  <si>
    <t>31-5551234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</si>
  <si>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</si>
  <si>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</si>
  <si>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</si>
  <si>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</si>
  <si>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</si>
  <si>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</si>
  <si>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</si>
  <si>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</si>
  <si>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</si>
  <si>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</si>
  <si>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</si>
  <si>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</si>
  <si>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</si>
  <si>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</si>
  <si>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</si>
  <si>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</si>
  <si>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State Per-Pupil Funding</t>
  </si>
  <si>
    <t>Public Funding</t>
  </si>
  <si>
    <t>Per Student</t>
  </si>
  <si>
    <t>Default</t>
  </si>
  <si>
    <t>Federal Title I</t>
  </si>
  <si>
    <t>Special Education Funding</t>
  </si>
  <si>
    <t>CSP Startup Grant</t>
  </si>
  <si>
    <t>Philanthropy</t>
  </si>
  <si>
    <t>Annual Fixed</t>
  </si>
  <si>
    <t>Annual Fundraising</t>
  </si>
  <si>
    <t>Food Service Revenue</t>
  </si>
  <si>
    <t>Other Revenue</t>
  </si>
  <si>
    <t>STAFFING</t>
  </si>
  <si>
    <t>Role</t>
  </si>
  <si>
    <t>Type</t>
  </si>
  <si>
    <t>FTE</t>
  </si>
  <si>
    <t>Rate</t>
  </si>
  <si>
    <t>Benefits %</t>
  </si>
  <si>
    <t>Tax %</t>
  </si>
  <si>
    <t>Executive Director</t>
  </si>
  <si>
    <t>School Leadership</t>
  </si>
  <si>
    <t>full_time</t>
  </si>
  <si>
    <t>Principal</t>
  </si>
  <si>
    <t>Dean of Students</t>
  </si>
  <si>
    <t>Core Teachers</t>
  </si>
  <si>
    <t>Instructional</t>
  </si>
  <si>
    <t>Special Education Teacher</t>
  </si>
  <si>
    <t>Instructional Aides</t>
  </si>
  <si>
    <t>Operations Manager</t>
  </si>
  <si>
    <t>Operations</t>
  </si>
  <si>
    <t>Office Staff</t>
  </si>
  <si>
    <t>Administrative</t>
  </si>
  <si>
    <t>School Counselor</t>
  </si>
  <si>
    <t>Student Support</t>
  </si>
  <si>
    <t>OPERATING EXPENSES</t>
  </si>
  <si>
    <t>Facility Lease</t>
  </si>
  <si>
    <t>Occupancy / Facility</t>
  </si>
  <si>
    <t>Monthly</t>
  </si>
  <si>
    <t>Utilities</t>
  </si>
  <si>
    <t>Insurance</t>
  </si>
  <si>
    <t>Janitorial</t>
  </si>
  <si>
    <t>Curriculum &amp; Textbooks</t>
  </si>
  <si>
    <t>Instructional / Program</t>
  </si>
  <si>
    <t>Technology &amp; Devices</t>
  </si>
  <si>
    <t>Technology</t>
  </si>
  <si>
    <t>Marketing &amp; Recruitment</t>
  </si>
  <si>
    <t>Administrative / General</t>
  </si>
  <si>
    <t>Professional Development</t>
  </si>
  <si>
    <t>Legal &amp; Compliance</t>
  </si>
  <si>
    <t>Food Service</t>
  </si>
  <si>
    <t>Transportation</t>
  </si>
  <si>
    <t>CAPITAL &amp; DEBT</t>
  </si>
  <si>
    <t>Instrument</t>
  </si>
  <si>
    <t>Term (Yrs)</t>
  </si>
  <si>
    <t>Facility Improvement Loan</t>
  </si>
  <si>
    <t>Loan</t>
  </si>
  <si>
    <t>FF&amp;E Purchase</t>
  </si>
  <si>
    <t>Capital</t>
  </si>
  <si>
    <t>Technology Infrastructure</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</si>
  <si>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</si>
  <si>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</si>
  <si>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</si>
  <si>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</si>
  <si>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</si>
  <si>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</si>
  <si>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</si>
  <si>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</si>
  <si>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</si>
  <si>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</si>
  <si>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</si>
  <si>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</si>
  <si>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</si>
  <si>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</si>
  <si>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</si>
  <si>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</si>
  <si>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</si>
  <si>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</si>
  <si>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</si>
  <si>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</si>
  <si>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</si>
  <si>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</si>
  <si>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</si>
  <si>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</si>
  <si>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charter</t>
  </si>
  <si>
    <t>Financial Label Convention</t>
  </si>
  <si>
    <t>Nonprofit (Change in Net Assets / Net Assets)</t>
  </si>
  <si>
    <t>Funding Mix</t>
  </si>
  <si>
    <t>7</t>
  </si>
  <si>
    <t>Year 1 Operating Months</t>
  </si>
  <si>
    <t>10</t>
  </si>
  <si>
    <t>Proration Factor</t>
  </si>
  <si>
    <t>83.3%</t>
  </si>
  <si>
    <t>400</t>
  </si>
  <si>
    <t>Accredited</t>
  </si>
  <si>
    <t>No</t>
  </si>
  <si>
    <t>Location</t>
  </si>
  <si>
    <t>789 Elm Blvd, Columbus, OH 43215</t>
  </si>
  <si>
    <t>Facility</t>
  </si>
  <si>
    <t>Leased</t>
  </si>
  <si>
    <t>TOTAL ENROLLMENT</t>
  </si>
  <si>
    <t>Capacity Utilization</t>
  </si>
  <si>
    <t>-</t>
  </si>
  <si>
    <t>Tuition &amp; Funding Drivers</t>
  </si>
  <si>
    <t>PUBLIC FUNDING</t>
  </si>
  <si>
    <t>Total Public Funding</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</si>
  <si>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</si>
  <si>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</si>
  <si>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</si>
  <si>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</si>
  <si>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</si>
  <si>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</si>
  <si>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</si>
  <si>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</si>
  <si>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</si>
  <si>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</si>
  <si>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</si>
  <si>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</si>
  <si>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</si>
  <si>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 &amp; Textbooks</t>
  </si>
  <si>
    <t>Total Instructional / Program</t>
  </si>
  <si>
    <t xml:space="preserve">  Technology &amp; Devices</t>
  </si>
  <si>
    <t>Total Technology</t>
  </si>
  <si>
    <t xml:space="preserve">  Facility Lease</t>
  </si>
  <si>
    <t xml:space="preserve">  Utilities</t>
  </si>
  <si>
    <t xml:space="preserve">  Insurance</t>
  </si>
  <si>
    <t xml:space="preserve">  Janitorial</t>
  </si>
  <si>
    <t>Total Occupancy / Facility</t>
  </si>
  <si>
    <t xml:space="preserve">  Marketing &amp; Recruitment</t>
  </si>
  <si>
    <t xml:space="preserve">  Professional Development</t>
  </si>
  <si>
    <t xml:space="preserve">  Legal &amp; Compliance</t>
  </si>
  <si>
    <t xml:space="preserve">  Food Service</t>
  </si>
  <si>
    <t xml:space="preserve">  Transportation</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</si>
  <si>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</si>
  <si>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</si>
  <si>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</si>
  <si>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</si>
  <si>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</si>
  <si>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</si>
  <si>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</si>
  <si>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</si>
  <si>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</si>
  <si>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</si>
  <si>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</si>
  <si>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</si>
  <si>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Core Teachers [1:22]</t>
  </si>
  <si>
    <t xml:space="preserve">  Special Education Teacher [1 FTE]</t>
  </si>
  <si>
    <t xml:space="preserve">  Instructional Aides [3 FTE]</t>
  </si>
  <si>
    <t>Total Instructional</t>
  </si>
  <si>
    <t xml:space="preserve">  Executive Director [1 FTE]</t>
  </si>
  <si>
    <t xml:space="preserve">  Principal [1 FTE]</t>
  </si>
  <si>
    <t xml:space="preserve">  Dean of Students [1 FTE]</t>
  </si>
  <si>
    <t>Total School Leadership</t>
  </si>
  <si>
    <t xml:space="preserve">  School Counselor [1 FTE]</t>
  </si>
  <si>
    <t>Total Student Support</t>
  </si>
  <si>
    <t xml:space="preserve">  Operations Manager [1 FTE]</t>
  </si>
  <si>
    <t>Total Operations</t>
  </si>
  <si>
    <t xml:space="preserve">  Office Staff [2 FTE]</t>
  </si>
  <si>
    <t>Total Administrative</t>
  </si>
  <si>
    <t>TOTAL PERSONNEL</t>
  </si>
  <si>
    <t>Civic Scholars Charter - Budget Detail</t>
  </si>
  <si>
    <t>REVENUE</t>
  </si>
  <si>
    <t xml:space="preserve">  State Per-Pupil Funding</t>
  </si>
  <si>
    <t xml:space="preserve">  Federal Title I</t>
  </si>
  <si>
    <t xml:space="preserve">  Special Education Funding</t>
  </si>
  <si>
    <t xml:space="preserve">  CSP Startup Grant</t>
  </si>
  <si>
    <t xml:space="preserve">  Annual Fundraising</t>
  </si>
  <si>
    <t xml:space="preserve">  Food Service Revenue</t>
  </si>
  <si>
    <t>Total Revenue</t>
  </si>
  <si>
    <t>PERSONNEL</t>
  </si>
  <si>
    <t xml:space="preserve">  Executive Director</t>
  </si>
  <si>
    <t xml:space="preserve">  Principal</t>
  </si>
  <si>
    <t xml:space="preserve">  Dean of Students</t>
  </si>
  <si>
    <t xml:space="preserve">  Core Teachers</t>
  </si>
  <si>
    <t xml:space="preserve">  Special Education Teacher</t>
  </si>
  <si>
    <t xml:space="preserve">  Instructional Aides</t>
  </si>
  <si>
    <t xml:space="preserve">  Operations Manager</t>
  </si>
  <si>
    <t xml:space="preserve">  Office Staff</t>
  </si>
  <si>
    <t xml:space="preserve">  School Counselor</t>
  </si>
  <si>
    <t xml:space="preserve">    Curriculum &amp; Textbooks</t>
  </si>
  <si>
    <t xml:space="preserve">    Technology &amp; Devices</t>
  </si>
  <si>
    <t xml:space="preserve">    Facility Lease</t>
  </si>
  <si>
    <t xml:space="preserve">    Utilities</t>
  </si>
  <si>
    <t xml:space="preserve">    Insurance</t>
  </si>
  <si>
    <t xml:space="preserve">    Janitorial</t>
  </si>
  <si>
    <t xml:space="preserve">  Total Occupancy / Facility</t>
  </si>
  <si>
    <t xml:space="preserve">    Marketing &amp; Recruitment</t>
  </si>
  <si>
    <t xml:space="preserve">    Professional Development</t>
  </si>
  <si>
    <t xml:space="preserve">    Legal &amp; Compliance</t>
  </si>
  <si>
    <t xml:space="preserve">    Food Service</t>
  </si>
  <si>
    <t xml:space="preserve">    Transportation</t>
  </si>
  <si>
    <t xml:space="preserve">  Total Administrative / General</t>
  </si>
  <si>
    <t>Total Operating Expenses</t>
  </si>
  <si>
    <t>CAPITAL &amp; DEBT SERVICE</t>
  </si>
  <si>
    <t xml:space="preserve">  Facility Improvement Loan</t>
  </si>
  <si>
    <t xml:space="preserve">  FF&amp;E Purchase</t>
  </si>
  <si>
    <t xml:space="preserve">  Technology Infrastructure</t>
  </si>
  <si>
    <t>Total Capital &amp; Debt</t>
  </si>
  <si>
    <t>Civic Scholars Charter - Budget Summary</t>
  </si>
  <si>
    <t>Total Capital &amp; Debt Service</t>
  </si>
  <si>
    <t>Total Expenses</t>
  </si>
  <si>
    <t>KEY METRICS</t>
  </si>
  <si>
    <t>Change in Net Assets</t>
  </si>
  <si>
    <t>Net Margin %</t>
  </si>
  <si>
    <t>Cumulative Change in Net Assets</t>
  </si>
  <si>
    <t>Cost per Student</t>
  </si>
  <si>
    <t>Civic Scholars Charter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</si>
  <si>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</si>
  <si>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</si>
  <si>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</si>
  <si>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</si>
  <si>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</si>
  <si>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</si>
  <si>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</si>
  <si>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</si>
  <si>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</si>
  <si>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</si>
  <si>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</si>
  <si>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</si>
  <si>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</si>
  <si>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</si>
  <si>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</si>
  <si>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</si>
  <si>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</si>
  <si>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</si>
  <si>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</si>
  <si>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</si>
  <si>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</si>
  <si>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</si>
  <si>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</si>
  <si>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June (Month 12)</t>
  </si>
  <si>
    <t>Your lowest cash point is the month lenders focus on to ensure you won't run out of money before collections start. Plan reserves to cover this trough.</t>
  </si>
  <si>
    <t>Civic Scholars Charter - 5-Year Operating Statement</t>
  </si>
  <si>
    <t>Projections prepared on an accrual basis. School currently keeps books on a undetermined basis.</t>
  </si>
  <si>
    <t>Capital &amp; Debt Service</t>
  </si>
  <si>
    <t>Depreciation</t>
  </si>
  <si>
    <t>BOTTOM LINE</t>
  </si>
  <si>
    <t>Cumulative Profit</t>
  </si>
  <si>
    <t>Break-even</t>
  </si>
  <si>
    <t>✓ Break-even</t>
  </si>
  <si>
    <t>LOAN TERMS</t>
  </si>
  <si>
    <t>Loan Name</t>
  </si>
  <si>
    <t>Annual Rate</t>
  </si>
  <si>
    <t>Term (Years)</t>
  </si>
  <si>
    <t>AMORTIZATION: Facility Improvement Loan</t>
  </si>
  <si>
    <t>Beginning Balance</t>
  </si>
  <si>
    <t>Interest</t>
  </si>
  <si>
    <t>Principal Payment</t>
  </si>
  <si>
    <t>Total Payment</t>
  </si>
  <si>
    <t>Ending Balance</t>
  </si>
  <si>
    <t>Civic Scholars Charter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</si>
  <si>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</si>
  <si>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</si>
  <si>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</si>
  <si>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</si>
  <si>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</si>
  <si>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</si>
  <si>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</si>
  <si>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</si>
  <si>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</si>
  <si>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</si>
  <si>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</si>
  <si>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</si>
  <si>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</si>
  <si>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</si>
  <si>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</si>
  <si>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</si>
  <si>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</si>
  <si>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</si>
  <si>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</si>
  <si>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</si>
  <si>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</si>
  <si>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</si>
  <si>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</si>
  <si>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Days Cash on Hand</t>
  </si>
  <si>
    <t>Months of Runway</t>
  </si>
  <si>
    <t>BREAK-EVEN ANALYSIS</t>
  </si>
  <si>
    <t>Fixed Costs (Pers + Debt)</t>
  </si>
  <si>
    <t>Variable Cost per Student (OpEx)</t>
  </si>
  <si>
    <t>Break-Even Enrollment</t>
  </si>
  <si>
    <t>COVENANT CHECKS</t>
  </si>
  <si>
    <t>DSCR ≥ 1.15x</t>
  </si>
  <si>
    <t>FAIL</t>
  </si>
  <si>
    <t>PASS</t>
  </si>
  <si>
    <t>Positive Net Income</t>
  </si>
  <si>
    <t>Current Ratio ≥ 1.1x</t>
  </si>
  <si>
    <t>Capacity ≥ 7000%</t>
  </si>
  <si>
    <t>Cash Reserve ≥ 2 months</t>
  </si>
  <si>
    <t>Days Cash ≥ 45</t>
  </si>
  <si>
    <t>SOURCES</t>
  </si>
  <si>
    <t>USES</t>
  </si>
  <si>
    <t>Facility Buildout</t>
  </si>
  <si>
    <t>FF&amp;E</t>
  </si>
  <si>
    <t>Capital Campaign Gifts</t>
  </si>
  <si>
    <t>Technology Setup</t>
  </si>
  <si>
    <t>Pre-Opening Staffing</t>
  </si>
  <si>
    <t>Working Capital</t>
  </si>
  <si>
    <t>Total Sources</t>
  </si>
  <si>
    <t>Total Uses</t>
  </si>
  <si>
    <t>Sources - Uses (should = 0)</t>
  </si>
  <si>
    <t>Scenario Analysis</t>
  </si>
  <si>
    <t>BASE CASE</t>
  </si>
  <si>
    <t>Enrollment: +0%  |  Revenue: +0%  |  Staffing: +0%  |  Facility: +0%  |  Expenses: +0%</t>
  </si>
  <si>
    <t>SLOW RAMP</t>
  </si>
  <si>
    <t>Enrollment: -25%  |  Revenue: +0%  |  Staffing: +0%  |  Facility: +0%  |  Expenses: +0%</t>
  </si>
  <si>
    <t>FUNDING CUT</t>
  </si>
  <si>
    <t>Enrollment: +0%  |  Revenue: -5%  |  Staffing: +0%  |  Facility: +0%  |  Expenses: +0%</t>
  </si>
  <si>
    <t>COST OVERRUN</t>
  </si>
  <si>
    <t>Enrollment: +0%  |  Revenue: +0%  |  Staffing: +0%  |  Facility: +0%  |  Expenses: +15%</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</si>
  <si>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</si>
  <si>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</si>
  <si>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</si>
  <si>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</si>
  <si>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</si>
  <si>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</si>
  <si>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</si>
  <si>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</si>
  <si>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</si>
  <si>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</si>
  <si>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Civic Scholars Charter — Financial Health Dashboard</t>
  </si>
  <si>
    <t>Generated April 29,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</si>
  <si>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</si>
  <si>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</si>
  <si>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</si>
  <si>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</si>
  <si>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</si>
  <si>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</si>
  <si>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</si>
  <si>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</si>
  <si>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</si>
  <si>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</si>
  <si>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</si>
  <si>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</si>
  <si>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</si>
  <si>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</si>
  <si>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</si>
  <si>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</si>
  <si>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</si>
  <si>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</si>
  <si>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</si>
  <si>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</si>
  <si>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</si>
  <si>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</si>
  <si>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</si>
  <si>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</si>
  <si>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</si>
  <si>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</si>
  <si>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 24 months</t>
  </si>
  <si>
    <t>≥ 90 days</t>
  </si>
  <si>
    <t>FINANCIAL HEALTH SIGNALS</t>
  </si>
  <si>
    <t>Status</t>
  </si>
  <si>
    <t>Assessment</t>
  </si>
  <si>
    <t>Watch Item</t>
  </si>
  <si>
    <t>Viability</t>
  </si>
  <si>
    <t>◐ Watch closely</t>
  </si>
  <si>
    <t>The model reaches break-even by Year 3, but margins remain thin. A revenue shortfall could push it negative.</t>
  </si>
  <si>
    <t>Track monthly revenue vs. budget and have a contingency plan if you miss targets.</t>
  </si>
  <si>
    <t>Liquidity</t>
  </si>
  <si>
    <t>○ Needs attention</t>
  </si>
  <si>
    <t>Cash goes negative in month 1. The school will need outside funding to continue operating.</t>
  </si>
  <si>
    <t>Secure a line of credit or bridge funding before operations begin.</t>
  </si>
  <si>
    <t>Staffing Burden</t>
  </si>
  <si>
    <t>● Healthy</t>
  </si>
  <si>
    <t>Staffing at 44%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</si>
  <si>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</si>
  <si>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</si>
  <si>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</si>
  <si>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</si>
  <si>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</si>
  <si>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30.60x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</si>
  <si>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</si>
  <si>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</si>
  <si>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</si>
  <si>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</si>
  <si>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</si>
  <si>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9.9 months of reserves by Year 5 — a strong buffer for unexpected costs.</t>
  </si>
  <si>
    <t>Continue growing reserves toward 6 months for best-in-class financial health.</t>
  </si>
  <si>
    <t>Summary</t>
  </si>
  <si>
    <t>5 Healthy  |  1 Watch  |  1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</si>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</sst>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6"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color rgb="FFDC2626"/>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EF2F2"/>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90">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165" fontId="16" fillId="7" borderId="1" xfId="0" applyNumberFormat="1" applyFont="1" applyFill="1" applyBorder="1"/>
    <xf numFmtId="0" fontId="17" fillId="0" borderId="0" xfId="0" applyFont="1"/>
    <xf numFmtId="0" fontId="18" fillId="0" borderId="0" xfId="0" applyFont="1"/>
    <xf numFmtId="0" fontId="9" fillId="0" borderId="3" xfId="0" applyFont="1" applyBorder="1"/>
    <xf numFmtId="0" fontId="0" fillId="0" borderId="1" xfId="0" applyBorder="1" applyAlignment="1">
      <alignment horizontal="center"/>
    </xf>
    <xf numFmtId="0" fontId="19" fillId="0" borderId="1" xfId="0" applyFont="1"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20" fillId="0" borderId="1" xfId="0" applyNumberFormat="1" applyFont="1" applyBorder="1"/>
    <xf numFmtId="165" fontId="21" fillId="0" borderId="1" xfId="0" applyNumberFormat="1" applyFont="1" applyBorder="1"/>
    <xf numFmtId="168" fontId="9" fillId="3" borderId="1" xfId="0" applyNumberFormat="1" applyFont="1" applyFill="1" applyBorder="1"/>
    <xf numFmtId="164" fontId="9" fillId="3" borderId="1" xfId="0" applyNumberFormat="1" applyFont="1" applyFill="1" applyBorder="1"/>
    <xf numFmtId="0" fontId="21" fillId="0" borderId="1" xfId="0" applyFont="1" applyBorder="1" applyAlignment="1">
      <alignment horizontal="center"/>
    </xf>
    <xf numFmtId="0" fontId="20"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2" fillId="0" borderId="0" xfId="0" applyFont="1"/>
    <xf numFmtId="0" fontId="19" fillId="0" borderId="0" xfId="0" applyFont="1"/>
    <xf numFmtId="0" fontId="23" fillId="0" borderId="0" xfId="0" applyFont="1"/>
    <xf numFmtId="0" fontId="24"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8" borderId="3" xfId="0" applyNumberFormat="1" applyFont="1" applyFill="1" applyBorder="1" applyAlignment="1">
      <alignment horizontal="right"/>
    </xf>
    <xf numFmtId="165" fontId="9" fillId="3" borderId="3" xfId="0" applyNumberFormat="1" applyFont="1" applyFill="1" applyBorder="1" applyAlignment="1">
      <alignment horizontal="right"/>
    </xf>
    <xf numFmtId="166" fontId="9" fillId="8" borderId="3" xfId="0" applyNumberFormat="1" applyFont="1" applyFill="1" applyBorder="1" applyAlignment="1">
      <alignment horizontal="right"/>
    </xf>
    <xf numFmtId="166" fontId="9" fillId="9"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2" fillId="0" borderId="1" xfId="0" applyFont="1" applyBorder="1"/>
    <xf numFmtId="165" fontId="9" fillId="0" borderId="1" xfId="0" applyNumberFormat="1" applyFont="1" applyBorder="1" applyAlignment="1">
      <alignment horizontal="right"/>
    </xf>
    <xf numFmtId="165" fontId="6" fillId="9" borderId="1" xfId="0" applyNumberFormat="1" applyFont="1" applyFill="1" applyBorder="1" applyAlignment="1">
      <alignment horizontal="right"/>
    </xf>
    <xf numFmtId="165" fontId="9" fillId="8" borderId="1" xfId="0" applyNumberFormat="1" applyFont="1" applyFill="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8" fontId="9" fillId="8" borderId="3" xfId="0" applyNumberFormat="1" applyFont="1" applyFill="1" applyBorder="1" applyAlignment="1">
      <alignment horizontal="right"/>
    </xf>
    <xf numFmtId="168" fontId="9" fillId="3" borderId="3" xfId="0" applyNumberFormat="1" applyFont="1" applyFill="1" applyBorder="1" applyAlignment="1">
      <alignment horizontal="right"/>
    </xf>
    <xf numFmtId="0" fontId="6" fillId="0" borderId="1" xfId="0" applyFont="1" applyBorder="1" applyAlignment="1">
      <alignment horizontal="center"/>
    </xf>
    <xf numFmtId="164" fontId="9" fillId="8" borderId="3" xfId="0" applyNumberFormat="1" applyFont="1" applyFill="1" applyBorder="1" applyAlignment="1">
      <alignment horizontal="right"/>
    </xf>
    <xf numFmtId="164" fontId="9" fillId="9" borderId="3" xfId="0" applyNumberFormat="1" applyFont="1" applyFill="1" applyBorder="1" applyAlignment="1">
      <alignment horizontal="right"/>
    </xf>
    <xf numFmtId="0" fontId="23" fillId="0" borderId="1" xfId="0" applyFont="1" applyBorder="1" applyAlignment="1">
      <alignment horizontal="center"/>
    </xf>
    <xf numFmtId="0" fontId="6" fillId="0" borderId="1" xfId="0" applyFont="1" applyBorder="1" applyAlignment="1">
      <alignment wrapText="1"/>
    </xf>
    <xf numFmtId="0" fontId="22" fillId="0" borderId="1" xfId="0" applyFont="1" applyBorder="1" applyAlignment="1">
      <alignment wrapText="1"/>
    </xf>
    <xf numFmtId="0" fontId="24" fillId="0" borderId="1" xfId="0" applyFont="1" applyBorder="1" applyAlignment="1">
      <alignment horizontal="center"/>
    </xf>
    <xf numFmtId="0" fontId="25" fillId="0" borderId="0" xfId="0" applyFont="1" applyAlignment="1">
      <alignment horizontal="center"/>
    </xf>
    <xf numFmtId="0" fontId="6" fillId="0" borderId="0" xfId="0" applyFont="1" applyAlignment="1">
      <alignment vertical="top" wrapText="1"/>
    </xf>
    <xf numFmtId="0" fontId="22"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77"/>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400</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120</v>
      </c>
      <c r="C17" s="22">
        <v>200</v>
      </c>
      <c r="D17" s="22">
        <v>300</v>
      </c>
      <c r="E17" s="22">
        <v>375</v>
      </c>
      <c r="F17" s="22">
        <v>400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9500</v>
      </c>
      <c r="E21" s="24">
        <v>0</v>
      </c>
      <c r="F21" s="11" t="s">
        <v>120</v>
      </c>
    </row>
    <row r="22" spans="1:6" x14ac:dyDescent="0.25">
      <c r="A22" s="11" t="s">
        <v>121</v>
      </c>
      <c r="B22" s="11" t="s">
        <v>118</v>
      </c>
      <c r="C22" s="11" t="s">
        <v>119</v>
      </c>
      <c r="D22" s="23">
        <v>800</v>
      </c>
      <c r="E22" s="24">
        <v>0</v>
      </c>
      <c r="F22" s="11" t="s">
        <v>120</v>
      </c>
    </row>
    <row r="23" spans="1:6" x14ac:dyDescent="0.25">
      <c r="A23" s="11" t="s">
        <v>122</v>
      </c>
      <c r="B23" s="11" t="s">
        <v>118</v>
      </c>
      <c r="C23" s="11" t="s">
        <v>119</v>
      </c>
      <c r="D23" s="23">
        <v>1200</v>
      </c>
      <c r="E23" s="24">
        <v>0</v>
      </c>
      <c r="F23" s="11" t="s">
        <v>120</v>
      </c>
    </row>
    <row r="24" spans="1:6" x14ac:dyDescent="0.25">
      <c r="A24" s="11" t="s">
        <v>123</v>
      </c>
      <c r="B24" s="11" t="s">
        <v>124</v>
      </c>
      <c r="C24" s="11" t="s">
        <v>125</v>
      </c>
      <c r="D24" s="23">
        <v>100000</v>
      </c>
      <c r="E24" s="24">
        <v>0</v>
      </c>
      <c r="F24" s="11" t="s">
        <v>120</v>
      </c>
    </row>
    <row r="25" spans="1:6" x14ac:dyDescent="0.25">
      <c r="A25" s="11" t="s">
        <v>126</v>
      </c>
      <c r="B25" s="11" t="s">
        <v>124</v>
      </c>
      <c r="C25" s="11" t="s">
        <v>125</v>
      </c>
      <c r="D25" s="23">
        <v>30000</v>
      </c>
      <c r="E25" s="24">
        <v>0</v>
      </c>
      <c r="F25" s="11" t="s">
        <v>120</v>
      </c>
    </row>
    <row r="26" spans="1:6" x14ac:dyDescent="0.25">
      <c r="A26" s="11" t="s">
        <v>127</v>
      </c>
      <c r="B26" s="11" t="s">
        <v>128</v>
      </c>
      <c r="C26" s="11" t="s">
        <v>119</v>
      </c>
      <c r="D26" s="23">
        <v>300</v>
      </c>
      <c r="E26" s="24">
        <v>0</v>
      </c>
      <c r="F26" s="11" t="s">
        <v>120</v>
      </c>
    </row>
    <row r="28" ht="24" customHeight="1" spans="1:7" x14ac:dyDescent="0.25">
      <c r="A28" s="19" t="s">
        <v>129</v>
      </c>
      <c r="B28" s="19"/>
      <c r="C28" s="19"/>
      <c r="D28" s="19"/>
      <c r="E28" s="19"/>
      <c r="F28" s="19"/>
      <c r="G28" s="19"/>
    </row>
    <row r="29" ht="28" customHeight="1" spans="1:7" x14ac:dyDescent="0.25">
      <c r="A29" s="21" t="s">
        <v>130</v>
      </c>
      <c r="B29" s="21" t="s">
        <v>112</v>
      </c>
      <c r="C29" s="21" t="s">
        <v>131</v>
      </c>
      <c r="D29" s="21" t="s">
        <v>132</v>
      </c>
      <c r="E29" s="21" t="s">
        <v>133</v>
      </c>
      <c r="F29" s="21" t="s">
        <v>134</v>
      </c>
      <c r="G29" s="21" t="s">
        <v>135</v>
      </c>
    </row>
    <row r="30" spans="1:7" x14ac:dyDescent="0.25">
      <c r="A30" s="11" t="s">
        <v>136</v>
      </c>
      <c r="B30" s="11" t="s">
        <v>137</v>
      </c>
      <c r="C30" s="11" t="s">
        <v>138</v>
      </c>
      <c r="D30" s="25">
        <v>1</v>
      </c>
      <c r="E30" s="23">
        <v>110000</v>
      </c>
      <c r="F30" s="24">
        <v>0.28</v>
      </c>
      <c r="G30" s="24">
        <v>0.0765</v>
      </c>
    </row>
    <row r="31" spans="1:7" x14ac:dyDescent="0.25">
      <c r="A31" s="11" t="s">
        <v>139</v>
      </c>
      <c r="B31" s="11" t="s">
        <v>137</v>
      </c>
      <c r="C31" s="11" t="s">
        <v>138</v>
      </c>
      <c r="D31" s="25">
        <v>1</v>
      </c>
      <c r="E31" s="23">
        <v>90000</v>
      </c>
      <c r="F31" s="24">
        <v>0.28</v>
      </c>
      <c r="G31" s="24">
        <v>0.0765</v>
      </c>
    </row>
    <row r="32" spans="1:7" x14ac:dyDescent="0.25">
      <c r="A32" s="11" t="s">
        <v>140</v>
      </c>
      <c r="B32" s="11" t="s">
        <v>137</v>
      </c>
      <c r="C32" s="11" t="s">
        <v>138</v>
      </c>
      <c r="D32" s="25">
        <v>1</v>
      </c>
      <c r="E32" s="23">
        <v>72000</v>
      </c>
      <c r="F32" s="24">
        <v>0.28</v>
      </c>
      <c r="G32" s="24">
        <v>0.0765</v>
      </c>
    </row>
    <row r="33" spans="1:7" x14ac:dyDescent="0.25">
      <c r="A33" s="11" t="s">
        <v>141</v>
      </c>
      <c r="B33" s="11" t="s">
        <v>142</v>
      </c>
      <c r="C33" s="11" t="s">
        <v>138</v>
      </c>
      <c r="D33" s="25">
        <v>6</v>
      </c>
      <c r="E33" s="23">
        <v>52000</v>
      </c>
      <c r="F33" s="24">
        <v>0.28</v>
      </c>
      <c r="G33" s="24">
        <v>0.0765</v>
      </c>
    </row>
    <row r="34" spans="1:7" x14ac:dyDescent="0.25">
      <c r="A34" s="11" t="s">
        <v>143</v>
      </c>
      <c r="B34" s="11" t="s">
        <v>142</v>
      </c>
      <c r="C34" s="11" t="s">
        <v>138</v>
      </c>
      <c r="D34" s="25">
        <v>1</v>
      </c>
      <c r="E34" s="23">
        <v>55000</v>
      </c>
      <c r="F34" s="24">
        <v>0.28</v>
      </c>
      <c r="G34" s="24">
        <v>0.0765</v>
      </c>
    </row>
    <row r="35" spans="1:7" x14ac:dyDescent="0.25">
      <c r="A35" s="11" t="s">
        <v>144</v>
      </c>
      <c r="B35" s="11" t="s">
        <v>142</v>
      </c>
      <c r="C35" s="11" t="s">
        <v>138</v>
      </c>
      <c r="D35" s="25">
        <v>3</v>
      </c>
      <c r="E35" s="23">
        <v>30000</v>
      </c>
      <c r="F35" s="24">
        <v>0.2</v>
      </c>
      <c r="G35" s="24">
        <v>0.0765</v>
      </c>
    </row>
    <row r="36" spans="1:7" x14ac:dyDescent="0.25">
      <c r="A36" s="11" t="s">
        <v>145</v>
      </c>
      <c r="B36" s="11" t="s">
        <v>146</v>
      </c>
      <c r="C36" s="11" t="s">
        <v>138</v>
      </c>
      <c r="D36" s="25">
        <v>1</v>
      </c>
      <c r="E36" s="23">
        <v>55000</v>
      </c>
      <c r="F36" s="24">
        <v>0.28</v>
      </c>
      <c r="G36" s="24">
        <v>0.0765</v>
      </c>
    </row>
    <row r="37" spans="1:7" x14ac:dyDescent="0.25">
      <c r="A37" s="11" t="s">
        <v>147</v>
      </c>
      <c r="B37" s="11" t="s">
        <v>148</v>
      </c>
      <c r="C37" s="11" t="s">
        <v>138</v>
      </c>
      <c r="D37" s="25">
        <v>2</v>
      </c>
      <c r="E37" s="23">
        <v>38000</v>
      </c>
      <c r="F37" s="24">
        <v>0.25</v>
      </c>
      <c r="G37" s="24">
        <v>0.0765</v>
      </c>
    </row>
    <row r="38" spans="1:7" x14ac:dyDescent="0.25">
      <c r="A38" s="11" t="s">
        <v>149</v>
      </c>
      <c r="B38" s="11" t="s">
        <v>150</v>
      </c>
      <c r="C38" s="11" t="s">
        <v>138</v>
      </c>
      <c r="D38" s="25">
        <v>1</v>
      </c>
      <c r="E38" s="23">
        <v>55000</v>
      </c>
      <c r="F38" s="24">
        <v>0.28</v>
      </c>
      <c r="G38" s="24">
        <v>0.0765</v>
      </c>
    </row>
    <row r="40" ht="24" customHeight="1" spans="1:7" x14ac:dyDescent="0.25">
      <c r="A40" s="19" t="s">
        <v>151</v>
      </c>
      <c r="B40" s="19"/>
      <c r="C40" s="19"/>
      <c r="D40" s="19"/>
      <c r="E40" s="19"/>
      <c r="F40" s="19"/>
      <c r="G40" s="19"/>
    </row>
    <row r="41" ht="28" customHeight="1" spans="1:5" x14ac:dyDescent="0.25">
      <c r="A41" s="21" t="s">
        <v>111</v>
      </c>
      <c r="B41" s="21" t="s">
        <v>112</v>
      </c>
      <c r="C41" s="21" t="s">
        <v>113</v>
      </c>
      <c r="D41" s="21" t="s">
        <v>114</v>
      </c>
      <c r="E41" s="21" t="s">
        <v>115</v>
      </c>
    </row>
    <row r="42" spans="1:5" x14ac:dyDescent="0.25">
      <c r="A42" s="11" t="s">
        <v>152</v>
      </c>
      <c r="B42" s="11" t="s">
        <v>153</v>
      </c>
      <c r="C42" s="11" t="s">
        <v>154</v>
      </c>
      <c r="D42" s="23">
        <v>18000</v>
      </c>
      <c r="E42" s="24">
        <v>0.03</v>
      </c>
    </row>
    <row r="43" spans="1:5" x14ac:dyDescent="0.25">
      <c r="A43" s="11" t="s">
        <v>155</v>
      </c>
      <c r="B43" s="11" t="s">
        <v>153</v>
      </c>
      <c r="C43" s="11" t="s">
        <v>154</v>
      </c>
      <c r="D43" s="23">
        <v>2500</v>
      </c>
      <c r="E43" s="24">
        <v>0</v>
      </c>
    </row>
    <row r="44" spans="1:5" x14ac:dyDescent="0.25">
      <c r="A44" s="11" t="s">
        <v>156</v>
      </c>
      <c r="B44" s="11" t="s">
        <v>153</v>
      </c>
      <c r="C44" s="11" t="s">
        <v>125</v>
      </c>
      <c r="D44" s="23">
        <v>18000</v>
      </c>
      <c r="E44" s="24">
        <v>0</v>
      </c>
    </row>
    <row r="45" spans="1:5" x14ac:dyDescent="0.25">
      <c r="A45" s="11" t="s">
        <v>157</v>
      </c>
      <c r="B45" s="11" t="s">
        <v>153</v>
      </c>
      <c r="C45" s="11" t="s">
        <v>154</v>
      </c>
      <c r="D45" s="23">
        <v>1500</v>
      </c>
      <c r="E45" s="24">
        <v>0</v>
      </c>
    </row>
    <row r="46" spans="1:5" x14ac:dyDescent="0.25">
      <c r="A46" s="11" t="s">
        <v>158</v>
      </c>
      <c r="B46" s="11" t="s">
        <v>159</v>
      </c>
      <c r="C46" s="11" t="s">
        <v>119</v>
      </c>
      <c r="D46" s="23">
        <v>700</v>
      </c>
      <c r="E46" s="24">
        <v>0</v>
      </c>
    </row>
    <row r="47" spans="1:5" x14ac:dyDescent="0.25">
      <c r="A47" s="11" t="s">
        <v>160</v>
      </c>
      <c r="B47" s="11" t="s">
        <v>161</v>
      </c>
      <c r="C47" s="11" t="s">
        <v>119</v>
      </c>
      <c r="D47" s="23">
        <v>500</v>
      </c>
      <c r="E47" s="24">
        <v>0</v>
      </c>
    </row>
    <row r="48" spans="1:5" x14ac:dyDescent="0.25">
      <c r="A48" s="11" t="s">
        <v>162</v>
      </c>
      <c r="B48" s="11" t="s">
        <v>163</v>
      </c>
      <c r="C48" s="11" t="s">
        <v>125</v>
      </c>
      <c r="D48" s="23">
        <v>25000</v>
      </c>
      <c r="E48" s="24">
        <v>0</v>
      </c>
    </row>
    <row r="49" spans="1:5" x14ac:dyDescent="0.25">
      <c r="A49" s="11" t="s">
        <v>164</v>
      </c>
      <c r="B49" s="11" t="s">
        <v>163</v>
      </c>
      <c r="C49" s="11" t="s">
        <v>125</v>
      </c>
      <c r="D49" s="23">
        <v>15000</v>
      </c>
      <c r="E49" s="24">
        <v>0</v>
      </c>
    </row>
    <row r="50" spans="1:5" x14ac:dyDescent="0.25">
      <c r="A50" s="11" t="s">
        <v>165</v>
      </c>
      <c r="B50" s="11" t="s">
        <v>163</v>
      </c>
      <c r="C50" s="11" t="s">
        <v>125</v>
      </c>
      <c r="D50" s="23">
        <v>20000</v>
      </c>
      <c r="E50" s="24">
        <v>0</v>
      </c>
    </row>
    <row r="51" spans="1:5" x14ac:dyDescent="0.25">
      <c r="A51" s="11" t="s">
        <v>166</v>
      </c>
      <c r="B51" s="11" t="s">
        <v>163</v>
      </c>
      <c r="C51" s="11" t="s">
        <v>119</v>
      </c>
      <c r="D51" s="23">
        <v>800</v>
      </c>
      <c r="E51" s="24">
        <v>0</v>
      </c>
    </row>
    <row r="52" spans="1:5" x14ac:dyDescent="0.25">
      <c r="A52" s="11" t="s">
        <v>167</v>
      </c>
      <c r="B52" s="11" t="s">
        <v>163</v>
      </c>
      <c r="C52" s="11" t="s">
        <v>119</v>
      </c>
      <c r="D52" s="23">
        <v>600</v>
      </c>
      <c r="E52" s="24">
        <v>0</v>
      </c>
    </row>
    <row r="54" ht="24" customHeight="1" spans="1:7" x14ac:dyDescent="0.25">
      <c r="A54" s="19" t="s">
        <v>168</v>
      </c>
      <c r="B54" s="19"/>
      <c r="C54" s="19"/>
      <c r="D54" s="19"/>
      <c r="E54" s="19"/>
      <c r="F54" s="19"/>
      <c r="G54" s="19"/>
    </row>
    <row r="55" ht="28" customHeight="1" spans="1:5" x14ac:dyDescent="0.25">
      <c r="A55" s="21" t="s">
        <v>169</v>
      </c>
      <c r="B55" s="21" t="s">
        <v>131</v>
      </c>
      <c r="C55" s="21" t="s">
        <v>139</v>
      </c>
      <c r="D55" s="21" t="s">
        <v>133</v>
      </c>
      <c r="E55" s="21" t="s">
        <v>170</v>
      </c>
    </row>
    <row r="56" spans="1:5" x14ac:dyDescent="0.25">
      <c r="A56" s="11" t="s">
        <v>171</v>
      </c>
      <c r="B56" s="11" t="s">
        <v>172</v>
      </c>
      <c r="C56" s="23">
        <v>500000</v>
      </c>
      <c r="D56" s="24">
        <v>0.0575</v>
      </c>
      <c r="E56" s="22">
        <v>15</v>
      </c>
    </row>
    <row r="57" spans="1:5" x14ac:dyDescent="0.25">
      <c r="A57" s="11" t="s">
        <v>173</v>
      </c>
      <c r="B57" s="11" t="s">
        <v>174</v>
      </c>
      <c r="C57" s="23">
        <v>75000</v>
      </c>
      <c r="D57" s="24">
        <v>0</v>
      </c>
      <c r="E57" s="22">
        <v>0</v>
      </c>
    </row>
    <row r="58" spans="1:5" x14ac:dyDescent="0.25">
      <c r="A58" s="11" t="s">
        <v>175</v>
      </c>
      <c r="B58" s="11" t="s">
        <v>174</v>
      </c>
      <c r="C58" s="23">
        <v>40000</v>
      </c>
      <c r="D58" s="24">
        <v>0</v>
      </c>
      <c r="E58" s="22">
        <v>0</v>
      </c>
    </row>
    <row r="60" ht="24" customHeight="1" spans="1:7" x14ac:dyDescent="0.25">
      <c r="A60" s="19" t="s">
        <v>176</v>
      </c>
      <c r="B60" s="19"/>
      <c r="C60" s="19"/>
      <c r="D60" s="19"/>
      <c r="E60" s="19"/>
      <c r="F60" s="19"/>
      <c r="G60" s="19"/>
    </row>
    <row r="61" spans="1:3" x14ac:dyDescent="0.25">
      <c r="A61" s="11" t="s">
        <v>177</v>
      </c>
      <c r="B61" s="24">
        <v>0.03</v>
      </c>
      <c r="C61" s="26" t="s">
        <v>178</v>
      </c>
    </row>
    <row r="62" spans="1:3" x14ac:dyDescent="0.25">
      <c r="A62" s="11" t="s">
        <v>179</v>
      </c>
      <c r="B62" s="24">
        <v>0.03</v>
      </c>
      <c r="C62" s="26" t="s">
        <v>180</v>
      </c>
    </row>
    <row r="63" spans="1:2" x14ac:dyDescent="0.25">
      <c r="A63" s="11" t="s">
        <v>181</v>
      </c>
      <c r="B63" s="25">
        <v>0.8333333333333334</v>
      </c>
    </row>
    <row r="64" spans="1:2" x14ac:dyDescent="0.25">
      <c r="A64" s="11" t="s">
        <v>182</v>
      </c>
      <c r="B64" s="23">
        <v>0</v>
      </c>
    </row>
    <row r="65" spans="1:2" x14ac:dyDescent="0.25">
      <c r="A65" s="11" t="s">
        <v>183</v>
      </c>
      <c r="B65" s="20" t="s">
        <v>184</v>
      </c>
    </row>
    <row r="66" spans="1:2" x14ac:dyDescent="0.25">
      <c r="A66" s="11" t="s">
        <v>185</v>
      </c>
      <c r="B66" s="24">
        <v>0</v>
      </c>
    </row>
    <row r="67" spans="1:2" x14ac:dyDescent="0.25">
      <c r="A67" s="11" t="s">
        <v>186</v>
      </c>
      <c r="B67" s="24">
        <v>0.03</v>
      </c>
    </row>
    <row r="68" spans="1:2" x14ac:dyDescent="0.25">
      <c r="A68" s="11" t="s">
        <v>187</v>
      </c>
      <c r="B68" s="24">
        <v>0.03</v>
      </c>
    </row>
    <row r="69" spans="1:2" x14ac:dyDescent="0.25">
      <c r="A69" s="11" t="s">
        <v>188</v>
      </c>
      <c r="B69" s="24">
        <v>0.25</v>
      </c>
    </row>
    <row r="70" spans="1:2" x14ac:dyDescent="0.25">
      <c r="A70" s="11" t="s">
        <v>189</v>
      </c>
      <c r="B70" s="24">
        <v>0.08</v>
      </c>
    </row>
    <row r="71" spans="1:2" x14ac:dyDescent="0.25">
      <c r="A71" s="11" t="s">
        <v>190</v>
      </c>
      <c r="B71" s="24">
        <v>0.85</v>
      </c>
    </row>
    <row r="73" ht="24" customHeight="1" spans="1:7" x14ac:dyDescent="0.25">
      <c r="A73" s="19" t="s">
        <v>191</v>
      </c>
      <c r="B73" s="19"/>
      <c r="C73" s="19"/>
      <c r="D73" s="19"/>
      <c r="E73" s="19"/>
      <c r="F73" s="19"/>
      <c r="G73" s="19"/>
    </row>
    <row r="74" spans="1:2" x14ac:dyDescent="0.25">
      <c r="A74" s="11" t="s">
        <v>192</v>
      </c>
      <c r="B74" s="20" t="s">
        <v>193</v>
      </c>
    </row>
    <row r="75" spans="1:2" x14ac:dyDescent="0.25">
      <c r="A75" s="11" t="s">
        <v>194</v>
      </c>
      <c r="B75" s="20" t="s">
        <v>195</v>
      </c>
    </row>
    <row r="76" spans="1:2" x14ac:dyDescent="0.25">
      <c r="A76" s="11" t="s">
        <v>196</v>
      </c>
      <c r="B76" s="24">
        <v>1</v>
      </c>
    </row>
    <row r="77" spans="1:2" x14ac:dyDescent="0.25">
      <c r="A77" s="11" t="s">
        <v>197</v>
      </c>
      <c r="B77" s="20" t="s">
        <v>198</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199</v>
      </c>
      <c r="B3" s="11" t="s">
        <v>200</v>
      </c>
    </row>
    <row r="4" spans="1:2" x14ac:dyDescent="0.25">
      <c r="A4" s="10" t="s">
        <v>33</v>
      </c>
      <c r="B4" s="11" t="s">
        <v>34</v>
      </c>
    </row>
    <row r="5" spans="1:2" x14ac:dyDescent="0.25">
      <c r="A5" s="10" t="s">
        <v>35</v>
      </c>
      <c r="B5" s="11" t="s">
        <v>36</v>
      </c>
    </row>
    <row r="6" spans="1:2" x14ac:dyDescent="0.25">
      <c r="A6" s="10" t="s">
        <v>201</v>
      </c>
      <c r="B6" s="11" t="s">
        <v>202</v>
      </c>
    </row>
    <row r="7" spans="1:2" x14ac:dyDescent="0.25">
      <c r="A7" s="10" t="s">
        <v>43</v>
      </c>
      <c r="B7" s="11" t="s">
        <v>44</v>
      </c>
    </row>
    <row r="8" spans="1:2" x14ac:dyDescent="0.25">
      <c r="A8" s="10" t="s">
        <v>203</v>
      </c>
      <c r="B8" s="11" t="s">
        <v>46</v>
      </c>
    </row>
    <row r="9" spans="1:2" x14ac:dyDescent="0.25">
      <c r="A9" s="10" t="s">
        <v>101</v>
      </c>
      <c r="B9" s="11" t="s">
        <v>204</v>
      </c>
    </row>
    <row r="10" spans="1:2" x14ac:dyDescent="0.25">
      <c r="A10" s="10" t="s">
        <v>205</v>
      </c>
      <c r="B10" s="11" t="s">
        <v>206</v>
      </c>
    </row>
    <row r="11" spans="1:2" x14ac:dyDescent="0.25">
      <c r="A11" s="10" t="s">
        <v>207</v>
      </c>
      <c r="B11" s="11" t="s">
        <v>208</v>
      </c>
    </row>
    <row r="12" spans="1:2" x14ac:dyDescent="0.25">
      <c r="A12" s="10" t="s">
        <v>183</v>
      </c>
      <c r="B12" s="11" t="s">
        <v>184</v>
      </c>
    </row>
    <row r="13" spans="1:2" x14ac:dyDescent="0.25">
      <c r="A13" s="10" t="s">
        <v>102</v>
      </c>
      <c r="B13" s="11" t="s">
        <v>209</v>
      </c>
    </row>
    <row r="14" spans="1:2" x14ac:dyDescent="0.25">
      <c r="A14" s="10" t="s">
        <v>210</v>
      </c>
      <c r="B14" s="11" t="s">
        <v>211</v>
      </c>
    </row>
    <row r="15" spans="1:2" x14ac:dyDescent="0.25">
      <c r="A15" s="10" t="s">
        <v>212</v>
      </c>
      <c r="B15" s="11" t="s">
        <v>213</v>
      </c>
    </row>
    <row r="16" spans="1:2" x14ac:dyDescent="0.25">
      <c r="A16" s="10" t="s">
        <v>214</v>
      </c>
      <c r="B16" s="11" t="s">
        <v>215</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216</v>
      </c>
      <c r="B5" s="19"/>
      <c r="C5" s="19"/>
      <c r="D5" s="19"/>
      <c r="E5" s="19"/>
      <c r="F5" s="19"/>
    </row>
    <row r="6" spans="1:6" x14ac:dyDescent="0.25">
      <c r="A6" s="10" t="s">
        <v>109</v>
      </c>
      <c r="B6" s="27">
        <v>120</v>
      </c>
      <c r="C6" s="27">
        <v>200</v>
      </c>
      <c r="D6" s="27">
        <v>300</v>
      </c>
      <c r="E6" s="27">
        <v>375</v>
      </c>
      <c r="F6" s="27">
        <v>400</v>
      </c>
    </row>
    <row r="7" spans="1:2" x14ac:dyDescent="0.25">
      <c r="A7" s="11" t="s">
        <v>102</v>
      </c>
      <c r="B7" s="22">
        <v>400</v>
      </c>
    </row>
    <row r="8" spans="1:6" x14ac:dyDescent="0.25">
      <c r="A8" s="11" t="s">
        <v>217</v>
      </c>
      <c r="B8" s="28">
        <f>B6/$B$7</f>
        <v>0.3</v>
      </c>
      <c r="C8" s="28">
        <f>C6/$B$7</f>
        <v>0.5</v>
      </c>
      <c r="D8" s="28">
        <f>D6/$B$7</f>
        <v>0.75</v>
      </c>
      <c r="E8" s="28">
        <f>E6/$B$7</f>
        <v>0.9375</v>
      </c>
      <c r="F8" s="28">
        <f>F6/$B$7</f>
        <v>1</v>
      </c>
    </row>
    <row r="10" spans="1:6" x14ac:dyDescent="0.25">
      <c r="A10" s="11" t="s">
        <v>185</v>
      </c>
      <c r="B10" s="11" t="s">
        <v>218</v>
      </c>
      <c r="C10" s="29">
        <f>IF(B6=0,0,(C6-B6)/B6)</f>
        <v>0.66666667</v>
      </c>
      <c r="D10" s="29">
        <f>IF(C6=0,0,(D6-C6)/C6)</f>
        <v>0.5</v>
      </c>
      <c r="E10" s="29">
        <f>IF(D6=0,0,(E6-D6)/D6)</f>
        <v>0.25</v>
      </c>
      <c r="F10" s="29">
        <f>IF(E6=0,0,(F6-E6)/E6)</f>
        <v>0.06666667</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FormatPr defaultRowHeight="15" outlineLevelRow="0" outlineLevelCol="0" x14ac:dyDescent="55"/>
  <cols>
    <col min="1" max="1" width="36" customWidth="1"/>
    <col min="2" max="7" width="16" customWidth="1"/>
  </cols>
  <sheetData>
    <row r="1" spans="1:6" x14ac:dyDescent="0.25">
      <c r="A1" s="15" t="s">
        <v>219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220</v>
      </c>
      <c r="B4" s="19"/>
      <c r="C4" s="19"/>
      <c r="D4" s="19"/>
      <c r="E4" s="19"/>
      <c r="F4" s="19"/>
    </row>
    <row r="5" spans="1:6" x14ac:dyDescent="0.25">
      <c r="A5" s="11" t="s">
        <v>117</v>
      </c>
      <c r="B5" s="30">
        <v>1140000</v>
      </c>
      <c r="C5" s="30">
        <v>1957000</v>
      </c>
      <c r="D5" s="30">
        <v>3023565</v>
      </c>
      <c r="E5" s="30">
        <v>3892840</v>
      </c>
      <c r="F5" s="30">
        <v>4276933</v>
      </c>
    </row>
    <row r="6" spans="1:6" x14ac:dyDescent="0.25">
      <c r="A6" s="11" t="s">
        <v>121</v>
      </c>
      <c r="B6" s="30">
        <v>96000</v>
      </c>
      <c r="C6" s="30">
        <v>164800</v>
      </c>
      <c r="D6" s="30">
        <v>254616</v>
      </c>
      <c r="E6" s="30">
        <v>327818</v>
      </c>
      <c r="F6" s="30">
        <v>360163</v>
      </c>
    </row>
    <row r="7" spans="1:6" x14ac:dyDescent="0.25">
      <c r="A7" s="11" t="s">
        <v>122</v>
      </c>
      <c r="B7" s="30">
        <v>144000</v>
      </c>
      <c r="C7" s="30">
        <v>247200</v>
      </c>
      <c r="D7" s="30">
        <v>381924</v>
      </c>
      <c r="E7" s="30">
        <v>491727</v>
      </c>
      <c r="F7" s="30">
        <v>540244</v>
      </c>
    </row>
    <row r="8" spans="1:6" x14ac:dyDescent="0.25">
      <c r="A8" s="10" t="s">
        <v>221</v>
      </c>
      <c r="B8" s="31">
        <f>SUM(B5,B6,B7)</f>
        <v>1380000</v>
      </c>
      <c r="C8" s="31">
        <f>SUM(C5,C6,C7)</f>
        <v>2369000</v>
      </c>
      <c r="D8" s="31">
        <f>SUM(D5,D6,D7)</f>
        <v>3660105</v>
      </c>
      <c r="E8" s="31">
        <f>SUM(E5,E6,E7)</f>
        <v>4712385</v>
      </c>
      <c r="F8" s="31">
        <f>SUM(F5,F6,F7)</f>
        <v>5177341</v>
      </c>
    </row>
    <row r="9" ht="24" customHeight="1" spans="1:6" x14ac:dyDescent="0.25">
      <c r="A9" s="19" t="s">
        <v>222</v>
      </c>
      <c r="B9" s="19"/>
      <c r="C9" s="19"/>
      <c r="D9" s="19"/>
      <c r="E9" s="19"/>
      <c r="F9" s="19"/>
    </row>
    <row r="10" spans="1:6" x14ac:dyDescent="0.25">
      <c r="A10" s="11" t="s">
        <v>123</v>
      </c>
      <c r="B10" s="23">
        <v>100000</v>
      </c>
      <c r="C10" s="30">
        <v>103000</v>
      </c>
      <c r="D10" s="30">
        <v>106090</v>
      </c>
      <c r="E10" s="30">
        <v>109273</v>
      </c>
      <c r="F10" s="30">
        <v>112551</v>
      </c>
    </row>
    <row r="11" spans="1:6" x14ac:dyDescent="0.25">
      <c r="A11" s="11" t="s">
        <v>126</v>
      </c>
      <c r="B11" s="23">
        <v>30000</v>
      </c>
      <c r="C11" s="30">
        <v>30900</v>
      </c>
      <c r="D11" s="30">
        <v>31827</v>
      </c>
      <c r="E11" s="30">
        <v>32782</v>
      </c>
      <c r="F11" s="30">
        <v>33765</v>
      </c>
    </row>
    <row r="12" spans="1:6" x14ac:dyDescent="0.25">
      <c r="A12" s="10" t="s">
        <v>223</v>
      </c>
      <c r="B12" s="31">
        <f>SUM(B10,B11)</f>
        <v>130000</v>
      </c>
      <c r="C12" s="31">
        <f>SUM(C10,C11)</f>
        <v>133900</v>
      </c>
      <c r="D12" s="31">
        <f>SUM(D10,D11)</f>
        <v>137917</v>
      </c>
      <c r="E12" s="31">
        <f>SUM(E10,E11)</f>
        <v>142055</v>
      </c>
      <c r="F12" s="31">
        <f>SUM(F10,F11)</f>
        <v>146316</v>
      </c>
    </row>
    <row r="13" ht="24" customHeight="1" spans="1:6" x14ac:dyDescent="0.25">
      <c r="A13" s="19" t="s">
        <v>224</v>
      </c>
      <c r="B13" s="19"/>
      <c r="C13" s="19"/>
      <c r="D13" s="19"/>
      <c r="E13" s="19"/>
      <c r="F13" s="19"/>
    </row>
    <row r="14" spans="1:6" x14ac:dyDescent="0.25">
      <c r="A14" s="11" t="s">
        <v>127</v>
      </c>
      <c r="B14" s="30">
        <v>36000</v>
      </c>
      <c r="C14" s="30">
        <v>61800</v>
      </c>
      <c r="D14" s="30">
        <v>95481</v>
      </c>
      <c r="E14" s="30">
        <v>122932</v>
      </c>
      <c r="F14" s="30">
        <v>135061</v>
      </c>
    </row>
    <row r="15" spans="1:6" x14ac:dyDescent="0.25">
      <c r="A15" s="10" t="s">
        <v>225</v>
      </c>
      <c r="B15" s="31">
        <f>SUM(B14)</f>
        <v>36000</v>
      </c>
      <c r="C15" s="31">
        <f>SUM(C14)</f>
        <v>61800</v>
      </c>
      <c r="D15" s="31">
        <f>SUM(D14)</f>
        <v>95481</v>
      </c>
      <c r="E15" s="31">
        <f>SUM(E14)</f>
        <v>122932</v>
      </c>
      <c r="F15" s="31">
        <f>SUM(F14)</f>
        <v>135061</v>
      </c>
    </row>
    <row r="17" ht="24" customHeight="1" spans="1:6" x14ac:dyDescent="0.25">
      <c r="A17" s="19" t="s">
        <v>226</v>
      </c>
      <c r="B17" s="32">
        <f>SUM(B8,B12,B15)</f>
        <v>1546000</v>
      </c>
      <c r="C17" s="32">
        <f>SUM(C8,C12,C15)</f>
        <v>2564700</v>
      </c>
      <c r="D17" s="32">
        <f>SUM(D8,D12,D15)</f>
        <v>3893503</v>
      </c>
      <c r="E17" s="32">
        <f>SUM(E8,E12,E15)</f>
        <v>4977371</v>
      </c>
      <c r="F17" s="32">
        <f>SUM(F8,F12,F15)</f>
        <v>5458718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130</v>
      </c>
      <c r="B3" s="21" t="s">
        <v>112</v>
      </c>
      <c r="C3" s="21" t="s">
        <v>132</v>
      </c>
      <c r="D3" s="21" t="s">
        <v>227</v>
      </c>
      <c r="E3" s="21" t="s">
        <v>134</v>
      </c>
      <c r="F3" s="21" t="s">
        <v>135</v>
      </c>
      <c r="G3" s="21" t="s">
        <v>228</v>
      </c>
      <c r="H3" s="21" t="s">
        <v>229</v>
      </c>
    </row>
    <row r="4" spans="1:8" x14ac:dyDescent="0.25">
      <c r="A4" s="11" t="s">
        <v>136</v>
      </c>
      <c r="B4" s="11" t="s">
        <v>137</v>
      </c>
      <c r="C4" s="25">
        <v>1</v>
      </c>
      <c r="D4" s="23">
        <v>110000</v>
      </c>
      <c r="E4" s="24">
        <v>0.28</v>
      </c>
      <c r="F4" s="24">
        <v>0.0765</v>
      </c>
      <c r="G4" s="33">
        <v>149215</v>
      </c>
      <c r="H4" s="11" t="s">
        <v>120</v>
      </c>
    </row>
    <row r="5" spans="1:8" x14ac:dyDescent="0.25">
      <c r="A5" s="11" t="s">
        <v>139</v>
      </c>
      <c r="B5" s="11" t="s">
        <v>137</v>
      </c>
      <c r="C5" s="25">
        <v>1</v>
      </c>
      <c r="D5" s="23">
        <v>90000</v>
      </c>
      <c r="E5" s="24">
        <v>0.28</v>
      </c>
      <c r="F5" s="24">
        <v>0.0765</v>
      </c>
      <c r="G5" s="33">
        <v>122085</v>
      </c>
      <c r="H5" s="11" t="s">
        <v>120</v>
      </c>
    </row>
    <row r="6" spans="1:8" x14ac:dyDescent="0.25">
      <c r="A6" s="11" t="s">
        <v>140</v>
      </c>
      <c r="B6" s="11" t="s">
        <v>137</v>
      </c>
      <c r="C6" s="25">
        <v>1</v>
      </c>
      <c r="D6" s="23">
        <v>72000</v>
      </c>
      <c r="E6" s="24">
        <v>0.28</v>
      </c>
      <c r="F6" s="24">
        <v>0.0765</v>
      </c>
      <c r="G6" s="33">
        <v>97668</v>
      </c>
      <c r="H6" s="11" t="s">
        <v>120</v>
      </c>
    </row>
    <row r="7" spans="1:8" x14ac:dyDescent="0.25">
      <c r="A7" s="11" t="s">
        <v>141</v>
      </c>
      <c r="B7" s="11" t="s">
        <v>142</v>
      </c>
      <c r="C7" s="25">
        <v>6</v>
      </c>
      <c r="D7" s="23">
        <v>52000</v>
      </c>
      <c r="E7" s="24">
        <v>0.28</v>
      </c>
      <c r="F7" s="24">
        <v>0.0765</v>
      </c>
      <c r="G7" s="33">
        <v>387959</v>
      </c>
      <c r="H7" s="11" t="s">
        <v>120</v>
      </c>
    </row>
    <row r="8" spans="1:8" x14ac:dyDescent="0.25">
      <c r="A8" s="11" t="s">
        <v>143</v>
      </c>
      <c r="B8" s="11" t="s">
        <v>142</v>
      </c>
      <c r="C8" s="25">
        <v>1</v>
      </c>
      <c r="D8" s="23">
        <v>55000</v>
      </c>
      <c r="E8" s="24">
        <v>0.28</v>
      </c>
      <c r="F8" s="24">
        <v>0.0765</v>
      </c>
      <c r="G8" s="33">
        <v>74608</v>
      </c>
      <c r="H8" s="11" t="s">
        <v>120</v>
      </c>
    </row>
    <row r="9" spans="1:8" x14ac:dyDescent="0.25">
      <c r="A9" s="11" t="s">
        <v>144</v>
      </c>
      <c r="B9" s="11" t="s">
        <v>142</v>
      </c>
      <c r="C9" s="25">
        <v>3</v>
      </c>
      <c r="D9" s="23">
        <v>30000</v>
      </c>
      <c r="E9" s="24">
        <v>0.2</v>
      </c>
      <c r="F9" s="24">
        <v>0.0765</v>
      </c>
      <c r="G9" s="33">
        <v>114885</v>
      </c>
      <c r="H9" s="11" t="s">
        <v>120</v>
      </c>
    </row>
    <row r="10" spans="1:8" x14ac:dyDescent="0.25">
      <c r="A10" s="11" t="s">
        <v>145</v>
      </c>
      <c r="B10" s="11" t="s">
        <v>146</v>
      </c>
      <c r="C10" s="25">
        <v>1</v>
      </c>
      <c r="D10" s="23">
        <v>55000</v>
      </c>
      <c r="E10" s="24">
        <v>0.28</v>
      </c>
      <c r="F10" s="24">
        <v>0.0765</v>
      </c>
      <c r="G10" s="33">
        <v>74608</v>
      </c>
      <c r="H10" s="11" t="s">
        <v>120</v>
      </c>
    </row>
    <row r="11" spans="1:8" x14ac:dyDescent="0.25">
      <c r="A11" s="11" t="s">
        <v>147</v>
      </c>
      <c r="B11" s="11" t="s">
        <v>148</v>
      </c>
      <c r="C11" s="25">
        <v>2</v>
      </c>
      <c r="D11" s="23">
        <v>38000</v>
      </c>
      <c r="E11" s="24">
        <v>0.25</v>
      </c>
      <c r="F11" s="24">
        <v>0.0765</v>
      </c>
      <c r="G11" s="33">
        <v>100814</v>
      </c>
      <c r="H11" s="11" t="s">
        <v>120</v>
      </c>
    </row>
    <row r="12" spans="1:8" x14ac:dyDescent="0.25">
      <c r="A12" s="11" t="s">
        <v>149</v>
      </c>
      <c r="B12" s="11" t="s">
        <v>150</v>
      </c>
      <c r="C12" s="25">
        <v>1</v>
      </c>
      <c r="D12" s="23">
        <v>55000</v>
      </c>
      <c r="E12" s="24">
        <v>0.28</v>
      </c>
      <c r="F12" s="24">
        <v>0.0765</v>
      </c>
      <c r="G12" s="33">
        <v>74608</v>
      </c>
      <c r="H12" s="11" t="s">
        <v>120</v>
      </c>
    </row>
    <row r="14" ht="24" customHeight="1" spans="1:7" x14ac:dyDescent="0.25">
      <c r="A14" s="19" t="s">
        <v>230</v>
      </c>
      <c r="B14" s="19"/>
      <c r="C14" s="19"/>
      <c r="D14" s="19"/>
      <c r="E14" s="19"/>
      <c r="F14" s="19"/>
      <c r="G14" s="19"/>
    </row>
    <row r="15" ht="28" customHeight="1" spans="1:6" x14ac:dyDescent="0.25">
      <c r="A15" s="21" t="s">
        <v>7</v>
      </c>
      <c r="B15" s="21" t="s">
        <v>104</v>
      </c>
      <c r="C15" s="21" t="s">
        <v>105</v>
      </c>
      <c r="D15" s="21" t="s">
        <v>106</v>
      </c>
      <c r="E15" s="21" t="s">
        <v>107</v>
      </c>
      <c r="F15" s="21" t="s">
        <v>108</v>
      </c>
    </row>
    <row r="16" spans="1:6" x14ac:dyDescent="0.25">
      <c r="A16" s="10" t="s">
        <v>231</v>
      </c>
      <c r="B16" s="32">
        <v>997040</v>
      </c>
      <c r="C16" s="32">
        <v>1522959</v>
      </c>
      <c r="D16" s="32">
        <v>1905399</v>
      </c>
      <c r="E16" s="32">
        <v>2232337</v>
      </c>
      <c r="F16" s="32">
        <v>2378698</v>
      </c>
    </row>
    <row r="17" spans="1:6" x14ac:dyDescent="0.25">
      <c r="A17" s="11" t="s">
        <v>232</v>
      </c>
      <c r="B17" s="29">
        <v>0.644916181543769</v>
      </c>
      <c r="C17" s="29">
        <v>0.5938154618473896</v>
      </c>
      <c r="D17" s="29">
        <v>0.48937915531335147</v>
      </c>
      <c r="E17" s="29">
        <v>0.44849714599341384</v>
      </c>
      <c r="F17" s="29">
        <v>0.4357613402061856</v>
      </c>
    </row>
    <row r="18" spans="1:6" x14ac:dyDescent="0.25">
      <c r="A18" s="11" t="s">
        <v>233</v>
      </c>
      <c r="B18" s="34">
        <v>7.1</v>
      </c>
      <c r="C18" s="34">
        <v>11.8</v>
      </c>
      <c r="D18" s="34">
        <v>17.6</v>
      </c>
      <c r="E18" s="34">
        <v>22.1</v>
      </c>
      <c r="F18" s="34">
        <v>23.5</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4"/>
  <sheetFormatPr defaultRowHeight="15" outlineLevelRow="0" outlineLevelCol="0" x14ac:dyDescent="55"/>
  <cols>
    <col min="1" max="1" width="32" customWidth="1"/>
    <col min="2" max="7" width="16" customWidth="1"/>
  </cols>
  <sheetData>
    <row r="1" spans="1:6" x14ac:dyDescent="0.25">
      <c r="A1" s="15" t="s">
        <v>234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159</v>
      </c>
      <c r="B4" s="19"/>
      <c r="C4" s="19"/>
      <c r="D4" s="19"/>
      <c r="E4" s="19"/>
      <c r="F4" s="19"/>
    </row>
    <row r="5" spans="1:6" x14ac:dyDescent="0.25">
      <c r="A5" s="11" t="s">
        <v>235</v>
      </c>
      <c r="B5" s="30">
        <v>84000</v>
      </c>
      <c r="C5" s="30">
        <v>144200</v>
      </c>
      <c r="D5" s="30">
        <v>222789</v>
      </c>
      <c r="E5" s="30">
        <v>286841</v>
      </c>
      <c r="F5" s="30">
        <v>315142</v>
      </c>
    </row>
    <row r="6" spans="1:6" x14ac:dyDescent="0.25">
      <c r="A6" s="10" t="s">
        <v>236</v>
      </c>
      <c r="B6" s="31">
        <f>SUM(B5:B5)</f>
        <v>84000</v>
      </c>
      <c r="C6" s="31">
        <f>SUM(C5:C5)</f>
        <v>144200</v>
      </c>
      <c r="D6" s="31">
        <f>SUM(D5:D5)</f>
        <v>222789</v>
      </c>
      <c r="E6" s="31">
        <f>SUM(E5:E5)</f>
        <v>286841</v>
      </c>
      <c r="F6" s="31">
        <f>SUM(F5:F5)</f>
        <v>315142</v>
      </c>
    </row>
    <row r="7" ht="24" customHeight="1" spans="1:6" x14ac:dyDescent="0.25">
      <c r="A7" s="19" t="s">
        <v>161</v>
      </c>
      <c r="B7" s="19"/>
      <c r="C7" s="19"/>
      <c r="D7" s="19"/>
      <c r="E7" s="19"/>
      <c r="F7" s="19"/>
    </row>
    <row r="8" spans="1:6" x14ac:dyDescent="0.25">
      <c r="A8" s="11" t="s">
        <v>237</v>
      </c>
      <c r="B8" s="30">
        <v>60000</v>
      </c>
      <c r="C8" s="30">
        <v>103000</v>
      </c>
      <c r="D8" s="30">
        <v>159135</v>
      </c>
      <c r="E8" s="30">
        <v>204886</v>
      </c>
      <c r="F8" s="30">
        <v>225102</v>
      </c>
    </row>
    <row r="9" spans="1:6" x14ac:dyDescent="0.25">
      <c r="A9" s="10" t="s">
        <v>238</v>
      </c>
      <c r="B9" s="31">
        <f>SUM(B8:B8)</f>
        <v>60000</v>
      </c>
      <c r="C9" s="31">
        <f>SUM(C8:C8)</f>
        <v>103000</v>
      </c>
      <c r="D9" s="31">
        <f>SUM(D8:D8)</f>
        <v>159135</v>
      </c>
      <c r="E9" s="31">
        <f>SUM(E8:E8)</f>
        <v>204886</v>
      </c>
      <c r="F9" s="31">
        <f>SUM(F8:F8)</f>
        <v>225102</v>
      </c>
    </row>
    <row r="10" ht="24" customHeight="1" spans="1:6" x14ac:dyDescent="0.25">
      <c r="A10" s="19" t="s">
        <v>153</v>
      </c>
      <c r="B10" s="19"/>
      <c r="C10" s="19"/>
      <c r="D10" s="19"/>
      <c r="E10" s="19"/>
      <c r="F10" s="19"/>
    </row>
    <row r="11" spans="1:6" x14ac:dyDescent="0.25">
      <c r="A11" s="11" t="s">
        <v>239</v>
      </c>
      <c r="B11" s="30">
        <v>216000</v>
      </c>
      <c r="C11" s="30">
        <v>222480</v>
      </c>
      <c r="D11" s="30">
        <v>229154</v>
      </c>
      <c r="E11" s="30">
        <v>236029</v>
      </c>
      <c r="F11" s="30">
        <v>243110</v>
      </c>
    </row>
    <row r="12" spans="1:6" x14ac:dyDescent="0.25">
      <c r="A12" s="11" t="s">
        <v>240</v>
      </c>
      <c r="B12" s="30">
        <v>30000</v>
      </c>
      <c r="C12" s="30">
        <v>30900</v>
      </c>
      <c r="D12" s="30">
        <v>31827</v>
      </c>
      <c r="E12" s="30">
        <v>32782</v>
      </c>
      <c r="F12" s="30">
        <v>33765</v>
      </c>
    </row>
    <row r="13" spans="1:6" x14ac:dyDescent="0.25">
      <c r="A13" s="11" t="s">
        <v>241</v>
      </c>
      <c r="B13" s="30">
        <v>18000</v>
      </c>
      <c r="C13" s="30">
        <v>18540</v>
      </c>
      <c r="D13" s="30">
        <v>19096</v>
      </c>
      <c r="E13" s="30">
        <v>19669</v>
      </c>
      <c r="F13" s="30">
        <v>20259</v>
      </c>
    </row>
    <row r="14" spans="1:6" x14ac:dyDescent="0.25">
      <c r="A14" s="11" t="s">
        <v>242</v>
      </c>
      <c r="B14" s="30">
        <v>18000</v>
      </c>
      <c r="C14" s="30">
        <v>18540</v>
      </c>
      <c r="D14" s="30">
        <v>19096</v>
      </c>
      <c r="E14" s="30">
        <v>19669</v>
      </c>
      <c r="F14" s="30">
        <v>20259</v>
      </c>
    </row>
    <row r="15" spans="1:6" x14ac:dyDescent="0.25">
      <c r="A15" s="10" t="s">
        <v>243</v>
      </c>
      <c r="B15" s="31">
        <f>SUM(B11:B14)</f>
        <v>282000</v>
      </c>
      <c r="C15" s="31">
        <f>SUM(C11:C14)</f>
        <v>290460</v>
      </c>
      <c r="D15" s="31">
        <f>SUM(D11:D14)</f>
        <v>299174</v>
      </c>
      <c r="E15" s="31">
        <f>SUM(E11:E14)</f>
        <v>308149</v>
      </c>
      <c r="F15" s="31">
        <f>SUM(F11:F14)</f>
        <v>317393</v>
      </c>
    </row>
    <row r="16" ht="24" customHeight="1" spans="1:6" x14ac:dyDescent="0.25">
      <c r="A16" s="19" t="s">
        <v>163</v>
      </c>
      <c r="B16" s="19"/>
      <c r="C16" s="19"/>
      <c r="D16" s="19"/>
      <c r="E16" s="19"/>
      <c r="F16" s="19"/>
    </row>
    <row r="17" spans="1:6" x14ac:dyDescent="0.25">
      <c r="A17" s="11" t="s">
        <v>244</v>
      </c>
      <c r="B17" s="30">
        <v>25000</v>
      </c>
      <c r="C17" s="30">
        <v>25750</v>
      </c>
      <c r="D17" s="30">
        <v>26523</v>
      </c>
      <c r="E17" s="30">
        <v>27318</v>
      </c>
      <c r="F17" s="30">
        <v>28138</v>
      </c>
    </row>
    <row r="18" spans="1:6" x14ac:dyDescent="0.25">
      <c r="A18" s="11" t="s">
        <v>245</v>
      </c>
      <c r="B18" s="30">
        <v>15000</v>
      </c>
      <c r="C18" s="30">
        <v>15450</v>
      </c>
      <c r="D18" s="30">
        <v>15914</v>
      </c>
      <c r="E18" s="30">
        <v>16391</v>
      </c>
      <c r="F18" s="30">
        <v>16883</v>
      </c>
    </row>
    <row r="19" spans="1:6" x14ac:dyDescent="0.25">
      <c r="A19" s="11" t="s">
        <v>246</v>
      </c>
      <c r="B19" s="30">
        <v>20000</v>
      </c>
      <c r="C19" s="30">
        <v>20600</v>
      </c>
      <c r="D19" s="30">
        <v>21218</v>
      </c>
      <c r="E19" s="30">
        <v>21855</v>
      </c>
      <c r="F19" s="30">
        <v>22510</v>
      </c>
    </row>
    <row r="20" spans="1:6" x14ac:dyDescent="0.25">
      <c r="A20" s="11" t="s">
        <v>247</v>
      </c>
      <c r="B20" s="30">
        <v>96000</v>
      </c>
      <c r="C20" s="30">
        <v>164800</v>
      </c>
      <c r="D20" s="30">
        <v>254616</v>
      </c>
      <c r="E20" s="30">
        <v>327818</v>
      </c>
      <c r="F20" s="30">
        <v>360163</v>
      </c>
    </row>
    <row r="21" spans="1:6" x14ac:dyDescent="0.25">
      <c r="A21" s="11" t="s">
        <v>248</v>
      </c>
      <c r="B21" s="30">
        <v>72000</v>
      </c>
      <c r="C21" s="30">
        <v>123600</v>
      </c>
      <c r="D21" s="30">
        <v>190962</v>
      </c>
      <c r="E21" s="30">
        <v>245864</v>
      </c>
      <c r="F21" s="30">
        <v>270122</v>
      </c>
    </row>
    <row r="22" spans="1:6" x14ac:dyDescent="0.25">
      <c r="A22" s="10" t="s">
        <v>249</v>
      </c>
      <c r="B22" s="31">
        <f>SUM(B17:B21)</f>
        <v>228000</v>
      </c>
      <c r="C22" s="31">
        <f>SUM(C17:C21)</f>
        <v>350200</v>
      </c>
      <c r="D22" s="31">
        <f>SUM(D17:D21)</f>
        <v>509232</v>
      </c>
      <c r="E22" s="31">
        <f>SUM(E17:E21)</f>
        <v>639245</v>
      </c>
      <c r="F22" s="31">
        <f>SUM(F17:F21)</f>
        <v>697815</v>
      </c>
    </row>
    <row r="24" ht="24" customHeight="1" spans="1:6" x14ac:dyDescent="0.25">
      <c r="A24" s="19" t="s">
        <v>250</v>
      </c>
      <c r="B24" s="32">
        <f>B6+B9+B15+B22</f>
        <v>654000</v>
      </c>
      <c r="C24" s="32">
        <f>C6+C9+C15+C22</f>
        <v>887860</v>
      </c>
      <c r="D24" s="32">
        <f>D6+D9+D15+D22</f>
        <v>1190330</v>
      </c>
      <c r="E24" s="32">
        <f>E6+E9+E15+E22</f>
        <v>1439121</v>
      </c>
      <c r="F24" s="32">
        <f>F6+F9+F15+F22</f>
        <v>1555453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9"/>
  <sheetFormatPr defaultRowHeight="15" outlineLevelRow="0" outlineLevelCol="0" x14ac:dyDescent="55"/>
  <cols>
    <col min="1" max="1" width="28" customWidth="1"/>
    <col min="2" max="4" width="14" customWidth="1"/>
    <col min="5" max="6" width="16" customWidth="1"/>
  </cols>
  <sheetData>
    <row r="1" spans="1:6" x14ac:dyDescent="0.25">
      <c r="A1" s="15" t="s">
        <v>251</v>
      </c>
      <c r="B1" s="15"/>
      <c r="C1" s="15"/>
      <c r="D1" s="15"/>
      <c r="E1" s="15"/>
      <c r="F1" s="15"/>
    </row>
    <row r="3" ht="28" customHeight="1" spans="1:6" x14ac:dyDescent="0.25">
      <c r="A3" s="21" t="s">
        <v>169</v>
      </c>
      <c r="B3" s="21" t="s">
        <v>131</v>
      </c>
      <c r="C3" s="21" t="s">
        <v>139</v>
      </c>
      <c r="D3" s="21" t="s">
        <v>133</v>
      </c>
      <c r="E3" s="21" t="s">
        <v>170</v>
      </c>
      <c r="F3" s="21" t="s">
        <v>252</v>
      </c>
    </row>
    <row r="4" spans="1:6" x14ac:dyDescent="0.25">
      <c r="A4" s="11" t="s">
        <v>171</v>
      </c>
      <c r="B4" s="11" t="s">
        <v>172</v>
      </c>
      <c r="C4" s="23">
        <v>500000</v>
      </c>
      <c r="D4" s="24">
        <v>0.0575</v>
      </c>
      <c r="E4" s="22">
        <v>15</v>
      </c>
      <c r="F4" s="33">
        <v>49825</v>
      </c>
    </row>
    <row r="5" spans="1:6" x14ac:dyDescent="0.25">
      <c r="A5" s="11" t="s">
        <v>173</v>
      </c>
      <c r="B5" s="11" t="s">
        <v>253</v>
      </c>
      <c r="C5" s="23">
        <v>75000</v>
      </c>
      <c r="D5" s="29">
        <v>0</v>
      </c>
      <c r="E5" s="35">
        <v>0</v>
      </c>
      <c r="F5" s="33">
        <v>75000</v>
      </c>
    </row>
    <row r="6" spans="1:6" x14ac:dyDescent="0.25">
      <c r="A6" s="11" t="s">
        <v>175</v>
      </c>
      <c r="B6" s="11" t="s">
        <v>253</v>
      </c>
      <c r="C6" s="23">
        <v>40000</v>
      </c>
      <c r="D6" s="29">
        <v>0</v>
      </c>
      <c r="E6" s="35">
        <v>0</v>
      </c>
      <c r="F6" s="33">
        <v>40000</v>
      </c>
    </row>
    <row r="8" spans="1:6" x14ac:dyDescent="0.25">
      <c r="A8" s="10" t="s">
        <v>254</v>
      </c>
      <c r="F8" s="32">
        <v>49825</v>
      </c>
    </row>
    <row r="9" spans="1:6" x14ac:dyDescent="0.25">
      <c r="A9" s="10" t="s">
        <v>255</v>
      </c>
      <c r="F9" s="31">
        <v>500000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256</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6">
        <v>120</v>
      </c>
      <c r="C4" s="36">
        <v>200</v>
      </c>
      <c r="D4" s="36">
        <v>300</v>
      </c>
      <c r="E4" s="36">
        <v>375</v>
      </c>
      <c r="F4" s="36">
        <v>400</v>
      </c>
    </row>
    <row r="6" ht="24" customHeight="1" spans="1:6" x14ac:dyDescent="0.25">
      <c r="A6" s="19" t="s">
        <v>257</v>
      </c>
      <c r="B6" s="19"/>
      <c r="C6" s="19"/>
      <c r="D6" s="19"/>
      <c r="E6" s="19"/>
      <c r="F6" s="19"/>
    </row>
    <row r="7" spans="1:6" x14ac:dyDescent="0.25">
      <c r="A7" s="11" t="s">
        <v>117</v>
      </c>
      <c r="B7" s="30">
        <v>1140000</v>
      </c>
      <c r="C7" s="30">
        <v>1957000</v>
      </c>
      <c r="D7" s="30">
        <v>3023565</v>
      </c>
      <c r="E7" s="30">
        <v>3892840</v>
      </c>
      <c r="F7" s="30">
        <v>4276933</v>
      </c>
    </row>
    <row r="8" spans="1:6" x14ac:dyDescent="0.25">
      <c r="A8" s="11" t="s">
        <v>121</v>
      </c>
      <c r="B8" s="30">
        <v>96000</v>
      </c>
      <c r="C8" s="30">
        <v>164800</v>
      </c>
      <c r="D8" s="30">
        <v>254616</v>
      </c>
      <c r="E8" s="30">
        <v>327818</v>
      </c>
      <c r="F8" s="30">
        <v>360163</v>
      </c>
    </row>
    <row r="9" spans="1:6" x14ac:dyDescent="0.25">
      <c r="A9" s="11" t="s">
        <v>122</v>
      </c>
      <c r="B9" s="30">
        <v>144000</v>
      </c>
      <c r="C9" s="30">
        <v>247200</v>
      </c>
      <c r="D9" s="30">
        <v>381924</v>
      </c>
      <c r="E9" s="30">
        <v>491727</v>
      </c>
      <c r="F9" s="30">
        <v>540244</v>
      </c>
    </row>
    <row r="10" spans="1:6" x14ac:dyDescent="0.25">
      <c r="A10" s="11" t="s">
        <v>123</v>
      </c>
      <c r="B10" s="30">
        <v>100000</v>
      </c>
      <c r="C10" s="30">
        <v>103000</v>
      </c>
      <c r="D10" s="30">
        <v>106090</v>
      </c>
      <c r="E10" s="30">
        <v>109273</v>
      </c>
      <c r="F10" s="30">
        <v>112551</v>
      </c>
    </row>
    <row r="11" spans="1:6" x14ac:dyDescent="0.25">
      <c r="A11" s="11" t="s">
        <v>126</v>
      </c>
      <c r="B11" s="30">
        <v>30000</v>
      </c>
      <c r="C11" s="30">
        <v>30900</v>
      </c>
      <c r="D11" s="30">
        <v>31827</v>
      </c>
      <c r="E11" s="30">
        <v>32782</v>
      </c>
      <c r="F11" s="30">
        <v>33765</v>
      </c>
    </row>
    <row r="12" spans="1:6" x14ac:dyDescent="0.25">
      <c r="A12" s="11" t="s">
        <v>127</v>
      </c>
      <c r="B12" s="30">
        <v>36000</v>
      </c>
      <c r="C12" s="30">
        <v>61800</v>
      </c>
      <c r="D12" s="30">
        <v>95481</v>
      </c>
      <c r="E12" s="30">
        <v>122932</v>
      </c>
      <c r="F12" s="30">
        <v>135061</v>
      </c>
    </row>
    <row r="13" ht="24" customHeight="1" spans="1:6" x14ac:dyDescent="0.25">
      <c r="A13" s="19" t="s">
        <v>258</v>
      </c>
      <c r="B13" s="32">
        <f>SUM(B7:B12)</f>
        <v>1546000</v>
      </c>
      <c r="C13" s="32">
        <f>SUM(C7:C12)</f>
        <v>2564700</v>
      </c>
      <c r="D13" s="32">
        <f>SUM(D7:D12)</f>
        <v>3893503</v>
      </c>
      <c r="E13" s="32">
        <f>SUM(E7:E12)</f>
        <v>4977371</v>
      </c>
      <c r="F13" s="32">
        <f>SUM(F7:F12)</f>
        <v>5458718</v>
      </c>
    </row>
    <row r="15" spans="1:6" x14ac:dyDescent="0.25">
      <c r="A15" s="11" t="s">
        <v>259</v>
      </c>
      <c r="B15" s="30">
        <v>12883</v>
      </c>
      <c r="C15" s="30">
        <v>12824</v>
      </c>
      <c r="D15" s="30">
        <v>12978</v>
      </c>
      <c r="E15" s="30">
        <v>13273</v>
      </c>
      <c r="F15" s="30">
        <v>13647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4"/>
  <sheetFormatPr defaultRowHeight="15" outlineLevelRow="0" outlineLevelCol="0" x14ac:dyDescent="55"/>
  <cols>
    <col min="1" max="1" width="30" customWidth="1"/>
    <col min="2" max="6" width="16" customWidth="1"/>
  </cols>
  <sheetData>
    <row r="1" spans="1:6" x14ac:dyDescent="0.25">
      <c r="A1" s="15" t="s">
        <v>260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142</v>
      </c>
      <c r="B4" s="19"/>
      <c r="C4" s="19"/>
      <c r="D4" s="19"/>
      <c r="E4" s="19"/>
      <c r="F4" s="19"/>
    </row>
    <row r="5" spans="1:6" x14ac:dyDescent="0.25">
      <c r="A5" s="11" t="s">
        <v>261</v>
      </c>
      <c r="B5" s="30">
        <v>323299</v>
      </c>
      <c r="C5" s="30">
        <v>690214</v>
      </c>
      <c r="D5" s="30">
        <v>1047673</v>
      </c>
      <c r="E5" s="30">
        <v>1348879</v>
      </c>
      <c r="F5" s="30">
        <v>1468736</v>
      </c>
    </row>
    <row r="6" spans="1:6" x14ac:dyDescent="0.25">
      <c r="A6" s="11" t="s">
        <v>262</v>
      </c>
      <c r="B6" s="30">
        <v>62173</v>
      </c>
      <c r="C6" s="30">
        <v>76846</v>
      </c>
      <c r="D6" s="30">
        <v>79151</v>
      </c>
      <c r="E6" s="30">
        <v>81526</v>
      </c>
      <c r="F6" s="30">
        <v>83971</v>
      </c>
    </row>
    <row r="7" spans="1:6" x14ac:dyDescent="0.25">
      <c r="A7" s="11" t="s">
        <v>263</v>
      </c>
      <c r="B7" s="30">
        <v>95738</v>
      </c>
      <c r="C7" s="30">
        <v>118332</v>
      </c>
      <c r="D7" s="30">
        <v>121881</v>
      </c>
      <c r="E7" s="30">
        <v>125538</v>
      </c>
      <c r="F7" s="30">
        <v>129304</v>
      </c>
    </row>
    <row r="8" spans="1:6" x14ac:dyDescent="0.25">
      <c r="A8" s="10" t="s">
        <v>264</v>
      </c>
      <c r="B8" s="31">
        <f>SUM(B5:B7)</f>
        <v>481210</v>
      </c>
      <c r="C8" s="31">
        <f>SUM(C5:C7)</f>
        <v>885392</v>
      </c>
      <c r="D8" s="31">
        <f>SUM(D5:D7)</f>
        <v>1248705</v>
      </c>
      <c r="E8" s="31">
        <f>SUM(E5:E7)</f>
        <v>1555942</v>
      </c>
      <c r="F8" s="31">
        <f>SUM(F5:F7)</f>
        <v>1682012</v>
      </c>
    </row>
    <row r="9" ht="24" customHeight="1" spans="1:6" x14ac:dyDescent="0.25">
      <c r="A9" s="19" t="s">
        <v>137</v>
      </c>
      <c r="B9" s="19"/>
      <c r="C9" s="19"/>
      <c r="D9" s="19"/>
      <c r="E9" s="19"/>
      <c r="F9" s="19"/>
    </row>
    <row r="10" spans="1:6" x14ac:dyDescent="0.25">
      <c r="A10" s="11" t="s">
        <v>265</v>
      </c>
      <c r="B10" s="30">
        <v>124346</v>
      </c>
      <c r="C10" s="30">
        <v>153691</v>
      </c>
      <c r="D10" s="30">
        <v>158302</v>
      </c>
      <c r="E10" s="30">
        <v>163051</v>
      </c>
      <c r="F10" s="30">
        <v>167943</v>
      </c>
    </row>
    <row r="11" spans="1:6" x14ac:dyDescent="0.25">
      <c r="A11" s="11" t="s">
        <v>266</v>
      </c>
      <c r="B11" s="30">
        <v>101738</v>
      </c>
      <c r="C11" s="30">
        <v>125748</v>
      </c>
      <c r="D11" s="30">
        <v>129520</v>
      </c>
      <c r="E11" s="30">
        <v>133406</v>
      </c>
      <c r="F11" s="30">
        <v>137408</v>
      </c>
    </row>
    <row r="12" spans="1:6" x14ac:dyDescent="0.25">
      <c r="A12" s="11" t="s">
        <v>267</v>
      </c>
      <c r="B12" s="30">
        <v>81390</v>
      </c>
      <c r="C12" s="30">
        <v>100598</v>
      </c>
      <c r="D12" s="30">
        <v>103616</v>
      </c>
      <c r="E12" s="30">
        <v>106724</v>
      </c>
      <c r="F12" s="30">
        <v>109926</v>
      </c>
    </row>
    <row r="13" spans="1:6" x14ac:dyDescent="0.25">
      <c r="A13" s="10" t="s">
        <v>268</v>
      </c>
      <c r="B13" s="31">
        <f>SUM(B10:B12)</f>
        <v>307473</v>
      </c>
      <c r="C13" s="31">
        <f>SUM(C10:C12)</f>
        <v>380037</v>
      </c>
      <c r="D13" s="31">
        <f>SUM(D10:D12)</f>
        <v>391438</v>
      </c>
      <c r="E13" s="31">
        <f>SUM(E10:E12)</f>
        <v>403181</v>
      </c>
      <c r="F13" s="31">
        <f>SUM(F10:F12)</f>
        <v>415277</v>
      </c>
    </row>
    <row r="14" ht="24" customHeight="1" spans="1:6" x14ac:dyDescent="0.25">
      <c r="A14" s="19" t="s">
        <v>150</v>
      </c>
      <c r="B14" s="19"/>
      <c r="C14" s="19"/>
      <c r="D14" s="19"/>
      <c r="E14" s="19"/>
      <c r="F14" s="19"/>
    </row>
    <row r="15" spans="1:6" x14ac:dyDescent="0.25">
      <c r="A15" s="11" t="s">
        <v>269</v>
      </c>
      <c r="B15" s="30">
        <v>62173</v>
      </c>
      <c r="C15" s="30">
        <v>76846</v>
      </c>
      <c r="D15" s="30">
        <v>79151</v>
      </c>
      <c r="E15" s="30">
        <v>81526</v>
      </c>
      <c r="F15" s="30">
        <v>83971</v>
      </c>
    </row>
    <row r="16" spans="1:6" x14ac:dyDescent="0.25">
      <c r="A16" s="10" t="s">
        <v>270</v>
      </c>
      <c r="B16" s="31">
        <f>SUM(B15:B15)</f>
        <v>62173</v>
      </c>
      <c r="C16" s="31">
        <f>SUM(C15:C15)</f>
        <v>76846</v>
      </c>
      <c r="D16" s="31">
        <f>SUM(D15:D15)</f>
        <v>79151</v>
      </c>
      <c r="E16" s="31">
        <f>SUM(E15:E15)</f>
        <v>81526</v>
      </c>
      <c r="F16" s="31">
        <f>SUM(F15:F15)</f>
        <v>83971</v>
      </c>
    </row>
    <row r="17" ht="24" customHeight="1" spans="1:6" x14ac:dyDescent="0.25">
      <c r="A17" s="19" t="s">
        <v>146</v>
      </c>
      <c r="B17" s="19"/>
      <c r="C17" s="19"/>
      <c r="D17" s="19"/>
      <c r="E17" s="19"/>
      <c r="F17" s="19"/>
    </row>
    <row r="18" spans="1:6" x14ac:dyDescent="0.25">
      <c r="A18" s="11" t="s">
        <v>271</v>
      </c>
      <c r="B18" s="30">
        <v>62173</v>
      </c>
      <c r="C18" s="30">
        <v>76846</v>
      </c>
      <c r="D18" s="30">
        <v>79151</v>
      </c>
      <c r="E18" s="30">
        <v>81526</v>
      </c>
      <c r="F18" s="30">
        <v>83971</v>
      </c>
    </row>
    <row r="19" spans="1:6" x14ac:dyDescent="0.25">
      <c r="A19" s="10" t="s">
        <v>272</v>
      </c>
      <c r="B19" s="31">
        <f>SUM(B18:B18)</f>
        <v>62173</v>
      </c>
      <c r="C19" s="31">
        <f>SUM(C18:C18)</f>
        <v>76846</v>
      </c>
      <c r="D19" s="31">
        <f>SUM(D18:D18)</f>
        <v>79151</v>
      </c>
      <c r="E19" s="31">
        <f>SUM(E18:E18)</f>
        <v>81526</v>
      </c>
      <c r="F19" s="31">
        <f>SUM(F18:F18)</f>
        <v>83971</v>
      </c>
    </row>
    <row r="20" ht="24" customHeight="1" spans="1:6" x14ac:dyDescent="0.25">
      <c r="A20" s="19" t="s">
        <v>148</v>
      </c>
      <c r="B20" s="19"/>
      <c r="C20" s="19"/>
      <c r="D20" s="19"/>
      <c r="E20" s="19"/>
      <c r="F20" s="19"/>
    </row>
    <row r="21" spans="1:6" x14ac:dyDescent="0.25">
      <c r="A21" s="11" t="s">
        <v>273</v>
      </c>
      <c r="B21" s="30">
        <v>84012</v>
      </c>
      <c r="C21" s="30">
        <v>103838</v>
      </c>
      <c r="D21" s="30">
        <v>106954</v>
      </c>
      <c r="E21" s="30">
        <v>110162</v>
      </c>
      <c r="F21" s="30">
        <v>113467</v>
      </c>
    </row>
    <row r="22" spans="1:6" x14ac:dyDescent="0.25">
      <c r="A22" s="10" t="s">
        <v>274</v>
      </c>
      <c r="B22" s="31">
        <f>SUM(B21:B21)</f>
        <v>84012</v>
      </c>
      <c r="C22" s="31">
        <f>SUM(C21:C21)</f>
        <v>103838</v>
      </c>
      <c r="D22" s="31">
        <f>SUM(D21:D21)</f>
        <v>106954</v>
      </c>
      <c r="E22" s="31">
        <f>SUM(E21:E21)</f>
        <v>110162</v>
      </c>
      <c r="F22" s="31">
        <f>SUM(F21:F21)</f>
        <v>113467</v>
      </c>
    </row>
    <row r="24" ht="24" customHeight="1" spans="1:6" x14ac:dyDescent="0.25">
      <c r="A24" s="19" t="s">
        <v>275</v>
      </c>
      <c r="B24" s="32">
        <f>B8+B13+B16+B19+B22</f>
        <v>997040</v>
      </c>
      <c r="C24" s="32">
        <f>C8+C13+C16+C19+C22</f>
        <v>1522959</v>
      </c>
      <c r="D24" s="32">
        <f>D8+D13+D16+D19+D22</f>
        <v>1905399</v>
      </c>
      <c r="E24" s="32">
        <f>E8+E13+E16+E19+E22</f>
        <v>2232337</v>
      </c>
      <c r="F24" s="32">
        <f>F8+F13+F16+F19+F22</f>
        <v>2378698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9"/>
  <sheetFormatPr defaultRowHeight="15" outlineLevelRow="0" outlineLevelCol="0" x14ac:dyDescent="55"/>
  <cols>
    <col min="1" max="1" width="36" customWidth="1"/>
    <col min="2" max="6" width="16" customWidth="1"/>
  </cols>
  <sheetData>
    <row r="1" spans="1:6" x14ac:dyDescent="0.25">
      <c r="A1" s="15" t="s">
        <v>276</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277</v>
      </c>
      <c r="B4" s="19"/>
      <c r="C4" s="19"/>
      <c r="D4" s="19"/>
      <c r="E4" s="19"/>
      <c r="F4" s="19"/>
    </row>
    <row r="5" spans="1:6" x14ac:dyDescent="0.25">
      <c r="A5" s="11" t="s">
        <v>278</v>
      </c>
      <c r="B5" s="30">
        <v>950000</v>
      </c>
      <c r="C5" s="30">
        <v>1957000</v>
      </c>
      <c r="D5" s="30">
        <v>3023565</v>
      </c>
      <c r="E5" s="30">
        <v>3892840</v>
      </c>
      <c r="F5" s="30">
        <v>4276933</v>
      </c>
    </row>
    <row r="6" spans="1:6" x14ac:dyDescent="0.25">
      <c r="A6" s="11" t="s">
        <v>279</v>
      </c>
      <c r="B6" s="30">
        <v>80000</v>
      </c>
      <c r="C6" s="30">
        <v>164800</v>
      </c>
      <c r="D6" s="30">
        <v>254616</v>
      </c>
      <c r="E6" s="30">
        <v>327818</v>
      </c>
      <c r="F6" s="30">
        <v>360163</v>
      </c>
    </row>
    <row r="7" spans="1:6" x14ac:dyDescent="0.25">
      <c r="A7" s="11" t="s">
        <v>280</v>
      </c>
      <c r="B7" s="30">
        <v>120000</v>
      </c>
      <c r="C7" s="30">
        <v>247200</v>
      </c>
      <c r="D7" s="30">
        <v>381924</v>
      </c>
      <c r="E7" s="30">
        <v>491727</v>
      </c>
      <c r="F7" s="30">
        <v>540244</v>
      </c>
    </row>
    <row r="8" spans="1:6" x14ac:dyDescent="0.25">
      <c r="A8" s="11" t="s">
        <v>281</v>
      </c>
      <c r="B8" s="30">
        <v>83333</v>
      </c>
      <c r="C8" s="30">
        <v>103000</v>
      </c>
      <c r="D8" s="30">
        <v>106090</v>
      </c>
      <c r="E8" s="30">
        <v>109273</v>
      </c>
      <c r="F8" s="30">
        <v>112551</v>
      </c>
    </row>
    <row r="9" spans="1:6" x14ac:dyDescent="0.25">
      <c r="A9" s="11" t="s">
        <v>282</v>
      </c>
      <c r="B9" s="30">
        <v>25000</v>
      </c>
      <c r="C9" s="30">
        <v>30900</v>
      </c>
      <c r="D9" s="30">
        <v>31827</v>
      </c>
      <c r="E9" s="30">
        <v>32782</v>
      </c>
      <c r="F9" s="30">
        <v>33765</v>
      </c>
    </row>
    <row r="10" spans="1:6" x14ac:dyDescent="0.25">
      <c r="A10" s="11" t="s">
        <v>283</v>
      </c>
      <c r="B10" s="30">
        <v>30000</v>
      </c>
      <c r="C10" s="30">
        <v>61800</v>
      </c>
      <c r="D10" s="30">
        <v>95481</v>
      </c>
      <c r="E10" s="30">
        <v>122932</v>
      </c>
      <c r="F10" s="30">
        <v>135061</v>
      </c>
    </row>
    <row r="11" spans="1:6" x14ac:dyDescent="0.25">
      <c r="A11" s="10" t="s">
        <v>284</v>
      </c>
      <c r="B11" s="31">
        <f>SUM(B5:B10)</f>
        <v>1288333</v>
      </c>
      <c r="C11" s="31">
        <f>SUM(C5:C10)</f>
        <v>2564700</v>
      </c>
      <c r="D11" s="31">
        <f>SUM(D5:D10)</f>
        <v>3893503</v>
      </c>
      <c r="E11" s="31">
        <f>SUM(E5:E10)</f>
        <v>4977371</v>
      </c>
      <c r="F11" s="31">
        <f>SUM(F5:F10)</f>
        <v>5458718</v>
      </c>
    </row>
    <row r="13" ht="24" customHeight="1" spans="1:6" x14ac:dyDescent="0.25">
      <c r="A13" s="19" t="s">
        <v>285</v>
      </c>
      <c r="B13" s="19"/>
      <c r="C13" s="19"/>
      <c r="D13" s="19"/>
      <c r="E13" s="19"/>
      <c r="F13" s="19"/>
    </row>
    <row r="14" spans="1:6" x14ac:dyDescent="0.25">
      <c r="A14" s="11" t="s">
        <v>286</v>
      </c>
      <c r="B14" s="30">
        <v>124346</v>
      </c>
      <c r="C14" s="30">
        <v>153691</v>
      </c>
      <c r="D14" s="30">
        <v>158302</v>
      </c>
      <c r="E14" s="30">
        <v>163051</v>
      </c>
      <c r="F14" s="30">
        <v>167943</v>
      </c>
    </row>
    <row r="15" spans="1:6" x14ac:dyDescent="0.25">
      <c r="A15" s="11" t="s">
        <v>287</v>
      </c>
      <c r="B15" s="30">
        <v>101738</v>
      </c>
      <c r="C15" s="30">
        <v>125748</v>
      </c>
      <c r="D15" s="30">
        <v>129520</v>
      </c>
      <c r="E15" s="30">
        <v>133406</v>
      </c>
      <c r="F15" s="30">
        <v>137408</v>
      </c>
    </row>
    <row r="16" spans="1:6" x14ac:dyDescent="0.25">
      <c r="A16" s="11" t="s">
        <v>288</v>
      </c>
      <c r="B16" s="30">
        <v>81390</v>
      </c>
      <c r="C16" s="30">
        <v>100598</v>
      </c>
      <c r="D16" s="30">
        <v>103616</v>
      </c>
      <c r="E16" s="30">
        <v>106724</v>
      </c>
      <c r="F16" s="30">
        <v>109926</v>
      </c>
    </row>
    <row r="17" spans="1:6" x14ac:dyDescent="0.25">
      <c r="A17" s="11" t="s">
        <v>289</v>
      </c>
      <c r="B17" s="30">
        <v>323299</v>
      </c>
      <c r="C17" s="30">
        <v>690214</v>
      </c>
      <c r="D17" s="30">
        <v>1047673</v>
      </c>
      <c r="E17" s="30">
        <v>1348879</v>
      </c>
      <c r="F17" s="30">
        <v>1468736</v>
      </c>
    </row>
    <row r="18" spans="1:6" x14ac:dyDescent="0.25">
      <c r="A18" s="11" t="s">
        <v>290</v>
      </c>
      <c r="B18" s="30">
        <v>62173</v>
      </c>
      <c r="C18" s="30">
        <v>76846</v>
      </c>
      <c r="D18" s="30">
        <v>79151</v>
      </c>
      <c r="E18" s="30">
        <v>81526</v>
      </c>
      <c r="F18" s="30">
        <v>83971</v>
      </c>
    </row>
    <row r="19" spans="1:6" x14ac:dyDescent="0.25">
      <c r="A19" s="11" t="s">
        <v>291</v>
      </c>
      <c r="B19" s="30">
        <v>95738</v>
      </c>
      <c r="C19" s="30">
        <v>118332</v>
      </c>
      <c r="D19" s="30">
        <v>121881</v>
      </c>
      <c r="E19" s="30">
        <v>125538</v>
      </c>
      <c r="F19" s="30">
        <v>129304</v>
      </c>
    </row>
    <row r="20" spans="1:6" x14ac:dyDescent="0.25">
      <c r="A20" s="11" t="s">
        <v>292</v>
      </c>
      <c r="B20" s="30">
        <v>62173</v>
      </c>
      <c r="C20" s="30">
        <v>76846</v>
      </c>
      <c r="D20" s="30">
        <v>79151</v>
      </c>
      <c r="E20" s="30">
        <v>81526</v>
      </c>
      <c r="F20" s="30">
        <v>83971</v>
      </c>
    </row>
    <row r="21" spans="1:6" x14ac:dyDescent="0.25">
      <c r="A21" s="11" t="s">
        <v>293</v>
      </c>
      <c r="B21" s="30">
        <v>84012</v>
      </c>
      <c r="C21" s="30">
        <v>103838</v>
      </c>
      <c r="D21" s="30">
        <v>106954</v>
      </c>
      <c r="E21" s="30">
        <v>110162</v>
      </c>
      <c r="F21" s="30">
        <v>113467</v>
      </c>
    </row>
    <row r="22" spans="1:6" x14ac:dyDescent="0.25">
      <c r="A22" s="11" t="s">
        <v>294</v>
      </c>
      <c r="B22" s="30">
        <v>62173</v>
      </c>
      <c r="C22" s="30">
        <v>76846</v>
      </c>
      <c r="D22" s="30">
        <v>79151</v>
      </c>
      <c r="E22" s="30">
        <v>81526</v>
      </c>
      <c r="F22" s="30">
        <v>83971</v>
      </c>
    </row>
    <row r="23" spans="1:6" x14ac:dyDescent="0.25">
      <c r="A23" s="10" t="s">
        <v>231</v>
      </c>
      <c r="B23" s="31">
        <f>SUM(B14:B22)</f>
        <v>997040</v>
      </c>
      <c r="C23" s="31">
        <f>SUM(C14:C22)</f>
        <v>1522959</v>
      </c>
      <c r="D23" s="31">
        <f>SUM(D14:D22)</f>
        <v>1905399</v>
      </c>
      <c r="E23" s="31">
        <f>SUM(E14:E22)</f>
        <v>2232337</v>
      </c>
      <c r="F23" s="31">
        <f>SUM(F14:F22)</f>
        <v>2378698</v>
      </c>
    </row>
    <row r="25" ht="24" customHeight="1" spans="1:6" x14ac:dyDescent="0.25">
      <c r="A25" s="19" t="s">
        <v>151</v>
      </c>
      <c r="B25" s="19"/>
      <c r="C25" s="19"/>
      <c r="D25" s="19"/>
      <c r="E25" s="19"/>
      <c r="F25" s="19"/>
    </row>
    <row r="26" spans="1:1" x14ac:dyDescent="0.25">
      <c r="A26" s="37" t="s">
        <v>159</v>
      </c>
    </row>
    <row r="27" spans="1:6" x14ac:dyDescent="0.25">
      <c r="A27" s="11" t="s">
        <v>295</v>
      </c>
      <c r="B27" s="30">
        <v>70000</v>
      </c>
      <c r="C27" s="30">
        <v>144200</v>
      </c>
      <c r="D27" s="30">
        <v>222789</v>
      </c>
      <c r="E27" s="30">
        <v>286841</v>
      </c>
      <c r="F27" s="30">
        <v>315142</v>
      </c>
    </row>
    <row r="28" spans="1:1" x14ac:dyDescent="0.25">
      <c r="A28" s="37" t="s">
        <v>161</v>
      </c>
    </row>
    <row r="29" spans="1:6" x14ac:dyDescent="0.25">
      <c r="A29" s="11" t="s">
        <v>296</v>
      </c>
      <c r="B29" s="30">
        <v>50000</v>
      </c>
      <c r="C29" s="30">
        <v>103000</v>
      </c>
      <c r="D29" s="30">
        <v>159135</v>
      </c>
      <c r="E29" s="30">
        <v>204886</v>
      </c>
      <c r="F29" s="30">
        <v>225102</v>
      </c>
    </row>
    <row r="30" spans="1:1" x14ac:dyDescent="0.25">
      <c r="A30" s="37" t="s">
        <v>153</v>
      </c>
    </row>
    <row r="31" spans="1:6" x14ac:dyDescent="0.25">
      <c r="A31" s="11" t="s">
        <v>297</v>
      </c>
      <c r="B31" s="30">
        <v>180000</v>
      </c>
      <c r="C31" s="30">
        <v>222480</v>
      </c>
      <c r="D31" s="30">
        <v>229154</v>
      </c>
      <c r="E31" s="30">
        <v>236029</v>
      </c>
      <c r="F31" s="30">
        <v>243110</v>
      </c>
    </row>
    <row r="32" spans="1:6" x14ac:dyDescent="0.25">
      <c r="A32" s="11" t="s">
        <v>298</v>
      </c>
      <c r="B32" s="30">
        <v>25000</v>
      </c>
      <c r="C32" s="30">
        <v>30900</v>
      </c>
      <c r="D32" s="30">
        <v>31827</v>
      </c>
      <c r="E32" s="30">
        <v>32782</v>
      </c>
      <c r="F32" s="30">
        <v>33765</v>
      </c>
    </row>
    <row r="33" spans="1:6" x14ac:dyDescent="0.25">
      <c r="A33" s="11" t="s">
        <v>299</v>
      </c>
      <c r="B33" s="30">
        <v>15000</v>
      </c>
      <c r="C33" s="30">
        <v>18540</v>
      </c>
      <c r="D33" s="30">
        <v>19096</v>
      </c>
      <c r="E33" s="30">
        <v>19669</v>
      </c>
      <c r="F33" s="30">
        <v>20259</v>
      </c>
    </row>
    <row r="34" spans="1:6" x14ac:dyDescent="0.25">
      <c r="A34" s="11" t="s">
        <v>300</v>
      </c>
      <c r="B34" s="30">
        <v>15000</v>
      </c>
      <c r="C34" s="30">
        <v>18540</v>
      </c>
      <c r="D34" s="30">
        <v>19096</v>
      </c>
      <c r="E34" s="30">
        <v>19669</v>
      </c>
      <c r="F34" s="30">
        <v>20259</v>
      </c>
    </row>
    <row r="35" spans="1:6" x14ac:dyDescent="0.25">
      <c r="A35" s="10" t="s">
        <v>301</v>
      </c>
      <c r="B35" s="31">
        <f>SUM(B31:B34)</f>
        <v>235000</v>
      </c>
      <c r="C35" s="31">
        <f>SUM(C31:C34)</f>
        <v>290460</v>
      </c>
      <c r="D35" s="31">
        <f>SUM(D31:D34)</f>
        <v>299174</v>
      </c>
      <c r="E35" s="31">
        <f>SUM(E31:E34)</f>
        <v>308149</v>
      </c>
      <c r="F35" s="31">
        <f>SUM(F31:F34)</f>
        <v>317393</v>
      </c>
    </row>
    <row r="36" spans="1:1" x14ac:dyDescent="0.25">
      <c r="A36" s="37" t="s">
        <v>163</v>
      </c>
    </row>
    <row r="37" spans="1:6" x14ac:dyDescent="0.25">
      <c r="A37" s="11" t="s">
        <v>302</v>
      </c>
      <c r="B37" s="30">
        <v>20833</v>
      </c>
      <c r="C37" s="30">
        <v>25750</v>
      </c>
      <c r="D37" s="30">
        <v>26523</v>
      </c>
      <c r="E37" s="30">
        <v>27318</v>
      </c>
      <c r="F37" s="30">
        <v>28138</v>
      </c>
    </row>
    <row r="38" spans="1:6" x14ac:dyDescent="0.25">
      <c r="A38" s="11" t="s">
        <v>303</v>
      </c>
      <c r="B38" s="30">
        <v>12500</v>
      </c>
      <c r="C38" s="30">
        <v>15450</v>
      </c>
      <c r="D38" s="30">
        <v>15914</v>
      </c>
      <c r="E38" s="30">
        <v>16391</v>
      </c>
      <c r="F38" s="30">
        <v>16883</v>
      </c>
    </row>
    <row r="39" spans="1:6" x14ac:dyDescent="0.25">
      <c r="A39" s="11" t="s">
        <v>304</v>
      </c>
      <c r="B39" s="30">
        <v>16667</v>
      </c>
      <c r="C39" s="30">
        <v>20600</v>
      </c>
      <c r="D39" s="30">
        <v>21218</v>
      </c>
      <c r="E39" s="30">
        <v>21855</v>
      </c>
      <c r="F39" s="30">
        <v>22510</v>
      </c>
    </row>
    <row r="40" spans="1:6" x14ac:dyDescent="0.25">
      <c r="A40" s="11" t="s">
        <v>305</v>
      </c>
      <c r="B40" s="30">
        <v>80000</v>
      </c>
      <c r="C40" s="30">
        <v>164800</v>
      </c>
      <c r="D40" s="30">
        <v>254616</v>
      </c>
      <c r="E40" s="30">
        <v>327818</v>
      </c>
      <c r="F40" s="30">
        <v>360163</v>
      </c>
    </row>
    <row r="41" spans="1:6" x14ac:dyDescent="0.25">
      <c r="A41" s="11" t="s">
        <v>306</v>
      </c>
      <c r="B41" s="30">
        <v>60000</v>
      </c>
      <c r="C41" s="30">
        <v>123600</v>
      </c>
      <c r="D41" s="30">
        <v>190962</v>
      </c>
      <c r="E41" s="30">
        <v>245864</v>
      </c>
      <c r="F41" s="30">
        <v>270122</v>
      </c>
    </row>
    <row r="42" spans="1:6" x14ac:dyDescent="0.25">
      <c r="A42" s="10" t="s">
        <v>307</v>
      </c>
      <c r="B42" s="31">
        <f>SUM(B37:B41)</f>
        <v>190000</v>
      </c>
      <c r="C42" s="31">
        <f>SUM(C37:C41)</f>
        <v>350200</v>
      </c>
      <c r="D42" s="31">
        <f>SUM(D37:D41)</f>
        <v>509232</v>
      </c>
      <c r="E42" s="31">
        <f>SUM(E37:E41)</f>
        <v>639245</v>
      </c>
      <c r="F42" s="31">
        <f>SUM(F37:F41)</f>
        <v>697815</v>
      </c>
    </row>
    <row r="43" spans="1:6" x14ac:dyDescent="0.25">
      <c r="A43" s="10" t="s">
        <v>308</v>
      </c>
      <c r="B43" s="31">
        <f>B27+B29+B35+B42</f>
        <v>545000</v>
      </c>
      <c r="C43" s="31">
        <f>C27+C29+C35+C42</f>
        <v>887860</v>
      </c>
      <c r="D43" s="31">
        <f>D27+D29+D35+D42</f>
        <v>1190330</v>
      </c>
      <c r="E43" s="31">
        <f>E27+E29+E35+E42</f>
        <v>1439121</v>
      </c>
      <c r="F43" s="31">
        <f>F27+F29+F35+F42</f>
        <v>1555453</v>
      </c>
    </row>
    <row r="45" ht="24" customHeight="1" spans="1:6" x14ac:dyDescent="0.25">
      <c r="A45" s="19" t="s">
        <v>309</v>
      </c>
      <c r="B45" s="19"/>
      <c r="C45" s="19"/>
      <c r="D45" s="19"/>
      <c r="E45" s="19"/>
      <c r="F45" s="19"/>
    </row>
    <row r="46" spans="1:6" x14ac:dyDescent="0.25">
      <c r="A46" s="11" t="s">
        <v>310</v>
      </c>
      <c r="B46" s="30">
        <v>49825</v>
      </c>
      <c r="C46" s="30">
        <v>49825</v>
      </c>
      <c r="D46" s="30">
        <v>49825</v>
      </c>
      <c r="E46" s="30">
        <v>49825</v>
      </c>
      <c r="F46" s="30">
        <v>49825</v>
      </c>
    </row>
    <row r="47" spans="1:6" x14ac:dyDescent="0.25">
      <c r="A47" s="11" t="s">
        <v>311</v>
      </c>
      <c r="B47" s="30">
        <v>75000</v>
      </c>
      <c r="C47" s="30">
        <v>25000</v>
      </c>
      <c r="D47" s="30">
        <v>30000</v>
      </c>
      <c r="E47" s="30">
        <v>15000</v>
      </c>
      <c r="F47" s="30">
        <v>10000</v>
      </c>
    </row>
    <row r="48" spans="1:6" x14ac:dyDescent="0.25">
      <c r="A48" s="11" t="s">
        <v>312</v>
      </c>
      <c r="B48" s="30">
        <v>40000</v>
      </c>
      <c r="C48" s="30">
        <v>15000</v>
      </c>
      <c r="D48" s="30">
        <v>10000</v>
      </c>
      <c r="E48" s="30">
        <v>10000</v>
      </c>
      <c r="F48" s="30">
        <v>10000</v>
      </c>
    </row>
    <row r="49" spans="1:6" x14ac:dyDescent="0.25">
      <c r="A49" s="10" t="s">
        <v>313</v>
      </c>
      <c r="B49" s="31">
        <f>SUM(B46:B48)</f>
        <v>164825</v>
      </c>
      <c r="C49" s="31">
        <f>SUM(C46:C48)</f>
        <v>89825</v>
      </c>
      <c r="D49" s="31">
        <f>SUM(D46:D48)</f>
        <v>89825</v>
      </c>
      <c r="E49" s="31">
        <f>SUM(E46:E48)</f>
        <v>74825</v>
      </c>
      <c r="F49" s="31">
        <f>SUM(F46:F48)</f>
        <v>69825</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314</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284</v>
      </c>
      <c r="B4" s="33">
        <f>'Budget Detail'!B11</f>
        <v>1288333</v>
      </c>
      <c r="C4" s="33">
        <f>'Budget Detail'!C11</f>
        <v>2564700</v>
      </c>
      <c r="D4" s="33">
        <f>'Budget Detail'!D11</f>
        <v>3893503</v>
      </c>
      <c r="E4" s="33">
        <f>'Budget Detail'!E11</f>
        <v>4977371</v>
      </c>
      <c r="F4" s="33">
        <f>'Budget Detail'!F11</f>
        <v>5458718</v>
      </c>
    </row>
    <row r="5" spans="1:6" x14ac:dyDescent="0.25">
      <c r="A5" s="10" t="s">
        <v>231</v>
      </c>
      <c r="B5" s="33">
        <f>'Budget Detail'!B23</f>
        <v>997040</v>
      </c>
      <c r="C5" s="33">
        <f>'Budget Detail'!C23</f>
        <v>1522959</v>
      </c>
      <c r="D5" s="33">
        <f>'Budget Detail'!D23</f>
        <v>1905399</v>
      </c>
      <c r="E5" s="33">
        <f>'Budget Detail'!E23</f>
        <v>2232337</v>
      </c>
      <c r="F5" s="33">
        <f>'Budget Detail'!F23</f>
        <v>2378698</v>
      </c>
    </row>
    <row r="6" spans="1:6" x14ac:dyDescent="0.25">
      <c r="A6" s="10" t="s">
        <v>308</v>
      </c>
      <c r="B6" s="33">
        <f>'Budget Detail'!B43</f>
        <v>545000</v>
      </c>
      <c r="C6" s="33">
        <f>'Budget Detail'!C43</f>
        <v>887860</v>
      </c>
      <c r="D6" s="33">
        <f>'Budget Detail'!D43</f>
        <v>1190330</v>
      </c>
      <c r="E6" s="33">
        <f>'Budget Detail'!E43</f>
        <v>1439121</v>
      </c>
      <c r="F6" s="33">
        <f>'Budget Detail'!F43</f>
        <v>1555453</v>
      </c>
    </row>
    <row r="7" spans="1:6" x14ac:dyDescent="0.25">
      <c r="A7" s="10" t="s">
        <v>315</v>
      </c>
      <c r="B7" s="33">
        <f>'Budget Detail'!B49</f>
        <v>164825</v>
      </c>
      <c r="C7" s="33">
        <f>'Budget Detail'!C49</f>
        <v>89825</v>
      </c>
      <c r="D7" s="33">
        <f>'Budget Detail'!D49</f>
        <v>89825</v>
      </c>
      <c r="E7" s="33">
        <f>'Budget Detail'!E49</f>
        <v>74825</v>
      </c>
      <c r="F7" s="33">
        <f>'Budget Detail'!F49</f>
        <v>69825</v>
      </c>
    </row>
    <row r="8" spans="1:6" x14ac:dyDescent="0.25">
      <c r="A8" s="10" t="s">
        <v>316</v>
      </c>
      <c r="B8" s="31">
        <f>SUM(B5:B7)</f>
        <v>1706865</v>
      </c>
      <c r="C8" s="31">
        <f>SUM(C5:C7)</f>
        <v>2500643</v>
      </c>
      <c r="D8" s="31">
        <f>SUM(D5:D7)</f>
        <v>3185554</v>
      </c>
      <c r="E8" s="31">
        <f>SUM(E5:E7)</f>
        <v>3746283</v>
      </c>
      <c r="F8" s="31">
        <f>SUM(F5:F7)</f>
        <v>4003976</v>
      </c>
    </row>
    <row r="10" ht="24" customHeight="1" spans="1:6" x14ac:dyDescent="0.25">
      <c r="A10" s="19" t="s">
        <v>317</v>
      </c>
      <c r="B10" s="19"/>
      <c r="C10" s="19"/>
      <c r="D10" s="19"/>
      <c r="E10" s="19"/>
      <c r="F10" s="19"/>
    </row>
    <row r="11" spans="1:6" x14ac:dyDescent="0.25">
      <c r="A11" s="10" t="s">
        <v>318</v>
      </c>
      <c r="B11" s="32">
        <f>B4-B8</f>
        <v>-418532</v>
      </c>
      <c r="C11" s="32">
        <f>C4-C8</f>
        <v>64057</v>
      </c>
      <c r="D11" s="32">
        <f>D4-D8</f>
        <v>707949</v>
      </c>
      <c r="E11" s="32">
        <f>E4-E8</f>
        <v>1231089</v>
      </c>
      <c r="F11" s="32">
        <f>F4-F8</f>
        <v>1454742</v>
      </c>
    </row>
    <row r="12" spans="1:6" x14ac:dyDescent="0.25">
      <c r="A12" s="11" t="s">
        <v>319</v>
      </c>
      <c r="B12" s="29">
        <f>IF(B4=0,0,B11/B4)</f>
        <v>-0.32486289</v>
      </c>
      <c r="C12" s="29">
        <f>IF(C4=0,0,C11/C4)</f>
        <v>0.02497636</v>
      </c>
      <c r="D12" s="29">
        <f>IF(D4=0,0,D11/D4)</f>
        <v>0.18182839</v>
      </c>
      <c r="E12" s="29">
        <f>IF(E4=0,0,E11/E4)</f>
        <v>0.24733708</v>
      </c>
      <c r="F12" s="29">
        <f>IF(F4=0,0,F11/F4)</f>
        <v>0.26649881</v>
      </c>
    </row>
    <row r="13" spans="1:6" x14ac:dyDescent="0.25">
      <c r="A13" s="11" t="s">
        <v>320</v>
      </c>
      <c r="B13" s="30">
        <v>-418532</v>
      </c>
      <c r="C13" s="30">
        <v>-354475</v>
      </c>
      <c r="D13" s="30">
        <v>353475</v>
      </c>
      <c r="E13" s="30">
        <v>1584563</v>
      </c>
      <c r="F13" s="30">
        <v>3039305</v>
      </c>
    </row>
    <row r="14" spans="1:6" x14ac:dyDescent="0.25">
      <c r="A14" s="11" t="s">
        <v>259</v>
      </c>
      <c r="B14" s="30">
        <v>10736</v>
      </c>
      <c r="C14" s="30">
        <v>12824</v>
      </c>
      <c r="D14" s="30">
        <v>12978</v>
      </c>
      <c r="E14" s="30">
        <v>13273</v>
      </c>
      <c r="F14" s="30">
        <v>13647</v>
      </c>
    </row>
    <row r="15" spans="1:6" x14ac:dyDescent="0.25">
      <c r="A15" s="11" t="s">
        <v>321</v>
      </c>
      <c r="B15" s="30">
        <v>14224</v>
      </c>
      <c r="C15" s="30">
        <v>12503</v>
      </c>
      <c r="D15" s="30">
        <v>10619</v>
      </c>
      <c r="E15" s="30">
        <v>9990</v>
      </c>
      <c r="F15" s="30">
        <v>10010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322</v>
      </c>
      <c r="B1" s="15"/>
      <c r="C1" s="15"/>
      <c r="D1" s="15"/>
      <c r="E1" s="15"/>
      <c r="F1" s="15"/>
      <c r="G1" s="15"/>
      <c r="H1" s="15"/>
      <c r="I1" s="15"/>
      <c r="J1" s="15"/>
      <c r="K1" s="15"/>
      <c r="L1" s="15"/>
      <c r="M1" s="15"/>
      <c r="N1" s="15"/>
    </row>
    <row r="2" ht="28" customHeight="1" spans="1:14" x14ac:dyDescent="0.25">
      <c r="A2" s="21" t="s">
        <v>7</v>
      </c>
      <c r="B2" s="21" t="s">
        <v>323</v>
      </c>
      <c r="C2" s="21" t="s">
        <v>324</v>
      </c>
      <c r="D2" s="21" t="s">
        <v>325</v>
      </c>
      <c r="E2" s="21" t="s">
        <v>326</v>
      </c>
      <c r="F2" s="21" t="s">
        <v>327</v>
      </c>
      <c r="G2" s="21" t="s">
        <v>328</v>
      </c>
      <c r="H2" s="21" t="s">
        <v>329</v>
      </c>
      <c r="I2" s="21" t="s">
        <v>330</v>
      </c>
      <c r="J2" s="21" t="s">
        <v>331</v>
      </c>
      <c r="K2" s="21" t="s">
        <v>332</v>
      </c>
      <c r="L2" s="21" t="s">
        <v>333</v>
      </c>
      <c r="M2" s="21" t="s">
        <v>334</v>
      </c>
      <c r="N2" s="21" t="s">
        <v>335</v>
      </c>
    </row>
    <row r="3" ht="24" customHeight="1" spans="1:14" x14ac:dyDescent="0.25">
      <c r="A3" s="19" t="s">
        <v>277</v>
      </c>
      <c r="B3" s="19"/>
      <c r="C3" s="19"/>
      <c r="D3" s="19"/>
      <c r="E3" s="19"/>
      <c r="F3" s="19"/>
      <c r="G3" s="19"/>
      <c r="H3" s="19"/>
      <c r="I3" s="19"/>
      <c r="J3" s="19"/>
      <c r="K3" s="19"/>
      <c r="L3" s="19"/>
      <c r="M3" s="19"/>
      <c r="N3" s="19"/>
    </row>
    <row r="4" spans="1:14" x14ac:dyDescent="0.25">
      <c r="A4" s="10" t="s">
        <v>284</v>
      </c>
      <c r="B4" s="31">
        <v>154600</v>
      </c>
      <c r="C4" s="31">
        <v>154600</v>
      </c>
      <c r="D4" s="31">
        <v>154600</v>
      </c>
      <c r="E4" s="31">
        <v>154600</v>
      </c>
      <c r="F4" s="31">
        <v>154600</v>
      </c>
      <c r="G4" s="31">
        <v>154600</v>
      </c>
      <c r="H4" s="31">
        <v>154600</v>
      </c>
      <c r="I4" s="31">
        <v>154600</v>
      </c>
      <c r="J4" s="31">
        <v>154600</v>
      </c>
      <c r="K4" s="31">
        <v>154600</v>
      </c>
      <c r="L4" s="31">
        <v>0</v>
      </c>
      <c r="M4" s="31">
        <v>0</v>
      </c>
      <c r="N4" s="31">
        <f>SUM(B4:M4)</f>
        <v>1546000</v>
      </c>
    </row>
    <row r="6" ht="24" customHeight="1" spans="1:14" x14ac:dyDescent="0.25">
      <c r="A6" s="19" t="s">
        <v>336</v>
      </c>
      <c r="B6" s="19"/>
      <c r="C6" s="19"/>
      <c r="D6" s="19"/>
      <c r="E6" s="19"/>
      <c r="F6" s="19"/>
      <c r="G6" s="19"/>
      <c r="H6" s="19"/>
      <c r="I6" s="19"/>
      <c r="J6" s="19"/>
      <c r="K6" s="19"/>
      <c r="L6" s="19"/>
      <c r="M6" s="19"/>
      <c r="N6" s="19"/>
    </row>
    <row r="7" spans="1:14" x14ac:dyDescent="0.25">
      <c r="A7" s="11" t="s">
        <v>337</v>
      </c>
      <c r="B7" s="30">
        <v>99704</v>
      </c>
      <c r="C7" s="30">
        <v>99704</v>
      </c>
      <c r="D7" s="30">
        <v>99704</v>
      </c>
      <c r="E7" s="30">
        <v>99704</v>
      </c>
      <c r="F7" s="30">
        <v>99704</v>
      </c>
      <c r="G7" s="30">
        <v>99704</v>
      </c>
      <c r="H7" s="30">
        <v>99704</v>
      </c>
      <c r="I7" s="30">
        <v>99704</v>
      </c>
      <c r="J7" s="30">
        <v>99704</v>
      </c>
      <c r="K7" s="30">
        <v>99704</v>
      </c>
      <c r="L7" s="30">
        <v>0</v>
      </c>
      <c r="M7" s="30">
        <v>0</v>
      </c>
      <c r="N7" s="30">
        <f>SUM(B7:M7)</f>
        <v>997040</v>
      </c>
    </row>
    <row r="8" spans="1:14" x14ac:dyDescent="0.25">
      <c r="A8" s="11" t="s">
        <v>338</v>
      </c>
      <c r="B8" s="30">
        <v>54500</v>
      </c>
      <c r="C8" s="30">
        <v>54500</v>
      </c>
      <c r="D8" s="30">
        <v>54500</v>
      </c>
      <c r="E8" s="30">
        <v>54500</v>
      </c>
      <c r="F8" s="30">
        <v>54500</v>
      </c>
      <c r="G8" s="30">
        <v>54500</v>
      </c>
      <c r="H8" s="30">
        <v>54500</v>
      </c>
      <c r="I8" s="30">
        <v>54500</v>
      </c>
      <c r="J8" s="30">
        <v>54500</v>
      </c>
      <c r="K8" s="30">
        <v>54500</v>
      </c>
      <c r="L8" s="30">
        <v>0</v>
      </c>
      <c r="M8" s="30">
        <v>0</v>
      </c>
      <c r="N8" s="30">
        <f>SUM(B8:M8)</f>
        <v>545000</v>
      </c>
    </row>
    <row r="9" spans="1:14" x14ac:dyDescent="0.25">
      <c r="A9" s="11" t="s">
        <v>339</v>
      </c>
      <c r="B9" s="30">
        <v>13735</v>
      </c>
      <c r="C9" s="30">
        <v>13735</v>
      </c>
      <c r="D9" s="30">
        <v>13735</v>
      </c>
      <c r="E9" s="30">
        <v>13735</v>
      </c>
      <c r="F9" s="30">
        <v>13735</v>
      </c>
      <c r="G9" s="30">
        <v>13735</v>
      </c>
      <c r="H9" s="30">
        <v>13735</v>
      </c>
      <c r="I9" s="30">
        <v>13735</v>
      </c>
      <c r="J9" s="30">
        <v>13735</v>
      </c>
      <c r="K9" s="30">
        <v>13735</v>
      </c>
      <c r="L9" s="30">
        <v>13735</v>
      </c>
      <c r="M9" s="30">
        <v>13735</v>
      </c>
      <c r="N9" s="30">
        <f>SUM(B9:M9)</f>
        <v>164825</v>
      </c>
    </row>
    <row r="11" ht="24" customHeight="1" spans="1:14" x14ac:dyDescent="0.25">
      <c r="A11" s="19" t="s">
        <v>340</v>
      </c>
      <c r="B11" s="19"/>
      <c r="C11" s="19"/>
      <c r="D11" s="19"/>
      <c r="E11" s="19"/>
      <c r="F11" s="19"/>
      <c r="G11" s="19"/>
      <c r="H11" s="19"/>
      <c r="I11" s="19"/>
      <c r="J11" s="19"/>
      <c r="K11" s="19"/>
      <c r="L11" s="19"/>
      <c r="M11" s="19"/>
      <c r="N11" s="19"/>
    </row>
    <row r="12" spans="1:14" x14ac:dyDescent="0.25">
      <c r="A12" s="10" t="s">
        <v>316</v>
      </c>
      <c r="B12" s="33">
        <f>B7+B8+B9</f>
        <v>167939</v>
      </c>
      <c r="C12" s="33">
        <f>C7+C8+C9</f>
        <v>167939</v>
      </c>
      <c r="D12" s="33">
        <f>D7+D8+D9</f>
        <v>167939</v>
      </c>
      <c r="E12" s="33">
        <f>E7+E8+E9</f>
        <v>167939</v>
      </c>
      <c r="F12" s="33">
        <f>F7+F8+F9</f>
        <v>167939</v>
      </c>
      <c r="G12" s="33">
        <f>G7+G8+G9</f>
        <v>167939</v>
      </c>
      <c r="H12" s="33">
        <f>H7+H8+H9</f>
        <v>167939</v>
      </c>
      <c r="I12" s="33">
        <f>I7+I8+I9</f>
        <v>167939</v>
      </c>
      <c r="J12" s="33">
        <f>J7+J8+J9</f>
        <v>167939</v>
      </c>
      <c r="K12" s="33">
        <f>K7+K8+K9</f>
        <v>167939</v>
      </c>
      <c r="L12" s="33">
        <f>L7+L8+L9</f>
        <v>13735</v>
      </c>
      <c r="M12" s="33">
        <f>M7+M8+M9</f>
        <v>13735</v>
      </c>
      <c r="N12" s="33">
        <f>SUM(B12:M12)</f>
        <v>1706860</v>
      </c>
    </row>
    <row r="13" spans="1:14" x14ac:dyDescent="0.25">
      <c r="A13" s="10" t="s">
        <v>341</v>
      </c>
      <c r="B13" s="33">
        <f>B4-B12</f>
        <v>-13339</v>
      </c>
      <c r="C13" s="33">
        <f>C4-C12</f>
        <v>-13339</v>
      </c>
      <c r="D13" s="33">
        <f>D4-D12</f>
        <v>-13339</v>
      </c>
      <c r="E13" s="33">
        <f>E4-E12</f>
        <v>-13339</v>
      </c>
      <c r="F13" s="33">
        <f>F4-F12</f>
        <v>-13339</v>
      </c>
      <c r="G13" s="33">
        <f>G4-G12</f>
        <v>-13339</v>
      </c>
      <c r="H13" s="33">
        <f>H4-H12</f>
        <v>-13339</v>
      </c>
      <c r="I13" s="33">
        <f>I4-I12</f>
        <v>-13339</v>
      </c>
      <c r="J13" s="33">
        <f>J4-J12</f>
        <v>-13339</v>
      </c>
      <c r="K13" s="33">
        <f>K4-K12</f>
        <v>-13339</v>
      </c>
      <c r="L13" s="33">
        <f>L4-L12</f>
        <v>-13735</v>
      </c>
      <c r="M13" s="33">
        <f>M4-M12</f>
        <v>-13735</v>
      </c>
      <c r="N13" s="33">
        <f>SUM(B13:M13)</f>
        <v>-160860</v>
      </c>
    </row>
    <row r="14" spans="1:14" x14ac:dyDescent="0.25">
      <c r="A14" s="10" t="s">
        <v>342</v>
      </c>
      <c r="B14" s="38">
        <f>B17+B13</f>
        <v>-13339</v>
      </c>
      <c r="C14" s="38">
        <f>B14+C13</f>
        <v>-26678</v>
      </c>
      <c r="D14" s="38">
        <f>C14+D13</f>
        <v>-40017</v>
      </c>
      <c r="E14" s="38">
        <f>D14+E13</f>
        <v>-53356</v>
      </c>
      <c r="F14" s="38">
        <f>E14+F13</f>
        <v>-66695</v>
      </c>
      <c r="G14" s="38">
        <f>F14+G13</f>
        <v>-80034</v>
      </c>
      <c r="H14" s="38">
        <f>G14+H13</f>
        <v>-93373</v>
      </c>
      <c r="I14" s="38">
        <f>H14+I13</f>
        <v>-106712</v>
      </c>
      <c r="J14" s="38">
        <f>I14+J13</f>
        <v>-120051</v>
      </c>
      <c r="K14" s="38">
        <f>J14+K13</f>
        <v>-133390</v>
      </c>
      <c r="L14" s="38">
        <f>K14+L13</f>
        <v>-147125</v>
      </c>
      <c r="M14" s="38">
        <f>L14+M13</f>
        <v>-160860</v>
      </c>
      <c r="N14" s="32">
        <f>M14</f>
        <v>-160860</v>
      </c>
    </row>
    <row r="16" ht="24" customHeight="1" spans="1:3" x14ac:dyDescent="0.25">
      <c r="A16" s="19" t="s">
        <v>343</v>
      </c>
      <c r="B16" s="19"/>
      <c r="C16" s="19"/>
    </row>
    <row r="17" spans="1:2" x14ac:dyDescent="0.25">
      <c r="A17" s="11" t="s">
        <v>182</v>
      </c>
      <c r="B17" s="23">
        <v>0</v>
      </c>
    </row>
    <row r="18" spans="1:2" x14ac:dyDescent="0.25">
      <c r="A18" s="11" t="s">
        <v>344</v>
      </c>
      <c r="B18" s="38">
        <f>M14</f>
        <v>-160860</v>
      </c>
    </row>
    <row r="19" spans="1:2" x14ac:dyDescent="0.25">
      <c r="A19" s="11" t="s">
        <v>345</v>
      </c>
      <c r="B19" s="39">
        <f>MIN(B14:M14)</f>
        <v>-160860</v>
      </c>
    </row>
    <row r="20" spans="1:6" x14ac:dyDescent="0.25">
      <c r="A20" s="3" t="s">
        <v>346</v>
      </c>
      <c r="B20" s="3"/>
      <c r="C20" s="3"/>
      <c r="D20" s="3"/>
      <c r="E20" s="3"/>
      <c r="F20" s="3"/>
    </row>
    <row r="21" spans="1:8" x14ac:dyDescent="0.25">
      <c r="A21" s="40" t="s">
        <v>347</v>
      </c>
      <c r="B21" s="40"/>
      <c r="C21" s="40"/>
      <c r="D21" s="40"/>
      <c r="E21" s="40"/>
      <c r="F21" s="40"/>
      <c r="G21" s="40"/>
      <c r="H21" s="40"/>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348</v>
      </c>
      <c r="B1" s="15"/>
      <c r="C1" s="15"/>
      <c r="D1" s="15"/>
      <c r="E1" s="15"/>
      <c r="F1" s="15"/>
    </row>
    <row r="2" spans="1:6" x14ac:dyDescent="0.25">
      <c r="A2" s="41" t="s">
        <v>349</v>
      </c>
      <c r="B2" s="41"/>
      <c r="C2" s="41"/>
      <c r="D2" s="41"/>
      <c r="E2" s="41"/>
      <c r="F2" s="41"/>
    </row>
    <row r="3" ht="28" customHeight="1" spans="1:6" x14ac:dyDescent="0.25">
      <c r="A3" s="21" t="s">
        <v>7</v>
      </c>
      <c r="B3" s="21" t="s">
        <v>104</v>
      </c>
      <c r="C3" s="21" t="s">
        <v>105</v>
      </c>
      <c r="D3" s="21" t="s">
        <v>106</v>
      </c>
      <c r="E3" s="21" t="s">
        <v>107</v>
      </c>
      <c r="F3" s="21" t="s">
        <v>108</v>
      </c>
    </row>
    <row r="4" ht="24" customHeight="1" spans="1:6" x14ac:dyDescent="0.25">
      <c r="A4" s="19" t="s">
        <v>277</v>
      </c>
      <c r="B4" s="19"/>
      <c r="C4" s="19"/>
      <c r="D4" s="19"/>
      <c r="E4" s="19"/>
      <c r="F4" s="19"/>
    </row>
    <row r="5" spans="1:6" x14ac:dyDescent="0.25">
      <c r="A5" s="42" t="s">
        <v>284</v>
      </c>
      <c r="B5" s="31">
        <v>1288333</v>
      </c>
      <c r="C5" s="31">
        <v>2564700</v>
      </c>
      <c r="D5" s="31">
        <v>3893503</v>
      </c>
      <c r="E5" s="31">
        <v>4977371</v>
      </c>
      <c r="F5" s="31">
        <v>5458718</v>
      </c>
    </row>
    <row r="7" ht="24" customHeight="1" spans="1:6" x14ac:dyDescent="0.25">
      <c r="A7" s="19" t="s">
        <v>336</v>
      </c>
      <c r="B7" s="19"/>
      <c r="C7" s="19"/>
      <c r="D7" s="19"/>
      <c r="E7" s="19"/>
      <c r="F7" s="19"/>
    </row>
    <row r="8" spans="1:6" x14ac:dyDescent="0.25">
      <c r="A8" s="10" t="s">
        <v>337</v>
      </c>
      <c r="B8" s="33">
        <v>997040</v>
      </c>
      <c r="C8" s="33">
        <v>1522959</v>
      </c>
      <c r="D8" s="33">
        <v>1905399</v>
      </c>
      <c r="E8" s="33">
        <v>2232337</v>
      </c>
      <c r="F8" s="33">
        <v>2378698</v>
      </c>
    </row>
    <row r="9" spans="1:6" x14ac:dyDescent="0.25">
      <c r="A9" s="10" t="s">
        <v>338</v>
      </c>
      <c r="B9" s="33">
        <v>545000</v>
      </c>
      <c r="C9" s="33">
        <v>887860</v>
      </c>
      <c r="D9" s="33">
        <v>1190330</v>
      </c>
      <c r="E9" s="33">
        <v>1439121</v>
      </c>
      <c r="F9" s="33">
        <v>1555453</v>
      </c>
    </row>
    <row r="10" spans="1:6" x14ac:dyDescent="0.25">
      <c r="A10" s="10" t="s">
        <v>350</v>
      </c>
      <c r="B10" s="33">
        <v>164825</v>
      </c>
      <c r="C10" s="33">
        <v>89825</v>
      </c>
      <c r="D10" s="33">
        <v>89825</v>
      </c>
      <c r="E10" s="33">
        <v>74825</v>
      </c>
      <c r="F10" s="33">
        <v>69825</v>
      </c>
    </row>
    <row r="11" spans="1:6" x14ac:dyDescent="0.25">
      <c r="A11" s="10" t="s">
        <v>351</v>
      </c>
      <c r="B11" s="33">
        <v>0</v>
      </c>
      <c r="C11" s="33">
        <v>0</v>
      </c>
      <c r="D11" s="33">
        <v>0</v>
      </c>
      <c r="E11" s="33">
        <v>0</v>
      </c>
      <c r="F11" s="33">
        <v>0</v>
      </c>
    </row>
    <row r="12" spans="1:6" x14ac:dyDescent="0.25">
      <c r="A12" s="42" t="s">
        <v>316</v>
      </c>
      <c r="B12" s="31">
        <f>SUM(B8:B11)</f>
        <v>1706865</v>
      </c>
      <c r="C12" s="31">
        <f>SUM(C8:C11)</f>
        <v>2500643</v>
      </c>
      <c r="D12" s="31">
        <f>SUM(D8:D11)</f>
        <v>3185554</v>
      </c>
      <c r="E12" s="31">
        <f>SUM(E8:E11)</f>
        <v>3746283</v>
      </c>
      <c r="F12" s="31">
        <f>SUM(F8:F11)</f>
        <v>4003976</v>
      </c>
    </row>
    <row r="14" ht="24" customHeight="1" spans="1:6" x14ac:dyDescent="0.25">
      <c r="A14" s="19" t="s">
        <v>352</v>
      </c>
      <c r="B14" s="19"/>
      <c r="C14" s="19"/>
      <c r="D14" s="19"/>
      <c r="E14" s="19"/>
      <c r="F14" s="19"/>
    </row>
    <row r="15" spans="1:6" x14ac:dyDescent="0.25">
      <c r="A15" s="42" t="s">
        <v>318</v>
      </c>
      <c r="B15" s="32">
        <f>B5-B12</f>
        <v>-418532</v>
      </c>
      <c r="C15" s="32">
        <f>C5-C12</f>
        <v>64057</v>
      </c>
      <c r="D15" s="32">
        <f>D5-D12</f>
        <v>707949</v>
      </c>
      <c r="E15" s="32">
        <f>E5-E12</f>
        <v>1231089</v>
      </c>
      <c r="F15" s="32">
        <f>F5-F12</f>
        <v>1454742</v>
      </c>
    </row>
    <row r="16" spans="1:6" x14ac:dyDescent="0.25">
      <c r="A16" s="11" t="s">
        <v>319</v>
      </c>
      <c r="B16" s="29">
        <f>IF(B5=0,0,B15/B5)</f>
        <v>-0.32486289</v>
      </c>
      <c r="C16" s="29">
        <f>IF(C5=0,0,C15/C5)</f>
        <v>0.02497636</v>
      </c>
      <c r="D16" s="29">
        <f>IF(D5=0,0,D15/D5)</f>
        <v>0.18182839</v>
      </c>
      <c r="E16" s="29">
        <f>IF(E5=0,0,E15/E5)</f>
        <v>0.24733708</v>
      </c>
      <c r="F16" s="29">
        <f>IF(F5=0,0,F15/F5)</f>
        <v>0.26649881</v>
      </c>
    </row>
    <row r="17" spans="1:6" x14ac:dyDescent="0.25">
      <c r="A17" s="10" t="s">
        <v>353</v>
      </c>
      <c r="B17" s="33">
        <f>B15</f>
        <v>-418532</v>
      </c>
      <c r="C17" s="33">
        <f>B17+C15</f>
        <v>-354475</v>
      </c>
      <c r="D17" s="33">
        <f>C17+D15</f>
        <v>353475</v>
      </c>
      <c r="E17" s="33">
        <f>D17+E15</f>
        <v>1584563</v>
      </c>
      <c r="F17" s="33">
        <f>E17+F15</f>
        <v>3039305</v>
      </c>
    </row>
    <row r="18" spans="1:6" x14ac:dyDescent="0.25">
      <c r="A18" s="10" t="s">
        <v>354</v>
      </c>
      <c r="B18" s="43" t="s">
        <v>7</v>
      </c>
      <c r="C18" s="43" t="s">
        <v>7</v>
      </c>
      <c r="D18" s="44" t="s">
        <v>355</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356</v>
      </c>
      <c r="B4" s="19"/>
      <c r="C4" s="19"/>
      <c r="D4" s="19"/>
      <c r="E4" s="19"/>
      <c r="F4" s="19"/>
    </row>
    <row r="5" spans="1:5" x14ac:dyDescent="0.25">
      <c r="A5" s="45" t="s">
        <v>357</v>
      </c>
      <c r="B5" s="46" t="s">
        <v>139</v>
      </c>
      <c r="C5" s="47" t="s">
        <v>358</v>
      </c>
      <c r="D5" s="45" t="s">
        <v>359</v>
      </c>
      <c r="E5" s="46" t="s">
        <v>252</v>
      </c>
    </row>
    <row r="6" spans="1:5" x14ac:dyDescent="0.25">
      <c r="A6" s="20" t="s">
        <v>171</v>
      </c>
      <c r="B6" s="23">
        <v>500000</v>
      </c>
      <c r="C6" s="24">
        <v>0.0575</v>
      </c>
      <c r="D6" s="20">
        <v>15</v>
      </c>
      <c r="E6" s="30">
        <f>IF(OR(B6=0,D6=0),0,IF(C6=0,B6/D6,-PMT(C6/12,D6*12,B6)*12))</f>
        <v>49825</v>
      </c>
    </row>
    <row r="8" ht="24" customHeight="1" spans="1:6" x14ac:dyDescent="0.25">
      <c r="A8" s="19" t="s">
        <v>360</v>
      </c>
      <c r="B8" s="19"/>
      <c r="C8" s="19"/>
      <c r="D8" s="19"/>
      <c r="E8" s="19"/>
      <c r="F8" s="19"/>
    </row>
    <row r="9" spans="1:6" x14ac:dyDescent="0.25">
      <c r="A9" s="11" t="s">
        <v>361</v>
      </c>
      <c r="B9" s="30">
        <f>B6</f>
        <v>500000</v>
      </c>
      <c r="C9" s="30">
        <f>B13</f>
        <v>478361</v>
      </c>
      <c r="D9" s="30">
        <f>C13</f>
        <v>455444</v>
      </c>
      <c r="E9" s="30">
        <f>D13</f>
        <v>431175</v>
      </c>
      <c r="F9" s="30">
        <f>E13</f>
        <v>405473</v>
      </c>
    </row>
    <row r="10" spans="1:6" x14ac:dyDescent="0.25">
      <c r="A10" s="11" t="s">
        <v>362</v>
      </c>
      <c r="B10" s="30">
        <f>IF(OR(D6=0,1&gt;D6*12),0,IF(C6=0,0,-CUMIPMT(C6/12,D6*12,B6,1,12,0)))</f>
        <v>28186</v>
      </c>
      <c r="C10" s="30">
        <f>IF(OR(D6=0,13&gt;D6*12),0,IF(C6=0,0,-CUMIPMT(C6/12,D6*12,B6,13,24,0)))</f>
        <v>26908</v>
      </c>
      <c r="D10" s="30">
        <f>IF(OR(D6=0,25&gt;D6*12),0,IF(C6=0,0,-CUMIPMT(C6/12,D6*12,B6,25,36,0)))</f>
        <v>25555</v>
      </c>
      <c r="E10" s="30">
        <f>IF(OR(D6=0,37&gt;D6*12),0,IF(C6=0,0,-CUMIPMT(C6/12,D6*12,B6,37,48,0)))</f>
        <v>24122</v>
      </c>
      <c r="F10" s="30">
        <f>IF(OR(D6=0,49&gt;D6*12),0,IF(C6=0,0,-CUMIPMT(C6/12,D6*12,B6,49,60,0)))</f>
        <v>22605</v>
      </c>
    </row>
    <row r="11" spans="1:6" x14ac:dyDescent="0.25">
      <c r="A11" s="11" t="s">
        <v>363</v>
      </c>
      <c r="B11" s="30">
        <f>IF(OR(D6=0,1&gt;D6*12),0,IF(C6=0,B6/D6,-CUMPRINC(C6/12,D6*12,B6,1,12,0)))</f>
        <v>21639</v>
      </c>
      <c r="C11" s="30">
        <f>IF(OR(D6=0,13&gt;D6*12),0,IF(C6=0,B6/D6,-CUMPRINC(C6/12,D6*12,B6,13,24,0)))</f>
        <v>22917</v>
      </c>
      <c r="D11" s="30">
        <f>IF(OR(D6=0,25&gt;D6*12),0,IF(C6=0,B6/D6,-CUMPRINC(C6/12,D6*12,B6,25,36,0)))</f>
        <v>24270</v>
      </c>
      <c r="E11" s="30">
        <f>IF(OR(D6=0,37&gt;D6*12),0,IF(C6=0,B6/D6,-CUMPRINC(C6/12,D6*12,B6,37,48,0)))</f>
        <v>25702</v>
      </c>
      <c r="F11" s="30">
        <f>IF(OR(D6=0,49&gt;D6*12),0,IF(C6=0,B6/D6,-CUMPRINC(C6/12,D6*12,B6,49,60,0)))</f>
        <v>27220</v>
      </c>
    </row>
    <row r="12" spans="1:6" x14ac:dyDescent="0.25">
      <c r="A12" s="10" t="s">
        <v>364</v>
      </c>
      <c r="B12" s="33">
        <f>B10+B11</f>
        <v>49825</v>
      </c>
      <c r="C12" s="33">
        <f>C10+C11</f>
        <v>49825</v>
      </c>
      <c r="D12" s="33">
        <f>D10+D11</f>
        <v>49825</v>
      </c>
      <c r="E12" s="33">
        <f>E10+E11</f>
        <v>49825</v>
      </c>
      <c r="F12" s="33">
        <f>F10+F11</f>
        <v>49825</v>
      </c>
    </row>
    <row r="13" spans="1:6" x14ac:dyDescent="0.25">
      <c r="A13" s="10" t="s">
        <v>365</v>
      </c>
      <c r="B13" s="38">
        <f>MAX(0,B9-B11)</f>
        <v>478361</v>
      </c>
      <c r="C13" s="38">
        <f>MAX(0,C9-C11)</f>
        <v>455444</v>
      </c>
      <c r="D13" s="38">
        <f>MAX(0,D9-D11)</f>
        <v>431175</v>
      </c>
      <c r="E13" s="38">
        <f>MAX(0,E9-E11)</f>
        <v>405473</v>
      </c>
      <c r="F13" s="38">
        <f>MAX(0,F9-F11)</f>
        <v>378253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366</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367</v>
      </c>
      <c r="B4" s="19"/>
      <c r="C4" s="19"/>
      <c r="D4" s="19"/>
      <c r="E4" s="19"/>
      <c r="F4" s="19"/>
    </row>
    <row r="5" spans="1:6" x14ac:dyDescent="0.25">
      <c r="A5" s="11" t="s">
        <v>368</v>
      </c>
      <c r="B5" s="48">
        <f>'Monthly Cash Flow Y1'!M14</f>
        <v>-160860</v>
      </c>
      <c r="C5" s="48">
        <f>B5+'5-Year Operating Stmt'!C15</f>
        <v>-96803</v>
      </c>
      <c r="D5" s="48">
        <f>B5+'5-Year Operating Stmt'!C15+'5-Year Operating Stmt'!D15</f>
        <v>611146</v>
      </c>
      <c r="E5" s="48">
        <f>B5+'5-Year Operating Stmt'!C15+'5-Year Operating Stmt'!D15+'5-Year Operating Stmt'!E15</f>
        <v>1842235</v>
      </c>
      <c r="F5" s="48">
        <f>B5+'5-Year Operating Stmt'!C15+'5-Year Operating Stmt'!D15+'5-Year Operating Stmt'!E15+'5-Year Operating Stmt'!F15</f>
        <v>3296977</v>
      </c>
    </row>
    <row r="6" spans="1:6" x14ac:dyDescent="0.25">
      <c r="A6" s="11" t="s">
        <v>369</v>
      </c>
      <c r="B6" s="30">
        <v>74123</v>
      </c>
      <c r="C6" s="30">
        <v>147558</v>
      </c>
      <c r="D6" s="30">
        <v>224010</v>
      </c>
      <c r="E6" s="30">
        <v>286369</v>
      </c>
      <c r="F6" s="30">
        <v>314063</v>
      </c>
    </row>
    <row r="7" spans="1:6" x14ac:dyDescent="0.25">
      <c r="A7" s="11" t="s">
        <v>370</v>
      </c>
      <c r="B7" s="30">
        <v>0</v>
      </c>
      <c r="C7" s="30">
        <v>0</v>
      </c>
      <c r="D7" s="30">
        <v>0</v>
      </c>
      <c r="E7" s="30">
        <v>0</v>
      </c>
      <c r="F7" s="30">
        <v>0</v>
      </c>
    </row>
    <row r="8" spans="1:6" x14ac:dyDescent="0.25">
      <c r="A8" s="11" t="s">
        <v>371</v>
      </c>
      <c r="B8" s="30">
        <v>0</v>
      </c>
      <c r="C8" s="30">
        <v>0</v>
      </c>
      <c r="D8" s="30">
        <v>0</v>
      </c>
      <c r="E8" s="30">
        <v>0</v>
      </c>
      <c r="F8" s="30">
        <v>0</v>
      </c>
    </row>
    <row r="9" spans="1:6" x14ac:dyDescent="0.25">
      <c r="A9" s="10" t="s">
        <v>372</v>
      </c>
      <c r="B9" s="31">
        <f>SUM(B5:B8)</f>
        <v>-86737</v>
      </c>
      <c r="C9" s="31">
        <f>SUM(C5:C8)</f>
        <v>50755</v>
      </c>
      <c r="D9" s="31">
        <f>SUM(D5:D8)</f>
        <v>835156</v>
      </c>
      <c r="E9" s="31">
        <f>SUM(E5:E8)</f>
        <v>2128604</v>
      </c>
      <c r="F9" s="31">
        <f>SUM(F5:F8)</f>
        <v>3611040</v>
      </c>
    </row>
    <row r="11" ht="24" customHeight="1" spans="1:6" x14ac:dyDescent="0.25">
      <c r="A11" s="19" t="s">
        <v>373</v>
      </c>
      <c r="B11" s="19"/>
      <c r="C11" s="19"/>
      <c r="D11" s="19"/>
      <c r="E11" s="19"/>
      <c r="F11" s="19"/>
    </row>
    <row r="12" spans="1:6" x14ac:dyDescent="0.25">
      <c r="A12" s="11" t="s">
        <v>374</v>
      </c>
      <c r="B12" s="30">
        <v>0</v>
      </c>
      <c r="C12" s="30">
        <v>0</v>
      </c>
      <c r="D12" s="30">
        <v>0</v>
      </c>
      <c r="E12" s="30">
        <v>0</v>
      </c>
      <c r="F12" s="30">
        <v>0</v>
      </c>
    </row>
    <row r="13" spans="1:6" x14ac:dyDescent="0.25">
      <c r="A13" s="11" t="s">
        <v>375</v>
      </c>
      <c r="B13" s="30">
        <f>'Debt Schedule'!B13</f>
        <v>478361</v>
      </c>
      <c r="C13" s="30">
        <f>'Debt Schedule'!C13</f>
        <v>455444</v>
      </c>
      <c r="D13" s="30">
        <f>'Debt Schedule'!D13</f>
        <v>431175</v>
      </c>
      <c r="E13" s="30">
        <f>'Debt Schedule'!E13</f>
        <v>405473</v>
      </c>
      <c r="F13" s="30">
        <f>'Debt Schedule'!F13</f>
        <v>378253</v>
      </c>
    </row>
    <row r="14" spans="1:6" x14ac:dyDescent="0.25">
      <c r="A14" s="10" t="s">
        <v>376</v>
      </c>
      <c r="B14" s="31">
        <f>SUM(B12:B13)</f>
        <v>478361</v>
      </c>
      <c r="C14" s="31">
        <f>SUM(C12:C13)</f>
        <v>455444</v>
      </c>
      <c r="D14" s="31">
        <f>SUM(D12:D13)</f>
        <v>431175</v>
      </c>
      <c r="E14" s="31">
        <f>SUM(E12:E13)</f>
        <v>405473</v>
      </c>
      <c r="F14" s="31">
        <f>SUM(F12:F13)</f>
        <v>378253</v>
      </c>
    </row>
    <row r="16" ht="24" customHeight="1" spans="1:6" x14ac:dyDescent="0.25">
      <c r="A16" s="19" t="s">
        <v>377</v>
      </c>
      <c r="B16" s="19"/>
      <c r="C16" s="19"/>
      <c r="D16" s="19"/>
      <c r="E16" s="19"/>
      <c r="F16" s="19"/>
    </row>
    <row r="17" spans="1:6" x14ac:dyDescent="0.25">
      <c r="A17" s="10" t="s">
        <v>378</v>
      </c>
      <c r="B17" s="32">
        <f>B9-B14</f>
        <v>-565098</v>
      </c>
      <c r="C17" s="32">
        <f>C9-C14</f>
        <v>-404690</v>
      </c>
      <c r="D17" s="32">
        <f>D9-D14</f>
        <v>403981</v>
      </c>
      <c r="E17" s="32">
        <f>E9-E14</f>
        <v>1723132</v>
      </c>
      <c r="F17" s="32">
        <f>F9-F14</f>
        <v>3232787</v>
      </c>
    </row>
    <row r="19" spans="1:6" x14ac:dyDescent="0.25">
      <c r="A19" s="10" t="s">
        <v>379</v>
      </c>
      <c r="B19" s="49" t="str">
        <f>B9-B14-B17</f>
        <v>0</v>
      </c>
      <c r="C19" s="50">
        <f>C9-C14-C17</f>
        <v>1</v>
      </c>
      <c r="D19" s="49" t="str">
        <f>D9-D14-D17</f>
        <v>0</v>
      </c>
      <c r="E19" s="50">
        <f>E9-E14-E17</f>
        <v>-1</v>
      </c>
      <c r="F19" s="49"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380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381</v>
      </c>
      <c r="B4" s="19"/>
      <c r="C4" s="19"/>
      <c r="D4" s="19"/>
      <c r="E4" s="19"/>
      <c r="F4" s="19"/>
    </row>
    <row r="5" spans="1:6" x14ac:dyDescent="0.25">
      <c r="A5" s="11" t="s">
        <v>382</v>
      </c>
      <c r="B5" s="30">
        <v>1288333</v>
      </c>
      <c r="C5" s="30">
        <v>2564700</v>
      </c>
      <c r="D5" s="30">
        <v>3893503</v>
      </c>
      <c r="E5" s="30">
        <v>4977371</v>
      </c>
      <c r="F5" s="30">
        <v>5458718</v>
      </c>
    </row>
    <row r="6" spans="1:6" x14ac:dyDescent="0.25">
      <c r="A6" s="11" t="s">
        <v>337</v>
      </c>
      <c r="B6" s="30">
        <v>997040</v>
      </c>
      <c r="C6" s="30">
        <v>1522959</v>
      </c>
      <c r="D6" s="30">
        <v>1905399</v>
      </c>
      <c r="E6" s="30">
        <v>2232337</v>
      </c>
      <c r="F6" s="30">
        <v>2378698</v>
      </c>
    </row>
    <row r="7" spans="1:6" x14ac:dyDescent="0.25">
      <c r="A7" s="11" t="s">
        <v>338</v>
      </c>
      <c r="B7" s="30">
        <v>545000</v>
      </c>
      <c r="C7" s="30">
        <v>887860</v>
      </c>
      <c r="D7" s="30">
        <v>1190330</v>
      </c>
      <c r="E7" s="30">
        <v>1439121</v>
      </c>
      <c r="F7" s="30">
        <v>1555453</v>
      </c>
    </row>
    <row r="8" spans="1:6" x14ac:dyDescent="0.25">
      <c r="A8" s="10" t="s">
        <v>383</v>
      </c>
      <c r="B8" s="33">
        <v>-418532</v>
      </c>
      <c r="C8" s="33">
        <v>64057</v>
      </c>
      <c r="D8" s="33">
        <v>707949</v>
      </c>
      <c r="E8" s="33">
        <v>1231089</v>
      </c>
      <c r="F8" s="33">
        <v>1454742</v>
      </c>
    </row>
    <row r="9" spans="1:6" x14ac:dyDescent="0.25">
      <c r="A9" s="11" t="s">
        <v>384</v>
      </c>
      <c r="B9" s="30">
        <v>0</v>
      </c>
      <c r="C9" s="30">
        <v>0</v>
      </c>
      <c r="D9" s="30">
        <v>0</v>
      </c>
      <c r="E9" s="30">
        <v>0</v>
      </c>
      <c r="F9" s="30">
        <v>0</v>
      </c>
    </row>
    <row r="10" spans="1:6" x14ac:dyDescent="0.25">
      <c r="A10" s="11" t="s">
        <v>385</v>
      </c>
      <c r="B10" s="30">
        <v>49825</v>
      </c>
      <c r="C10" s="30">
        <v>49825</v>
      </c>
      <c r="D10" s="30">
        <v>49825</v>
      </c>
      <c r="E10" s="30">
        <v>49825</v>
      </c>
      <c r="F10" s="30">
        <v>49825</v>
      </c>
    </row>
    <row r="11" spans="1:6" x14ac:dyDescent="0.25">
      <c r="A11" s="10" t="s">
        <v>386</v>
      </c>
      <c r="B11" s="33">
        <f>B8+B9+B10</f>
        <v>-368707</v>
      </c>
      <c r="C11" s="33">
        <f>C8+C9+C10</f>
        <v>113881</v>
      </c>
      <c r="D11" s="33">
        <f>D8+D9+D10</f>
        <v>757774</v>
      </c>
      <c r="E11" s="33">
        <f>E8+E9+E10</f>
        <v>1280913</v>
      </c>
      <c r="F11" s="33">
        <f>F8+F9+F10</f>
        <v>1504566</v>
      </c>
    </row>
    <row r="12" spans="1:6" x14ac:dyDescent="0.25">
      <c r="A12" s="10" t="s">
        <v>387</v>
      </c>
      <c r="B12" s="51">
        <f>IF(B10=0,"N/A",B11/B10)</f>
        <v>-7.4</v>
      </c>
      <c r="C12" s="51">
        <f>IF(C10=0,"N/A",C11/C10)</f>
        <v>2.29</v>
      </c>
      <c r="D12" s="51">
        <f>IF(D10=0,"N/A",D11/D10)</f>
        <v>15.21</v>
      </c>
      <c r="E12" s="51">
        <f>IF(E10=0,"N/A",E11/E10)</f>
        <v>25.71</v>
      </c>
      <c r="F12" s="51">
        <f>IF(F10=0,"N/A",F11/F10)</f>
        <v>30.2</v>
      </c>
    </row>
    <row r="14" ht="24" customHeight="1" spans="1:6" x14ac:dyDescent="0.25">
      <c r="A14" s="19" t="s">
        <v>388</v>
      </c>
      <c r="B14" s="19"/>
      <c r="C14" s="19"/>
      <c r="D14" s="19"/>
      <c r="E14" s="19"/>
      <c r="F14" s="19"/>
    </row>
    <row r="15" spans="1:6" x14ac:dyDescent="0.25">
      <c r="A15" s="11" t="s">
        <v>389</v>
      </c>
      <c r="B15" s="30">
        <v>-160860</v>
      </c>
      <c r="C15" s="30">
        <v>-96803</v>
      </c>
      <c r="D15" s="30">
        <v>611146</v>
      </c>
      <c r="E15" s="30">
        <v>1842235</v>
      </c>
      <c r="F15" s="30">
        <v>3296977</v>
      </c>
    </row>
    <row r="16" spans="1:6" x14ac:dyDescent="0.25">
      <c r="A16" s="11" t="s">
        <v>390</v>
      </c>
      <c r="B16" s="35">
        <f>IF((B5-B8)=0,0,(B15/(B5-B8))*365)</f>
        <v>-34</v>
      </c>
      <c r="C16" s="35">
        <f>IF((C5-C8)=0,0,(C15/(C5-C8))*365)</f>
        <v>-14</v>
      </c>
      <c r="D16" s="35">
        <f>IF((D5-D8)=0,0,(D15/(D5-D8))*365)</f>
        <v>70</v>
      </c>
      <c r="E16" s="35">
        <f>IF((E5-E8)=0,0,(E15/(E5-E8))*365)</f>
        <v>179</v>
      </c>
      <c r="F16" s="35">
        <f>IF((F5-F8)=0,0,(F15/(F5-F8))*365)</f>
        <v>301</v>
      </c>
    </row>
    <row r="17" spans="1:6" x14ac:dyDescent="0.25">
      <c r="A17" s="11" t="s">
        <v>391</v>
      </c>
      <c r="B17" s="34">
        <f>IF((B5-B8)=0,0,B15/((B5-B8)/12))</f>
        <v>-1.1</v>
      </c>
      <c r="C17" s="34">
        <f>IF((C5-C8)=0,0,C15/((C5-C8)/12))</f>
        <v>-0.5</v>
      </c>
      <c r="D17" s="34">
        <f>IF((D5-D8)=0,0,D15/((D5-D8)/12))</f>
        <v>2.3</v>
      </c>
      <c r="E17" s="34">
        <f>IF((E5-E8)=0,0,E15/((E5-E8)/12))</f>
        <v>5.9</v>
      </c>
      <c r="F17" s="34">
        <f>IF((F5-F8)=0,0,F15/((F5-F8)/12))</f>
        <v>9.9</v>
      </c>
    </row>
    <row r="18" spans="1:6" x14ac:dyDescent="0.25">
      <c r="A18" s="11" t="s">
        <v>217</v>
      </c>
      <c r="B18" s="29">
        <v>0.3</v>
      </c>
      <c r="C18" s="29">
        <v>0.5</v>
      </c>
      <c r="D18" s="29">
        <v>0.75</v>
      </c>
      <c r="E18" s="29">
        <v>0.9375</v>
      </c>
      <c r="F18" s="29">
        <v>1</v>
      </c>
    </row>
    <row r="20" ht="24" customHeight="1" spans="1:6" x14ac:dyDescent="0.25">
      <c r="A20" s="19" t="s">
        <v>392</v>
      </c>
      <c r="B20" s="19"/>
      <c r="C20" s="19"/>
      <c r="D20" s="19"/>
      <c r="E20" s="19"/>
      <c r="F20" s="19"/>
    </row>
    <row r="21" spans="1:6" x14ac:dyDescent="0.25">
      <c r="A21" s="11" t="s">
        <v>259</v>
      </c>
      <c r="B21" s="30">
        <v>10736</v>
      </c>
      <c r="C21" s="30">
        <v>12824</v>
      </c>
      <c r="D21" s="30">
        <v>12978</v>
      </c>
      <c r="E21" s="30">
        <v>13273</v>
      </c>
      <c r="F21" s="30">
        <v>13647</v>
      </c>
    </row>
    <row r="22" spans="1:6" x14ac:dyDescent="0.25">
      <c r="A22" s="11" t="s">
        <v>393</v>
      </c>
      <c r="B22" s="30">
        <v>1046865</v>
      </c>
      <c r="C22" s="30">
        <v>1572783</v>
      </c>
      <c r="D22" s="30">
        <v>1955224</v>
      </c>
      <c r="E22" s="30">
        <v>2282162</v>
      </c>
      <c r="F22" s="30">
        <v>2428523</v>
      </c>
    </row>
    <row r="23" spans="1:6" x14ac:dyDescent="0.25">
      <c r="A23" s="11" t="s">
        <v>394</v>
      </c>
      <c r="B23" s="30">
        <v>4542</v>
      </c>
      <c r="C23" s="30">
        <v>4439</v>
      </c>
      <c r="D23" s="30">
        <v>3968</v>
      </c>
      <c r="E23" s="30">
        <v>3838</v>
      </c>
      <c r="F23" s="30">
        <v>3889</v>
      </c>
    </row>
    <row r="24" spans="1:6" x14ac:dyDescent="0.25">
      <c r="A24" s="10" t="s">
        <v>395</v>
      </c>
      <c r="B24" s="52">
        <v>170</v>
      </c>
      <c r="C24" s="52">
        <v>188</v>
      </c>
      <c r="D24" s="52">
        <v>217</v>
      </c>
      <c r="E24" s="52">
        <v>242</v>
      </c>
      <c r="F24" s="52">
        <v>249</v>
      </c>
    </row>
    <row r="26" ht="24" customHeight="1" spans="1:6" x14ac:dyDescent="0.25">
      <c r="A26" s="19" t="s">
        <v>396</v>
      </c>
      <c r="B26" s="19"/>
      <c r="C26" s="19"/>
      <c r="D26" s="19"/>
      <c r="E26" s="19"/>
      <c r="F26" s="19"/>
    </row>
    <row r="27" spans="1:6" x14ac:dyDescent="0.25">
      <c r="A27" s="11" t="s">
        <v>397</v>
      </c>
      <c r="B27" s="53" t="s">
        <v>398</v>
      </c>
      <c r="C27" s="54" t="s">
        <v>399</v>
      </c>
      <c r="D27" s="54" t="s">
        <v>399</v>
      </c>
      <c r="E27" s="54" t="s">
        <v>399</v>
      </c>
      <c r="F27" s="54" t="s">
        <v>399</v>
      </c>
    </row>
    <row r="28" spans="1:6" x14ac:dyDescent="0.25">
      <c r="A28" s="11" t="s">
        <v>400</v>
      </c>
      <c r="B28" s="53" t="s">
        <v>398</v>
      </c>
      <c r="C28" s="54" t="s">
        <v>399</v>
      </c>
      <c r="D28" s="54" t="s">
        <v>399</v>
      </c>
      <c r="E28" s="54" t="s">
        <v>399</v>
      </c>
      <c r="F28" s="54" t="s">
        <v>399</v>
      </c>
    </row>
    <row r="29" spans="1:6" x14ac:dyDescent="0.25">
      <c r="A29" s="11" t="s">
        <v>401</v>
      </c>
      <c r="B29" s="53" t="s">
        <v>398</v>
      </c>
      <c r="C29" s="53" t="s">
        <v>398</v>
      </c>
      <c r="D29" s="54" t="s">
        <v>399</v>
      </c>
      <c r="E29" s="54" t="s">
        <v>399</v>
      </c>
      <c r="F29" s="54" t="s">
        <v>399</v>
      </c>
    </row>
    <row r="30" spans="1:6" x14ac:dyDescent="0.25">
      <c r="A30" s="11" t="s">
        <v>402</v>
      </c>
      <c r="B30" s="53" t="s">
        <v>398</v>
      </c>
      <c r="C30" s="53" t="s">
        <v>398</v>
      </c>
      <c r="D30" s="53" t="s">
        <v>398</v>
      </c>
      <c r="E30" s="53" t="s">
        <v>398</v>
      </c>
      <c r="F30" s="53" t="s">
        <v>398</v>
      </c>
    </row>
    <row r="31" spans="1:6" x14ac:dyDescent="0.25">
      <c r="A31" s="11" t="s">
        <v>403</v>
      </c>
      <c r="B31" s="53" t="s">
        <v>398</v>
      </c>
      <c r="C31" s="53" t="s">
        <v>398</v>
      </c>
      <c r="D31" s="54" t="s">
        <v>399</v>
      </c>
      <c r="E31" s="54" t="s">
        <v>399</v>
      </c>
      <c r="F31" s="54" t="s">
        <v>399</v>
      </c>
    </row>
    <row r="32" spans="1:6" x14ac:dyDescent="0.25">
      <c r="A32" s="11" t="s">
        <v>404</v>
      </c>
      <c r="B32" s="53" t="s">
        <v>398</v>
      </c>
      <c r="C32" s="53" t="s">
        <v>398</v>
      </c>
      <c r="D32" s="54" t="s">
        <v>399</v>
      </c>
      <c r="E32" s="54" t="s">
        <v>399</v>
      </c>
      <c r="F32" s="54" t="s">
        <v>399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405</v>
      </c>
      <c r="B3" s="55" t="s">
        <v>114</v>
      </c>
      <c r="D3" s="55" t="s">
        <v>406</v>
      </c>
      <c r="E3" s="55" t="s">
        <v>114</v>
      </c>
    </row>
    <row r="4" spans="1:5" x14ac:dyDescent="0.25">
      <c r="A4" s="11" t="s">
        <v>171</v>
      </c>
      <c r="B4" s="30">
        <v>500000</v>
      </c>
      <c r="D4" s="11" t="s">
        <v>407</v>
      </c>
      <c r="E4" s="30">
        <v>400000</v>
      </c>
    </row>
    <row r="5" spans="1:5" x14ac:dyDescent="0.25">
      <c r="A5" s="11" t="s">
        <v>123</v>
      </c>
      <c r="B5" s="30">
        <v>100000</v>
      </c>
      <c r="D5" s="11" t="s">
        <v>408</v>
      </c>
      <c r="E5" s="30">
        <v>75000</v>
      </c>
    </row>
    <row r="6" spans="1:5" x14ac:dyDescent="0.25">
      <c r="A6" s="11" t="s">
        <v>409</v>
      </c>
      <c r="B6" s="30">
        <v>50000</v>
      </c>
      <c r="D6" s="11" t="s">
        <v>410</v>
      </c>
      <c r="E6" s="30">
        <v>40000</v>
      </c>
    </row>
    <row r="7" spans="4:5" x14ac:dyDescent="0.25">
      <c r="D7" s="11" t="s">
        <v>411</v>
      </c>
      <c r="E7" s="30">
        <v>60000</v>
      </c>
    </row>
    <row r="8" spans="4:5" x14ac:dyDescent="0.25">
      <c r="D8" s="11" t="s">
        <v>412</v>
      </c>
      <c r="E8" s="30">
        <v>75000</v>
      </c>
    </row>
    <row r="10" spans="1:5" x14ac:dyDescent="0.25">
      <c r="A10" s="10" t="s">
        <v>413</v>
      </c>
      <c r="B10" s="32">
        <v>650000</v>
      </c>
      <c r="D10" s="10" t="s">
        <v>414</v>
      </c>
      <c r="E10" s="32">
        <v>650000</v>
      </c>
    </row>
    <row r="11" spans="1:2" x14ac:dyDescent="0.25">
      <c r="A11" s="10" t="s">
        <v>415</v>
      </c>
      <c r="B11" s="49">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1"/>
  <sheetFormatPr defaultRowHeight="15" outlineLevelRow="0" outlineLevelCol="0" x14ac:dyDescent="55"/>
  <cols>
    <col min="1" max="1" width="28" customWidth="1"/>
    <col min="2" max="6" width="16" customWidth="1"/>
  </cols>
  <sheetData>
    <row r="1" spans="1:6" x14ac:dyDescent="0.25">
      <c r="A1" s="15" t="s">
        <v>416</v>
      </c>
      <c r="B1" s="15"/>
      <c r="C1" s="15"/>
      <c r="D1" s="15"/>
      <c r="E1" s="15"/>
      <c r="F1" s="15"/>
    </row>
    <row r="3" ht="24" customHeight="1" spans="1:6" x14ac:dyDescent="0.25">
      <c r="A3" s="19" t="s">
        <v>417</v>
      </c>
      <c r="B3" s="19"/>
      <c r="C3" s="19"/>
      <c r="D3" s="19"/>
      <c r="E3" s="19"/>
      <c r="F3" s="19"/>
    </row>
    <row r="4" spans="1:1" x14ac:dyDescent="0.25">
      <c r="A4" s="17" t="s">
        <v>418</v>
      </c>
    </row>
    <row r="5" ht="28" customHeight="1" spans="1:6" x14ac:dyDescent="0.25">
      <c r="A5" s="21" t="s">
        <v>7</v>
      </c>
      <c r="B5" s="21" t="s">
        <v>104</v>
      </c>
      <c r="C5" s="21" t="s">
        <v>105</v>
      </c>
      <c r="D5" s="21" t="s">
        <v>106</v>
      </c>
      <c r="E5" s="21" t="s">
        <v>107</v>
      </c>
      <c r="F5" s="21" t="s">
        <v>108</v>
      </c>
    </row>
    <row r="6" spans="1:6" x14ac:dyDescent="0.25">
      <c r="A6" s="11" t="s">
        <v>382</v>
      </c>
      <c r="B6" s="30">
        <v>1288333</v>
      </c>
      <c r="C6" s="30">
        <v>2564700</v>
      </c>
      <c r="D6" s="30">
        <v>3893503</v>
      </c>
      <c r="E6" s="30">
        <v>4977371</v>
      </c>
      <c r="F6" s="30">
        <v>5458718</v>
      </c>
    </row>
    <row r="7" spans="1:6" x14ac:dyDescent="0.25">
      <c r="A7" s="11" t="s">
        <v>316</v>
      </c>
      <c r="B7" s="30">
        <v>1591865</v>
      </c>
      <c r="C7" s="30">
        <v>2460643</v>
      </c>
      <c r="D7" s="30">
        <v>3145554</v>
      </c>
      <c r="E7" s="30">
        <v>3721283</v>
      </c>
      <c r="F7" s="30">
        <v>3983976</v>
      </c>
    </row>
    <row r="8" spans="1:6" x14ac:dyDescent="0.25">
      <c r="A8" s="10" t="s">
        <v>318</v>
      </c>
      <c r="B8" s="32">
        <v>-303532</v>
      </c>
      <c r="C8" s="32">
        <v>104057</v>
      </c>
      <c r="D8" s="32">
        <v>747949</v>
      </c>
      <c r="E8" s="32">
        <v>1256089</v>
      </c>
      <c r="F8" s="32">
        <v>1474742</v>
      </c>
    </row>
    <row r="9" spans="1:6" x14ac:dyDescent="0.25">
      <c r="A9" s="11" t="s">
        <v>319</v>
      </c>
      <c r="B9" s="29">
        <v>-0.2356002757214845</v>
      </c>
      <c r="C9" s="29">
        <v>0.04057272966772744</v>
      </c>
      <c r="D9" s="29">
        <v>0.19210191578864091</v>
      </c>
      <c r="E9" s="29">
        <v>0.2523598085842533</v>
      </c>
      <c r="F9" s="29">
        <v>0.2701626770295813</v>
      </c>
    </row>
    <row r="10" spans="1:6" x14ac:dyDescent="0.25">
      <c r="A10" s="11" t="s">
        <v>387</v>
      </c>
      <c r="B10" s="56">
        <v>-5.09</v>
      </c>
      <c r="C10" s="56">
        <v>3.09</v>
      </c>
      <c r="D10" s="56">
        <v>16.01</v>
      </c>
      <c r="E10" s="56">
        <v>26.21</v>
      </c>
      <c r="F10" s="56">
        <v>30.6</v>
      </c>
    </row>
    <row r="11" spans="1:6" x14ac:dyDescent="0.25">
      <c r="A11" s="11" t="s">
        <v>395</v>
      </c>
      <c r="B11" s="35">
        <v>170</v>
      </c>
      <c r="C11" s="35">
        <v>188</v>
      </c>
      <c r="D11" s="35">
        <v>217</v>
      </c>
      <c r="E11" s="35">
        <v>242</v>
      </c>
      <c r="F11" s="35">
        <v>249</v>
      </c>
    </row>
    <row r="13" ht="24" customHeight="1" spans="1:6" x14ac:dyDescent="0.25">
      <c r="A13" s="19" t="s">
        <v>419</v>
      </c>
      <c r="B13" s="19"/>
      <c r="C13" s="19"/>
      <c r="D13" s="19"/>
      <c r="E13" s="19"/>
      <c r="F13" s="19"/>
    </row>
    <row r="14" spans="1:1" x14ac:dyDescent="0.25">
      <c r="A14" s="17" t="s">
        <v>420</v>
      </c>
    </row>
    <row r="15" ht="28" customHeight="1" spans="1:6" x14ac:dyDescent="0.25">
      <c r="A15" s="21" t="s">
        <v>7</v>
      </c>
      <c r="B15" s="21" t="s">
        <v>104</v>
      </c>
      <c r="C15" s="21" t="s">
        <v>105</v>
      </c>
      <c r="D15" s="21" t="s">
        <v>106</v>
      </c>
      <c r="E15" s="21" t="s">
        <v>107</v>
      </c>
      <c r="F15" s="21" t="s">
        <v>108</v>
      </c>
    </row>
    <row r="16" spans="1:6" x14ac:dyDescent="0.25">
      <c r="A16" s="11" t="s">
        <v>382</v>
      </c>
      <c r="B16" s="30">
        <v>966250</v>
      </c>
      <c r="C16" s="30">
        <v>1923525</v>
      </c>
      <c r="D16" s="30">
        <v>2920127</v>
      </c>
      <c r="E16" s="30">
        <v>3733029</v>
      </c>
      <c r="F16" s="30">
        <v>4094038</v>
      </c>
    </row>
    <row r="17" spans="1:6" x14ac:dyDescent="0.25">
      <c r="A17" s="11" t="s">
        <v>316</v>
      </c>
      <c r="B17" s="30">
        <v>1591865</v>
      </c>
      <c r="C17" s="30">
        <v>2460643</v>
      </c>
      <c r="D17" s="30">
        <v>3145554</v>
      </c>
      <c r="E17" s="30">
        <v>3721283</v>
      </c>
      <c r="F17" s="30">
        <v>3983976</v>
      </c>
    </row>
    <row r="18" spans="1:6" x14ac:dyDescent="0.25">
      <c r="A18" s="10" t="s">
        <v>318</v>
      </c>
      <c r="B18" s="32">
        <v>-625615</v>
      </c>
      <c r="C18" s="32">
        <v>-537118</v>
      </c>
      <c r="D18" s="32">
        <v>-225426</v>
      </c>
      <c r="E18" s="32">
        <v>11746</v>
      </c>
      <c r="F18" s="32">
        <v>110062</v>
      </c>
    </row>
    <row r="19" spans="1:6" x14ac:dyDescent="0.25">
      <c r="A19" s="11" t="s">
        <v>319</v>
      </c>
      <c r="B19" s="29">
        <v>-0.6474670342953127</v>
      </c>
      <c r="C19" s="29">
        <v>-0.2792363604430301</v>
      </c>
      <c r="D19" s="29">
        <v>-0.07719744561514545</v>
      </c>
      <c r="E19" s="29">
        <v>0.0031464114456710686</v>
      </c>
      <c r="F19" s="29">
        <v>0.026883569372774998</v>
      </c>
    </row>
    <row r="20" spans="1:6" x14ac:dyDescent="0.25">
      <c r="A20" s="11" t="s">
        <v>387</v>
      </c>
      <c r="B20" s="56">
        <v>-11.56</v>
      </c>
      <c r="C20" s="56">
        <v>-9.78</v>
      </c>
      <c r="D20" s="56">
        <v>-3.52</v>
      </c>
      <c r="E20" s="56">
        <v>1.24</v>
      </c>
      <c r="F20" s="56">
        <v>3.21</v>
      </c>
    </row>
    <row r="21" spans="1:6" x14ac:dyDescent="0.25">
      <c r="A21" s="11" t="s">
        <v>395</v>
      </c>
      <c r="B21" s="35">
        <v>224</v>
      </c>
      <c r="C21" s="35">
        <v>228</v>
      </c>
      <c r="D21" s="35">
        <v>255</v>
      </c>
      <c r="E21" s="35">
        <v>280</v>
      </c>
      <c r="F21" s="35">
        <v>287</v>
      </c>
    </row>
    <row r="23" ht="24" customHeight="1" spans="1:6" x14ac:dyDescent="0.25">
      <c r="A23" s="19" t="s">
        <v>421</v>
      </c>
      <c r="B23" s="19"/>
      <c r="C23" s="19"/>
      <c r="D23" s="19"/>
      <c r="E23" s="19"/>
      <c r="F23" s="19"/>
    </row>
    <row r="24" spans="1:1" x14ac:dyDescent="0.25">
      <c r="A24" s="17" t="s">
        <v>422</v>
      </c>
    </row>
    <row r="25" ht="28" customHeight="1" spans="1:6" x14ac:dyDescent="0.25">
      <c r="A25" s="21" t="s">
        <v>7</v>
      </c>
      <c r="B25" s="21" t="s">
        <v>104</v>
      </c>
      <c r="C25" s="21" t="s">
        <v>105</v>
      </c>
      <c r="D25" s="21" t="s">
        <v>106</v>
      </c>
      <c r="E25" s="21" t="s">
        <v>107</v>
      </c>
      <c r="F25" s="21" t="s">
        <v>108</v>
      </c>
    </row>
    <row r="26" spans="1:6" x14ac:dyDescent="0.25">
      <c r="A26" s="11" t="s">
        <v>382</v>
      </c>
      <c r="B26" s="30">
        <v>1223917</v>
      </c>
      <c r="C26" s="30">
        <v>2436465</v>
      </c>
      <c r="D26" s="30">
        <v>3698828</v>
      </c>
      <c r="E26" s="30">
        <v>4728503</v>
      </c>
      <c r="F26" s="30">
        <v>5185782</v>
      </c>
    </row>
    <row r="27" spans="1:6" x14ac:dyDescent="0.25">
      <c r="A27" s="11" t="s">
        <v>316</v>
      </c>
      <c r="B27" s="30">
        <v>1591865</v>
      </c>
      <c r="C27" s="30">
        <v>2460643</v>
      </c>
      <c r="D27" s="30">
        <v>3145554</v>
      </c>
      <c r="E27" s="30">
        <v>3721283</v>
      </c>
      <c r="F27" s="30">
        <v>3983976</v>
      </c>
    </row>
    <row r="28" spans="1:6" x14ac:dyDescent="0.25">
      <c r="A28" s="10" t="s">
        <v>318</v>
      </c>
      <c r="B28" s="32">
        <v>-367948</v>
      </c>
      <c r="C28" s="32">
        <v>-24178</v>
      </c>
      <c r="D28" s="32">
        <v>553274</v>
      </c>
      <c r="E28" s="32">
        <v>1007220</v>
      </c>
      <c r="F28" s="32">
        <v>1201806</v>
      </c>
    </row>
    <row r="29" spans="1:6" x14ac:dyDescent="0.25">
      <c r="A29" s="11" t="s">
        <v>319</v>
      </c>
      <c r="B29" s="29">
        <v>-0.3006318691805101</v>
      </c>
      <c r="C29" s="29">
        <v>-0.00992344245502375</v>
      </c>
      <c r="D29" s="29">
        <v>0.14958096398804296</v>
      </c>
      <c r="E29" s="29">
        <v>0.2130103248255297</v>
      </c>
      <c r="F29" s="29">
        <v>0.2317501863469276</v>
      </c>
    </row>
    <row r="30" spans="1:6" x14ac:dyDescent="0.25">
      <c r="A30" s="11" t="s">
        <v>387</v>
      </c>
      <c r="B30" s="56">
        <v>-6.38</v>
      </c>
      <c r="C30" s="56">
        <v>0.51</v>
      </c>
      <c r="D30" s="56">
        <v>12.1</v>
      </c>
      <c r="E30" s="56">
        <v>21.22</v>
      </c>
      <c r="F30" s="56">
        <v>25.12</v>
      </c>
    </row>
    <row r="31" spans="1:6" x14ac:dyDescent="0.25">
      <c r="A31" s="11" t="s">
        <v>395</v>
      </c>
      <c r="B31" s="35">
        <v>186</v>
      </c>
      <c r="C31" s="35">
        <v>204</v>
      </c>
      <c r="D31" s="35">
        <v>234</v>
      </c>
      <c r="E31" s="35">
        <v>261</v>
      </c>
      <c r="F31" s="35">
        <v>268</v>
      </c>
    </row>
    <row r="33" ht="24" customHeight="1" spans="1:6" x14ac:dyDescent="0.25">
      <c r="A33" s="19" t="s">
        <v>423</v>
      </c>
      <c r="B33" s="19"/>
      <c r="C33" s="19"/>
      <c r="D33" s="19"/>
      <c r="E33" s="19"/>
      <c r="F33" s="19"/>
    </row>
    <row r="34" spans="1:1" x14ac:dyDescent="0.25">
      <c r="A34" s="17" t="s">
        <v>424</v>
      </c>
    </row>
    <row r="35" ht="28" customHeight="1" spans="1:6" x14ac:dyDescent="0.25">
      <c r="A35" s="21" t="s">
        <v>7</v>
      </c>
      <c r="B35" s="21" t="s">
        <v>104</v>
      </c>
      <c r="C35" s="21" t="s">
        <v>105</v>
      </c>
      <c r="D35" s="21" t="s">
        <v>106</v>
      </c>
      <c r="E35" s="21" t="s">
        <v>107</v>
      </c>
      <c r="F35" s="21" t="s">
        <v>108</v>
      </c>
    </row>
    <row r="36" spans="1:6" x14ac:dyDescent="0.25">
      <c r="A36" s="11" t="s">
        <v>382</v>
      </c>
      <c r="B36" s="30">
        <v>1288333</v>
      </c>
      <c r="C36" s="30">
        <v>2564700</v>
      </c>
      <c r="D36" s="30">
        <v>3893503</v>
      </c>
      <c r="E36" s="30">
        <v>4977371</v>
      </c>
      <c r="F36" s="30">
        <v>5458718</v>
      </c>
    </row>
    <row r="37" spans="1:6" x14ac:dyDescent="0.25">
      <c r="A37" s="11" t="s">
        <v>316</v>
      </c>
      <c r="B37" s="30">
        <v>1638365</v>
      </c>
      <c r="C37" s="30">
        <v>2550253</v>
      </c>
      <c r="D37" s="30">
        <v>3279227</v>
      </c>
      <c r="E37" s="30">
        <v>3890929</v>
      </c>
      <c r="F37" s="30">
        <v>4169685</v>
      </c>
    </row>
    <row r="38" spans="1:6" x14ac:dyDescent="0.25">
      <c r="A38" s="10" t="s">
        <v>318</v>
      </c>
      <c r="B38" s="32">
        <v>-350032</v>
      </c>
      <c r="C38" s="32">
        <v>14447</v>
      </c>
      <c r="D38" s="32">
        <v>614276</v>
      </c>
      <c r="E38" s="32">
        <v>1086443</v>
      </c>
      <c r="F38" s="32">
        <v>1289033</v>
      </c>
    </row>
    <row r="39" spans="1:6" x14ac:dyDescent="0.25">
      <c r="A39" s="11" t="s">
        <v>319</v>
      </c>
      <c r="B39" s="29">
        <v>-0.27169341931786223</v>
      </c>
      <c r="C39" s="29">
        <v>0.005632970631582858</v>
      </c>
      <c r="D39" s="29">
        <v>0.15776949072052104</v>
      </c>
      <c r="E39" s="29">
        <v>0.2182763837763499</v>
      </c>
      <c r="F39" s="29">
        <v>0.23614205847288033</v>
      </c>
    </row>
    <row r="40" spans="1:6" x14ac:dyDescent="0.25">
      <c r="A40" s="11" t="s">
        <v>387</v>
      </c>
      <c r="B40" s="56">
        <v>-6.03</v>
      </c>
      <c r="C40" s="56">
        <v>1.29</v>
      </c>
      <c r="D40" s="56">
        <v>13.33</v>
      </c>
      <c r="E40" s="56">
        <v>22.81</v>
      </c>
      <c r="F40" s="56">
        <v>26.87</v>
      </c>
    </row>
    <row r="41" spans="1:6" x14ac:dyDescent="0.25">
      <c r="A41" s="11" t="s">
        <v>395</v>
      </c>
      <c r="B41" s="35">
        <v>181</v>
      </c>
      <c r="C41" s="35">
        <v>199</v>
      </c>
      <c r="D41" s="35">
        <v>229</v>
      </c>
      <c r="E41" s="35">
        <v>255</v>
      </c>
      <c r="F41" s="35">
        <v>262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425</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131</v>
      </c>
      <c r="B5" s="11" t="s">
        <v>34</v>
      </c>
    </row>
    <row r="6" spans="1:2" x14ac:dyDescent="0.25">
      <c r="A6" s="11" t="s">
        <v>426</v>
      </c>
      <c r="B6" s="11" t="s">
        <v>36</v>
      </c>
    </row>
    <row r="7" spans="1:2" x14ac:dyDescent="0.25">
      <c r="A7" s="11" t="s">
        <v>43</v>
      </c>
      <c r="B7" s="11" t="s">
        <v>44</v>
      </c>
    </row>
    <row r="8" spans="1:2" x14ac:dyDescent="0.25">
      <c r="A8" s="11" t="s">
        <v>37</v>
      </c>
      <c r="B8" s="11" t="s">
        <v>38</v>
      </c>
    </row>
    <row r="9" spans="1:2" x14ac:dyDescent="0.25">
      <c r="A9" s="11" t="s">
        <v>427</v>
      </c>
      <c r="B9" s="11" t="s">
        <v>46</v>
      </c>
    </row>
    <row r="11" ht="24" customHeight="1" spans="1:8" x14ac:dyDescent="0.25">
      <c r="A11" s="19" t="s">
        <v>428</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382</v>
      </c>
      <c r="D13" s="30">
        <v>1288333</v>
      </c>
      <c r="E13" s="30">
        <v>2564700</v>
      </c>
      <c r="F13" s="30">
        <v>3893503</v>
      </c>
      <c r="G13" s="30">
        <v>4977371</v>
      </c>
      <c r="H13" s="30">
        <v>5458718</v>
      </c>
    </row>
    <row r="14" spans="1:8" x14ac:dyDescent="0.25">
      <c r="A14" s="11" t="s">
        <v>316</v>
      </c>
      <c r="D14" s="30">
        <v>1591865</v>
      </c>
      <c r="E14" s="30">
        <v>2460643</v>
      </c>
      <c r="F14" s="30">
        <v>3145554</v>
      </c>
      <c r="G14" s="30">
        <v>3721283</v>
      </c>
      <c r="H14" s="30">
        <v>3983976</v>
      </c>
    </row>
    <row r="15" spans="1:8" x14ac:dyDescent="0.25">
      <c r="A15" s="11" t="s">
        <v>318</v>
      </c>
      <c r="D15" s="30">
        <v>-418532</v>
      </c>
      <c r="E15" s="30">
        <v>64057</v>
      </c>
      <c r="F15" s="30">
        <v>707949</v>
      </c>
      <c r="G15" s="30">
        <v>1231089</v>
      </c>
      <c r="H15" s="30">
        <v>1454742</v>
      </c>
    </row>
    <row r="16" spans="1:8" x14ac:dyDescent="0.25">
      <c r="A16" s="11" t="s">
        <v>429</v>
      </c>
      <c r="D16" s="30">
        <v>-160860</v>
      </c>
      <c r="E16" s="30">
        <v>-96803</v>
      </c>
      <c r="F16" s="30">
        <v>611146</v>
      </c>
      <c r="G16" s="30">
        <v>1842235</v>
      </c>
      <c r="H16" s="30">
        <v>3296977</v>
      </c>
    </row>
    <row r="17" spans="1:8" x14ac:dyDescent="0.25">
      <c r="A17" s="11" t="s">
        <v>430</v>
      </c>
      <c r="D17" s="30">
        <v>478361</v>
      </c>
      <c r="E17" s="30">
        <v>455444</v>
      </c>
      <c r="F17" s="30">
        <v>431175</v>
      </c>
      <c r="G17" s="30">
        <v>405473</v>
      </c>
      <c r="H17" s="30">
        <v>378253</v>
      </c>
    </row>
    <row r="19" ht="24" customHeight="1" spans="1:8" x14ac:dyDescent="0.25">
      <c r="A19" s="19" t="s">
        <v>431</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432</v>
      </c>
      <c r="D21" s="29">
        <v>-0.3248628889168275</v>
      </c>
      <c r="E21" s="29">
        <v>0.02497636362101632</v>
      </c>
      <c r="F21" s="29">
        <v>0.18182839089345013</v>
      </c>
      <c r="G21" s="29">
        <v>0.24733707719373102</v>
      </c>
      <c r="H21" s="29">
        <v>0.26649881291446503</v>
      </c>
    </row>
    <row r="22" spans="1:8" x14ac:dyDescent="0.25">
      <c r="A22" s="11" t="s">
        <v>387</v>
      </c>
      <c r="D22" s="56">
        <v>-7.4</v>
      </c>
      <c r="E22" s="56">
        <v>2.29</v>
      </c>
      <c r="F22" s="56">
        <v>15.21</v>
      </c>
      <c r="G22" s="56">
        <v>25.71</v>
      </c>
      <c r="H22" s="56">
        <v>30.2</v>
      </c>
    </row>
    <row r="23" spans="1:8" x14ac:dyDescent="0.25">
      <c r="A23" s="11" t="s">
        <v>217</v>
      </c>
      <c r="D23" s="29">
        <v>0.3</v>
      </c>
      <c r="E23" s="29">
        <v>0.5</v>
      </c>
      <c r="F23" s="29">
        <v>0.75</v>
      </c>
      <c r="G23" s="29">
        <v>0.9375</v>
      </c>
      <c r="H23" s="29">
        <v>1</v>
      </c>
    </row>
    <row r="24" spans="1:8" x14ac:dyDescent="0.25">
      <c r="A24" s="11" t="s">
        <v>433</v>
      </c>
      <c r="D24" s="35">
        <v>120</v>
      </c>
      <c r="E24" s="35">
        <v>200</v>
      </c>
      <c r="F24" s="35">
        <v>300</v>
      </c>
      <c r="G24" s="35">
        <v>375</v>
      </c>
      <c r="H24" s="35">
        <v>400</v>
      </c>
    </row>
    <row r="26" spans="1:8" x14ac:dyDescent="0.25">
      <c r="A26" s="14" t="s">
        <v>434</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435</v>
      </c>
      <c r="C2" s="1"/>
      <c r="D2" s="1"/>
      <c r="E2" s="1"/>
      <c r="F2" s="1"/>
      <c r="G2" s="1"/>
      <c r="H2" s="1"/>
    </row>
    <row r="3" spans="2:8" x14ac:dyDescent="0.25">
      <c r="B3" s="58" t="s">
        <v>436</v>
      </c>
      <c r="C3" s="58"/>
      <c r="D3" s="58"/>
      <c r="E3" s="58"/>
      <c r="F3" s="58"/>
      <c r="G3" s="58"/>
      <c r="H3" s="58"/>
    </row>
    <row r="4" spans="2:6" x14ac:dyDescent="0.25">
      <c r="B4" s="59" t="s">
        <v>437</v>
      </c>
      <c r="D4" s="60" t="s">
        <v>438</v>
      </c>
      <c r="F4" s="61" t="s">
        <v>439</v>
      </c>
    </row>
    <row r="6" ht="24" customHeight="1" spans="2:8" x14ac:dyDescent="0.25">
      <c r="B6" s="19" t="s">
        <v>440</v>
      </c>
      <c r="C6" s="62" t="s">
        <v>441</v>
      </c>
      <c r="D6" s="62" t="s">
        <v>442</v>
      </c>
      <c r="E6" s="62" t="s">
        <v>443</v>
      </c>
      <c r="F6" s="62" t="s">
        <v>444</v>
      </c>
      <c r="G6" s="62" t="s">
        <v>445</v>
      </c>
      <c r="H6" s="62" t="s">
        <v>446</v>
      </c>
    </row>
    <row r="7" spans="2:7" x14ac:dyDescent="0.25">
      <c r="B7" s="11" t="s">
        <v>433</v>
      </c>
      <c r="C7" s="63">
        <v>120</v>
      </c>
      <c r="D7" s="63">
        <v>200</v>
      </c>
      <c r="E7" s="63">
        <v>300</v>
      </c>
      <c r="F7" s="63">
        <v>375</v>
      </c>
      <c r="G7" s="63">
        <v>400</v>
      </c>
    </row>
    <row r="8" spans="2:7" x14ac:dyDescent="0.25">
      <c r="B8" s="11" t="s">
        <v>382</v>
      </c>
      <c r="C8" s="64">
        <v>1288333.3333333335</v>
      </c>
      <c r="D8" s="64">
        <v>2564700</v>
      </c>
      <c r="E8" s="64">
        <v>3893503</v>
      </c>
      <c r="F8" s="64">
        <v>4977371.484999999</v>
      </c>
      <c r="G8" s="64">
        <v>5458717.7285</v>
      </c>
    </row>
    <row r="9" spans="2:7" x14ac:dyDescent="0.25">
      <c r="B9" s="11" t="s">
        <v>337</v>
      </c>
      <c r="C9" s="64">
        <v>997040.4166666667</v>
      </c>
      <c r="D9" s="64">
        <v>1522958.5150000001</v>
      </c>
      <c r="E9" s="64">
        <v>1905399.20935</v>
      </c>
      <c r="F9" s="64">
        <v>2232336.9055715</v>
      </c>
      <c r="G9" s="64">
        <v>2378698.1531784255</v>
      </c>
    </row>
    <row r="10" spans="2:7" x14ac:dyDescent="0.25">
      <c r="B10" s="11" t="s">
        <v>338</v>
      </c>
      <c r="C10" s="64">
        <v>545000</v>
      </c>
      <c r="D10" s="64">
        <v>887860</v>
      </c>
      <c r="E10" s="64">
        <v>1190329.8</v>
      </c>
      <c r="F10" s="64">
        <v>1439121.459</v>
      </c>
      <c r="G10" s="64">
        <v>1555453.1754200002</v>
      </c>
    </row>
    <row r="11" spans="2:7" x14ac:dyDescent="0.25">
      <c r="B11" s="11" t="s">
        <v>339</v>
      </c>
      <c r="C11" s="64">
        <v>49824.605221179416</v>
      </c>
      <c r="D11" s="64">
        <v>49824.605221179416</v>
      </c>
      <c r="E11" s="64">
        <v>49824.605221179416</v>
      </c>
      <c r="F11" s="64">
        <v>49824.605221179416</v>
      </c>
      <c r="G11" s="64">
        <v>49824.605221179416</v>
      </c>
    </row>
    <row r="12" spans="2:7" x14ac:dyDescent="0.25">
      <c r="B12" s="10" t="s">
        <v>383</v>
      </c>
      <c r="C12" s="65">
        <v>-418531.6885545128</v>
      </c>
      <c r="D12" s="66">
        <v>64056.879778820556</v>
      </c>
      <c r="E12" s="66">
        <v>707949.3854288207</v>
      </c>
      <c r="F12" s="66">
        <v>1231088.5152073205</v>
      </c>
      <c r="G12" s="66">
        <v>1454741.7946803952</v>
      </c>
    </row>
    <row r="13" spans="2:7" x14ac:dyDescent="0.25">
      <c r="B13" s="10" t="s">
        <v>389</v>
      </c>
      <c r="C13" s="65">
        <v>-160860</v>
      </c>
      <c r="D13" s="65">
        <v>-96803.12022117944</v>
      </c>
      <c r="E13" s="66">
        <v>611146.2652076413</v>
      </c>
      <c r="F13" s="66">
        <v>1842234.7804149617</v>
      </c>
      <c r="G13" s="66">
        <v>3296976.575095357</v>
      </c>
    </row>
    <row r="14" spans="2:7" x14ac:dyDescent="0.25">
      <c r="B14" s="10" t="s">
        <v>432</v>
      </c>
      <c r="C14" s="67">
        <v>-0.3248628889168275</v>
      </c>
      <c r="D14" s="68">
        <v>0.02497636362101632</v>
      </c>
      <c r="E14" s="69">
        <v>0.18182839089345013</v>
      </c>
      <c r="F14" s="69">
        <v>0.24733707719373102</v>
      </c>
      <c r="G14" s="69">
        <v>0.26649881291446503</v>
      </c>
    </row>
    <row r="15" spans="2:8" x14ac:dyDescent="0.25">
      <c r="B15" s="10" t="s">
        <v>259</v>
      </c>
      <c r="C15" s="70">
        <v>10736.111111111113</v>
      </c>
      <c r="D15" s="70">
        <v>12823.5</v>
      </c>
      <c r="E15" s="70">
        <v>12978.343333333334</v>
      </c>
      <c r="F15" s="70">
        <v>13272.990626666666</v>
      </c>
      <c r="G15" s="70">
        <v>13646.794321250001</v>
      </c>
      <c r="H15" s="71" t="s">
        <v>447</v>
      </c>
    </row>
    <row r="16" spans="2:7" x14ac:dyDescent="0.25">
      <c r="B16" s="10" t="s">
        <v>321</v>
      </c>
      <c r="C16" s="72">
        <v>13265.541849065385</v>
      </c>
      <c r="D16" s="72">
        <v>12303.215601105898</v>
      </c>
      <c r="E16" s="72">
        <v>10485.178715237264</v>
      </c>
      <c r="F16" s="72">
        <v>9923.421252780478</v>
      </c>
      <c r="G16" s="72">
        <v>9959.939834549012</v>
      </c>
    </row>
    <row r="17" spans="2:7" x14ac:dyDescent="0.25">
      <c r="B17" s="11" t="s">
        <v>448</v>
      </c>
      <c r="C17" s="64">
        <v>700</v>
      </c>
      <c r="D17" s="64">
        <v>721</v>
      </c>
      <c r="E17" s="64">
        <v>742.63</v>
      </c>
      <c r="F17" s="64">
        <v>764.9089</v>
      </c>
      <c r="G17" s="64">
        <v>787.8561670000001</v>
      </c>
    </row>
    <row r="18" spans="2:8" x14ac:dyDescent="0.25">
      <c r="B18" s="11" t="s">
        <v>449</v>
      </c>
      <c r="C18" s="73">
        <v>2350</v>
      </c>
      <c r="D18" s="70">
        <v>1452.3</v>
      </c>
      <c r="E18" s="70">
        <v>997.2460000000002</v>
      </c>
      <c r="F18" s="70">
        <v>821.7307040000001</v>
      </c>
      <c r="G18" s="70">
        <v>793.48371105</v>
      </c>
      <c r="H18" s="71" t="s">
        <v>450</v>
      </c>
    </row>
    <row r="19" spans="2:7" x14ac:dyDescent="0.25">
      <c r="B19" s="10" t="s">
        <v>451</v>
      </c>
      <c r="C19" s="74">
        <v>-3487.764071287607</v>
      </c>
      <c r="D19" s="75">
        <v>320.28439889410276</v>
      </c>
      <c r="E19" s="75">
        <v>2359.831284762736</v>
      </c>
      <c r="F19" s="75">
        <v>3282.9027072195213</v>
      </c>
      <c r="G19" s="75">
        <v>3636.8544867009878</v>
      </c>
    </row>
    <row r="20" spans="2:8" x14ac:dyDescent="0.25">
      <c r="B20" s="10" t="s">
        <v>452</v>
      </c>
      <c r="C20" s="67">
        <v>0.7738994178525226</v>
      </c>
      <c r="D20" s="68">
        <v>0.5938154618473896</v>
      </c>
      <c r="E20" s="69">
        <v>0.48937915531335147</v>
      </c>
      <c r="F20" s="69">
        <v>0.44849714599341384</v>
      </c>
      <c r="G20" s="69">
        <v>0.4357613402061856</v>
      </c>
      <c r="H20" s="71" t="s">
        <v>453</v>
      </c>
    </row>
    <row r="21" spans="2:8" x14ac:dyDescent="0.25">
      <c r="B21" s="10" t="s">
        <v>454</v>
      </c>
      <c r="C21" s="68">
        <v>0.2188874514877102</v>
      </c>
      <c r="D21" s="69">
        <v>0.11325301204819277</v>
      </c>
      <c r="E21" s="69">
        <v>0.07683923705722072</v>
      </c>
      <c r="F21" s="69">
        <v>0.0619099890230516</v>
      </c>
      <c r="G21" s="69">
        <v>0.05814432989690721</v>
      </c>
      <c r="H21" s="71" t="s">
        <v>455</v>
      </c>
    </row>
    <row r="22" spans="2:8" x14ac:dyDescent="0.25">
      <c r="B22" s="10" t="s">
        <v>456</v>
      </c>
      <c r="C22" s="67">
        <v>-0.1969265847347994</v>
      </c>
      <c r="D22" s="68">
        <v>0.0599997991967871</v>
      </c>
      <c r="E22" s="69">
        <v>0.20489877384196187</v>
      </c>
      <c r="F22" s="69">
        <v>0.26237003293084515</v>
      </c>
      <c r="G22" s="69">
        <v>0.2792902061855669</v>
      </c>
      <c r="H22" s="71" t="s">
        <v>457</v>
      </c>
    </row>
    <row r="23" spans="2:8" x14ac:dyDescent="0.25">
      <c r="B23" s="10" t="s">
        <v>458</v>
      </c>
      <c r="C23" s="76">
        <v>3</v>
      </c>
      <c r="D23" s="76">
        <v>3</v>
      </c>
      <c r="E23" s="76">
        <v>3</v>
      </c>
      <c r="F23" s="76">
        <v>3</v>
      </c>
      <c r="G23" s="76">
        <v>3</v>
      </c>
      <c r="H23" s="71" t="s">
        <v>459</v>
      </c>
    </row>
    <row r="24" spans="2:8" x14ac:dyDescent="0.25">
      <c r="B24" s="10" t="s">
        <v>387</v>
      </c>
      <c r="C24" s="77">
        <v>-5.092003884568414</v>
      </c>
      <c r="D24" s="78">
        <v>3.0884637081798294</v>
      </c>
      <c r="E24" s="78">
        <v>16.01164699867773</v>
      </c>
      <c r="F24" s="78">
        <v>26.21020507099538</v>
      </c>
      <c r="G24" s="78">
        <v>30.598664919346167</v>
      </c>
      <c r="H24" s="71" t="s">
        <v>460</v>
      </c>
    </row>
    <row r="25" spans="2:8" x14ac:dyDescent="0.25">
      <c r="B25" s="10" t="s">
        <v>461</v>
      </c>
      <c r="C25" s="79" t="str">
        <f>IF('5-Year Operating Stmt'!B17&gt;=0,"✓ Break-even","")</f>
        <v>0</v>
      </c>
      <c r="D25" s="79" t="str">
        <f>IF(AND('5-Year Operating Stmt'!C17&gt;=0,'5-Year Operating Stmt'!B17&lt;0),"✓ Break-even","")</f>
        <v>0</v>
      </c>
      <c r="E25" s="44" t="str">
        <f>IF(AND('5-Year Operating Stmt'!D17&gt;=0,'5-Year Operating Stmt'!C17&lt;0),"✓ Break-even","")</f>
        <v>✓ Break-even</v>
      </c>
      <c r="F25" s="79" t="str">
        <f>IF(AND('5-Year Operating Stmt'!E17&gt;=0,'5-Year Operating Stmt'!D17&lt;0),"✓ Break-even","")</f>
        <v>0</v>
      </c>
      <c r="G25" s="79" t="str">
        <f>IF(AND('5-Year Operating Stmt'!F17&gt;=0,'5-Year Operating Stmt'!E17&lt;0),"✓ Break-even","")</f>
        <v>0</v>
      </c>
      <c r="H25" s="71" t="s">
        <v>441</v>
      </c>
    </row>
    <row r="26" spans="2:8" x14ac:dyDescent="0.25">
      <c r="B26" s="10" t="s">
        <v>462</v>
      </c>
      <c r="C26" s="80">
        <v>-1</v>
      </c>
      <c r="D26" s="80">
        <v>0</v>
      </c>
      <c r="E26" s="80">
        <v>2</v>
      </c>
      <c r="F26" s="80">
        <v>6</v>
      </c>
      <c r="G26" s="80">
        <v>10</v>
      </c>
      <c r="H26" s="71" t="s">
        <v>463</v>
      </c>
    </row>
    <row r="27" spans="2:8" x14ac:dyDescent="0.25">
      <c r="B27" s="10" t="s">
        <v>390</v>
      </c>
      <c r="C27" s="80">
        <v>0</v>
      </c>
      <c r="D27" s="80">
        <v>0</v>
      </c>
      <c r="E27" s="81">
        <v>71</v>
      </c>
      <c r="F27" s="76">
        <v>181</v>
      </c>
      <c r="G27" s="76">
        <v>302</v>
      </c>
      <c r="H27" s="71" t="s">
        <v>464</v>
      </c>
    </row>
    <row r="29" ht="24" customHeight="1" spans="2:8" x14ac:dyDescent="0.25">
      <c r="B29" s="19" t="s">
        <v>465</v>
      </c>
      <c r="C29" s="19" t="s">
        <v>466</v>
      </c>
      <c r="D29" s="19" t="s">
        <v>467</v>
      </c>
      <c r="E29" s="19"/>
      <c r="F29" s="19" t="s">
        <v>468</v>
      </c>
      <c r="G29" s="19"/>
      <c r="H29" s="19"/>
    </row>
    <row r="30" ht="45" customHeight="1" spans="2:8" x14ac:dyDescent="0.25">
      <c r="B30" s="45" t="s">
        <v>469</v>
      </c>
      <c r="C30" s="82" t="s">
        <v>470</v>
      </c>
      <c r="D30" s="83" t="s">
        <v>471</v>
      </c>
      <c r="E30" s="83"/>
      <c r="F30" s="84" t="s">
        <v>472</v>
      </c>
      <c r="G30" s="84"/>
      <c r="H30" s="84"/>
    </row>
    <row r="31" ht="45" customHeight="1" spans="2:8" x14ac:dyDescent="0.25">
      <c r="B31" s="45" t="s">
        <v>473</v>
      </c>
      <c r="C31" s="85" t="s">
        <v>474</v>
      </c>
      <c r="D31" s="83" t="s">
        <v>475</v>
      </c>
      <c r="E31" s="83"/>
      <c r="F31" s="84" t="s">
        <v>476</v>
      </c>
      <c r="G31" s="84"/>
      <c r="H31" s="84"/>
    </row>
    <row r="32" ht="45" customHeight="1" spans="2:8" x14ac:dyDescent="0.25">
      <c r="B32" s="45" t="s">
        <v>477</v>
      </c>
      <c r="C32" s="44" t="s">
        <v>478</v>
      </c>
      <c r="D32" s="83" t="s">
        <v>479</v>
      </c>
      <c r="E32" s="83"/>
      <c r="F32" s="84" t="s">
        <v>480</v>
      </c>
      <c r="G32" s="84"/>
      <c r="H32" s="84"/>
    </row>
    <row r="33" ht="45" customHeight="1" spans="2:8" x14ac:dyDescent="0.25">
      <c r="B33" s="45" t="s">
        <v>481</v>
      </c>
      <c r="C33" s="44" t="s">
        <v>478</v>
      </c>
      <c r="D33" s="83" t="s">
        <v>482</v>
      </c>
      <c r="E33" s="83"/>
      <c r="F33" s="84" t="s">
        <v>483</v>
      </c>
      <c r="G33" s="84"/>
      <c r="H33" s="84"/>
    </row>
    <row r="34" ht="45" customHeight="1" spans="2:8" x14ac:dyDescent="0.25">
      <c r="B34" s="45" t="s">
        <v>484</v>
      </c>
      <c r="C34" s="44" t="s">
        <v>478</v>
      </c>
      <c r="D34" s="83" t="s">
        <v>485</v>
      </c>
      <c r="E34" s="83"/>
      <c r="F34" s="84" t="s">
        <v>486</v>
      </c>
      <c r="G34" s="84"/>
      <c r="H34" s="84"/>
    </row>
    <row r="35" ht="45" customHeight="1" spans="2:8" x14ac:dyDescent="0.25">
      <c r="B35" s="45" t="s">
        <v>487</v>
      </c>
      <c r="C35" s="44" t="s">
        <v>478</v>
      </c>
      <c r="D35" s="83" t="s">
        <v>488</v>
      </c>
      <c r="E35" s="83"/>
      <c r="F35" s="84" t="s">
        <v>489</v>
      </c>
      <c r="G35" s="84"/>
      <c r="H35" s="84"/>
    </row>
    <row r="36" ht="45" customHeight="1" spans="2:8" x14ac:dyDescent="0.25">
      <c r="B36" s="45" t="s">
        <v>490</v>
      </c>
      <c r="C36" s="44" t="s">
        <v>478</v>
      </c>
      <c r="D36" s="83" t="s">
        <v>491</v>
      </c>
      <c r="E36" s="83"/>
      <c r="F36" s="84" t="s">
        <v>492</v>
      </c>
      <c r="G36" s="84"/>
      <c r="H36" s="84"/>
    </row>
    <row r="38" spans="2:6" x14ac:dyDescent="0.25">
      <c r="B38" s="45" t="s">
        <v>493</v>
      </c>
      <c r="C38" s="10" t="s">
        <v>494</v>
      </c>
      <c r="D38" s="10"/>
      <c r="E38" s="10"/>
      <c r="F38" s="10"/>
    </row>
    <row r="40" spans="2:8" x14ac:dyDescent="0.25">
      <c r="B40" s="86" t="s">
        <v>495</v>
      </c>
      <c r="C40" s="86"/>
      <c r="D40" s="86"/>
      <c r="E40" s="86"/>
      <c r="F40" s="86"/>
      <c r="G40" s="86"/>
      <c r="H40" s="86"/>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496</v>
      </c>
      <c r="B3" s="19"/>
    </row>
    <row r="4" spans="1:2" x14ac:dyDescent="0.25">
      <c r="A4" s="87" t="s">
        <v>497</v>
      </c>
      <c r="B4" s="87"/>
    </row>
    <row r="6" ht="24" customHeight="1" spans="1:2" x14ac:dyDescent="0.25">
      <c r="A6" s="19" t="s">
        <v>498</v>
      </c>
      <c r="B6" s="19"/>
    </row>
    <row r="7" spans="1:2" x14ac:dyDescent="0.25">
      <c r="A7" s="87" t="s">
        <v>497</v>
      </c>
      <c r="B7" s="87"/>
    </row>
    <row r="9" ht="24" customHeight="1" spans="1:2" x14ac:dyDescent="0.25">
      <c r="A9" s="19" t="s">
        <v>499</v>
      </c>
      <c r="B9" s="19"/>
    </row>
    <row r="10" spans="1:2" x14ac:dyDescent="0.25">
      <c r="A10" s="87" t="s">
        <v>497</v>
      </c>
      <c r="B10" s="87"/>
    </row>
    <row r="12" ht="24" customHeight="1" spans="1:2" x14ac:dyDescent="0.25">
      <c r="A12" s="19" t="s">
        <v>500</v>
      </c>
      <c r="B12" s="19"/>
    </row>
    <row r="13" spans="1:2" x14ac:dyDescent="0.25">
      <c r="A13" s="87" t="s">
        <v>497</v>
      </c>
      <c r="B13" s="87"/>
    </row>
    <row r="15" ht="24" customHeight="1" spans="1:2" x14ac:dyDescent="0.25">
      <c r="A15" s="19" t="s">
        <v>501</v>
      </c>
      <c r="B15" s="19"/>
    </row>
    <row r="16" spans="1:2" x14ac:dyDescent="0.25">
      <c r="A16" s="87" t="s">
        <v>497</v>
      </c>
      <c r="B16" s="87"/>
    </row>
    <row r="18" ht="24" customHeight="1" spans="1:2" x14ac:dyDescent="0.25">
      <c r="A18" s="19" t="s">
        <v>502</v>
      </c>
      <c r="B18" s="19"/>
    </row>
    <row r="19" spans="1:2" x14ac:dyDescent="0.25">
      <c r="A19" s="87" t="s">
        <v>497</v>
      </c>
      <c r="B19" s="87"/>
    </row>
    <row r="21" ht="24" customHeight="1" spans="1:2" x14ac:dyDescent="0.25">
      <c r="A21" s="19" t="s">
        <v>503</v>
      </c>
      <c r="B21" s="19"/>
    </row>
    <row r="22" spans="1:2" x14ac:dyDescent="0.25">
      <c r="A22" s="87" t="s">
        <v>497</v>
      </c>
      <c r="B22" s="87"/>
    </row>
    <row r="24" ht="24" customHeight="1" spans="1:2" x14ac:dyDescent="0.25">
      <c r="A24" s="19" t="s">
        <v>504</v>
      </c>
      <c r="B24" s="19"/>
    </row>
    <row r="25" spans="1:2" x14ac:dyDescent="0.25">
      <c r="A25" s="87" t="s">
        <v>497</v>
      </c>
      <c r="B25" s="87"/>
    </row>
    <row r="27" ht="24" customHeight="1" spans="1:2" x14ac:dyDescent="0.25">
      <c r="A27" s="19" t="s">
        <v>505</v>
      </c>
      <c r="B27" s="19"/>
    </row>
    <row r="28" spans="1:2" x14ac:dyDescent="0.25">
      <c r="A28" s="87" t="s">
        <v>497</v>
      </c>
      <c r="B28" s="87"/>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506</v>
      </c>
      <c r="C1" s="15"/>
      <c r="D1" s="15"/>
      <c r="E1" s="15"/>
      <c r="F1" s="15"/>
      <c r="G1" s="15"/>
      <c r="H1" s="15"/>
    </row>
    <row r="2" ht="60" customHeight="1" spans="2:8" x14ac:dyDescent="0.25">
      <c r="B2" s="88" t="s">
        <v>507</v>
      </c>
      <c r="C2" s="88"/>
      <c r="D2" s="88"/>
      <c r="E2" s="88"/>
      <c r="F2" s="88"/>
      <c r="G2" s="88"/>
      <c r="H2" s="88"/>
    </row>
    <row r="4" ht="30" customHeight="1" spans="2:8" x14ac:dyDescent="0.25">
      <c r="B4" s="89" t="s">
        <v>508</v>
      </c>
      <c r="C4" s="89"/>
      <c r="D4" s="89"/>
      <c r="E4" s="89"/>
      <c r="F4" s="89"/>
      <c r="G4" s="89"/>
      <c r="H4" s="89"/>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2026-04-29T01:01:49Z</dcterms:created>
  <dcterms:modified xsi:type="dcterms:W3CDTF">2026-04-29T01:01:49Z</dcterms:modified>
</cp:coreProperties>
</file>