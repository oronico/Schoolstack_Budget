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<sst xmlns="http://schemas.openxmlformats.org/spreadsheetml/2006/main" count="835" uniqueCount="458">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</sst>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21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5">
        <v>0.12690815006468303</v>
      </c>
      <c r="D17" s="65">
        <v>0.10385542168674698</v>
      </c>
      <c r="E17" s="65">
        <v>0.09171662125340599</v>
      </c>
      <c r="F17" s="65">
        <v>0.08673984632272229</v>
      </c>
      <c r="G17" s="65">
        <v>0.08548453608247424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8">
        <v>3</v>
      </c>
      <c r="D19" s="68"/>
      <c r="E19" s="68"/>
      <c r="F19" s="68"/>
      <c r="G19" s="68"/>
      <c r="H19" s="67" t="s">
        <v>421</v>
      </c>
    </row>
    <row r="20" spans="2:8" x14ac:dyDescent="0.25">
      <c r="B20" s="10" t="s">
        <v>353</v>
      </c>
      <c r="C20" s="69">
        <v>-5.681889809461599</v>
      </c>
      <c r="D20" s="70">
        <v>8.192156730355682</v>
      </c>
      <c r="E20" s="70">
        <v>28.027198570886025</v>
      </c>
      <c r="F20" s="70">
        <v>44.00073111759629</v>
      </c>
      <c r="G20" s="70">
        <v>50.51631908021458</v>
      </c>
      <c r="H20" s="67" t="s">
        <v>422</v>
      </c>
    </row>
    <row r="21" spans="2:8" x14ac:dyDescent="0.25">
      <c r="B21" s="10" t="s">
        <v>423</v>
      </c>
      <c r="C21" s="71" t="str">
        <f>IF('5-Year Operating Stmt'!B16&gt;=0,"✓ Break-even","")</f>
        <v>0</v>
      </c>
      <c r="D21" s="71" t="str">
        <f>IF('5-Year Operating Stmt'!C16&gt;=0,"✓ Break-even","")</f>
        <v>0</v>
      </c>
      <c r="E21" s="41" t="str">
        <f>IF('5-Year Operating Stmt'!D16&gt;=0,"✓ Break-even","")</f>
        <v>✓ Break-even</v>
      </c>
      <c r="F21" s="71" t="str">
        <f>IF('5-Year Operating Stmt'!E16&gt;=0,"✓ Break-even","")</f>
        <v>0</v>
      </c>
      <c r="G21" s="71" t="str">
        <f>IF('5-Year Operating Stmt'!F16&gt;=0,"✓ Break-even","")</f>
        <v>0</v>
      </c>
      <c r="H21" s="67" t="s">
        <v>406</v>
      </c>
    </row>
    <row r="22" spans="2:8" x14ac:dyDescent="0.25">
      <c r="B22" s="10" t="s">
        <v>424</v>
      </c>
      <c r="C22" s="72" t="s">
        <v>425</v>
      </c>
      <c r="D22" s="72"/>
      <c r="E22" s="72"/>
      <c r="F22" s="72"/>
      <c r="G22" s="72"/>
      <c r="H22" s="67" t="s">
        <v>426</v>
      </c>
    </row>
    <row r="24" ht="24" customHeight="1" spans="2:8" x14ac:dyDescent="0.25">
      <c r="B24" s="19" t="s">
        <v>427</v>
      </c>
      <c r="C24" s="19" t="s">
        <v>428</v>
      </c>
      <c r="D24" s="19" t="s">
        <v>429</v>
      </c>
      <c r="E24" s="19"/>
      <c r="F24" s="19" t="s">
        <v>430</v>
      </c>
      <c r="G24" s="19"/>
      <c r="H24" s="19"/>
    </row>
    <row r="25" ht="45" customHeight="1" spans="2:8" x14ac:dyDescent="0.25">
      <c r="B25" s="42" t="s">
        <v>431</v>
      </c>
      <c r="C25" s="73" t="s">
        <v>432</v>
      </c>
      <c r="D25" s="74" t="s">
        <v>433</v>
      </c>
      <c r="E25" s="74"/>
      <c r="F25" s="75" t="s">
        <v>434</v>
      </c>
      <c r="G25" s="75"/>
      <c r="H25" s="75"/>
    </row>
    <row r="26" ht="45" customHeight="1" spans="2:8" x14ac:dyDescent="0.25">
      <c r="B26" s="42" t="s">
        <v>435</v>
      </c>
      <c r="C26" s="76" t="s">
        <v>436</v>
      </c>
      <c r="D26" s="74" t="s">
        <v>437</v>
      </c>
      <c r="E26" s="74"/>
      <c r="F26" s="75" t="s">
        <v>438</v>
      </c>
      <c r="G26" s="75"/>
      <c r="H26" s="75"/>
    </row>
    <row r="27" ht="45" customHeight="1" spans="2:8" x14ac:dyDescent="0.25">
      <c r="B27" s="42" t="s">
        <v>439</v>
      </c>
      <c r="C27" s="41" t="s">
        <v>440</v>
      </c>
      <c r="D27" s="74" t="s">
        <v>441</v>
      </c>
      <c r="E27" s="74"/>
      <c r="F27" s="75" t="s">
        <v>442</v>
      </c>
      <c r="G27" s="75"/>
      <c r="H27" s="75"/>
    </row>
    <row r="28" ht="45" customHeight="1" spans="2:8" x14ac:dyDescent="0.25">
      <c r="B28" s="42" t="s">
        <v>443</v>
      </c>
      <c r="C28" s="41" t="s">
        <v>440</v>
      </c>
      <c r="D28" s="74" t="s">
        <v>444</v>
      </c>
      <c r="E28" s="74"/>
      <c r="F28" s="75" t="s">
        <v>445</v>
      </c>
      <c r="G28" s="75"/>
      <c r="H28" s="75"/>
    </row>
    <row r="29" ht="45" customHeight="1" spans="2:8" x14ac:dyDescent="0.25">
      <c r="B29" s="42" t="s">
        <v>446</v>
      </c>
      <c r="C29" s="41" t="s">
        <v>440</v>
      </c>
      <c r="D29" s="74" t="s">
        <v>447</v>
      </c>
      <c r="E29" s="74"/>
      <c r="F29" s="75" t="s">
        <v>448</v>
      </c>
      <c r="G29" s="75"/>
      <c r="H29" s="75"/>
    </row>
    <row r="30" ht="45" customHeight="1" spans="2:8" x14ac:dyDescent="0.25">
      <c r="B30" s="42" t="s">
        <v>449</v>
      </c>
      <c r="C30" s="41" t="s">
        <v>440</v>
      </c>
      <c r="D30" s="74" t="s">
        <v>450</v>
      </c>
      <c r="E30" s="74"/>
      <c r="F30" s="75" t="s">
        <v>451</v>
      </c>
      <c r="G30" s="75"/>
      <c r="H30" s="75"/>
    </row>
    <row r="31" ht="45" customHeight="1" spans="2:8" x14ac:dyDescent="0.25">
      <c r="B31" s="42" t="s">
        <v>452</v>
      </c>
      <c r="C31" s="41" t="s">
        <v>440</v>
      </c>
      <c r="D31" s="74" t="s">
        <v>453</v>
      </c>
      <c r="E31" s="74"/>
      <c r="F31" s="75" t="s">
        <v>454</v>
      </c>
      <c r="G31" s="75"/>
      <c r="H31" s="75"/>
    </row>
    <row r="33" spans="2:6" x14ac:dyDescent="0.25">
      <c r="B33" s="42" t="s">
        <v>455</v>
      </c>
      <c r="C33" s="10" t="s">
        <v>456</v>
      </c>
      <c r="D33" s="10"/>
      <c r="E33" s="10"/>
      <c r="F33" s="10"/>
    </row>
    <row r="35" spans="2:8" x14ac:dyDescent="0.25">
      <c r="B35" s="77" t="s">
        <v>457</v>
      </c>
      <c r="C35" s="77"/>
      <c r="D35" s="77"/>
      <c r="E35" s="77"/>
      <c r="F35" s="77"/>
      <c r="G35" s="77"/>
      <c r="H35" s="77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