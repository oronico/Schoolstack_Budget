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<sst xmlns="http://schemas.openxmlformats.org/spreadsheetml/2006/main" count="741" uniqueCount="391">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</sst>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400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9500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800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1200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100000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30000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300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130</v>
      </c>
      <c r="B32" s="4" t="s">
        <v>127</v>
      </c>
      <c r="C32" s="4" t="s">
        <v>128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131</v>
      </c>
      <c r="B33" s="4" t="s">
        <v>132</v>
      </c>
      <c r="C33" s="4" t="s">
        <v>128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133</v>
      </c>
      <c r="B34" s="4" t="s">
        <v>132</v>
      </c>
      <c r="C34" s="4" t="s">
        <v>128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134</v>
      </c>
      <c r="B35" s="4" t="s">
        <v>132</v>
      </c>
      <c r="C35" s="4" t="s">
        <v>128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128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137</v>
      </c>
      <c r="B37" s="4" t="s">
        <v>138</v>
      </c>
      <c r="C37" s="4" t="s">
        <v>128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139</v>
      </c>
      <c r="B38" s="4" t="s">
        <v>140</v>
      </c>
      <c r="C38" s="4" t="s">
        <v>128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141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103</v>
      </c>
      <c r="B41" s="15" t="s">
        <v>104</v>
      </c>
      <c r="C41" s="15" t="s">
        <v>105</v>
      </c>
      <c r="D41" s="15" t="s">
        <v>106</v>
      </c>
      <c r="E41" s="15" t="s">
        <v>107</v>
      </c>
    </row>
    <row r="42" spans="1:5" x14ac:dyDescent="0.25">
      <c r="A42" s="4" t="s">
        <v>142</v>
      </c>
      <c r="B42" s="4" t="s">
        <v>143</v>
      </c>
      <c r="C42" s="4" t="s">
        <v>144</v>
      </c>
      <c r="D42" s="17">
        <v>18000</v>
      </c>
      <c r="E42" s="18">
        <v>0.03</v>
      </c>
    </row>
    <row r="43" spans="1:5" x14ac:dyDescent="0.25">
      <c r="A43" s="4" t="s">
        <v>145</v>
      </c>
      <c r="B43" s="4" t="s">
        <v>143</v>
      </c>
      <c r="C43" s="4" t="s">
        <v>144</v>
      </c>
      <c r="D43" s="17">
        <v>2500</v>
      </c>
      <c r="E43" s="18">
        <v>0</v>
      </c>
    </row>
    <row r="44" spans="1:5" x14ac:dyDescent="0.25">
      <c r="A44" s="4" t="s">
        <v>146</v>
      </c>
      <c r="B44" s="4" t="s">
        <v>143</v>
      </c>
      <c r="C44" s="4" t="s">
        <v>115</v>
      </c>
      <c r="D44" s="17">
        <v>18000</v>
      </c>
      <c r="E44" s="18">
        <v>0</v>
      </c>
    </row>
    <row r="45" spans="1:5" x14ac:dyDescent="0.25">
      <c r="A45" s="4" t="s">
        <v>147</v>
      </c>
      <c r="B45" s="4" t="s">
        <v>143</v>
      </c>
      <c r="C45" s="4" t="s">
        <v>144</v>
      </c>
      <c r="D45" s="17">
        <v>1500</v>
      </c>
      <c r="E45" s="18">
        <v>0</v>
      </c>
    </row>
    <row r="46" spans="1:5" x14ac:dyDescent="0.25">
      <c r="A46" s="4" t="s">
        <v>148</v>
      </c>
      <c r="B46" s="4" t="s">
        <v>149</v>
      </c>
      <c r="C46" s="4" t="s">
        <v>110</v>
      </c>
      <c r="D46" s="17">
        <v>700</v>
      </c>
      <c r="E46" s="18">
        <v>0</v>
      </c>
    </row>
    <row r="47" spans="1:5" x14ac:dyDescent="0.25">
      <c r="A47" s="4" t="s">
        <v>150</v>
      </c>
      <c r="B47" s="4" t="s">
        <v>151</v>
      </c>
      <c r="C47" s="4" t="s">
        <v>110</v>
      </c>
      <c r="D47" s="17">
        <v>500</v>
      </c>
      <c r="E47" s="18">
        <v>0</v>
      </c>
    </row>
    <row r="48" spans="1:5" x14ac:dyDescent="0.25">
      <c r="A48" s="4" t="s">
        <v>152</v>
      </c>
      <c r="B48" s="4" t="s">
        <v>153</v>
      </c>
      <c r="C48" s="4" t="s">
        <v>115</v>
      </c>
      <c r="D48" s="17">
        <v>25000</v>
      </c>
      <c r="E48" s="18">
        <v>0</v>
      </c>
    </row>
    <row r="49" spans="1:5" x14ac:dyDescent="0.25">
      <c r="A49" s="4" t="s">
        <v>154</v>
      </c>
      <c r="B49" s="4" t="s">
        <v>153</v>
      </c>
      <c r="C49" s="4" t="s">
        <v>115</v>
      </c>
      <c r="D49" s="17">
        <v>15000</v>
      </c>
      <c r="E49" s="18">
        <v>0</v>
      </c>
    </row>
    <row r="50" spans="1:5" x14ac:dyDescent="0.25">
      <c r="A50" s="4" t="s">
        <v>155</v>
      </c>
      <c r="B50" s="4" t="s">
        <v>153</v>
      </c>
      <c r="C50" s="4" t="s">
        <v>115</v>
      </c>
      <c r="D50" s="17">
        <v>20000</v>
      </c>
      <c r="E50" s="18">
        <v>0</v>
      </c>
    </row>
    <row r="51" spans="1:5" x14ac:dyDescent="0.25">
      <c r="A51" s="4" t="s">
        <v>156</v>
      </c>
      <c r="B51" s="4" t="s">
        <v>153</v>
      </c>
      <c r="C51" s="4" t="s">
        <v>110</v>
      </c>
      <c r="D51" s="17">
        <v>800</v>
      </c>
      <c r="E51" s="18">
        <v>0</v>
      </c>
    </row>
    <row r="52" spans="1:5" x14ac:dyDescent="0.25">
      <c r="A52" s="4" t="s">
        <v>157</v>
      </c>
      <c r="B52" s="4" t="s">
        <v>153</v>
      </c>
      <c r="C52" s="4" t="s">
        <v>110</v>
      </c>
      <c r="D52" s="17">
        <v>600</v>
      </c>
      <c r="E52" s="18">
        <v>0</v>
      </c>
    </row>
    <row r="54" ht="24" customHeight="1" spans="1:7" x14ac:dyDescent="0.25">
      <c r="A54" s="13" t="s">
        <v>158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159</v>
      </c>
      <c r="B55" s="15" t="s">
        <v>121</v>
      </c>
      <c r="C55" s="15" t="s">
        <v>129</v>
      </c>
      <c r="D55" s="15" t="s">
        <v>123</v>
      </c>
      <c r="E55" s="15" t="s">
        <v>160</v>
      </c>
    </row>
    <row r="56" spans="1:5" x14ac:dyDescent="0.25">
      <c r="A56" s="4" t="s">
        <v>161</v>
      </c>
      <c r="B56" s="4" t="s">
        <v>162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163</v>
      </c>
      <c r="B57" s="4" t="s">
        <v>164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165</v>
      </c>
      <c r="B58" s="4" t="s">
        <v>164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166</v>
      </c>
      <c r="B60" s="13"/>
      <c r="C60" s="13"/>
      <c r="D60" s="13"/>
      <c r="E60" s="13"/>
      <c r="F60" s="13"/>
      <c r="G60" s="13"/>
    </row>
    <row r="61" spans="1:3" x14ac:dyDescent="0.25">
      <c r="A61" s="4" t="s">
        <v>167</v>
      </c>
      <c r="B61" s="18">
        <v>0.03</v>
      </c>
      <c r="C61" s="20" t="s">
        <v>168</v>
      </c>
    </row>
    <row r="62" spans="1:3" x14ac:dyDescent="0.25">
      <c r="A62" s="4" t="s">
        <v>169</v>
      </c>
      <c r="B62" s="18">
        <v>0.03</v>
      </c>
      <c r="C62" s="20" t="s">
        <v>170</v>
      </c>
    </row>
    <row r="63" spans="1:2" x14ac:dyDescent="0.25">
      <c r="A63" s="4" t="s">
        <v>171</v>
      </c>
      <c r="B63" s="19">
        <v>0.8333333333333334</v>
      </c>
    </row>
    <row r="64" spans="1:2" x14ac:dyDescent="0.25">
      <c r="A64" s="4" t="s">
        <v>172</v>
      </c>
      <c r="B64" s="17">
        <v>0</v>
      </c>
    </row>
    <row r="65" spans="1:2" x14ac:dyDescent="0.25">
      <c r="A65" s="4" t="s">
        <v>173</v>
      </c>
      <c r="B65" s="14" t="s">
        <v>174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175</v>
      </c>
      <c r="B3" s="4" t="s">
        <v>176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177</v>
      </c>
      <c r="B6" s="4" t="s">
        <v>178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179</v>
      </c>
      <c r="B8" s="4" t="s">
        <v>17</v>
      </c>
    </row>
    <row r="9" spans="1:2" x14ac:dyDescent="0.25">
      <c r="A9" s="3" t="s">
        <v>93</v>
      </c>
      <c r="B9" s="4" t="s">
        <v>180</v>
      </c>
    </row>
    <row r="10" spans="1:2" x14ac:dyDescent="0.25">
      <c r="A10" s="3" t="s">
        <v>181</v>
      </c>
      <c r="B10" s="4" t="s">
        <v>182</v>
      </c>
    </row>
    <row r="11" spans="1:2" x14ac:dyDescent="0.25">
      <c r="A11" s="3" t="s">
        <v>183</v>
      </c>
      <c r="B11" s="4" t="s">
        <v>184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94</v>
      </c>
      <c r="B13" s="4" t="s">
        <v>185</v>
      </c>
    </row>
    <row r="14" spans="1:2" x14ac:dyDescent="0.25">
      <c r="A14" s="3" t="s">
        <v>186</v>
      </c>
      <c r="B14" s="4" t="s">
        <v>187</v>
      </c>
    </row>
    <row r="15" spans="1:2" x14ac:dyDescent="0.25">
      <c r="A15" s="3" t="s">
        <v>188</v>
      </c>
      <c r="B15" s="4" t="s">
        <v>189</v>
      </c>
    </row>
    <row r="16" spans="1:2" x14ac:dyDescent="0.25">
      <c r="A16" s="3" t="s">
        <v>190</v>
      </c>
      <c r="B16" s="4" t="s">
        <v>191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192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94</v>
      </c>
      <c r="B7" s="22">
        <v>400</v>
      </c>
    </row>
    <row r="8" spans="1:6" x14ac:dyDescent="0.25">
      <c r="A8" s="4" t="s">
        <v>193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194</v>
      </c>
      <c r="B10" s="4" t="s">
        <v>195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197</v>
      </c>
      <c r="B4" s="13"/>
      <c r="C4" s="13"/>
      <c r="D4" s="13"/>
      <c r="E4" s="13"/>
      <c r="F4" s="13"/>
    </row>
    <row r="5" spans="1:6" x14ac:dyDescent="0.25">
      <c r="A5" s="4" t="s">
        <v>198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199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200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201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202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203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204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205</v>
      </c>
      <c r="E3" s="15" t="s">
        <v>124</v>
      </c>
      <c r="F3" s="15" t="s">
        <v>125</v>
      </c>
      <c r="G3" s="15" t="s">
        <v>206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129</v>
      </c>
      <c r="B5" s="4" t="s">
        <v>127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130</v>
      </c>
      <c r="B6" s="4" t="s">
        <v>127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131</v>
      </c>
      <c r="B7" s="4" t="s">
        <v>132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133</v>
      </c>
      <c r="B8" s="4" t="s">
        <v>132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134</v>
      </c>
      <c r="B9" s="4" t="s">
        <v>132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135</v>
      </c>
      <c r="B10" s="4" t="s">
        <v>136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137</v>
      </c>
      <c r="B11" s="4" t="s">
        <v>138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139</v>
      </c>
      <c r="B12" s="4" t="s">
        <v>140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207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3" t="s">
        <v>208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209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210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149</v>
      </c>
      <c r="B4" s="13"/>
      <c r="C4" s="13"/>
      <c r="D4" s="13"/>
      <c r="E4" s="13"/>
      <c r="F4" s="13"/>
    </row>
    <row r="5" spans="1:6" x14ac:dyDescent="0.25">
      <c r="A5" s="4" t="s">
        <v>212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213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151</v>
      </c>
      <c r="B7" s="13"/>
      <c r="C7" s="13"/>
      <c r="D7" s="13"/>
      <c r="E7" s="13"/>
      <c r="F7" s="13"/>
    </row>
    <row r="8" spans="1:6" x14ac:dyDescent="0.25">
      <c r="A8" s="4" t="s">
        <v>214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215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143</v>
      </c>
      <c r="B10" s="13"/>
      <c r="C10" s="13"/>
      <c r="D10" s="13"/>
      <c r="E10" s="13"/>
      <c r="F10" s="13"/>
    </row>
    <row r="11" spans="1:6" x14ac:dyDescent="0.25">
      <c r="A11" s="4" t="s">
        <v>216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217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218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219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220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153</v>
      </c>
      <c r="B16" s="13"/>
      <c r="C16" s="13"/>
      <c r="D16" s="13"/>
      <c r="E16" s="13"/>
      <c r="F16" s="13"/>
    </row>
    <row r="17" spans="1:6" x14ac:dyDescent="0.25">
      <c r="A17" s="4" t="s">
        <v>221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222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223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224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225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226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227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159</v>
      </c>
      <c r="B3" s="15" t="s">
        <v>121</v>
      </c>
      <c r="C3" s="15" t="s">
        <v>129</v>
      </c>
      <c r="D3" s="15" t="s">
        <v>123</v>
      </c>
      <c r="E3" s="15" t="s">
        <v>160</v>
      </c>
      <c r="F3" s="15" t="s">
        <v>229</v>
      </c>
    </row>
    <row r="4" spans="1:6" x14ac:dyDescent="0.25">
      <c r="A4" s="4" t="s">
        <v>161</v>
      </c>
      <c r="B4" s="4" t="s">
        <v>162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163</v>
      </c>
      <c r="B5" s="4" t="s">
        <v>230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165</v>
      </c>
      <c r="B6" s="4" t="s">
        <v>230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231</v>
      </c>
      <c r="F8" s="26">
        <v>49825</v>
      </c>
    </row>
    <row r="9" spans="1:6" x14ac:dyDescent="0.25">
      <c r="A9" s="3" t="s">
        <v>232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234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111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112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113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117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204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235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237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238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239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240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241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242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243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244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140</v>
      </c>
      <c r="B14" s="13"/>
      <c r="C14" s="13"/>
      <c r="D14" s="13"/>
      <c r="E14" s="13"/>
      <c r="F14" s="13"/>
    </row>
    <row r="15" spans="1:6" x14ac:dyDescent="0.25">
      <c r="A15" s="4" t="s">
        <v>245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246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136</v>
      </c>
      <c r="B17" s="13"/>
      <c r="C17" s="13"/>
      <c r="D17" s="13"/>
      <c r="E17" s="13"/>
      <c r="F17" s="13"/>
    </row>
    <row r="18" spans="1:6" x14ac:dyDescent="0.25">
      <c r="A18" s="4" t="s">
        <v>247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248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138</v>
      </c>
      <c r="B20" s="13"/>
      <c r="C20" s="13"/>
      <c r="D20" s="13"/>
      <c r="E20" s="13"/>
      <c r="F20" s="13"/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250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251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255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256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257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258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259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260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241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242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243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237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238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239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247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245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208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141</v>
      </c>
      <c r="B25" s="13"/>
      <c r="C25" s="13"/>
      <c r="D25" s="13"/>
      <c r="E25" s="13"/>
      <c r="F25" s="13"/>
    </row>
    <row r="26" spans="1:1" x14ac:dyDescent="0.25">
      <c r="A26" s="32" t="s">
        <v>149</v>
      </c>
    </row>
    <row r="27" spans="1:6" x14ac:dyDescent="0.25">
      <c r="A27" s="4" t="s">
        <v>262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151</v>
      </c>
    </row>
    <row r="29" spans="1:6" x14ac:dyDescent="0.25">
      <c r="A29" s="4" t="s">
        <v>263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143</v>
      </c>
    </row>
    <row r="31" spans="1:6" x14ac:dyDescent="0.25">
      <c r="A31" s="4" t="s">
        <v>264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265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266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267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268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153</v>
      </c>
    </row>
    <row r="37" spans="1:6" x14ac:dyDescent="0.25">
      <c r="A37" s="4" t="s">
        <v>269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270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271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272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273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274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275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276</v>
      </c>
      <c r="B45" s="13"/>
      <c r="C45" s="13"/>
      <c r="D45" s="13"/>
      <c r="E45" s="13"/>
      <c r="F45" s="13"/>
    </row>
    <row r="46" spans="1:6" x14ac:dyDescent="0.25">
      <c r="A46" s="4" t="s">
        <v>277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278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279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280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260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208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275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282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283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284</v>
      </c>
      <c r="B10" s="13"/>
      <c r="C10" s="13"/>
      <c r="D10" s="13"/>
      <c r="E10" s="13"/>
      <c r="F10" s="13"/>
    </row>
    <row r="11" spans="1:6" x14ac:dyDescent="0.25">
      <c r="A11" s="3" t="s">
        <v>285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286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287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235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288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290</v>
      </c>
      <c r="C2" s="15" t="s">
        <v>291</v>
      </c>
      <c r="D2" s="15" t="s">
        <v>292</v>
      </c>
      <c r="E2" s="15" t="s">
        <v>293</v>
      </c>
      <c r="F2" s="15" t="s">
        <v>294</v>
      </c>
      <c r="G2" s="15" t="s">
        <v>295</v>
      </c>
      <c r="H2" s="15" t="s">
        <v>296</v>
      </c>
      <c r="I2" s="15" t="s">
        <v>297</v>
      </c>
      <c r="J2" s="15" t="s">
        <v>298</v>
      </c>
      <c r="K2" s="15" t="s">
        <v>299</v>
      </c>
      <c r="L2" s="15" t="s">
        <v>300</v>
      </c>
      <c r="M2" s="15" t="s">
        <v>301</v>
      </c>
      <c r="N2" s="15" t="s">
        <v>302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304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305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306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283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308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309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310</v>
      </c>
      <c r="B16" s="13"/>
      <c r="C16" s="13"/>
    </row>
    <row r="17" spans="1:2" x14ac:dyDescent="0.25">
      <c r="A17" s="4" t="s">
        <v>172</v>
      </c>
      <c r="B17" s="17">
        <v>0</v>
      </c>
    </row>
    <row r="18" spans="1:2" x14ac:dyDescent="0.25">
      <c r="A18" s="4" t="s">
        <v>311</v>
      </c>
      <c r="B18" s="33">
        <f>M14</f>
        <v>-190250</v>
      </c>
    </row>
    <row r="19" spans="1:2" x14ac:dyDescent="0.25">
      <c r="A19" s="4" t="s">
        <v>312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4" t="s">
        <v>260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303</v>
      </c>
      <c r="B7" s="13"/>
      <c r="C7" s="13"/>
      <c r="D7" s="13"/>
      <c r="E7" s="13"/>
      <c r="F7" s="13"/>
    </row>
    <row r="8" spans="1:6" x14ac:dyDescent="0.25">
      <c r="A8" s="3" t="s">
        <v>304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305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314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283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315</v>
      </c>
      <c r="B13" s="13"/>
      <c r="C13" s="13"/>
      <c r="D13" s="13"/>
      <c r="E13" s="13"/>
      <c r="F13" s="13"/>
    </row>
    <row r="14" spans="1:6" x14ac:dyDescent="0.25">
      <c r="A14" s="34" t="s">
        <v>285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286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5" x14ac:dyDescent="0.25">
      <c r="A5" s="35" t="s">
        <v>317</v>
      </c>
      <c r="B5" s="36" t="s">
        <v>129</v>
      </c>
      <c r="C5" s="37" t="s">
        <v>318</v>
      </c>
      <c r="D5" s="35" t="s">
        <v>319</v>
      </c>
      <c r="E5" s="36" t="s">
        <v>229</v>
      </c>
    </row>
    <row r="6" spans="1:5" x14ac:dyDescent="0.25">
      <c r="A6" s="14" t="s">
        <v>161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320</v>
      </c>
      <c r="B8" s="13"/>
      <c r="C8" s="13"/>
      <c r="D8" s="13"/>
      <c r="E8" s="13"/>
      <c r="F8" s="13"/>
    </row>
    <row r="9" spans="1:6" x14ac:dyDescent="0.25">
      <c r="A9" s="4" t="s">
        <v>321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322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323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324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325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327</v>
      </c>
      <c r="B4" s="13"/>
      <c r="C4" s="13"/>
      <c r="D4" s="13"/>
      <c r="E4" s="13"/>
      <c r="F4" s="13"/>
    </row>
    <row r="5" spans="1:6" x14ac:dyDescent="0.25">
      <c r="A5" s="4" t="s">
        <v>328</v>
      </c>
      <c r="B5" s="38">
        <f>'Monthly Cash Flow Y1'!M14</f>
        <v>-190250</v>
      </c>
      <c r="C5" s="38">
        <f>B5+'5-Year Operating Stmt'!C14</f>
        <v>128096</v>
      </c>
      <c r="D5" s="38">
        <f>B5+'5-Year Operating Stmt'!C14+'5-Year Operating Stmt'!D14</f>
        <v>1434716</v>
      </c>
      <c r="E5" s="38">
        <f>B5+'5-Year Operating Stmt'!C14+'5-Year Operating Stmt'!D14+'5-Year Operating Stmt'!E14</f>
        <v>3552210</v>
      </c>
      <c r="F5" s="38">
        <f>B5+'5-Year Operating Stmt'!C14+'5-Year Operating Stmt'!D14+'5-Year Operating Stmt'!E14+'5-Year Operating Stmt'!F14</f>
        <v>5999341</v>
      </c>
    </row>
    <row r="6" spans="1:6" x14ac:dyDescent="0.25">
      <c r="A6" s="4" t="s">
        <v>329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330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332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3" t="s">
        <v>333</v>
      </c>
      <c r="B11" s="13"/>
      <c r="C11" s="13"/>
      <c r="D11" s="13"/>
      <c r="E11" s="13"/>
      <c r="F11" s="13"/>
    </row>
    <row r="12" spans="1:6" x14ac:dyDescent="0.25">
      <c r="A12" s="4" t="s">
        <v>334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335</v>
      </c>
      <c r="B13" s="25">
        <f>'Debt Schedule'!B13</f>
        <v>478361</v>
      </c>
      <c r="C13" s="25">
        <f>'Debt Schedule'!C13</f>
        <v>455444</v>
      </c>
      <c r="D13" s="25">
        <f>'Debt Schedule'!D13</f>
        <v>431175</v>
      </c>
      <c r="E13" s="25">
        <f>'Debt Schedule'!E13</f>
        <v>405473</v>
      </c>
      <c r="F13" s="25">
        <f>'Debt Schedule'!F13</f>
        <v>378253</v>
      </c>
    </row>
    <row r="14" spans="1:6" x14ac:dyDescent="0.25">
      <c r="A14" s="3" t="s">
        <v>336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3" t="s">
        <v>337</v>
      </c>
      <c r="B16" s="13"/>
      <c r="C16" s="13"/>
      <c r="D16" s="13"/>
      <c r="E16" s="13"/>
      <c r="F16" s="13"/>
    </row>
    <row r="17" spans="1:6" x14ac:dyDescent="0.25">
      <c r="A17" s="3" t="s">
        <v>338</v>
      </c>
      <c r="B17" s="26">
        <f>B9-B14</f>
        <v>-668611</v>
      </c>
      <c r="C17" s="26">
        <f>C9-C14</f>
        <v>-327348</v>
      </c>
      <c r="D17" s="26">
        <f>D9-D14</f>
        <v>1003541</v>
      </c>
      <c r="E17" s="26">
        <f>E9-E14</f>
        <v>3146738</v>
      </c>
      <c r="F17" s="26">
        <f>F9-F14</f>
        <v>5621089</v>
      </c>
    </row>
    <row r="19" spans="1:6" x14ac:dyDescent="0.25">
      <c r="A19" s="3" t="s">
        <v>339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40">
        <f>E9-E14-E17</f>
        <v>-1</v>
      </c>
      <c r="F19" s="40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341</v>
      </c>
      <c r="B4" s="13"/>
      <c r="C4" s="13"/>
      <c r="D4" s="13"/>
      <c r="E4" s="13"/>
      <c r="F4" s="13"/>
    </row>
    <row r="5" spans="1:6" x14ac:dyDescent="0.25">
      <c r="A5" s="4" t="s">
        <v>342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304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305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343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306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344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345</v>
      </c>
      <c r="B12" s="13"/>
      <c r="C12" s="13"/>
      <c r="D12" s="13"/>
      <c r="E12" s="13"/>
      <c r="F12" s="13"/>
    </row>
    <row r="13" spans="1:6" x14ac:dyDescent="0.25">
      <c r="A13" s="4" t="s">
        <v>346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347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348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193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349</v>
      </c>
      <c r="B18" s="13"/>
      <c r="C18" s="13"/>
      <c r="D18" s="13"/>
      <c r="E18" s="13"/>
      <c r="F18" s="13"/>
    </row>
    <row r="19" spans="1:6" x14ac:dyDescent="0.25">
      <c r="A19" s="4" t="s">
        <v>235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350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351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352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353</v>
      </c>
      <c r="B24" s="13"/>
      <c r="C24" s="13"/>
      <c r="D24" s="13"/>
      <c r="E24" s="13"/>
      <c r="F24" s="13"/>
    </row>
    <row r="25" spans="1:6" x14ac:dyDescent="0.25">
      <c r="A25" s="4" t="s">
        <v>354</v>
      </c>
      <c r="B25" s="43" t="s">
        <v>355</v>
      </c>
      <c r="C25" s="44" t="s">
        <v>356</v>
      </c>
      <c r="D25" s="44" t="s">
        <v>356</v>
      </c>
      <c r="E25" s="44" t="s">
        <v>356</v>
      </c>
      <c r="F25" s="44" t="s">
        <v>356</v>
      </c>
    </row>
    <row r="26" spans="1:6" x14ac:dyDescent="0.25">
      <c r="A26" s="4" t="s">
        <v>357</v>
      </c>
      <c r="B26" s="43" t="s">
        <v>355</v>
      </c>
      <c r="C26" s="44" t="s">
        <v>356</v>
      </c>
      <c r="D26" s="44" t="s">
        <v>356</v>
      </c>
      <c r="E26" s="44" t="s">
        <v>356</v>
      </c>
      <c r="F26" s="44" t="s">
        <v>356</v>
      </c>
    </row>
    <row r="27" spans="1:6" x14ac:dyDescent="0.25">
      <c r="A27" s="4" t="s">
        <v>358</v>
      </c>
      <c r="B27" s="43" t="s">
        <v>355</v>
      </c>
      <c r="C27" s="43" t="s">
        <v>355</v>
      </c>
      <c r="D27" s="43" t="s">
        <v>355</v>
      </c>
      <c r="E27" s="43" t="s">
        <v>355</v>
      </c>
      <c r="F27" s="43" t="s">
        <v>355</v>
      </c>
    </row>
    <row r="28" spans="1:6" x14ac:dyDescent="0.25">
      <c r="A28" s="4" t="s">
        <v>359</v>
      </c>
      <c r="B28" s="43" t="s">
        <v>355</v>
      </c>
      <c r="C28" s="43" t="s">
        <v>355</v>
      </c>
      <c r="D28" s="44" t="s">
        <v>356</v>
      </c>
      <c r="E28" s="44" t="s">
        <v>356</v>
      </c>
      <c r="F28" s="44" t="s">
        <v>356</v>
      </c>
    </row>
    <row r="29" spans="1:6" x14ac:dyDescent="0.25">
      <c r="A29" s="4" t="s">
        <v>360</v>
      </c>
      <c r="B29" s="43" t="s">
        <v>355</v>
      </c>
      <c r="C29" s="43" t="s">
        <v>355</v>
      </c>
      <c r="D29" s="44" t="s">
        <v>356</v>
      </c>
      <c r="E29" s="44" t="s">
        <v>356</v>
      </c>
      <c r="F29" s="44" t="s">
        <v>356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361</v>
      </c>
      <c r="B3" s="45" t="s">
        <v>106</v>
      </c>
      <c r="D3" s="45" t="s">
        <v>362</v>
      </c>
      <c r="E3" s="45" t="s">
        <v>106</v>
      </c>
    </row>
    <row r="4" spans="1:5" x14ac:dyDescent="0.25">
      <c r="A4" s="4" t="s">
        <v>161</v>
      </c>
      <c r="B4" s="25">
        <v>500000</v>
      </c>
      <c r="D4" s="4" t="s">
        <v>363</v>
      </c>
      <c r="E4" s="25">
        <v>400000</v>
      </c>
    </row>
    <row r="5" spans="1:5" x14ac:dyDescent="0.25">
      <c r="A5" s="4" t="s">
        <v>113</v>
      </c>
      <c r="B5" s="25">
        <v>100000</v>
      </c>
      <c r="D5" s="4" t="s">
        <v>364</v>
      </c>
      <c r="E5" s="25">
        <v>75000</v>
      </c>
    </row>
    <row r="6" spans="1:5" x14ac:dyDescent="0.25">
      <c r="A6" s="4" t="s">
        <v>365</v>
      </c>
      <c r="B6" s="25">
        <v>50000</v>
      </c>
      <c r="D6" s="4" t="s">
        <v>366</v>
      </c>
      <c r="E6" s="25">
        <v>40000</v>
      </c>
    </row>
    <row r="7" spans="4:5" x14ac:dyDescent="0.25">
      <c r="D7" s="4" t="s">
        <v>367</v>
      </c>
      <c r="E7" s="25">
        <v>60000</v>
      </c>
    </row>
    <row r="8" spans="4:5" x14ac:dyDescent="0.25">
      <c r="D8" s="4" t="s">
        <v>368</v>
      </c>
      <c r="E8" s="25">
        <v>75000</v>
      </c>
    </row>
    <row r="10" spans="1:5" x14ac:dyDescent="0.25">
      <c r="A10" s="3" t="s">
        <v>369</v>
      </c>
      <c r="B10" s="26">
        <v>650000</v>
      </c>
      <c r="D10" s="3" t="s">
        <v>370</v>
      </c>
      <c r="E10" s="26">
        <v>650000</v>
      </c>
    </row>
    <row r="11" spans="1:2" x14ac:dyDescent="0.25">
      <c r="A11" s="3" t="s">
        <v>371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342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283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285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286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344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352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342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283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285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286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344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352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342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283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285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286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344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352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379</v>
      </c>
      <c r="B33" s="13"/>
      <c r="C33" s="13"/>
      <c r="D33" s="13"/>
      <c r="E33" s="13"/>
      <c r="F33" s="13"/>
    </row>
    <row r="34" spans="1:1" x14ac:dyDescent="0.25">
      <c r="A34" s="12" t="s">
        <v>380</v>
      </c>
    </row>
    <row r="35" ht="28" customHeight="1" spans="1:6" x14ac:dyDescent="0.25">
      <c r="A35" s="15" t="s">
        <v>67</v>
      </c>
      <c r="B35" s="15" t="s">
        <v>96</v>
      </c>
      <c r="C35" s="15" t="s">
        <v>97</v>
      </c>
      <c r="D35" s="15" t="s">
        <v>98</v>
      </c>
      <c r="E35" s="15" t="s">
        <v>99</v>
      </c>
      <c r="F35" s="15" t="s">
        <v>100</v>
      </c>
    </row>
    <row r="36" spans="1:6" x14ac:dyDescent="0.25">
      <c r="A36" s="4" t="s">
        <v>342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283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285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286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344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352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381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382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383</v>
      </c>
      <c r="B9" s="4" t="s">
        <v>17</v>
      </c>
    </row>
    <row r="11" ht="24" customHeight="1" spans="1:8" x14ac:dyDescent="0.25">
      <c r="A11" s="13" t="s">
        <v>384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342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283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285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385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386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387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388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344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193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389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390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2026-03-18T05:18:00Z</dcterms:created>
  <dcterms:modified xsi:type="dcterms:W3CDTF">2026-03-18T05:18:00Z</dcterms:modified>
</cp:coreProperties>
</file>