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<sst xmlns="http://schemas.openxmlformats.org/spreadsheetml/2006/main" count="834" uniqueCount="457">
  <si>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</si>
  <si>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</si>
  <si>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</si>
  <si>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</si>
  <si>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</si>
  <si>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</si>
  <si>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</si>
  <si>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</si>
  <si>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</si>
  <si>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</si>
  <si>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</si>
  <si>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</si>
  <si>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</si>
  <si>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</si>
  <si>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</si>
  <si>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</si>
  <si>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</si>
  <si>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</si>
  <si>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</si>
  <si>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</si>
  <si>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</si>
  <si>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</si>
  <si>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</si>
  <si>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</si>
  <si>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</si>
  <si>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</si>
  <si>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</si>
  <si>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</si>
  <si>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</si>
  <si>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</si>
  <si>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</si>
  <si>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</si>
  <si>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</si>
  <si>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</si>
  <si>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</si>
  <si>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</si>
  <si>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</si>
  <si>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</si>
  <si>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</si>
  <si>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</si>
  <si>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</si>
  <si>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</si>
  <si>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</si>
  <si>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</si>
  <si>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</si>
  <si>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</si>
  <si>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</si>
  <si>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</si>
  <si>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</si>
  <si>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</si>
  <si>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</si>
  <si>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</si>
  <si>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</si>
  <si>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</si>
  <si>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</si>
  <si>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</si>
  <si>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</si>
  <si>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</si>
  <si>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</si>
  <si>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</si>
  <si>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</si>
  <si>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</si>
  <si>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</si>
  <si>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</si>
  <si>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</si>
  <si>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</si>
  <si>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</si>
  <si>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</si>
  <si>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</si>
  <si>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</si>
  <si>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</si>
  <si>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</si>
  <si>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</si>
  <si>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</si>
  <si>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</si>
  <si>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</si>
  <si>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</si>
  <si>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</si>
  <si>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</si>
  <si>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</si>
  <si>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</si>
  <si>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</si>
  <si>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</si>
  <si>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</si>
  <si>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</si>
  <si>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</si>
  <si>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</si>
  <si>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</si>
  <si>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</si>
  <si>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</si>
  <si>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</si>
  <si>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</si>
  <si>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</si>
  <si>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</si>
  <si>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</si>
  <si>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</si>
  <si>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</si>
  <si>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</si>
  <si>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</si>
  <si>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</si>
  <si>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</si>
  <si>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</si>
  <si>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</si>
  <si>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</si>
  <si>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</si>
  <si>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</si>
  <si>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</si>
  <si>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</si>
  <si>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</si>
  <si>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</si>
  <si>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</si>
  <si>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</si>
  <si>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</si>
  <si>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</si>
  <si>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</si>
  <si>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</si>
  <si>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</si>
  <si>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</si>
  <si>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</si>
  <si>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</si>
  <si>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</si>
  <si>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</si>
  <si>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</si>
  <si>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</si>
  <si>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</si>
  <si>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</si>
  <si>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</si>
  <si>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</si>
  <si>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</si>
  <si>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</si>
  <si>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</si>
  <si>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</si>
  <si>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</si>
  <si>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</si>
  <si>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</si>
  <si>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</si>
  <si>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</si>
  <si>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</si>
  <si>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</si>
  <si>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</si>
  <si>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</si>
  <si>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</si>
  <si>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</si>
  <si>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</si>
  <si>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</si>
  <si>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</si>
  <si>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</si>
  <si>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</si>
  <si>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</si>
  <si>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</si>
  <si>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</si>
  <si>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</si>
  <si>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</si>
  <si>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</si>
  <si>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</si>
  <si>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</si>
  <si>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</si>
  <si>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</si>
  <si>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</si>
  <si>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</si>
  <si>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</si>
  <si>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</si>
  <si>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</si>
  <si>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</si>
  <si>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</si>
  <si>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</si>
  <si>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</si>
  <si>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</si>
  <si>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</si>
  <si>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</si>
  <si>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</si>
  <si>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</si>
  <si>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</si>
  <si>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</si>
  <si>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</si>
  <si>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</si>
  <si>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</si>
  <si>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</si>
  <si>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</si>
  <si>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</si>
  <si>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</si>
  <si>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</si>
  <si>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</si>
  <si>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</si>
  <si>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</si>
  <si>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</si>
  <si>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</si>
  <si>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</si>
  <si>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</si>
  <si>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</si>
  <si>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</si>
  <si>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</si>
  <si>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</si>
  <si>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</si>
  <si>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</si>
  <si>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</si>
  <si>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</si>
  <si>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</si>
  <si>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</si>
  <si>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</si>
  <si>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</si>
  <si>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</si>
  <si>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</si>
  <si>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</si>
  <si>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</si>
  <si>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</si>
  <si>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</si>
  <si>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</si>
  <si>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</si>
  <si>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</si>
  <si>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</si>
  <si>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</si>
  <si>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</si>
  <si>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</si>
  <si>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</si>
  <si>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</si>
  <si>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</si>
  <si>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</si>
  <si>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</si>
  <si>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</si>
  <si>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</si>
  <si>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</si>
  <si>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</si>
  <si>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</si>
  <si>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</si>
  <si>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</si>
  <si>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</si>
  <si>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</si>
  <si>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</si>
  <si>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</si>
  <si>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</si>
  <si>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</si>
  <si>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</si>
  <si>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</si>
  <si>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</si>
  <si>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</si>
  <si>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</si>
  <si>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</si>
  <si>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</si>
  <si>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</si>
  <si>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</si>
  <si>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</si>
  <si>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</si>
  <si>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</si>
  <si>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</si>
  <si>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</si>
  <si>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</si>
  <si>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</si>
  <si>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</si>
  <si>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</si>
  <si>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</si>
  <si>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</si>
  <si>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</si>
  <si>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</si>
  <si>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</si>
  <si>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</si>
  <si>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</si>
  <si>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</si>
  <si>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</si>
  <si>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</si>
  <si>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</si>
  <si>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</si>
  <si>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</si>
  <si>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</si>
  <si>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</si>
  <si>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</si>
  <si>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</si>
  <si>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</si>
  <si>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</si>
  <si>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</si>
  <si>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</si>
  <si>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</si>
  <si>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</si>
  <si>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</si>
  <si>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</si>
  <si>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</si>
  <si>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</si>
  <si>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</si>
  <si>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</si>
  <si>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</si>
  <si>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</si>
  <si>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</si>
  <si>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</si>
  <si>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</si>
  <si>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</si>
  <si>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</si>
  <si>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</si>
  <si>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</si>
  <si>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</si>
  <si>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</si>
  <si>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</si>
  <si>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</si>
  <si>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</si>
  <si>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</si>
  <si>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</si>
  <si>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</si>
  <si>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</si>
  <si>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</si>
  <si>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</si>
  <si>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</si>
  <si>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</si>
  <si>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</si>
  <si>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</si>
  <si>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</si>
  <si>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</si>
  <si>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</si>
  <si>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</si>
  <si>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</si>
  <si>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</si>
  <si>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</si>
  <si>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</si>
  <si>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</si>
  <si>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</si>
  <si>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</si>
  <si>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</si>
  <si>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</si>
  <si>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</si>
  <si>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</si>
  <si>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</si>
  <si>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</si>
  <si>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</si>
  <si>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</si>
  <si>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Cumulative Profit</t>
  </si>
  <si>
    <t>Break-even</t>
  </si>
  <si>
    <t>✓ Break-even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</si>
  <si>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</si>
  <si>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</si>
  <si>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</si>
  <si>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</si>
  <si>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</si>
  <si>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</si>
  <si>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</si>
  <si>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</si>
  <si>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</si>
  <si>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</si>
  <si>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</si>
  <si>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</si>
  <si>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</si>
  <si>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</si>
  <si>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</si>
  <si>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</si>
  <si>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</si>
  <si>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</si>
  <si>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</si>
  <si>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</si>
  <si>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</si>
  <si>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</si>
  <si>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</si>
  <si>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</si>
  <si>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</si>
  <si>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</si>
  <si>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</si>
  <si>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</si>
  <si>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</si>
  <si>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</si>
  <si>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</si>
  <si>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</si>
  <si>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</si>
  <si>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</si>
  <si>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</si>
  <si>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</si>
  <si>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</si>
  <si>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</si>
  <si>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</si>
  <si>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</si>
  <si>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</si>
  <si>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</si>
  <si>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</si>
  <si>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</si>
  <si>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</si>
  <si>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</si>
  <si>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</si>
  <si>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</si>
  <si>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</si>
  <si>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</si>
  <si>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</si>
  <si>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</si>
  <si>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</si>
  <si>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</si>
  <si>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</si>
  <si>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</si>
  <si>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</si>
  <si>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</si>
  <si>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</si>
  <si>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</si>
  <si>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</si>
  <si>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</si>
  <si>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</si>
  <si>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</si>
  <si>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</si>
  <si>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</si>
  <si>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</si>
  <si>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</si>
  <si>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</si>
  <si>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</si>
  <si>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</si>
  <si>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</si>
  <si>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</si>
  <si>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</si>
  <si>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</si>
  <si>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</si>
  <si>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</si>
  <si>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</si>
  <si>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</si>
  <si>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</si>
  <si>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</si>
  <si>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</si>
  <si>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</si>
  <si>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</si>
  <si>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</si>
  <si>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</si>
  <si>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</si>
  <si>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Net Income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</si>
  <si>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</si>
  <si>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</si>
  <si>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</si>
  <si>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</si>
  <si>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</si>
  <si>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</si>
  <si>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</si>
  <si>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</si>
  <si>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</si>
  <si>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</si>
  <si>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</si>
  <si>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</si>
  <si>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</si>
  <si>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</si>
  <si>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</si>
  <si>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</si>
  <si>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</si>
  <si>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</si>
  <si>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</si>
  <si>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</si>
  <si>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</si>
  <si>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</si>
  <si>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</si>
  <si>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</si>
  <si>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</si>
  <si>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</si>
  <si>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</si>
  <si>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</si>
  <si>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</si>
  <si>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</si>
  <si>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</si>
  <si>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</si>
  <si>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</si>
  <si>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</si>
  <si>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</si>
  <si>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</si>
  <si>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</si>
  <si>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</si>
  <si>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</si>
  <si>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</si>
  <si>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</si>
  <si>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</si>
  <si>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5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</si>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</sst>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3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0" fillId="0" borderId="1" xfId="0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5" fontId="18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9" fillId="0" borderId="0" xfId="0" applyFont="1"/>
    <xf numFmtId="0" fontId="16" fillId="0" borderId="0" xfId="0" applyFont="1"/>
    <xf numFmtId="0" fontId="20" fillId="0" borderId="0" xfId="0" applyFont="1"/>
    <xf numFmtId="0" fontId="21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19" fillId="0" borderId="1" xfId="0" applyFont="1" applyBorder="1"/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7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20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9" fillId="0" borderId="1" xfId="0" applyFont="1" applyBorder="1" applyAlignment="1">
      <alignment wrapText="1"/>
    </xf>
    <xf numFmtId="0" fontId="21" fillId="0" borderId="1" xfId="0" applyFont="1" applyBorder="1" applyAlignment="1">
      <alignment horizontal="center"/>
    </xf>
    <xf numFmtId="0" fontId="22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  <row r="16" spans="1:6" x14ac:dyDescent="0.25">
      <c r="A16" s="10" t="s">
        <v>322</v>
      </c>
      <c r="B16" s="33">
        <f>B14</f>
        <v>-447923</v>
      </c>
      <c r="C16" s="33">
        <f>B16+C14</f>
        <v>-129576</v>
      </c>
      <c r="D16" s="33">
        <f>C16+D14</f>
        <v>1177043</v>
      </c>
      <c r="E16" s="33">
        <f>D16+E14</f>
        <v>3294538</v>
      </c>
      <c r="F16" s="33">
        <f>E16+F14</f>
        <v>5741669</v>
      </c>
    </row>
    <row r="17" spans="1:6" x14ac:dyDescent="0.25">
      <c r="A17" s="10" t="s">
        <v>323</v>
      </c>
      <c r="B17" s="40" t="s">
        <v>7</v>
      </c>
      <c r="C17" s="40" t="s">
        <v>7</v>
      </c>
      <c r="D17" s="41" t="s">
        <v>324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325</v>
      </c>
      <c r="B4" s="19"/>
      <c r="C4" s="19"/>
      <c r="D4" s="19"/>
      <c r="E4" s="19"/>
      <c r="F4" s="19"/>
    </row>
    <row r="5" spans="1:5" x14ac:dyDescent="0.25">
      <c r="A5" s="42" t="s">
        <v>326</v>
      </c>
      <c r="B5" s="43" t="s">
        <v>135</v>
      </c>
      <c r="C5" s="44" t="s">
        <v>327</v>
      </c>
      <c r="D5" s="42" t="s">
        <v>328</v>
      </c>
      <c r="E5" s="43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329</v>
      </c>
      <c r="B8" s="19"/>
      <c r="C8" s="19"/>
      <c r="D8" s="19"/>
      <c r="E8" s="19"/>
      <c r="F8" s="19"/>
    </row>
    <row r="9" spans="1:6" x14ac:dyDescent="0.25">
      <c r="A9" s="11" t="s">
        <v>330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331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332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333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334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335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336</v>
      </c>
      <c r="B4" s="19"/>
      <c r="C4" s="19"/>
      <c r="D4" s="19"/>
      <c r="E4" s="19"/>
      <c r="F4" s="19"/>
    </row>
    <row r="5" spans="1:6" x14ac:dyDescent="0.25">
      <c r="A5" s="11" t="s">
        <v>337</v>
      </c>
      <c r="B5" s="45">
        <f>'Monthly Cash Flow Y1'!M14</f>
        <v>-190250</v>
      </c>
      <c r="C5" s="45">
        <f>B5+'5-Year Operating Stmt'!C14</f>
        <v>128096</v>
      </c>
      <c r="D5" s="45">
        <f>B5+'5-Year Operating Stmt'!C14+'5-Year Operating Stmt'!D14</f>
        <v>1434716</v>
      </c>
      <c r="E5" s="45">
        <f>B5+'5-Year Operating Stmt'!C14+'5-Year Operating Stmt'!D14+'5-Year Operating Stmt'!E14</f>
        <v>3552210</v>
      </c>
      <c r="F5" s="45">
        <f>B5+'5-Year Operating Stmt'!C14+'5-Year Operating Stmt'!D14+'5-Year Operating Stmt'!E14+'5-Year Operating Stmt'!F14</f>
        <v>5999341</v>
      </c>
    </row>
    <row r="6" spans="1:6" x14ac:dyDescent="0.25">
      <c r="A6" s="11" t="s">
        <v>338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339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340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341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342</v>
      </c>
      <c r="B11" s="19"/>
      <c r="C11" s="19"/>
      <c r="D11" s="19"/>
      <c r="E11" s="19"/>
      <c r="F11" s="19"/>
    </row>
    <row r="12" spans="1:6" x14ac:dyDescent="0.25">
      <c r="A12" s="11" t="s">
        <v>343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344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345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346</v>
      </c>
      <c r="B16" s="19"/>
      <c r="C16" s="19"/>
      <c r="D16" s="19"/>
      <c r="E16" s="19"/>
      <c r="F16" s="19"/>
    </row>
    <row r="17" spans="1:6" x14ac:dyDescent="0.25">
      <c r="A17" s="10" t="s">
        <v>347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348</v>
      </c>
      <c r="B19" s="46" t="str">
        <f>B9-B14-B17</f>
        <v>0</v>
      </c>
      <c r="C19" s="46" t="str">
        <f>C9-C14-C17</f>
        <v>0</v>
      </c>
      <c r="D19" s="46" t="str">
        <f>D9-D14-D17</f>
        <v>0</v>
      </c>
      <c r="E19" s="47">
        <f>E9-E14-E17</f>
        <v>-1</v>
      </c>
      <c r="F19" s="47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350</v>
      </c>
      <c r="B4" s="19"/>
      <c r="C4" s="19"/>
      <c r="D4" s="19"/>
      <c r="E4" s="19"/>
      <c r="F4" s="19"/>
    </row>
    <row r="5" spans="1:6" x14ac:dyDescent="0.25">
      <c r="A5" s="11" t="s">
        <v>351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352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353</v>
      </c>
      <c r="B10" s="48">
        <f>IF(B9=0,"N/A",B8/B9)</f>
        <v>-5.68</v>
      </c>
      <c r="C10" s="48">
        <f>IF(C9=0,"N/A",C8/C9)</f>
        <v>8.19</v>
      </c>
      <c r="D10" s="48">
        <f>IF(D9=0,"N/A",D8/D9)</f>
        <v>28.03</v>
      </c>
      <c r="E10" s="48">
        <f>IF(E9=0,"N/A",E8/E9)</f>
        <v>44</v>
      </c>
      <c r="F10" s="48">
        <f>IF(F9=0,"N/A",F8/F9)</f>
        <v>50.52</v>
      </c>
    </row>
    <row r="12" ht="24" customHeight="1" spans="1:6" x14ac:dyDescent="0.25">
      <c r="A12" s="19" t="s">
        <v>354</v>
      </c>
      <c r="B12" s="19"/>
      <c r="C12" s="19"/>
      <c r="D12" s="19"/>
      <c r="E12" s="19"/>
      <c r="F12" s="19"/>
    </row>
    <row r="13" spans="1:6" x14ac:dyDescent="0.25">
      <c r="A13" s="11" t="s">
        <v>355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356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357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358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359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360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361</v>
      </c>
      <c r="B22" s="49">
        <v>174</v>
      </c>
      <c r="C22" s="49">
        <v>158</v>
      </c>
      <c r="D22" s="49">
        <v>151</v>
      </c>
      <c r="E22" s="49">
        <v>148</v>
      </c>
      <c r="F22" s="49">
        <v>148</v>
      </c>
    </row>
    <row r="24" ht="24" customHeight="1" spans="1:6" x14ac:dyDescent="0.25">
      <c r="A24" s="19" t="s">
        <v>362</v>
      </c>
      <c r="B24" s="19"/>
      <c r="C24" s="19"/>
      <c r="D24" s="19"/>
      <c r="E24" s="19"/>
      <c r="F24" s="19"/>
    </row>
    <row r="25" spans="1:6" x14ac:dyDescent="0.25">
      <c r="A25" s="11" t="s">
        <v>363</v>
      </c>
      <c r="B25" s="50" t="s">
        <v>364</v>
      </c>
      <c r="C25" s="51" t="s">
        <v>365</v>
      </c>
      <c r="D25" s="51" t="s">
        <v>365</v>
      </c>
      <c r="E25" s="51" t="s">
        <v>365</v>
      </c>
      <c r="F25" s="51" t="s">
        <v>365</v>
      </c>
    </row>
    <row r="26" spans="1:6" x14ac:dyDescent="0.25">
      <c r="A26" s="11" t="s">
        <v>366</v>
      </c>
      <c r="B26" s="50" t="s">
        <v>364</v>
      </c>
      <c r="C26" s="51" t="s">
        <v>365</v>
      </c>
      <c r="D26" s="51" t="s">
        <v>365</v>
      </c>
      <c r="E26" s="51" t="s">
        <v>365</v>
      </c>
      <c r="F26" s="51" t="s">
        <v>365</v>
      </c>
    </row>
    <row r="27" spans="1:6" x14ac:dyDescent="0.25">
      <c r="A27" s="11" t="s">
        <v>367</v>
      </c>
      <c r="B27" s="50" t="s">
        <v>364</v>
      </c>
      <c r="C27" s="50" t="s">
        <v>364</v>
      </c>
      <c r="D27" s="50" t="s">
        <v>364</v>
      </c>
      <c r="E27" s="50" t="s">
        <v>364</v>
      </c>
      <c r="F27" s="50" t="s">
        <v>364</v>
      </c>
    </row>
    <row r="28" spans="1:6" x14ac:dyDescent="0.25">
      <c r="A28" s="11" t="s">
        <v>368</v>
      </c>
      <c r="B28" s="50" t="s">
        <v>364</v>
      </c>
      <c r="C28" s="50" t="s">
        <v>364</v>
      </c>
      <c r="D28" s="51" t="s">
        <v>365</v>
      </c>
      <c r="E28" s="51" t="s">
        <v>365</v>
      </c>
      <c r="F28" s="51" t="s">
        <v>365</v>
      </c>
    </row>
    <row r="29" spans="1:6" x14ac:dyDescent="0.25">
      <c r="A29" s="11" t="s">
        <v>369</v>
      </c>
      <c r="B29" s="50" t="s">
        <v>364</v>
      </c>
      <c r="C29" s="50" t="s">
        <v>364</v>
      </c>
      <c r="D29" s="51" t="s">
        <v>365</v>
      </c>
      <c r="E29" s="51" t="s">
        <v>365</v>
      </c>
      <c r="F29" s="51" t="s">
        <v>365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370</v>
      </c>
      <c r="B3" s="52" t="s">
        <v>112</v>
      </c>
      <c r="D3" s="52" t="s">
        <v>371</v>
      </c>
      <c r="E3" s="52" t="s">
        <v>112</v>
      </c>
    </row>
    <row r="4" spans="1:5" x14ac:dyDescent="0.25">
      <c r="A4" s="11" t="s">
        <v>167</v>
      </c>
      <c r="B4" s="30">
        <v>500000</v>
      </c>
      <c r="D4" s="11" t="s">
        <v>372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373</v>
      </c>
      <c r="E5" s="30">
        <v>75000</v>
      </c>
    </row>
    <row r="6" spans="1:5" x14ac:dyDescent="0.25">
      <c r="A6" s="11" t="s">
        <v>374</v>
      </c>
      <c r="B6" s="30">
        <v>50000</v>
      </c>
      <c r="D6" s="11" t="s">
        <v>375</v>
      </c>
      <c r="E6" s="30">
        <v>40000</v>
      </c>
    </row>
    <row r="7" spans="4:5" x14ac:dyDescent="0.25">
      <c r="D7" s="11" t="s">
        <v>376</v>
      </c>
      <c r="E7" s="30">
        <v>60000</v>
      </c>
    </row>
    <row r="8" spans="4:5" x14ac:dyDescent="0.25">
      <c r="D8" s="11" t="s">
        <v>377</v>
      </c>
      <c r="E8" s="30">
        <v>75000</v>
      </c>
    </row>
    <row r="10" spans="1:5" x14ac:dyDescent="0.25">
      <c r="A10" s="10" t="s">
        <v>378</v>
      </c>
      <c r="B10" s="32">
        <v>650000</v>
      </c>
      <c r="D10" s="10" t="s">
        <v>379</v>
      </c>
      <c r="E10" s="32">
        <v>650000</v>
      </c>
    </row>
    <row r="11" spans="1:2" x14ac:dyDescent="0.25">
      <c r="A11" s="10" t="s">
        <v>380</v>
      </c>
      <c r="B11" s="4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381</v>
      </c>
      <c r="B1" s="15"/>
      <c r="C1" s="15"/>
      <c r="D1" s="15"/>
      <c r="E1" s="15"/>
      <c r="F1" s="15"/>
    </row>
    <row r="3" ht="24" customHeight="1" spans="1:6" x14ac:dyDescent="0.25">
      <c r="A3" s="19" t="s">
        <v>382</v>
      </c>
      <c r="B3" s="19"/>
      <c r="C3" s="19"/>
      <c r="D3" s="19"/>
      <c r="E3" s="19"/>
      <c r="F3" s="19"/>
    </row>
    <row r="4" spans="1:1" x14ac:dyDescent="0.25">
      <c r="A4" s="17" t="s">
        <v>383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351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353</v>
      </c>
      <c r="B10" s="53">
        <v>-5.68</v>
      </c>
      <c r="C10" s="53">
        <v>8.19</v>
      </c>
      <c r="D10" s="53">
        <v>28.03</v>
      </c>
      <c r="E10" s="53">
        <v>44</v>
      </c>
      <c r="F10" s="53">
        <v>50.52</v>
      </c>
    </row>
    <row r="11" spans="1:6" x14ac:dyDescent="0.25">
      <c r="A11" s="11" t="s">
        <v>361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384</v>
      </c>
      <c r="B13" s="19"/>
      <c r="C13" s="19"/>
      <c r="D13" s="19"/>
      <c r="E13" s="19"/>
      <c r="F13" s="19"/>
    </row>
    <row r="14" spans="1:1" x14ac:dyDescent="0.25">
      <c r="A14" s="17" t="s">
        <v>385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351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353</v>
      </c>
      <c r="B20" s="53">
        <v>-12.15</v>
      </c>
      <c r="C20" s="53">
        <v>-4.68</v>
      </c>
      <c r="D20" s="53">
        <v>8.49</v>
      </c>
      <c r="E20" s="53">
        <v>19.03</v>
      </c>
      <c r="F20" s="53">
        <v>23.13</v>
      </c>
    </row>
    <row r="21" spans="1:6" x14ac:dyDescent="0.25">
      <c r="A21" s="11" t="s">
        <v>361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386</v>
      </c>
      <c r="B23" s="19"/>
      <c r="C23" s="19"/>
      <c r="D23" s="19"/>
      <c r="E23" s="19"/>
      <c r="F23" s="19"/>
    </row>
    <row r="24" spans="1:1" x14ac:dyDescent="0.25">
      <c r="A24" s="17" t="s">
        <v>387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351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353</v>
      </c>
      <c r="B30" s="53">
        <v>-6.97</v>
      </c>
      <c r="C30" s="53">
        <v>5.62</v>
      </c>
      <c r="D30" s="53">
        <v>24.12</v>
      </c>
      <c r="E30" s="53">
        <v>39.01</v>
      </c>
      <c r="F30" s="53">
        <v>45.04</v>
      </c>
    </row>
    <row r="31" spans="1:6" x14ac:dyDescent="0.25">
      <c r="A31" s="11" t="s">
        <v>361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388</v>
      </c>
      <c r="B33" s="19"/>
      <c r="C33" s="19"/>
      <c r="D33" s="19"/>
      <c r="E33" s="19"/>
      <c r="F33" s="19"/>
    </row>
    <row r="34" spans="1:1" x14ac:dyDescent="0.25">
      <c r="A34" s="17" t="s">
        <v>389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351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353</v>
      </c>
      <c r="B40" s="53">
        <v>-6.62</v>
      </c>
      <c r="C40" s="53">
        <v>6.39</v>
      </c>
      <c r="D40" s="53">
        <v>25.34</v>
      </c>
      <c r="E40" s="53">
        <v>40.6</v>
      </c>
      <c r="F40" s="53">
        <v>46.79</v>
      </c>
    </row>
    <row r="41" spans="1:6" x14ac:dyDescent="0.25">
      <c r="A41" s="11" t="s">
        <v>361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390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391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392</v>
      </c>
      <c r="B9" s="11" t="s">
        <v>46</v>
      </c>
    </row>
    <row r="11" ht="24" customHeight="1" spans="1:8" x14ac:dyDescent="0.25">
      <c r="A11" s="19" t="s">
        <v>393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351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394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395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396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397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353</v>
      </c>
      <c r="D22" s="53">
        <v>-5.68</v>
      </c>
      <c r="E22" s="53">
        <v>8.19</v>
      </c>
      <c r="F22" s="53">
        <v>28.03</v>
      </c>
      <c r="G22" s="53">
        <v>44</v>
      </c>
      <c r="H22" s="53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398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399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400</v>
      </c>
      <c r="C2" s="1"/>
      <c r="D2" s="1"/>
      <c r="E2" s="1"/>
      <c r="F2" s="1"/>
      <c r="G2" s="1"/>
      <c r="H2" s="1"/>
    </row>
    <row r="3" spans="2:8" x14ac:dyDescent="0.25">
      <c r="B3" s="55" t="s">
        <v>401</v>
      </c>
      <c r="C3" s="55"/>
      <c r="D3" s="55"/>
      <c r="E3" s="55"/>
      <c r="F3" s="55"/>
      <c r="G3" s="55"/>
      <c r="H3" s="55"/>
    </row>
    <row r="4" spans="2:6" x14ac:dyDescent="0.25">
      <c r="B4" s="56" t="s">
        <v>402</v>
      </c>
      <c r="D4" s="57" t="s">
        <v>403</v>
      </c>
      <c r="F4" s="58" t="s">
        <v>404</v>
      </c>
    </row>
    <row r="6" ht="24" customHeight="1" spans="2:8" x14ac:dyDescent="0.25">
      <c r="B6" s="19" t="s">
        <v>405</v>
      </c>
      <c r="C6" s="59" t="s">
        <v>406</v>
      </c>
      <c r="D6" s="59" t="s">
        <v>407</v>
      </c>
      <c r="E6" s="59" t="s">
        <v>408</v>
      </c>
      <c r="F6" s="59" t="s">
        <v>409</v>
      </c>
      <c r="G6" s="59" t="s">
        <v>410</v>
      </c>
      <c r="H6" s="59" t="s">
        <v>411</v>
      </c>
    </row>
    <row r="7" spans="2:7" x14ac:dyDescent="0.25">
      <c r="B7" s="11" t="s">
        <v>398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1" t="s">
        <v>351</v>
      </c>
      <c r="C8" s="61">
        <v>1288333.3333333335</v>
      </c>
      <c r="D8" s="61">
        <v>2564700</v>
      </c>
      <c r="E8" s="61">
        <v>3893503</v>
      </c>
      <c r="F8" s="61">
        <v>4977371.484999999</v>
      </c>
      <c r="G8" s="61">
        <v>5458717.7285</v>
      </c>
    </row>
    <row r="9" spans="2:7" x14ac:dyDescent="0.25">
      <c r="B9" s="11" t="s">
        <v>310</v>
      </c>
      <c r="C9" s="61">
        <v>1026431.25</v>
      </c>
      <c r="D9" s="61">
        <v>1268669.0250000001</v>
      </c>
      <c r="E9" s="61">
        <v>1306729.0957499999</v>
      </c>
      <c r="F9" s="61">
        <v>1345930.9686225</v>
      </c>
      <c r="G9" s="61">
        <v>1386308.8976811753</v>
      </c>
    </row>
    <row r="10" spans="2:7" x14ac:dyDescent="0.25">
      <c r="B10" s="11" t="s">
        <v>311</v>
      </c>
      <c r="C10" s="61">
        <v>545000</v>
      </c>
      <c r="D10" s="61">
        <v>887860</v>
      </c>
      <c r="E10" s="61">
        <v>1190329.8</v>
      </c>
      <c r="F10" s="61">
        <v>1439121.459</v>
      </c>
      <c r="G10" s="61">
        <v>1555453.1754200002</v>
      </c>
    </row>
    <row r="11" spans="2:7" x14ac:dyDescent="0.25">
      <c r="B11" s="11" t="s">
        <v>312</v>
      </c>
      <c r="C11" s="61">
        <v>49824.605221179416</v>
      </c>
      <c r="D11" s="61">
        <v>49824.605221179416</v>
      </c>
      <c r="E11" s="61">
        <v>49824.605221179416</v>
      </c>
      <c r="F11" s="61">
        <v>49824.605221179416</v>
      </c>
      <c r="G11" s="61">
        <v>49824.605221179416</v>
      </c>
    </row>
    <row r="12" spans="2:7" x14ac:dyDescent="0.25">
      <c r="B12" s="10" t="s">
        <v>412</v>
      </c>
      <c r="C12" s="62">
        <v>-447922.5218878458</v>
      </c>
      <c r="D12" s="63">
        <v>318346.3697788203</v>
      </c>
      <c r="E12" s="63">
        <v>1306619.4990288205</v>
      </c>
      <c r="F12" s="63">
        <v>2117494.45215632</v>
      </c>
      <c r="G12" s="63">
        <v>2447131.0501776454</v>
      </c>
    </row>
    <row r="13" spans="2:7" x14ac:dyDescent="0.25">
      <c r="B13" s="10" t="s">
        <v>355</v>
      </c>
      <c r="C13" s="62">
        <v>-190250</v>
      </c>
      <c r="D13" s="63">
        <v>128096.36977882031</v>
      </c>
      <c r="E13" s="63">
        <v>1434715.8688076409</v>
      </c>
      <c r="F13" s="63">
        <v>3552210.320963961</v>
      </c>
      <c r="G13" s="63">
        <v>5999341.371141607</v>
      </c>
    </row>
    <row r="14" spans="2:7" x14ac:dyDescent="0.25">
      <c r="B14" s="10" t="s">
        <v>397</v>
      </c>
      <c r="C14" s="64">
        <v>-0.34767595489354136</v>
      </c>
      <c r="D14" s="65">
        <v>0.12412616281780338</v>
      </c>
      <c r="E14" s="65">
        <v>0.33558969879535744</v>
      </c>
      <c r="F14" s="65">
        <v>0.42542423416409325</v>
      </c>
      <c r="G14" s="65">
        <v>0.44829778198663</v>
      </c>
    </row>
    <row r="15" spans="2:8" x14ac:dyDescent="0.25">
      <c r="B15" s="10" t="s">
        <v>241</v>
      </c>
      <c r="C15" s="66">
        <v>10736.111111111113</v>
      </c>
      <c r="D15" s="66">
        <v>12823.5</v>
      </c>
      <c r="E15" s="66">
        <v>12978.343333333334</v>
      </c>
      <c r="F15" s="66">
        <v>13272.990626666666</v>
      </c>
      <c r="G15" s="66">
        <v>13646.794321250001</v>
      </c>
      <c r="H15" s="67" t="s">
        <v>413</v>
      </c>
    </row>
    <row r="16" spans="2:8" x14ac:dyDescent="0.25">
      <c r="B16" s="10" t="s">
        <v>414</v>
      </c>
      <c r="C16" s="64">
        <v>0.7967124838292367</v>
      </c>
      <c r="D16" s="65">
        <v>0.49466566265060247</v>
      </c>
      <c r="E16" s="65">
        <v>0.3356178474114441</v>
      </c>
      <c r="F16" s="65">
        <v>0.27040998902305163</v>
      </c>
      <c r="G16" s="65">
        <v>0.25396237113402065</v>
      </c>
      <c r="H16" s="67" t="s">
        <v>415</v>
      </c>
    </row>
    <row r="17" spans="2:8" x14ac:dyDescent="0.25">
      <c r="B17" s="10" t="s">
        <v>416</v>
      </c>
      <c r="C17" s="68">
        <v>0.2188874514877102</v>
      </c>
      <c r="D17" s="65">
        <v>0.11325301204819277</v>
      </c>
      <c r="E17" s="65">
        <v>0.07683923705722072</v>
      </c>
      <c r="F17" s="65">
        <v>0.0619099890230516</v>
      </c>
      <c r="G17" s="65">
        <v>0.05814432989690721</v>
      </c>
      <c r="H17" s="67" t="s">
        <v>417</v>
      </c>
    </row>
    <row r="18" spans="2:8" x14ac:dyDescent="0.25">
      <c r="B18" s="10" t="s">
        <v>418</v>
      </c>
      <c r="C18" s="64">
        <v>-0.21973965071151344</v>
      </c>
      <c r="D18" s="65">
        <v>0.15914959839357423</v>
      </c>
      <c r="E18" s="65">
        <v>0.3586600817438692</v>
      </c>
      <c r="F18" s="65">
        <v>0.4404571899012074</v>
      </c>
      <c r="G18" s="65">
        <v>0.4610891752577319</v>
      </c>
      <c r="H18" s="67" t="s">
        <v>419</v>
      </c>
    </row>
    <row r="19" spans="2:8" x14ac:dyDescent="0.25">
      <c r="B19" s="10" t="s">
        <v>420</v>
      </c>
      <c r="C19" s="69">
        <v>3</v>
      </c>
      <c r="D19" s="69">
        <v>3</v>
      </c>
      <c r="E19" s="69">
        <v>3</v>
      </c>
      <c r="F19" s="69">
        <v>3</v>
      </c>
      <c r="G19" s="69">
        <v>3</v>
      </c>
      <c r="H19" s="67" t="s">
        <v>421</v>
      </c>
    </row>
    <row r="20" spans="2:8" x14ac:dyDescent="0.25">
      <c r="B20" s="10" t="s">
        <v>353</v>
      </c>
      <c r="C20" s="70">
        <v>-5.681889809461599</v>
      </c>
      <c r="D20" s="71">
        <v>8.192156730355682</v>
      </c>
      <c r="E20" s="71">
        <v>28.027198570886025</v>
      </c>
      <c r="F20" s="71">
        <v>44.00073111759629</v>
      </c>
      <c r="G20" s="71">
        <v>50.51631908021458</v>
      </c>
      <c r="H20" s="67" t="s">
        <v>422</v>
      </c>
    </row>
    <row r="21" spans="2:8" x14ac:dyDescent="0.25">
      <c r="B21" s="10" t="s">
        <v>423</v>
      </c>
      <c r="C21" s="72" t="str">
        <f>IF('5-Year Operating Stmt'!B16&gt;=0,"✓ Break-even","")</f>
        <v>0</v>
      </c>
      <c r="D21" s="72" t="str">
        <f>IF(AND('5-Year Operating Stmt'!C16&gt;=0,'5-Year Operating Stmt'!B16&lt;0),"✓ Break-even","")</f>
        <v>0</v>
      </c>
      <c r="E21" s="41" t="str">
        <f>IF(AND('5-Year Operating Stmt'!D16&gt;=0,'5-Year Operating Stmt'!C16&lt;0),"✓ Break-even","")</f>
        <v>✓ Break-even</v>
      </c>
      <c r="F21" s="72" t="str">
        <f>IF(AND('5-Year Operating Stmt'!E16&gt;=0,'5-Year Operating Stmt'!D16&lt;0),"✓ Break-even","")</f>
        <v>0</v>
      </c>
      <c r="G21" s="72" t="str">
        <f>IF(AND('5-Year Operating Stmt'!F16&gt;=0,'5-Year Operating Stmt'!E16&lt;0),"✓ Break-even","")</f>
        <v>0</v>
      </c>
      <c r="H21" s="67" t="s">
        <v>406</v>
      </c>
    </row>
    <row r="22" spans="2:8" x14ac:dyDescent="0.25">
      <c r="B22" s="10" t="s">
        <v>424</v>
      </c>
      <c r="C22" s="73">
        <v>-1</v>
      </c>
      <c r="D22" s="73">
        <v>1</v>
      </c>
      <c r="E22" s="73">
        <v>7</v>
      </c>
      <c r="F22" s="74">
        <v>15</v>
      </c>
      <c r="G22" s="69">
        <v>24</v>
      </c>
      <c r="H22" s="67" t="s">
        <v>425</v>
      </c>
    </row>
    <row r="24" ht="24" customHeight="1" spans="2:8" x14ac:dyDescent="0.25">
      <c r="B24" s="19" t="s">
        <v>426</v>
      </c>
      <c r="C24" s="19" t="s">
        <v>427</v>
      </c>
      <c r="D24" s="19" t="s">
        <v>428</v>
      </c>
      <c r="E24" s="19"/>
      <c r="F24" s="19" t="s">
        <v>429</v>
      </c>
      <c r="G24" s="19"/>
      <c r="H24" s="19"/>
    </row>
    <row r="25" ht="45" customHeight="1" spans="2:8" x14ac:dyDescent="0.25">
      <c r="B25" s="42" t="s">
        <v>430</v>
      </c>
      <c r="C25" s="75" t="s">
        <v>431</v>
      </c>
      <c r="D25" s="76" t="s">
        <v>432</v>
      </c>
      <c r="E25" s="76"/>
      <c r="F25" s="77" t="s">
        <v>433</v>
      </c>
      <c r="G25" s="77"/>
      <c r="H25" s="77"/>
    </row>
    <row r="26" ht="45" customHeight="1" spans="2:8" x14ac:dyDescent="0.25">
      <c r="B26" s="42" t="s">
        <v>434</v>
      </c>
      <c r="C26" s="78" t="s">
        <v>435</v>
      </c>
      <c r="D26" s="76" t="s">
        <v>436</v>
      </c>
      <c r="E26" s="76"/>
      <c r="F26" s="77" t="s">
        <v>437</v>
      </c>
      <c r="G26" s="77"/>
      <c r="H26" s="77"/>
    </row>
    <row r="27" ht="45" customHeight="1" spans="2:8" x14ac:dyDescent="0.25">
      <c r="B27" s="42" t="s">
        <v>438</v>
      </c>
      <c r="C27" s="41" t="s">
        <v>439</v>
      </c>
      <c r="D27" s="76" t="s">
        <v>440</v>
      </c>
      <c r="E27" s="76"/>
      <c r="F27" s="77" t="s">
        <v>441</v>
      </c>
      <c r="G27" s="77"/>
      <c r="H27" s="77"/>
    </row>
    <row r="28" ht="45" customHeight="1" spans="2:8" x14ac:dyDescent="0.25">
      <c r="B28" s="42" t="s">
        <v>442</v>
      </c>
      <c r="C28" s="41" t="s">
        <v>439</v>
      </c>
      <c r="D28" s="76" t="s">
        <v>443</v>
      </c>
      <c r="E28" s="76"/>
      <c r="F28" s="77" t="s">
        <v>444</v>
      </c>
      <c r="G28" s="77"/>
      <c r="H28" s="77"/>
    </row>
    <row r="29" ht="45" customHeight="1" spans="2:8" x14ac:dyDescent="0.25">
      <c r="B29" s="42" t="s">
        <v>445</v>
      </c>
      <c r="C29" s="41" t="s">
        <v>439</v>
      </c>
      <c r="D29" s="76" t="s">
        <v>446</v>
      </c>
      <c r="E29" s="76"/>
      <c r="F29" s="77" t="s">
        <v>447</v>
      </c>
      <c r="G29" s="77"/>
      <c r="H29" s="77"/>
    </row>
    <row r="30" ht="45" customHeight="1" spans="2:8" x14ac:dyDescent="0.25">
      <c r="B30" s="42" t="s">
        <v>448</v>
      </c>
      <c r="C30" s="41" t="s">
        <v>439</v>
      </c>
      <c r="D30" s="76" t="s">
        <v>449</v>
      </c>
      <c r="E30" s="76"/>
      <c r="F30" s="77" t="s">
        <v>450</v>
      </c>
      <c r="G30" s="77"/>
      <c r="H30" s="77"/>
    </row>
    <row r="31" ht="45" customHeight="1" spans="2:8" x14ac:dyDescent="0.25">
      <c r="B31" s="42" t="s">
        <v>451</v>
      </c>
      <c r="C31" s="41" t="s">
        <v>439</v>
      </c>
      <c r="D31" s="76" t="s">
        <v>452</v>
      </c>
      <c r="E31" s="76"/>
      <c r="F31" s="77" t="s">
        <v>453</v>
      </c>
      <c r="G31" s="77"/>
      <c r="H31" s="77"/>
    </row>
    <row r="33" spans="2:6" x14ac:dyDescent="0.25">
      <c r="B33" s="42" t="s">
        <v>454</v>
      </c>
      <c r="C33" s="10" t="s">
        <v>455</v>
      </c>
      <c r="D33" s="10"/>
      <c r="E33" s="10"/>
      <c r="F33" s="10"/>
    </row>
    <row r="35" spans="2:8" x14ac:dyDescent="0.25">
      <c r="B35" s="79" t="s">
        <v>456</v>
      </c>
      <c r="C35" s="79"/>
      <c r="D35" s="79"/>
      <c r="E35" s="79"/>
      <c r="F35" s="79"/>
      <c r="G35" s="79"/>
      <c r="H35" s="79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