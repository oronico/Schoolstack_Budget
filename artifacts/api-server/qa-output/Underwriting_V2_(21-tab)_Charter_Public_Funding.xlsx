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<sst xmlns="http://schemas.openxmlformats.org/spreadsheetml/2006/main" count="725" uniqueCount="378">
  <si>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</si>
  <si>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</si>
  <si>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</si>
  <si>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</si>
  <si>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</si>
  <si>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</si>
  <si>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</si>
  <si>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</si>
  <si>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</si>
  <si>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</si>
  <si>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</si>
  <si>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</si>
  <si>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</si>
  <si>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</si>
  <si>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</si>
  <si>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</si>
  <si>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</si>
  <si>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</si>
  <si>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</si>
  <si>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</si>
  <si>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</si>
  <si>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</si>
  <si>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</si>
  <si>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</si>
  <si>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</si>
  <si>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</si>
  <si>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</si>
  <si>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</si>
  <si>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</si>
  <si>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</si>
  <si>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</si>
  <si>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</si>
  <si>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</si>
  <si>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</si>
  <si>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</si>
  <si>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</si>
  <si>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</si>
  <si>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</si>
  <si>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</si>
  <si>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</si>
  <si>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</si>
  <si>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</si>
  <si>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</si>
  <si>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</si>
  <si>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</si>
  <si>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</si>
  <si>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</si>
  <si>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</si>
  <si>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</si>
  <si>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</si>
  <si>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</si>
  <si>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</si>
  <si>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</si>
  <si>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</si>
  <si>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</si>
  <si>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</si>
  <si>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</si>
  <si>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</si>
  <si>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</si>
  <si>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</si>
  <si>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</si>
  <si>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— Prepared by SchoolStack Budget (budget.schoolstack.ai)</t>
  </si>
  <si>
    <t>How to Use This Workbook</t>
  </si>
  <si>
    <t>Color Legend</t>
  </si>
  <si>
    <t>Yellow cells are editable inputs — change these to update your model.</t>
  </si>
  <si>
    <t>Gray cells contain formulas — do not edit.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</si>
  <si>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</si>
  <si>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</si>
  <si>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</si>
  <si>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</si>
  <si>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</si>
  <si>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</si>
  <si>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</si>
  <si>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</si>
  <si>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</si>
  <si>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</si>
  <si>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</si>
  <si>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</si>
  <si>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</si>
  <si>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</si>
  <si>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</si>
  <si>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</si>
  <si>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—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</si>
  <si>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</si>
  <si>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</si>
  <si>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</si>
  <si>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</si>
  <si>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</si>
  <si>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</si>
  <si>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</si>
  <si>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</si>
  <si>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</si>
  <si>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</si>
  <si>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</si>
  <si>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</si>
  <si>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</si>
  <si>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</si>
  <si>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</si>
  <si>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</si>
  <si>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</si>
  <si>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</si>
  <si>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</si>
  <si>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</si>
  <si>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</si>
  <si>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</si>
  <si>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</si>
  <si>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</si>
  <si>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</si>
  <si>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</si>
  <si>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</si>
  <si>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</si>
  <si>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</si>
  <si>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</si>
  <si>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</si>
  <si>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</si>
  <si>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</si>
  <si>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</si>
  <si>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</si>
  <si>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</si>
  <si>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</si>
  <si>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</si>
  <si>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</si>
  <si>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</si>
  <si>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</si>
  <si>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</si>
  <si>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</si>
  <si>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</si>
  <si>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</si>
  <si>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</si>
  <si>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</si>
  <si>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</si>
  <si>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</si>
  <si>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</si>
  <si>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</si>
  <si>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</si>
  <si>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</si>
  <si>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</si>
  <si>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</si>
  <si>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</si>
  <si>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</si>
  <si>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</si>
  <si>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</si>
  <si>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</si>
  <si>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</si>
  <si>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</si>
  <si>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</si>
  <si>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</si>
  <si>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</si>
  <si>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</si>
  <si>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</si>
  <si>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</si>
  <si>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</si>
  <si>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</si>
  <si>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</si>
  <si>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</si>
  <si>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</si>
  <si>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</si>
  <si>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</si>
  <si>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</si>
  <si>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</si>
  <si>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</si>
  <si>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</si>
  <si>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</si>
  <si>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</si>
  <si>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</si>
  <si>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</si>
  <si>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</si>
  <si>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</si>
  <si>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</si>
  <si>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</si>
  <si>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</si>
  <si>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</si>
  <si>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</si>
  <si>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</si>
  <si>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</si>
  <si>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</si>
  <si>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</si>
  <si>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</si>
  <si>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</si>
  <si>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</si>
  <si>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</si>
  <si>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</si>
  <si>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</si>
  <si>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</si>
  <si>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</si>
  <si>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</si>
  <si>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</si>
  <si>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—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</si>
  <si>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</si>
  <si>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</si>
  <si>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</si>
  <si>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</si>
  <si>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</si>
  <si>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</si>
  <si>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</si>
  <si>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</si>
  <si>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</si>
  <si>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</si>
  <si>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</si>
  <si>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</si>
  <si>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</si>
  <si>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</si>
  <si>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</si>
  <si>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</si>
  <si>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</si>
  <si>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</si>
  <si>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</si>
  <si>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</si>
  <si>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</si>
  <si>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</si>
  <si>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</si>
  <si>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</si>
  <si>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</si>
  <si>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</si>
  <si>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</si>
  <si>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</si>
  <si>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</si>
  <si>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</si>
  <si>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</si>
  <si>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</si>
  <si>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</si>
  <si>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</si>
  <si>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</si>
  <si>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</si>
  <si>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</si>
  <si>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</si>
  <si>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</si>
  <si>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</si>
  <si>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</si>
  <si>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</si>
  <si>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</si>
  <si>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</si>
  <si>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</si>
  <si>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</si>
  <si>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</si>
  <si>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</si>
  <si>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</si>
  <si>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</si>
  <si>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</si>
  <si>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</si>
  <si>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</si>
  <si>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</si>
  <si>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</si>
  <si>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</si>
  <si>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—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</si>
  <si>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</si>
  <si>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</si>
  <si>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</si>
  <si>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</si>
  <si>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</si>
  <si>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</si>
  <si>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</si>
  <si>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</si>
  <si>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</si>
  <si>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</si>
  <si>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</si>
  <si>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</si>
  <si>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</si>
  <si>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</si>
  <si>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</si>
  <si>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</si>
  <si>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</si>
  <si>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</si>
  <si>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</si>
  <si>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</si>
  <si>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</si>
  <si>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</si>
  <si>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</si>
  <si>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</si>
  <si>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</si>
  <si>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</si>
  <si>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</si>
  <si>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</si>
  <si>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—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</si>
  <si>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</si>
  <si>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</si>
  <si>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</si>
  <si>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</si>
  <si>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</si>
  <si>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</si>
  <si>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</si>
  <si>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—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</si>
  <si>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</si>
  <si>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</si>
  <si>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</si>
  <si>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</si>
  <si>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</si>
  <si>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</si>
  <si>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</si>
  <si>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</si>
  <si>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</si>
  <si>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</si>
  <si>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</si>
  <si>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</si>
  <si>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</si>
  <si>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</si>
  <si>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</si>
  <si>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</si>
  <si>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</si>
  <si>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</si>
  <si>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</si>
  <si>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</si>
  <si>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</si>
  <si>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</si>
  <si>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</si>
  <si>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</si>
  <si>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</si>
  <si>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</si>
  <si>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</si>
  <si>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</si>
  <si>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</si>
  <si>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</si>
  <si>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</si>
  <si>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—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</si>
  <si>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</si>
  <si>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</si>
  <si>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</si>
  <si>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</si>
  <si>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</si>
  <si>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</si>
  <si>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</si>
  <si>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</si>
  <si>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</si>
  <si>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</si>
  <si>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</si>
  <si>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</si>
  <si>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</si>
  <si>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</si>
  <si>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</si>
  <si>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</si>
  <si>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</si>
  <si>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</si>
  <si>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</si>
  <si>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</si>
  <si>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</si>
  <si>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</si>
  <si>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</si>
  <si>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</si>
  <si>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</si>
  <si>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</si>
  <si>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</si>
  <si>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</si>
  <si>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</si>
  <si>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</si>
  <si>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</si>
  <si>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</si>
  <si>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</si>
  <si>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</si>
  <si>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</si>
  <si>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</si>
  <si>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</si>
  <si>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</si>
  <si>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</si>
  <si>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</si>
  <si>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</si>
  <si>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</si>
  <si>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</si>
  <si>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</si>
  <si>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</si>
  <si>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</si>
  <si>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</si>
  <si>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</si>
  <si>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SLOW RAMP</t>
  </si>
  <si>
    <t>Enrollment: -25%  |  Revenue: +0%  |  Expenses: +0%</t>
  </si>
  <si>
    <t>FUNDING CUT</t>
  </si>
  <si>
    <t>Enrollment: +0%  |  Revenue: -5%  |  Expenses: +0%</t>
  </si>
  <si>
    <t>COST OVERRUN</t>
  </si>
  <si>
    <t>Enrollment: +0%  |  Revenue: +0%  |  Expenses: +15%</t>
  </si>
  <si>
    <t>Underwriting Snapshot —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</si>
  <si>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</si>
  <si>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</si>
  <si>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</si>
  <si>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</si>
  <si>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</si>
  <si>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</si>
  <si>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</si>
  <si>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</si>
  <si>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—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</si>
</sst>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2" x14ac:dyDescent="0.25">
      <c r="A61" s="4" t="s">
        <v>161</v>
      </c>
      <c r="B61" s="18">
        <v>0.03</v>
      </c>
    </row>
    <row r="62" spans="1:2" x14ac:dyDescent="0.25">
      <c r="A62" s="4" t="s">
        <v>162</v>
      </c>
      <c r="B62" s="18">
        <v>0.03</v>
      </c>
    </row>
    <row r="63" spans="1:2" x14ac:dyDescent="0.25">
      <c r="A63" s="4" t="s">
        <v>163</v>
      </c>
      <c r="B63" s="19">
        <v>0.8333333333333334</v>
      </c>
    </row>
    <row r="64" spans="1:2" x14ac:dyDescent="0.25">
      <c r="A64" s="4" t="s">
        <v>164</v>
      </c>
      <c r="B64" s="17">
        <v>0</v>
      </c>
    </row>
    <row r="65" spans="1:2" x14ac:dyDescent="0.25">
      <c r="A65" s="4" t="s">
        <v>165</v>
      </c>
      <c r="B65" s="14" t="s">
        <v>166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167</v>
      </c>
      <c r="B3" s="4" t="s">
        <v>168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169</v>
      </c>
      <c r="B6" s="4" t="s">
        <v>170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171</v>
      </c>
      <c r="B8" s="4" t="s">
        <v>17</v>
      </c>
    </row>
    <row r="9" spans="1:2" x14ac:dyDescent="0.25">
      <c r="A9" s="3" t="s">
        <v>87</v>
      </c>
      <c r="B9" s="4" t="s">
        <v>172</v>
      </c>
    </row>
    <row r="10" spans="1:2" x14ac:dyDescent="0.25">
      <c r="A10" s="3" t="s">
        <v>173</v>
      </c>
      <c r="B10" s="4" t="s">
        <v>174</v>
      </c>
    </row>
    <row r="11" spans="1:2" x14ac:dyDescent="0.25">
      <c r="A11" s="3" t="s">
        <v>175</v>
      </c>
      <c r="B11" s="4" t="s">
        <v>176</v>
      </c>
    </row>
    <row r="12" spans="1:2" x14ac:dyDescent="0.25">
      <c r="A12" s="3" t="s">
        <v>165</v>
      </c>
      <c r="B12" s="4" t="s">
        <v>166</v>
      </c>
    </row>
    <row r="13" spans="1:2" x14ac:dyDescent="0.25">
      <c r="A13" s="3" t="s">
        <v>88</v>
      </c>
      <c r="B13" s="4" t="s">
        <v>177</v>
      </c>
    </row>
    <row r="14" spans="1:2" x14ac:dyDescent="0.25">
      <c r="A14" s="3" t="s">
        <v>178</v>
      </c>
      <c r="B14" s="4" t="s">
        <v>179</v>
      </c>
    </row>
    <row r="15" spans="1:2" x14ac:dyDescent="0.25">
      <c r="A15" s="3" t="s">
        <v>180</v>
      </c>
      <c r="B15" s="4" t="s">
        <v>181</v>
      </c>
    </row>
    <row r="16" spans="1:2" x14ac:dyDescent="0.25">
      <c r="A16" s="3" t="s">
        <v>182</v>
      </c>
      <c r="B16" s="4" t="s">
        <v>183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184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120</v>
      </c>
      <c r="C6" s="20">
        <v>200</v>
      </c>
      <c r="D6" s="20">
        <v>300</v>
      </c>
      <c r="E6" s="20">
        <v>375</v>
      </c>
      <c r="F6" s="20">
        <v>400</v>
      </c>
    </row>
    <row r="7" spans="1:2" x14ac:dyDescent="0.25">
      <c r="A7" s="4" t="s">
        <v>88</v>
      </c>
      <c r="B7" s="21">
        <v>400</v>
      </c>
    </row>
    <row r="8" spans="1:6" x14ac:dyDescent="0.25">
      <c r="A8" s="4" t="s">
        <v>185</v>
      </c>
      <c r="B8" s="22">
        <v>0.3</v>
      </c>
      <c r="C8" s="22">
        <v>0.5</v>
      </c>
      <c r="D8" s="22">
        <v>0.75</v>
      </c>
      <c r="E8" s="22">
        <v>0.9375</v>
      </c>
      <c r="F8" s="22">
        <v>1</v>
      </c>
    </row>
    <row r="10" spans="1:6" x14ac:dyDescent="0.25">
      <c r="A10" s="4" t="s">
        <v>186</v>
      </c>
      <c r="B10" s="4" t="s">
        <v>187</v>
      </c>
      <c r="C10" s="23">
        <v>0.6666666666666666</v>
      </c>
      <c r="D10" s="23">
        <v>0.5</v>
      </c>
      <c r="E10" s="23">
        <v>0.25</v>
      </c>
      <c r="F10" s="23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189</v>
      </c>
      <c r="B4" s="13"/>
      <c r="C4" s="13"/>
      <c r="D4" s="13"/>
      <c r="E4" s="13"/>
      <c r="F4" s="13"/>
    </row>
    <row r="5" spans="1:6" x14ac:dyDescent="0.25">
      <c r="A5" s="4" t="s">
        <v>190</v>
      </c>
      <c r="B5" s="24">
        <v>1140000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191</v>
      </c>
      <c r="B6" s="24">
        <v>96000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192</v>
      </c>
      <c r="B7" s="24">
        <v>144000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193</v>
      </c>
      <c r="B8" s="24">
        <v>100000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194</v>
      </c>
      <c r="B9" s="24">
        <v>30000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195</v>
      </c>
      <c r="B10" s="24">
        <v>36000</v>
      </c>
      <c r="C10" s="24">
        <v>61800</v>
      </c>
      <c r="D10" s="24">
        <v>95481</v>
      </c>
      <c r="E10" s="24">
        <v>122932</v>
      </c>
      <c r="F10" s="24">
        <v>135061</v>
      </c>
    </row>
    <row r="11" ht="24" customHeight="1" spans="1:6" x14ac:dyDescent="0.25">
      <c r="A11" s="13" t="s">
        <v>196</v>
      </c>
      <c r="B11" s="25">
        <f>SUM(B5:B10)</f>
        <v>1546000</v>
      </c>
      <c r="C11" s="25">
        <f>SUM(C5:C10)</f>
        <v>2564700</v>
      </c>
      <c r="D11" s="25">
        <f>SUM(D5:D10)</f>
        <v>3893503</v>
      </c>
      <c r="E11" s="25">
        <f>SUM(E5:E10)</f>
        <v>4977371</v>
      </c>
      <c r="F11" s="25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197</v>
      </c>
      <c r="E3" s="15" t="s">
        <v>118</v>
      </c>
      <c r="F3" s="15" t="s">
        <v>119</v>
      </c>
      <c r="G3" s="15" t="s">
        <v>198</v>
      </c>
    </row>
    <row r="4" spans="1:7" x14ac:dyDescent="0.25">
      <c r="A4" s="4" t="s">
        <v>120</v>
      </c>
      <c r="B4" s="4" t="s">
        <v>121</v>
      </c>
      <c r="C4" s="26">
        <v>1</v>
      </c>
      <c r="D4" s="24">
        <v>110000</v>
      </c>
      <c r="E4" s="23">
        <v>0.28</v>
      </c>
      <c r="F4" s="23">
        <v>0.0765</v>
      </c>
      <c r="G4" s="27">
        <v>149215</v>
      </c>
    </row>
    <row r="5" spans="1:7" x14ac:dyDescent="0.25">
      <c r="A5" s="4" t="s">
        <v>123</v>
      </c>
      <c r="B5" s="4" t="s">
        <v>121</v>
      </c>
      <c r="C5" s="26">
        <v>1</v>
      </c>
      <c r="D5" s="24">
        <v>90000</v>
      </c>
      <c r="E5" s="23">
        <v>0.28</v>
      </c>
      <c r="F5" s="23">
        <v>0.0765</v>
      </c>
      <c r="G5" s="27">
        <v>122085</v>
      </c>
    </row>
    <row r="6" spans="1:7" x14ac:dyDescent="0.25">
      <c r="A6" s="4" t="s">
        <v>124</v>
      </c>
      <c r="B6" s="4" t="s">
        <v>121</v>
      </c>
      <c r="C6" s="26">
        <v>1</v>
      </c>
      <c r="D6" s="24">
        <v>72000</v>
      </c>
      <c r="E6" s="23">
        <v>0.28</v>
      </c>
      <c r="F6" s="23">
        <v>0.0765</v>
      </c>
      <c r="G6" s="27">
        <v>97668</v>
      </c>
    </row>
    <row r="7" spans="1:7" x14ac:dyDescent="0.25">
      <c r="A7" s="4" t="s">
        <v>125</v>
      </c>
      <c r="B7" s="4" t="s">
        <v>126</v>
      </c>
      <c r="C7" s="26">
        <v>6</v>
      </c>
      <c r="D7" s="24">
        <v>52000</v>
      </c>
      <c r="E7" s="23">
        <v>0.28</v>
      </c>
      <c r="F7" s="23">
        <v>0.0765</v>
      </c>
      <c r="G7" s="27">
        <v>423228</v>
      </c>
    </row>
    <row r="8" spans="1:7" x14ac:dyDescent="0.25">
      <c r="A8" s="4" t="s">
        <v>127</v>
      </c>
      <c r="B8" s="4" t="s">
        <v>126</v>
      </c>
      <c r="C8" s="26">
        <v>1</v>
      </c>
      <c r="D8" s="24">
        <v>55000</v>
      </c>
      <c r="E8" s="23">
        <v>0.28</v>
      </c>
      <c r="F8" s="23">
        <v>0.0765</v>
      </c>
      <c r="G8" s="27">
        <v>74608</v>
      </c>
    </row>
    <row r="9" spans="1:7" x14ac:dyDescent="0.25">
      <c r="A9" s="4" t="s">
        <v>128</v>
      </c>
      <c r="B9" s="4" t="s">
        <v>126</v>
      </c>
      <c r="C9" s="26">
        <v>3</v>
      </c>
      <c r="D9" s="24">
        <v>30000</v>
      </c>
      <c r="E9" s="23">
        <v>0.2</v>
      </c>
      <c r="F9" s="23">
        <v>0.0765</v>
      </c>
      <c r="G9" s="27">
        <v>114885</v>
      </c>
    </row>
    <row r="10" spans="1:7" x14ac:dyDescent="0.25">
      <c r="A10" s="4" t="s">
        <v>129</v>
      </c>
      <c r="B10" s="4" t="s">
        <v>130</v>
      </c>
      <c r="C10" s="26">
        <v>1</v>
      </c>
      <c r="D10" s="24">
        <v>55000</v>
      </c>
      <c r="E10" s="23">
        <v>0.28</v>
      </c>
      <c r="F10" s="23">
        <v>0.0765</v>
      </c>
      <c r="G10" s="27">
        <v>74608</v>
      </c>
    </row>
    <row r="11" spans="1:7" x14ac:dyDescent="0.25">
      <c r="A11" s="4" t="s">
        <v>131</v>
      </c>
      <c r="B11" s="4" t="s">
        <v>132</v>
      </c>
      <c r="C11" s="26">
        <v>2</v>
      </c>
      <c r="D11" s="24">
        <v>38000</v>
      </c>
      <c r="E11" s="23">
        <v>0.25</v>
      </c>
      <c r="F11" s="23">
        <v>0.0765</v>
      </c>
      <c r="G11" s="27">
        <v>100814</v>
      </c>
    </row>
    <row r="12" spans="1:7" x14ac:dyDescent="0.25">
      <c r="A12" s="4" t="s">
        <v>133</v>
      </c>
      <c r="B12" s="4" t="s">
        <v>134</v>
      </c>
      <c r="C12" s="26">
        <v>1</v>
      </c>
      <c r="D12" s="24">
        <v>55000</v>
      </c>
      <c r="E12" s="23">
        <v>0.28</v>
      </c>
      <c r="F12" s="23">
        <v>0.0765</v>
      </c>
      <c r="G12" s="27">
        <v>74608</v>
      </c>
    </row>
    <row r="14" ht="24" customHeight="1" spans="1:7" x14ac:dyDescent="0.25">
      <c r="A14" s="13" t="s">
        <v>199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200</v>
      </c>
      <c r="B16" s="25">
        <v>1026431</v>
      </c>
      <c r="C16" s="25">
        <v>1268669</v>
      </c>
      <c r="D16" s="25">
        <v>1306729</v>
      </c>
      <c r="E16" s="25">
        <v>1345931</v>
      </c>
      <c r="F16" s="25">
        <v>1386309</v>
      </c>
    </row>
    <row r="17" spans="1:6" x14ac:dyDescent="0.25">
      <c r="A17" s="4" t="s">
        <v>201</v>
      </c>
      <c r="B17" s="23">
        <v>0.6639270698576973</v>
      </c>
      <c r="C17" s="23">
        <v>0.49466566265060247</v>
      </c>
      <c r="D17" s="23">
        <v>0.3356178474114441</v>
      </c>
      <c r="E17" s="23">
        <v>0.27040998902305163</v>
      </c>
      <c r="F17" s="23">
        <v>0.25396237113402065</v>
      </c>
    </row>
    <row r="18" spans="1:6" x14ac:dyDescent="0.25">
      <c r="A18" s="4" t="s">
        <v>202</v>
      </c>
      <c r="B18" s="28">
        <v>7.1</v>
      </c>
      <c r="C18" s="28">
        <v>11.8</v>
      </c>
      <c r="D18" s="28">
        <v>17.6</v>
      </c>
      <c r="E18" s="28">
        <v>22.1</v>
      </c>
      <c r="F18" s="28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204</v>
      </c>
      <c r="B5" s="24">
        <v>84000</v>
      </c>
      <c r="C5" s="24">
        <v>144200</v>
      </c>
      <c r="D5" s="24">
        <v>222789</v>
      </c>
      <c r="E5" s="24">
        <v>286841</v>
      </c>
      <c r="F5" s="24">
        <v>315142</v>
      </c>
    </row>
    <row r="6" spans="1:6" x14ac:dyDescent="0.25">
      <c r="A6" s="3" t="s">
        <v>205</v>
      </c>
      <c r="B6" s="29">
        <f>SUM(B5:B5)</f>
        <v>84000</v>
      </c>
      <c r="C6" s="29">
        <f>SUM(C5:C5)</f>
        <v>144200</v>
      </c>
      <c r="D6" s="29">
        <f>SUM(D5:D5)</f>
        <v>222789</v>
      </c>
      <c r="E6" s="29">
        <f>SUM(E5:E5)</f>
        <v>286841</v>
      </c>
      <c r="F6" s="29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206</v>
      </c>
      <c r="B8" s="24">
        <v>60000</v>
      </c>
      <c r="C8" s="24">
        <v>103000</v>
      </c>
      <c r="D8" s="24">
        <v>159135</v>
      </c>
      <c r="E8" s="24">
        <v>204886</v>
      </c>
      <c r="F8" s="24">
        <v>225102</v>
      </c>
    </row>
    <row r="9" spans="1:6" x14ac:dyDescent="0.25">
      <c r="A9" s="3" t="s">
        <v>207</v>
      </c>
      <c r="B9" s="29">
        <f>SUM(B8:B8)</f>
        <v>60000</v>
      </c>
      <c r="C9" s="29">
        <f>SUM(C8:C8)</f>
        <v>103000</v>
      </c>
      <c r="D9" s="29">
        <f>SUM(D8:D8)</f>
        <v>159135</v>
      </c>
      <c r="E9" s="29">
        <f>SUM(E8:E8)</f>
        <v>204886</v>
      </c>
      <c r="F9" s="29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208</v>
      </c>
      <c r="B11" s="24">
        <v>216000</v>
      </c>
      <c r="C11" s="24">
        <v>222480</v>
      </c>
      <c r="D11" s="24">
        <v>229154</v>
      </c>
      <c r="E11" s="24">
        <v>236029</v>
      </c>
      <c r="F11" s="24">
        <v>243110</v>
      </c>
    </row>
    <row r="12" spans="1:6" x14ac:dyDescent="0.25">
      <c r="A12" s="4" t="s">
        <v>209</v>
      </c>
      <c r="B12" s="24">
        <v>30000</v>
      </c>
      <c r="C12" s="24">
        <v>30900</v>
      </c>
      <c r="D12" s="24">
        <v>31827</v>
      </c>
      <c r="E12" s="24">
        <v>32782</v>
      </c>
      <c r="F12" s="24">
        <v>33765</v>
      </c>
    </row>
    <row r="13" spans="1:6" x14ac:dyDescent="0.25">
      <c r="A13" s="4" t="s">
        <v>210</v>
      </c>
      <c r="B13" s="24">
        <v>18000</v>
      </c>
      <c r="C13" s="24">
        <v>18540</v>
      </c>
      <c r="D13" s="24">
        <v>19096</v>
      </c>
      <c r="E13" s="24">
        <v>19669</v>
      </c>
      <c r="F13" s="24">
        <v>20259</v>
      </c>
    </row>
    <row r="14" spans="1:6" x14ac:dyDescent="0.25">
      <c r="A14" s="4" t="s">
        <v>211</v>
      </c>
      <c r="B14" s="24">
        <v>18000</v>
      </c>
      <c r="C14" s="24">
        <v>18540</v>
      </c>
      <c r="D14" s="24">
        <v>19096</v>
      </c>
      <c r="E14" s="24">
        <v>19669</v>
      </c>
      <c r="F14" s="24">
        <v>20259</v>
      </c>
    </row>
    <row r="15" spans="1:6" x14ac:dyDescent="0.25">
      <c r="A15" s="3" t="s">
        <v>212</v>
      </c>
      <c r="B15" s="29">
        <f>SUM(B11:B14)</f>
        <v>282000</v>
      </c>
      <c r="C15" s="29">
        <f>SUM(C11:C14)</f>
        <v>290460</v>
      </c>
      <c r="D15" s="29">
        <f>SUM(D11:D14)</f>
        <v>299174</v>
      </c>
      <c r="E15" s="29">
        <f>SUM(E11:E14)</f>
        <v>308149</v>
      </c>
      <c r="F15" s="29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213</v>
      </c>
      <c r="B17" s="24">
        <v>25000</v>
      </c>
      <c r="C17" s="24">
        <v>25750</v>
      </c>
      <c r="D17" s="24">
        <v>26523</v>
      </c>
      <c r="E17" s="24">
        <v>27318</v>
      </c>
      <c r="F17" s="24">
        <v>28138</v>
      </c>
    </row>
    <row r="18" spans="1:6" x14ac:dyDescent="0.25">
      <c r="A18" s="4" t="s">
        <v>214</v>
      </c>
      <c r="B18" s="24">
        <v>15000</v>
      </c>
      <c r="C18" s="24">
        <v>15450</v>
      </c>
      <c r="D18" s="24">
        <v>15914</v>
      </c>
      <c r="E18" s="24">
        <v>16391</v>
      </c>
      <c r="F18" s="24">
        <v>16883</v>
      </c>
    </row>
    <row r="19" spans="1:6" x14ac:dyDescent="0.25">
      <c r="A19" s="4" t="s">
        <v>215</v>
      </c>
      <c r="B19" s="24">
        <v>20000</v>
      </c>
      <c r="C19" s="24">
        <v>20600</v>
      </c>
      <c r="D19" s="24">
        <v>21218</v>
      </c>
      <c r="E19" s="24">
        <v>21855</v>
      </c>
      <c r="F19" s="24">
        <v>22510</v>
      </c>
    </row>
    <row r="20" spans="1:6" x14ac:dyDescent="0.25">
      <c r="A20" s="4" t="s">
        <v>216</v>
      </c>
      <c r="B20" s="24">
        <v>96000</v>
      </c>
      <c r="C20" s="24">
        <v>164800</v>
      </c>
      <c r="D20" s="24">
        <v>254616</v>
      </c>
      <c r="E20" s="24">
        <v>327818</v>
      </c>
      <c r="F20" s="24">
        <v>360163</v>
      </c>
    </row>
    <row r="21" spans="1:6" x14ac:dyDescent="0.25">
      <c r="A21" s="4" t="s">
        <v>217</v>
      </c>
      <c r="B21" s="24">
        <v>72000</v>
      </c>
      <c r="C21" s="24">
        <v>123600</v>
      </c>
      <c r="D21" s="24">
        <v>190962</v>
      </c>
      <c r="E21" s="24">
        <v>245864</v>
      </c>
      <c r="F21" s="24">
        <v>270122</v>
      </c>
    </row>
    <row r="22" spans="1:6" x14ac:dyDescent="0.25">
      <c r="A22" s="3" t="s">
        <v>218</v>
      </c>
      <c r="B22" s="29">
        <f>SUM(B17:B21)</f>
        <v>228000</v>
      </c>
      <c r="C22" s="29">
        <f>SUM(C17:C21)</f>
        <v>350200</v>
      </c>
      <c r="D22" s="29">
        <f>SUM(D17:D21)</f>
        <v>509232</v>
      </c>
      <c r="E22" s="29">
        <f>SUM(E17:E21)</f>
        <v>639245</v>
      </c>
      <c r="F22" s="29">
        <f>SUM(F17:F21)</f>
        <v>697815</v>
      </c>
    </row>
    <row r="24" ht="24" customHeight="1" spans="1:6" x14ac:dyDescent="0.25">
      <c r="A24" s="13" t="s">
        <v>219</v>
      </c>
      <c r="B24" s="25">
        <f>B6+B9+B15+B22</f>
        <v>654000</v>
      </c>
      <c r="C24" s="25">
        <f>C6+C9+C15+C22</f>
        <v>887860</v>
      </c>
      <c r="D24" s="25">
        <f>D6+D9+D15+D22</f>
        <v>1190330</v>
      </c>
      <c r="E24" s="25">
        <f>E6+E9+E15+E22</f>
        <v>1439121</v>
      </c>
      <c r="F24" s="25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220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221</v>
      </c>
    </row>
    <row r="4" spans="1:6" x14ac:dyDescent="0.25">
      <c r="A4" s="4" t="s">
        <v>155</v>
      </c>
      <c r="B4" s="4" t="s">
        <v>156</v>
      </c>
      <c r="C4" s="17">
        <v>500000</v>
      </c>
      <c r="D4" s="23">
        <v>0.0575</v>
      </c>
      <c r="E4" s="21">
        <v>15</v>
      </c>
      <c r="F4" s="27">
        <v>49825</v>
      </c>
    </row>
    <row r="5" spans="1:6" x14ac:dyDescent="0.25">
      <c r="A5" s="4" t="s">
        <v>157</v>
      </c>
      <c r="B5" s="4" t="s">
        <v>222</v>
      </c>
      <c r="C5" s="17">
        <v>75000</v>
      </c>
      <c r="D5" s="23">
        <v>0</v>
      </c>
      <c r="E5" s="21">
        <v>0</v>
      </c>
      <c r="F5" s="27">
        <v>75000</v>
      </c>
    </row>
    <row r="6" spans="1:6" x14ac:dyDescent="0.25">
      <c r="A6" s="4" t="s">
        <v>159</v>
      </c>
      <c r="B6" s="4" t="s">
        <v>222</v>
      </c>
      <c r="C6" s="17">
        <v>40000</v>
      </c>
      <c r="D6" s="23">
        <v>0</v>
      </c>
      <c r="E6" s="21">
        <v>0</v>
      </c>
      <c r="F6" s="27">
        <v>40000</v>
      </c>
    </row>
    <row r="8" spans="1:6" x14ac:dyDescent="0.25">
      <c r="A8" s="3" t="s">
        <v>223</v>
      </c>
      <c r="F8" s="25">
        <v>49825</v>
      </c>
    </row>
    <row r="9" spans="1:6" x14ac:dyDescent="0.25">
      <c r="A9" s="3" t="s">
        <v>224</v>
      </c>
      <c r="F9" s="29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120</v>
      </c>
      <c r="C4" s="30">
        <v>200</v>
      </c>
      <c r="D4" s="30">
        <v>300</v>
      </c>
      <c r="E4" s="30">
        <v>375</v>
      </c>
      <c r="F4" s="30">
        <v>400</v>
      </c>
    </row>
    <row r="6" ht="24" customHeight="1" spans="1:6" x14ac:dyDescent="0.25">
      <c r="A6" s="13" t="s">
        <v>226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1140000</v>
      </c>
      <c r="C7" s="24">
        <v>1957000</v>
      </c>
      <c r="D7" s="24">
        <v>3023565</v>
      </c>
      <c r="E7" s="24">
        <v>3892840</v>
      </c>
      <c r="F7" s="24">
        <v>4276933</v>
      </c>
    </row>
    <row r="8" spans="1:6" x14ac:dyDescent="0.25">
      <c r="A8" s="4" t="s">
        <v>105</v>
      </c>
      <c r="B8" s="24">
        <v>96000</v>
      </c>
      <c r="C8" s="24">
        <v>164800</v>
      </c>
      <c r="D8" s="24">
        <v>254616</v>
      </c>
      <c r="E8" s="24">
        <v>327818</v>
      </c>
      <c r="F8" s="24">
        <v>360163</v>
      </c>
    </row>
    <row r="9" spans="1:6" x14ac:dyDescent="0.25">
      <c r="A9" s="4" t="s">
        <v>106</v>
      </c>
      <c r="B9" s="24">
        <v>144000</v>
      </c>
      <c r="C9" s="24">
        <v>247200</v>
      </c>
      <c r="D9" s="24">
        <v>381924</v>
      </c>
      <c r="E9" s="24">
        <v>491727</v>
      </c>
      <c r="F9" s="24">
        <v>540244</v>
      </c>
    </row>
    <row r="10" spans="1:6" x14ac:dyDescent="0.25">
      <c r="A10" s="4" t="s">
        <v>107</v>
      </c>
      <c r="B10" s="24">
        <v>100000</v>
      </c>
      <c r="C10" s="24">
        <v>103000</v>
      </c>
      <c r="D10" s="24">
        <v>106090</v>
      </c>
      <c r="E10" s="24">
        <v>109273</v>
      </c>
      <c r="F10" s="24">
        <v>112551</v>
      </c>
    </row>
    <row r="11" spans="1:6" x14ac:dyDescent="0.25">
      <c r="A11" s="4" t="s">
        <v>110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111</v>
      </c>
      <c r="B12" s="24">
        <v>36000</v>
      </c>
      <c r="C12" s="24">
        <v>61800</v>
      </c>
      <c r="D12" s="24">
        <v>95481</v>
      </c>
      <c r="E12" s="24">
        <v>122932</v>
      </c>
      <c r="F12" s="24">
        <v>135061</v>
      </c>
    </row>
    <row r="13" ht="24" customHeight="1" spans="1:6" x14ac:dyDescent="0.25">
      <c r="A13" s="13" t="s">
        <v>196</v>
      </c>
      <c r="B13" s="25">
        <f>SUM(B7:B12)</f>
        <v>1546000</v>
      </c>
      <c r="C13" s="25">
        <f>SUM(C7:C12)</f>
        <v>2564700</v>
      </c>
      <c r="D13" s="25">
        <f>SUM(D7:D12)</f>
        <v>3893503</v>
      </c>
      <c r="E13" s="25">
        <f>SUM(E7:E12)</f>
        <v>4977371</v>
      </c>
      <c r="F13" s="25">
        <f>SUM(F7:F12)</f>
        <v>5458718</v>
      </c>
    </row>
    <row r="15" spans="1:6" x14ac:dyDescent="0.25">
      <c r="A15" s="4" t="s">
        <v>227</v>
      </c>
      <c r="B15" s="24">
        <v>12883</v>
      </c>
      <c r="C15" s="24">
        <v>12824</v>
      </c>
      <c r="D15" s="24">
        <v>12978</v>
      </c>
      <c r="E15" s="24">
        <v>13273</v>
      </c>
      <c r="F15" s="24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229</v>
      </c>
      <c r="B5" s="24">
        <v>352690</v>
      </c>
      <c r="C5" s="24">
        <v>435925</v>
      </c>
      <c r="D5" s="24">
        <v>449003</v>
      </c>
      <c r="E5" s="24">
        <v>462473</v>
      </c>
      <c r="F5" s="24">
        <v>476347</v>
      </c>
    </row>
    <row r="6" spans="1:6" x14ac:dyDescent="0.25">
      <c r="A6" s="4" t="s">
        <v>230</v>
      </c>
      <c r="B6" s="24">
        <v>62173</v>
      </c>
      <c r="C6" s="24">
        <v>76846</v>
      </c>
      <c r="D6" s="24">
        <v>79151</v>
      </c>
      <c r="E6" s="24">
        <v>81526</v>
      </c>
      <c r="F6" s="24">
        <v>83971</v>
      </c>
    </row>
    <row r="7" spans="1:6" x14ac:dyDescent="0.25">
      <c r="A7" s="4" t="s">
        <v>231</v>
      </c>
      <c r="B7" s="24">
        <v>95738</v>
      </c>
      <c r="C7" s="24">
        <v>118332</v>
      </c>
      <c r="D7" s="24">
        <v>121881</v>
      </c>
      <c r="E7" s="24">
        <v>125538</v>
      </c>
      <c r="F7" s="24">
        <v>129304</v>
      </c>
    </row>
    <row r="8" spans="1:6" x14ac:dyDescent="0.25">
      <c r="A8" s="3" t="s">
        <v>232</v>
      </c>
      <c r="B8" s="29">
        <f>SUM(B5:B7)</f>
        <v>510600</v>
      </c>
      <c r="C8" s="29">
        <f>SUM(C5:C7)</f>
        <v>631102</v>
      </c>
      <c r="D8" s="29">
        <f>SUM(D5:D7)</f>
        <v>650035</v>
      </c>
      <c r="E8" s="29">
        <f>SUM(E5:E7)</f>
        <v>669536</v>
      </c>
      <c r="F8" s="29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233</v>
      </c>
      <c r="B10" s="24">
        <v>124346</v>
      </c>
      <c r="C10" s="24">
        <v>153691</v>
      </c>
      <c r="D10" s="24">
        <v>158302</v>
      </c>
      <c r="E10" s="24">
        <v>163051</v>
      </c>
      <c r="F10" s="24">
        <v>167943</v>
      </c>
    </row>
    <row r="11" spans="1:6" x14ac:dyDescent="0.25">
      <c r="A11" s="4" t="s">
        <v>234</v>
      </c>
      <c r="B11" s="24">
        <v>101738</v>
      </c>
      <c r="C11" s="24">
        <v>125748</v>
      </c>
      <c r="D11" s="24">
        <v>129520</v>
      </c>
      <c r="E11" s="24">
        <v>133406</v>
      </c>
      <c r="F11" s="24">
        <v>137408</v>
      </c>
    </row>
    <row r="12" spans="1:6" x14ac:dyDescent="0.25">
      <c r="A12" s="4" t="s">
        <v>235</v>
      </c>
      <c r="B12" s="24">
        <v>81390</v>
      </c>
      <c r="C12" s="24">
        <v>100598</v>
      </c>
      <c r="D12" s="24">
        <v>103616</v>
      </c>
      <c r="E12" s="24">
        <v>106724</v>
      </c>
      <c r="F12" s="24">
        <v>109926</v>
      </c>
    </row>
    <row r="13" spans="1:6" x14ac:dyDescent="0.25">
      <c r="A13" s="3" t="s">
        <v>236</v>
      </c>
      <c r="B13" s="29">
        <f>SUM(B10:B12)</f>
        <v>307473</v>
      </c>
      <c r="C13" s="29">
        <f>SUM(C10:C12)</f>
        <v>380037</v>
      </c>
      <c r="D13" s="29">
        <f>SUM(D10:D12)</f>
        <v>391438</v>
      </c>
      <c r="E13" s="29">
        <f>SUM(E10:E12)</f>
        <v>403181</v>
      </c>
      <c r="F13" s="29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237</v>
      </c>
      <c r="B15" s="24">
        <v>62173</v>
      </c>
      <c r="C15" s="24">
        <v>76846</v>
      </c>
      <c r="D15" s="24">
        <v>79151</v>
      </c>
      <c r="E15" s="24">
        <v>81526</v>
      </c>
      <c r="F15" s="24">
        <v>83971</v>
      </c>
    </row>
    <row r="16" spans="1:6" x14ac:dyDescent="0.25">
      <c r="A16" s="3" t="s">
        <v>238</v>
      </c>
      <c r="B16" s="29">
        <f>SUM(B15:B15)</f>
        <v>62173</v>
      </c>
      <c r="C16" s="29">
        <f>SUM(C15:C15)</f>
        <v>76846</v>
      </c>
      <c r="D16" s="29">
        <f>SUM(D15:D15)</f>
        <v>79151</v>
      </c>
      <c r="E16" s="29">
        <f>SUM(E15:E15)</f>
        <v>81526</v>
      </c>
      <c r="F16" s="29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239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3" t="s">
        <v>240</v>
      </c>
      <c r="B19" s="29">
        <f>SUM(B18:B18)</f>
        <v>62173</v>
      </c>
      <c r="C19" s="29">
        <f>SUM(C18:C18)</f>
        <v>76846</v>
      </c>
      <c r="D19" s="29">
        <f>SUM(D18:D18)</f>
        <v>79151</v>
      </c>
      <c r="E19" s="29">
        <f>SUM(E18:E18)</f>
        <v>81526</v>
      </c>
      <c r="F19" s="29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3" t="s">
        <v>242</v>
      </c>
      <c r="B22" s="29">
        <f>SUM(B21:B21)</f>
        <v>84012</v>
      </c>
      <c r="C22" s="29">
        <f>SUM(C21:C21)</f>
        <v>103838</v>
      </c>
      <c r="D22" s="29">
        <f>SUM(D21:D21)</f>
        <v>106954</v>
      </c>
      <c r="E22" s="29">
        <f>SUM(E21:E21)</f>
        <v>110162</v>
      </c>
      <c r="F22" s="29">
        <f>SUM(F21:F21)</f>
        <v>113467</v>
      </c>
    </row>
    <row r="24" ht="24" customHeight="1" spans="1:6" x14ac:dyDescent="0.25">
      <c r="A24" s="13" t="s">
        <v>243</v>
      </c>
      <c r="B24" s="25">
        <f>B8+B13+B16+B19+B22</f>
        <v>1026431</v>
      </c>
      <c r="C24" s="25">
        <f>C8+C13+C16+C19+C22</f>
        <v>1268669</v>
      </c>
      <c r="D24" s="25">
        <f>D8+D13+D16+D19+D22</f>
        <v>1306729</v>
      </c>
      <c r="E24" s="25">
        <f>E8+E13+E16+E19+E22</f>
        <v>1345931</v>
      </c>
      <c r="F24" s="25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4" t="s">
        <v>246</v>
      </c>
      <c r="B5" s="24">
        <v>950000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247</v>
      </c>
      <c r="B6" s="24">
        <v>80000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248</v>
      </c>
      <c r="B7" s="24">
        <v>120000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249</v>
      </c>
      <c r="B8" s="24">
        <v>83333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250</v>
      </c>
      <c r="B9" s="24">
        <v>25000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251</v>
      </c>
      <c r="B10" s="24">
        <v>30000</v>
      </c>
      <c r="C10" s="24">
        <v>61800</v>
      </c>
      <c r="D10" s="24">
        <v>95481</v>
      </c>
      <c r="E10" s="24">
        <v>122932</v>
      </c>
      <c r="F10" s="24">
        <v>135061</v>
      </c>
    </row>
    <row r="11" spans="1:6" x14ac:dyDescent="0.25">
      <c r="A11" s="3" t="s">
        <v>252</v>
      </c>
      <c r="B11" s="29">
        <f>SUM(B5:B10)</f>
        <v>1288333</v>
      </c>
      <c r="C11" s="29">
        <f>SUM(C5:C10)</f>
        <v>2564700</v>
      </c>
      <c r="D11" s="29">
        <f>SUM(D5:D10)</f>
        <v>3893503</v>
      </c>
      <c r="E11" s="29">
        <f>SUM(E5:E10)</f>
        <v>4977371</v>
      </c>
      <c r="F11" s="29">
        <f>SUM(F5:F10)</f>
        <v>5458718</v>
      </c>
    </row>
    <row r="13" ht="24" customHeight="1" spans="1:6" x14ac:dyDescent="0.25">
      <c r="A13" s="13" t="s">
        <v>253</v>
      </c>
      <c r="B13" s="13"/>
      <c r="C13" s="13"/>
      <c r="D13" s="13"/>
      <c r="E13" s="13"/>
      <c r="F13" s="13"/>
    </row>
    <row r="14" spans="1:6" x14ac:dyDescent="0.25">
      <c r="A14" s="4" t="s">
        <v>233</v>
      </c>
      <c r="B14" s="24">
        <v>124346</v>
      </c>
      <c r="C14" s="24">
        <v>153691</v>
      </c>
      <c r="D14" s="24">
        <v>158302</v>
      </c>
      <c r="E14" s="24">
        <v>163051</v>
      </c>
      <c r="F14" s="24">
        <v>167943</v>
      </c>
    </row>
    <row r="15" spans="1:6" x14ac:dyDescent="0.25">
      <c r="A15" s="4" t="s">
        <v>234</v>
      </c>
      <c r="B15" s="24">
        <v>101738</v>
      </c>
      <c r="C15" s="24">
        <v>125748</v>
      </c>
      <c r="D15" s="24">
        <v>129520</v>
      </c>
      <c r="E15" s="24">
        <v>133406</v>
      </c>
      <c r="F15" s="24">
        <v>137408</v>
      </c>
    </row>
    <row r="16" spans="1:6" x14ac:dyDescent="0.25">
      <c r="A16" s="4" t="s">
        <v>235</v>
      </c>
      <c r="B16" s="24">
        <v>81390</v>
      </c>
      <c r="C16" s="24">
        <v>100598</v>
      </c>
      <c r="D16" s="24">
        <v>103616</v>
      </c>
      <c r="E16" s="24">
        <v>106724</v>
      </c>
      <c r="F16" s="24">
        <v>109926</v>
      </c>
    </row>
    <row r="17" spans="1:6" x14ac:dyDescent="0.25">
      <c r="A17" s="4" t="s">
        <v>229</v>
      </c>
      <c r="B17" s="24">
        <v>352690</v>
      </c>
      <c r="C17" s="24">
        <v>435925</v>
      </c>
      <c r="D17" s="24">
        <v>449003</v>
      </c>
      <c r="E17" s="24">
        <v>462473</v>
      </c>
      <c r="F17" s="24">
        <v>476347</v>
      </c>
    </row>
    <row r="18" spans="1:6" x14ac:dyDescent="0.25">
      <c r="A18" s="4" t="s">
        <v>230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4" t="s">
        <v>231</v>
      </c>
      <c r="B19" s="24">
        <v>95738</v>
      </c>
      <c r="C19" s="24">
        <v>118332</v>
      </c>
      <c r="D19" s="24">
        <v>121881</v>
      </c>
      <c r="E19" s="24">
        <v>125538</v>
      </c>
      <c r="F19" s="24">
        <v>129304</v>
      </c>
    </row>
    <row r="20" spans="1:6" x14ac:dyDescent="0.25">
      <c r="A20" s="4" t="s">
        <v>239</v>
      </c>
      <c r="B20" s="24">
        <v>62173</v>
      </c>
      <c r="C20" s="24">
        <v>76846</v>
      </c>
      <c r="D20" s="24">
        <v>79151</v>
      </c>
      <c r="E20" s="24">
        <v>81526</v>
      </c>
      <c r="F20" s="24">
        <v>83971</v>
      </c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4" t="s">
        <v>237</v>
      </c>
      <c r="B22" s="24">
        <v>62173</v>
      </c>
      <c r="C22" s="24">
        <v>76846</v>
      </c>
      <c r="D22" s="24">
        <v>79151</v>
      </c>
      <c r="E22" s="24">
        <v>81526</v>
      </c>
      <c r="F22" s="24">
        <v>83971</v>
      </c>
    </row>
    <row r="23" spans="1:6" x14ac:dyDescent="0.25">
      <c r="A23" s="3" t="s">
        <v>200</v>
      </c>
      <c r="B23" s="29">
        <f>SUM(B14:B22)</f>
        <v>1026431</v>
      </c>
      <c r="C23" s="29">
        <f>SUM(C14:C22)</f>
        <v>1268669</v>
      </c>
      <c r="D23" s="29">
        <f>SUM(D14:D22)</f>
        <v>1306729</v>
      </c>
      <c r="E23" s="29">
        <f>SUM(E14:E22)</f>
        <v>1345931</v>
      </c>
      <c r="F23" s="29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1" t="s">
        <v>143</v>
      </c>
    </row>
    <row r="27" spans="1:6" x14ac:dyDescent="0.25">
      <c r="A27" s="4" t="s">
        <v>254</v>
      </c>
      <c r="B27" s="24">
        <v>70000</v>
      </c>
      <c r="C27" s="24">
        <v>144200</v>
      </c>
      <c r="D27" s="24">
        <v>222789</v>
      </c>
      <c r="E27" s="24">
        <v>286841</v>
      </c>
      <c r="F27" s="24">
        <v>315142</v>
      </c>
    </row>
    <row r="28" spans="1:1" x14ac:dyDescent="0.25">
      <c r="A28" s="31" t="s">
        <v>145</v>
      </c>
    </row>
    <row r="29" spans="1:6" x14ac:dyDescent="0.25">
      <c r="A29" s="4" t="s">
        <v>255</v>
      </c>
      <c r="B29" s="24">
        <v>50000</v>
      </c>
      <c r="C29" s="24">
        <v>103000</v>
      </c>
      <c r="D29" s="24">
        <v>159135</v>
      </c>
      <c r="E29" s="24">
        <v>204886</v>
      </c>
      <c r="F29" s="24">
        <v>225102</v>
      </c>
    </row>
    <row r="30" spans="1:1" x14ac:dyDescent="0.25">
      <c r="A30" s="31" t="s">
        <v>137</v>
      </c>
    </row>
    <row r="31" spans="1:6" x14ac:dyDescent="0.25">
      <c r="A31" s="4" t="s">
        <v>256</v>
      </c>
      <c r="B31" s="24">
        <v>180000</v>
      </c>
      <c r="C31" s="24">
        <v>222480</v>
      </c>
      <c r="D31" s="24">
        <v>229154</v>
      </c>
      <c r="E31" s="24">
        <v>236029</v>
      </c>
      <c r="F31" s="24">
        <v>243110</v>
      </c>
    </row>
    <row r="32" spans="1:6" x14ac:dyDescent="0.25">
      <c r="A32" s="4" t="s">
        <v>257</v>
      </c>
      <c r="B32" s="24">
        <v>25000</v>
      </c>
      <c r="C32" s="24">
        <v>30900</v>
      </c>
      <c r="D32" s="24">
        <v>31827</v>
      </c>
      <c r="E32" s="24">
        <v>32782</v>
      </c>
      <c r="F32" s="24">
        <v>33765</v>
      </c>
    </row>
    <row r="33" spans="1:6" x14ac:dyDescent="0.25">
      <c r="A33" s="4" t="s">
        <v>258</v>
      </c>
      <c r="B33" s="24">
        <v>15000</v>
      </c>
      <c r="C33" s="24">
        <v>18540</v>
      </c>
      <c r="D33" s="24">
        <v>19096</v>
      </c>
      <c r="E33" s="24">
        <v>19669</v>
      </c>
      <c r="F33" s="24">
        <v>20259</v>
      </c>
    </row>
    <row r="34" spans="1:6" x14ac:dyDescent="0.25">
      <c r="A34" s="4" t="s">
        <v>259</v>
      </c>
      <c r="B34" s="24">
        <v>15000</v>
      </c>
      <c r="C34" s="24">
        <v>18540</v>
      </c>
      <c r="D34" s="24">
        <v>19096</v>
      </c>
      <c r="E34" s="24">
        <v>19669</v>
      </c>
      <c r="F34" s="24">
        <v>20259</v>
      </c>
    </row>
    <row r="35" spans="1:6" x14ac:dyDescent="0.25">
      <c r="A35" s="3" t="s">
        <v>260</v>
      </c>
      <c r="B35" s="29">
        <f>SUM(B31:B34)</f>
        <v>235000</v>
      </c>
      <c r="C35" s="29">
        <f>SUM(C31:C34)</f>
        <v>290460</v>
      </c>
      <c r="D35" s="29">
        <f>SUM(D31:D34)</f>
        <v>299174</v>
      </c>
      <c r="E35" s="29">
        <f>SUM(E31:E34)</f>
        <v>308149</v>
      </c>
      <c r="F35" s="29">
        <f>SUM(F31:F34)</f>
        <v>317393</v>
      </c>
    </row>
    <row r="36" spans="1:1" x14ac:dyDescent="0.25">
      <c r="A36" s="31" t="s">
        <v>147</v>
      </c>
    </row>
    <row r="37" spans="1:6" x14ac:dyDescent="0.25">
      <c r="A37" s="4" t="s">
        <v>261</v>
      </c>
      <c r="B37" s="24">
        <v>20833</v>
      </c>
      <c r="C37" s="24">
        <v>25750</v>
      </c>
      <c r="D37" s="24">
        <v>26523</v>
      </c>
      <c r="E37" s="24">
        <v>27318</v>
      </c>
      <c r="F37" s="24">
        <v>28138</v>
      </c>
    </row>
    <row r="38" spans="1:6" x14ac:dyDescent="0.25">
      <c r="A38" s="4" t="s">
        <v>262</v>
      </c>
      <c r="B38" s="24">
        <v>12500</v>
      </c>
      <c r="C38" s="24">
        <v>15450</v>
      </c>
      <c r="D38" s="24">
        <v>15914</v>
      </c>
      <c r="E38" s="24">
        <v>16391</v>
      </c>
      <c r="F38" s="24">
        <v>16883</v>
      </c>
    </row>
    <row r="39" spans="1:6" x14ac:dyDescent="0.25">
      <c r="A39" s="4" t="s">
        <v>263</v>
      </c>
      <c r="B39" s="24">
        <v>16667</v>
      </c>
      <c r="C39" s="24">
        <v>20600</v>
      </c>
      <c r="D39" s="24">
        <v>21218</v>
      </c>
      <c r="E39" s="24">
        <v>21855</v>
      </c>
      <c r="F39" s="24">
        <v>22510</v>
      </c>
    </row>
    <row r="40" spans="1:6" x14ac:dyDescent="0.25">
      <c r="A40" s="4" t="s">
        <v>264</v>
      </c>
      <c r="B40" s="24">
        <v>80000</v>
      </c>
      <c r="C40" s="24">
        <v>164800</v>
      </c>
      <c r="D40" s="24">
        <v>254616</v>
      </c>
      <c r="E40" s="24">
        <v>327818</v>
      </c>
      <c r="F40" s="24">
        <v>360163</v>
      </c>
    </row>
    <row r="41" spans="1:6" x14ac:dyDescent="0.25">
      <c r="A41" s="4" t="s">
        <v>265</v>
      </c>
      <c r="B41" s="24">
        <v>60000</v>
      </c>
      <c r="C41" s="24">
        <v>123600</v>
      </c>
      <c r="D41" s="24">
        <v>190962</v>
      </c>
      <c r="E41" s="24">
        <v>245864</v>
      </c>
      <c r="F41" s="24">
        <v>270122</v>
      </c>
    </row>
    <row r="42" spans="1:6" x14ac:dyDescent="0.25">
      <c r="A42" s="3" t="s">
        <v>266</v>
      </c>
      <c r="B42" s="29">
        <f>SUM(B37:B41)</f>
        <v>190000</v>
      </c>
      <c r="C42" s="29">
        <f>SUM(C37:C41)</f>
        <v>350200</v>
      </c>
      <c r="D42" s="29">
        <f>SUM(D37:D41)</f>
        <v>509232</v>
      </c>
      <c r="E42" s="29">
        <f>SUM(E37:E41)</f>
        <v>639245</v>
      </c>
      <c r="F42" s="29">
        <f>SUM(F37:F41)</f>
        <v>697815</v>
      </c>
    </row>
    <row r="43" spans="1:6" x14ac:dyDescent="0.25">
      <c r="A43" s="3" t="s">
        <v>267</v>
      </c>
      <c r="B43" s="29">
        <f>B27+B29+B35+B42</f>
        <v>545000</v>
      </c>
      <c r="C43" s="29">
        <f>C27+C29+C35+C42</f>
        <v>887860</v>
      </c>
      <c r="D43" s="29">
        <f>D27+D29+D35+D42</f>
        <v>1190330</v>
      </c>
      <c r="E43" s="29">
        <f>E27+E29+E35+E42</f>
        <v>1439121</v>
      </c>
      <c r="F43" s="29">
        <f>F27+F29+F35+F42</f>
        <v>1555453</v>
      </c>
    </row>
    <row r="45" ht="24" customHeight="1" spans="1:6" x14ac:dyDescent="0.25">
      <c r="A45" s="13" t="s">
        <v>268</v>
      </c>
      <c r="B45" s="13"/>
      <c r="C45" s="13"/>
      <c r="D45" s="13"/>
      <c r="E45" s="13"/>
      <c r="F45" s="13"/>
    </row>
    <row r="46" spans="1:6" x14ac:dyDescent="0.25">
      <c r="A46" s="4" t="s">
        <v>269</v>
      </c>
      <c r="B46" s="24">
        <v>49825</v>
      </c>
      <c r="C46" s="24">
        <v>49825</v>
      </c>
      <c r="D46" s="24">
        <v>49825</v>
      </c>
      <c r="E46" s="24">
        <v>49825</v>
      </c>
      <c r="F46" s="24">
        <v>49825</v>
      </c>
    </row>
    <row r="47" spans="1:6" x14ac:dyDescent="0.25">
      <c r="A47" s="4" t="s">
        <v>270</v>
      </c>
      <c r="B47" s="24">
        <v>75000</v>
      </c>
      <c r="C47" s="24">
        <v>25000</v>
      </c>
      <c r="D47" s="24">
        <v>30000</v>
      </c>
      <c r="E47" s="24">
        <v>15000</v>
      </c>
      <c r="F47" s="24">
        <v>10000</v>
      </c>
    </row>
    <row r="48" spans="1:6" x14ac:dyDescent="0.25">
      <c r="A48" s="4" t="s">
        <v>271</v>
      </c>
      <c r="B48" s="24">
        <v>40000</v>
      </c>
      <c r="C48" s="24">
        <v>15000</v>
      </c>
      <c r="D48" s="24">
        <v>10000</v>
      </c>
      <c r="E48" s="24">
        <v>10000</v>
      </c>
      <c r="F48" s="24">
        <v>10000</v>
      </c>
    </row>
    <row r="49" spans="1:6" x14ac:dyDescent="0.25">
      <c r="A49" s="3" t="s">
        <v>272</v>
      </c>
      <c r="B49" s="29">
        <f>SUM(B46:B48)</f>
        <v>164825</v>
      </c>
      <c r="C49" s="29">
        <f>SUM(C46:C48)</f>
        <v>89825</v>
      </c>
      <c r="D49" s="29">
        <f>SUM(D46:D48)</f>
        <v>89825</v>
      </c>
      <c r="E49" s="29">
        <f>SUM(E46:E48)</f>
        <v>74825</v>
      </c>
      <c r="F49" s="29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252</v>
      </c>
      <c r="B4" s="27">
        <f>'Budget Detail'!B11</f>
        <v>1288333</v>
      </c>
      <c r="C4" s="27">
        <f>'Budget Detail'!C11</f>
        <v>2564700</v>
      </c>
      <c r="D4" s="27">
        <f>'Budget Detail'!D11</f>
        <v>3893503</v>
      </c>
      <c r="E4" s="27">
        <f>'Budget Detail'!E11</f>
        <v>4977371</v>
      </c>
      <c r="F4" s="27">
        <f>'Budget Detail'!F11</f>
        <v>5458718</v>
      </c>
    </row>
    <row r="5" spans="1:6" x14ac:dyDescent="0.25">
      <c r="A5" s="3" t="s">
        <v>200</v>
      </c>
      <c r="B5" s="27">
        <f>'Budget Detail'!B23</f>
        <v>1026431</v>
      </c>
      <c r="C5" s="27">
        <f>'Budget Detail'!C23</f>
        <v>1268669</v>
      </c>
      <c r="D5" s="27">
        <f>'Budget Detail'!D23</f>
        <v>1306729</v>
      </c>
      <c r="E5" s="27">
        <f>'Budget Detail'!E23</f>
        <v>1345931</v>
      </c>
      <c r="F5" s="27">
        <f>'Budget Detail'!F23</f>
        <v>1386309</v>
      </c>
    </row>
    <row r="6" spans="1:6" x14ac:dyDescent="0.25">
      <c r="A6" s="3" t="s">
        <v>267</v>
      </c>
      <c r="B6" s="27">
        <f>'Budget Detail'!B43</f>
        <v>545000</v>
      </c>
      <c r="C6" s="27">
        <f>'Budget Detail'!C43</f>
        <v>887860</v>
      </c>
      <c r="D6" s="27">
        <f>'Budget Detail'!D43</f>
        <v>1190330</v>
      </c>
      <c r="E6" s="27">
        <f>'Budget Detail'!E43</f>
        <v>1439121</v>
      </c>
      <c r="F6" s="27">
        <f>'Budget Detail'!F43</f>
        <v>1555453</v>
      </c>
    </row>
    <row r="7" spans="1:6" x14ac:dyDescent="0.25">
      <c r="A7" s="3" t="s">
        <v>274</v>
      </c>
      <c r="B7" s="27">
        <f>'Budget Detail'!B49</f>
        <v>164825</v>
      </c>
      <c r="C7" s="27">
        <f>'Budget Detail'!C49</f>
        <v>89825</v>
      </c>
      <c r="D7" s="27">
        <f>'Budget Detail'!D49</f>
        <v>89825</v>
      </c>
      <c r="E7" s="27">
        <f>'Budget Detail'!E49</f>
        <v>74825</v>
      </c>
      <c r="F7" s="27">
        <f>'Budget Detail'!F49</f>
        <v>69825</v>
      </c>
    </row>
    <row r="8" spans="1:6" x14ac:dyDescent="0.25">
      <c r="A8" s="3" t="s">
        <v>275</v>
      </c>
      <c r="B8" s="29">
        <f>SUM(B5:B7)</f>
        <v>1736256</v>
      </c>
      <c r="C8" s="29">
        <f>SUM(C5:C7)</f>
        <v>2246354</v>
      </c>
      <c r="D8" s="29">
        <f>SUM(D5:D7)</f>
        <v>2586884</v>
      </c>
      <c r="E8" s="29">
        <f>SUM(E5:E7)</f>
        <v>2859877</v>
      </c>
      <c r="F8" s="29">
        <f>SUM(F5:F7)</f>
        <v>3011587</v>
      </c>
    </row>
    <row r="10" ht="24" customHeight="1" spans="1:6" x14ac:dyDescent="0.25">
      <c r="A10" s="13" t="s">
        <v>276</v>
      </c>
      <c r="B10" s="13"/>
      <c r="C10" s="13"/>
      <c r="D10" s="13"/>
      <c r="E10" s="13"/>
      <c r="F10" s="13"/>
    </row>
    <row r="11" spans="1:6" x14ac:dyDescent="0.25">
      <c r="A11" s="3" t="s">
        <v>277</v>
      </c>
      <c r="B11" s="25">
        <f>B4-B8</f>
        <v>-447923</v>
      </c>
      <c r="C11" s="25">
        <f>C4-C8</f>
        <v>318346</v>
      </c>
      <c r="D11" s="25">
        <f>D4-D8</f>
        <v>1306619</v>
      </c>
      <c r="E11" s="25">
        <f>E4-E8</f>
        <v>2117494</v>
      </c>
      <c r="F11" s="25">
        <f>F4-F8</f>
        <v>2447131</v>
      </c>
    </row>
    <row r="12" spans="1:6" x14ac:dyDescent="0.25">
      <c r="A12" s="4" t="s">
        <v>278</v>
      </c>
      <c r="B12" s="23">
        <f>IF(B4=0,0,B11/B4)</f>
        <v>-0.34767595</v>
      </c>
      <c r="C12" s="23">
        <f>IF(C4=0,0,C11/C4)</f>
        <v>0.12412616</v>
      </c>
      <c r="D12" s="23">
        <f>IF(D4=0,0,D11/D4)</f>
        <v>0.3355897</v>
      </c>
      <c r="E12" s="23">
        <f>IF(E4=0,0,E11/E4)</f>
        <v>0.42542423</v>
      </c>
      <c r="F12" s="23">
        <f>IF(F4=0,0,F11/F4)</f>
        <v>0.44829778</v>
      </c>
    </row>
    <row r="13" spans="1:6" x14ac:dyDescent="0.25">
      <c r="A13" s="4" t="s">
        <v>279</v>
      </c>
      <c r="B13" s="24">
        <v>-447923</v>
      </c>
      <c r="C13" s="24">
        <v>-129576</v>
      </c>
      <c r="D13" s="24">
        <v>1177043</v>
      </c>
      <c r="E13" s="24">
        <v>3294538</v>
      </c>
      <c r="F13" s="24">
        <v>5741669</v>
      </c>
    </row>
    <row r="14" spans="1:6" x14ac:dyDescent="0.25">
      <c r="A14" s="4" t="s">
        <v>227</v>
      </c>
      <c r="B14" s="24">
        <v>10736</v>
      </c>
      <c r="C14" s="24">
        <v>12824</v>
      </c>
      <c r="D14" s="24">
        <v>12978</v>
      </c>
      <c r="E14" s="24">
        <v>13273</v>
      </c>
      <c r="F14" s="24">
        <v>13647</v>
      </c>
    </row>
    <row r="15" spans="1:6" x14ac:dyDescent="0.25">
      <c r="A15" s="4" t="s">
        <v>280</v>
      </c>
      <c r="B15" s="24">
        <v>14469</v>
      </c>
      <c r="C15" s="24">
        <v>11232</v>
      </c>
      <c r="D15" s="24">
        <v>8623</v>
      </c>
      <c r="E15" s="24">
        <v>7626</v>
      </c>
      <c r="F15" s="24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282</v>
      </c>
      <c r="C2" s="15" t="s">
        <v>283</v>
      </c>
      <c r="D2" s="15" t="s">
        <v>284</v>
      </c>
      <c r="E2" s="15" t="s">
        <v>285</v>
      </c>
      <c r="F2" s="15" t="s">
        <v>286</v>
      </c>
      <c r="G2" s="15" t="s">
        <v>287</v>
      </c>
      <c r="H2" s="15" t="s">
        <v>288</v>
      </c>
      <c r="I2" s="15" t="s">
        <v>289</v>
      </c>
      <c r="J2" s="15" t="s">
        <v>290</v>
      </c>
      <c r="K2" s="15" t="s">
        <v>291</v>
      </c>
      <c r="L2" s="15" t="s">
        <v>292</v>
      </c>
      <c r="M2" s="15" t="s">
        <v>293</v>
      </c>
      <c r="N2" s="15" t="s">
        <v>294</v>
      </c>
    </row>
    <row r="3" ht="24" customHeight="1" spans="1:14" x14ac:dyDescent="0.25">
      <c r="A3" s="13" t="s">
        <v>245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252</v>
      </c>
      <c r="B4" s="29">
        <v>154600</v>
      </c>
      <c r="C4" s="29">
        <v>154600</v>
      </c>
      <c r="D4" s="29">
        <v>154600</v>
      </c>
      <c r="E4" s="29">
        <v>154600</v>
      </c>
      <c r="F4" s="29">
        <v>154600</v>
      </c>
      <c r="G4" s="29">
        <v>154600</v>
      </c>
      <c r="H4" s="29">
        <v>154600</v>
      </c>
      <c r="I4" s="29">
        <v>154600</v>
      </c>
      <c r="J4" s="29">
        <v>154600</v>
      </c>
      <c r="K4" s="29">
        <v>154600</v>
      </c>
      <c r="L4" s="29">
        <v>0</v>
      </c>
      <c r="M4" s="29">
        <v>0</v>
      </c>
      <c r="N4" s="29">
        <v>1546000</v>
      </c>
    </row>
    <row r="6" ht="24" customHeight="1" spans="1:14" x14ac:dyDescent="0.25">
      <c r="A6" s="13" t="s">
        <v>295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296</v>
      </c>
      <c r="B7" s="24">
        <v>102643</v>
      </c>
      <c r="C7" s="24">
        <v>102643</v>
      </c>
      <c r="D7" s="24">
        <v>102643</v>
      </c>
      <c r="E7" s="24">
        <v>102643</v>
      </c>
      <c r="F7" s="24">
        <v>102643</v>
      </c>
      <c r="G7" s="24">
        <v>102643</v>
      </c>
      <c r="H7" s="24">
        <v>102643</v>
      </c>
      <c r="I7" s="24">
        <v>102643</v>
      </c>
      <c r="J7" s="24">
        <v>102643</v>
      </c>
      <c r="K7" s="24">
        <v>102643</v>
      </c>
      <c r="L7" s="24">
        <v>0</v>
      </c>
      <c r="M7" s="24">
        <v>0</v>
      </c>
      <c r="N7" s="24">
        <v>1026431</v>
      </c>
    </row>
    <row r="8" spans="1:14" x14ac:dyDescent="0.25">
      <c r="A8" s="4" t="s">
        <v>297</v>
      </c>
      <c r="B8" s="24">
        <v>54500</v>
      </c>
      <c r="C8" s="24">
        <v>54500</v>
      </c>
      <c r="D8" s="24">
        <v>54500</v>
      </c>
      <c r="E8" s="24">
        <v>54500</v>
      </c>
      <c r="F8" s="24">
        <v>54500</v>
      </c>
      <c r="G8" s="24">
        <v>54500</v>
      </c>
      <c r="H8" s="24">
        <v>54500</v>
      </c>
      <c r="I8" s="24">
        <v>54500</v>
      </c>
      <c r="J8" s="24">
        <v>54500</v>
      </c>
      <c r="K8" s="24">
        <v>54500</v>
      </c>
      <c r="L8" s="24">
        <v>0</v>
      </c>
      <c r="M8" s="24">
        <v>0</v>
      </c>
      <c r="N8" s="24">
        <v>545000</v>
      </c>
    </row>
    <row r="9" spans="1:14" x14ac:dyDescent="0.25">
      <c r="A9" s="4" t="s">
        <v>298</v>
      </c>
      <c r="B9" s="24">
        <v>13735</v>
      </c>
      <c r="C9" s="24">
        <v>13735</v>
      </c>
      <c r="D9" s="24">
        <v>13735</v>
      </c>
      <c r="E9" s="24">
        <v>13735</v>
      </c>
      <c r="F9" s="24">
        <v>13735</v>
      </c>
      <c r="G9" s="24">
        <v>13735</v>
      </c>
      <c r="H9" s="24">
        <v>13735</v>
      </c>
      <c r="I9" s="24">
        <v>13735</v>
      </c>
      <c r="J9" s="24">
        <v>13735</v>
      </c>
      <c r="K9" s="24">
        <v>13735</v>
      </c>
      <c r="L9" s="24">
        <v>13735</v>
      </c>
      <c r="M9" s="24">
        <v>13735</v>
      </c>
      <c r="N9" s="24">
        <v>164825</v>
      </c>
    </row>
    <row r="11" ht="24" customHeight="1" spans="1:14" x14ac:dyDescent="0.25">
      <c r="A11" s="13" t="s">
        <v>299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275</v>
      </c>
      <c r="B12" s="27">
        <v>170878</v>
      </c>
      <c r="C12" s="27">
        <v>170878</v>
      </c>
      <c r="D12" s="27">
        <v>170878</v>
      </c>
      <c r="E12" s="27">
        <v>170878</v>
      </c>
      <c r="F12" s="27">
        <v>170878</v>
      </c>
      <c r="G12" s="27">
        <v>170878</v>
      </c>
      <c r="H12" s="27">
        <v>170878</v>
      </c>
      <c r="I12" s="27">
        <v>170878</v>
      </c>
      <c r="J12" s="27">
        <v>170878</v>
      </c>
      <c r="K12" s="27">
        <v>170878</v>
      </c>
      <c r="L12" s="27">
        <v>13735</v>
      </c>
      <c r="M12" s="27">
        <v>13735</v>
      </c>
      <c r="N12" s="27">
        <v>1736250</v>
      </c>
    </row>
    <row r="13" spans="1:14" x14ac:dyDescent="0.25">
      <c r="A13" s="3" t="s">
        <v>300</v>
      </c>
      <c r="B13" s="27">
        <v>-16278</v>
      </c>
      <c r="C13" s="27">
        <v>-16278</v>
      </c>
      <c r="D13" s="27">
        <v>-16278</v>
      </c>
      <c r="E13" s="27">
        <v>-16278</v>
      </c>
      <c r="F13" s="27">
        <v>-16278</v>
      </c>
      <c r="G13" s="27">
        <v>-16278</v>
      </c>
      <c r="H13" s="27">
        <v>-16278</v>
      </c>
      <c r="I13" s="27">
        <v>-16278</v>
      </c>
      <c r="J13" s="27">
        <v>-16278</v>
      </c>
      <c r="K13" s="27">
        <v>-16278</v>
      </c>
      <c r="L13" s="27">
        <v>-13735</v>
      </c>
      <c r="M13" s="27">
        <v>-13735</v>
      </c>
      <c r="N13" s="27">
        <v>-190250</v>
      </c>
    </row>
    <row r="14" spans="1:14" x14ac:dyDescent="0.25">
      <c r="A14" s="3" t="s">
        <v>301</v>
      </c>
      <c r="B14" s="32">
        <v>-16278</v>
      </c>
      <c r="C14" s="32">
        <v>-32556</v>
      </c>
      <c r="D14" s="32">
        <v>-48834</v>
      </c>
      <c r="E14" s="32">
        <v>-65112</v>
      </c>
      <c r="F14" s="32">
        <v>-81390</v>
      </c>
      <c r="G14" s="32">
        <v>-97668</v>
      </c>
      <c r="H14" s="32">
        <v>-113946</v>
      </c>
      <c r="I14" s="32">
        <v>-130224</v>
      </c>
      <c r="J14" s="32">
        <v>-146502</v>
      </c>
      <c r="K14" s="32">
        <v>-162780</v>
      </c>
      <c r="L14" s="32">
        <v>-176515</v>
      </c>
      <c r="M14" s="32">
        <v>-190250</v>
      </c>
      <c r="N14" s="25">
        <v>-190250</v>
      </c>
    </row>
    <row r="16" ht="24" customHeight="1" spans="1:3" x14ac:dyDescent="0.25">
      <c r="A16" s="13" t="s">
        <v>302</v>
      </c>
      <c r="B16" s="13"/>
      <c r="C16" s="13"/>
    </row>
    <row r="17" spans="1:2" x14ac:dyDescent="0.25">
      <c r="A17" s="4" t="s">
        <v>164</v>
      </c>
      <c r="B17" s="24">
        <v>0</v>
      </c>
    </row>
    <row r="18" spans="1:2" x14ac:dyDescent="0.25">
      <c r="A18" s="4" t="s">
        <v>303</v>
      </c>
      <c r="B18" s="32">
        <v>-190250</v>
      </c>
    </row>
    <row r="19" spans="1:2" x14ac:dyDescent="0.25">
      <c r="A19" s="4" t="s">
        <v>304</v>
      </c>
      <c r="B19" s="24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33" t="s">
        <v>252</v>
      </c>
      <c r="B5" s="29">
        <v>1288333</v>
      </c>
      <c r="C5" s="29">
        <v>2564700</v>
      </c>
      <c r="D5" s="29">
        <v>3893503</v>
      </c>
      <c r="E5" s="29">
        <v>4977371</v>
      </c>
      <c r="F5" s="29">
        <v>5458718</v>
      </c>
    </row>
    <row r="7" ht="24" customHeight="1" spans="1:6" x14ac:dyDescent="0.25">
      <c r="A7" s="13" t="s">
        <v>295</v>
      </c>
      <c r="B7" s="13"/>
      <c r="C7" s="13"/>
      <c r="D7" s="13"/>
      <c r="E7" s="13"/>
      <c r="F7" s="13"/>
    </row>
    <row r="8" spans="1:6" x14ac:dyDescent="0.25">
      <c r="A8" s="3" t="s">
        <v>296</v>
      </c>
      <c r="B8" s="27">
        <v>1026431</v>
      </c>
      <c r="C8" s="27">
        <v>1268669</v>
      </c>
      <c r="D8" s="27">
        <v>1306729</v>
      </c>
      <c r="E8" s="27">
        <v>1345931</v>
      </c>
      <c r="F8" s="27">
        <v>1386309</v>
      </c>
    </row>
    <row r="9" spans="1:6" x14ac:dyDescent="0.25">
      <c r="A9" s="3" t="s">
        <v>297</v>
      </c>
      <c r="B9" s="27">
        <v>545000</v>
      </c>
      <c r="C9" s="27">
        <v>887860</v>
      </c>
      <c r="D9" s="27">
        <v>1190330</v>
      </c>
      <c r="E9" s="27">
        <v>1439121</v>
      </c>
      <c r="F9" s="27">
        <v>1555453</v>
      </c>
    </row>
    <row r="10" spans="1:6" x14ac:dyDescent="0.25">
      <c r="A10" s="3" t="s">
        <v>306</v>
      </c>
      <c r="B10" s="27">
        <v>164825</v>
      </c>
      <c r="C10" s="27">
        <v>89825</v>
      </c>
      <c r="D10" s="27">
        <v>89825</v>
      </c>
      <c r="E10" s="27">
        <v>74825</v>
      </c>
      <c r="F10" s="27">
        <v>69825</v>
      </c>
    </row>
    <row r="11" spans="1:6" x14ac:dyDescent="0.25">
      <c r="A11" s="33" t="s">
        <v>275</v>
      </c>
      <c r="B11" s="29">
        <f>SUM(B8:B10)</f>
        <v>1736256</v>
      </c>
      <c r="C11" s="29">
        <f>SUM(C8:C10)</f>
        <v>2246354</v>
      </c>
      <c r="D11" s="29">
        <f>SUM(D8:D10)</f>
        <v>2586884</v>
      </c>
      <c r="E11" s="29">
        <f>SUM(E8:E10)</f>
        <v>2859877</v>
      </c>
      <c r="F11" s="29">
        <f>SUM(F8:F10)</f>
        <v>3011587</v>
      </c>
    </row>
    <row r="13" ht="24" customHeight="1" spans="1:6" x14ac:dyDescent="0.25">
      <c r="A13" s="13" t="s">
        <v>307</v>
      </c>
      <c r="B13" s="13"/>
      <c r="C13" s="13"/>
      <c r="D13" s="13"/>
      <c r="E13" s="13"/>
      <c r="F13" s="13"/>
    </row>
    <row r="14" spans="1:6" x14ac:dyDescent="0.25">
      <c r="A14" s="33" t="s">
        <v>277</v>
      </c>
      <c r="B14" s="25">
        <f>B5-B11</f>
        <v>-447923</v>
      </c>
      <c r="C14" s="25">
        <f>C5-C11</f>
        <v>318346</v>
      </c>
      <c r="D14" s="25">
        <f>D5-D11</f>
        <v>1306619</v>
      </c>
      <c r="E14" s="25">
        <f>E5-E11</f>
        <v>2117494</v>
      </c>
      <c r="F14" s="25">
        <f>F5-F11</f>
        <v>2447131</v>
      </c>
    </row>
    <row r="15" spans="1:6" x14ac:dyDescent="0.25">
      <c r="A15" s="4" t="s">
        <v>278</v>
      </c>
      <c r="B15" s="23">
        <f>IF(B5=0,0,B14/B5)</f>
        <v>-0.34767595</v>
      </c>
      <c r="C15" s="23">
        <f>IF(C5=0,0,C14/C5)</f>
        <v>0.12412616</v>
      </c>
      <c r="D15" s="23">
        <f>IF(D5=0,0,D14/D5)</f>
        <v>0.3355897</v>
      </c>
      <c r="E15" s="23">
        <f>IF(E5=0,0,E14/E5)</f>
        <v>0.42542423</v>
      </c>
      <c r="F15" s="23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308</v>
      </c>
      <c r="B5" s="24">
        <v>500000</v>
      </c>
      <c r="C5" s="24">
        <v>478361</v>
      </c>
      <c r="D5" s="24">
        <v>455444</v>
      </c>
      <c r="E5" s="24">
        <v>431175</v>
      </c>
      <c r="F5" s="24">
        <v>405473</v>
      </c>
    </row>
    <row r="6" spans="1:6" x14ac:dyDescent="0.25">
      <c r="A6" s="4" t="s">
        <v>309</v>
      </c>
      <c r="B6" s="24">
        <v>28186</v>
      </c>
      <c r="C6" s="24">
        <v>26908</v>
      </c>
      <c r="D6" s="24">
        <v>25555</v>
      </c>
      <c r="E6" s="24">
        <v>24122</v>
      </c>
      <c r="F6" s="24">
        <v>22605</v>
      </c>
    </row>
    <row r="7" spans="1:6" x14ac:dyDescent="0.25">
      <c r="A7" s="4" t="s">
        <v>310</v>
      </c>
      <c r="B7" s="24">
        <v>21639</v>
      </c>
      <c r="C7" s="24">
        <v>22917</v>
      </c>
      <c r="D7" s="24">
        <v>24270</v>
      </c>
      <c r="E7" s="24">
        <v>25702</v>
      </c>
      <c r="F7" s="24">
        <v>27220</v>
      </c>
    </row>
    <row r="8" spans="1:6" x14ac:dyDescent="0.25">
      <c r="A8" s="3" t="s">
        <v>311</v>
      </c>
      <c r="B8" s="27">
        <v>49825</v>
      </c>
      <c r="C8" s="27">
        <v>49825</v>
      </c>
      <c r="D8" s="27">
        <v>49825</v>
      </c>
      <c r="E8" s="27">
        <v>49825</v>
      </c>
      <c r="F8" s="27">
        <v>49825</v>
      </c>
    </row>
    <row r="9" spans="1:6" x14ac:dyDescent="0.25">
      <c r="A9" s="3" t="s">
        <v>312</v>
      </c>
      <c r="B9" s="32">
        <v>478361</v>
      </c>
      <c r="C9" s="32">
        <v>455444</v>
      </c>
      <c r="D9" s="32">
        <v>431175</v>
      </c>
      <c r="E9" s="32">
        <v>405473</v>
      </c>
      <c r="F9" s="32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314</v>
      </c>
      <c r="B4" s="13"/>
      <c r="C4" s="13"/>
      <c r="D4" s="13"/>
      <c r="E4" s="13"/>
      <c r="F4" s="13"/>
    </row>
    <row r="5" spans="1:6" x14ac:dyDescent="0.25">
      <c r="A5" s="4" t="s">
        <v>315</v>
      </c>
      <c r="B5" s="34">
        <v>-190250</v>
      </c>
      <c r="C5" s="34">
        <v>128096</v>
      </c>
      <c r="D5" s="34">
        <v>1434716</v>
      </c>
      <c r="E5" s="34">
        <v>3552210</v>
      </c>
      <c r="F5" s="34">
        <v>5999341</v>
      </c>
    </row>
    <row r="6" spans="1:6" x14ac:dyDescent="0.25">
      <c r="A6" s="4" t="s">
        <v>316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317</v>
      </c>
      <c r="B7" s="24">
        <v>0</v>
      </c>
      <c r="C7" s="24">
        <v>0</v>
      </c>
      <c r="D7" s="24">
        <v>0</v>
      </c>
      <c r="E7" s="24">
        <v>0</v>
      </c>
      <c r="F7" s="24">
        <v>0</v>
      </c>
    </row>
    <row r="8" spans="1:6" x14ac:dyDescent="0.25">
      <c r="A8" s="4" t="s">
        <v>318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319</v>
      </c>
      <c r="B9" s="29">
        <v>-190250</v>
      </c>
      <c r="C9" s="29">
        <v>128096</v>
      </c>
      <c r="D9" s="29">
        <v>1434716</v>
      </c>
      <c r="E9" s="29">
        <v>3552210</v>
      </c>
      <c r="F9" s="29">
        <v>5999341</v>
      </c>
    </row>
    <row r="11" ht="24" customHeight="1" spans="1:6" x14ac:dyDescent="0.25">
      <c r="A11" s="13" t="s">
        <v>320</v>
      </c>
      <c r="B11" s="13"/>
      <c r="C11" s="13"/>
      <c r="D11" s="13"/>
      <c r="E11" s="13"/>
      <c r="F11" s="13"/>
    </row>
    <row r="12" spans="1:6" x14ac:dyDescent="0.25">
      <c r="A12" s="4" t="s">
        <v>321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322</v>
      </c>
      <c r="B13" s="24">
        <v>478361</v>
      </c>
      <c r="C13" s="24">
        <v>455444</v>
      </c>
      <c r="D13" s="24">
        <v>431175</v>
      </c>
      <c r="E13" s="24">
        <v>405473</v>
      </c>
      <c r="F13" s="24">
        <v>378253</v>
      </c>
    </row>
    <row r="14" spans="1:6" x14ac:dyDescent="0.25">
      <c r="A14" s="3" t="s">
        <v>323</v>
      </c>
      <c r="B14" s="29">
        <v>478361</v>
      </c>
      <c r="C14" s="29">
        <v>455444</v>
      </c>
      <c r="D14" s="29">
        <v>431175</v>
      </c>
      <c r="E14" s="29">
        <v>405473</v>
      </c>
      <c r="F14" s="29">
        <v>378253</v>
      </c>
    </row>
    <row r="16" ht="24" customHeight="1" spans="1:6" x14ac:dyDescent="0.25">
      <c r="A16" s="13" t="s">
        <v>324</v>
      </c>
      <c r="B16" s="13"/>
      <c r="C16" s="13"/>
      <c r="D16" s="13"/>
      <c r="E16" s="13"/>
      <c r="F16" s="13"/>
    </row>
    <row r="17" spans="1:6" x14ac:dyDescent="0.25">
      <c r="A17" s="3" t="s">
        <v>325</v>
      </c>
      <c r="B17" s="25">
        <v>-668611</v>
      </c>
      <c r="C17" s="25">
        <v>-327348</v>
      </c>
      <c r="D17" s="25">
        <v>1003541</v>
      </c>
      <c r="E17" s="25">
        <v>3146738</v>
      </c>
      <c r="F17" s="25">
        <v>5621089</v>
      </c>
    </row>
    <row r="19" spans="1:6" x14ac:dyDescent="0.25">
      <c r="A19" s="3" t="s">
        <v>326</v>
      </c>
      <c r="B19" s="35">
        <v>0</v>
      </c>
      <c r="C19" s="35">
        <v>0</v>
      </c>
      <c r="D19" s="35">
        <v>0</v>
      </c>
      <c r="E19" s="36">
        <v>-1</v>
      </c>
      <c r="F19" s="36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328</v>
      </c>
      <c r="B4" s="13"/>
      <c r="C4" s="13"/>
      <c r="D4" s="13"/>
      <c r="E4" s="13"/>
      <c r="F4" s="13"/>
    </row>
    <row r="5" spans="1:6" x14ac:dyDescent="0.25">
      <c r="A5" s="4" t="s">
        <v>329</v>
      </c>
      <c r="B5" s="24">
        <v>1288333</v>
      </c>
      <c r="C5" s="24">
        <v>2564700</v>
      </c>
      <c r="D5" s="24">
        <v>3893503</v>
      </c>
      <c r="E5" s="24">
        <v>4977371</v>
      </c>
      <c r="F5" s="24">
        <v>5458718</v>
      </c>
    </row>
    <row r="6" spans="1:6" x14ac:dyDescent="0.25">
      <c r="A6" s="4" t="s">
        <v>296</v>
      </c>
      <c r="B6" s="24">
        <v>1026431</v>
      </c>
      <c r="C6" s="24">
        <v>1268669</v>
      </c>
      <c r="D6" s="24">
        <v>1306729</v>
      </c>
      <c r="E6" s="24">
        <v>1345931</v>
      </c>
      <c r="F6" s="24">
        <v>1386309</v>
      </c>
    </row>
    <row r="7" spans="1:6" x14ac:dyDescent="0.25">
      <c r="A7" s="4" t="s">
        <v>297</v>
      </c>
      <c r="B7" s="24">
        <v>545000</v>
      </c>
      <c r="C7" s="24">
        <v>887860</v>
      </c>
      <c r="D7" s="24">
        <v>1190330</v>
      </c>
      <c r="E7" s="24">
        <v>1439121</v>
      </c>
      <c r="F7" s="24">
        <v>1555453</v>
      </c>
    </row>
    <row r="8" spans="1:6" x14ac:dyDescent="0.25">
      <c r="A8" s="3" t="s">
        <v>330</v>
      </c>
      <c r="B8" s="27">
        <f>B5-B6-B7</f>
        <v>-283098</v>
      </c>
      <c r="C8" s="27">
        <f>C5-C6-C7</f>
        <v>408171</v>
      </c>
      <c r="D8" s="27">
        <f>D5-D6-D7</f>
        <v>1396444</v>
      </c>
      <c r="E8" s="27">
        <f>E5-E6-E7</f>
        <v>2192319</v>
      </c>
      <c r="F8" s="27">
        <f>F5-F6-F7</f>
        <v>2516956</v>
      </c>
    </row>
    <row r="9" spans="1:6" x14ac:dyDescent="0.25">
      <c r="A9" s="4" t="s">
        <v>298</v>
      </c>
      <c r="B9" s="24">
        <v>49825</v>
      </c>
      <c r="C9" s="24">
        <v>49825</v>
      </c>
      <c r="D9" s="24">
        <v>49825</v>
      </c>
      <c r="E9" s="24">
        <v>49825</v>
      </c>
      <c r="F9" s="24">
        <v>49825</v>
      </c>
    </row>
    <row r="10" spans="1:6" x14ac:dyDescent="0.25">
      <c r="A10" s="3" t="s">
        <v>331</v>
      </c>
      <c r="B10" s="37">
        <f>IF(B9=0,"N/A",B8/B9)</f>
        <v>-5.68</v>
      </c>
      <c r="C10" s="37">
        <f>IF(C9=0,"N/A",C8/C9)</f>
        <v>8.19</v>
      </c>
      <c r="D10" s="37">
        <f>IF(D9=0,"N/A",D8/D9)</f>
        <v>28.03</v>
      </c>
      <c r="E10" s="37">
        <f>IF(E9=0,"N/A",E8/E9)</f>
        <v>44</v>
      </c>
      <c r="F10" s="37">
        <f>IF(F9=0,"N/A",F8/F9)</f>
        <v>50.52</v>
      </c>
    </row>
    <row r="12" ht="24" customHeight="1" spans="1:6" x14ac:dyDescent="0.25">
      <c r="A12" s="13" t="s">
        <v>332</v>
      </c>
      <c r="B12" s="13"/>
      <c r="C12" s="13"/>
      <c r="D12" s="13"/>
      <c r="E12" s="13"/>
      <c r="F12" s="13"/>
    </row>
    <row r="13" spans="1:6" x14ac:dyDescent="0.25">
      <c r="A13" s="4" t="s">
        <v>333</v>
      </c>
      <c r="B13" s="24">
        <v>-190250</v>
      </c>
      <c r="C13" s="24">
        <v>128096</v>
      </c>
      <c r="D13" s="24">
        <v>1434716</v>
      </c>
      <c r="E13" s="24">
        <v>3552210</v>
      </c>
      <c r="F13" s="24">
        <v>5999341</v>
      </c>
    </row>
    <row r="14" spans="1:6" x14ac:dyDescent="0.25">
      <c r="A14" s="4" t="s">
        <v>334</v>
      </c>
      <c r="B14" s="21">
        <f>IF((B6+B7+B9)=0,0,(B13/(B6+B7+B9))*365)</f>
        <v>-43</v>
      </c>
      <c r="C14" s="21">
        <f>IF((C6+C7+C9)=0,0,(C13/(C6+C7+C9))*365)</f>
        <v>21</v>
      </c>
      <c r="D14" s="21">
        <f>IF((D6+D7+D9)=0,0,(D13/(D6+D7+D9))*365)</f>
        <v>206</v>
      </c>
      <c r="E14" s="21">
        <f>IF((E6+E7+E9)=0,0,(E13/(E6+E7+E9))*365)</f>
        <v>457</v>
      </c>
      <c r="F14" s="21">
        <f>IF((F6+F7+F9)=0,0,(F13/(F6+F7+F9))*365)</f>
        <v>732</v>
      </c>
    </row>
    <row r="15" spans="1:6" x14ac:dyDescent="0.25">
      <c r="A15" s="4" t="s">
        <v>335</v>
      </c>
      <c r="B15" s="28">
        <f>IF((B6+B7+B9)=0,0,B13/((B6+B7+B9)/12))</f>
        <v>-1.4</v>
      </c>
      <c r="C15" s="28">
        <f>IF((C6+C7+C9)=0,0,C13/((C6+C7+C9)/12))</f>
        <v>0.7</v>
      </c>
      <c r="D15" s="28">
        <f>IF((D6+D7+D9)=0,0,D13/((D6+D7+D9)/12))</f>
        <v>6.8</v>
      </c>
      <c r="E15" s="28">
        <f>IF((E6+E7+E9)=0,0,E13/((E6+E7+E9)/12))</f>
        <v>15</v>
      </c>
      <c r="F15" s="28">
        <f>IF((F6+F7+F9)=0,0,F13/((F6+F7+F9)/12))</f>
        <v>24.1</v>
      </c>
    </row>
    <row r="16" spans="1:6" x14ac:dyDescent="0.25">
      <c r="A16" s="4" t="s">
        <v>185</v>
      </c>
      <c r="B16" s="23">
        <v>0.3</v>
      </c>
      <c r="C16" s="23">
        <v>0.5</v>
      </c>
      <c r="D16" s="23">
        <v>0.75</v>
      </c>
      <c r="E16" s="23">
        <v>0.9375</v>
      </c>
      <c r="F16" s="23">
        <v>1</v>
      </c>
    </row>
    <row r="18" ht="24" customHeight="1" spans="1:6" x14ac:dyDescent="0.25">
      <c r="A18" s="13" t="s">
        <v>336</v>
      </c>
      <c r="B18" s="13"/>
      <c r="C18" s="13"/>
      <c r="D18" s="13"/>
      <c r="E18" s="13"/>
      <c r="F18" s="13"/>
    </row>
    <row r="19" spans="1:6" x14ac:dyDescent="0.25">
      <c r="A19" s="4" t="s">
        <v>227</v>
      </c>
      <c r="B19" s="24">
        <v>10736</v>
      </c>
      <c r="C19" s="24">
        <v>12824</v>
      </c>
      <c r="D19" s="24">
        <v>12978</v>
      </c>
      <c r="E19" s="24">
        <v>13273</v>
      </c>
      <c r="F19" s="24">
        <v>13647</v>
      </c>
    </row>
    <row r="20" spans="1:6" x14ac:dyDescent="0.25">
      <c r="A20" s="4" t="s">
        <v>337</v>
      </c>
      <c r="B20" s="24">
        <v>1076256</v>
      </c>
      <c r="C20" s="24">
        <v>1318494</v>
      </c>
      <c r="D20" s="24">
        <v>1356554</v>
      </c>
      <c r="E20" s="24">
        <v>1395756</v>
      </c>
      <c r="F20" s="24">
        <v>1436134</v>
      </c>
    </row>
    <row r="21" spans="1:6" x14ac:dyDescent="0.25">
      <c r="A21" s="4" t="s">
        <v>338</v>
      </c>
      <c r="B21" s="24">
        <v>4542</v>
      </c>
      <c r="C21" s="24">
        <v>4439</v>
      </c>
      <c r="D21" s="24">
        <v>3968</v>
      </c>
      <c r="E21" s="24">
        <v>3838</v>
      </c>
      <c r="F21" s="24">
        <v>3889</v>
      </c>
    </row>
    <row r="22" spans="1:6" x14ac:dyDescent="0.25">
      <c r="A22" s="3" t="s">
        <v>339</v>
      </c>
      <c r="B22" s="38">
        <v>174</v>
      </c>
      <c r="C22" s="38">
        <v>158</v>
      </c>
      <c r="D22" s="38">
        <v>151</v>
      </c>
      <c r="E22" s="38">
        <v>148</v>
      </c>
      <c r="F22" s="38">
        <v>148</v>
      </c>
    </row>
    <row r="24" ht="24" customHeight="1" spans="1:6" x14ac:dyDescent="0.25">
      <c r="A24" s="13" t="s">
        <v>340</v>
      </c>
      <c r="B24" s="13"/>
      <c r="C24" s="13"/>
      <c r="D24" s="13"/>
      <c r="E24" s="13"/>
      <c r="F24" s="13"/>
    </row>
    <row r="25" spans="1:6" x14ac:dyDescent="0.25">
      <c r="A25" s="4" t="s">
        <v>341</v>
      </c>
      <c r="B25" s="39" t="s">
        <v>342</v>
      </c>
      <c r="C25" s="40" t="s">
        <v>343</v>
      </c>
      <c r="D25" s="40" t="s">
        <v>343</v>
      </c>
      <c r="E25" s="40" t="s">
        <v>343</v>
      </c>
      <c r="F25" s="40" t="s">
        <v>343</v>
      </c>
    </row>
    <row r="26" spans="1:6" x14ac:dyDescent="0.25">
      <c r="A26" s="4" t="s">
        <v>344</v>
      </c>
      <c r="B26" s="39" t="s">
        <v>342</v>
      </c>
      <c r="C26" s="40" t="s">
        <v>343</v>
      </c>
      <c r="D26" s="40" t="s">
        <v>343</v>
      </c>
      <c r="E26" s="40" t="s">
        <v>343</v>
      </c>
      <c r="F26" s="40" t="s">
        <v>343</v>
      </c>
    </row>
    <row r="27" spans="1:6" x14ac:dyDescent="0.25">
      <c r="A27" s="4" t="s">
        <v>345</v>
      </c>
      <c r="B27" s="39" t="s">
        <v>342</v>
      </c>
      <c r="C27" s="39" t="s">
        <v>342</v>
      </c>
      <c r="D27" s="39" t="s">
        <v>342</v>
      </c>
      <c r="E27" s="39" t="s">
        <v>342</v>
      </c>
      <c r="F27" s="39" t="s">
        <v>342</v>
      </c>
    </row>
    <row r="28" spans="1:6" x14ac:dyDescent="0.25">
      <c r="A28" s="4" t="s">
        <v>346</v>
      </c>
      <c r="B28" s="39" t="s">
        <v>342</v>
      </c>
      <c r="C28" s="39" t="s">
        <v>342</v>
      </c>
      <c r="D28" s="40" t="s">
        <v>343</v>
      </c>
      <c r="E28" s="40" t="s">
        <v>343</v>
      </c>
      <c r="F28" s="40" t="s">
        <v>343</v>
      </c>
    </row>
    <row r="29" spans="1:6" x14ac:dyDescent="0.25">
      <c r="A29" s="4" t="s">
        <v>347</v>
      </c>
      <c r="B29" s="39" t="s">
        <v>342</v>
      </c>
      <c r="C29" s="39" t="s">
        <v>342</v>
      </c>
      <c r="D29" s="40" t="s">
        <v>343</v>
      </c>
      <c r="E29" s="40" t="s">
        <v>343</v>
      </c>
      <c r="F29" s="40" t="s">
        <v>343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348</v>
      </c>
      <c r="B3" s="41" t="s">
        <v>100</v>
      </c>
      <c r="D3" s="41" t="s">
        <v>349</v>
      </c>
      <c r="E3" s="41" t="s">
        <v>100</v>
      </c>
    </row>
    <row r="4" spans="1:5" x14ac:dyDescent="0.25">
      <c r="A4" s="4" t="s">
        <v>155</v>
      </c>
      <c r="B4" s="24">
        <v>500000</v>
      </c>
      <c r="D4" s="4" t="s">
        <v>350</v>
      </c>
      <c r="E4" s="24">
        <v>400000</v>
      </c>
    </row>
    <row r="5" spans="1:5" x14ac:dyDescent="0.25">
      <c r="A5" s="4" t="s">
        <v>107</v>
      </c>
      <c r="B5" s="24">
        <v>100000</v>
      </c>
      <c r="D5" s="4" t="s">
        <v>351</v>
      </c>
      <c r="E5" s="24">
        <v>75000</v>
      </c>
    </row>
    <row r="6" spans="1:5" x14ac:dyDescent="0.25">
      <c r="A6" s="4" t="s">
        <v>352</v>
      </c>
      <c r="B6" s="24">
        <v>50000</v>
      </c>
      <c r="D6" s="4" t="s">
        <v>353</v>
      </c>
      <c r="E6" s="24">
        <v>40000</v>
      </c>
    </row>
    <row r="7" spans="4:5" x14ac:dyDescent="0.25">
      <c r="D7" s="4" t="s">
        <v>354</v>
      </c>
      <c r="E7" s="24">
        <v>60000</v>
      </c>
    </row>
    <row r="8" spans="4:5" x14ac:dyDescent="0.25">
      <c r="D8" s="4" t="s">
        <v>355</v>
      </c>
      <c r="E8" s="24">
        <v>75000</v>
      </c>
    </row>
    <row r="10" spans="1:5" x14ac:dyDescent="0.25">
      <c r="A10" s="3" t="s">
        <v>356</v>
      </c>
      <c r="B10" s="25">
        <v>650000</v>
      </c>
      <c r="D10" s="3" t="s">
        <v>357</v>
      </c>
      <c r="E10" s="25">
        <v>650000</v>
      </c>
    </row>
    <row r="11" spans="1:2" x14ac:dyDescent="0.25">
      <c r="A11" s="3" t="s">
        <v>358</v>
      </c>
      <c r="B11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359</v>
      </c>
      <c r="B1" s="11"/>
      <c r="C1" s="11"/>
      <c r="D1" s="11"/>
      <c r="E1" s="11"/>
      <c r="F1" s="11"/>
    </row>
    <row r="3" ht="24" customHeight="1" spans="1:6" x14ac:dyDescent="0.25">
      <c r="A3" s="13" t="s">
        <v>360</v>
      </c>
      <c r="B3" s="13"/>
      <c r="C3" s="13"/>
      <c r="D3" s="13"/>
      <c r="E3" s="13"/>
      <c r="F3" s="13"/>
    </row>
    <row r="4" spans="1:1" x14ac:dyDescent="0.25">
      <c r="A4" s="12" t="s">
        <v>361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329</v>
      </c>
      <c r="B6" s="24">
        <v>1288333</v>
      </c>
      <c r="C6" s="24">
        <v>2564700</v>
      </c>
      <c r="D6" s="24">
        <v>3893503</v>
      </c>
      <c r="E6" s="24">
        <v>4977371</v>
      </c>
      <c r="F6" s="24">
        <v>5458718</v>
      </c>
    </row>
    <row r="7" spans="1:6" x14ac:dyDescent="0.25">
      <c r="A7" s="4" t="s">
        <v>275</v>
      </c>
      <c r="B7" s="24">
        <v>1621256</v>
      </c>
      <c r="C7" s="24">
        <v>2206354</v>
      </c>
      <c r="D7" s="24">
        <v>2546884</v>
      </c>
      <c r="E7" s="24">
        <v>2834877</v>
      </c>
      <c r="F7" s="24">
        <v>2991587</v>
      </c>
    </row>
    <row r="8" spans="1:6" x14ac:dyDescent="0.25">
      <c r="A8" s="3" t="s">
        <v>277</v>
      </c>
      <c r="B8" s="25">
        <v>-332923</v>
      </c>
      <c r="C8" s="25">
        <v>358346</v>
      </c>
      <c r="D8" s="25">
        <v>1346619</v>
      </c>
      <c r="E8" s="25">
        <v>2142494</v>
      </c>
      <c r="F8" s="25">
        <v>2467131</v>
      </c>
    </row>
    <row r="9" spans="1:6" x14ac:dyDescent="0.25">
      <c r="A9" s="4" t="s">
        <v>278</v>
      </c>
      <c r="B9" s="23">
        <v>-0.2584133416981985</v>
      </c>
      <c r="C9" s="23">
        <v>0.1397225288645145</v>
      </c>
      <c r="D9" s="23">
        <v>0.3458632236905482</v>
      </c>
      <c r="E9" s="23">
        <v>0.43044696555461553</v>
      </c>
      <c r="F9" s="23">
        <v>0.4519616461017463</v>
      </c>
    </row>
    <row r="10" spans="1:6" x14ac:dyDescent="0.25">
      <c r="A10" s="4" t="s">
        <v>331</v>
      </c>
      <c r="B10" s="42">
        <v>-5.68</v>
      </c>
      <c r="C10" s="42">
        <v>8.19</v>
      </c>
      <c r="D10" s="42">
        <v>28.03</v>
      </c>
      <c r="E10" s="42">
        <v>44</v>
      </c>
      <c r="F10" s="42">
        <v>50.52</v>
      </c>
    </row>
    <row r="11" spans="1:6" x14ac:dyDescent="0.25">
      <c r="A11" s="4" t="s">
        <v>339</v>
      </c>
      <c r="B11" s="21">
        <v>174</v>
      </c>
      <c r="C11" s="21">
        <v>158</v>
      </c>
      <c r="D11" s="21">
        <v>151</v>
      </c>
      <c r="E11" s="21">
        <v>148</v>
      </c>
      <c r="F11" s="21">
        <v>148</v>
      </c>
    </row>
    <row r="13" ht="24" customHeight="1" spans="1:6" x14ac:dyDescent="0.25">
      <c r="A13" s="13" t="s">
        <v>362</v>
      </c>
      <c r="B13" s="13"/>
      <c r="C13" s="13"/>
      <c r="D13" s="13"/>
      <c r="E13" s="13"/>
      <c r="F13" s="13"/>
    </row>
    <row r="14" spans="1:1" x14ac:dyDescent="0.25">
      <c r="A14" s="12" t="s">
        <v>363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329</v>
      </c>
      <c r="B16" s="24">
        <v>1288333</v>
      </c>
      <c r="C16" s="24">
        <v>2564700</v>
      </c>
      <c r="D16" s="24">
        <v>3893503</v>
      </c>
      <c r="E16" s="24">
        <v>4977371</v>
      </c>
      <c r="F16" s="24">
        <v>5458718</v>
      </c>
    </row>
    <row r="17" spans="1:6" x14ac:dyDescent="0.25">
      <c r="A17" s="4" t="s">
        <v>275</v>
      </c>
      <c r="B17" s="24">
        <v>1621256</v>
      </c>
      <c r="C17" s="24">
        <v>2206354</v>
      </c>
      <c r="D17" s="24">
        <v>2546884</v>
      </c>
      <c r="E17" s="24">
        <v>2834877</v>
      </c>
      <c r="F17" s="24">
        <v>2991587</v>
      </c>
    </row>
    <row r="18" spans="1:6" x14ac:dyDescent="0.25">
      <c r="A18" s="3" t="s">
        <v>277</v>
      </c>
      <c r="B18" s="25">
        <v>-332923</v>
      </c>
      <c r="C18" s="25">
        <v>358346</v>
      </c>
      <c r="D18" s="25">
        <v>1346619</v>
      </c>
      <c r="E18" s="25">
        <v>2142494</v>
      </c>
      <c r="F18" s="25">
        <v>2467131</v>
      </c>
    </row>
    <row r="19" spans="1:6" x14ac:dyDescent="0.25">
      <c r="A19" s="4" t="s">
        <v>278</v>
      </c>
      <c r="B19" s="23">
        <v>-0.2584133416981985</v>
      </c>
      <c r="C19" s="23">
        <v>0.1397225288645145</v>
      </c>
      <c r="D19" s="23">
        <v>0.3458632236905482</v>
      </c>
      <c r="E19" s="23">
        <v>0.43044696555461553</v>
      </c>
      <c r="F19" s="23">
        <v>0.4519616461017463</v>
      </c>
    </row>
    <row r="20" spans="1:6" x14ac:dyDescent="0.25">
      <c r="A20" s="4" t="s">
        <v>331</v>
      </c>
      <c r="B20" s="42">
        <v>-5.68</v>
      </c>
      <c r="C20" s="42">
        <v>8.19</v>
      </c>
      <c r="D20" s="42">
        <v>28.03</v>
      </c>
      <c r="E20" s="42">
        <v>44</v>
      </c>
      <c r="F20" s="42">
        <v>50.52</v>
      </c>
    </row>
    <row r="21" spans="1:6" x14ac:dyDescent="0.25">
      <c r="A21" s="4" t="s">
        <v>339</v>
      </c>
      <c r="B21" s="21">
        <v>131</v>
      </c>
      <c r="C21" s="21">
        <v>118</v>
      </c>
      <c r="D21" s="21">
        <v>113</v>
      </c>
      <c r="E21" s="21">
        <v>111</v>
      </c>
      <c r="F21" s="21">
        <v>111</v>
      </c>
    </row>
    <row r="23" ht="24" customHeight="1" spans="1:6" x14ac:dyDescent="0.25">
      <c r="A23" s="13" t="s">
        <v>364</v>
      </c>
      <c r="B23" s="13"/>
      <c r="C23" s="13"/>
      <c r="D23" s="13"/>
      <c r="E23" s="13"/>
      <c r="F23" s="13"/>
    </row>
    <row r="24" spans="1:1" x14ac:dyDescent="0.25">
      <c r="A24" s="12" t="s">
        <v>365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329</v>
      </c>
      <c r="B26" s="24">
        <v>1223917</v>
      </c>
      <c r="C26" s="24">
        <v>2436465</v>
      </c>
      <c r="D26" s="24">
        <v>3698828</v>
      </c>
      <c r="E26" s="24">
        <v>4728503</v>
      </c>
      <c r="F26" s="24">
        <v>5185782</v>
      </c>
    </row>
    <row r="27" spans="1:6" x14ac:dyDescent="0.25">
      <c r="A27" s="4" t="s">
        <v>275</v>
      </c>
      <c r="B27" s="24">
        <v>1621256</v>
      </c>
      <c r="C27" s="24">
        <v>2206354</v>
      </c>
      <c r="D27" s="24">
        <v>2546884</v>
      </c>
      <c r="E27" s="24">
        <v>2834877</v>
      </c>
      <c r="F27" s="24">
        <v>2991587</v>
      </c>
    </row>
    <row r="28" spans="1:6" x14ac:dyDescent="0.25">
      <c r="A28" s="3" t="s">
        <v>277</v>
      </c>
      <c r="B28" s="25">
        <v>-397339</v>
      </c>
      <c r="C28" s="25">
        <v>230111</v>
      </c>
      <c r="D28" s="25">
        <v>1151944</v>
      </c>
      <c r="E28" s="25">
        <v>1893626</v>
      </c>
      <c r="F28" s="25">
        <v>2194195</v>
      </c>
    </row>
    <row r="29" spans="1:6" x14ac:dyDescent="0.25">
      <c r="A29" s="4" t="s">
        <v>278</v>
      </c>
      <c r="B29" s="23">
        <v>-0.3246456228402091</v>
      </c>
      <c r="C29" s="23">
        <v>0.09444476722580472</v>
      </c>
      <c r="D29" s="23">
        <v>0.31143497230584016</v>
      </c>
      <c r="E29" s="23">
        <v>0.40047049005748997</v>
      </c>
      <c r="F29" s="23">
        <v>0.4231175222123644</v>
      </c>
    </row>
    <row r="30" spans="1:6" x14ac:dyDescent="0.25">
      <c r="A30" s="4" t="s">
        <v>331</v>
      </c>
      <c r="B30" s="42">
        <v>-6.97</v>
      </c>
      <c r="C30" s="42">
        <v>5.62</v>
      </c>
      <c r="D30" s="42">
        <v>24.12</v>
      </c>
      <c r="E30" s="42">
        <v>39.01</v>
      </c>
      <c r="F30" s="42">
        <v>45.04</v>
      </c>
    </row>
    <row r="31" spans="1:6" x14ac:dyDescent="0.25">
      <c r="A31" s="4" t="s">
        <v>339</v>
      </c>
      <c r="B31" s="21">
        <v>191</v>
      </c>
      <c r="C31" s="21">
        <v>171</v>
      </c>
      <c r="D31" s="21">
        <v>163</v>
      </c>
      <c r="E31" s="21">
        <v>160</v>
      </c>
      <c r="F31" s="21">
        <v>159</v>
      </c>
    </row>
    <row r="33" ht="24" customHeight="1" spans="1:6" x14ac:dyDescent="0.25">
      <c r="A33" s="13" t="s">
        <v>366</v>
      </c>
      <c r="B33" s="13"/>
      <c r="C33" s="13"/>
      <c r="D33" s="13"/>
      <c r="E33" s="13"/>
      <c r="F33" s="13"/>
    </row>
    <row r="34" spans="1:1" x14ac:dyDescent="0.25">
      <c r="A34" s="12" t="s">
        <v>367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329</v>
      </c>
      <c r="B36" s="24">
        <v>1288333</v>
      </c>
      <c r="C36" s="24">
        <v>2564700</v>
      </c>
      <c r="D36" s="24">
        <v>3893503</v>
      </c>
      <c r="E36" s="24">
        <v>4977371</v>
      </c>
      <c r="F36" s="24">
        <v>5458718</v>
      </c>
    </row>
    <row r="37" spans="1:6" x14ac:dyDescent="0.25">
      <c r="A37" s="4" t="s">
        <v>275</v>
      </c>
      <c r="B37" s="24">
        <v>1703006</v>
      </c>
      <c r="C37" s="24">
        <v>2339533</v>
      </c>
      <c r="D37" s="24">
        <v>2725433</v>
      </c>
      <c r="E37" s="24">
        <v>3050745</v>
      </c>
      <c r="F37" s="24">
        <v>3224905</v>
      </c>
    </row>
    <row r="38" spans="1:6" x14ac:dyDescent="0.25">
      <c r="A38" s="3" t="s">
        <v>277</v>
      </c>
      <c r="B38" s="25">
        <v>-414673</v>
      </c>
      <c r="C38" s="25">
        <v>225167</v>
      </c>
      <c r="D38" s="25">
        <v>1168070</v>
      </c>
      <c r="E38" s="25">
        <v>1926626</v>
      </c>
      <c r="F38" s="25">
        <v>2233813</v>
      </c>
    </row>
    <row r="39" spans="1:6" x14ac:dyDescent="0.25">
      <c r="A39" s="4" t="s">
        <v>278</v>
      </c>
      <c r="B39" s="23">
        <v>-0.32186741673054003</v>
      </c>
      <c r="C39" s="23">
        <v>0.08779481802114118</v>
      </c>
      <c r="D39" s="23">
        <v>0.3000049130638453</v>
      </c>
      <c r="E39" s="23">
        <v>0.3870770423932544</v>
      </c>
      <c r="F39" s="23">
        <v>0.4092193780605092</v>
      </c>
    </row>
    <row r="40" spans="1:6" x14ac:dyDescent="0.25">
      <c r="A40" s="4" t="s">
        <v>331</v>
      </c>
      <c r="B40" s="42">
        <v>-7.32</v>
      </c>
      <c r="C40" s="42">
        <v>5.52</v>
      </c>
      <c r="D40" s="42">
        <v>24.44</v>
      </c>
      <c r="E40" s="42">
        <v>39.67</v>
      </c>
      <c r="F40" s="42">
        <v>45.83</v>
      </c>
    </row>
    <row r="41" spans="1:6" x14ac:dyDescent="0.25">
      <c r="A41" s="4" t="s">
        <v>339</v>
      </c>
      <c r="B41" s="21">
        <v>196</v>
      </c>
      <c r="C41" s="21">
        <v>171</v>
      </c>
      <c r="D41" s="21">
        <v>162</v>
      </c>
      <c r="E41" s="21">
        <v>158</v>
      </c>
      <c r="F41" s="21">
        <v>157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329</v>
      </c>
      <c r="D13" s="24">
        <v>1288333</v>
      </c>
      <c r="E13" s="24">
        <v>2564700</v>
      </c>
      <c r="F13" s="24">
        <v>3893503</v>
      </c>
      <c r="G13" s="24">
        <v>4977371</v>
      </c>
      <c r="H13" s="24">
        <v>5458718</v>
      </c>
    </row>
    <row r="14" spans="1:8" x14ac:dyDescent="0.25">
      <c r="A14" s="4" t="s">
        <v>275</v>
      </c>
      <c r="D14" s="24">
        <v>1621256</v>
      </c>
      <c r="E14" s="24">
        <v>2206354</v>
      </c>
      <c r="F14" s="24">
        <v>2546884</v>
      </c>
      <c r="G14" s="24">
        <v>2834877</v>
      </c>
      <c r="H14" s="24">
        <v>2991587</v>
      </c>
    </row>
    <row r="15" spans="1:8" x14ac:dyDescent="0.25">
      <c r="A15" s="4" t="s">
        <v>277</v>
      </c>
      <c r="D15" s="24">
        <v>-447923</v>
      </c>
      <c r="E15" s="24">
        <v>318346</v>
      </c>
      <c r="F15" s="24">
        <v>1306619</v>
      </c>
      <c r="G15" s="24">
        <v>2117494</v>
      </c>
      <c r="H15" s="24">
        <v>2447131</v>
      </c>
    </row>
    <row r="16" spans="1:8" x14ac:dyDescent="0.25">
      <c r="A16" s="4" t="s">
        <v>372</v>
      </c>
      <c r="D16" s="24">
        <v>-190250</v>
      </c>
      <c r="E16" s="24">
        <v>128096</v>
      </c>
      <c r="F16" s="24">
        <v>1434716</v>
      </c>
      <c r="G16" s="24">
        <v>3552210</v>
      </c>
      <c r="H16" s="24">
        <v>5999341</v>
      </c>
    </row>
    <row r="17" spans="1:8" x14ac:dyDescent="0.25">
      <c r="A17" s="4" t="s">
        <v>373</v>
      </c>
      <c r="D17" s="24">
        <v>478361</v>
      </c>
      <c r="E17" s="24">
        <v>455444</v>
      </c>
      <c r="F17" s="24">
        <v>431175</v>
      </c>
      <c r="G17" s="24">
        <v>405473</v>
      </c>
      <c r="H17" s="24">
        <v>378253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375</v>
      </c>
      <c r="D21" s="23">
        <v>-0.34767595489354136</v>
      </c>
      <c r="E21" s="23">
        <v>0.12412616281780338</v>
      </c>
      <c r="F21" s="23">
        <v>0.33558969879535744</v>
      </c>
      <c r="G21" s="23">
        <v>0.42542423416409325</v>
      </c>
      <c r="H21" s="23">
        <v>0.44829778198663</v>
      </c>
    </row>
    <row r="22" spans="1:8" x14ac:dyDescent="0.25">
      <c r="A22" s="4" t="s">
        <v>331</v>
      </c>
      <c r="D22" s="42">
        <v>-5.68</v>
      </c>
      <c r="E22" s="42">
        <v>8.19</v>
      </c>
      <c r="F22" s="42">
        <v>28.03</v>
      </c>
      <c r="G22" s="42">
        <v>44</v>
      </c>
      <c r="H22" s="42">
        <v>50.52</v>
      </c>
    </row>
    <row r="23" spans="1:8" x14ac:dyDescent="0.25">
      <c r="A23" s="4" t="s">
        <v>185</v>
      </c>
      <c r="D23" s="23">
        <v>0.3</v>
      </c>
      <c r="E23" s="23">
        <v>0.5</v>
      </c>
      <c r="F23" s="23">
        <v>0.75</v>
      </c>
      <c r="G23" s="23">
        <v>0.9375</v>
      </c>
      <c r="H23" s="23">
        <v>1</v>
      </c>
    </row>
    <row r="24" spans="1:8" x14ac:dyDescent="0.25">
      <c r="A24" s="4" t="s">
        <v>376</v>
      </c>
      <c r="D24" s="21">
        <v>120</v>
      </c>
      <c r="E24" s="21">
        <v>200</v>
      </c>
      <c r="F24" s="21">
        <v>300</v>
      </c>
      <c r="G24" s="21">
        <v>375</v>
      </c>
      <c r="H24" s="21">
        <v>400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2026-03-17T01:36:43Z</dcterms:created>
  <dcterms:modified xsi:type="dcterms:W3CDTF">2026-03-17T01:36:43Z</dcterms:modified>
</cp:coreProperties>
</file>