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<sst xmlns="http://schemas.openxmlformats.org/spreadsheetml/2006/main" count="800" uniqueCount="435">
  <si>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</si>
  <si>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</si>
  <si>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</si>
  <si>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</si>
  <si>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</si>
  <si>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</si>
  <si>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</si>
  <si>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</si>
  <si>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</si>
  <si>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</si>
  <si>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</si>
  <si>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</si>
  <si>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</si>
  <si>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</si>
  <si>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</si>
  <si>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</si>
  <si>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</si>
  <si>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</si>
  <si>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</si>
  <si>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</si>
  <si>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</si>
  <si>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</si>
  <si>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</si>
  <si>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</si>
  <si>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</si>
  <si>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</si>
  <si>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</si>
  <si>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</si>
  <si>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</si>
  <si>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</si>
  <si>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</si>
  <si>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</si>
  <si>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</si>
  <si>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</si>
  <si>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</si>
  <si>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</si>
  <si>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</si>
  <si>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</si>
  <si>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</si>
  <si>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</si>
  <si>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</si>
  <si>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</si>
  <si>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</si>
  <si>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</si>
  <si>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</si>
  <si>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</si>
  <si>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</si>
  <si>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</si>
  <si>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</si>
  <si>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</si>
  <si>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</si>
  <si>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</si>
  <si>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</si>
  <si>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</si>
  <si>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</si>
  <si>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</si>
  <si>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</si>
  <si>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</si>
  <si>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</si>
  <si>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</si>
  <si>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</si>
  <si>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</si>
  <si>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</si>
  <si>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</si>
  <si>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</si>
  <si>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</si>
  <si>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</si>
  <si>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</si>
  <si>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</si>
  <si>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</si>
  <si>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</si>
  <si>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</si>
  <si>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</si>
  <si>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</si>
  <si>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</si>
  <si>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</si>
  <si>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</si>
  <si>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</si>
  <si>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</si>
  <si>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</si>
  <si>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</si>
  <si>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</si>
  <si>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</si>
  <si>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</si>
  <si>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</si>
  <si>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</si>
  <si>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</si>
  <si>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</si>
  <si>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Blue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</si>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</sst>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0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11" fillId="3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/>
    <xf numFmtId="165" fontId="11" fillId="3" borderId="1" xfId="0" applyNumberFormat="1" applyFont="1" applyFill="1" applyBorder="1"/>
    <xf numFmtId="166" fontId="11" fillId="3" borderId="1" xfId="0" applyNumberFormat="1" applyFont="1" applyFill="1" applyBorder="1"/>
    <xf numFmtId="2" fontId="11" fillId="3" borderId="1" xfId="0" applyNumberFormat="1" applyFont="1" applyFill="1" applyBorder="1"/>
    <xf numFmtId="0" fontId="13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4" fillId="0" borderId="1" xfId="0" applyNumberFormat="1" applyFont="1" applyBorder="1"/>
    <xf numFmtId="165" fontId="15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5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2" fillId="4" borderId="1" xfId="0" applyFont="1" applyFill="1" applyBorder="1"/>
    <xf numFmtId="168" fontId="4" fillId="0" borderId="1" xfId="0" applyNumberFormat="1" applyFont="1" applyBorder="1"/>
    <xf numFmtId="0" fontId="12" fillId="4" borderId="1" xfId="0" applyFont="1" applyFill="1" applyBorder="1" applyAlignment="1">
      <alignment horizontal="center"/>
    </xf>
    <xf numFmtId="0" fontId="16" fillId="0" borderId="0" xfId="0" applyFont="1"/>
    <xf numFmtId="0" fontId="9" fillId="2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3" fillId="6" borderId="2" xfId="0" applyNumberFormat="1" applyFont="1" applyFill="1" applyBorder="1" applyAlignment="1">
      <alignment horizontal="right"/>
    </xf>
    <xf numFmtId="165" fontId="3" fillId="5" borderId="2" xfId="0" applyNumberFormat="1" applyFont="1" applyFill="1" applyBorder="1" applyAlignment="1">
      <alignment horizontal="right"/>
    </xf>
    <xf numFmtId="166" fontId="3" fillId="6" borderId="2" xfId="0" applyNumberFormat="1" applyFont="1" applyFill="1" applyBorder="1" applyAlignment="1">
      <alignment horizontal="right"/>
    </xf>
    <xf numFmtId="166" fontId="3" fillId="5" borderId="2" xfId="0" applyNumberFormat="1" applyFont="1" applyFill="1" applyBorder="1" applyAlignment="1">
      <alignment horizontal="right"/>
    </xf>
    <xf numFmtId="168" fontId="3" fillId="6" borderId="2" xfId="0" applyNumberFormat="1" applyFont="1" applyFill="1" applyBorder="1" applyAlignment="1">
      <alignment horizontal="right"/>
    </xf>
    <xf numFmtId="168" fontId="3" fillId="5" borderId="2" xfId="0" applyNumberFormat="1" applyFont="1" applyFill="1" applyBorder="1" applyAlignment="1">
      <alignment horizontal="right"/>
    </xf>
    <xf numFmtId="0" fontId="17" fillId="0" borderId="1" xfId="0" applyFont="1" applyBorder="1"/>
    <xf numFmtId="0" fontId="18" fillId="0" borderId="1" xfId="0" applyFont="1" applyBorder="1"/>
    <xf numFmtId="0" fontId="17" fillId="0" borderId="1" xfId="0" applyFont="1" applyBorder="1" applyAlignment="1">
      <alignment horizontal="center"/>
    </xf>
    <xf numFmtId="0" fontId="4" fillId="0" borderId="1" xfId="0" applyFont="1" applyBorder="1" applyAlignment="1">
      <alignment wrapText="1"/>
    </xf>
    <xf numFmtId="0" fontId="16" fillId="0" borderId="1" xfId="0" applyFont="1" applyBorder="1" applyAlignment="1">
      <alignment wrapText="1"/>
    </xf>
    <xf numFmtId="0" fontId="18" fillId="0" borderId="1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0" spans="2:3" x14ac:dyDescent="0.25">
      <c r="B40" s="6" t="s">
        <v>61</v>
      </c>
      <c r="C40" s="7" t="s">
        <v>62</v>
      </c>
    </row>
    <row r="43" spans="2:3" x14ac:dyDescent="0.25">
      <c r="B43" s="8" t="s">
        <v>63</v>
      </c>
      <c r="C43" s="8"/>
    </row>
  </sheetData>
  <mergeCells count="4">
    <mergeCell ref="B3:C3"/>
    <mergeCell ref="B5:C5"/>
    <mergeCell ref="B18:C18"/>
    <mergeCell ref="B43:C43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64</v>
      </c>
    </row>
    <row r="4" spans="2:2" x14ac:dyDescent="0.25">
      <c r="B4" s="10" t="s">
        <v>65</v>
      </c>
    </row>
    <row r="5" spans="2:2" x14ac:dyDescent="0.25">
      <c r="B5" s="6" t="s">
        <v>66</v>
      </c>
    </row>
    <row r="6" spans="2:2" x14ac:dyDescent="0.25">
      <c r="B6" s="6" t="s">
        <v>67</v>
      </c>
    </row>
    <row r="7" spans="2:2" x14ac:dyDescent="0.25">
      <c r="B7" s="6" t="s">
        <v>68</v>
      </c>
    </row>
    <row r="8" spans="2:2" x14ac:dyDescent="0.25">
      <c r="B8" s="6" t="s">
        <v>69</v>
      </c>
    </row>
    <row r="9" spans="2:2" x14ac:dyDescent="0.25">
      <c r="B9" s="10" t="s">
        <v>70</v>
      </c>
    </row>
    <row r="10" spans="2:2" x14ac:dyDescent="0.25">
      <c r="B10" s="6" t="s">
        <v>71</v>
      </c>
    </row>
    <row r="11" spans="2:2" x14ac:dyDescent="0.25">
      <c r="B11" s="6" t="s">
        <v>69</v>
      </c>
    </row>
    <row r="12" spans="2:2" x14ac:dyDescent="0.25">
      <c r="B12" s="10" t="s">
        <v>72</v>
      </c>
    </row>
    <row r="13" spans="2:2" x14ac:dyDescent="0.25">
      <c r="B13" s="6" t="s">
        <v>73</v>
      </c>
    </row>
    <row r="14" spans="2:2" x14ac:dyDescent="0.25">
      <c r="B14" s="6" t="s">
        <v>74</v>
      </c>
    </row>
    <row r="15" spans="2:2" x14ac:dyDescent="0.25">
      <c r="B15" s="6" t="s">
        <v>75</v>
      </c>
    </row>
    <row r="16" spans="2:2" x14ac:dyDescent="0.25">
      <c r="B16" s="6" t="s">
        <v>76</v>
      </c>
    </row>
    <row r="17" spans="2:2" x14ac:dyDescent="0.25">
      <c r="B17" s="6" t="s">
        <v>69</v>
      </c>
    </row>
    <row r="18" spans="2:2" x14ac:dyDescent="0.25">
      <c r="B18" s="10" t="s">
        <v>77</v>
      </c>
    </row>
    <row r="19" spans="2:2" x14ac:dyDescent="0.25">
      <c r="B19" s="6" t="s">
        <v>78</v>
      </c>
    </row>
    <row r="20" spans="2:2" x14ac:dyDescent="0.25">
      <c r="B20" s="6" t="s">
        <v>79</v>
      </c>
    </row>
    <row r="21" spans="2:2" x14ac:dyDescent="0.25">
      <c r="B21" s="6" t="s">
        <v>80</v>
      </c>
    </row>
    <row r="22" spans="2:2" x14ac:dyDescent="0.25">
      <c r="B22" s="6" t="s">
        <v>69</v>
      </c>
    </row>
    <row r="23" spans="2:2" x14ac:dyDescent="0.25">
      <c r="B23" s="10" t="s">
        <v>81</v>
      </c>
    </row>
    <row r="24" spans="2:2" x14ac:dyDescent="0.25">
      <c r="B24" s="6" t="s">
        <v>82</v>
      </c>
    </row>
    <row r="25" spans="2:2" x14ac:dyDescent="0.25">
      <c r="B25" s="6" t="s">
        <v>83</v>
      </c>
    </row>
    <row r="26" spans="2:2" x14ac:dyDescent="0.25">
      <c r="B26" s="6" t="s">
        <v>69</v>
      </c>
    </row>
    <row r="27" spans="2:2" x14ac:dyDescent="0.25">
      <c r="B27" s="10" t="s">
        <v>84</v>
      </c>
    </row>
    <row r="28" spans="2:2" x14ac:dyDescent="0.25">
      <c r="B28" s="6" t="s">
        <v>85</v>
      </c>
    </row>
    <row r="29" spans="2:2" x14ac:dyDescent="0.25">
      <c r="B29" s="6" t="s">
        <v>86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87</v>
      </c>
      <c r="B1" s="11"/>
      <c r="C1" s="11"/>
      <c r="D1" s="11"/>
      <c r="E1" s="11"/>
      <c r="F1" s="11"/>
      <c r="G1" s="11"/>
    </row>
    <row r="2" spans="1:1" x14ac:dyDescent="0.25">
      <c r="A2" s="12" t="s">
        <v>88</v>
      </c>
    </row>
    <row r="4" ht="24" customHeight="1" spans="1:7" x14ac:dyDescent="0.25">
      <c r="A4" s="13" t="s">
        <v>89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90</v>
      </c>
      <c r="B9" s="14" t="s">
        <v>91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92</v>
      </c>
      <c r="B12" s="14">
        <v>7</v>
      </c>
    </row>
    <row r="13" spans="1:2" x14ac:dyDescent="0.25">
      <c r="A13" s="4" t="s">
        <v>93</v>
      </c>
      <c r="B13" s="14">
        <v>400</v>
      </c>
    </row>
    <row r="15" ht="24" customHeight="1" spans="1:7" x14ac:dyDescent="0.25">
      <c r="A15" s="13" t="s">
        <v>94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69</v>
      </c>
      <c r="B16" s="15" t="s">
        <v>95</v>
      </c>
      <c r="C16" s="15" t="s">
        <v>96</v>
      </c>
      <c r="D16" s="15" t="s">
        <v>97</v>
      </c>
      <c r="E16" s="15" t="s">
        <v>98</v>
      </c>
      <c r="F16" s="15" t="s">
        <v>99</v>
      </c>
    </row>
    <row r="17" spans="1:6" x14ac:dyDescent="0.25">
      <c r="A17" s="4" t="s">
        <v>100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101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102</v>
      </c>
      <c r="B20" s="15" t="s">
        <v>103</v>
      </c>
      <c r="C20" s="15" t="s">
        <v>104</v>
      </c>
      <c r="D20" s="15" t="s">
        <v>105</v>
      </c>
      <c r="E20" s="15" t="s">
        <v>106</v>
      </c>
    </row>
    <row r="21" spans="1:5" x14ac:dyDescent="0.25">
      <c r="A21" s="4" t="s">
        <v>107</v>
      </c>
      <c r="B21" s="4" t="s">
        <v>108</v>
      </c>
      <c r="C21" s="4" t="s">
        <v>109</v>
      </c>
      <c r="D21" s="17">
        <v>9500</v>
      </c>
      <c r="E21" s="18">
        <v>0</v>
      </c>
    </row>
    <row r="22" spans="1:5" x14ac:dyDescent="0.25">
      <c r="A22" s="4" t="s">
        <v>110</v>
      </c>
      <c r="B22" s="4" t="s">
        <v>108</v>
      </c>
      <c r="C22" s="4" t="s">
        <v>109</v>
      </c>
      <c r="D22" s="17">
        <v>800</v>
      </c>
      <c r="E22" s="18">
        <v>0</v>
      </c>
    </row>
    <row r="23" spans="1:5" x14ac:dyDescent="0.25">
      <c r="A23" s="4" t="s">
        <v>111</v>
      </c>
      <c r="B23" s="4" t="s">
        <v>108</v>
      </c>
      <c r="C23" s="4" t="s">
        <v>109</v>
      </c>
      <c r="D23" s="17">
        <v>1200</v>
      </c>
      <c r="E23" s="18">
        <v>0</v>
      </c>
    </row>
    <row r="24" spans="1:5" x14ac:dyDescent="0.25">
      <c r="A24" s="4" t="s">
        <v>112</v>
      </c>
      <c r="B24" s="4" t="s">
        <v>113</v>
      </c>
      <c r="C24" s="4" t="s">
        <v>114</v>
      </c>
      <c r="D24" s="17">
        <v>100000</v>
      </c>
      <c r="E24" s="18">
        <v>0</v>
      </c>
    </row>
    <row r="25" spans="1:5" x14ac:dyDescent="0.25">
      <c r="A25" s="4" t="s">
        <v>115</v>
      </c>
      <c r="B25" s="4" t="s">
        <v>113</v>
      </c>
      <c r="C25" s="4" t="s">
        <v>114</v>
      </c>
      <c r="D25" s="17">
        <v>30000</v>
      </c>
      <c r="E25" s="18">
        <v>0</v>
      </c>
    </row>
    <row r="26" spans="1:5" x14ac:dyDescent="0.25">
      <c r="A26" s="4" t="s">
        <v>116</v>
      </c>
      <c r="B26" s="4" t="s">
        <v>117</v>
      </c>
      <c r="C26" s="4" t="s">
        <v>109</v>
      </c>
      <c r="D26" s="17">
        <v>300</v>
      </c>
      <c r="E26" s="18">
        <v>0</v>
      </c>
    </row>
    <row r="28" ht="24" customHeight="1" spans="1:7" x14ac:dyDescent="0.25">
      <c r="A28" s="13" t="s">
        <v>118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119</v>
      </c>
      <c r="B29" s="15" t="s">
        <v>103</v>
      </c>
      <c r="C29" s="15" t="s">
        <v>120</v>
      </c>
      <c r="D29" s="15" t="s">
        <v>121</v>
      </c>
      <c r="E29" s="15" t="s">
        <v>122</v>
      </c>
      <c r="F29" s="15" t="s">
        <v>123</v>
      </c>
      <c r="G29" s="15" t="s">
        <v>124</v>
      </c>
    </row>
    <row r="30" spans="1:7" x14ac:dyDescent="0.25">
      <c r="A30" s="4" t="s">
        <v>125</v>
      </c>
      <c r="B30" s="4" t="s">
        <v>126</v>
      </c>
      <c r="C30" s="4" t="s">
        <v>127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128</v>
      </c>
      <c r="B31" s="4" t="s">
        <v>126</v>
      </c>
      <c r="C31" s="4" t="s">
        <v>127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129</v>
      </c>
      <c r="B32" s="4" t="s">
        <v>126</v>
      </c>
      <c r="C32" s="4" t="s">
        <v>127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130</v>
      </c>
      <c r="B33" s="4" t="s">
        <v>131</v>
      </c>
      <c r="C33" s="4" t="s">
        <v>127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132</v>
      </c>
      <c r="B34" s="4" t="s">
        <v>131</v>
      </c>
      <c r="C34" s="4" t="s">
        <v>127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133</v>
      </c>
      <c r="B35" s="4" t="s">
        <v>131</v>
      </c>
      <c r="C35" s="4" t="s">
        <v>127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134</v>
      </c>
      <c r="B36" s="4" t="s">
        <v>135</v>
      </c>
      <c r="C36" s="4" t="s">
        <v>127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136</v>
      </c>
      <c r="B37" s="4" t="s">
        <v>137</v>
      </c>
      <c r="C37" s="4" t="s">
        <v>127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138</v>
      </c>
      <c r="B38" s="4" t="s">
        <v>139</v>
      </c>
      <c r="C38" s="4" t="s">
        <v>127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140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102</v>
      </c>
      <c r="B41" s="15" t="s">
        <v>103</v>
      </c>
      <c r="C41" s="15" t="s">
        <v>104</v>
      </c>
      <c r="D41" s="15" t="s">
        <v>105</v>
      </c>
      <c r="E41" s="15" t="s">
        <v>106</v>
      </c>
    </row>
    <row r="42" spans="1:5" x14ac:dyDescent="0.25">
      <c r="A42" s="4" t="s">
        <v>141</v>
      </c>
      <c r="B42" s="4" t="s">
        <v>142</v>
      </c>
      <c r="C42" s="4" t="s">
        <v>143</v>
      </c>
      <c r="D42" s="17">
        <v>18000</v>
      </c>
      <c r="E42" s="18">
        <v>0.03</v>
      </c>
    </row>
    <row r="43" spans="1:5" x14ac:dyDescent="0.25">
      <c r="A43" s="4" t="s">
        <v>144</v>
      </c>
      <c r="B43" s="4" t="s">
        <v>142</v>
      </c>
      <c r="C43" s="4" t="s">
        <v>143</v>
      </c>
      <c r="D43" s="17">
        <v>2500</v>
      </c>
      <c r="E43" s="18">
        <v>0</v>
      </c>
    </row>
    <row r="44" spans="1:5" x14ac:dyDescent="0.25">
      <c r="A44" s="4" t="s">
        <v>145</v>
      </c>
      <c r="B44" s="4" t="s">
        <v>142</v>
      </c>
      <c r="C44" s="4" t="s">
        <v>114</v>
      </c>
      <c r="D44" s="17">
        <v>18000</v>
      </c>
      <c r="E44" s="18">
        <v>0</v>
      </c>
    </row>
    <row r="45" spans="1:5" x14ac:dyDescent="0.25">
      <c r="A45" s="4" t="s">
        <v>146</v>
      </c>
      <c r="B45" s="4" t="s">
        <v>142</v>
      </c>
      <c r="C45" s="4" t="s">
        <v>143</v>
      </c>
      <c r="D45" s="17">
        <v>1500</v>
      </c>
      <c r="E45" s="18">
        <v>0</v>
      </c>
    </row>
    <row r="46" spans="1:5" x14ac:dyDescent="0.25">
      <c r="A46" s="4" t="s">
        <v>147</v>
      </c>
      <c r="B46" s="4" t="s">
        <v>148</v>
      </c>
      <c r="C46" s="4" t="s">
        <v>109</v>
      </c>
      <c r="D46" s="17">
        <v>700</v>
      </c>
      <c r="E46" s="18">
        <v>0</v>
      </c>
    </row>
    <row r="47" spans="1:5" x14ac:dyDescent="0.25">
      <c r="A47" s="4" t="s">
        <v>149</v>
      </c>
      <c r="B47" s="4" t="s">
        <v>150</v>
      </c>
      <c r="C47" s="4" t="s">
        <v>109</v>
      </c>
      <c r="D47" s="17">
        <v>500</v>
      </c>
      <c r="E47" s="18">
        <v>0</v>
      </c>
    </row>
    <row r="48" spans="1:5" x14ac:dyDescent="0.25">
      <c r="A48" s="4" t="s">
        <v>151</v>
      </c>
      <c r="B48" s="4" t="s">
        <v>152</v>
      </c>
      <c r="C48" s="4" t="s">
        <v>114</v>
      </c>
      <c r="D48" s="17">
        <v>25000</v>
      </c>
      <c r="E48" s="18">
        <v>0</v>
      </c>
    </row>
    <row r="49" spans="1:5" x14ac:dyDescent="0.25">
      <c r="A49" s="4" t="s">
        <v>153</v>
      </c>
      <c r="B49" s="4" t="s">
        <v>152</v>
      </c>
      <c r="C49" s="4" t="s">
        <v>114</v>
      </c>
      <c r="D49" s="17">
        <v>15000</v>
      </c>
      <c r="E49" s="18">
        <v>0</v>
      </c>
    </row>
    <row r="50" spans="1:5" x14ac:dyDescent="0.25">
      <c r="A50" s="4" t="s">
        <v>154</v>
      </c>
      <c r="B50" s="4" t="s">
        <v>152</v>
      </c>
      <c r="C50" s="4" t="s">
        <v>114</v>
      </c>
      <c r="D50" s="17">
        <v>20000</v>
      </c>
      <c r="E50" s="18">
        <v>0</v>
      </c>
    </row>
    <row r="51" spans="1:5" x14ac:dyDescent="0.25">
      <c r="A51" s="4" t="s">
        <v>155</v>
      </c>
      <c r="B51" s="4" t="s">
        <v>152</v>
      </c>
      <c r="C51" s="4" t="s">
        <v>109</v>
      </c>
      <c r="D51" s="17">
        <v>800</v>
      </c>
      <c r="E51" s="18">
        <v>0</v>
      </c>
    </row>
    <row r="52" spans="1:5" x14ac:dyDescent="0.25">
      <c r="A52" s="4" t="s">
        <v>156</v>
      </c>
      <c r="B52" s="4" t="s">
        <v>152</v>
      </c>
      <c r="C52" s="4" t="s">
        <v>109</v>
      </c>
      <c r="D52" s="17">
        <v>600</v>
      </c>
      <c r="E52" s="18">
        <v>0</v>
      </c>
    </row>
    <row r="54" ht="24" customHeight="1" spans="1:7" x14ac:dyDescent="0.25">
      <c r="A54" s="13" t="s">
        <v>157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158</v>
      </c>
      <c r="B55" s="15" t="s">
        <v>120</v>
      </c>
      <c r="C55" s="15" t="s">
        <v>128</v>
      </c>
      <c r="D55" s="15" t="s">
        <v>122</v>
      </c>
      <c r="E55" s="15" t="s">
        <v>159</v>
      </c>
    </row>
    <row r="56" spans="1:5" x14ac:dyDescent="0.25">
      <c r="A56" s="4" t="s">
        <v>160</v>
      </c>
      <c r="B56" s="4" t="s">
        <v>161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162</v>
      </c>
      <c r="B57" s="4" t="s">
        <v>163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164</v>
      </c>
      <c r="B58" s="4" t="s">
        <v>163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165</v>
      </c>
      <c r="B60" s="13"/>
      <c r="C60" s="13"/>
      <c r="D60" s="13"/>
      <c r="E60" s="13"/>
      <c r="F60" s="13"/>
      <c r="G60" s="13"/>
    </row>
    <row r="61" spans="1:3" x14ac:dyDescent="0.25">
      <c r="A61" s="4" t="s">
        <v>166</v>
      </c>
      <c r="B61" s="18">
        <v>0.03</v>
      </c>
      <c r="C61" s="20" t="s">
        <v>167</v>
      </c>
    </row>
    <row r="62" spans="1:3" x14ac:dyDescent="0.25">
      <c r="A62" s="4" t="s">
        <v>168</v>
      </c>
      <c r="B62" s="18">
        <v>0.03</v>
      </c>
      <c r="C62" s="20" t="s">
        <v>169</v>
      </c>
    </row>
    <row r="63" spans="1:2" x14ac:dyDescent="0.25">
      <c r="A63" s="4" t="s">
        <v>170</v>
      </c>
      <c r="B63" s="19">
        <v>0.8333333333333334</v>
      </c>
    </row>
    <row r="64" spans="1:2" x14ac:dyDescent="0.25">
      <c r="A64" s="4" t="s">
        <v>171</v>
      </c>
      <c r="B64" s="17">
        <v>0</v>
      </c>
    </row>
    <row r="65" spans="1:2" x14ac:dyDescent="0.25">
      <c r="A65" s="4" t="s">
        <v>172</v>
      </c>
      <c r="B65" s="14" t="s">
        <v>173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174</v>
      </c>
      <c r="B3" s="4" t="s">
        <v>175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176</v>
      </c>
      <c r="B6" s="4" t="s">
        <v>177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178</v>
      </c>
      <c r="B8" s="4" t="s">
        <v>17</v>
      </c>
    </row>
    <row r="9" spans="1:2" x14ac:dyDescent="0.25">
      <c r="A9" s="3" t="s">
        <v>92</v>
      </c>
      <c r="B9" s="4" t="s">
        <v>179</v>
      </c>
    </row>
    <row r="10" spans="1:2" x14ac:dyDescent="0.25">
      <c r="A10" s="3" t="s">
        <v>180</v>
      </c>
      <c r="B10" s="4" t="s">
        <v>181</v>
      </c>
    </row>
    <row r="11" spans="1:2" x14ac:dyDescent="0.25">
      <c r="A11" s="3" t="s">
        <v>182</v>
      </c>
      <c r="B11" s="4" t="s">
        <v>183</v>
      </c>
    </row>
    <row r="12" spans="1:2" x14ac:dyDescent="0.25">
      <c r="A12" s="3" t="s">
        <v>172</v>
      </c>
      <c r="B12" s="4" t="s">
        <v>173</v>
      </c>
    </row>
    <row r="13" spans="1:2" x14ac:dyDescent="0.25">
      <c r="A13" s="3" t="s">
        <v>93</v>
      </c>
      <c r="B13" s="4" t="s">
        <v>184</v>
      </c>
    </row>
    <row r="14" spans="1:2" x14ac:dyDescent="0.25">
      <c r="A14" s="3" t="s">
        <v>185</v>
      </c>
      <c r="B14" s="4" t="s">
        <v>186</v>
      </c>
    </row>
    <row r="15" spans="1:2" x14ac:dyDescent="0.25">
      <c r="A15" s="3" t="s">
        <v>187</v>
      </c>
      <c r="B15" s="4" t="s">
        <v>188</v>
      </c>
    </row>
    <row r="16" spans="1:2" x14ac:dyDescent="0.25">
      <c r="A16" s="3" t="s">
        <v>189</v>
      </c>
      <c r="B16" s="4" t="s">
        <v>190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5" ht="24" customHeight="1" spans="1:6" x14ac:dyDescent="0.25">
      <c r="A5" s="13" t="s">
        <v>191</v>
      </c>
      <c r="B5" s="13"/>
      <c r="C5" s="13"/>
      <c r="D5" s="13"/>
      <c r="E5" s="13"/>
      <c r="F5" s="13"/>
    </row>
    <row r="6" spans="1:6" x14ac:dyDescent="0.25">
      <c r="A6" s="3" t="s">
        <v>100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93</v>
      </c>
      <c r="B7" s="22">
        <v>400</v>
      </c>
    </row>
    <row r="8" spans="1:6" x14ac:dyDescent="0.25">
      <c r="A8" s="4" t="s">
        <v>192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193</v>
      </c>
      <c r="B10" s="4" t="s">
        <v>194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195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196</v>
      </c>
      <c r="B4" s="13"/>
      <c r="C4" s="13"/>
      <c r="D4" s="13"/>
      <c r="E4" s="13"/>
      <c r="F4" s="13"/>
    </row>
    <row r="5" spans="1:6" x14ac:dyDescent="0.25">
      <c r="A5" s="4" t="s">
        <v>197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198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199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200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201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202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203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119</v>
      </c>
      <c r="B3" s="15" t="s">
        <v>103</v>
      </c>
      <c r="C3" s="15" t="s">
        <v>121</v>
      </c>
      <c r="D3" s="15" t="s">
        <v>204</v>
      </c>
      <c r="E3" s="15" t="s">
        <v>123</v>
      </c>
      <c r="F3" s="15" t="s">
        <v>124</v>
      </c>
      <c r="G3" s="15" t="s">
        <v>205</v>
      </c>
    </row>
    <row r="4" spans="1:7" x14ac:dyDescent="0.25">
      <c r="A4" s="4" t="s">
        <v>125</v>
      </c>
      <c r="B4" s="4" t="s">
        <v>126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128</v>
      </c>
      <c r="B5" s="4" t="s">
        <v>126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129</v>
      </c>
      <c r="B6" s="4" t="s">
        <v>126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130</v>
      </c>
      <c r="B7" s="4" t="s">
        <v>131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132</v>
      </c>
      <c r="B8" s="4" t="s">
        <v>131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133</v>
      </c>
      <c r="B9" s="4" t="s">
        <v>131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134</v>
      </c>
      <c r="B10" s="4" t="s">
        <v>135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136</v>
      </c>
      <c r="B11" s="4" t="s">
        <v>137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138</v>
      </c>
      <c r="B12" s="4" t="s">
        <v>139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206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3" t="s">
        <v>207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208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209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148</v>
      </c>
      <c r="B4" s="13"/>
      <c r="C4" s="13"/>
      <c r="D4" s="13"/>
      <c r="E4" s="13"/>
      <c r="F4" s="13"/>
    </row>
    <row r="5" spans="1:6" x14ac:dyDescent="0.25">
      <c r="A5" s="4" t="s">
        <v>211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212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150</v>
      </c>
      <c r="B7" s="13"/>
      <c r="C7" s="13"/>
      <c r="D7" s="13"/>
      <c r="E7" s="13"/>
      <c r="F7" s="13"/>
    </row>
    <row r="8" spans="1:6" x14ac:dyDescent="0.25">
      <c r="A8" s="4" t="s">
        <v>213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214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142</v>
      </c>
      <c r="B10" s="13"/>
      <c r="C10" s="13"/>
      <c r="D10" s="13"/>
      <c r="E10" s="13"/>
      <c r="F10" s="13"/>
    </row>
    <row r="11" spans="1:6" x14ac:dyDescent="0.25">
      <c r="A11" s="4" t="s">
        <v>215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216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217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218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219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152</v>
      </c>
      <c r="B16" s="13"/>
      <c r="C16" s="13"/>
      <c r="D16" s="13"/>
      <c r="E16" s="13"/>
      <c r="F16" s="13"/>
    </row>
    <row r="17" spans="1:6" x14ac:dyDescent="0.25">
      <c r="A17" s="4" t="s">
        <v>220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221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222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223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224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225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226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227</v>
      </c>
      <c r="B1" s="11"/>
      <c r="C1" s="11"/>
      <c r="D1" s="11"/>
      <c r="E1" s="11"/>
      <c r="F1" s="11"/>
    </row>
    <row r="3" ht="28" customHeight="1" spans="1:6" x14ac:dyDescent="0.25">
      <c r="A3" s="15" t="s">
        <v>158</v>
      </c>
      <c r="B3" s="15" t="s">
        <v>120</v>
      </c>
      <c r="C3" s="15" t="s">
        <v>128</v>
      </c>
      <c r="D3" s="15" t="s">
        <v>122</v>
      </c>
      <c r="E3" s="15" t="s">
        <v>159</v>
      </c>
      <c r="F3" s="15" t="s">
        <v>228</v>
      </c>
    </row>
    <row r="4" spans="1:6" x14ac:dyDescent="0.25">
      <c r="A4" s="4" t="s">
        <v>160</v>
      </c>
      <c r="B4" s="4" t="s">
        <v>161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162</v>
      </c>
      <c r="B5" s="4" t="s">
        <v>229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164</v>
      </c>
      <c r="B6" s="4" t="s">
        <v>229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230</v>
      </c>
      <c r="F8" s="26">
        <v>49825</v>
      </c>
    </row>
    <row r="9" spans="1:6" x14ac:dyDescent="0.25">
      <c r="A9" s="3" t="s">
        <v>231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100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233</v>
      </c>
      <c r="B6" s="13"/>
      <c r="C6" s="13"/>
      <c r="D6" s="13"/>
      <c r="E6" s="13"/>
      <c r="F6" s="13"/>
    </row>
    <row r="7" spans="1:6" x14ac:dyDescent="0.25">
      <c r="A7" s="4" t="s">
        <v>107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110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111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112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115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116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203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234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235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236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237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238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239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126</v>
      </c>
      <c r="B9" s="13"/>
      <c r="C9" s="13"/>
      <c r="D9" s="13"/>
      <c r="E9" s="13"/>
      <c r="F9" s="13"/>
    </row>
    <row r="10" spans="1:6" x14ac:dyDescent="0.25">
      <c r="A10" s="4" t="s">
        <v>240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241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242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243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139</v>
      </c>
      <c r="B14" s="13"/>
      <c r="C14" s="13"/>
      <c r="D14" s="13"/>
      <c r="E14" s="13"/>
      <c r="F14" s="13"/>
    </row>
    <row r="15" spans="1:6" x14ac:dyDescent="0.25">
      <c r="A15" s="4" t="s">
        <v>244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245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135</v>
      </c>
      <c r="B17" s="13"/>
      <c r="C17" s="13"/>
      <c r="D17" s="13"/>
      <c r="E17" s="13"/>
      <c r="F17" s="13"/>
    </row>
    <row r="18" spans="1:6" x14ac:dyDescent="0.25">
      <c r="A18" s="4" t="s">
        <v>246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247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137</v>
      </c>
      <c r="B20" s="13"/>
      <c r="C20" s="13"/>
      <c r="D20" s="13"/>
      <c r="E20" s="13"/>
      <c r="F20" s="13"/>
    </row>
    <row r="21" spans="1:6" x14ac:dyDescent="0.25">
      <c r="A21" s="4" t="s">
        <v>248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249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250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251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4" t="s">
        <v>253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254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255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256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257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258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259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4" t="s">
        <v>240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241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242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236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237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238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246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248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244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207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140</v>
      </c>
      <c r="B25" s="13"/>
      <c r="C25" s="13"/>
      <c r="D25" s="13"/>
      <c r="E25" s="13"/>
      <c r="F25" s="13"/>
    </row>
    <row r="26" spans="1:1" x14ac:dyDescent="0.25">
      <c r="A26" s="32" t="s">
        <v>148</v>
      </c>
    </row>
    <row r="27" spans="1:6" x14ac:dyDescent="0.25">
      <c r="A27" s="4" t="s">
        <v>261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150</v>
      </c>
    </row>
    <row r="29" spans="1:6" x14ac:dyDescent="0.25">
      <c r="A29" s="4" t="s">
        <v>262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142</v>
      </c>
    </row>
    <row r="31" spans="1:6" x14ac:dyDescent="0.25">
      <c r="A31" s="4" t="s">
        <v>263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264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265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266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267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152</v>
      </c>
    </row>
    <row r="37" spans="1:6" x14ac:dyDescent="0.25">
      <c r="A37" s="4" t="s">
        <v>268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269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270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271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272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273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274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275</v>
      </c>
      <c r="B45" s="13"/>
      <c r="C45" s="13"/>
      <c r="D45" s="13"/>
      <c r="E45" s="13"/>
      <c r="F45" s="13"/>
    </row>
    <row r="46" spans="1:6" x14ac:dyDescent="0.25">
      <c r="A46" s="4" t="s">
        <v>276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277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278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279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spans="1:6" x14ac:dyDescent="0.25">
      <c r="A4" s="3" t="s">
        <v>259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207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274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281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282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283</v>
      </c>
      <c r="B10" s="13"/>
      <c r="C10" s="13"/>
      <c r="D10" s="13"/>
      <c r="E10" s="13"/>
      <c r="F10" s="13"/>
    </row>
    <row r="11" spans="1:6" x14ac:dyDescent="0.25">
      <c r="A11" s="3" t="s">
        <v>284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285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286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234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287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69</v>
      </c>
      <c r="B2" s="15" t="s">
        <v>289</v>
      </c>
      <c r="C2" s="15" t="s">
        <v>290</v>
      </c>
      <c r="D2" s="15" t="s">
        <v>291</v>
      </c>
      <c r="E2" s="15" t="s">
        <v>292</v>
      </c>
      <c r="F2" s="15" t="s">
        <v>293</v>
      </c>
      <c r="G2" s="15" t="s">
        <v>294</v>
      </c>
      <c r="H2" s="15" t="s">
        <v>295</v>
      </c>
      <c r="I2" s="15" t="s">
        <v>296</v>
      </c>
      <c r="J2" s="15" t="s">
        <v>297</v>
      </c>
      <c r="K2" s="15" t="s">
        <v>298</v>
      </c>
      <c r="L2" s="15" t="s">
        <v>299</v>
      </c>
      <c r="M2" s="15" t="s">
        <v>300</v>
      </c>
      <c r="N2" s="15" t="s">
        <v>301</v>
      </c>
    </row>
    <row r="3" ht="24" customHeight="1" spans="1:14" x14ac:dyDescent="0.25">
      <c r="A3" s="13" t="s">
        <v>252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259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f>SUM(B4:M4)</f>
        <v>1546000</v>
      </c>
    </row>
    <row r="6" ht="24" customHeight="1" spans="1:14" x14ac:dyDescent="0.25">
      <c r="A6" s="13" t="s">
        <v>302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303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f>SUM(B7:M7)</f>
        <v>1026431</v>
      </c>
    </row>
    <row r="8" spans="1:14" x14ac:dyDescent="0.25">
      <c r="A8" s="4" t="s">
        <v>304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f>SUM(B8:M8)</f>
        <v>545000</v>
      </c>
    </row>
    <row r="9" spans="1:14" x14ac:dyDescent="0.25">
      <c r="A9" s="4" t="s">
        <v>305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f>SUM(B9:M9)</f>
        <v>164825</v>
      </c>
    </row>
    <row r="11" ht="24" customHeight="1" spans="1:14" x14ac:dyDescent="0.25">
      <c r="A11" s="13" t="s">
        <v>306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282</v>
      </c>
      <c r="B12" s="28">
        <f>B7+B8+B9</f>
        <v>170878</v>
      </c>
      <c r="C12" s="28">
        <f>C7+C8+C9</f>
        <v>170878</v>
      </c>
      <c r="D12" s="28">
        <f>D7+D8+D9</f>
        <v>170878</v>
      </c>
      <c r="E12" s="28">
        <f>E7+E8+E9</f>
        <v>170878</v>
      </c>
      <c r="F12" s="28">
        <f>F7+F8+F9</f>
        <v>170878</v>
      </c>
      <c r="G12" s="28">
        <f>G7+G8+G9</f>
        <v>170878</v>
      </c>
      <c r="H12" s="28">
        <f>H7+H8+H9</f>
        <v>170878</v>
      </c>
      <c r="I12" s="28">
        <f>I7+I8+I9</f>
        <v>170878</v>
      </c>
      <c r="J12" s="28">
        <f>J7+J8+J9</f>
        <v>170878</v>
      </c>
      <c r="K12" s="28">
        <f>K7+K8+K9</f>
        <v>170878</v>
      </c>
      <c r="L12" s="28">
        <f>L7+L8+L9</f>
        <v>13735</v>
      </c>
      <c r="M12" s="28">
        <f>M7+M8+M9</f>
        <v>13735</v>
      </c>
      <c r="N12" s="28">
        <f>SUM(B12:M12)</f>
        <v>1736250</v>
      </c>
    </row>
    <row r="13" spans="1:14" x14ac:dyDescent="0.25">
      <c r="A13" s="3" t="s">
        <v>307</v>
      </c>
      <c r="B13" s="28">
        <f>B4-B12</f>
        <v>-16278</v>
      </c>
      <c r="C13" s="28">
        <f>C4-C12</f>
        <v>-16278</v>
      </c>
      <c r="D13" s="28">
        <f>D4-D12</f>
        <v>-16278</v>
      </c>
      <c r="E13" s="28">
        <f>E4-E12</f>
        <v>-16278</v>
      </c>
      <c r="F13" s="28">
        <f>F4-F12</f>
        <v>-16278</v>
      </c>
      <c r="G13" s="28">
        <f>G4-G12</f>
        <v>-16278</v>
      </c>
      <c r="H13" s="28">
        <f>H4-H12</f>
        <v>-16278</v>
      </c>
      <c r="I13" s="28">
        <f>I4-I12</f>
        <v>-16278</v>
      </c>
      <c r="J13" s="28">
        <f>J4-J12</f>
        <v>-16278</v>
      </c>
      <c r="K13" s="28">
        <f>K4-K12</f>
        <v>-16278</v>
      </c>
      <c r="L13" s="28">
        <f>L4-L12</f>
        <v>-13735</v>
      </c>
      <c r="M13" s="28">
        <f>M4-M12</f>
        <v>-13735</v>
      </c>
      <c r="N13" s="28">
        <f>SUM(B13:M13)</f>
        <v>-190250</v>
      </c>
    </row>
    <row r="14" spans="1:14" x14ac:dyDescent="0.25">
      <c r="A14" s="3" t="s">
        <v>308</v>
      </c>
      <c r="B14" s="33">
        <f>B17+B13</f>
        <v>-16278</v>
      </c>
      <c r="C14" s="33">
        <f>B14+C13</f>
        <v>-32556</v>
      </c>
      <c r="D14" s="33">
        <f>C14+D13</f>
        <v>-48834</v>
      </c>
      <c r="E14" s="33">
        <f>D14+E13</f>
        <v>-65112</v>
      </c>
      <c r="F14" s="33">
        <f>E14+F13</f>
        <v>-81390</v>
      </c>
      <c r="G14" s="33">
        <f>F14+G13</f>
        <v>-97668</v>
      </c>
      <c r="H14" s="33">
        <f>G14+H13</f>
        <v>-113946</v>
      </c>
      <c r="I14" s="33">
        <f>H14+I13</f>
        <v>-130224</v>
      </c>
      <c r="J14" s="33">
        <f>I14+J13</f>
        <v>-146502</v>
      </c>
      <c r="K14" s="33">
        <f>J14+K13</f>
        <v>-162780</v>
      </c>
      <c r="L14" s="33">
        <f>K14+L13</f>
        <v>-176515</v>
      </c>
      <c r="M14" s="33">
        <f>L14+M13</f>
        <v>-190250</v>
      </c>
      <c r="N14" s="26">
        <f>M14</f>
        <v>-190250</v>
      </c>
    </row>
    <row r="16" ht="24" customHeight="1" spans="1:3" x14ac:dyDescent="0.25">
      <c r="A16" s="13" t="s">
        <v>309</v>
      </c>
      <c r="B16" s="13"/>
      <c r="C16" s="13"/>
    </row>
    <row r="17" spans="1:2" x14ac:dyDescent="0.25">
      <c r="A17" s="4" t="s">
        <v>171</v>
      </c>
      <c r="B17" s="17">
        <v>0</v>
      </c>
    </row>
    <row r="18" spans="1:2" x14ac:dyDescent="0.25">
      <c r="A18" s="4" t="s">
        <v>310</v>
      </c>
      <c r="B18" s="33">
        <f>M14</f>
        <v>-190250</v>
      </c>
    </row>
    <row r="19" spans="1:2" x14ac:dyDescent="0.25">
      <c r="A19" s="4" t="s">
        <v>311</v>
      </c>
      <c r="B19" s="25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312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34" t="s">
        <v>259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302</v>
      </c>
      <c r="B7" s="13"/>
      <c r="C7" s="13"/>
      <c r="D7" s="13"/>
      <c r="E7" s="13"/>
      <c r="F7" s="13"/>
    </row>
    <row r="8" spans="1:6" x14ac:dyDescent="0.25">
      <c r="A8" s="3" t="s">
        <v>303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304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313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282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314</v>
      </c>
      <c r="B13" s="13"/>
      <c r="C13" s="13"/>
      <c r="D13" s="13"/>
      <c r="E13" s="13"/>
      <c r="F13" s="13"/>
    </row>
    <row r="14" spans="1:6" x14ac:dyDescent="0.25">
      <c r="A14" s="34" t="s">
        <v>284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285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315</v>
      </c>
      <c r="B4" s="13"/>
      <c r="C4" s="13"/>
      <c r="D4" s="13"/>
      <c r="E4" s="13"/>
      <c r="F4" s="13"/>
    </row>
    <row r="5" spans="1:5" x14ac:dyDescent="0.25">
      <c r="A5" s="35" t="s">
        <v>316</v>
      </c>
      <c r="B5" s="36" t="s">
        <v>128</v>
      </c>
      <c r="C5" s="37" t="s">
        <v>317</v>
      </c>
      <c r="D5" s="35" t="s">
        <v>318</v>
      </c>
      <c r="E5" s="36" t="s">
        <v>228</v>
      </c>
    </row>
    <row r="6" spans="1:5" x14ac:dyDescent="0.25">
      <c r="A6" s="14" t="s">
        <v>160</v>
      </c>
      <c r="B6" s="17">
        <v>500000</v>
      </c>
      <c r="C6" s="18">
        <v>0.0575</v>
      </c>
      <c r="D6" s="14">
        <v>15</v>
      </c>
      <c r="E6" s="25">
        <f>IF(OR(B6=0,D6=0),0,IF(C6=0,B6/D6,-PMT(C6/12,D6*12,B6)*12))</f>
        <v>49825</v>
      </c>
    </row>
    <row r="8" ht="24" customHeight="1" spans="1:6" x14ac:dyDescent="0.25">
      <c r="A8" s="13" t="s">
        <v>319</v>
      </c>
      <c r="B8" s="13"/>
      <c r="C8" s="13"/>
      <c r="D8" s="13"/>
      <c r="E8" s="13"/>
      <c r="F8" s="13"/>
    </row>
    <row r="9" spans="1:6" x14ac:dyDescent="0.25">
      <c r="A9" s="4" t="s">
        <v>320</v>
      </c>
      <c r="B9" s="25">
        <f>B6</f>
        <v>500000</v>
      </c>
      <c r="C9" s="25">
        <f>B13</f>
        <v>478361</v>
      </c>
      <c r="D9" s="25">
        <f>C13</f>
        <v>455444</v>
      </c>
      <c r="E9" s="25">
        <f>D13</f>
        <v>431175</v>
      </c>
      <c r="F9" s="25">
        <f>E13</f>
        <v>405473</v>
      </c>
    </row>
    <row r="10" spans="1:6" x14ac:dyDescent="0.25">
      <c r="A10" s="4" t="s">
        <v>321</v>
      </c>
      <c r="B10" s="25">
        <f>IF(OR(D6=0,1&gt;D6*12),0,IF(C6=0,0,-CUMIPMT(C6/12,D6*12,B6,1,12,0)))</f>
        <v>28186</v>
      </c>
      <c r="C10" s="25">
        <f>IF(OR(D6=0,13&gt;D6*12),0,IF(C6=0,0,-CUMIPMT(C6/12,D6*12,B6,13,24,0)))</f>
        <v>26908</v>
      </c>
      <c r="D10" s="25">
        <f>IF(OR(D6=0,25&gt;D6*12),0,IF(C6=0,0,-CUMIPMT(C6/12,D6*12,B6,25,36,0)))</f>
        <v>25555</v>
      </c>
      <c r="E10" s="25">
        <f>IF(OR(D6=0,37&gt;D6*12),0,IF(C6=0,0,-CUMIPMT(C6/12,D6*12,B6,37,48,0)))</f>
        <v>24122</v>
      </c>
      <c r="F10" s="25">
        <f>IF(OR(D6=0,49&gt;D6*12),0,IF(C6=0,0,-CUMIPMT(C6/12,D6*12,B6,49,60,0)))</f>
        <v>22605</v>
      </c>
    </row>
    <row r="11" spans="1:6" x14ac:dyDescent="0.25">
      <c r="A11" s="4" t="s">
        <v>322</v>
      </c>
      <c r="B11" s="25">
        <f>IF(OR(D6=0,1&gt;D6*12),0,IF(C6=0,B6/D6,-CUMPRINC(C6/12,D6*12,B6,1,12,0)))</f>
        <v>21639</v>
      </c>
      <c r="C11" s="25">
        <f>IF(OR(D6=0,13&gt;D6*12),0,IF(C6=0,B6/D6,-CUMPRINC(C6/12,D6*12,B6,13,24,0)))</f>
        <v>22917</v>
      </c>
      <c r="D11" s="25">
        <f>IF(OR(D6=0,25&gt;D6*12),0,IF(C6=0,B6/D6,-CUMPRINC(C6/12,D6*12,B6,25,36,0)))</f>
        <v>24270</v>
      </c>
      <c r="E11" s="25">
        <f>IF(OR(D6=0,37&gt;D6*12),0,IF(C6=0,B6/D6,-CUMPRINC(C6/12,D6*12,B6,37,48,0)))</f>
        <v>25702</v>
      </c>
      <c r="F11" s="25">
        <f>IF(OR(D6=0,49&gt;D6*12),0,IF(C6=0,B6/D6,-CUMPRINC(C6/12,D6*12,B6,49,60,0)))</f>
        <v>27220</v>
      </c>
    </row>
    <row r="12" spans="1:6" x14ac:dyDescent="0.25">
      <c r="A12" s="3" t="s">
        <v>323</v>
      </c>
      <c r="B12" s="28">
        <f>B10+B11</f>
        <v>49825</v>
      </c>
      <c r="C12" s="28">
        <f>C10+C11</f>
        <v>49825</v>
      </c>
      <c r="D12" s="28">
        <f>D10+D11</f>
        <v>49825</v>
      </c>
      <c r="E12" s="28">
        <f>E10+E11</f>
        <v>49825</v>
      </c>
      <c r="F12" s="28">
        <f>F10+F11</f>
        <v>49825</v>
      </c>
    </row>
    <row r="13" spans="1:6" x14ac:dyDescent="0.25">
      <c r="A13" s="3" t="s">
        <v>324</v>
      </c>
      <c r="B13" s="33">
        <f>MAX(0,B9-B11)</f>
        <v>478361</v>
      </c>
      <c r="C13" s="33">
        <f>MAX(0,C9-C11)</f>
        <v>455444</v>
      </c>
      <c r="D13" s="33">
        <f>MAX(0,D9-D11)</f>
        <v>431175</v>
      </c>
      <c r="E13" s="33">
        <f>MAX(0,E9-E11)</f>
        <v>405473</v>
      </c>
      <c r="F13" s="33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325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326</v>
      </c>
      <c r="B4" s="13"/>
      <c r="C4" s="13"/>
      <c r="D4" s="13"/>
      <c r="E4" s="13"/>
      <c r="F4" s="13"/>
    </row>
    <row r="5" spans="1:6" x14ac:dyDescent="0.25">
      <c r="A5" s="4" t="s">
        <v>327</v>
      </c>
      <c r="B5" s="38">
        <f>'Monthly Cash Flow Y1'!M14</f>
        <v>-190250</v>
      </c>
      <c r="C5" s="38">
        <f>B5+'5-Year Operating Stmt'!C14</f>
        <v>128096</v>
      </c>
      <c r="D5" s="38">
        <f>B5+'5-Year Operating Stmt'!C14+'5-Year Operating Stmt'!D14</f>
        <v>1434716</v>
      </c>
      <c r="E5" s="38">
        <f>B5+'5-Year Operating Stmt'!C14+'5-Year Operating Stmt'!D14+'5-Year Operating Stmt'!E14</f>
        <v>3552210</v>
      </c>
      <c r="F5" s="38">
        <f>B5+'5-Year Operating Stmt'!C14+'5-Year Operating Stmt'!D14+'5-Year Operating Stmt'!E14+'5-Year Operating Stmt'!F14</f>
        <v>5999341</v>
      </c>
    </row>
    <row r="6" spans="1:6" x14ac:dyDescent="0.25">
      <c r="A6" s="4" t="s">
        <v>328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329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330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331</v>
      </c>
      <c r="B9" s="30">
        <f>SUM(B5:B8)</f>
        <v>-190250</v>
      </c>
      <c r="C9" s="30">
        <f>SUM(C5:C8)</f>
        <v>128096</v>
      </c>
      <c r="D9" s="30">
        <f>SUM(D5:D8)</f>
        <v>1434716</v>
      </c>
      <c r="E9" s="30">
        <f>SUM(E5:E8)</f>
        <v>3552210</v>
      </c>
      <c r="F9" s="30">
        <f>SUM(F5:F8)</f>
        <v>5999341</v>
      </c>
    </row>
    <row r="11" ht="24" customHeight="1" spans="1:6" x14ac:dyDescent="0.25">
      <c r="A11" s="13" t="s">
        <v>332</v>
      </c>
      <c r="B11" s="13"/>
      <c r="C11" s="13"/>
      <c r="D11" s="13"/>
      <c r="E11" s="13"/>
      <c r="F11" s="13"/>
    </row>
    <row r="12" spans="1:6" x14ac:dyDescent="0.25">
      <c r="A12" s="4" t="s">
        <v>333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334</v>
      </c>
      <c r="B13" s="25">
        <f>'Debt Schedule'!B13</f>
        <v>478361</v>
      </c>
      <c r="C13" s="25">
        <f>'Debt Schedule'!C13</f>
        <v>455444</v>
      </c>
      <c r="D13" s="25">
        <f>'Debt Schedule'!D13</f>
        <v>431175</v>
      </c>
      <c r="E13" s="25">
        <f>'Debt Schedule'!E13</f>
        <v>405473</v>
      </c>
      <c r="F13" s="25">
        <f>'Debt Schedule'!F13</f>
        <v>378253</v>
      </c>
    </row>
    <row r="14" spans="1:6" x14ac:dyDescent="0.25">
      <c r="A14" s="3" t="s">
        <v>335</v>
      </c>
      <c r="B14" s="30">
        <f>SUM(B12:B13)</f>
        <v>478361</v>
      </c>
      <c r="C14" s="30">
        <f>SUM(C12:C13)</f>
        <v>455444</v>
      </c>
      <c r="D14" s="30">
        <f>SUM(D12:D13)</f>
        <v>431175</v>
      </c>
      <c r="E14" s="30">
        <f>SUM(E12:E13)</f>
        <v>405473</v>
      </c>
      <c r="F14" s="30">
        <f>SUM(F12:F13)</f>
        <v>378253</v>
      </c>
    </row>
    <row r="16" ht="24" customHeight="1" spans="1:6" x14ac:dyDescent="0.25">
      <c r="A16" s="13" t="s">
        <v>336</v>
      </c>
      <c r="B16" s="13"/>
      <c r="C16" s="13"/>
      <c r="D16" s="13"/>
      <c r="E16" s="13"/>
      <c r="F16" s="13"/>
    </row>
    <row r="17" spans="1:6" x14ac:dyDescent="0.25">
      <c r="A17" s="3" t="s">
        <v>337</v>
      </c>
      <c r="B17" s="26">
        <f>B9-B14</f>
        <v>-668611</v>
      </c>
      <c r="C17" s="26">
        <f>C9-C14</f>
        <v>-327348</v>
      </c>
      <c r="D17" s="26">
        <f>D9-D14</f>
        <v>1003541</v>
      </c>
      <c r="E17" s="26">
        <f>E9-E14</f>
        <v>3146738</v>
      </c>
      <c r="F17" s="26">
        <f>F9-F14</f>
        <v>5621089</v>
      </c>
    </row>
    <row r="19" spans="1:6" x14ac:dyDescent="0.25">
      <c r="A19" s="3" t="s">
        <v>338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40">
        <f>E9-E14-E17</f>
        <v>-1</v>
      </c>
      <c r="F19" s="40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339</v>
      </c>
      <c r="B1" s="11"/>
      <c r="C1" s="11"/>
      <c r="D1" s="11"/>
      <c r="E1" s="11"/>
      <c r="F1" s="11"/>
    </row>
    <row r="3" ht="28" customHeight="1" spans="1:6" x14ac:dyDescent="0.25">
      <c r="A3" s="15" t="s">
        <v>69</v>
      </c>
      <c r="B3" s="15" t="s">
        <v>95</v>
      </c>
      <c r="C3" s="15" t="s">
        <v>96</v>
      </c>
      <c r="D3" s="15" t="s">
        <v>97</v>
      </c>
      <c r="E3" s="15" t="s">
        <v>98</v>
      </c>
      <c r="F3" s="15" t="s">
        <v>99</v>
      </c>
    </row>
    <row r="4" ht="24" customHeight="1" spans="1:6" x14ac:dyDescent="0.25">
      <c r="A4" s="13" t="s">
        <v>340</v>
      </c>
      <c r="B4" s="13"/>
      <c r="C4" s="13"/>
      <c r="D4" s="13"/>
      <c r="E4" s="13"/>
      <c r="F4" s="13"/>
    </row>
    <row r="5" spans="1:6" x14ac:dyDescent="0.25">
      <c r="A5" s="4" t="s">
        <v>341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303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304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342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305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343</v>
      </c>
      <c r="B10" s="41">
        <f>IF(B9=0,"N/A",B8/B9)</f>
        <v>-5.68</v>
      </c>
      <c r="C10" s="41">
        <f>IF(C9=0,"N/A",C8/C9)</f>
        <v>8.19</v>
      </c>
      <c r="D10" s="41">
        <f>IF(D9=0,"N/A",D8/D9)</f>
        <v>28.03</v>
      </c>
      <c r="E10" s="41">
        <f>IF(E9=0,"N/A",E8/E9)</f>
        <v>44</v>
      </c>
      <c r="F10" s="41">
        <f>IF(F9=0,"N/A",F8/F9)</f>
        <v>50.52</v>
      </c>
    </row>
    <row r="12" ht="24" customHeight="1" spans="1:6" x14ac:dyDescent="0.25">
      <c r="A12" s="13" t="s">
        <v>344</v>
      </c>
      <c r="B12" s="13"/>
      <c r="C12" s="13"/>
      <c r="D12" s="13"/>
      <c r="E12" s="13"/>
      <c r="F12" s="13"/>
    </row>
    <row r="13" spans="1:6" x14ac:dyDescent="0.25">
      <c r="A13" s="4" t="s">
        <v>345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346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347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192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348</v>
      </c>
      <c r="B18" s="13"/>
      <c r="C18" s="13"/>
      <c r="D18" s="13"/>
      <c r="E18" s="13"/>
      <c r="F18" s="13"/>
    </row>
    <row r="19" spans="1:6" x14ac:dyDescent="0.25">
      <c r="A19" s="4" t="s">
        <v>234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349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350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351</v>
      </c>
      <c r="B22" s="42">
        <v>174</v>
      </c>
      <c r="C22" s="42">
        <v>158</v>
      </c>
      <c r="D22" s="42">
        <v>151</v>
      </c>
      <c r="E22" s="42">
        <v>148</v>
      </c>
      <c r="F22" s="42">
        <v>148</v>
      </c>
    </row>
    <row r="24" ht="24" customHeight="1" spans="1:6" x14ac:dyDescent="0.25">
      <c r="A24" s="13" t="s">
        <v>352</v>
      </c>
      <c r="B24" s="13"/>
      <c r="C24" s="13"/>
      <c r="D24" s="13"/>
      <c r="E24" s="13"/>
      <c r="F24" s="13"/>
    </row>
    <row r="25" spans="1:6" x14ac:dyDescent="0.25">
      <c r="A25" s="4" t="s">
        <v>353</v>
      </c>
      <c r="B25" s="43" t="s">
        <v>354</v>
      </c>
      <c r="C25" s="44" t="s">
        <v>355</v>
      </c>
      <c r="D25" s="44" t="s">
        <v>355</v>
      </c>
      <c r="E25" s="44" t="s">
        <v>355</v>
      </c>
      <c r="F25" s="44" t="s">
        <v>355</v>
      </c>
    </row>
    <row r="26" spans="1:6" x14ac:dyDescent="0.25">
      <c r="A26" s="4" t="s">
        <v>356</v>
      </c>
      <c r="B26" s="43" t="s">
        <v>354</v>
      </c>
      <c r="C26" s="44" t="s">
        <v>355</v>
      </c>
      <c r="D26" s="44" t="s">
        <v>355</v>
      </c>
      <c r="E26" s="44" t="s">
        <v>355</v>
      </c>
      <c r="F26" s="44" t="s">
        <v>355</v>
      </c>
    </row>
    <row r="27" spans="1:6" x14ac:dyDescent="0.25">
      <c r="A27" s="4" t="s">
        <v>357</v>
      </c>
      <c r="B27" s="43" t="s">
        <v>354</v>
      </c>
      <c r="C27" s="43" t="s">
        <v>354</v>
      </c>
      <c r="D27" s="43" t="s">
        <v>354</v>
      </c>
      <c r="E27" s="43" t="s">
        <v>354</v>
      </c>
      <c r="F27" s="43" t="s">
        <v>354</v>
      </c>
    </row>
    <row r="28" spans="1:6" x14ac:dyDescent="0.25">
      <c r="A28" s="4" t="s">
        <v>358</v>
      </c>
      <c r="B28" s="43" t="s">
        <v>354</v>
      </c>
      <c r="C28" s="43" t="s">
        <v>354</v>
      </c>
      <c r="D28" s="44" t="s">
        <v>355</v>
      </c>
      <c r="E28" s="44" t="s">
        <v>355</v>
      </c>
      <c r="F28" s="44" t="s">
        <v>355</v>
      </c>
    </row>
    <row r="29" spans="1:6" x14ac:dyDescent="0.25">
      <c r="A29" s="4" t="s">
        <v>359</v>
      </c>
      <c r="B29" s="43" t="s">
        <v>354</v>
      </c>
      <c r="C29" s="43" t="s">
        <v>354</v>
      </c>
      <c r="D29" s="44" t="s">
        <v>355</v>
      </c>
      <c r="E29" s="44" t="s">
        <v>355</v>
      </c>
      <c r="F29" s="44" t="s">
        <v>355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360</v>
      </c>
      <c r="B3" s="45" t="s">
        <v>105</v>
      </c>
      <c r="D3" s="45" t="s">
        <v>361</v>
      </c>
      <c r="E3" s="45" t="s">
        <v>105</v>
      </c>
    </row>
    <row r="4" spans="1:5" x14ac:dyDescent="0.25">
      <c r="A4" s="4" t="s">
        <v>160</v>
      </c>
      <c r="B4" s="25">
        <v>500000</v>
      </c>
      <c r="D4" s="4" t="s">
        <v>362</v>
      </c>
      <c r="E4" s="25">
        <v>400000</v>
      </c>
    </row>
    <row r="5" spans="1:5" x14ac:dyDescent="0.25">
      <c r="A5" s="4" t="s">
        <v>112</v>
      </c>
      <c r="B5" s="25">
        <v>100000</v>
      </c>
      <c r="D5" s="4" t="s">
        <v>363</v>
      </c>
      <c r="E5" s="25">
        <v>75000</v>
      </c>
    </row>
    <row r="6" spans="1:5" x14ac:dyDescent="0.25">
      <c r="A6" s="4" t="s">
        <v>364</v>
      </c>
      <c r="B6" s="25">
        <v>50000</v>
      </c>
      <c r="D6" s="4" t="s">
        <v>365</v>
      </c>
      <c r="E6" s="25">
        <v>40000</v>
      </c>
    </row>
    <row r="7" spans="4:5" x14ac:dyDescent="0.25">
      <c r="D7" s="4" t="s">
        <v>366</v>
      </c>
      <c r="E7" s="25">
        <v>60000</v>
      </c>
    </row>
    <row r="8" spans="4:5" x14ac:dyDescent="0.25">
      <c r="D8" s="4" t="s">
        <v>367</v>
      </c>
      <c r="E8" s="25">
        <v>75000</v>
      </c>
    </row>
    <row r="10" spans="1:5" x14ac:dyDescent="0.25">
      <c r="A10" s="3" t="s">
        <v>368</v>
      </c>
      <c r="B10" s="26">
        <v>650000</v>
      </c>
      <c r="D10" s="3" t="s">
        <v>369</v>
      </c>
      <c r="E10" s="26">
        <v>650000</v>
      </c>
    </row>
    <row r="11" spans="1:2" x14ac:dyDescent="0.25">
      <c r="A11" s="3" t="s">
        <v>370</v>
      </c>
      <c r="B11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371</v>
      </c>
      <c r="B1" s="11"/>
      <c r="C1" s="11"/>
      <c r="D1" s="11"/>
      <c r="E1" s="11"/>
      <c r="F1" s="11"/>
    </row>
    <row r="3" ht="24" customHeight="1" spans="1:6" x14ac:dyDescent="0.25">
      <c r="A3" s="13" t="s">
        <v>372</v>
      </c>
      <c r="B3" s="13"/>
      <c r="C3" s="13"/>
      <c r="D3" s="13"/>
      <c r="E3" s="13"/>
      <c r="F3" s="13"/>
    </row>
    <row r="4" spans="1:1" x14ac:dyDescent="0.25">
      <c r="A4" s="12" t="s">
        <v>373</v>
      </c>
    </row>
    <row r="5" ht="28" customHeight="1" spans="1:6" x14ac:dyDescent="0.25">
      <c r="A5" s="15" t="s">
        <v>69</v>
      </c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</row>
    <row r="6" spans="1:6" x14ac:dyDescent="0.25">
      <c r="A6" s="4" t="s">
        <v>341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282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284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285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343</v>
      </c>
      <c r="B10" s="46">
        <v>-5.68</v>
      </c>
      <c r="C10" s="46">
        <v>8.19</v>
      </c>
      <c r="D10" s="46">
        <v>28.03</v>
      </c>
      <c r="E10" s="46">
        <v>44</v>
      </c>
      <c r="F10" s="46">
        <v>50.52</v>
      </c>
    </row>
    <row r="11" spans="1:6" x14ac:dyDescent="0.25">
      <c r="A11" s="4" t="s">
        <v>351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374</v>
      </c>
      <c r="B13" s="13"/>
      <c r="C13" s="13"/>
      <c r="D13" s="13"/>
      <c r="E13" s="13"/>
      <c r="F13" s="13"/>
    </row>
    <row r="14" spans="1:1" x14ac:dyDescent="0.25">
      <c r="A14" s="12" t="s">
        <v>375</v>
      </c>
    </row>
    <row r="15" ht="28" customHeight="1" spans="1:6" x14ac:dyDescent="0.25">
      <c r="A15" s="15" t="s">
        <v>69</v>
      </c>
      <c r="B15" s="15" t="s">
        <v>95</v>
      </c>
      <c r="C15" s="15" t="s">
        <v>96</v>
      </c>
      <c r="D15" s="15" t="s">
        <v>97</v>
      </c>
      <c r="E15" s="15" t="s">
        <v>98</v>
      </c>
      <c r="F15" s="15" t="s">
        <v>99</v>
      </c>
    </row>
    <row r="16" spans="1:6" x14ac:dyDescent="0.25">
      <c r="A16" s="4" t="s">
        <v>341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282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284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285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343</v>
      </c>
      <c r="B20" s="46">
        <v>-12.15</v>
      </c>
      <c r="C20" s="46">
        <v>-4.68</v>
      </c>
      <c r="D20" s="46">
        <v>8.49</v>
      </c>
      <c r="E20" s="46">
        <v>19.03</v>
      </c>
      <c r="F20" s="46">
        <v>23.13</v>
      </c>
    </row>
    <row r="21" spans="1:6" x14ac:dyDescent="0.25">
      <c r="A21" s="4" t="s">
        <v>351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376</v>
      </c>
      <c r="B23" s="13"/>
      <c r="C23" s="13"/>
      <c r="D23" s="13"/>
      <c r="E23" s="13"/>
      <c r="F23" s="13"/>
    </row>
    <row r="24" spans="1:1" x14ac:dyDescent="0.25">
      <c r="A24" s="12" t="s">
        <v>377</v>
      </c>
    </row>
    <row r="25" ht="28" customHeight="1" spans="1:6" x14ac:dyDescent="0.25">
      <c r="A25" s="15" t="s">
        <v>69</v>
      </c>
      <c r="B25" s="15" t="s">
        <v>95</v>
      </c>
      <c r="C25" s="15" t="s">
        <v>96</v>
      </c>
      <c r="D25" s="15" t="s">
        <v>97</v>
      </c>
      <c r="E25" s="15" t="s">
        <v>98</v>
      </c>
      <c r="F25" s="15" t="s">
        <v>99</v>
      </c>
    </row>
    <row r="26" spans="1:6" x14ac:dyDescent="0.25">
      <c r="A26" s="4" t="s">
        <v>341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282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284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285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343</v>
      </c>
      <c r="B30" s="46">
        <v>-6.97</v>
      </c>
      <c r="C30" s="46">
        <v>5.62</v>
      </c>
      <c r="D30" s="46">
        <v>24.12</v>
      </c>
      <c r="E30" s="46">
        <v>39.01</v>
      </c>
      <c r="F30" s="46">
        <v>45.04</v>
      </c>
    </row>
    <row r="31" spans="1:6" x14ac:dyDescent="0.25">
      <c r="A31" s="4" t="s">
        <v>351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378</v>
      </c>
      <c r="B33" s="13"/>
      <c r="C33" s="13"/>
      <c r="D33" s="13"/>
      <c r="E33" s="13"/>
      <c r="F33" s="13"/>
    </row>
    <row r="34" spans="1:1" x14ac:dyDescent="0.25">
      <c r="A34" s="12" t="s">
        <v>379</v>
      </c>
    </row>
    <row r="35" ht="28" customHeight="1" spans="1:6" x14ac:dyDescent="0.25">
      <c r="A35" s="15" t="s">
        <v>69</v>
      </c>
      <c r="B35" s="15" t="s">
        <v>95</v>
      </c>
      <c r="C35" s="15" t="s">
        <v>96</v>
      </c>
      <c r="D35" s="15" t="s">
        <v>97</v>
      </c>
      <c r="E35" s="15" t="s">
        <v>98</v>
      </c>
      <c r="F35" s="15" t="s">
        <v>99</v>
      </c>
    </row>
    <row r="36" spans="1:6" x14ac:dyDescent="0.25">
      <c r="A36" s="4" t="s">
        <v>341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282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284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285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343</v>
      </c>
      <c r="B40" s="46">
        <v>-6.62</v>
      </c>
      <c r="C40" s="46">
        <v>6.39</v>
      </c>
      <c r="D40" s="46">
        <v>25.34</v>
      </c>
      <c r="E40" s="46">
        <v>40.6</v>
      </c>
      <c r="F40" s="46">
        <v>46.79</v>
      </c>
    </row>
    <row r="41" spans="1:6" x14ac:dyDescent="0.25">
      <c r="A41" s="4" t="s">
        <v>351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89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120</v>
      </c>
      <c r="B5" s="4" t="s">
        <v>5</v>
      </c>
    </row>
    <row r="6" spans="1:2" x14ac:dyDescent="0.25">
      <c r="A6" s="4" t="s">
        <v>381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382</v>
      </c>
      <c r="B9" s="4" t="s">
        <v>17</v>
      </c>
    </row>
    <row r="11" ht="24" customHeight="1" spans="1:8" x14ac:dyDescent="0.25">
      <c r="A11" s="13" t="s">
        <v>383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69</v>
      </c>
      <c r="B12" t="s">
        <v>69</v>
      </c>
      <c r="C12" t="s">
        <v>69</v>
      </c>
      <c r="D12" s="47" t="s">
        <v>95</v>
      </c>
      <c r="E12" s="47" t="s">
        <v>96</v>
      </c>
      <c r="F12" s="47" t="s">
        <v>97</v>
      </c>
      <c r="G12" s="47" t="s">
        <v>98</v>
      </c>
      <c r="H12" s="47" t="s">
        <v>99</v>
      </c>
    </row>
    <row r="13" spans="1:8" x14ac:dyDescent="0.25">
      <c r="A13" s="4" t="s">
        <v>341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282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284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384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385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386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69</v>
      </c>
      <c r="B20" t="s">
        <v>69</v>
      </c>
      <c r="C20" t="s">
        <v>69</v>
      </c>
      <c r="D20" s="47" t="s">
        <v>95</v>
      </c>
      <c r="E20" s="47" t="s">
        <v>96</v>
      </c>
      <c r="F20" s="47" t="s">
        <v>97</v>
      </c>
      <c r="G20" s="47" t="s">
        <v>98</v>
      </c>
      <c r="H20" s="47" t="s">
        <v>99</v>
      </c>
    </row>
    <row r="21" spans="1:8" x14ac:dyDescent="0.25">
      <c r="A21" s="4" t="s">
        <v>387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343</v>
      </c>
      <c r="D22" s="46">
        <v>-5.68</v>
      </c>
      <c r="E22" s="46">
        <v>8.19</v>
      </c>
      <c r="F22" s="46">
        <v>28.03</v>
      </c>
      <c r="G22" s="46">
        <v>44</v>
      </c>
      <c r="H22" s="46">
        <v>50.52</v>
      </c>
    </row>
    <row r="23" spans="1:8" x14ac:dyDescent="0.25">
      <c r="A23" s="4" t="s">
        <v>192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388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389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9" t="s">
        <v>390</v>
      </c>
      <c r="C2" s="9"/>
      <c r="D2" s="9"/>
      <c r="E2" s="9"/>
      <c r="F2" s="9"/>
      <c r="G2" s="9"/>
    </row>
    <row r="3" spans="2:7" x14ac:dyDescent="0.25">
      <c r="B3" s="48" t="s">
        <v>391</v>
      </c>
      <c r="C3" s="48"/>
      <c r="D3" s="48"/>
      <c r="E3" s="48"/>
      <c r="F3" s="48"/>
      <c r="G3" s="48"/>
    </row>
    <row r="5" ht="24" customHeight="1" spans="2:7" x14ac:dyDescent="0.25">
      <c r="B5" s="13" t="s">
        <v>392</v>
      </c>
      <c r="C5" s="49" t="s">
        <v>393</v>
      </c>
      <c r="D5" s="49" t="s">
        <v>394</v>
      </c>
      <c r="E5" s="49" t="s">
        <v>395</v>
      </c>
      <c r="F5" s="49" t="s">
        <v>396</v>
      </c>
      <c r="G5" s="49" t="s">
        <v>397</v>
      </c>
    </row>
    <row r="6" spans="2:7" x14ac:dyDescent="0.25">
      <c r="B6" s="4" t="s">
        <v>388</v>
      </c>
      <c r="C6" s="50">
        <v>120</v>
      </c>
      <c r="D6" s="50">
        <v>200</v>
      </c>
      <c r="E6" s="50">
        <v>300</v>
      </c>
      <c r="F6" s="50">
        <v>375</v>
      </c>
      <c r="G6" s="50">
        <v>400</v>
      </c>
    </row>
    <row r="7" spans="2:7" x14ac:dyDescent="0.25">
      <c r="B7" s="4" t="s">
        <v>341</v>
      </c>
      <c r="C7" s="51">
        <v>1288333.3333333335</v>
      </c>
      <c r="D7" s="51">
        <v>2564700</v>
      </c>
      <c r="E7" s="51">
        <v>3893503</v>
      </c>
      <c r="F7" s="51">
        <v>4977371.484999999</v>
      </c>
      <c r="G7" s="51">
        <v>5458717.7285</v>
      </c>
    </row>
    <row r="8" spans="2:7" x14ac:dyDescent="0.25">
      <c r="B8" s="4" t="s">
        <v>303</v>
      </c>
      <c r="C8" s="51">
        <v>1026431.25</v>
      </c>
      <c r="D8" s="51">
        <v>1268669.0250000001</v>
      </c>
      <c r="E8" s="51">
        <v>1306729.0957499999</v>
      </c>
      <c r="F8" s="51">
        <v>1345930.9686225</v>
      </c>
      <c r="G8" s="51">
        <v>1386308.8976811753</v>
      </c>
    </row>
    <row r="9" spans="2:7" x14ac:dyDescent="0.25">
      <c r="B9" s="4" t="s">
        <v>304</v>
      </c>
      <c r="C9" s="51">
        <v>545000</v>
      </c>
      <c r="D9" s="51">
        <v>887860</v>
      </c>
      <c r="E9" s="51">
        <v>1190329.8</v>
      </c>
      <c r="F9" s="51">
        <v>1439121.459</v>
      </c>
      <c r="G9" s="51">
        <v>1555453.1754200002</v>
      </c>
    </row>
    <row r="10" spans="2:7" x14ac:dyDescent="0.25">
      <c r="B10" s="4" t="s">
        <v>305</v>
      </c>
      <c r="C10" s="51">
        <v>49824.605221179416</v>
      </c>
      <c r="D10" s="51">
        <v>49824.605221179416</v>
      </c>
      <c r="E10" s="51">
        <v>49824.605221179416</v>
      </c>
      <c r="F10" s="51">
        <v>49824.605221179416</v>
      </c>
      <c r="G10" s="51">
        <v>49824.605221179416</v>
      </c>
    </row>
    <row r="11" spans="2:7" x14ac:dyDescent="0.25">
      <c r="B11" s="3" t="s">
        <v>398</v>
      </c>
      <c r="C11" s="52">
        <v>-447922.5218878458</v>
      </c>
      <c r="D11" s="53">
        <v>318346.3697788203</v>
      </c>
      <c r="E11" s="53">
        <v>1306619.4990288205</v>
      </c>
      <c r="F11" s="53">
        <v>2117494.45215632</v>
      </c>
      <c r="G11" s="53">
        <v>2447131.0501776454</v>
      </c>
    </row>
    <row r="12" spans="2:7" x14ac:dyDescent="0.25">
      <c r="B12" s="3" t="s">
        <v>345</v>
      </c>
      <c r="C12" s="52">
        <v>-190250</v>
      </c>
      <c r="D12" s="53">
        <v>128096.36977882031</v>
      </c>
      <c r="E12" s="53">
        <v>1434715.8688076409</v>
      </c>
      <c r="F12" s="53">
        <v>3552210.320963961</v>
      </c>
      <c r="G12" s="53">
        <v>5999341.371141607</v>
      </c>
    </row>
    <row r="13" spans="2:7" x14ac:dyDescent="0.25">
      <c r="B13" s="3" t="s">
        <v>387</v>
      </c>
      <c r="C13" s="54">
        <v>-0.34767595489354136</v>
      </c>
      <c r="D13" s="55">
        <v>0.12412616281780338</v>
      </c>
      <c r="E13" s="55">
        <v>0.33558969879535744</v>
      </c>
      <c r="F13" s="55">
        <v>0.42542423416409325</v>
      </c>
      <c r="G13" s="55">
        <v>0.44829778198663</v>
      </c>
    </row>
    <row r="14" spans="2:7" x14ac:dyDescent="0.25">
      <c r="B14" s="3" t="s">
        <v>234</v>
      </c>
      <c r="C14" s="51">
        <v>10736.111111111113</v>
      </c>
      <c r="D14" s="51">
        <v>12823.5</v>
      </c>
      <c r="E14" s="51">
        <v>12978.343333333334</v>
      </c>
      <c r="F14" s="51">
        <v>13272.990626666666</v>
      </c>
      <c r="G14" s="51">
        <v>13646.794321250001</v>
      </c>
    </row>
    <row r="15" spans="2:7" x14ac:dyDescent="0.25">
      <c r="B15" s="3" t="s">
        <v>399</v>
      </c>
      <c r="C15" s="54">
        <v>0.7967124838292367</v>
      </c>
      <c r="D15" s="55">
        <v>0.49466566265060247</v>
      </c>
      <c r="E15" s="55">
        <v>0.3356178474114441</v>
      </c>
      <c r="F15" s="55">
        <v>0.27040998902305163</v>
      </c>
      <c r="G15" s="55">
        <v>0.25396237113402065</v>
      </c>
    </row>
    <row r="16" spans="2:7" x14ac:dyDescent="0.25">
      <c r="B16" s="3" t="s">
        <v>400</v>
      </c>
      <c r="C16" s="55">
        <v>0.12690815006468303</v>
      </c>
      <c r="D16" s="55">
        <v>0.10385542168674698</v>
      </c>
      <c r="E16" s="55">
        <v>0.09171662125340599</v>
      </c>
      <c r="F16" s="55">
        <v>0.08673984632272229</v>
      </c>
      <c r="G16" s="55">
        <v>0.08548453608247424</v>
      </c>
    </row>
    <row r="17" spans="2:7" x14ac:dyDescent="0.25">
      <c r="B17" s="3" t="s">
        <v>401</v>
      </c>
      <c r="C17" s="54">
        <v>-0.21973965071151344</v>
      </c>
      <c r="D17" s="55">
        <v>0.15914959839357423</v>
      </c>
      <c r="E17" s="55">
        <v>0.3586600817438692</v>
      </c>
      <c r="F17" s="55">
        <v>0.4404571899012074</v>
      </c>
      <c r="G17" s="55">
        <v>0.4610891752577319</v>
      </c>
    </row>
    <row r="18" spans="2:7" x14ac:dyDescent="0.25">
      <c r="B18" s="3" t="s">
        <v>343</v>
      </c>
      <c r="C18" s="56">
        <v>-5.681889809461599</v>
      </c>
      <c r="D18" s="57">
        <v>8.192156730355682</v>
      </c>
      <c r="E18" s="57">
        <v>28.027198570886025</v>
      </c>
      <c r="F18" s="57">
        <v>44.00073111759629</v>
      </c>
      <c r="G18" s="57">
        <v>50.51631908021458</v>
      </c>
    </row>
    <row r="19" spans="2:7" x14ac:dyDescent="0.25">
      <c r="B19" s="3" t="s">
        <v>402</v>
      </c>
      <c r="C19" s="58" t="s">
        <v>394</v>
      </c>
      <c r="D19" s="58"/>
      <c r="E19" s="58"/>
      <c r="F19" s="58"/>
      <c r="G19" s="58"/>
    </row>
    <row r="20" spans="2:7" x14ac:dyDescent="0.25">
      <c r="B20" s="3" t="s">
        <v>403</v>
      </c>
      <c r="C20" s="59" t="s">
        <v>404</v>
      </c>
      <c r="D20" s="59"/>
      <c r="E20" s="59"/>
      <c r="F20" s="59"/>
      <c r="G20" s="59"/>
    </row>
    <row r="22" ht="24" customHeight="1" spans="2:7" x14ac:dyDescent="0.25">
      <c r="B22" s="13" t="s">
        <v>405</v>
      </c>
      <c r="C22" s="13" t="s">
        <v>406</v>
      </c>
      <c r="D22" s="13" t="s">
        <v>407</v>
      </c>
      <c r="E22" s="13"/>
      <c r="F22" s="13" t="s">
        <v>408</v>
      </c>
      <c r="G22" s="13"/>
    </row>
    <row r="23" ht="45" customHeight="1" spans="2:7" x14ac:dyDescent="0.25">
      <c r="B23" s="35" t="s">
        <v>409</v>
      </c>
      <c r="C23" s="60" t="s">
        <v>410</v>
      </c>
      <c r="D23" s="61" t="s">
        <v>411</v>
      </c>
      <c r="E23" s="61"/>
      <c r="F23" s="62" t="s">
        <v>412</v>
      </c>
      <c r="G23" s="62"/>
    </row>
    <row r="24" ht="45" customHeight="1" spans="2:7" x14ac:dyDescent="0.25">
      <c r="B24" s="35" t="s">
        <v>413</v>
      </c>
      <c r="C24" s="63" t="s">
        <v>414</v>
      </c>
      <c r="D24" s="61" t="s">
        <v>415</v>
      </c>
      <c r="E24" s="61"/>
      <c r="F24" s="62" t="s">
        <v>416</v>
      </c>
      <c r="G24" s="62"/>
    </row>
    <row r="25" ht="45" customHeight="1" spans="2:7" x14ac:dyDescent="0.25">
      <c r="B25" s="35" t="s">
        <v>417</v>
      </c>
      <c r="C25" s="60" t="s">
        <v>410</v>
      </c>
      <c r="D25" s="61" t="s">
        <v>418</v>
      </c>
      <c r="E25" s="61"/>
      <c r="F25" s="62" t="s">
        <v>419</v>
      </c>
      <c r="G25" s="62"/>
    </row>
    <row r="26" ht="45" customHeight="1" spans="2:7" x14ac:dyDescent="0.25">
      <c r="B26" s="35" t="s">
        <v>420</v>
      </c>
      <c r="C26" s="60" t="s">
        <v>410</v>
      </c>
      <c r="D26" s="61" t="s">
        <v>421</v>
      </c>
      <c r="E26" s="61"/>
      <c r="F26" s="62" t="s">
        <v>422</v>
      </c>
      <c r="G26" s="62"/>
    </row>
    <row r="27" ht="45" customHeight="1" spans="2:7" x14ac:dyDescent="0.25">
      <c r="B27" s="35" t="s">
        <v>423</v>
      </c>
      <c r="C27" s="60" t="s">
        <v>410</v>
      </c>
      <c r="D27" s="61" t="s">
        <v>424</v>
      </c>
      <c r="E27" s="61"/>
      <c r="F27" s="62" t="s">
        <v>425</v>
      </c>
      <c r="G27" s="62"/>
    </row>
    <row r="28" ht="45" customHeight="1" spans="2:7" x14ac:dyDescent="0.25">
      <c r="B28" s="35" t="s">
        <v>426</v>
      </c>
      <c r="C28" s="60" t="s">
        <v>410</v>
      </c>
      <c r="D28" s="61" t="s">
        <v>427</v>
      </c>
      <c r="E28" s="61"/>
      <c r="F28" s="62" t="s">
        <v>428</v>
      </c>
      <c r="G28" s="62"/>
    </row>
    <row r="29" ht="45" customHeight="1" spans="2:7" x14ac:dyDescent="0.25">
      <c r="B29" s="35" t="s">
        <v>429</v>
      </c>
      <c r="C29" s="60" t="s">
        <v>410</v>
      </c>
      <c r="D29" s="61" t="s">
        <v>430</v>
      </c>
      <c r="E29" s="61"/>
      <c r="F29" s="62" t="s">
        <v>431</v>
      </c>
      <c r="G29" s="62"/>
    </row>
    <row r="31" spans="2:5" x14ac:dyDescent="0.25">
      <c r="B31" s="35" t="s">
        <v>432</v>
      </c>
      <c r="C31" s="3" t="s">
        <v>433</v>
      </c>
      <c r="D31" s="3"/>
      <c r="E31" s="3"/>
    </row>
    <row r="33" spans="2:7" x14ac:dyDescent="0.25">
      <c r="B33" s="64" t="s">
        <v>434</v>
      </c>
      <c r="C33" s="64"/>
      <c r="D33" s="64"/>
      <c r="E33" s="64"/>
      <c r="F33" s="64"/>
      <c r="G33" s="6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