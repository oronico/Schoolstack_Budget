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<sst xmlns="http://schemas.openxmlformats.org/spreadsheetml/2006/main" count="809" uniqueCount="441">
  <si>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</si>
  <si>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</si>
  <si>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</si>
  <si>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</si>
  <si>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</si>
  <si>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</si>
  <si>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</si>
  <si>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</si>
  <si>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</si>
  <si>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</si>
  <si>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</si>
  <si>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</si>
  <si>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</si>
  <si>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</si>
  <si>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</si>
  <si>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</si>
  <si>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</si>
  <si>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</si>
  <si>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</si>
  <si>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</si>
  <si>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</si>
  <si>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</si>
  <si>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</si>
  <si>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</si>
  <si>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</si>
  <si>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</si>
  <si>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</si>
  <si>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</si>
  <si>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</si>
  <si>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</si>
  <si>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</si>
  <si>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</si>
  <si>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</si>
  <si>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</si>
  <si>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</si>
  <si>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</si>
  <si>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</si>
  <si>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</si>
  <si>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</si>
  <si>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</si>
  <si>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</si>
  <si>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</si>
  <si>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</si>
  <si>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</si>
  <si>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</si>
  <si>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</si>
  <si>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</si>
  <si>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</si>
  <si>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</si>
  <si>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</si>
  <si>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</si>
  <si>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</si>
  <si>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</si>
  <si>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</si>
  <si>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</si>
  <si>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</si>
  <si>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</si>
  <si>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</si>
  <si>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</si>
  <si>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</si>
  <si>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</si>
  <si>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</si>
  <si>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</si>
  <si>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</si>
  <si>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</si>
  <si>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</si>
  <si>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</si>
  <si>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</si>
  <si>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</si>
  <si>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</si>
  <si>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</si>
  <si>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</si>
  <si>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</si>
  <si>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</si>
  <si>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</si>
  <si>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</si>
  <si>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</si>
  <si>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</si>
  <si>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</si>
  <si>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</si>
  <si>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</si>
  <si>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</si>
  <si>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</si>
  <si>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</si>
  <si>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</si>
  <si>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</si>
  <si>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</si>
  <si>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</si>
  <si>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</si>
  <si>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</si>
  <si>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</si>
  <si>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</si>
  <si>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</si>
  <si>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</si>
  <si>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Blue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</si>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</sst>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400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120</v>
      </c>
      <c r="C17" s="21">
        <v>200</v>
      </c>
      <c r="D17" s="21">
        <v>300</v>
      </c>
      <c r="E17" s="21">
        <v>375</v>
      </c>
      <c r="F17" s="21">
        <v>400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9500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800</v>
      </c>
      <c r="E22" s="23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2">
        <v>1200</v>
      </c>
      <c r="E23" s="23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2">
        <v>100000</v>
      </c>
      <c r="E24" s="23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2">
        <v>30000</v>
      </c>
      <c r="E25" s="23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2">
        <v>300</v>
      </c>
      <c r="E26" s="23">
        <v>0</v>
      </c>
    </row>
    <row r="28" ht="24" customHeight="1" spans="1:7" x14ac:dyDescent="0.25">
      <c r="A28" s="18" t="s">
        <v>124</v>
      </c>
      <c r="B28" s="18"/>
      <c r="C28" s="18"/>
      <c r="D28" s="18"/>
      <c r="E28" s="18"/>
      <c r="F28" s="18"/>
      <c r="G28" s="18"/>
    </row>
    <row r="29" ht="28" customHeight="1" spans="1:7" x14ac:dyDescent="0.25">
      <c r="A29" s="20" t="s">
        <v>125</v>
      </c>
      <c r="B29" s="20" t="s">
        <v>109</v>
      </c>
      <c r="C29" s="20" t="s">
        <v>126</v>
      </c>
      <c r="D29" s="20" t="s">
        <v>127</v>
      </c>
      <c r="E29" s="20" t="s">
        <v>128</v>
      </c>
      <c r="F29" s="20" t="s">
        <v>129</v>
      </c>
      <c r="G29" s="20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4">
        <v>1</v>
      </c>
      <c r="E30" s="22">
        <v>110000</v>
      </c>
      <c r="F30" s="23">
        <v>0.28</v>
      </c>
      <c r="G30" s="23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4">
        <v>1</v>
      </c>
      <c r="E31" s="22">
        <v>90000</v>
      </c>
      <c r="F31" s="23">
        <v>0.28</v>
      </c>
      <c r="G31" s="23">
        <v>0.0765</v>
      </c>
    </row>
    <row r="32" spans="1:7" x14ac:dyDescent="0.25">
      <c r="A32" s="11" t="s">
        <v>135</v>
      </c>
      <c r="B32" s="11" t="s">
        <v>132</v>
      </c>
      <c r="C32" s="11" t="s">
        <v>133</v>
      </c>
      <c r="D32" s="24">
        <v>1</v>
      </c>
      <c r="E32" s="22">
        <v>72000</v>
      </c>
      <c r="F32" s="23">
        <v>0.28</v>
      </c>
      <c r="G32" s="23">
        <v>0.0765</v>
      </c>
    </row>
    <row r="33" spans="1:7" x14ac:dyDescent="0.25">
      <c r="A33" s="11" t="s">
        <v>136</v>
      </c>
      <c r="B33" s="11" t="s">
        <v>137</v>
      </c>
      <c r="C33" s="11" t="s">
        <v>133</v>
      </c>
      <c r="D33" s="24">
        <v>6</v>
      </c>
      <c r="E33" s="22">
        <v>52000</v>
      </c>
      <c r="F33" s="23">
        <v>0.28</v>
      </c>
      <c r="G33" s="23">
        <v>0.0765</v>
      </c>
    </row>
    <row r="34" spans="1:7" x14ac:dyDescent="0.25">
      <c r="A34" s="11" t="s">
        <v>138</v>
      </c>
      <c r="B34" s="11" t="s">
        <v>137</v>
      </c>
      <c r="C34" s="11" t="s">
        <v>133</v>
      </c>
      <c r="D34" s="24">
        <v>1</v>
      </c>
      <c r="E34" s="22">
        <v>55000</v>
      </c>
      <c r="F34" s="23">
        <v>0.28</v>
      </c>
      <c r="G34" s="23">
        <v>0.0765</v>
      </c>
    </row>
    <row r="35" spans="1:7" x14ac:dyDescent="0.25">
      <c r="A35" s="11" t="s">
        <v>139</v>
      </c>
      <c r="B35" s="11" t="s">
        <v>137</v>
      </c>
      <c r="C35" s="11" t="s">
        <v>133</v>
      </c>
      <c r="D35" s="24">
        <v>3</v>
      </c>
      <c r="E35" s="22">
        <v>30000</v>
      </c>
      <c r="F35" s="23">
        <v>0.2</v>
      </c>
      <c r="G35" s="23">
        <v>0.0765</v>
      </c>
    </row>
    <row r="36" spans="1:7" x14ac:dyDescent="0.25">
      <c r="A36" s="11" t="s">
        <v>140</v>
      </c>
      <c r="B36" s="11" t="s">
        <v>141</v>
      </c>
      <c r="C36" s="11" t="s">
        <v>133</v>
      </c>
      <c r="D36" s="24">
        <v>1</v>
      </c>
      <c r="E36" s="22">
        <v>55000</v>
      </c>
      <c r="F36" s="23">
        <v>0.28</v>
      </c>
      <c r="G36" s="23">
        <v>0.0765</v>
      </c>
    </row>
    <row r="37" spans="1:7" x14ac:dyDescent="0.25">
      <c r="A37" s="11" t="s">
        <v>142</v>
      </c>
      <c r="B37" s="11" t="s">
        <v>143</v>
      </c>
      <c r="C37" s="11" t="s">
        <v>133</v>
      </c>
      <c r="D37" s="24">
        <v>2</v>
      </c>
      <c r="E37" s="22">
        <v>38000</v>
      </c>
      <c r="F37" s="23">
        <v>0.25</v>
      </c>
      <c r="G37" s="23">
        <v>0.0765</v>
      </c>
    </row>
    <row r="38" spans="1:7" x14ac:dyDescent="0.25">
      <c r="A38" s="11" t="s">
        <v>144</v>
      </c>
      <c r="B38" s="11" t="s">
        <v>145</v>
      </c>
      <c r="C38" s="11" t="s">
        <v>133</v>
      </c>
      <c r="D38" s="24">
        <v>1</v>
      </c>
      <c r="E38" s="22">
        <v>55000</v>
      </c>
      <c r="F38" s="23">
        <v>0.28</v>
      </c>
      <c r="G38" s="23">
        <v>0.0765</v>
      </c>
    </row>
    <row r="40" ht="24" customHeight="1" spans="1:7" x14ac:dyDescent="0.25">
      <c r="A40" s="18" t="s">
        <v>146</v>
      </c>
      <c r="B40" s="18"/>
      <c r="C40" s="18"/>
      <c r="D40" s="18"/>
      <c r="E40" s="18"/>
      <c r="F40" s="18"/>
      <c r="G40" s="18"/>
    </row>
    <row r="41" ht="28" customHeight="1" spans="1:5" x14ac:dyDescent="0.25">
      <c r="A41" s="20" t="s">
        <v>108</v>
      </c>
      <c r="B41" s="20" t="s">
        <v>109</v>
      </c>
      <c r="C41" s="20" t="s">
        <v>110</v>
      </c>
      <c r="D41" s="20" t="s">
        <v>111</v>
      </c>
      <c r="E41" s="20" t="s">
        <v>112</v>
      </c>
    </row>
    <row r="42" spans="1:5" x14ac:dyDescent="0.25">
      <c r="A42" s="11" t="s">
        <v>147</v>
      </c>
      <c r="B42" s="11" t="s">
        <v>148</v>
      </c>
      <c r="C42" s="11" t="s">
        <v>149</v>
      </c>
      <c r="D42" s="22">
        <v>18000</v>
      </c>
      <c r="E42" s="23">
        <v>0.03</v>
      </c>
    </row>
    <row r="43" spans="1:5" x14ac:dyDescent="0.25">
      <c r="A43" s="11" t="s">
        <v>150</v>
      </c>
      <c r="B43" s="11" t="s">
        <v>148</v>
      </c>
      <c r="C43" s="11" t="s">
        <v>149</v>
      </c>
      <c r="D43" s="22">
        <v>2500</v>
      </c>
      <c r="E43" s="23">
        <v>0</v>
      </c>
    </row>
    <row r="44" spans="1:5" x14ac:dyDescent="0.25">
      <c r="A44" s="11" t="s">
        <v>151</v>
      </c>
      <c r="B44" s="11" t="s">
        <v>148</v>
      </c>
      <c r="C44" s="11" t="s">
        <v>120</v>
      </c>
      <c r="D44" s="22">
        <v>18000</v>
      </c>
      <c r="E44" s="23">
        <v>0</v>
      </c>
    </row>
    <row r="45" spans="1:5" x14ac:dyDescent="0.25">
      <c r="A45" s="11" t="s">
        <v>152</v>
      </c>
      <c r="B45" s="11" t="s">
        <v>148</v>
      </c>
      <c r="C45" s="11" t="s">
        <v>149</v>
      </c>
      <c r="D45" s="22">
        <v>1500</v>
      </c>
      <c r="E45" s="23">
        <v>0</v>
      </c>
    </row>
    <row r="46" spans="1:5" x14ac:dyDescent="0.25">
      <c r="A46" s="11" t="s">
        <v>153</v>
      </c>
      <c r="B46" s="11" t="s">
        <v>154</v>
      </c>
      <c r="C46" s="11" t="s">
        <v>115</v>
      </c>
      <c r="D46" s="22">
        <v>700</v>
      </c>
      <c r="E46" s="23">
        <v>0</v>
      </c>
    </row>
    <row r="47" spans="1:5" x14ac:dyDescent="0.25">
      <c r="A47" s="11" t="s">
        <v>155</v>
      </c>
      <c r="B47" s="11" t="s">
        <v>156</v>
      </c>
      <c r="C47" s="11" t="s">
        <v>115</v>
      </c>
      <c r="D47" s="22">
        <v>500</v>
      </c>
      <c r="E47" s="23">
        <v>0</v>
      </c>
    </row>
    <row r="48" spans="1:5" x14ac:dyDescent="0.25">
      <c r="A48" s="11" t="s">
        <v>157</v>
      </c>
      <c r="B48" s="11" t="s">
        <v>158</v>
      </c>
      <c r="C48" s="11" t="s">
        <v>120</v>
      </c>
      <c r="D48" s="22">
        <v>25000</v>
      </c>
      <c r="E48" s="23">
        <v>0</v>
      </c>
    </row>
    <row r="49" spans="1:5" x14ac:dyDescent="0.25">
      <c r="A49" s="11" t="s">
        <v>159</v>
      </c>
      <c r="B49" s="11" t="s">
        <v>158</v>
      </c>
      <c r="C49" s="11" t="s">
        <v>120</v>
      </c>
      <c r="D49" s="22">
        <v>15000</v>
      </c>
      <c r="E49" s="23">
        <v>0</v>
      </c>
    </row>
    <row r="50" spans="1:5" x14ac:dyDescent="0.25">
      <c r="A50" s="11" t="s">
        <v>160</v>
      </c>
      <c r="B50" s="11" t="s">
        <v>158</v>
      </c>
      <c r="C50" s="11" t="s">
        <v>120</v>
      </c>
      <c r="D50" s="22">
        <v>20000</v>
      </c>
      <c r="E50" s="23">
        <v>0</v>
      </c>
    </row>
    <row r="51" spans="1:5" x14ac:dyDescent="0.25">
      <c r="A51" s="11" t="s">
        <v>161</v>
      </c>
      <c r="B51" s="11" t="s">
        <v>158</v>
      </c>
      <c r="C51" s="11" t="s">
        <v>115</v>
      </c>
      <c r="D51" s="22">
        <v>800</v>
      </c>
      <c r="E51" s="23">
        <v>0</v>
      </c>
    </row>
    <row r="52" spans="1:5" x14ac:dyDescent="0.25">
      <c r="A52" s="11" t="s">
        <v>162</v>
      </c>
      <c r="B52" s="11" t="s">
        <v>158</v>
      </c>
      <c r="C52" s="11" t="s">
        <v>115</v>
      </c>
      <c r="D52" s="22">
        <v>600</v>
      </c>
      <c r="E52" s="23">
        <v>0</v>
      </c>
    </row>
    <row r="54" ht="24" customHeight="1" spans="1:7" x14ac:dyDescent="0.25">
      <c r="A54" s="18" t="s">
        <v>163</v>
      </c>
      <c r="B54" s="18"/>
      <c r="C54" s="18"/>
      <c r="D54" s="18"/>
      <c r="E54" s="18"/>
      <c r="F54" s="18"/>
      <c r="G54" s="18"/>
    </row>
    <row r="55" ht="28" customHeight="1" spans="1:5" x14ac:dyDescent="0.25">
      <c r="A55" s="20" t="s">
        <v>164</v>
      </c>
      <c r="B55" s="20" t="s">
        <v>126</v>
      </c>
      <c r="C55" s="20" t="s">
        <v>134</v>
      </c>
      <c r="D55" s="20" t="s">
        <v>128</v>
      </c>
      <c r="E55" s="20" t="s">
        <v>165</v>
      </c>
    </row>
    <row r="56" spans="1:5" x14ac:dyDescent="0.25">
      <c r="A56" s="11" t="s">
        <v>166</v>
      </c>
      <c r="B56" s="11" t="s">
        <v>167</v>
      </c>
      <c r="C56" s="22">
        <v>500000</v>
      </c>
      <c r="D56" s="23">
        <v>0.0575</v>
      </c>
      <c r="E56" s="21">
        <v>15</v>
      </c>
    </row>
    <row r="57" spans="1:5" x14ac:dyDescent="0.25">
      <c r="A57" s="11" t="s">
        <v>168</v>
      </c>
      <c r="B57" s="11" t="s">
        <v>169</v>
      </c>
      <c r="C57" s="22">
        <v>75000</v>
      </c>
      <c r="D57" s="23">
        <v>0</v>
      </c>
      <c r="E57" s="21">
        <v>0</v>
      </c>
    </row>
    <row r="58" spans="1:5" x14ac:dyDescent="0.25">
      <c r="A58" s="11" t="s">
        <v>170</v>
      </c>
      <c r="B58" s="11" t="s">
        <v>169</v>
      </c>
      <c r="C58" s="22">
        <v>40000</v>
      </c>
      <c r="D58" s="23">
        <v>0</v>
      </c>
      <c r="E58" s="21">
        <v>0</v>
      </c>
    </row>
    <row r="60" ht="24" customHeight="1" spans="1:7" x14ac:dyDescent="0.25">
      <c r="A60" s="18" t="s">
        <v>171</v>
      </c>
      <c r="B60" s="18"/>
      <c r="C60" s="18"/>
      <c r="D60" s="18"/>
      <c r="E60" s="18"/>
      <c r="F60" s="18"/>
      <c r="G60" s="18"/>
    </row>
    <row r="61" spans="1:3" x14ac:dyDescent="0.25">
      <c r="A61" s="11" t="s">
        <v>172</v>
      </c>
      <c r="B61" s="23">
        <v>0.03</v>
      </c>
      <c r="C61" s="25" t="s">
        <v>173</v>
      </c>
    </row>
    <row r="62" spans="1:3" x14ac:dyDescent="0.25">
      <c r="A62" s="11" t="s">
        <v>174</v>
      </c>
      <c r="B62" s="23">
        <v>0.03</v>
      </c>
      <c r="C62" s="25" t="s">
        <v>175</v>
      </c>
    </row>
    <row r="63" spans="1:2" x14ac:dyDescent="0.25">
      <c r="A63" s="11" t="s">
        <v>176</v>
      </c>
      <c r="B63" s="24">
        <v>0.8333333333333334</v>
      </c>
    </row>
    <row r="64" spans="1:2" x14ac:dyDescent="0.25">
      <c r="A64" s="11" t="s">
        <v>177</v>
      </c>
      <c r="B64" s="22">
        <v>0</v>
      </c>
    </row>
    <row r="65" spans="1:2" x14ac:dyDescent="0.25">
      <c r="A65" s="11" t="s">
        <v>178</v>
      </c>
      <c r="B65" s="19" t="s">
        <v>179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180</v>
      </c>
      <c r="B3" s="11" t="s">
        <v>181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182</v>
      </c>
      <c r="B6" s="11" t="s">
        <v>183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184</v>
      </c>
      <c r="B8" s="11" t="s">
        <v>46</v>
      </c>
    </row>
    <row r="9" spans="1:2" x14ac:dyDescent="0.25">
      <c r="A9" s="10" t="s">
        <v>98</v>
      </c>
      <c r="B9" s="11" t="s">
        <v>185</v>
      </c>
    </row>
    <row r="10" spans="1:2" x14ac:dyDescent="0.25">
      <c r="A10" s="10" t="s">
        <v>186</v>
      </c>
      <c r="B10" s="11" t="s">
        <v>187</v>
      </c>
    </row>
    <row r="11" spans="1:2" x14ac:dyDescent="0.25">
      <c r="A11" s="10" t="s">
        <v>188</v>
      </c>
      <c r="B11" s="11" t="s">
        <v>189</v>
      </c>
    </row>
    <row r="12" spans="1:2" x14ac:dyDescent="0.25">
      <c r="A12" s="10" t="s">
        <v>178</v>
      </c>
      <c r="B12" s="11" t="s">
        <v>179</v>
      </c>
    </row>
    <row r="13" spans="1:2" x14ac:dyDescent="0.25">
      <c r="A13" s="10" t="s">
        <v>99</v>
      </c>
      <c r="B13" s="11" t="s">
        <v>190</v>
      </c>
    </row>
    <row r="14" spans="1:2" x14ac:dyDescent="0.25">
      <c r="A14" s="10" t="s">
        <v>191</v>
      </c>
      <c r="B14" s="11" t="s">
        <v>192</v>
      </c>
    </row>
    <row r="15" spans="1:2" x14ac:dyDescent="0.25">
      <c r="A15" s="10" t="s">
        <v>193</v>
      </c>
      <c r="B15" s="11" t="s">
        <v>194</v>
      </c>
    </row>
    <row r="16" spans="1:2" x14ac:dyDescent="0.25">
      <c r="A16" s="10" t="s">
        <v>195</v>
      </c>
      <c r="B16" s="11" t="s">
        <v>196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197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6">
        <v>120</v>
      </c>
      <c r="C6" s="26">
        <v>200</v>
      </c>
      <c r="D6" s="26">
        <v>300</v>
      </c>
      <c r="E6" s="26">
        <v>375</v>
      </c>
      <c r="F6" s="26">
        <v>400</v>
      </c>
    </row>
    <row r="7" spans="1:2" x14ac:dyDescent="0.25">
      <c r="A7" s="11" t="s">
        <v>99</v>
      </c>
      <c r="B7" s="27">
        <v>400</v>
      </c>
    </row>
    <row r="8" spans="1:6" x14ac:dyDescent="0.25">
      <c r="A8" s="11" t="s">
        <v>198</v>
      </c>
      <c r="B8" s="28">
        <v>0.3</v>
      </c>
      <c r="C8" s="28">
        <v>0.5</v>
      </c>
      <c r="D8" s="28">
        <v>0.75</v>
      </c>
      <c r="E8" s="28">
        <v>0.9375</v>
      </c>
      <c r="F8" s="28">
        <v>1</v>
      </c>
    </row>
    <row r="10" spans="1:6" x14ac:dyDescent="0.25">
      <c r="A10" s="11" t="s">
        <v>199</v>
      </c>
      <c r="B10" s="11" t="s">
        <v>200</v>
      </c>
      <c r="C10" s="29">
        <v>0.6666666666666666</v>
      </c>
      <c r="D10" s="29">
        <v>0.5</v>
      </c>
      <c r="E10" s="29">
        <v>0.25</v>
      </c>
      <c r="F10" s="29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202</v>
      </c>
      <c r="B4" s="18"/>
      <c r="C4" s="18"/>
      <c r="D4" s="18"/>
      <c r="E4" s="18"/>
      <c r="F4" s="18"/>
    </row>
    <row r="5" spans="1:6" x14ac:dyDescent="0.25">
      <c r="A5" s="11" t="s">
        <v>203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204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205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206</v>
      </c>
      <c r="B8" s="30">
        <v>100000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207</v>
      </c>
      <c r="B9" s="30">
        <v>30000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208</v>
      </c>
      <c r="B10" s="30">
        <v>36000</v>
      </c>
      <c r="C10" s="30">
        <v>61800</v>
      </c>
      <c r="D10" s="30">
        <v>95481</v>
      </c>
      <c r="E10" s="30">
        <v>122932</v>
      </c>
      <c r="F10" s="30">
        <v>135061</v>
      </c>
    </row>
    <row r="11" ht="24" customHeight="1" spans="1:6" x14ac:dyDescent="0.25">
      <c r="A11" s="18" t="s">
        <v>209</v>
      </c>
      <c r="B11" s="31">
        <f>SUM(B5:B10)</f>
        <v>1546000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125</v>
      </c>
      <c r="B3" s="20" t="s">
        <v>109</v>
      </c>
      <c r="C3" s="20" t="s">
        <v>127</v>
      </c>
      <c r="D3" s="20" t="s">
        <v>210</v>
      </c>
      <c r="E3" s="20" t="s">
        <v>129</v>
      </c>
      <c r="F3" s="20" t="s">
        <v>130</v>
      </c>
      <c r="G3" s="20" t="s">
        <v>211</v>
      </c>
    </row>
    <row r="4" spans="1:7" x14ac:dyDescent="0.25">
      <c r="A4" s="11" t="s">
        <v>131</v>
      </c>
      <c r="B4" s="11" t="s">
        <v>132</v>
      </c>
      <c r="C4" s="32">
        <v>1</v>
      </c>
      <c r="D4" s="30">
        <v>110000</v>
      </c>
      <c r="E4" s="29">
        <v>0.28</v>
      </c>
      <c r="F4" s="29">
        <v>0.0765</v>
      </c>
      <c r="G4" s="33">
        <v>149215</v>
      </c>
    </row>
    <row r="5" spans="1:7" x14ac:dyDescent="0.25">
      <c r="A5" s="11" t="s">
        <v>134</v>
      </c>
      <c r="B5" s="11" t="s">
        <v>132</v>
      </c>
      <c r="C5" s="32">
        <v>1</v>
      </c>
      <c r="D5" s="30">
        <v>90000</v>
      </c>
      <c r="E5" s="29">
        <v>0.28</v>
      </c>
      <c r="F5" s="29">
        <v>0.0765</v>
      </c>
      <c r="G5" s="33">
        <v>122085</v>
      </c>
    </row>
    <row r="6" spans="1:7" x14ac:dyDescent="0.25">
      <c r="A6" s="11" t="s">
        <v>135</v>
      </c>
      <c r="B6" s="11" t="s">
        <v>132</v>
      </c>
      <c r="C6" s="32">
        <v>1</v>
      </c>
      <c r="D6" s="30">
        <v>72000</v>
      </c>
      <c r="E6" s="29">
        <v>0.28</v>
      </c>
      <c r="F6" s="29">
        <v>0.0765</v>
      </c>
      <c r="G6" s="33">
        <v>97668</v>
      </c>
    </row>
    <row r="7" spans="1:7" x14ac:dyDescent="0.25">
      <c r="A7" s="11" t="s">
        <v>136</v>
      </c>
      <c r="B7" s="11" t="s">
        <v>137</v>
      </c>
      <c r="C7" s="32">
        <v>6</v>
      </c>
      <c r="D7" s="30">
        <v>52000</v>
      </c>
      <c r="E7" s="29">
        <v>0.28</v>
      </c>
      <c r="F7" s="29">
        <v>0.0765</v>
      </c>
      <c r="G7" s="33">
        <v>423228</v>
      </c>
    </row>
    <row r="8" spans="1:7" x14ac:dyDescent="0.25">
      <c r="A8" s="11" t="s">
        <v>138</v>
      </c>
      <c r="B8" s="11" t="s">
        <v>137</v>
      </c>
      <c r="C8" s="32">
        <v>1</v>
      </c>
      <c r="D8" s="30">
        <v>55000</v>
      </c>
      <c r="E8" s="29">
        <v>0.28</v>
      </c>
      <c r="F8" s="29">
        <v>0.0765</v>
      </c>
      <c r="G8" s="33">
        <v>74608</v>
      </c>
    </row>
    <row r="9" spans="1:7" x14ac:dyDescent="0.25">
      <c r="A9" s="11" t="s">
        <v>139</v>
      </c>
      <c r="B9" s="11" t="s">
        <v>137</v>
      </c>
      <c r="C9" s="32">
        <v>3</v>
      </c>
      <c r="D9" s="30">
        <v>30000</v>
      </c>
      <c r="E9" s="29">
        <v>0.2</v>
      </c>
      <c r="F9" s="29">
        <v>0.0765</v>
      </c>
      <c r="G9" s="33">
        <v>114885</v>
      </c>
    </row>
    <row r="10" spans="1:7" x14ac:dyDescent="0.25">
      <c r="A10" s="11" t="s">
        <v>140</v>
      </c>
      <c r="B10" s="11" t="s">
        <v>141</v>
      </c>
      <c r="C10" s="32">
        <v>1</v>
      </c>
      <c r="D10" s="30">
        <v>55000</v>
      </c>
      <c r="E10" s="29">
        <v>0.28</v>
      </c>
      <c r="F10" s="29">
        <v>0.0765</v>
      </c>
      <c r="G10" s="33">
        <v>74608</v>
      </c>
    </row>
    <row r="11" spans="1:7" x14ac:dyDescent="0.25">
      <c r="A11" s="11" t="s">
        <v>142</v>
      </c>
      <c r="B11" s="11" t="s">
        <v>143</v>
      </c>
      <c r="C11" s="32">
        <v>2</v>
      </c>
      <c r="D11" s="30">
        <v>38000</v>
      </c>
      <c r="E11" s="29">
        <v>0.25</v>
      </c>
      <c r="F11" s="29">
        <v>0.0765</v>
      </c>
      <c r="G11" s="33">
        <v>100814</v>
      </c>
    </row>
    <row r="12" spans="1:7" x14ac:dyDescent="0.25">
      <c r="A12" s="11" t="s">
        <v>144</v>
      </c>
      <c r="B12" s="11" t="s">
        <v>145</v>
      </c>
      <c r="C12" s="32">
        <v>1</v>
      </c>
      <c r="D12" s="30">
        <v>55000</v>
      </c>
      <c r="E12" s="29">
        <v>0.28</v>
      </c>
      <c r="F12" s="29">
        <v>0.0765</v>
      </c>
      <c r="G12" s="33">
        <v>74608</v>
      </c>
    </row>
    <row r="14" ht="24" customHeight="1" spans="1:7" x14ac:dyDescent="0.25">
      <c r="A14" s="18" t="s">
        <v>212</v>
      </c>
      <c r="B14" s="18"/>
      <c r="C14" s="18"/>
      <c r="D14" s="18"/>
      <c r="E14" s="18"/>
      <c r="F14" s="18"/>
      <c r="G14" s="18"/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0" t="s">
        <v>213</v>
      </c>
      <c r="B16" s="31">
        <v>1026431</v>
      </c>
      <c r="C16" s="31">
        <v>1268669</v>
      </c>
      <c r="D16" s="31">
        <v>1306729</v>
      </c>
      <c r="E16" s="31">
        <v>1345931</v>
      </c>
      <c r="F16" s="31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154</v>
      </c>
      <c r="B4" s="18"/>
      <c r="C4" s="18"/>
      <c r="D4" s="18"/>
      <c r="E4" s="18"/>
      <c r="F4" s="18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5">
        <f>SUM(B5:B5)</f>
        <v>84000</v>
      </c>
      <c r="C6" s="35">
        <f>SUM(C5:C5)</f>
        <v>144200</v>
      </c>
      <c r="D6" s="35">
        <f>SUM(D5:D5)</f>
        <v>222789</v>
      </c>
      <c r="E6" s="35">
        <f>SUM(E5:E5)</f>
        <v>286841</v>
      </c>
      <c r="F6" s="35">
        <f>SUM(F5:F5)</f>
        <v>315142</v>
      </c>
    </row>
    <row r="7" ht="24" customHeight="1" spans="1:6" x14ac:dyDescent="0.25">
      <c r="A7" s="18" t="s">
        <v>156</v>
      </c>
      <c r="B7" s="18"/>
      <c r="C7" s="18"/>
      <c r="D7" s="18"/>
      <c r="E7" s="18"/>
      <c r="F7" s="18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5">
        <f>SUM(B8:B8)</f>
        <v>60000</v>
      </c>
      <c r="C9" s="35">
        <f>SUM(C8:C8)</f>
        <v>103000</v>
      </c>
      <c r="D9" s="35">
        <f>SUM(D8:D8)</f>
        <v>159135</v>
      </c>
      <c r="E9" s="35">
        <f>SUM(E8:E8)</f>
        <v>204886</v>
      </c>
      <c r="F9" s="35">
        <f>SUM(F8:F8)</f>
        <v>225102</v>
      </c>
    </row>
    <row r="10" ht="24" customHeight="1" spans="1:6" x14ac:dyDescent="0.25">
      <c r="A10" s="18" t="s">
        <v>148</v>
      </c>
      <c r="B10" s="18"/>
      <c r="C10" s="18"/>
      <c r="D10" s="18"/>
      <c r="E10" s="18"/>
      <c r="F10" s="18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5">
        <f>SUM(B11:B14)</f>
        <v>282000</v>
      </c>
      <c r="C15" s="35">
        <f>SUM(C11:C14)</f>
        <v>290460</v>
      </c>
      <c r="D15" s="35">
        <f>SUM(D11:D14)</f>
        <v>299174</v>
      </c>
      <c r="E15" s="35">
        <f>SUM(E11:E14)</f>
        <v>308149</v>
      </c>
      <c r="F15" s="35">
        <f>SUM(F11:F14)</f>
        <v>317393</v>
      </c>
    </row>
    <row r="16" ht="24" customHeight="1" spans="1:6" x14ac:dyDescent="0.25">
      <c r="A16" s="18" t="s">
        <v>158</v>
      </c>
      <c r="B16" s="18"/>
      <c r="C16" s="18"/>
      <c r="D16" s="18"/>
      <c r="E16" s="18"/>
      <c r="F16" s="18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5">
        <f>SUM(B17:B21)</f>
        <v>228000</v>
      </c>
      <c r="C22" s="35">
        <f>SUM(C17:C21)</f>
        <v>350200</v>
      </c>
      <c r="D22" s="35">
        <f>SUM(D17:D21)</f>
        <v>509232</v>
      </c>
      <c r="E22" s="35">
        <f>SUM(E17:E21)</f>
        <v>639245</v>
      </c>
      <c r="F22" s="35">
        <f>SUM(F17:F21)</f>
        <v>697815</v>
      </c>
    </row>
    <row r="24" ht="24" customHeight="1" spans="1:6" x14ac:dyDescent="0.25">
      <c r="A24" s="18" t="s">
        <v>232</v>
      </c>
      <c r="B24" s="31">
        <f>B6+B9+B15+B22</f>
        <v>654000</v>
      </c>
      <c r="C24" s="31">
        <f>C6+C9+C15+C22</f>
        <v>887860</v>
      </c>
      <c r="D24" s="31">
        <f>D6+D9+D15+D22</f>
        <v>1190330</v>
      </c>
      <c r="E24" s="31">
        <f>E6+E9+E15+E22</f>
        <v>1439121</v>
      </c>
      <c r="F24" s="31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0" t="s">
        <v>164</v>
      </c>
      <c r="B3" s="20" t="s">
        <v>126</v>
      </c>
      <c r="C3" s="20" t="s">
        <v>134</v>
      </c>
      <c r="D3" s="20" t="s">
        <v>128</v>
      </c>
      <c r="E3" s="20" t="s">
        <v>165</v>
      </c>
      <c r="F3" s="20" t="s">
        <v>234</v>
      </c>
    </row>
    <row r="4" spans="1:6" x14ac:dyDescent="0.25">
      <c r="A4" s="11" t="s">
        <v>166</v>
      </c>
      <c r="B4" s="11" t="s">
        <v>167</v>
      </c>
      <c r="C4" s="22">
        <v>500000</v>
      </c>
      <c r="D4" s="29">
        <v>0.0575</v>
      </c>
      <c r="E4" s="27">
        <v>15</v>
      </c>
      <c r="F4" s="33">
        <v>49825</v>
      </c>
    </row>
    <row r="5" spans="1:6" x14ac:dyDescent="0.25">
      <c r="A5" s="11" t="s">
        <v>168</v>
      </c>
      <c r="B5" s="11" t="s">
        <v>235</v>
      </c>
      <c r="C5" s="22">
        <v>75000</v>
      </c>
      <c r="D5" s="29">
        <v>0</v>
      </c>
      <c r="E5" s="27">
        <v>0</v>
      </c>
      <c r="F5" s="33">
        <v>75000</v>
      </c>
    </row>
    <row r="6" spans="1:6" x14ac:dyDescent="0.25">
      <c r="A6" s="11" t="s">
        <v>170</v>
      </c>
      <c r="B6" s="11" t="s">
        <v>235</v>
      </c>
      <c r="C6" s="22">
        <v>40000</v>
      </c>
      <c r="D6" s="29">
        <v>0</v>
      </c>
      <c r="E6" s="27">
        <v>0</v>
      </c>
      <c r="F6" s="33">
        <v>40000</v>
      </c>
    </row>
    <row r="8" spans="1:6" x14ac:dyDescent="0.25">
      <c r="A8" s="10" t="s">
        <v>236</v>
      </c>
      <c r="F8" s="31">
        <v>49825</v>
      </c>
    </row>
    <row r="9" spans="1:6" x14ac:dyDescent="0.25">
      <c r="A9" s="10" t="s">
        <v>237</v>
      </c>
      <c r="F9" s="35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8" t="s">
        <v>239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116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117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118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121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122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8" t="s">
        <v>209</v>
      </c>
      <c r="B13" s="31">
        <f>SUM(B7:B12)</f>
        <v>1546000</v>
      </c>
      <c r="C13" s="31">
        <f>SUM(C7:C12)</f>
        <v>2564700</v>
      </c>
      <c r="D13" s="31">
        <f>SUM(D7:D12)</f>
        <v>3893503</v>
      </c>
      <c r="E13" s="31">
        <f>SUM(E7:E12)</f>
        <v>4977371</v>
      </c>
      <c r="F13" s="31">
        <f>SUM(F7:F12)</f>
        <v>5458718</v>
      </c>
    </row>
    <row r="15" spans="1:6" x14ac:dyDescent="0.25">
      <c r="A15" s="11" t="s">
        <v>240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137</v>
      </c>
      <c r="B4" s="18"/>
      <c r="C4" s="18"/>
      <c r="D4" s="18"/>
      <c r="E4" s="18"/>
      <c r="F4" s="18"/>
    </row>
    <row r="5" spans="1:6" x14ac:dyDescent="0.25">
      <c r="A5" s="11" t="s">
        <v>242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243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244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245</v>
      </c>
      <c r="B8" s="35">
        <f>SUM(B5:B7)</f>
        <v>510600</v>
      </c>
      <c r="C8" s="35">
        <f>SUM(C5:C7)</f>
        <v>631102</v>
      </c>
      <c r="D8" s="35">
        <f>SUM(D5:D7)</f>
        <v>650035</v>
      </c>
      <c r="E8" s="35">
        <f>SUM(E5:E7)</f>
        <v>669536</v>
      </c>
      <c r="F8" s="35">
        <f>SUM(F5:F7)</f>
        <v>689622</v>
      </c>
    </row>
    <row r="9" ht="24" customHeight="1" spans="1:6" x14ac:dyDescent="0.25">
      <c r="A9" s="18" t="s">
        <v>132</v>
      </c>
      <c r="B9" s="18"/>
      <c r="C9" s="18"/>
      <c r="D9" s="18"/>
      <c r="E9" s="18"/>
      <c r="F9" s="18"/>
    </row>
    <row r="10" spans="1:6" x14ac:dyDescent="0.25">
      <c r="A10" s="11" t="s">
        <v>246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247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248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249</v>
      </c>
      <c r="B13" s="35">
        <f>SUM(B10:B12)</f>
        <v>307473</v>
      </c>
      <c r="C13" s="35">
        <f>SUM(C10:C12)</f>
        <v>380037</v>
      </c>
      <c r="D13" s="35">
        <f>SUM(D10:D12)</f>
        <v>391438</v>
      </c>
      <c r="E13" s="35">
        <f>SUM(E10:E12)</f>
        <v>403181</v>
      </c>
      <c r="F13" s="35">
        <f>SUM(F10:F12)</f>
        <v>415277</v>
      </c>
    </row>
    <row r="14" ht="24" customHeight="1" spans="1:6" x14ac:dyDescent="0.25">
      <c r="A14" s="18" t="s">
        <v>145</v>
      </c>
      <c r="B14" s="18"/>
      <c r="C14" s="18"/>
      <c r="D14" s="18"/>
      <c r="E14" s="18"/>
      <c r="F14" s="18"/>
    </row>
    <row r="15" spans="1:6" x14ac:dyDescent="0.25">
      <c r="A15" s="11" t="s">
        <v>250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251</v>
      </c>
      <c r="B16" s="35">
        <f>SUM(B15:B15)</f>
        <v>62173</v>
      </c>
      <c r="C16" s="35">
        <f>SUM(C15:C15)</f>
        <v>76846</v>
      </c>
      <c r="D16" s="35">
        <f>SUM(D15:D15)</f>
        <v>79151</v>
      </c>
      <c r="E16" s="35">
        <f>SUM(E15:E15)</f>
        <v>81526</v>
      </c>
      <c r="F16" s="35">
        <f>SUM(F15:F15)</f>
        <v>83971</v>
      </c>
    </row>
    <row r="17" ht="24" customHeight="1" spans="1:6" x14ac:dyDescent="0.25">
      <c r="A17" s="18" t="s">
        <v>141</v>
      </c>
      <c r="B17" s="18"/>
      <c r="C17" s="18"/>
      <c r="D17" s="18"/>
      <c r="E17" s="18"/>
      <c r="F17" s="18"/>
    </row>
    <row r="18" spans="1:6" x14ac:dyDescent="0.25">
      <c r="A18" s="11" t="s">
        <v>252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253</v>
      </c>
      <c r="B19" s="35">
        <f>SUM(B18:B18)</f>
        <v>62173</v>
      </c>
      <c r="C19" s="35">
        <f>SUM(C18:C18)</f>
        <v>76846</v>
      </c>
      <c r="D19" s="35">
        <f>SUM(D18:D18)</f>
        <v>79151</v>
      </c>
      <c r="E19" s="35">
        <f>SUM(E18:E18)</f>
        <v>81526</v>
      </c>
      <c r="F19" s="35">
        <f>SUM(F18:F18)</f>
        <v>83971</v>
      </c>
    </row>
    <row r="20" ht="24" customHeight="1" spans="1:6" x14ac:dyDescent="0.25">
      <c r="A20" s="18" t="s">
        <v>143</v>
      </c>
      <c r="B20" s="18"/>
      <c r="C20" s="18"/>
      <c r="D20" s="18"/>
      <c r="E20" s="18"/>
      <c r="F20" s="18"/>
    </row>
    <row r="21" spans="1:6" x14ac:dyDescent="0.25">
      <c r="A21" s="11" t="s">
        <v>254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255</v>
      </c>
      <c r="B22" s="35">
        <f>SUM(B21:B21)</f>
        <v>84012</v>
      </c>
      <c r="C22" s="35">
        <f>SUM(C21:C21)</f>
        <v>103838</v>
      </c>
      <c r="D22" s="35">
        <f>SUM(D21:D21)</f>
        <v>106954</v>
      </c>
      <c r="E22" s="35">
        <f>SUM(E21:E21)</f>
        <v>110162</v>
      </c>
      <c r="F22" s="35">
        <f>SUM(F21:F21)</f>
        <v>113467</v>
      </c>
    </row>
    <row r="24" ht="24" customHeight="1" spans="1:6" x14ac:dyDescent="0.25">
      <c r="A24" s="18" t="s">
        <v>256</v>
      </c>
      <c r="B24" s="31">
        <f>B8+B13+B16+B19+B22</f>
        <v>1026431</v>
      </c>
      <c r="C24" s="31">
        <f>C8+C13+C16+C19+C22</f>
        <v>1268669</v>
      </c>
      <c r="D24" s="31">
        <f>D8+D13+D16+D19+D22</f>
        <v>1306729</v>
      </c>
      <c r="E24" s="31">
        <f>E8+E13+E16+E19+E22</f>
        <v>1345931</v>
      </c>
      <c r="F24" s="31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258</v>
      </c>
      <c r="B4" s="18"/>
      <c r="C4" s="18"/>
      <c r="D4" s="18"/>
      <c r="E4" s="18"/>
      <c r="F4" s="18"/>
    </row>
    <row r="5" spans="1:6" x14ac:dyDescent="0.25">
      <c r="A5" s="11" t="s">
        <v>259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260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261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262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263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264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265</v>
      </c>
      <c r="B11" s="35">
        <f>SUM(B5:B10)</f>
        <v>1288333</v>
      </c>
      <c r="C11" s="35">
        <f>SUM(C5:C10)</f>
        <v>2564700</v>
      </c>
      <c r="D11" s="35">
        <f>SUM(D5:D10)</f>
        <v>3893503</v>
      </c>
      <c r="E11" s="35">
        <f>SUM(E5:E10)</f>
        <v>4977371</v>
      </c>
      <c r="F11" s="35">
        <f>SUM(F5:F10)</f>
        <v>5458718</v>
      </c>
    </row>
    <row r="13" ht="24" customHeight="1" spans="1:6" x14ac:dyDescent="0.25">
      <c r="A13" s="18" t="s">
        <v>266</v>
      </c>
      <c r="B13" s="18"/>
      <c r="C13" s="18"/>
      <c r="D13" s="18"/>
      <c r="E13" s="18"/>
      <c r="F13" s="18"/>
    </row>
    <row r="14" spans="1:6" x14ac:dyDescent="0.25">
      <c r="A14" s="11" t="s">
        <v>246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247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248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242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244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252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254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250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5">
        <f>SUM(B14:B22)</f>
        <v>1026431</v>
      </c>
      <c r="C23" s="35">
        <f>SUM(C14:C22)</f>
        <v>1268669</v>
      </c>
      <c r="D23" s="35">
        <f>SUM(D14:D22)</f>
        <v>1306729</v>
      </c>
      <c r="E23" s="35">
        <f>SUM(E14:E22)</f>
        <v>1345931</v>
      </c>
      <c r="F23" s="35">
        <f>SUM(F14:F22)</f>
        <v>1386309</v>
      </c>
    </row>
    <row r="25" ht="24" customHeight="1" spans="1:6" x14ac:dyDescent="0.25">
      <c r="A25" s="18" t="s">
        <v>146</v>
      </c>
      <c r="B25" s="18"/>
      <c r="C25" s="18"/>
      <c r="D25" s="18"/>
      <c r="E25" s="18"/>
      <c r="F25" s="18"/>
    </row>
    <row r="26" spans="1:1" x14ac:dyDescent="0.25">
      <c r="A26" s="37" t="s">
        <v>154</v>
      </c>
    </row>
    <row r="27" spans="1:6" x14ac:dyDescent="0.25">
      <c r="A27" s="11" t="s">
        <v>267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156</v>
      </c>
    </row>
    <row r="29" spans="1:6" x14ac:dyDescent="0.25">
      <c r="A29" s="11" t="s">
        <v>268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148</v>
      </c>
    </row>
    <row r="31" spans="1:6" x14ac:dyDescent="0.25">
      <c r="A31" s="11" t="s">
        <v>269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273</v>
      </c>
      <c r="B35" s="35">
        <f>SUM(B31:B34)</f>
        <v>235000</v>
      </c>
      <c r="C35" s="35">
        <f>SUM(C31:C34)</f>
        <v>290460</v>
      </c>
      <c r="D35" s="35">
        <f>SUM(D31:D34)</f>
        <v>299174</v>
      </c>
      <c r="E35" s="35">
        <f>SUM(E31:E34)</f>
        <v>308149</v>
      </c>
      <c r="F35" s="35">
        <f>SUM(F31:F34)</f>
        <v>317393</v>
      </c>
    </row>
    <row r="36" spans="1:1" x14ac:dyDescent="0.25">
      <c r="A36" s="37" t="s">
        <v>158</v>
      </c>
    </row>
    <row r="37" spans="1:6" x14ac:dyDescent="0.25">
      <c r="A37" s="11" t="s">
        <v>274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279</v>
      </c>
      <c r="B42" s="35">
        <f>SUM(B37:B41)</f>
        <v>190000</v>
      </c>
      <c r="C42" s="35">
        <f>SUM(C37:C41)</f>
        <v>350200</v>
      </c>
      <c r="D42" s="35">
        <f>SUM(D37:D41)</f>
        <v>509232</v>
      </c>
      <c r="E42" s="35">
        <f>SUM(E37:E41)</f>
        <v>639245</v>
      </c>
      <c r="F42" s="35">
        <f>SUM(F37:F41)</f>
        <v>697815</v>
      </c>
    </row>
    <row r="43" spans="1:6" x14ac:dyDescent="0.25">
      <c r="A43" s="10" t="s">
        <v>280</v>
      </c>
      <c r="B43" s="35">
        <f>B27+B29+B35+B42</f>
        <v>545000</v>
      </c>
      <c r="C43" s="35">
        <f>C27+C29+C35+C42</f>
        <v>887860</v>
      </c>
      <c r="D43" s="35">
        <f>D27+D29+D35+D42</f>
        <v>1190330</v>
      </c>
      <c r="E43" s="35">
        <f>E27+E29+E35+E42</f>
        <v>1439121</v>
      </c>
      <c r="F43" s="35">
        <f>F27+F29+F35+F42</f>
        <v>1555453</v>
      </c>
    </row>
    <row r="45" ht="24" customHeight="1" spans="1:6" x14ac:dyDescent="0.25">
      <c r="A45" s="18" t="s">
        <v>281</v>
      </c>
      <c r="B45" s="18"/>
      <c r="C45" s="18"/>
      <c r="D45" s="18"/>
      <c r="E45" s="18"/>
      <c r="F45" s="18"/>
    </row>
    <row r="46" spans="1:6" x14ac:dyDescent="0.25">
      <c r="A46" s="11" t="s">
        <v>282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285</v>
      </c>
      <c r="B49" s="35">
        <f>SUM(B46:B48)</f>
        <v>164825</v>
      </c>
      <c r="C49" s="35">
        <f>SUM(C46:C48)</f>
        <v>89825</v>
      </c>
      <c r="D49" s="35">
        <f>SUM(D46:D48)</f>
        <v>89825</v>
      </c>
      <c r="E49" s="35">
        <f>SUM(E46:E48)</f>
        <v>74825</v>
      </c>
      <c r="F49" s="35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265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288</v>
      </c>
      <c r="B8" s="35">
        <f>SUM(B5:B7)</f>
        <v>1736256</v>
      </c>
      <c r="C8" s="35">
        <f>SUM(C5:C7)</f>
        <v>2246354</v>
      </c>
      <c r="D8" s="35">
        <f>SUM(D5:D7)</f>
        <v>2586884</v>
      </c>
      <c r="E8" s="35">
        <f>SUM(E5:E7)</f>
        <v>2859877</v>
      </c>
      <c r="F8" s="35">
        <f>SUM(F5:F7)</f>
        <v>3011587</v>
      </c>
    </row>
    <row r="10" ht="24" customHeight="1" spans="1:6" x14ac:dyDescent="0.25">
      <c r="A10" s="18" t="s">
        <v>289</v>
      </c>
      <c r="B10" s="18"/>
      <c r="C10" s="18"/>
      <c r="D10" s="18"/>
      <c r="E10" s="18"/>
      <c r="F10" s="18"/>
    </row>
    <row r="11" spans="1:6" x14ac:dyDescent="0.25">
      <c r="A11" s="10" t="s">
        <v>290</v>
      </c>
      <c r="B11" s="31">
        <f>B4-B8</f>
        <v>-447923</v>
      </c>
      <c r="C11" s="31">
        <f>C4-C8</f>
        <v>318346</v>
      </c>
      <c r="D11" s="31">
        <f>D4-D8</f>
        <v>1306619</v>
      </c>
      <c r="E11" s="31">
        <f>E4-E8</f>
        <v>2117494</v>
      </c>
      <c r="F11" s="31">
        <f>F4-F8</f>
        <v>2447131</v>
      </c>
    </row>
    <row r="12" spans="1:6" x14ac:dyDescent="0.25">
      <c r="A12" s="11" t="s">
        <v>291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292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240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293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295</v>
      </c>
      <c r="C2" s="20" t="s">
        <v>296</v>
      </c>
      <c r="D2" s="20" t="s">
        <v>297</v>
      </c>
      <c r="E2" s="20" t="s">
        <v>298</v>
      </c>
      <c r="F2" s="20" t="s">
        <v>299</v>
      </c>
      <c r="G2" s="20" t="s">
        <v>300</v>
      </c>
      <c r="H2" s="20" t="s">
        <v>301</v>
      </c>
      <c r="I2" s="20" t="s">
        <v>302</v>
      </c>
      <c r="J2" s="20" t="s">
        <v>303</v>
      </c>
      <c r="K2" s="20" t="s">
        <v>304</v>
      </c>
      <c r="L2" s="20" t="s">
        <v>305</v>
      </c>
      <c r="M2" s="20" t="s">
        <v>306</v>
      </c>
      <c r="N2" s="20" t="s">
        <v>307</v>
      </c>
    </row>
    <row r="3" ht="24" customHeight="1" spans="1:14" x14ac:dyDescent="0.25">
      <c r="A3" s="18" t="s">
        <v>258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265</v>
      </c>
      <c r="B4" s="35">
        <v>154600</v>
      </c>
      <c r="C4" s="35">
        <v>154600</v>
      </c>
      <c r="D4" s="35">
        <v>154600</v>
      </c>
      <c r="E4" s="35">
        <v>154600</v>
      </c>
      <c r="F4" s="35">
        <v>154600</v>
      </c>
      <c r="G4" s="35">
        <v>154600</v>
      </c>
      <c r="H4" s="35">
        <v>154600</v>
      </c>
      <c r="I4" s="35">
        <v>154600</v>
      </c>
      <c r="J4" s="35">
        <v>154600</v>
      </c>
      <c r="K4" s="35">
        <v>154600</v>
      </c>
      <c r="L4" s="35">
        <v>0</v>
      </c>
      <c r="M4" s="35">
        <v>0</v>
      </c>
      <c r="N4" s="35">
        <f>SUM(B4:M4)</f>
        <v>1546000</v>
      </c>
    </row>
    <row r="6" ht="24" customHeight="1" spans="1:14" x14ac:dyDescent="0.25">
      <c r="A6" s="18" t="s">
        <v>308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309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8" t="s">
        <v>312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288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313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314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1">
        <f>M14</f>
        <v>-190250</v>
      </c>
    </row>
    <row r="16" ht="24" customHeight="1" spans="1:3" x14ac:dyDescent="0.25">
      <c r="A16" s="18" t="s">
        <v>315</v>
      </c>
      <c r="B16" s="18"/>
      <c r="C16" s="18"/>
    </row>
    <row r="17" spans="1:2" x14ac:dyDescent="0.25">
      <c r="A17" s="11" t="s">
        <v>177</v>
      </c>
      <c r="B17" s="22">
        <v>0</v>
      </c>
    </row>
    <row r="18" spans="1:2" x14ac:dyDescent="0.25">
      <c r="A18" s="11" t="s">
        <v>316</v>
      </c>
      <c r="B18" s="38">
        <f>M14</f>
        <v>-190250</v>
      </c>
    </row>
    <row r="19" spans="1:2" x14ac:dyDescent="0.25">
      <c r="A19" s="11" t="s">
        <v>317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258</v>
      </c>
      <c r="B4" s="18"/>
      <c r="C4" s="18"/>
      <c r="D4" s="18"/>
      <c r="E4" s="18"/>
      <c r="F4" s="18"/>
    </row>
    <row r="5" spans="1:6" x14ac:dyDescent="0.25">
      <c r="A5" s="39" t="s">
        <v>265</v>
      </c>
      <c r="B5" s="35">
        <v>1288333</v>
      </c>
      <c r="C5" s="35">
        <v>2564700</v>
      </c>
      <c r="D5" s="35">
        <v>3893503</v>
      </c>
      <c r="E5" s="35">
        <v>4977371</v>
      </c>
      <c r="F5" s="35">
        <v>5458718</v>
      </c>
    </row>
    <row r="7" ht="24" customHeight="1" spans="1:6" x14ac:dyDescent="0.25">
      <c r="A7" s="18" t="s">
        <v>308</v>
      </c>
      <c r="B7" s="18"/>
      <c r="C7" s="18"/>
      <c r="D7" s="18"/>
      <c r="E7" s="18"/>
      <c r="F7" s="18"/>
    </row>
    <row r="8" spans="1:6" x14ac:dyDescent="0.25">
      <c r="A8" s="10" t="s">
        <v>309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319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288</v>
      </c>
      <c r="B11" s="35">
        <f>SUM(B8:B10)</f>
        <v>1736256</v>
      </c>
      <c r="C11" s="35">
        <f>SUM(C8:C10)</f>
        <v>2246354</v>
      </c>
      <c r="D11" s="35">
        <f>SUM(D8:D10)</f>
        <v>2586884</v>
      </c>
      <c r="E11" s="35">
        <f>SUM(E8:E10)</f>
        <v>2859877</v>
      </c>
      <c r="F11" s="35">
        <f>SUM(F8:F10)</f>
        <v>3011587</v>
      </c>
    </row>
    <row r="13" ht="24" customHeight="1" spans="1:6" x14ac:dyDescent="0.25">
      <c r="A13" s="18" t="s">
        <v>320</v>
      </c>
      <c r="B13" s="18"/>
      <c r="C13" s="18"/>
      <c r="D13" s="18"/>
      <c r="E13" s="18"/>
      <c r="F13" s="18"/>
    </row>
    <row r="14" spans="1:6" x14ac:dyDescent="0.25">
      <c r="A14" s="39" t="s">
        <v>290</v>
      </c>
      <c r="B14" s="31">
        <f>B5-B11</f>
        <v>-447923</v>
      </c>
      <c r="C14" s="31">
        <f>C5-C11</f>
        <v>318346</v>
      </c>
      <c r="D14" s="31">
        <f>D5-D11</f>
        <v>1306619</v>
      </c>
      <c r="E14" s="31">
        <f>E5-E11</f>
        <v>2117494</v>
      </c>
      <c r="F14" s="31">
        <f>F5-F11</f>
        <v>2447131</v>
      </c>
    </row>
    <row r="15" spans="1:6" x14ac:dyDescent="0.25">
      <c r="A15" s="11" t="s">
        <v>291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321</v>
      </c>
      <c r="B4" s="18"/>
      <c r="C4" s="18"/>
      <c r="D4" s="18"/>
      <c r="E4" s="18"/>
      <c r="F4" s="18"/>
    </row>
    <row r="5" spans="1:5" x14ac:dyDescent="0.25">
      <c r="A5" s="40" t="s">
        <v>322</v>
      </c>
      <c r="B5" s="41" t="s">
        <v>134</v>
      </c>
      <c r="C5" s="42" t="s">
        <v>323</v>
      </c>
      <c r="D5" s="40" t="s">
        <v>324</v>
      </c>
      <c r="E5" s="41" t="s">
        <v>234</v>
      </c>
    </row>
    <row r="6" spans="1:5" x14ac:dyDescent="0.25">
      <c r="A6" s="19" t="s">
        <v>166</v>
      </c>
      <c r="B6" s="22">
        <v>500000</v>
      </c>
      <c r="C6" s="23">
        <v>0.0575</v>
      </c>
      <c r="D6" s="19">
        <v>15</v>
      </c>
      <c r="E6" s="30">
        <f>IF(OR(B6=0,D6=0),0,IF(C6=0,B6/D6,-PMT(C6/12,D6*12,B6)*12))</f>
        <v>49825</v>
      </c>
    </row>
    <row r="8" ht="24" customHeight="1" spans="1:6" x14ac:dyDescent="0.25">
      <c r="A8" s="18" t="s">
        <v>325</v>
      </c>
      <c r="B8" s="18"/>
      <c r="C8" s="18"/>
      <c r="D8" s="18"/>
      <c r="E8" s="18"/>
      <c r="F8" s="18"/>
    </row>
    <row r="9" spans="1:6" x14ac:dyDescent="0.25">
      <c r="A9" s="11" t="s">
        <v>326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327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328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329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330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332</v>
      </c>
      <c r="B4" s="18"/>
      <c r="C4" s="18"/>
      <c r="D4" s="18"/>
      <c r="E4" s="18"/>
      <c r="F4" s="18"/>
    </row>
    <row r="5" spans="1:6" x14ac:dyDescent="0.25">
      <c r="A5" s="11" t="s">
        <v>333</v>
      </c>
      <c r="B5" s="43">
        <f>'Monthly Cash Flow Y1'!M14</f>
        <v>-190250</v>
      </c>
      <c r="C5" s="43">
        <f>B5+'5-Year Operating Stmt'!C14</f>
        <v>128096</v>
      </c>
      <c r="D5" s="43">
        <f>B5+'5-Year Operating Stmt'!C14+'5-Year Operating Stmt'!D14</f>
        <v>1434716</v>
      </c>
      <c r="E5" s="43">
        <f>B5+'5-Year Operating Stmt'!C14+'5-Year Operating Stmt'!D14+'5-Year Operating Stmt'!E14</f>
        <v>3552210</v>
      </c>
      <c r="F5" s="43">
        <f>B5+'5-Year Operating Stmt'!C14+'5-Year Operating Stmt'!D14+'5-Year Operating Stmt'!E14+'5-Year Operating Stmt'!F14</f>
        <v>5999341</v>
      </c>
    </row>
    <row r="6" spans="1:6" x14ac:dyDescent="0.25">
      <c r="A6" s="11" t="s">
        <v>334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335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336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337</v>
      </c>
      <c r="B9" s="35">
        <f>SUM(B5:B8)</f>
        <v>-190250</v>
      </c>
      <c r="C9" s="35">
        <f>SUM(C5:C8)</f>
        <v>128096</v>
      </c>
      <c r="D9" s="35">
        <f>SUM(D5:D8)</f>
        <v>1434716</v>
      </c>
      <c r="E9" s="35">
        <f>SUM(E5:E8)</f>
        <v>3552210</v>
      </c>
      <c r="F9" s="35">
        <f>SUM(F5:F8)</f>
        <v>5999341</v>
      </c>
    </row>
    <row r="11" ht="24" customHeight="1" spans="1:6" x14ac:dyDescent="0.25">
      <c r="A11" s="18" t="s">
        <v>338</v>
      </c>
      <c r="B11" s="18"/>
      <c r="C11" s="18"/>
      <c r="D11" s="18"/>
      <c r="E11" s="18"/>
      <c r="F11" s="18"/>
    </row>
    <row r="12" spans="1:6" x14ac:dyDescent="0.25">
      <c r="A12" s="11" t="s">
        <v>339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340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341</v>
      </c>
      <c r="B14" s="35">
        <f>SUM(B12:B13)</f>
        <v>478361</v>
      </c>
      <c r="C14" s="35">
        <f>SUM(C12:C13)</f>
        <v>455444</v>
      </c>
      <c r="D14" s="35">
        <f>SUM(D12:D13)</f>
        <v>431175</v>
      </c>
      <c r="E14" s="35">
        <f>SUM(E12:E13)</f>
        <v>405473</v>
      </c>
      <c r="F14" s="35">
        <f>SUM(F12:F13)</f>
        <v>378253</v>
      </c>
    </row>
    <row r="16" ht="24" customHeight="1" spans="1:6" x14ac:dyDescent="0.25">
      <c r="A16" s="18" t="s">
        <v>342</v>
      </c>
      <c r="B16" s="18"/>
      <c r="C16" s="18"/>
      <c r="D16" s="18"/>
      <c r="E16" s="18"/>
      <c r="F16" s="18"/>
    </row>
    <row r="17" spans="1:6" x14ac:dyDescent="0.25">
      <c r="A17" s="10" t="s">
        <v>343</v>
      </c>
      <c r="B17" s="31">
        <f>B9-B14</f>
        <v>-668611</v>
      </c>
      <c r="C17" s="31">
        <f>C9-C14</f>
        <v>-327348</v>
      </c>
      <c r="D17" s="31">
        <f>D9-D14</f>
        <v>1003541</v>
      </c>
      <c r="E17" s="31">
        <f>E9-E14</f>
        <v>3146738</v>
      </c>
      <c r="F17" s="31">
        <f>F9-F14</f>
        <v>5621089</v>
      </c>
    </row>
    <row r="19" spans="1:6" x14ac:dyDescent="0.25">
      <c r="A19" s="10" t="s">
        <v>344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5">
        <f>E9-E14-E17</f>
        <v>-1</v>
      </c>
      <c r="F19" s="45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346</v>
      </c>
      <c r="B4" s="18"/>
      <c r="C4" s="18"/>
      <c r="D4" s="18"/>
      <c r="E4" s="18"/>
      <c r="F4" s="18"/>
    </row>
    <row r="5" spans="1:6" x14ac:dyDescent="0.25">
      <c r="A5" s="11" t="s">
        <v>347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309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348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349</v>
      </c>
      <c r="B10" s="46">
        <f>IF(B9=0,"N/A",B8/B9)</f>
        <v>-5.68</v>
      </c>
      <c r="C10" s="46">
        <f>IF(C9=0,"N/A",C8/C9)</f>
        <v>8.19</v>
      </c>
      <c r="D10" s="46">
        <f>IF(D9=0,"N/A",D8/D9)</f>
        <v>28.03</v>
      </c>
      <c r="E10" s="46">
        <f>IF(E9=0,"N/A",E8/E9)</f>
        <v>44</v>
      </c>
      <c r="F10" s="46">
        <f>IF(F9=0,"N/A",F8/F9)</f>
        <v>50.52</v>
      </c>
    </row>
    <row r="12" ht="24" customHeight="1" spans="1:6" x14ac:dyDescent="0.25">
      <c r="A12" s="18" t="s">
        <v>350</v>
      </c>
      <c r="B12" s="18"/>
      <c r="C12" s="18"/>
      <c r="D12" s="18"/>
      <c r="E12" s="18"/>
      <c r="F12" s="18"/>
    </row>
    <row r="13" spans="1:6" x14ac:dyDescent="0.25">
      <c r="A13" s="11" t="s">
        <v>351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352</v>
      </c>
      <c r="B14" s="27">
        <f>IF((B6+B7+B9)=0,0,(B13/(B6+B7+B9))*365)</f>
        <v>-43</v>
      </c>
      <c r="C14" s="27">
        <f>IF((C6+C7+C9)=0,0,(C13/(C6+C7+C9))*365)</f>
        <v>21</v>
      </c>
      <c r="D14" s="27">
        <f>IF((D6+D7+D9)=0,0,(D13/(D6+D7+D9))*365)</f>
        <v>206</v>
      </c>
      <c r="E14" s="27">
        <f>IF((E6+E7+E9)=0,0,(E13/(E6+E7+E9))*365)</f>
        <v>457</v>
      </c>
      <c r="F14" s="27">
        <f>IF((F6+F7+F9)=0,0,(F13/(F6+F7+F9))*365)</f>
        <v>732</v>
      </c>
    </row>
    <row r="15" spans="1:6" x14ac:dyDescent="0.25">
      <c r="A15" s="11" t="s">
        <v>353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198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8" t="s">
        <v>354</v>
      </c>
      <c r="B18" s="18"/>
      <c r="C18" s="18"/>
      <c r="D18" s="18"/>
      <c r="E18" s="18"/>
      <c r="F18" s="18"/>
    </row>
    <row r="19" spans="1:6" x14ac:dyDescent="0.25">
      <c r="A19" s="11" t="s">
        <v>240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355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356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357</v>
      </c>
      <c r="B22" s="47">
        <v>174</v>
      </c>
      <c r="C22" s="47">
        <v>158</v>
      </c>
      <c r="D22" s="47">
        <v>151</v>
      </c>
      <c r="E22" s="47">
        <v>148</v>
      </c>
      <c r="F22" s="47">
        <v>148</v>
      </c>
    </row>
    <row r="24" ht="24" customHeight="1" spans="1:6" x14ac:dyDescent="0.25">
      <c r="A24" s="18" t="s">
        <v>358</v>
      </c>
      <c r="B24" s="18"/>
      <c r="C24" s="18"/>
      <c r="D24" s="18"/>
      <c r="E24" s="18"/>
      <c r="F24" s="18"/>
    </row>
    <row r="25" spans="1:6" x14ac:dyDescent="0.25">
      <c r="A25" s="11" t="s">
        <v>359</v>
      </c>
      <c r="B25" s="48" t="s">
        <v>360</v>
      </c>
      <c r="C25" s="49" t="s">
        <v>361</v>
      </c>
      <c r="D25" s="49" t="s">
        <v>361</v>
      </c>
      <c r="E25" s="49" t="s">
        <v>361</v>
      </c>
      <c r="F25" s="49" t="s">
        <v>361</v>
      </c>
    </row>
    <row r="26" spans="1:6" x14ac:dyDescent="0.25">
      <c r="A26" s="11" t="s">
        <v>362</v>
      </c>
      <c r="B26" s="48" t="s">
        <v>360</v>
      </c>
      <c r="C26" s="49" t="s">
        <v>361</v>
      </c>
      <c r="D26" s="49" t="s">
        <v>361</v>
      </c>
      <c r="E26" s="49" t="s">
        <v>361</v>
      </c>
      <c r="F26" s="49" t="s">
        <v>361</v>
      </c>
    </row>
    <row r="27" spans="1:6" x14ac:dyDescent="0.25">
      <c r="A27" s="11" t="s">
        <v>363</v>
      </c>
      <c r="B27" s="48" t="s">
        <v>360</v>
      </c>
      <c r="C27" s="48" t="s">
        <v>360</v>
      </c>
      <c r="D27" s="48" t="s">
        <v>360</v>
      </c>
      <c r="E27" s="48" t="s">
        <v>360</v>
      </c>
      <c r="F27" s="48" t="s">
        <v>360</v>
      </c>
    </row>
    <row r="28" spans="1:6" x14ac:dyDescent="0.25">
      <c r="A28" s="11" t="s">
        <v>364</v>
      </c>
      <c r="B28" s="48" t="s">
        <v>360</v>
      </c>
      <c r="C28" s="48" t="s">
        <v>360</v>
      </c>
      <c r="D28" s="49" t="s">
        <v>361</v>
      </c>
      <c r="E28" s="49" t="s">
        <v>361</v>
      </c>
      <c r="F28" s="49" t="s">
        <v>361</v>
      </c>
    </row>
    <row r="29" spans="1:6" x14ac:dyDescent="0.25">
      <c r="A29" s="11" t="s">
        <v>365</v>
      </c>
      <c r="B29" s="48" t="s">
        <v>360</v>
      </c>
      <c r="C29" s="48" t="s">
        <v>360</v>
      </c>
      <c r="D29" s="49" t="s">
        <v>361</v>
      </c>
      <c r="E29" s="49" t="s">
        <v>361</v>
      </c>
      <c r="F29" s="49" t="s">
        <v>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366</v>
      </c>
      <c r="B3" s="50" t="s">
        <v>111</v>
      </c>
      <c r="D3" s="50" t="s">
        <v>367</v>
      </c>
      <c r="E3" s="50" t="s">
        <v>111</v>
      </c>
    </row>
    <row r="4" spans="1:5" x14ac:dyDescent="0.25">
      <c r="A4" s="11" t="s">
        <v>166</v>
      </c>
      <c r="B4" s="30">
        <v>500000</v>
      </c>
      <c r="D4" s="11" t="s">
        <v>368</v>
      </c>
      <c r="E4" s="30">
        <v>400000</v>
      </c>
    </row>
    <row r="5" spans="1:5" x14ac:dyDescent="0.25">
      <c r="A5" s="11" t="s">
        <v>118</v>
      </c>
      <c r="B5" s="30">
        <v>100000</v>
      </c>
      <c r="D5" s="11" t="s">
        <v>369</v>
      </c>
      <c r="E5" s="30">
        <v>75000</v>
      </c>
    </row>
    <row r="6" spans="1:5" x14ac:dyDescent="0.25">
      <c r="A6" s="11" t="s">
        <v>370</v>
      </c>
      <c r="B6" s="30">
        <v>50000</v>
      </c>
      <c r="D6" s="11" t="s">
        <v>371</v>
      </c>
      <c r="E6" s="30">
        <v>40000</v>
      </c>
    </row>
    <row r="7" spans="4:5" x14ac:dyDescent="0.25">
      <c r="D7" s="11" t="s">
        <v>372</v>
      </c>
      <c r="E7" s="30">
        <v>60000</v>
      </c>
    </row>
    <row r="8" spans="4:5" x14ac:dyDescent="0.25">
      <c r="D8" s="11" t="s">
        <v>373</v>
      </c>
      <c r="E8" s="30">
        <v>75000</v>
      </c>
    </row>
    <row r="10" spans="1:5" x14ac:dyDescent="0.25">
      <c r="A10" s="10" t="s">
        <v>374</v>
      </c>
      <c r="B10" s="31">
        <v>650000</v>
      </c>
      <c r="D10" s="10" t="s">
        <v>375</v>
      </c>
      <c r="E10" s="31">
        <v>650000</v>
      </c>
    </row>
    <row r="11" spans="1:2" x14ac:dyDescent="0.25">
      <c r="A11" s="10" t="s">
        <v>376</v>
      </c>
      <c r="B11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377</v>
      </c>
      <c r="B1" s="15"/>
      <c r="C1" s="15"/>
      <c r="D1" s="15"/>
      <c r="E1" s="15"/>
      <c r="F1" s="15"/>
    </row>
    <row r="3" ht="24" customHeight="1" spans="1:6" x14ac:dyDescent="0.25">
      <c r="A3" s="18" t="s">
        <v>378</v>
      </c>
      <c r="B3" s="18"/>
      <c r="C3" s="18"/>
      <c r="D3" s="18"/>
      <c r="E3" s="18"/>
      <c r="F3" s="18"/>
    </row>
    <row r="4" spans="1:1" x14ac:dyDescent="0.25">
      <c r="A4" s="17" t="s">
        <v>379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347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288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290</v>
      </c>
      <c r="B8" s="31">
        <v>-332923</v>
      </c>
      <c r="C8" s="31">
        <v>358346</v>
      </c>
      <c r="D8" s="31">
        <v>1346619</v>
      </c>
      <c r="E8" s="31">
        <v>2142494</v>
      </c>
      <c r="F8" s="31">
        <v>2467131</v>
      </c>
    </row>
    <row r="9" spans="1:6" x14ac:dyDescent="0.25">
      <c r="A9" s="11" t="s">
        <v>291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349</v>
      </c>
      <c r="B10" s="51">
        <v>-5.68</v>
      </c>
      <c r="C10" s="51">
        <v>8.19</v>
      </c>
      <c r="D10" s="51">
        <v>28.03</v>
      </c>
      <c r="E10" s="51">
        <v>44</v>
      </c>
      <c r="F10" s="51">
        <v>50.52</v>
      </c>
    </row>
    <row r="11" spans="1:6" x14ac:dyDescent="0.25">
      <c r="A11" s="11" t="s">
        <v>357</v>
      </c>
      <c r="B11" s="27">
        <v>174</v>
      </c>
      <c r="C11" s="27">
        <v>158</v>
      </c>
      <c r="D11" s="27">
        <v>151</v>
      </c>
      <c r="E11" s="27">
        <v>148</v>
      </c>
      <c r="F11" s="27">
        <v>148</v>
      </c>
    </row>
    <row r="13" ht="24" customHeight="1" spans="1:6" x14ac:dyDescent="0.25">
      <c r="A13" s="18" t="s">
        <v>380</v>
      </c>
      <c r="B13" s="18"/>
      <c r="C13" s="18"/>
      <c r="D13" s="18"/>
      <c r="E13" s="18"/>
      <c r="F13" s="18"/>
    </row>
    <row r="14" spans="1:1" x14ac:dyDescent="0.25">
      <c r="A14" s="17" t="s">
        <v>381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347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288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290</v>
      </c>
      <c r="B18" s="31">
        <v>-655006</v>
      </c>
      <c r="C18" s="31">
        <v>-282829</v>
      </c>
      <c r="D18" s="31">
        <v>373244</v>
      </c>
      <c r="E18" s="31">
        <v>898152</v>
      </c>
      <c r="F18" s="31">
        <v>1102452</v>
      </c>
    </row>
    <row r="19" spans="1:6" x14ac:dyDescent="0.25">
      <c r="A19" s="11" t="s">
        <v>291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349</v>
      </c>
      <c r="B20" s="51">
        <v>-12.15</v>
      </c>
      <c r="C20" s="51">
        <v>-4.68</v>
      </c>
      <c r="D20" s="51">
        <v>8.49</v>
      </c>
      <c r="E20" s="51">
        <v>19.03</v>
      </c>
      <c r="F20" s="51">
        <v>23.13</v>
      </c>
    </row>
    <row r="21" spans="1:6" x14ac:dyDescent="0.25">
      <c r="A21" s="11" t="s">
        <v>357</v>
      </c>
      <c r="B21" s="27">
        <v>230</v>
      </c>
      <c r="C21" s="27">
        <v>191</v>
      </c>
      <c r="D21" s="27">
        <v>177</v>
      </c>
      <c r="E21" s="27">
        <v>171</v>
      </c>
      <c r="F21" s="27">
        <v>170</v>
      </c>
    </row>
    <row r="23" ht="24" customHeight="1" spans="1:6" x14ac:dyDescent="0.25">
      <c r="A23" s="18" t="s">
        <v>382</v>
      </c>
      <c r="B23" s="18"/>
      <c r="C23" s="18"/>
      <c r="D23" s="18"/>
      <c r="E23" s="18"/>
      <c r="F23" s="18"/>
    </row>
    <row r="24" spans="1:1" x14ac:dyDescent="0.25">
      <c r="A24" s="17" t="s">
        <v>383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347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288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290</v>
      </c>
      <c r="B28" s="31">
        <v>-397339</v>
      </c>
      <c r="C28" s="31">
        <v>230111</v>
      </c>
      <c r="D28" s="31">
        <v>1151944</v>
      </c>
      <c r="E28" s="31">
        <v>1893626</v>
      </c>
      <c r="F28" s="31">
        <v>2194195</v>
      </c>
    </row>
    <row r="29" spans="1:6" x14ac:dyDescent="0.25">
      <c r="A29" s="11" t="s">
        <v>291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349</v>
      </c>
      <c r="B30" s="51">
        <v>-6.97</v>
      </c>
      <c r="C30" s="51">
        <v>5.62</v>
      </c>
      <c r="D30" s="51">
        <v>24.12</v>
      </c>
      <c r="E30" s="51">
        <v>39.01</v>
      </c>
      <c r="F30" s="51">
        <v>45.04</v>
      </c>
    </row>
    <row r="31" spans="1:6" x14ac:dyDescent="0.25">
      <c r="A31" s="11" t="s">
        <v>357</v>
      </c>
      <c r="B31" s="27">
        <v>191</v>
      </c>
      <c r="C31" s="27">
        <v>171</v>
      </c>
      <c r="D31" s="27">
        <v>163</v>
      </c>
      <c r="E31" s="27">
        <v>160</v>
      </c>
      <c r="F31" s="27">
        <v>159</v>
      </c>
    </row>
    <row r="33" ht="24" customHeight="1" spans="1:6" x14ac:dyDescent="0.25">
      <c r="A33" s="18" t="s">
        <v>384</v>
      </c>
      <c r="B33" s="18"/>
      <c r="C33" s="18"/>
      <c r="D33" s="18"/>
      <c r="E33" s="18"/>
      <c r="F33" s="18"/>
    </row>
    <row r="34" spans="1:1" x14ac:dyDescent="0.25">
      <c r="A34" s="17" t="s">
        <v>385</v>
      </c>
    </row>
    <row r="35" ht="28" customHeight="1" spans="1:6" x14ac:dyDescent="0.25">
      <c r="A35" s="20" t="s">
        <v>7</v>
      </c>
      <c r="B35" s="20" t="s">
        <v>101</v>
      </c>
      <c r="C35" s="20" t="s">
        <v>102</v>
      </c>
      <c r="D35" s="20" t="s">
        <v>103</v>
      </c>
      <c r="E35" s="20" t="s">
        <v>104</v>
      </c>
      <c r="F35" s="20" t="s">
        <v>105</v>
      </c>
    </row>
    <row r="36" spans="1:6" x14ac:dyDescent="0.25">
      <c r="A36" s="11" t="s">
        <v>347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288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290</v>
      </c>
      <c r="B38" s="31">
        <v>-379423</v>
      </c>
      <c r="C38" s="31">
        <v>268736</v>
      </c>
      <c r="D38" s="31">
        <v>1212946</v>
      </c>
      <c r="E38" s="31">
        <v>1972849</v>
      </c>
      <c r="F38" s="31">
        <v>2281422</v>
      </c>
    </row>
    <row r="39" spans="1:6" x14ac:dyDescent="0.25">
      <c r="A39" s="11" t="s">
        <v>291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349</v>
      </c>
      <c r="B40" s="51">
        <v>-6.62</v>
      </c>
      <c r="C40" s="51">
        <v>6.39</v>
      </c>
      <c r="D40" s="51">
        <v>25.34</v>
      </c>
      <c r="E40" s="51">
        <v>40.6</v>
      </c>
      <c r="F40" s="51">
        <v>46.79</v>
      </c>
    </row>
    <row r="41" spans="1:6" x14ac:dyDescent="0.25">
      <c r="A41" s="11" t="s">
        <v>357</v>
      </c>
      <c r="B41" s="27">
        <v>186</v>
      </c>
      <c r="C41" s="27">
        <v>167</v>
      </c>
      <c r="D41" s="27">
        <v>159</v>
      </c>
      <c r="E41" s="27">
        <v>156</v>
      </c>
      <c r="F41" s="27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8" t="s">
        <v>389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347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288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290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390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391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8" t="s">
        <v>392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393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349</v>
      </c>
      <c r="D22" s="51">
        <v>-5.68</v>
      </c>
      <c r="E22" s="51">
        <v>8.19</v>
      </c>
      <c r="F22" s="51">
        <v>28.03</v>
      </c>
      <c r="G22" s="51">
        <v>44</v>
      </c>
      <c r="H22" s="51">
        <v>50.52</v>
      </c>
    </row>
    <row r="23" spans="1:8" x14ac:dyDescent="0.25">
      <c r="A23" s="11" t="s">
        <v>198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394</v>
      </c>
      <c r="D24" s="27">
        <v>120</v>
      </c>
      <c r="E24" s="27">
        <v>200</v>
      </c>
      <c r="F24" s="27">
        <v>300</v>
      </c>
      <c r="G24" s="27">
        <v>375</v>
      </c>
      <c r="H24" s="27">
        <v>400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396</v>
      </c>
      <c r="C2" s="1"/>
      <c r="D2" s="1"/>
      <c r="E2" s="1"/>
      <c r="F2" s="1"/>
      <c r="G2" s="1"/>
    </row>
    <row r="3" spans="2:7" x14ac:dyDescent="0.25">
      <c r="B3" s="53" t="s">
        <v>397</v>
      </c>
      <c r="C3" s="53"/>
      <c r="D3" s="53"/>
      <c r="E3" s="53"/>
      <c r="F3" s="53"/>
      <c r="G3" s="53"/>
    </row>
    <row r="5" ht="24" customHeight="1" spans="2:7" x14ac:dyDescent="0.25">
      <c r="B5" s="18" t="s">
        <v>398</v>
      </c>
      <c r="C5" s="54" t="s">
        <v>399</v>
      </c>
      <c r="D5" s="54" t="s">
        <v>400</v>
      </c>
      <c r="E5" s="54" t="s">
        <v>401</v>
      </c>
      <c r="F5" s="54" t="s">
        <v>402</v>
      </c>
      <c r="G5" s="54" t="s">
        <v>403</v>
      </c>
    </row>
    <row r="6" spans="2:7" x14ac:dyDescent="0.25">
      <c r="B6" s="11" t="s">
        <v>394</v>
      </c>
      <c r="C6" s="55">
        <v>120</v>
      </c>
      <c r="D6" s="55">
        <v>200</v>
      </c>
      <c r="E6" s="55">
        <v>300</v>
      </c>
      <c r="F6" s="55">
        <v>375</v>
      </c>
      <c r="G6" s="55">
        <v>400</v>
      </c>
    </row>
    <row r="7" spans="2:7" x14ac:dyDescent="0.25">
      <c r="B7" s="11" t="s">
        <v>347</v>
      </c>
      <c r="C7" s="56">
        <v>1288333.3333333335</v>
      </c>
      <c r="D7" s="56">
        <v>2564700</v>
      </c>
      <c r="E7" s="56">
        <v>3893503</v>
      </c>
      <c r="F7" s="56">
        <v>4977371.484999999</v>
      </c>
      <c r="G7" s="56">
        <v>5458717.7285</v>
      </c>
    </row>
    <row r="8" spans="2:7" x14ac:dyDescent="0.25">
      <c r="B8" s="11" t="s">
        <v>309</v>
      </c>
      <c r="C8" s="56">
        <v>1026431.25</v>
      </c>
      <c r="D8" s="56">
        <v>1268669.0250000001</v>
      </c>
      <c r="E8" s="56">
        <v>1306729.0957499999</v>
      </c>
      <c r="F8" s="56">
        <v>1345930.9686225</v>
      </c>
      <c r="G8" s="56">
        <v>1386308.8976811753</v>
      </c>
    </row>
    <row r="9" spans="2:7" x14ac:dyDescent="0.25">
      <c r="B9" s="11" t="s">
        <v>310</v>
      </c>
      <c r="C9" s="56">
        <v>545000</v>
      </c>
      <c r="D9" s="56">
        <v>887860</v>
      </c>
      <c r="E9" s="56">
        <v>1190329.8</v>
      </c>
      <c r="F9" s="56">
        <v>1439121.459</v>
      </c>
      <c r="G9" s="56">
        <v>1555453.1754200002</v>
      </c>
    </row>
    <row r="10" spans="2:7" x14ac:dyDescent="0.25">
      <c r="B10" s="11" t="s">
        <v>311</v>
      </c>
      <c r="C10" s="56">
        <v>49824.605221179416</v>
      </c>
      <c r="D10" s="56">
        <v>49824.605221179416</v>
      </c>
      <c r="E10" s="56">
        <v>49824.605221179416</v>
      </c>
      <c r="F10" s="56">
        <v>49824.605221179416</v>
      </c>
      <c r="G10" s="56">
        <v>49824.605221179416</v>
      </c>
    </row>
    <row r="11" spans="2:7" x14ac:dyDescent="0.25">
      <c r="B11" s="10" t="s">
        <v>404</v>
      </c>
      <c r="C11" s="57">
        <v>-447922.5218878458</v>
      </c>
      <c r="D11" s="58">
        <v>318346.3697788203</v>
      </c>
      <c r="E11" s="58">
        <v>1306619.4990288205</v>
      </c>
      <c r="F11" s="58">
        <v>2117494.45215632</v>
      </c>
      <c r="G11" s="58">
        <v>2447131.0501776454</v>
      </c>
    </row>
    <row r="12" spans="2:7" x14ac:dyDescent="0.25">
      <c r="B12" s="10" t="s">
        <v>351</v>
      </c>
      <c r="C12" s="57">
        <v>-190250</v>
      </c>
      <c r="D12" s="58">
        <v>128096.36977882031</v>
      </c>
      <c r="E12" s="58">
        <v>1434715.8688076409</v>
      </c>
      <c r="F12" s="58">
        <v>3552210.320963961</v>
      </c>
      <c r="G12" s="58">
        <v>5999341.371141607</v>
      </c>
    </row>
    <row r="13" spans="2:7" x14ac:dyDescent="0.25">
      <c r="B13" s="10" t="s">
        <v>393</v>
      </c>
      <c r="C13" s="59">
        <v>-0.34767595489354136</v>
      </c>
      <c r="D13" s="60">
        <v>0.12412616281780338</v>
      </c>
      <c r="E13" s="60">
        <v>0.33558969879535744</v>
      </c>
      <c r="F13" s="60">
        <v>0.42542423416409325</v>
      </c>
      <c r="G13" s="60">
        <v>0.44829778198663</v>
      </c>
    </row>
    <row r="14" spans="2:7" x14ac:dyDescent="0.25">
      <c r="B14" s="10" t="s">
        <v>240</v>
      </c>
      <c r="C14" s="56">
        <v>10736.111111111113</v>
      </c>
      <c r="D14" s="56">
        <v>12823.5</v>
      </c>
      <c r="E14" s="56">
        <v>12978.343333333334</v>
      </c>
      <c r="F14" s="56">
        <v>13272.990626666666</v>
      </c>
      <c r="G14" s="56">
        <v>13646.794321250001</v>
      </c>
    </row>
    <row r="15" spans="2:7" x14ac:dyDescent="0.25">
      <c r="B15" s="10" t="s">
        <v>405</v>
      </c>
      <c r="C15" s="59">
        <v>0.7967124838292367</v>
      </c>
      <c r="D15" s="60">
        <v>0.49466566265060247</v>
      </c>
      <c r="E15" s="60">
        <v>0.3356178474114441</v>
      </c>
      <c r="F15" s="60">
        <v>0.27040998902305163</v>
      </c>
      <c r="G15" s="60">
        <v>0.25396237113402065</v>
      </c>
    </row>
    <row r="16" spans="2:7" x14ac:dyDescent="0.25">
      <c r="B16" s="10" t="s">
        <v>406</v>
      </c>
      <c r="C16" s="60">
        <v>0.12690815006468303</v>
      </c>
      <c r="D16" s="60">
        <v>0.10385542168674698</v>
      </c>
      <c r="E16" s="60">
        <v>0.09171662125340599</v>
      </c>
      <c r="F16" s="60">
        <v>0.08673984632272229</v>
      </c>
      <c r="G16" s="60">
        <v>0.08548453608247424</v>
      </c>
    </row>
    <row r="17" spans="2:7" x14ac:dyDescent="0.25">
      <c r="B17" s="10" t="s">
        <v>407</v>
      </c>
      <c r="C17" s="59">
        <v>-0.21973965071151344</v>
      </c>
      <c r="D17" s="60">
        <v>0.15914959839357423</v>
      </c>
      <c r="E17" s="60">
        <v>0.3586600817438692</v>
      </c>
      <c r="F17" s="60">
        <v>0.4404571899012074</v>
      </c>
      <c r="G17" s="60">
        <v>0.4610891752577319</v>
      </c>
    </row>
    <row r="18" spans="2:7" x14ac:dyDescent="0.25">
      <c r="B18" s="10" t="s">
        <v>349</v>
      </c>
      <c r="C18" s="61">
        <v>-5.681889809461599</v>
      </c>
      <c r="D18" s="62">
        <v>8.192156730355682</v>
      </c>
      <c r="E18" s="62">
        <v>28.027198570886025</v>
      </c>
      <c r="F18" s="62">
        <v>44.00073111759629</v>
      </c>
      <c r="G18" s="62">
        <v>50.51631908021458</v>
      </c>
    </row>
    <row r="19" spans="2:7" x14ac:dyDescent="0.25">
      <c r="B19" s="10" t="s">
        <v>408</v>
      </c>
      <c r="C19" s="63" t="s">
        <v>400</v>
      </c>
      <c r="D19" s="63"/>
      <c r="E19" s="63"/>
      <c r="F19" s="63"/>
      <c r="G19" s="63"/>
    </row>
    <row r="20" spans="2:7" x14ac:dyDescent="0.25">
      <c r="B20" s="10" t="s">
        <v>409</v>
      </c>
      <c r="C20" s="64" t="s">
        <v>410</v>
      </c>
      <c r="D20" s="64"/>
      <c r="E20" s="64"/>
      <c r="F20" s="64"/>
      <c r="G20" s="64"/>
    </row>
    <row r="22" ht="24" customHeight="1" spans="2:7" x14ac:dyDescent="0.25">
      <c r="B22" s="18" t="s">
        <v>411</v>
      </c>
      <c r="C22" s="18" t="s">
        <v>412</v>
      </c>
      <c r="D22" s="18" t="s">
        <v>413</v>
      </c>
      <c r="E22" s="18"/>
      <c r="F22" s="18" t="s">
        <v>414</v>
      </c>
      <c r="G22" s="18"/>
    </row>
    <row r="23" ht="45" customHeight="1" spans="2:7" x14ac:dyDescent="0.25">
      <c r="B23" s="40" t="s">
        <v>415</v>
      </c>
      <c r="C23" s="65" t="s">
        <v>416</v>
      </c>
      <c r="D23" s="66" t="s">
        <v>417</v>
      </c>
      <c r="E23" s="66"/>
      <c r="F23" s="67" t="s">
        <v>418</v>
      </c>
      <c r="G23" s="67"/>
    </row>
    <row r="24" ht="45" customHeight="1" spans="2:7" x14ac:dyDescent="0.25">
      <c r="B24" s="40" t="s">
        <v>419</v>
      </c>
      <c r="C24" s="68" t="s">
        <v>420</v>
      </c>
      <c r="D24" s="66" t="s">
        <v>421</v>
      </c>
      <c r="E24" s="66"/>
      <c r="F24" s="67" t="s">
        <v>422</v>
      </c>
      <c r="G24" s="67"/>
    </row>
    <row r="25" ht="45" customHeight="1" spans="2:7" x14ac:dyDescent="0.25">
      <c r="B25" s="40" t="s">
        <v>423</v>
      </c>
      <c r="C25" s="65" t="s">
        <v>416</v>
      </c>
      <c r="D25" s="66" t="s">
        <v>424</v>
      </c>
      <c r="E25" s="66"/>
      <c r="F25" s="67" t="s">
        <v>425</v>
      </c>
      <c r="G25" s="67"/>
    </row>
    <row r="26" ht="45" customHeight="1" spans="2:7" x14ac:dyDescent="0.25">
      <c r="B26" s="40" t="s">
        <v>426</v>
      </c>
      <c r="C26" s="65" t="s">
        <v>416</v>
      </c>
      <c r="D26" s="66" t="s">
        <v>427</v>
      </c>
      <c r="E26" s="66"/>
      <c r="F26" s="67" t="s">
        <v>428</v>
      </c>
      <c r="G26" s="67"/>
    </row>
    <row r="27" ht="45" customHeight="1" spans="2:7" x14ac:dyDescent="0.25">
      <c r="B27" s="40" t="s">
        <v>429</v>
      </c>
      <c r="C27" s="65" t="s">
        <v>416</v>
      </c>
      <c r="D27" s="66" t="s">
        <v>430</v>
      </c>
      <c r="E27" s="66"/>
      <c r="F27" s="67" t="s">
        <v>431</v>
      </c>
      <c r="G27" s="67"/>
    </row>
    <row r="28" ht="45" customHeight="1" spans="2:7" x14ac:dyDescent="0.25">
      <c r="B28" s="40" t="s">
        <v>432</v>
      </c>
      <c r="C28" s="65" t="s">
        <v>416</v>
      </c>
      <c r="D28" s="66" t="s">
        <v>433</v>
      </c>
      <c r="E28" s="66"/>
      <c r="F28" s="67" t="s">
        <v>434</v>
      </c>
      <c r="G28" s="67"/>
    </row>
    <row r="29" ht="45" customHeight="1" spans="2:7" x14ac:dyDescent="0.25">
      <c r="B29" s="40" t="s">
        <v>435</v>
      </c>
      <c r="C29" s="65" t="s">
        <v>416</v>
      </c>
      <c r="D29" s="66" t="s">
        <v>436</v>
      </c>
      <c r="E29" s="66"/>
      <c r="F29" s="67" t="s">
        <v>437</v>
      </c>
      <c r="G29" s="67"/>
    </row>
    <row r="31" spans="2:5" x14ac:dyDescent="0.25">
      <c r="B31" s="40" t="s">
        <v>438</v>
      </c>
      <c r="C31" s="10" t="s">
        <v>439</v>
      </c>
      <c r="D31" s="10"/>
      <c r="E31" s="10"/>
    </row>
    <row r="33" spans="2:7" x14ac:dyDescent="0.25">
      <c r="B33" s="69" t="s">
        <v>440</v>
      </c>
      <c r="C33" s="69"/>
      <c r="D33" s="69"/>
      <c r="E33" s="69"/>
      <c r="F33" s="69"/>
      <c r="G33" s="6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