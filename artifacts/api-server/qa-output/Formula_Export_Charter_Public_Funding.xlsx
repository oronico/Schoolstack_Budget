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<sst xmlns="http://schemas.openxmlformats.org/spreadsheetml/2006/main" count="481" uniqueCount="306">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</sst>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7" x14ac:dyDescent="0.25">
      <c r="B16" s="26" t="s">
        <v>258</v>
      </c>
      <c r="C16" s="54">
        <v>14418.798793509828</v>
      </c>
      <c r="D16" s="54">
        <v>10847.010526105896</v>
      </c>
      <c r="E16" s="54">
        <v>8240.211684070597</v>
      </c>
      <c r="F16" s="54">
        <v>7255.016365923145</v>
      </c>
      <c r="G16" s="54">
        <v>7091.165020452949</v>
      </c>
    </row>
    <row r="17" spans="2:7" x14ac:dyDescent="0.25">
      <c r="B17" s="13" t="s">
        <v>259</v>
      </c>
      <c r="C17" s="47">
        <v>700</v>
      </c>
      <c r="D17" s="47">
        <v>721</v>
      </c>
      <c r="E17" s="47">
        <v>743</v>
      </c>
      <c r="F17" s="47">
        <v>765</v>
      </c>
      <c r="G17" s="47">
        <v>788</v>
      </c>
    </row>
    <row r="18" spans="2:8" x14ac:dyDescent="0.25">
      <c r="B18" s="13" t="s">
        <v>260</v>
      </c>
      <c r="C18" s="55">
        <v>2350</v>
      </c>
      <c r="D18" s="52">
        <v>1452.3</v>
      </c>
      <c r="E18" s="52">
        <v>997.2213333333334</v>
      </c>
      <c r="F18" s="52">
        <v>821.7334186666667</v>
      </c>
      <c r="G18" s="52">
        <v>793.4822574000001</v>
      </c>
      <c r="H18" s="53" t="s">
        <v>261</v>
      </c>
    </row>
    <row r="19" spans="2:7" x14ac:dyDescent="0.25">
      <c r="B19" s="26" t="s">
        <v>262</v>
      </c>
      <c r="C19" s="56">
        <v>-1535.4654601764953</v>
      </c>
      <c r="D19" s="57">
        <v>1766.989473894103</v>
      </c>
      <c r="E19" s="57">
        <v>4375.121649262736</v>
      </c>
      <c r="F19" s="57">
        <v>5435.983634076855</v>
      </c>
      <c r="G19" s="57">
        <v>5869.834979547051</v>
      </c>
    </row>
    <row r="20" spans="2:8" x14ac:dyDescent="0.25">
      <c r="B20" s="26" t="s">
        <v>263</v>
      </c>
      <c r="C20" s="50">
        <v>0.6639270698576973</v>
      </c>
      <c r="D20" s="51">
        <v>0.48823430315522437</v>
      </c>
      <c r="E20" s="51">
        <v>0.3254551339639592</v>
      </c>
      <c r="F20" s="51">
        <v>0.25881175636277676</v>
      </c>
      <c r="G20" s="51">
        <v>0.23758149448345034</v>
      </c>
      <c r="H20" s="53" t="s">
        <v>264</v>
      </c>
    </row>
    <row r="21" spans="2:8" x14ac:dyDescent="0.25">
      <c r="B21" s="26" t="s">
        <v>265</v>
      </c>
      <c r="C21" s="58">
        <v>0.18240620957309184</v>
      </c>
      <c r="D21" s="51">
        <v>0.1151339781195497</v>
      </c>
      <c r="E21" s="51">
        <v>0.07904835385509698</v>
      </c>
      <c r="F21" s="51">
        <v>0.06474930412628371</v>
      </c>
      <c r="G21" s="51">
        <v>0.06122075900007716</v>
      </c>
      <c r="H21" s="53" t="s">
        <v>266</v>
      </c>
    </row>
    <row r="22" spans="2:8" x14ac:dyDescent="0.25">
      <c r="B22" s="26" t="s">
        <v>267</v>
      </c>
      <c r="C22" s="50">
        <v>-0.08695423673997413</v>
      </c>
      <c r="D22" s="51">
        <v>0.15983133819565562</v>
      </c>
      <c r="E22" s="51">
        <v>0.35997492469481585</v>
      </c>
      <c r="F22" s="51">
        <v>0.4388030295484989</v>
      </c>
      <c r="G22" s="51">
        <v>0.4624949072293804</v>
      </c>
      <c r="H22" s="53" t="s">
        <v>268</v>
      </c>
    </row>
    <row r="23" spans="2:8" x14ac:dyDescent="0.25">
      <c r="B23" s="26" t="s">
        <v>269</v>
      </c>
      <c r="C23" s="59">
        <v>3</v>
      </c>
      <c r="D23" s="59">
        <v>3</v>
      </c>
      <c r="E23" s="59">
        <v>3</v>
      </c>
      <c r="F23" s="59">
        <v>3</v>
      </c>
      <c r="G23" s="59">
        <v>3</v>
      </c>
      <c r="H23" s="53" t="s">
        <v>270</v>
      </c>
    </row>
    <row r="24" spans="2:8" x14ac:dyDescent="0.25">
      <c r="B24" s="26" t="s">
        <v>271</v>
      </c>
      <c r="C24" s="60">
        <v>-2.698089616630942</v>
      </c>
      <c r="D24" s="61">
        <v>8.092838833544805</v>
      </c>
      <c r="E24" s="61">
        <v>27.34313887590801</v>
      </c>
      <c r="F24" s="61">
        <v>41.91339718056208</v>
      </c>
      <c r="G24" s="61">
        <v>48.12398585791026</v>
      </c>
      <c r="H24" s="53" t="s">
        <v>272</v>
      </c>
    </row>
    <row r="25" spans="2:8" x14ac:dyDescent="0.25">
      <c r="B25" s="26" t="s">
        <v>273</v>
      </c>
      <c r="C25" s="62" t="str">
        <f>IF('5-Year Model'!B63&gt;=0,"✓ Break-even","")</f>
        <v>0</v>
      </c>
      <c r="D25" s="36" t="str">
        <f>IF(AND('5-Year Model'!C63&gt;=0,'5-Year Model'!B63&lt;0),"✓ Break-even","")</f>
        <v>✓ Break-even</v>
      </c>
      <c r="E25" s="62" t="str">
        <f>IF(AND('5-Year Model'!D63&gt;=0,'5-Year Model'!C63&lt;0),"✓ Break-even","")</f>
        <v>0</v>
      </c>
      <c r="F25" s="62" t="str">
        <f>IF(AND('5-Year Model'!E63&gt;=0,'5-Year Model'!D63&lt;0),"✓ Break-even","")</f>
        <v>0</v>
      </c>
      <c r="G25" s="62" t="str">
        <f>IF(AND('5-Year Model'!F63&gt;=0,'5-Year Model'!E63&lt;0),"✓ Break-even","")</f>
        <v>0</v>
      </c>
      <c r="H25" s="53" t="s">
        <v>245</v>
      </c>
    </row>
    <row r="26" spans="2:8" x14ac:dyDescent="0.25">
      <c r="B26" s="26" t="s">
        <v>274</v>
      </c>
      <c r="C26" s="63">
        <v>-1</v>
      </c>
      <c r="D26" s="63">
        <v>1</v>
      </c>
      <c r="E26" s="63">
        <v>7</v>
      </c>
      <c r="F26" s="64">
        <v>16</v>
      </c>
      <c r="G26" s="59">
        <v>25</v>
      </c>
      <c r="H26" s="53" t="s">
        <v>275</v>
      </c>
    </row>
    <row r="27" spans="2:8" x14ac:dyDescent="0.25">
      <c r="B27" s="26" t="s">
        <v>193</v>
      </c>
      <c r="C27" s="63">
        <v>0</v>
      </c>
      <c r="D27" s="63">
        <v>28</v>
      </c>
      <c r="E27" s="59">
        <v>219</v>
      </c>
      <c r="F27" s="59">
        <v>472</v>
      </c>
      <c r="G27" s="59">
        <v>755</v>
      </c>
      <c r="H27" s="53" t="s">
        <v>276</v>
      </c>
    </row>
    <row r="29" ht="24" customHeight="1" spans="2:8" x14ac:dyDescent="0.25">
      <c r="B29" s="12" t="s">
        <v>277</v>
      </c>
      <c r="C29" s="12" t="s">
        <v>278</v>
      </c>
      <c r="D29" s="12" t="s">
        <v>279</v>
      </c>
      <c r="E29" s="12"/>
      <c r="F29" s="12" t="s">
        <v>280</v>
      </c>
      <c r="G29" s="12"/>
      <c r="H29" s="12"/>
    </row>
    <row r="30" ht="45" customHeight="1" spans="2:8" x14ac:dyDescent="0.25">
      <c r="B30" s="65" t="s">
        <v>281</v>
      </c>
      <c r="C30" s="36" t="s">
        <v>282</v>
      </c>
      <c r="D30" s="66" t="s">
        <v>283</v>
      </c>
      <c r="E30" s="66"/>
      <c r="F30" s="67" t="s">
        <v>284</v>
      </c>
      <c r="G30" s="67"/>
      <c r="H30" s="67"/>
    </row>
    <row r="31" ht="45" customHeight="1" spans="2:8" x14ac:dyDescent="0.25">
      <c r="B31" s="65" t="s">
        <v>285</v>
      </c>
      <c r="C31" s="68" t="s">
        <v>286</v>
      </c>
      <c r="D31" s="66" t="s">
        <v>287</v>
      </c>
      <c r="E31" s="66"/>
      <c r="F31" s="67" t="s">
        <v>288</v>
      </c>
      <c r="G31" s="67"/>
      <c r="H31" s="67"/>
    </row>
    <row r="32" ht="45" customHeight="1" spans="2:8" x14ac:dyDescent="0.25">
      <c r="B32" s="65" t="s">
        <v>289</v>
      </c>
      <c r="C32" s="36" t="s">
        <v>282</v>
      </c>
      <c r="D32" s="66" t="s">
        <v>290</v>
      </c>
      <c r="E32" s="66"/>
      <c r="F32" s="67" t="s">
        <v>291</v>
      </c>
      <c r="G32" s="67"/>
      <c r="H32" s="67"/>
    </row>
    <row r="33" ht="45" customHeight="1" spans="2:8" x14ac:dyDescent="0.25">
      <c r="B33" s="65" t="s">
        <v>292</v>
      </c>
      <c r="C33" s="36" t="s">
        <v>282</v>
      </c>
      <c r="D33" s="66" t="s">
        <v>293</v>
      </c>
      <c r="E33" s="66"/>
      <c r="F33" s="67" t="s">
        <v>294</v>
      </c>
      <c r="G33" s="67"/>
      <c r="H33" s="67"/>
    </row>
    <row r="34" ht="45" customHeight="1" spans="2:8" x14ac:dyDescent="0.25">
      <c r="B34" s="65" t="s">
        <v>295</v>
      </c>
      <c r="C34" s="36" t="s">
        <v>282</v>
      </c>
      <c r="D34" s="66" t="s">
        <v>296</v>
      </c>
      <c r="E34" s="66"/>
      <c r="F34" s="67" t="s">
        <v>297</v>
      </c>
      <c r="G34" s="67"/>
      <c r="H34" s="67"/>
    </row>
    <row r="35" ht="45" customHeight="1" spans="2:8" x14ac:dyDescent="0.25">
      <c r="B35" s="65" t="s">
        <v>298</v>
      </c>
      <c r="C35" s="36" t="s">
        <v>282</v>
      </c>
      <c r="D35" s="66" t="s">
        <v>299</v>
      </c>
      <c r="E35" s="66"/>
      <c r="F35" s="67" t="s">
        <v>300</v>
      </c>
      <c r="G35" s="67"/>
      <c r="H35" s="67"/>
    </row>
    <row r="36" ht="45" customHeight="1" spans="2:8" x14ac:dyDescent="0.25">
      <c r="B36" s="65" t="s">
        <v>301</v>
      </c>
      <c r="C36" s="36" t="s">
        <v>282</v>
      </c>
      <c r="D36" s="66" t="s">
        <v>302</v>
      </c>
      <c r="E36" s="66"/>
      <c r="F36" s="67" t="s">
        <v>303</v>
      </c>
      <c r="G36" s="67"/>
      <c r="H36" s="67"/>
    </row>
    <row r="38" spans="2:6" x14ac:dyDescent="0.25">
      <c r="B38" s="65" t="s">
        <v>304</v>
      </c>
      <c r="C38" s="26" t="s">
        <v>305</v>
      </c>
      <c r="D38" s="26"/>
      <c r="E38" s="26"/>
      <c r="F38" s="26"/>
    </row>
    <row r="40" spans="2:8" x14ac:dyDescent="0.25">
      <c r="B40" s="69" t="s">
        <v>144</v>
      </c>
      <c r="C40" s="69"/>
      <c r="D40" s="69"/>
      <c r="E40" s="69"/>
      <c r="F40" s="69"/>
      <c r="G40" s="69"/>
      <c r="H40" s="69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