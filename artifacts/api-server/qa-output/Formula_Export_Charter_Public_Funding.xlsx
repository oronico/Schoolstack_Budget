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ssumptions" state="visible" r:id="rId5"/>
    <sheet sheetId="3" name="5-Year Model" state="visible" r:id="rId6"/>
    <sheet sheetId="4" name="Year 1 Pro Forma" state="visible" r:id="rId7"/>
    <sheet sheetId="5" name="Decision History" state="visible" r:id="rId8"/>
    <sheet sheetId="6" name="Financial Health" state="visible" r:id="rId9"/>
  </sheets>
  <definedNames>
    <definedName name="_xlnm.Print_Area" localSheetId="0">'Instructions'!$A1:$B37</definedName>
    <definedName name="_xlnm.Print_Titles" localSheetId="0">'Instructions'!$1:$2</definedName>
    <definedName name="_xlnm.Print_Area" localSheetId="1">'Assumptions'!$A1:$J70</definedName>
    <definedName name="_xlnm.Print_Titles" localSheetId="1">'Assumptions'!$1:$3</definedName>
    <definedName name="_xlnm.Print_Area" localSheetId="2">'5-Year Model'!$A1:$F91</definedName>
    <definedName name="_xlnm.Print_Titles" localSheetId="2">'5-Year Model'!$1:$2</definedName>
    <definedName name="_xlnm.Print_Area" localSheetId="3">'Year 1 Pro Forma'!$A1:$N58</definedName>
    <definedName name="_xlnm.Print_Titles" localSheetId="3">'Year 1 Pro Forma'!$1:$2</definedName>
    <definedName name="_xlnm.Print_Area" localSheetId="4">'Decision History'!$A1:$H4</definedName>
    <definedName name="_xlnm.Print_Titles" localSheetId="4">'Decision History'!$1:$2</definedName>
    <definedName name="_xlnm.Print_Area" localSheetId="5">'Financial Health'!$A1:$I40</definedName>
    <definedName name="_xlnm.Print_Titles" localSheetId="5">'Financial Health'!$1:$2</definedName>
  </definedNames>
  <calcPr calcId="171027" fullCalcOnLoad="1"/>
</workbook>
</file>

<file path=xl/sharedStrings.xml><?xml version="1.0" encoding="utf-8"?>
<sst xmlns="http://schemas.openxmlformats.org/spreadsheetml/2006/main" count="485" uniqueCount="310">
  <si>
    <t>How to Use This Workbook</t>
  </si>
  <si>
    <t>Civic Scholars Charter</t>
  </si>
  <si>
    <t>Generated May 9, 2026 · nonprofit_501c3</t>
  </si>
  <si>
    <t>Cell Color Legend</t>
  </si>
  <si>
    <t xml:space="preserve">  Blue cells are editable inputs — change these to update your model.</t>
  </si>
  <si>
    <t xml:space="preserve">  White cells contain formulas — do not edit (they recalculate automatically).</t>
  </si>
  <si>
    <t xml:space="preserve">  Green cells are key outputs and summary metrics.</t>
  </si>
  <si>
    <t/>
  </si>
  <si>
    <t>Navigation</t>
  </si>
  <si>
    <t>The Assumptions tab is the central control panel — all other tabs reference it.</t>
  </si>
  <si>
    <t>Structure</t>
  </si>
  <si>
    <t>5-Year Model: Detailed revenue, expense, and cash projections</t>
  </si>
  <si>
    <t>Pro Forma: Consolidated income statement</t>
  </si>
  <si>
    <t>Actuals vs Projections: Variance tracking</t>
  </si>
  <si>
    <t>Financial Health: Key metrics dashboard</t>
  </si>
  <si>
    <t>Debt Service Convention</t>
  </si>
  <si>
    <t>operating expense on the Operating Statement. This is a standard</t>
  </si>
  <si>
    <t>simplification used in school financial underwriting that ensures internal</t>
  </si>
  <si>
    <t>consistency across all tabs.</t>
  </si>
  <si>
    <t>Tips</t>
  </si>
  <si>
    <t>Check the Financial Health dashboard for an at-a-glance assessment.</t>
  </si>
  <si>
    <t>Review key metrics: net margin, cash runway, and DSCR.</t>
  </si>
  <si>
    <t>Next Steps</t>
  </si>
  <si>
    <t>2. Verify enrollment and revenue projections match your plan.</t>
  </si>
  <si>
    <t>3. Check the Financial Health dashboard for risk signals.</t>
  </si>
  <si>
    <t>4. Share this workbook with your lender or financial advisor.</t>
  </si>
  <si>
    <t>5. Update inputs as your school's plan evolves.</t>
  </si>
  <si>
    <t>Disclaimer</t>
  </si>
  <si>
    <t>a loan commitment, or a guarantee of funding. All projections are based on</t>
  </si>
  <si>
    <t>user-provided assumptions and should be independently verified.</t>
  </si>
  <si>
    <t>Civic Scholars Charter - Financial Model Assumptions</t>
  </si>
  <si>
    <t>Editable assumption — change this value</t>
  </si>
  <si>
    <t>Calculated — driven by formula</t>
  </si>
  <si>
    <t>SCHOOL PROFILE</t>
  </si>
  <si>
    <t>School Name</t>
  </si>
  <si>
    <t>State</t>
  </si>
  <si>
    <t>OH</t>
  </si>
  <si>
    <t>School Type</t>
  </si>
  <si>
    <t>Charter School</t>
  </si>
  <si>
    <t>Legal Entity</t>
  </si>
  <si>
    <t>501(c)(3) Nonprofit</t>
  </si>
  <si>
    <t>EIN</t>
  </si>
  <si>
    <t>31-5551234</t>
  </si>
  <si>
    <t>Website</t>
  </si>
  <si>
    <t>N/A</t>
  </si>
  <si>
    <t>Fiscal Year Start</t>
  </si>
  <si>
    <t>July</t>
  </si>
  <si>
    <t>Maximum Capacity</t>
  </si>
  <si>
    <t>School Stage</t>
  </si>
  <si>
    <t>New School</t>
  </si>
  <si>
    <t>Location</t>
  </si>
  <si>
    <t>789 Elm Blvd, Columbus, OH, 43215</t>
  </si>
  <si>
    <t>ENROLLMENT</t>
  </si>
  <si>
    <t>2026-27</t>
  </si>
  <si>
    <t>2027-28</t>
  </si>
  <si>
    <t>2028-29</t>
  </si>
  <si>
    <t>2029-30</t>
  </si>
  <si>
    <t>2030-31</t>
  </si>
  <si>
    <t>Students Enrolled</t>
  </si>
  <si>
    <t>REVENUE SOURCES</t>
  </si>
  <si>
    <t>Category</t>
  </si>
  <si>
    <t>Driver</t>
  </si>
  <si>
    <t>Yr 1 Amount</t>
  </si>
  <si>
    <t>Escalation %</t>
  </si>
  <si>
    <t>Billing Mo.</t>
  </si>
  <si>
    <t>Collection %</t>
  </si>
  <si>
    <t>Note</t>
  </si>
  <si>
    <t>State Per-Pupil Funding</t>
  </si>
  <si>
    <t>Public Funding</t>
  </si>
  <si>
    <t>Per Student</t>
  </si>
  <si>
    <t>Federal Title I</t>
  </si>
  <si>
    <t>Special Education Funding</t>
  </si>
  <si>
    <t>CSP Startup Grant</t>
  </si>
  <si>
    <t>Philanthropy</t>
  </si>
  <si>
    <t>Annual Fixed</t>
  </si>
  <si>
    <t>Annual Fundraising</t>
  </si>
  <si>
    <t>Food Service Revenue</t>
  </si>
  <si>
    <t>Other Revenue</t>
  </si>
  <si>
    <t>STAFFING ROSTER</t>
  </si>
  <si>
    <t>Function</t>
  </si>
  <si>
    <t>Type</t>
  </si>
  <si>
    <t>FTE</t>
  </si>
  <si>
    <t>Annual Rate</t>
  </si>
  <si>
    <t>Benefits %</t>
  </si>
  <si>
    <t>Payroll Tax %</t>
  </si>
  <si>
    <t>Benefits Elig.</t>
  </si>
  <si>
    <t>Notes</t>
  </si>
  <si>
    <t>Executive Director</t>
  </si>
  <si>
    <t>School Leadership</t>
  </si>
  <si>
    <t>FT</t>
  </si>
  <si>
    <t>Yes</t>
  </si>
  <si>
    <t>Principal</t>
  </si>
  <si>
    <t>Dean of Students</t>
  </si>
  <si>
    <t>Core Teachers [1:22]</t>
  </si>
  <si>
    <t>Instructional</t>
  </si>
  <si>
    <t>Special Education Teacher</t>
  </si>
  <si>
    <t>Instructional Aides</t>
  </si>
  <si>
    <t>Operations Manager</t>
  </si>
  <si>
    <t>Operations</t>
  </si>
  <si>
    <t>Office Staff</t>
  </si>
  <si>
    <t>Administrative</t>
  </si>
  <si>
    <t>School Counselor</t>
  </si>
  <si>
    <t>Student Support</t>
  </si>
  <si>
    <t>FACILITIES &amp; OCCUPANCY</t>
  </si>
  <si>
    <t>Amount</t>
  </si>
  <si>
    <t>Frequency</t>
  </si>
  <si>
    <t>Ownership Type</t>
  </si>
  <si>
    <t>Rent</t>
  </si>
  <si>
    <t>Monthly Rent</t>
  </si>
  <si>
    <t>Monthly</t>
  </si>
  <si>
    <t>Annual Rent Escalation</t>
  </si>
  <si>
    <t>OPERATING EXPENSES</t>
  </si>
  <si>
    <t>Facility Lease</t>
  </si>
  <si>
    <t>Occupancy / Facility</t>
  </si>
  <si>
    <t>Utilities</t>
  </si>
  <si>
    <t>Insurance</t>
  </si>
  <si>
    <t>Janitorial</t>
  </si>
  <si>
    <t>Curriculum &amp; Textbooks</t>
  </si>
  <si>
    <t>Instructional / Program</t>
  </si>
  <si>
    <t>Technology &amp; Devices</t>
  </si>
  <si>
    <t>Technology</t>
  </si>
  <si>
    <t>Marketing &amp; Recruitment</t>
  </si>
  <si>
    <t>Administrative / General</t>
  </si>
  <si>
    <t>Professional Development</t>
  </si>
  <si>
    <t>Legal &amp; Compliance</t>
  </si>
  <si>
    <t>Food Service</t>
  </si>
  <si>
    <t>Transportation</t>
  </si>
  <si>
    <t>CAPITAL &amp; DEBT</t>
  </si>
  <si>
    <t>Is Loan?</t>
  </si>
  <si>
    <t>Interest Rate</t>
  </si>
  <si>
    <t>Term (Yrs)</t>
  </si>
  <si>
    <t>Annual Payment</t>
  </si>
  <si>
    <t>Facility Improvement Loan</t>
  </si>
  <si>
    <t>FF&amp;E Purchase</t>
  </si>
  <si>
    <t>No</t>
  </si>
  <si>
    <t>Technology Infrastructure</t>
  </si>
  <si>
    <t>GROWTH &amp; TIMING ASSUMPTIONS</t>
  </si>
  <si>
    <t>Annual Salary Escalation</t>
  </si>
  <si>
    <t>General Cost Inflation</t>
  </si>
  <si>
    <t>Year 1 Proration Factor</t>
  </si>
  <si>
    <t>(10 of 12 months)</t>
  </si>
  <si>
    <t>Tuition Escalation Rate</t>
  </si>
  <si>
    <t>Management Fee %</t>
  </si>
  <si>
    <t>Starting Cash</t>
  </si>
  <si>
    <t>Built by SchoolStack Budget  •  budget.schoolstack.ai</t>
  </si>
  <si>
    <t>Civic Scholars Charter - 5-Year Financial Model</t>
  </si>
  <si>
    <t>Projections prepared on an accrual basis. School currently keeps books on a undetermined basis.</t>
  </si>
  <si>
    <t>REVENUE</t>
  </si>
  <si>
    <t>TOTAL REVENUE</t>
  </si>
  <si>
    <t>PERSONNEL</t>
  </si>
  <si>
    <t>Executive Director (School Leadership)</t>
  </si>
  <si>
    <t>Principal (School Leadership)</t>
  </si>
  <si>
    <t>Dean of Students (School Leadership)</t>
  </si>
  <si>
    <t>Core Teachers [1:22] (Instructional)</t>
  </si>
  <si>
    <t>Special Education Teacher (Instructional)</t>
  </si>
  <si>
    <t>Instructional Aides (Instructional)</t>
  </si>
  <si>
    <t>Operations Manager (Operations)</t>
  </si>
  <si>
    <t>Office Staff (Administrative)</t>
  </si>
  <si>
    <t>School Counselor (Student Support)</t>
  </si>
  <si>
    <t>TOTAL PERSONNEL</t>
  </si>
  <si>
    <t xml:space="preserve">  Curriculum &amp; Textbooks (Per Student)</t>
  </si>
  <si>
    <t>Total Instructional / Program</t>
  </si>
  <si>
    <t xml:space="preserve">  Technology &amp; Devices (Per Student)</t>
  </si>
  <si>
    <t>Total Technology</t>
  </si>
  <si>
    <t xml:space="preserve">  Facility Lease (Monthly)</t>
  </si>
  <si>
    <t xml:space="preserve">  Utilities (Monthly)</t>
  </si>
  <si>
    <t xml:space="preserve">  Insurance (Annual Fixed)</t>
  </si>
  <si>
    <t xml:space="preserve">  Janitorial (Monthly)</t>
  </si>
  <si>
    <t>Total Occupancy / Facility</t>
  </si>
  <si>
    <t xml:space="preserve">  Marketing &amp; Recruitment (Annual Fixed)</t>
  </si>
  <si>
    <t xml:space="preserve">  Professional Development (Annual Fixed)</t>
  </si>
  <si>
    <t xml:space="preserve">  Legal &amp; Compliance (Annual Fixed)</t>
  </si>
  <si>
    <t xml:space="preserve">  Food Service (Per Student)</t>
  </si>
  <si>
    <t xml:space="preserve">  Transportation (Per Student)</t>
  </si>
  <si>
    <t>Total Administrative / General</t>
  </si>
  <si>
    <t>TOTAL OPERATING EXPENSES</t>
  </si>
  <si>
    <t>CAPITAL &amp; DEBT SERVICE</t>
  </si>
  <si>
    <t>TOTAL CAPITAL &amp; DEBT SERVICE</t>
  </si>
  <si>
    <t>INCOME STATEMENT SUMMARY</t>
  </si>
  <si>
    <t>Total Revenue</t>
  </si>
  <si>
    <t>Total Personnel</t>
  </si>
  <si>
    <t>Total Operating Expenses</t>
  </si>
  <si>
    <t>Total Capital &amp; Debt Service</t>
  </si>
  <si>
    <t>Total Expenses</t>
  </si>
  <si>
    <t>Net Income</t>
  </si>
  <si>
    <t>Net Margin %</t>
  </si>
  <si>
    <t>Cumulative Net Income</t>
  </si>
  <si>
    <t>Break-even</t>
  </si>
  <si>
    <t>✓ Break-even</t>
  </si>
  <si>
    <t>CASH FLOW &amp; DEBT COVERAGE</t>
  </si>
  <si>
    <t>CFADS (Cash Flow Available for Debt Service)</t>
  </si>
  <si>
    <t>Debt Service</t>
  </si>
  <si>
    <t>DSCR (Debt Service Coverage Ratio)</t>
  </si>
  <si>
    <t>Ending Cash</t>
  </si>
  <si>
    <t>Days Cash on Hand</t>
  </si>
  <si>
    <t>Months of Runway</t>
  </si>
  <si>
    <t>Capacity Utilization %</t>
  </si>
  <si>
    <t>COVENANT &amp; HEALTH CHECKS</t>
  </si>
  <si>
    <t>DSCR ≥ 1.25x</t>
  </si>
  <si>
    <t>Positive Net Income</t>
  </si>
  <si>
    <t>Enrollment ≥ 70% Capacity</t>
  </si>
  <si>
    <t>Cash Reserve ≥ 2 Months</t>
  </si>
  <si>
    <t>BREAK-EVEN ANALYSIS</t>
  </si>
  <si>
    <t>Revenue Per Student</t>
  </si>
  <si>
    <t>Cost Per Student</t>
  </si>
  <si>
    <t>Fixed Costs (Personnel + Debt)</t>
  </si>
  <si>
    <t>Variable Cost Per Student</t>
  </si>
  <si>
    <t>Contribution Margin Per Student</t>
  </si>
  <si>
    <t>Break-Even Enrollment</t>
  </si>
  <si>
    <t>Civic Scholars Charter - 2026-27 Pro Forma</t>
  </si>
  <si>
    <t>August</t>
  </si>
  <si>
    <t>September</t>
  </si>
  <si>
    <t>October</t>
  </si>
  <si>
    <t>November</t>
  </si>
  <si>
    <t>December</t>
  </si>
  <si>
    <t>January</t>
  </si>
  <si>
    <t>February</t>
  </si>
  <si>
    <t>March</t>
  </si>
  <si>
    <t>April</t>
  </si>
  <si>
    <t>May</t>
  </si>
  <si>
    <t>June</t>
  </si>
  <si>
    <t>2026-27 Total</t>
  </si>
  <si>
    <t xml:space="preserve">  Curriculum &amp; Textbooks</t>
  </si>
  <si>
    <t xml:space="preserve">  Technology &amp; Devices</t>
  </si>
  <si>
    <t xml:space="preserve">  Facility Lease</t>
  </si>
  <si>
    <t xml:space="preserve">  Utilities</t>
  </si>
  <si>
    <t xml:space="preserve">  Insurance</t>
  </si>
  <si>
    <t xml:space="preserve">  Janitorial</t>
  </si>
  <si>
    <t xml:space="preserve">  Marketing &amp; Recruitment</t>
  </si>
  <si>
    <t xml:space="preserve">  Professional Development</t>
  </si>
  <si>
    <t xml:space="preserve">  Legal &amp; Compliance</t>
  </si>
  <si>
    <t xml:space="preserve">  Food Service</t>
  </si>
  <si>
    <t xml:space="preserve">  Transportation</t>
  </si>
  <si>
    <t>Capital &amp; Debt Service</t>
  </si>
  <si>
    <t>MONTHLY CASH FLOW</t>
  </si>
  <si>
    <t>Net Cash Flow</t>
  </si>
  <si>
    <t>Cumulative Cash</t>
  </si>
  <si>
    <t>CASH FLOW METRICS</t>
  </si>
  <si>
    <t>Ending Cash (Month 12)</t>
  </si>
  <si>
    <t>Minimum Cash Month</t>
  </si>
  <si>
    <t>Decision History</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</si>
  <si>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</si>
  <si>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</si>
  <si>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Civic Scholars Charter — Financial Health Dashboard</t>
  </si>
  <si>
    <t>Generated May 9, 2026</t>
  </si>
  <si>
    <t>● Green = healthy</t>
  </si>
  <si>
    <t>◐ Yellow = monitor</t>
  </si>
  <si>
    <t>○ Red = action needed</t>
  </si>
  <si>
    <t>Metric</t>
  </si>
  <si>
    <t>Year 1</t>
  </si>
  <si>
    <t>Year 2</t>
  </si>
  <si>
    <t>Year 3</t>
  </si>
  <si>
    <t>Year 4</t>
  </si>
  <si>
    <t>Year 5</t>
  </si>
  <si>
    <t>Benchmark</t>
  </si>
  <si>
    <t>Enrollment</t>
  </si>
  <si>
    <t>Revenue</t>
  </si>
  <si>
    <t>Personnel</t>
  </si>
  <si>
    <t>Operating Expenses</t>
  </si>
  <si>
    <t>Net Margin</t>
  </si>
  <si>
    <t>Revenue per Student</t>
  </si>
  <si>
    <t>≥ $10,000</t>
  </si>
  <si>
    <t>Cost per Student</t>
  </si>
  <si>
    <t xml:space="preserve">  Instructional / Student</t>
  </si>
  <si>
    <t xml:space="preserve">  Facility / Student</t>
  </si>
  <si>
    <t>≤ $2,000 / $2k–$3.5k / &gt; $3,500</t>
  </si>
  <si>
    <t>Surplus per Student</t>
  </si>
  <si>
    <t>Payroll %</t>
  </si>
  <si>
    <t>≤ 55%</t>
  </si>
  <si>
    <t>Facility %</t>
  </si>
  <si>
    <t>≤ 15%</t>
  </si>
  <si>
    <t>Operating Margin</t>
  </si>
  <si>
    <t>≥ 10%</t>
  </si>
  <si>
    <t>Revenue Sources</t>
  </si>
  <si>
    <t>≥ 3 sources</t>
  </si>
  <si>
    <t>DSCR</t>
  </si>
  <si>
    <t>≥ 1.25x</t>
  </si>
  <si>
    <t>Break-even Year</t>
  </si>
  <si>
    <t>Cash Runway (Months)</t>
  </si>
  <si>
    <t>≥ 24 months</t>
  </si>
  <si>
    <t>≥ 90 days</t>
  </si>
  <si>
    <t>FINANCIAL HEALTH SIGNALS</t>
  </si>
  <si>
    <t>Status</t>
  </si>
  <si>
    <t>Assessment</t>
  </si>
  <si>
    <t>Watch Item</t>
  </si>
  <si>
    <t>Viability</t>
  </si>
  <si>
    <t>● Healthy</t>
  </si>
  <si>
    <t>The model reaches net income early and sustains strong margins through Year 5.</t>
  </si>
  <si>
    <t>Compare your real Year 1 enrollment against this projection as students enroll.</t>
  </si>
  <si>
    <t>Liquidity</t>
  </si>
  <si>
    <t>○ Needs attention</t>
  </si>
  <si>
    <t>Cash goes negative in month 1. The school will need outside funding to continue operating.</t>
  </si>
  <si>
    <t>Secure a line of credit or bridge funding before operations begin.</t>
  </si>
  <si>
    <t>Staffing Burden</t>
  </si>
  <si>
    <t>Staffing at 24% of revenue leaves room for facilities, programs, and reserves.</t>
  </si>
  <si>
    <t>As you add staff, ensure staffing stays below 60% of revenue.</t>
  </si>
  <si>
    <t>Facility Burden</t>
  </si>
  <si>
    <t>Facility costs at 5% of revenue are well-managed and leave budget for programs.</t>
  </si>
  <si>
    <t>Watch for rent escalation clauses that could push this higher over time.</t>
  </si>
  <si>
    <t>Debt Affordability</t>
  </si>
  <si>
    <t>DSCR of 49.61x provides comfortable coverage of debt payments with room to spare.</t>
  </si>
  <si>
    <t>Maintain this ratio as you take on any additional debt.</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</si>
  <si>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</si>
  <si>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</si>
  <si>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</si>
  <si>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</si>
  <si>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27.2 months of reserves by Year 5 — a strong buffer for unexpected costs.</t>
  </si>
  <si>
    <t>Continue growing reserves toward 6 months for best-in-class financial health.</t>
  </si>
  <si>
    <t>Summary</t>
  </si>
  <si>
    <t>6 Healthy  |  0 Watch  |  1 Needs Attention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</si>
</sst>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quot;-&quot;"/>
    <numFmt numFmtId="165" formatCode="_(&quot;$&quot;* #,##0_);_(&quot;$&quot;* (#,##0);_(&quot;$&quot;* &quot;-&quot;??_);_(@_)"/>
    <numFmt numFmtId="166" formatCode="0.0%;[Red](0.0%);&quot;-&quot;"/>
    <numFmt numFmtId="167" formatCode="0.00x"/>
    <numFmt numFmtId="168" formatCode="0.0"/>
  </numFmts>
  <fonts count="19" x14ac:knownFonts="1">
    <font>
      <color theme="1"/>
      <family val="2"/>
      <scheme val="minor"/>
      <sz val="11"/>
      <name val="Calibri"/>
    </font>
    <font>
      <b/>
      <color rgb="FF1E293B"/>
      <sz val="16"/>
      <name val="Calibri"/>
    </font>
    <font>
      <color rgb="FF1E293B"/>
      <sz val="12"/>
      <name val="Calibri"/>
    </font>
    <font>
      <i/>
      <color rgb="FF6B7280"/>
      <sz val="10"/>
      <name val="Calibri"/>
    </font>
    <font>
      <b/>
      <color rgb="FF1E293B"/>
      <sz val="11"/>
      <name val="Calibri"/>
    </font>
    <font>
      <color rgb="FF1E3A5F"/>
      <sz val="11"/>
      <name val="Calibri"/>
    </font>
    <font>
      <sz val="11"/>
      <name val="Calibri"/>
    </font>
    <font>
      <b/>
      <color rgb="FF1E293B"/>
      <sz val="14"/>
      <name val="Calibri"/>
    </font>
    <font>
      <i/>
      <color rgb="FF666666"/>
      <sz val="11"/>
      <name val="Calibri"/>
    </font>
    <font>
      <i/>
      <color rgb="FF888888"/>
      <sz val="11"/>
      <name val="Calibri"/>
    </font>
    <font>
      <i/>
      <color rgb="FF9CA3AF"/>
      <sz val="11"/>
      <name val="Calibri"/>
    </font>
    <font>
      <i/>
      <color rgb="FF64748B"/>
      <sz val="10"/>
      <name val="Calibri"/>
    </font>
    <font>
      <b/>
      <color rgb="FFFFFFFF"/>
      <sz val="11"/>
      <name val="Calibri"/>
    </font>
    <font>
      <b/>
      <sz val="11"/>
      <name val="Calibri"/>
    </font>
    <font>
      <b/>
      <color rgb="FF1E293B"/>
      <sz val="12"/>
      <name val="Calibri"/>
    </font>
    <font>
      <b/>
      <color rgb="FFDC2626"/>
      <sz val="11"/>
      <name val="Calibri"/>
    </font>
    <font>
      <b/>
      <color rgb="FF16A34A"/>
      <sz val="11"/>
      <name val="Calibri"/>
    </font>
    <font>
      <i/>
      <color rgb="FF6B7280"/>
      <sz val="11"/>
      <name val="Calibri"/>
    </font>
    <font>
      <b/>
      <color rgb="FFD97706"/>
      <sz val="11"/>
      <name val="Calibri"/>
    </font>
  </fonts>
  <fills count="9">
    <fill>
      <patternFill patternType="none"/>
    </fill>
    <fill>
      <patternFill patternType="gray125"/>
    </fill>
    <fill>
      <patternFill patternType="solid">
        <fgColor rgb="FFDBEAFE"/>
      </patternFill>
    </fill>
    <fill>
      <patternFill patternType="solid">
        <fgColor rgb="FFE8F5E9"/>
      </patternFill>
    </fill>
    <fill>
      <patternFill patternType="solid">
        <fgColor rgb="FFFFFFFF"/>
      </patternFill>
    </fill>
    <fill>
      <patternFill patternType="solid">
        <fgColor rgb="FFE8EDF2"/>
      </patternFill>
    </fill>
    <fill>
      <patternFill patternType="solid">
        <fgColor rgb="FF1E293B"/>
      </patternFill>
    </fill>
    <fill>
      <patternFill patternType="solid">
        <fgColor rgb="FFFCE4EC"/>
      </patternFill>
    </fill>
    <fill>
      <patternFill patternType="solid">
        <fgColor rgb="FFFFF8E1"/>
      </patternFill>
    </fill>
  </fills>
  <borders count="4">
    <border>
      <left/>
      <right/>
      <top/>
      <bottom/>
      <diagonal/>
    </border>
    <border>
      <left/>
      <right/>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6" fillId="3" borderId="0" xfId="0" applyFont="1" applyFill="1"/>
    <xf numFmtId="0" fontId="7" fillId="0" borderId="0" xfId="0" applyFont="1" applyAlignment="1">
      <alignment horizontal="left" vertical="center"/>
    </xf>
    <xf numFmtId="0" fontId="0" fillId="2" borderId="0" xfId="0" applyFill="1"/>
    <xf numFmtId="0" fontId="8" fillId="0" borderId="0" xfId="0" applyFont="1"/>
    <xf numFmtId="0" fontId="0" fillId="4" borderId="1" xfId="0" applyFill="1" applyBorder="1"/>
    <xf numFmtId="0" fontId="4" fillId="5" borderId="2" xfId="0" applyFont="1" applyFill="1" applyBorder="1"/>
    <xf numFmtId="0" fontId="6" fillId="0" borderId="2" xfId="0" applyFont="1" applyBorder="1"/>
    <xf numFmtId="0" fontId="5" fillId="2" borderId="2" xfId="0" applyFont="1" applyFill="1" applyBorder="1"/>
    <xf numFmtId="164" fontId="5" fillId="2" borderId="2" xfId="0" applyNumberFormat="1" applyFont="1" applyFill="1" applyBorder="1"/>
    <xf numFmtId="0" fontId="4" fillId="5" borderId="2" xfId="0" applyFont="1" applyFill="1" applyBorder="1" applyAlignment="1">
      <alignment horizontal="center"/>
    </xf>
    <xf numFmtId="164" fontId="5" fillId="2" borderId="2" xfId="0" applyNumberFormat="1" applyFont="1" applyFill="1" applyBorder="1" applyAlignment="1">
      <alignment horizontal="center"/>
    </xf>
    <xf numFmtId="165" fontId="5" fillId="2" borderId="2" xfId="0" applyNumberFormat="1" applyFont="1" applyFill="1" applyBorder="1"/>
    <xf numFmtId="166" fontId="5" fillId="2" borderId="2" xfId="0" applyNumberFormat="1" applyFont="1" applyFill="1" applyBorder="1"/>
    <xf numFmtId="2" fontId="5" fillId="2" borderId="2" xfId="0" applyNumberFormat="1" applyFont="1" applyFill="1" applyBorder="1"/>
    <xf numFmtId="165" fontId="6" fillId="0" borderId="2" xfId="0" applyNumberFormat="1" applyFont="1" applyBorder="1"/>
    <xf numFmtId="10" fontId="5" fillId="2" borderId="2" xfId="0" applyNumberFormat="1" applyFont="1" applyFill="1" applyBorder="1"/>
    <xf numFmtId="0" fontId="9" fillId="0" borderId="0" xfId="0" applyFont="1"/>
    <xf numFmtId="0" fontId="10" fillId="0" borderId="0" xfId="0" applyFont="1"/>
    <xf numFmtId="0" fontId="11" fillId="0" borderId="0" xfId="0" applyFont="1"/>
    <xf numFmtId="0" fontId="12" fillId="6" borderId="2" xfId="0" applyFont="1" applyFill="1" applyBorder="1" applyAlignment="1">
      <alignment horizontal="center" vertical="center"/>
    </xf>
    <xf numFmtId="0" fontId="13" fillId="0" borderId="2" xfId="0" applyFont="1" applyBorder="1"/>
    <xf numFmtId="164" fontId="13" fillId="0" borderId="2" xfId="0" applyNumberFormat="1" applyFont="1" applyBorder="1"/>
    <xf numFmtId="165" fontId="13" fillId="5" borderId="3" xfId="0" applyNumberFormat="1" applyFont="1" applyFill="1" applyBorder="1"/>
    <xf numFmtId="0" fontId="13" fillId="0" borderId="0" xfId="0" applyFont="1"/>
    <xf numFmtId="165" fontId="13" fillId="0" borderId="2" xfId="0" applyNumberFormat="1" applyFont="1" applyBorder="1"/>
    <xf numFmtId="0" fontId="14" fillId="0" borderId="0" xfId="0" applyFont="1"/>
    <xf numFmtId="165" fontId="15" fillId="0" borderId="3" xfId="0" applyNumberFormat="1" applyFont="1" applyBorder="1"/>
    <xf numFmtId="165" fontId="13" fillId="0" borderId="3" xfId="0" applyNumberFormat="1" applyFont="1" applyBorder="1"/>
    <xf numFmtId="166" fontId="6" fillId="0" borderId="2" xfId="0" applyNumberFormat="1" applyFont="1" applyBorder="1"/>
    <xf numFmtId="0" fontId="0" fillId="0" borderId="2" xfId="0" applyBorder="1" applyAlignment="1">
      <alignment horizontal="center"/>
    </xf>
    <xf numFmtId="0" fontId="16" fillId="0" borderId="2" xfId="0" applyFont="1" applyBorder="1" applyAlignment="1">
      <alignment horizontal="center"/>
    </xf>
    <xf numFmtId="167" fontId="13" fillId="0" borderId="2" xfId="0" applyNumberFormat="1" applyFont="1" applyBorder="1"/>
    <xf numFmtId="164" fontId="6" fillId="0" borderId="2" xfId="0" applyNumberFormat="1" applyFont="1" applyBorder="1"/>
    <xf numFmtId="168" fontId="6" fillId="0" borderId="2" xfId="0" applyNumberFormat="1" applyFont="1" applyBorder="1"/>
    <xf numFmtId="0" fontId="14" fillId="0" borderId="2" xfId="0" applyFont="1" applyBorder="1"/>
    <xf numFmtId="164" fontId="13" fillId="0" borderId="3" xfId="0" applyNumberFormat="1" applyFont="1" applyBorder="1"/>
    <xf numFmtId="0" fontId="7" fillId="0" borderId="0" xfId="0" applyFont="1"/>
    <xf numFmtId="0" fontId="17" fillId="0" borderId="0" xfId="0" applyFont="1" applyAlignment="1">
      <alignment vertical="top" wrapText="1"/>
    </xf>
    <xf numFmtId="0" fontId="3" fillId="0" borderId="0" xfId="0" applyFont="1" applyAlignment="1">
      <alignment vertical="top" wrapText="1"/>
    </xf>
    <xf numFmtId="0" fontId="17" fillId="0" borderId="0" xfId="0" applyFont="1"/>
    <xf numFmtId="0" fontId="16" fillId="0" borderId="0" xfId="0" applyFont="1"/>
    <xf numFmtId="0" fontId="18" fillId="0" borderId="0" xfId="0" applyFont="1"/>
    <xf numFmtId="0" fontId="15" fillId="0" borderId="0" xfId="0" applyFont="1"/>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5" fontId="13" fillId="7" borderId="3" xfId="0" applyNumberFormat="1" applyFont="1" applyFill="1" applyBorder="1" applyAlignment="1">
      <alignment horizontal="right"/>
    </xf>
    <xf numFmtId="165" fontId="13" fillId="3" borderId="3" xfId="0" applyNumberFormat="1" applyFont="1" applyFill="1" applyBorder="1" applyAlignment="1">
      <alignment horizontal="right"/>
    </xf>
    <xf numFmtId="166" fontId="13" fillId="7" borderId="3" xfId="0" applyNumberFormat="1" applyFont="1" applyFill="1" applyBorder="1" applyAlignment="1">
      <alignment horizontal="right"/>
    </xf>
    <xf numFmtId="166" fontId="13" fillId="3" borderId="3" xfId="0" applyNumberFormat="1" applyFont="1" applyFill="1" applyBorder="1" applyAlignment="1">
      <alignment horizontal="right"/>
    </xf>
    <xf numFmtId="165" fontId="6" fillId="3" borderId="2" xfId="0" applyNumberFormat="1" applyFont="1" applyFill="1" applyBorder="1" applyAlignment="1">
      <alignment horizontal="right"/>
    </xf>
    <xf numFmtId="0" fontId="17" fillId="0" borderId="2" xfId="0" applyFont="1" applyBorder="1"/>
    <xf numFmtId="165" fontId="13" fillId="0" borderId="2" xfId="0" applyNumberFormat="1" applyFont="1" applyBorder="1" applyAlignment="1">
      <alignment horizontal="right"/>
    </xf>
    <xf numFmtId="165" fontId="13" fillId="7" borderId="2" xfId="0" applyNumberFormat="1" applyFont="1" applyFill="1" applyBorder="1" applyAlignment="1">
      <alignment horizontal="right"/>
    </xf>
    <xf numFmtId="165" fontId="13" fillId="3" borderId="2" xfId="0" applyNumberFormat="1" applyFont="1" applyFill="1" applyBorder="1" applyAlignment="1">
      <alignment horizontal="right"/>
    </xf>
    <xf numFmtId="164" fontId="13" fillId="3" borderId="3" xfId="0" applyNumberFormat="1" applyFont="1" applyFill="1" applyBorder="1" applyAlignment="1">
      <alignment horizontal="right"/>
    </xf>
    <xf numFmtId="167" fontId="13" fillId="7" borderId="3" xfId="0" applyNumberFormat="1" applyFont="1" applyFill="1" applyBorder="1" applyAlignment="1">
      <alignment horizontal="right"/>
    </xf>
    <xf numFmtId="167" fontId="13" fillId="3" borderId="3" xfId="0" applyNumberFormat="1" applyFont="1" applyFill="1" applyBorder="1" applyAlignment="1">
      <alignment horizontal="right"/>
    </xf>
    <xf numFmtId="0" fontId="6" fillId="0" borderId="2" xfId="0" applyFont="1" applyBorder="1" applyAlignment="1">
      <alignment horizontal="center"/>
    </xf>
    <xf numFmtId="164" fontId="13" fillId="7" borderId="3" xfId="0" applyNumberFormat="1" applyFont="1" applyFill="1" applyBorder="1" applyAlignment="1">
      <alignment horizontal="right"/>
    </xf>
    <xf numFmtId="164" fontId="13" fillId="8" borderId="3" xfId="0" applyNumberFormat="1" applyFont="1" applyFill="1" applyBorder="1" applyAlignment="1">
      <alignment horizontal="right"/>
    </xf>
    <xf numFmtId="0" fontId="4" fillId="0" borderId="2" xfId="0" applyFont="1" applyBorder="1"/>
    <xf numFmtId="0" fontId="6" fillId="0" borderId="2" xfId="0" applyFont="1" applyBorder="1" applyAlignment="1">
      <alignment wrapText="1"/>
    </xf>
    <xf numFmtId="0" fontId="17" fillId="0" borderId="2" xfId="0" applyFont="1" applyBorder="1" applyAlignment="1">
      <alignment wrapText="1"/>
    </xf>
    <xf numFmtId="0" fontId="15" fillId="0" borderId="2" xfId="0" applyFont="1" applyBorder="1" applyAlignment="1">
      <alignment horizontal="center"/>
    </xf>
    <xf numFmtId="0" fontId="10" fillId="0" borderId="0" xfId="0" applyFont="1" applyAlignment="1">
      <alignment horizontal="center"/>
    </xf>
  </cellXfs>
  <cellStyles count="1">
    <cellStyle name="Normal" xfId="0" builtinId="0"/>
  </cellStyles>
  <dxfs count="24">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B37"/>
  <sheetFormatPr defaultRowHeight="15" outlineLevelRow="0" outlineLevelCol="0" x14ac:dyDescent="55"/>
  <cols>
    <col min="1" max="1" width="4" customWidth="1"/>
    <col min="2" max="2" width="80" customWidth="1"/>
  </cols>
  <sheetData>
    <row r="2" spans="2:2" x14ac:dyDescent="0.25">
      <c r="B2" s="1" t="s">
        <v>0</v>
      </c>
    </row>
    <row r="3" spans="2:2" x14ac:dyDescent="0.25">
      <c r="B3" s="2" t="s">
        <v>1</v>
      </c>
    </row>
    <row r="4" spans="2:2" x14ac:dyDescent="0.25">
      <c r="B4" s="3" t="s">
        <v>2</v>
      </c>
    </row>
    <row r="6" spans="2:2" x14ac:dyDescent="0.25">
      <c r="B6" s="4" t="s">
        <v>3</v>
      </c>
    </row>
    <row r="7" spans="2:2" x14ac:dyDescent="0.25">
      <c r="B7" s="5" t="s">
        <v>4</v>
      </c>
    </row>
    <row r="8" spans="2:2" x14ac:dyDescent="0.25">
      <c r="B8" s="6" t="s">
        <v>5</v>
      </c>
    </row>
    <row r="9" spans="2:2" x14ac:dyDescent="0.25">
      <c r="B9" s="7" t="s">
        <v>6</v>
      </c>
    </row>
    <row r="10" spans="2:2" x14ac:dyDescent="0.25">
      <c r="B10" s="6" t="s">
        <v>7</v>
      </c>
    </row>
    <row r="11" spans="2:2" x14ac:dyDescent="0.25">
      <c r="B11" s="4" t="s">
        <v>8</v>
      </c>
    </row>
    <row r="12" spans="2:2" x14ac:dyDescent="0.25">
      <c r="B12" s="6" t="s">
        <v>9</v>
      </c>
    </row>
    <row r="13" spans="2:2" x14ac:dyDescent="0.25">
      <c r="B13" s="6" t="s">
        <v>7</v>
      </c>
    </row>
    <row r="14" spans="2:2" x14ac:dyDescent="0.25">
      <c r="B14" s="4"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7</v>
      </c>
    </row>
    <row r="20" spans="2:2" x14ac:dyDescent="0.25">
      <c r="B20" s="4" t="s">
        <v>15</v>
      </c>
    </row>
    <row r="21" spans="2:2" x14ac:dyDescent="0.25">
      <c r="B21" s="6" t="s">
        <v>16</v>
      </c>
    </row>
    <row r="22" spans="2:2" x14ac:dyDescent="0.25">
      <c r="B22" s="6" t="s">
        <v>17</v>
      </c>
    </row>
    <row r="23" spans="2:2" x14ac:dyDescent="0.25">
      <c r="B23" s="6" t="s">
        <v>18</v>
      </c>
    </row>
    <row r="24" spans="2:2" x14ac:dyDescent="0.25">
      <c r="B24" s="6" t="s">
        <v>7</v>
      </c>
    </row>
    <row r="25" spans="2:2" x14ac:dyDescent="0.25">
      <c r="B25" s="4" t="s">
        <v>19</v>
      </c>
    </row>
    <row r="26" spans="2:2" x14ac:dyDescent="0.25">
      <c r="B26" s="6" t="s">
        <v>20</v>
      </c>
    </row>
    <row r="27" spans="2:2" x14ac:dyDescent="0.25">
      <c r="B27" s="6" t="s">
        <v>21</v>
      </c>
    </row>
    <row r="28" spans="2:2" x14ac:dyDescent="0.25">
      <c r="B28" s="6" t="s">
        <v>7</v>
      </c>
    </row>
    <row r="29" spans="2:2" x14ac:dyDescent="0.25">
      <c r="B29" s="4" t="s">
        <v>22</v>
      </c>
    </row>
    <row r="30" spans="2:2" x14ac:dyDescent="0.25">
      <c r="B30" s="6" t="s">
        <v>23</v>
      </c>
    </row>
    <row r="31" spans="2:2" x14ac:dyDescent="0.25">
      <c r="B31" s="6" t="s">
        <v>24</v>
      </c>
    </row>
    <row r="32" spans="2:2" x14ac:dyDescent="0.25">
      <c r="B32" s="6" t="s">
        <v>25</v>
      </c>
    </row>
    <row r="33" spans="2:2" x14ac:dyDescent="0.25">
      <c r="B33" s="6" t="s">
        <v>26</v>
      </c>
    </row>
    <row r="34" spans="2:2" x14ac:dyDescent="0.25">
      <c r="B34" s="6" t="s">
        <v>7</v>
      </c>
    </row>
    <row r="35" spans="2:2" x14ac:dyDescent="0.25">
      <c r="B35" s="4" t="s">
        <v>27</v>
      </c>
    </row>
    <row r="36" spans="2:2" x14ac:dyDescent="0.25">
      <c r="B36" s="6" t="s">
        <v>28</v>
      </c>
    </row>
    <row r="37" spans="2:2" x14ac:dyDescent="0.25">
      <c r="B37" s="6" t="s">
        <v>29</v>
      </c>
    </row>
  </sheetData>
  <pageMargins left="0.25" right="0.25" top="0.5" bottom="0.5" header="0.3" footer="0.3"/>
  <pageSetup paperSize="1" orientation="portrait" fitToWidth="1" fitToHeight="0"/>
  <headerFooter>
    <oddHeader>&amp;L&amp;10&amp;BCivic Scholars Charter&amp;R&amp;8&amp;IInstructions</oddHeader>
    <oddFooter>&amp;L&amp;8Built by SchoolStack Budget  •  budget.schoolstack.ai&amp;C&amp;8Page &amp;P of &amp;N&amp;R&amp;8&amp;D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0"/>
  <sheetViews>
    <sheetView workbookViewId="0">
      <pane xSplit="1" ySplit="3" topLeftCell="B4" activePane="bottomRight" state="frozen"/>
      <selection pane="bottomRight" activeCell="B4" sqref="B4"/>
    </sheetView>
  </sheetViews>
  <sheetFormatPr defaultRowHeight="15" outlineLevelRow="0" outlineLevelCol="0" x14ac:dyDescent="55"/>
  <cols>
    <col min="1" max="1" width="38" customWidth="1"/>
    <col min="2" max="2" width="18" customWidth="1"/>
    <col min="3" max="10" width="16" customWidth="1"/>
    <col min="11" max="11" width="18" customWidth="1"/>
  </cols>
  <sheetData>
    <row r="1" ht="32" customHeight="1" spans="1:7" x14ac:dyDescent="0.25">
      <c r="A1" s="8" t="s">
        <v>30</v>
      </c>
      <c r="B1" s="8"/>
      <c r="C1" s="8"/>
      <c r="D1" s="8"/>
      <c r="E1" s="8"/>
      <c r="F1" s="8"/>
      <c r="G1" s="8"/>
    </row>
    <row r="2" spans="1:5" x14ac:dyDescent="0.25">
      <c r="A2" s="9" t="s">
        <v>7</v>
      </c>
      <c r="B2" s="10" t="s">
        <v>31</v>
      </c>
      <c r="D2" s="11" t="s">
        <v>7</v>
      </c>
      <c r="E2" s="10" t="s">
        <v>32</v>
      </c>
    </row>
    <row r="4" ht="24" customHeight="1" spans="1:7" x14ac:dyDescent="0.25">
      <c r="A4" s="12" t="s">
        <v>33</v>
      </c>
      <c r="B4" s="12"/>
      <c r="C4" s="12"/>
      <c r="D4" s="12"/>
      <c r="E4" s="12"/>
      <c r="F4" s="12"/>
      <c r="G4" s="12"/>
    </row>
    <row r="5" spans="1:4" x14ac:dyDescent="0.25">
      <c r="A5" s="13" t="s">
        <v>34</v>
      </c>
      <c r="B5" s="14" t="s">
        <v>1</v>
      </c>
      <c r="C5" s="14"/>
      <c r="D5" s="14"/>
    </row>
    <row r="6" spans="1:2" x14ac:dyDescent="0.25">
      <c r="A6" s="13" t="s">
        <v>35</v>
      </c>
      <c r="B6" s="14" t="s">
        <v>36</v>
      </c>
    </row>
    <row r="7" spans="1:2" x14ac:dyDescent="0.25">
      <c r="A7" s="13" t="s">
        <v>37</v>
      </c>
      <c r="B7" s="14" t="s">
        <v>38</v>
      </c>
    </row>
    <row r="8" spans="1:2" x14ac:dyDescent="0.25">
      <c r="A8" s="13" t="s">
        <v>39</v>
      </c>
      <c r="B8" s="14" t="s">
        <v>40</v>
      </c>
    </row>
    <row r="9" spans="1:2" x14ac:dyDescent="0.25">
      <c r="A9" s="13" t="s">
        <v>41</v>
      </c>
      <c r="B9" s="14" t="s">
        <v>42</v>
      </c>
    </row>
    <row r="10" spans="1:4" x14ac:dyDescent="0.25">
      <c r="A10" s="13" t="s">
        <v>43</v>
      </c>
      <c r="B10" s="14" t="s">
        <v>44</v>
      </c>
      <c r="C10" s="14"/>
      <c r="D10" s="14"/>
    </row>
    <row r="11" spans="1:2" x14ac:dyDescent="0.25">
      <c r="A11" s="13" t="s">
        <v>45</v>
      </c>
      <c r="B11" s="14" t="s">
        <v>46</v>
      </c>
    </row>
    <row r="12" spans="1:2" x14ac:dyDescent="0.25">
      <c r="A12" s="13" t="s">
        <v>47</v>
      </c>
      <c r="B12" s="15">
        <v>400</v>
      </c>
    </row>
    <row r="13" spans="1:2" x14ac:dyDescent="0.25">
      <c r="A13" s="13" t="s">
        <v>48</v>
      </c>
      <c r="B13" s="13" t="s">
        <v>49</v>
      </c>
    </row>
    <row r="14" spans="1:2" x14ac:dyDescent="0.25">
      <c r="A14" s="13" t="s">
        <v>50</v>
      </c>
      <c r="B14" s="13" t="s">
        <v>51</v>
      </c>
    </row>
    <row r="16" ht="24" customHeight="1" spans="1:7" x14ac:dyDescent="0.25">
      <c r="A16" s="12" t="s">
        <v>52</v>
      </c>
      <c r="B16" s="16" t="s">
        <v>53</v>
      </c>
      <c r="C16" s="16" t="s">
        <v>54</v>
      </c>
      <c r="D16" s="16" t="s">
        <v>55</v>
      </c>
      <c r="E16" s="16" t="s">
        <v>56</v>
      </c>
      <c r="F16" s="16" t="s">
        <v>57</v>
      </c>
      <c r="G16" s="12"/>
    </row>
    <row r="17" spans="1:6" x14ac:dyDescent="0.25">
      <c r="A17" s="13" t="s">
        <v>58</v>
      </c>
      <c r="B17" s="17">
        <v>120</v>
      </c>
      <c r="C17" s="17">
        <v>200</v>
      </c>
      <c r="D17" s="17">
        <v>300</v>
      </c>
      <c r="E17" s="17">
        <v>375</v>
      </c>
      <c r="F17" s="17">
        <v>400</v>
      </c>
    </row>
    <row r="19" ht="24" customHeight="1" spans="1:10" x14ac:dyDescent="0.25">
      <c r="A19" s="12" t="s">
        <v>59</v>
      </c>
      <c r="B19" s="12" t="s">
        <v>60</v>
      </c>
      <c r="C19" s="12" t="s">
        <v>61</v>
      </c>
      <c r="D19" s="12" t="s">
        <v>62</v>
      </c>
      <c r="E19" s="12" t="s">
        <v>63</v>
      </c>
      <c r="F19" s="12" t="s">
        <v>64</v>
      </c>
      <c r="G19" s="12" t="s">
        <v>65</v>
      </c>
      <c r="H19" s="12" t="s">
        <v>66</v>
      </c>
      <c r="I19" s="12"/>
      <c r="J19" s="12"/>
    </row>
    <row r="20" spans="1:8" x14ac:dyDescent="0.25">
      <c r="A20" s="13" t="s">
        <v>67</v>
      </c>
      <c r="B20" s="13" t="s">
        <v>68</v>
      </c>
      <c r="C20" s="13" t="s">
        <v>69</v>
      </c>
      <c r="D20" s="18">
        <v>9500</v>
      </c>
      <c r="E20" s="19">
        <v>0</v>
      </c>
      <c r="F20" s="15">
        <v>12</v>
      </c>
      <c r="G20" s="19">
        <v>1</v>
      </c>
      <c r="H20" s="13" t="s">
        <v>7</v>
      </c>
    </row>
    <row r="21" spans="1:8" x14ac:dyDescent="0.25">
      <c r="A21" s="13" t="s">
        <v>70</v>
      </c>
      <c r="B21" s="13" t="s">
        <v>68</v>
      </c>
      <c r="C21" s="13" t="s">
        <v>69</v>
      </c>
      <c r="D21" s="18">
        <v>800</v>
      </c>
      <c r="E21" s="19">
        <v>0</v>
      </c>
      <c r="F21" s="15">
        <v>12</v>
      </c>
      <c r="G21" s="19">
        <v>1</v>
      </c>
      <c r="H21" s="13" t="s">
        <v>7</v>
      </c>
    </row>
    <row r="22" spans="1:8" x14ac:dyDescent="0.25">
      <c r="A22" s="13" t="s">
        <v>71</v>
      </c>
      <c r="B22" s="13" t="s">
        <v>68</v>
      </c>
      <c r="C22" s="13" t="s">
        <v>69</v>
      </c>
      <c r="D22" s="18">
        <v>1200</v>
      </c>
      <c r="E22" s="19">
        <v>0</v>
      </c>
      <c r="F22" s="15">
        <v>12</v>
      </c>
      <c r="G22" s="19">
        <v>1</v>
      </c>
      <c r="H22" s="13" t="s">
        <v>7</v>
      </c>
    </row>
    <row r="23" spans="1:8" x14ac:dyDescent="0.25">
      <c r="A23" s="13" t="s">
        <v>72</v>
      </c>
      <c r="B23" s="13" t="s">
        <v>73</v>
      </c>
      <c r="C23" s="13" t="s">
        <v>74</v>
      </c>
      <c r="D23" s="18">
        <v>100000</v>
      </c>
      <c r="E23" s="19">
        <v>0</v>
      </c>
      <c r="F23" s="15">
        <v>12</v>
      </c>
      <c r="G23" s="19">
        <v>1</v>
      </c>
      <c r="H23" s="13" t="s">
        <v>7</v>
      </c>
    </row>
    <row r="24" spans="1:8" x14ac:dyDescent="0.25">
      <c r="A24" s="13" t="s">
        <v>75</v>
      </c>
      <c r="B24" s="13" t="s">
        <v>73</v>
      </c>
      <c r="C24" s="13" t="s">
        <v>74</v>
      </c>
      <c r="D24" s="18">
        <v>30000</v>
      </c>
      <c r="E24" s="19">
        <v>0</v>
      </c>
      <c r="F24" s="15">
        <v>12</v>
      </c>
      <c r="G24" s="19">
        <v>1</v>
      </c>
      <c r="H24" s="13" t="s">
        <v>7</v>
      </c>
    </row>
    <row r="25" spans="1:8" x14ac:dyDescent="0.25">
      <c r="A25" s="13" t="s">
        <v>76</v>
      </c>
      <c r="B25" s="13" t="s">
        <v>77</v>
      </c>
      <c r="C25" s="13" t="s">
        <v>69</v>
      </c>
      <c r="D25" s="18">
        <v>300</v>
      </c>
      <c r="E25" s="19">
        <v>0</v>
      </c>
      <c r="F25" s="15">
        <v>12</v>
      </c>
      <c r="G25" s="19">
        <v>1</v>
      </c>
      <c r="H25" s="13" t="s">
        <v>7</v>
      </c>
    </row>
    <row r="28" ht="24" customHeight="1" spans="1:9" x14ac:dyDescent="0.25">
      <c r="A28" s="12" t="s">
        <v>78</v>
      </c>
      <c r="B28" s="12" t="s">
        <v>79</v>
      </c>
      <c r="C28" s="12" t="s">
        <v>80</v>
      </c>
      <c r="D28" s="12" t="s">
        <v>81</v>
      </c>
      <c r="E28" s="12" t="s">
        <v>82</v>
      </c>
      <c r="F28" s="12" t="s">
        <v>83</v>
      </c>
      <c r="G28" s="12" t="s">
        <v>84</v>
      </c>
      <c r="H28" s="12" t="s">
        <v>85</v>
      </c>
      <c r="I28" s="12" t="s">
        <v>86</v>
      </c>
    </row>
    <row r="29" spans="1:9" x14ac:dyDescent="0.25">
      <c r="A29" s="13" t="s">
        <v>87</v>
      </c>
      <c r="B29" s="13" t="s">
        <v>88</v>
      </c>
      <c r="C29" s="13" t="s">
        <v>89</v>
      </c>
      <c r="D29" s="20">
        <v>1</v>
      </c>
      <c r="E29" s="18">
        <v>110000</v>
      </c>
      <c r="F29" s="19">
        <v>0.28</v>
      </c>
      <c r="G29" s="19">
        <v>0.0765</v>
      </c>
      <c r="H29" s="13" t="s">
        <v>90</v>
      </c>
      <c r="I29" s="13" t="s">
        <v>7</v>
      </c>
    </row>
    <row r="30" spans="1:9" x14ac:dyDescent="0.25">
      <c r="A30" s="13" t="s">
        <v>91</v>
      </c>
      <c r="B30" s="13" t="s">
        <v>88</v>
      </c>
      <c r="C30" s="13" t="s">
        <v>89</v>
      </c>
      <c r="D30" s="20">
        <v>1</v>
      </c>
      <c r="E30" s="18">
        <v>90000</v>
      </c>
      <c r="F30" s="19">
        <v>0.28</v>
      </c>
      <c r="G30" s="19">
        <v>0.0765</v>
      </c>
      <c r="H30" s="13" t="s">
        <v>90</v>
      </c>
      <c r="I30" s="13" t="s">
        <v>7</v>
      </c>
    </row>
    <row r="31" spans="1:9" x14ac:dyDescent="0.25">
      <c r="A31" s="13" t="s">
        <v>92</v>
      </c>
      <c r="B31" s="13" t="s">
        <v>88</v>
      </c>
      <c r="C31" s="13" t="s">
        <v>89</v>
      </c>
      <c r="D31" s="20">
        <v>1</v>
      </c>
      <c r="E31" s="18">
        <v>72000</v>
      </c>
      <c r="F31" s="19">
        <v>0.28</v>
      </c>
      <c r="G31" s="19">
        <v>0.0765</v>
      </c>
      <c r="H31" s="13" t="s">
        <v>90</v>
      </c>
      <c r="I31" s="13" t="s">
        <v>7</v>
      </c>
    </row>
    <row r="32" spans="1:9" x14ac:dyDescent="0.25">
      <c r="A32" s="13" t="s">
        <v>93</v>
      </c>
      <c r="B32" s="13" t="s">
        <v>94</v>
      </c>
      <c r="C32" s="13" t="s">
        <v>89</v>
      </c>
      <c r="D32" s="20">
        <v>6</v>
      </c>
      <c r="E32" s="18">
        <v>52000</v>
      </c>
      <c r="F32" s="19">
        <v>0.28</v>
      </c>
      <c r="G32" s="19">
        <v>0.0765</v>
      </c>
      <c r="H32" s="13" t="s">
        <v>90</v>
      </c>
      <c r="I32" s="13" t="s">
        <v>7</v>
      </c>
    </row>
    <row r="33" spans="1:9" x14ac:dyDescent="0.25">
      <c r="A33" s="13" t="s">
        <v>95</v>
      </c>
      <c r="B33" s="13" t="s">
        <v>94</v>
      </c>
      <c r="C33" s="13" t="s">
        <v>89</v>
      </c>
      <c r="D33" s="20">
        <v>1</v>
      </c>
      <c r="E33" s="18">
        <v>55000</v>
      </c>
      <c r="F33" s="19">
        <v>0.28</v>
      </c>
      <c r="G33" s="19">
        <v>0.0765</v>
      </c>
      <c r="H33" s="13" t="s">
        <v>90</v>
      </c>
      <c r="I33" s="13" t="s">
        <v>7</v>
      </c>
    </row>
    <row r="34" spans="1:9" x14ac:dyDescent="0.25">
      <c r="A34" s="13" t="s">
        <v>96</v>
      </c>
      <c r="B34" s="13" t="s">
        <v>94</v>
      </c>
      <c r="C34" s="13" t="s">
        <v>89</v>
      </c>
      <c r="D34" s="20">
        <v>3</v>
      </c>
      <c r="E34" s="18">
        <v>30000</v>
      </c>
      <c r="F34" s="19">
        <v>0.2</v>
      </c>
      <c r="G34" s="19">
        <v>0.0765</v>
      </c>
      <c r="H34" s="13" t="s">
        <v>90</v>
      </c>
      <c r="I34" s="13" t="s">
        <v>7</v>
      </c>
    </row>
    <row r="35" spans="1:9" x14ac:dyDescent="0.25">
      <c r="A35" s="13" t="s">
        <v>97</v>
      </c>
      <c r="B35" s="13" t="s">
        <v>98</v>
      </c>
      <c r="C35" s="13" t="s">
        <v>89</v>
      </c>
      <c r="D35" s="20">
        <v>1</v>
      </c>
      <c r="E35" s="18">
        <v>55000</v>
      </c>
      <c r="F35" s="19">
        <v>0.28</v>
      </c>
      <c r="G35" s="19">
        <v>0.0765</v>
      </c>
      <c r="H35" s="13" t="s">
        <v>90</v>
      </c>
      <c r="I35" s="13" t="s">
        <v>7</v>
      </c>
    </row>
    <row r="36" spans="1:9" x14ac:dyDescent="0.25">
      <c r="A36" s="13" t="s">
        <v>99</v>
      </c>
      <c r="B36" s="13" t="s">
        <v>100</v>
      </c>
      <c r="C36" s="13" t="s">
        <v>89</v>
      </c>
      <c r="D36" s="20">
        <v>2</v>
      </c>
      <c r="E36" s="18">
        <v>38000</v>
      </c>
      <c r="F36" s="19">
        <v>0.25</v>
      </c>
      <c r="G36" s="19">
        <v>0.0765</v>
      </c>
      <c r="H36" s="13" t="s">
        <v>90</v>
      </c>
      <c r="I36" s="13" t="s">
        <v>7</v>
      </c>
    </row>
    <row r="37" spans="1:9" x14ac:dyDescent="0.25">
      <c r="A37" s="13" t="s">
        <v>101</v>
      </c>
      <c r="B37" s="13" t="s">
        <v>102</v>
      </c>
      <c r="C37" s="13" t="s">
        <v>89</v>
      </c>
      <c r="D37" s="20">
        <v>1</v>
      </c>
      <c r="E37" s="18">
        <v>55000</v>
      </c>
      <c r="F37" s="19">
        <v>0.28</v>
      </c>
      <c r="G37" s="19">
        <v>0.0765</v>
      </c>
      <c r="H37" s="13" t="s">
        <v>90</v>
      </c>
      <c r="I37" s="13" t="s">
        <v>7</v>
      </c>
    </row>
    <row r="39" ht="24" customHeight="1" spans="1:4" x14ac:dyDescent="0.25">
      <c r="A39" s="12" t="s">
        <v>103</v>
      </c>
      <c r="B39" s="12" t="s">
        <v>104</v>
      </c>
      <c r="C39" s="12" t="s">
        <v>105</v>
      </c>
      <c r="D39" s="12"/>
    </row>
    <row r="40" spans="1:2" x14ac:dyDescent="0.25">
      <c r="A40" s="13" t="s">
        <v>106</v>
      </c>
      <c r="B40" s="14" t="s">
        <v>107</v>
      </c>
    </row>
    <row r="41" spans="1:3" x14ac:dyDescent="0.25">
      <c r="A41" s="13" t="s">
        <v>108</v>
      </c>
      <c r="B41" s="18">
        <v>18000</v>
      </c>
      <c r="C41" s="13" t="s">
        <v>109</v>
      </c>
    </row>
    <row r="42" spans="1:2" x14ac:dyDescent="0.25">
      <c r="A42" s="13" t="s">
        <v>110</v>
      </c>
      <c r="B42" s="19">
        <v>0.03</v>
      </c>
    </row>
    <row r="44" ht="24" customHeight="1" spans="1:7" x14ac:dyDescent="0.25">
      <c r="A44" s="12" t="s">
        <v>111</v>
      </c>
      <c r="B44" s="12" t="s">
        <v>60</v>
      </c>
      <c r="C44" s="12" t="s">
        <v>61</v>
      </c>
      <c r="D44" s="12" t="s">
        <v>62</v>
      </c>
      <c r="E44" s="12" t="s">
        <v>63</v>
      </c>
      <c r="F44" s="12" t="s">
        <v>66</v>
      </c>
      <c r="G44" s="12"/>
    </row>
    <row r="45" spans="1:6" x14ac:dyDescent="0.25">
      <c r="A45" s="13" t="s">
        <v>112</v>
      </c>
      <c r="B45" s="13" t="s">
        <v>113</v>
      </c>
      <c r="C45" s="13" t="s">
        <v>109</v>
      </c>
      <c r="D45" s="18">
        <v>18000</v>
      </c>
      <c r="E45" s="19">
        <v>0.03</v>
      </c>
      <c r="F45" s="13" t="s">
        <v>7</v>
      </c>
    </row>
    <row r="46" spans="1:6" x14ac:dyDescent="0.25">
      <c r="A46" s="13" t="s">
        <v>114</v>
      </c>
      <c r="B46" s="13" t="s">
        <v>113</v>
      </c>
      <c r="C46" s="13" t="s">
        <v>109</v>
      </c>
      <c r="D46" s="18">
        <v>2500</v>
      </c>
      <c r="E46" s="19">
        <v>0</v>
      </c>
      <c r="F46" s="13" t="s">
        <v>7</v>
      </c>
    </row>
    <row r="47" spans="1:6" x14ac:dyDescent="0.25">
      <c r="A47" s="13" t="s">
        <v>115</v>
      </c>
      <c r="B47" s="13" t="s">
        <v>113</v>
      </c>
      <c r="C47" s="13" t="s">
        <v>74</v>
      </c>
      <c r="D47" s="18">
        <v>18000</v>
      </c>
      <c r="E47" s="19">
        <v>0</v>
      </c>
      <c r="F47" s="13" t="s">
        <v>7</v>
      </c>
    </row>
    <row r="48" spans="1:6" x14ac:dyDescent="0.25">
      <c r="A48" s="13" t="s">
        <v>116</v>
      </c>
      <c r="B48" s="13" t="s">
        <v>113</v>
      </c>
      <c r="C48" s="13" t="s">
        <v>109</v>
      </c>
      <c r="D48" s="18">
        <v>1500</v>
      </c>
      <c r="E48" s="19">
        <v>0</v>
      </c>
      <c r="F48" s="13" t="s">
        <v>7</v>
      </c>
    </row>
    <row r="49" spans="1:6" x14ac:dyDescent="0.25">
      <c r="A49" s="13" t="s">
        <v>117</v>
      </c>
      <c r="B49" s="13" t="s">
        <v>118</v>
      </c>
      <c r="C49" s="13" t="s">
        <v>69</v>
      </c>
      <c r="D49" s="18">
        <v>700</v>
      </c>
      <c r="E49" s="19">
        <v>0</v>
      </c>
      <c r="F49" s="13" t="s">
        <v>7</v>
      </c>
    </row>
    <row r="50" spans="1:6" x14ac:dyDescent="0.25">
      <c r="A50" s="13" t="s">
        <v>119</v>
      </c>
      <c r="B50" s="13" t="s">
        <v>120</v>
      </c>
      <c r="C50" s="13" t="s">
        <v>69</v>
      </c>
      <c r="D50" s="18">
        <v>500</v>
      </c>
      <c r="E50" s="19">
        <v>0</v>
      </c>
      <c r="F50" s="13" t="s">
        <v>7</v>
      </c>
    </row>
    <row r="51" spans="1:6" x14ac:dyDescent="0.25">
      <c r="A51" s="13" t="s">
        <v>121</v>
      </c>
      <c r="B51" s="13" t="s">
        <v>122</v>
      </c>
      <c r="C51" s="13" t="s">
        <v>74</v>
      </c>
      <c r="D51" s="18">
        <v>25000</v>
      </c>
      <c r="E51" s="19">
        <v>0</v>
      </c>
      <c r="F51" s="13" t="s">
        <v>7</v>
      </c>
    </row>
    <row r="52" spans="1:6" x14ac:dyDescent="0.25">
      <c r="A52" s="13" t="s">
        <v>123</v>
      </c>
      <c r="B52" s="13" t="s">
        <v>122</v>
      </c>
      <c r="C52" s="13" t="s">
        <v>74</v>
      </c>
      <c r="D52" s="18">
        <v>15000</v>
      </c>
      <c r="E52" s="19">
        <v>0</v>
      </c>
      <c r="F52" s="13" t="s">
        <v>7</v>
      </c>
    </row>
    <row r="53" spans="1:6" x14ac:dyDescent="0.25">
      <c r="A53" s="13" t="s">
        <v>124</v>
      </c>
      <c r="B53" s="13" t="s">
        <v>122</v>
      </c>
      <c r="C53" s="13" t="s">
        <v>74</v>
      </c>
      <c r="D53" s="18">
        <v>20000</v>
      </c>
      <c r="E53" s="19">
        <v>0</v>
      </c>
      <c r="F53" s="13" t="s">
        <v>7</v>
      </c>
    </row>
    <row r="54" spans="1:6" x14ac:dyDescent="0.25">
      <c r="A54" s="13" t="s">
        <v>125</v>
      </c>
      <c r="B54" s="13" t="s">
        <v>122</v>
      </c>
      <c r="C54" s="13" t="s">
        <v>69</v>
      </c>
      <c r="D54" s="18">
        <v>800</v>
      </c>
      <c r="E54" s="19">
        <v>0</v>
      </c>
      <c r="F54" s="13" t="s">
        <v>7</v>
      </c>
    </row>
    <row r="55" spans="1:6" x14ac:dyDescent="0.25">
      <c r="A55" s="13" t="s">
        <v>126</v>
      </c>
      <c r="B55" s="13" t="s">
        <v>122</v>
      </c>
      <c r="C55" s="13" t="s">
        <v>69</v>
      </c>
      <c r="D55" s="18">
        <v>600</v>
      </c>
      <c r="E55" s="19">
        <v>0</v>
      </c>
      <c r="F55" s="13" t="s">
        <v>7</v>
      </c>
    </row>
    <row r="57" ht="24" customHeight="1" spans="1:8" x14ac:dyDescent="0.25">
      <c r="A57" s="12" t="s">
        <v>127</v>
      </c>
      <c r="B57" s="12" t="s">
        <v>128</v>
      </c>
      <c r="C57" s="12" t="s">
        <v>62</v>
      </c>
      <c r="D57" s="12" t="s">
        <v>91</v>
      </c>
      <c r="E57" s="12" t="s">
        <v>129</v>
      </c>
      <c r="F57" s="12" t="s">
        <v>130</v>
      </c>
      <c r="G57" s="12" t="s">
        <v>131</v>
      </c>
      <c r="H57" s="12" t="s">
        <v>66</v>
      </c>
    </row>
    <row r="58" spans="1:8" x14ac:dyDescent="0.25">
      <c r="A58" s="13" t="s">
        <v>132</v>
      </c>
      <c r="B58" s="13" t="s">
        <v>90</v>
      </c>
      <c r="C58" s="21">
        <v>0</v>
      </c>
      <c r="D58" s="18">
        <v>500000</v>
      </c>
      <c r="E58" s="22">
        <v>0.0575</v>
      </c>
      <c r="F58" s="15">
        <v>15</v>
      </c>
      <c r="G58" s="21">
        <v>49825</v>
      </c>
      <c r="H58" s="13" t="s">
        <v>7</v>
      </c>
    </row>
    <row r="59" spans="1:8" x14ac:dyDescent="0.25">
      <c r="A59" s="13" t="s">
        <v>133</v>
      </c>
      <c r="B59" s="13" t="s">
        <v>134</v>
      </c>
      <c r="C59" s="18">
        <v>75000</v>
      </c>
      <c r="D59" s="13">
        <v>0</v>
      </c>
      <c r="E59" s="13" t="s">
        <v>7</v>
      </c>
      <c r="F59" s="13" t="s">
        <v>7</v>
      </c>
      <c r="G59" s="13" t="s">
        <v>7</v>
      </c>
      <c r="H59" s="13" t="s">
        <v>7</v>
      </c>
    </row>
    <row r="60" spans="1:8" x14ac:dyDescent="0.25">
      <c r="A60" s="13" t="s">
        <v>135</v>
      </c>
      <c r="B60" s="13" t="s">
        <v>134</v>
      </c>
      <c r="C60" s="18">
        <v>40000</v>
      </c>
      <c r="D60" s="13">
        <v>0</v>
      </c>
      <c r="E60" s="13" t="s">
        <v>7</v>
      </c>
      <c r="F60" s="13" t="s">
        <v>7</v>
      </c>
      <c r="G60" s="13" t="s">
        <v>7</v>
      </c>
      <c r="H60" s="13" t="s">
        <v>7</v>
      </c>
    </row>
    <row r="62" ht="24" customHeight="1" spans="1:3" x14ac:dyDescent="0.25">
      <c r="A62" s="12" t="s">
        <v>136</v>
      </c>
      <c r="B62" s="12"/>
      <c r="C62" s="12"/>
    </row>
    <row r="63" spans="1:2" x14ac:dyDescent="0.25">
      <c r="A63" s="13" t="s">
        <v>137</v>
      </c>
      <c r="B63" s="19">
        <v>0</v>
      </c>
    </row>
    <row r="64" spans="1:2" x14ac:dyDescent="0.25">
      <c r="A64" s="13" t="s">
        <v>138</v>
      </c>
      <c r="B64" s="19">
        <v>0</v>
      </c>
    </row>
    <row r="65" spans="1:3" x14ac:dyDescent="0.25">
      <c r="A65" s="13" t="s">
        <v>139</v>
      </c>
      <c r="B65" s="20">
        <v>0.8333333333333334</v>
      </c>
      <c r="C65" s="23" t="s">
        <v>140</v>
      </c>
    </row>
    <row r="66" spans="1:2" x14ac:dyDescent="0.25">
      <c r="A66" s="13" t="s">
        <v>141</v>
      </c>
      <c r="B66" s="19">
        <v>0.03</v>
      </c>
    </row>
    <row r="67" spans="1:2" x14ac:dyDescent="0.25">
      <c r="A67" s="13" t="s">
        <v>142</v>
      </c>
      <c r="B67" s="19">
        <v>0</v>
      </c>
    </row>
    <row r="68" spans="1:2" x14ac:dyDescent="0.25">
      <c r="A68" s="13" t="s">
        <v>143</v>
      </c>
      <c r="B68" s="18">
        <v>0</v>
      </c>
    </row>
    <row r="70" spans="1:7" x14ac:dyDescent="0.25">
      <c r="A70" s="24" t="s">
        <v>144</v>
      </c>
      <c r="B70" s="24"/>
      <c r="C70" s="24"/>
      <c r="D70" s="24"/>
      <c r="E70" s="24"/>
      <c r="F70" s="24"/>
      <c r="G70" s="24"/>
    </row>
  </sheetData>
  <mergeCells count="4">
    <mergeCell ref="A1:G1"/>
    <mergeCell ref="B5:D5"/>
    <mergeCell ref="B10:D10"/>
    <mergeCell ref="A70:G70"/>
  </mergeCells>
  <pageMargins left="0.25" right="0.25" top="0.5" bottom="0.5" header="0.3" footer="0.3"/>
  <pageSetup paperSize="1" orientation="landscape" horizontalDpi="4294967295" verticalDpi="4294967295" scale="100" fitToWidth="1" fitToHeight="0"/>
  <headerFooter>
    <oddHeader>&amp;L&amp;10&amp;BCivic Scholars Charter&amp;R&amp;8&amp;IAssumptions</oddHeader>
    <oddFooter>&amp;L&amp;8Built by SchoolStack Budget  •  budget.schoolstack.ai&amp;C&amp;8Page &amp;P of &amp;N&amp;R&amp;8&amp;D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1"/>
  <sheetViews>
    <sheetView workbookViewId="0">
      <pane xSplit="1" ySplit="2" topLeftCell="B3" activePane="bottomRight" state="frozen"/>
      <selection pane="bottomRight" activeCell="B3" sqref="B3"/>
    </sheetView>
  </sheetViews>
  <sheetFormatPr defaultRowHeight="15" outlineLevelRow="0" outlineLevelCol="0" x14ac:dyDescent="55"/>
  <cols>
    <col min="1" max="1" width="38" customWidth="1"/>
    <col min="2" max="6" width="16" customWidth="1"/>
  </cols>
  <sheetData>
    <row r="1" ht="32" customHeight="1" spans="1:6" x14ac:dyDescent="0.25">
      <c r="A1" s="8" t="s">
        <v>145</v>
      </c>
      <c r="B1" s="8"/>
      <c r="C1" s="8"/>
      <c r="D1" s="8"/>
      <c r="E1" s="8"/>
      <c r="F1" s="8"/>
    </row>
    <row r="2" spans="1:6" x14ac:dyDescent="0.25">
      <c r="A2" s="25" t="s">
        <v>146</v>
      </c>
      <c r="B2" s="25"/>
      <c r="C2" s="25"/>
      <c r="D2" s="25"/>
      <c r="E2" s="25"/>
      <c r="F2" s="25"/>
    </row>
    <row r="3" ht="28" customHeight="1" spans="1:6" x14ac:dyDescent="0.25">
      <c r="A3" s="26" t="s">
        <v>7</v>
      </c>
      <c r="B3" s="26" t="s">
        <v>53</v>
      </c>
      <c r="C3" s="26" t="s">
        <v>54</v>
      </c>
      <c r="D3" s="26" t="s">
        <v>55</v>
      </c>
      <c r="E3" s="26" t="s">
        <v>56</v>
      </c>
      <c r="F3" s="26" t="s">
        <v>57</v>
      </c>
    </row>
    <row r="4" spans="1:6" x14ac:dyDescent="0.25">
      <c r="A4" s="27" t="s">
        <v>58</v>
      </c>
      <c r="B4" s="28">
        <f>Assumptions!B17</f>
        <v>120</v>
      </c>
      <c r="C4" s="28">
        <f>Assumptions!C17</f>
        <v>200</v>
      </c>
      <c r="D4" s="28">
        <f>Assumptions!D17</f>
        <v>300</v>
      </c>
      <c r="E4" s="28">
        <f>Assumptions!E17</f>
        <v>375</v>
      </c>
      <c r="F4" s="28">
        <f>Assumptions!F17</f>
        <v>400</v>
      </c>
    </row>
    <row r="6" ht="24" customHeight="1" spans="1:6" x14ac:dyDescent="0.25">
      <c r="A6" s="12" t="s">
        <v>147</v>
      </c>
      <c r="B6" s="12"/>
      <c r="C6" s="12"/>
      <c r="D6" s="12"/>
      <c r="E6" s="12"/>
      <c r="F6" s="12"/>
    </row>
    <row r="7" spans="1:6" x14ac:dyDescent="0.25">
      <c r="A7" s="13" t="s">
        <v>67</v>
      </c>
      <c r="B7" s="21">
        <v>950000</v>
      </c>
      <c r="C7" s="21">
        <v>1938000</v>
      </c>
      <c r="D7" s="21">
        <v>2965200</v>
      </c>
      <c r="E7" s="21">
        <v>3780375</v>
      </c>
      <c r="F7" s="21">
        <v>4113200</v>
      </c>
    </row>
    <row r="8" spans="1:6" x14ac:dyDescent="0.25">
      <c r="A8" s="13" t="s">
        <v>70</v>
      </c>
      <c r="B8" s="21">
        <v>80000</v>
      </c>
      <c r="C8" s="21">
        <v>163200</v>
      </c>
      <c r="D8" s="21">
        <v>249600</v>
      </c>
      <c r="E8" s="21">
        <v>318375</v>
      </c>
      <c r="F8" s="21">
        <v>346400</v>
      </c>
    </row>
    <row r="9" spans="1:6" x14ac:dyDescent="0.25">
      <c r="A9" s="13" t="s">
        <v>71</v>
      </c>
      <c r="B9" s="21">
        <v>120000</v>
      </c>
      <c r="C9" s="21">
        <v>244800</v>
      </c>
      <c r="D9" s="21">
        <v>374400</v>
      </c>
      <c r="E9" s="21">
        <v>477375</v>
      </c>
      <c r="F9" s="21">
        <v>519600</v>
      </c>
    </row>
    <row r="10" spans="1:6" x14ac:dyDescent="0.25">
      <c r="A10" s="13" t="s">
        <v>72</v>
      </c>
      <c r="B10" s="21">
        <v>83333</v>
      </c>
      <c r="C10" s="21">
        <v>75000</v>
      </c>
      <c r="D10" s="21">
        <v>50000</v>
      </c>
      <c r="E10" s="21">
        <v>0</v>
      </c>
      <c r="F10" s="21">
        <v>0</v>
      </c>
    </row>
    <row r="11" spans="1:6" x14ac:dyDescent="0.25">
      <c r="A11" s="13" t="s">
        <v>75</v>
      </c>
      <c r="B11" s="21">
        <v>25000</v>
      </c>
      <c r="C11" s="21">
        <v>40000</v>
      </c>
      <c r="D11" s="21">
        <v>50000</v>
      </c>
      <c r="E11" s="21">
        <v>60000</v>
      </c>
      <c r="F11" s="21">
        <v>70000</v>
      </c>
    </row>
    <row r="12" spans="1:6" x14ac:dyDescent="0.25">
      <c r="A12" s="13" t="s">
        <v>76</v>
      </c>
      <c r="B12" s="21">
        <v>30000</v>
      </c>
      <c r="C12" s="21">
        <v>61800</v>
      </c>
      <c r="D12" s="21">
        <v>95400</v>
      </c>
      <c r="E12" s="21">
        <v>123000</v>
      </c>
      <c r="F12" s="21">
        <v>135200</v>
      </c>
    </row>
    <row r="13" ht="24" customHeight="1" spans="1:6" x14ac:dyDescent="0.25">
      <c r="A13" s="12" t="s">
        <v>148</v>
      </c>
      <c r="B13" s="29">
        <f>SUM(B7:B12)</f>
        <v>1288333</v>
      </c>
      <c r="C13" s="29">
        <f>SUM(C7:C12)</f>
        <v>2522800</v>
      </c>
      <c r="D13" s="29">
        <f>SUM(D7:D12)</f>
        <v>3784600</v>
      </c>
      <c r="E13" s="29">
        <f>SUM(E7:E12)</f>
        <v>4759125</v>
      </c>
      <c r="F13" s="29">
        <f>SUM(F7:F12)</f>
        <v>5184400</v>
      </c>
    </row>
    <row r="15" ht="24" customHeight="1" spans="1:6" x14ac:dyDescent="0.25">
      <c r="A15" s="12" t="s">
        <v>149</v>
      </c>
      <c r="B15" s="12"/>
      <c r="C15" s="12"/>
      <c r="D15" s="12"/>
      <c r="E15" s="12"/>
      <c r="F15" s="12"/>
    </row>
    <row r="16" spans="1:6" x14ac:dyDescent="0.25">
      <c r="A16" s="13" t="s">
        <v>150</v>
      </c>
      <c r="B16" s="21">
        <v>124346</v>
      </c>
      <c r="C16" s="21">
        <v>149215</v>
      </c>
      <c r="D16" s="21">
        <v>149215</v>
      </c>
      <c r="E16" s="21">
        <v>149215</v>
      </c>
      <c r="F16" s="21">
        <v>149215</v>
      </c>
    </row>
    <row r="17" spans="1:6" x14ac:dyDescent="0.25">
      <c r="A17" s="13" t="s">
        <v>151</v>
      </c>
      <c r="B17" s="21">
        <v>101738</v>
      </c>
      <c r="C17" s="21">
        <v>122085</v>
      </c>
      <c r="D17" s="21">
        <v>122085</v>
      </c>
      <c r="E17" s="21">
        <v>122085</v>
      </c>
      <c r="F17" s="21">
        <v>122085</v>
      </c>
    </row>
    <row r="18" spans="1:6" x14ac:dyDescent="0.25">
      <c r="A18" s="13" t="s">
        <v>152</v>
      </c>
      <c r="B18" s="21">
        <v>81390</v>
      </c>
      <c r="C18" s="21">
        <v>97668</v>
      </c>
      <c r="D18" s="21">
        <v>97668</v>
      </c>
      <c r="E18" s="21">
        <v>97668</v>
      </c>
      <c r="F18" s="21">
        <v>97668</v>
      </c>
    </row>
    <row r="19" spans="1:6" x14ac:dyDescent="0.25">
      <c r="A19" s="13" t="s">
        <v>153</v>
      </c>
      <c r="B19" s="21">
        <v>323299</v>
      </c>
      <c r="C19" s="21">
        <v>670111</v>
      </c>
      <c r="D19" s="21">
        <v>987532</v>
      </c>
      <c r="E19" s="21">
        <v>1234415</v>
      </c>
      <c r="F19" s="21">
        <v>1304953</v>
      </c>
    </row>
    <row r="20" spans="1:6" x14ac:dyDescent="0.25">
      <c r="A20" s="13" t="s">
        <v>154</v>
      </c>
      <c r="B20" s="21">
        <v>62173</v>
      </c>
      <c r="C20" s="21">
        <v>74608</v>
      </c>
      <c r="D20" s="21">
        <v>74608</v>
      </c>
      <c r="E20" s="21">
        <v>74608</v>
      </c>
      <c r="F20" s="21">
        <v>74608</v>
      </c>
    </row>
    <row r="21" spans="1:6" x14ac:dyDescent="0.25">
      <c r="A21" s="13" t="s">
        <v>155</v>
      </c>
      <c r="B21" s="21">
        <v>95738</v>
      </c>
      <c r="C21" s="21">
        <v>114885</v>
      </c>
      <c r="D21" s="21">
        <v>114885</v>
      </c>
      <c r="E21" s="21">
        <v>114885</v>
      </c>
      <c r="F21" s="21">
        <v>114885</v>
      </c>
    </row>
    <row r="22" spans="1:6" x14ac:dyDescent="0.25">
      <c r="A22" s="13" t="s">
        <v>156</v>
      </c>
      <c r="B22" s="21">
        <v>62173</v>
      </c>
      <c r="C22" s="21">
        <v>74608</v>
      </c>
      <c r="D22" s="21">
        <v>74608</v>
      </c>
      <c r="E22" s="21">
        <v>74608</v>
      </c>
      <c r="F22" s="21">
        <v>74608</v>
      </c>
    </row>
    <row r="23" spans="1:6" x14ac:dyDescent="0.25">
      <c r="A23" s="13" t="s">
        <v>157</v>
      </c>
      <c r="B23" s="21">
        <v>84012</v>
      </c>
      <c r="C23" s="21">
        <v>100814</v>
      </c>
      <c r="D23" s="21">
        <v>100814</v>
      </c>
      <c r="E23" s="21">
        <v>100814</v>
      </c>
      <c r="F23" s="21">
        <v>100814</v>
      </c>
    </row>
    <row r="24" spans="1:6" x14ac:dyDescent="0.25">
      <c r="A24" s="13" t="s">
        <v>158</v>
      </c>
      <c r="B24" s="21">
        <v>62173</v>
      </c>
      <c r="C24" s="21">
        <v>74608</v>
      </c>
      <c r="D24" s="21">
        <v>74608</v>
      </c>
      <c r="E24" s="21">
        <v>74608</v>
      </c>
      <c r="F24" s="21">
        <v>74608</v>
      </c>
    </row>
    <row r="25" ht="24" customHeight="1" spans="1:6" x14ac:dyDescent="0.25">
      <c r="A25" s="12" t="s">
        <v>159</v>
      </c>
      <c r="B25" s="29">
        <f>SUM(B16:B24)</f>
        <v>997040</v>
      </c>
      <c r="C25" s="29">
        <f>SUM(C16:C24)</f>
        <v>1478601</v>
      </c>
      <c r="D25" s="29">
        <f>SUM(D16:D24)</f>
        <v>1796022</v>
      </c>
      <c r="E25" s="29">
        <f>SUM(E16:E24)</f>
        <v>2042905</v>
      </c>
      <c r="F25" s="29">
        <f>SUM(F16:F24)</f>
        <v>2113443</v>
      </c>
    </row>
    <row r="27" ht="24" customHeight="1" spans="1:6" x14ac:dyDescent="0.25">
      <c r="A27" s="12" t="s">
        <v>111</v>
      </c>
      <c r="B27" s="12"/>
      <c r="C27" s="12"/>
      <c r="D27" s="12"/>
      <c r="E27" s="12"/>
      <c r="F27" s="12"/>
    </row>
    <row r="28" spans="1:6" x14ac:dyDescent="0.25">
      <c r="A28" s="13" t="s">
        <v>118</v>
      </c>
      <c r="B28" s="13"/>
      <c r="C28" s="13"/>
      <c r="D28" s="13"/>
      <c r="E28" s="13"/>
      <c r="F28" s="13"/>
    </row>
    <row r="29" spans="1:6" x14ac:dyDescent="0.25">
      <c r="A29" s="13" t="s">
        <v>160</v>
      </c>
      <c r="B29" s="21">
        <v>70000</v>
      </c>
      <c r="C29" s="21">
        <v>144200</v>
      </c>
      <c r="D29" s="21">
        <v>222900</v>
      </c>
      <c r="E29" s="21">
        <v>286875</v>
      </c>
      <c r="F29" s="21">
        <v>315200</v>
      </c>
    </row>
    <row r="30" spans="1:6" x14ac:dyDescent="0.25">
      <c r="A30" s="30" t="s">
        <v>161</v>
      </c>
      <c r="B30" s="31">
        <v>70000</v>
      </c>
      <c r="C30" s="31">
        <v>144200</v>
      </c>
      <c r="D30" s="31">
        <v>222900</v>
      </c>
      <c r="E30" s="31">
        <v>286875</v>
      </c>
      <c r="F30" s="31">
        <v>315200</v>
      </c>
    </row>
    <row r="31" spans="1:6" x14ac:dyDescent="0.25">
      <c r="A31" s="13" t="s">
        <v>120</v>
      </c>
      <c r="B31" s="13"/>
      <c r="C31" s="13"/>
      <c r="D31" s="13"/>
      <c r="E31" s="13"/>
      <c r="F31" s="13"/>
    </row>
    <row r="32" spans="1:6" x14ac:dyDescent="0.25">
      <c r="A32" s="13" t="s">
        <v>162</v>
      </c>
      <c r="B32" s="21">
        <v>50000</v>
      </c>
      <c r="C32" s="21">
        <v>103000</v>
      </c>
      <c r="D32" s="21">
        <v>159000</v>
      </c>
      <c r="E32" s="21">
        <v>204750</v>
      </c>
      <c r="F32" s="21">
        <v>224800</v>
      </c>
    </row>
    <row r="33" spans="1:6" x14ac:dyDescent="0.25">
      <c r="A33" s="30" t="s">
        <v>163</v>
      </c>
      <c r="B33" s="31">
        <v>50000</v>
      </c>
      <c r="C33" s="31">
        <v>103000</v>
      </c>
      <c r="D33" s="31">
        <v>159000</v>
      </c>
      <c r="E33" s="31">
        <v>204750</v>
      </c>
      <c r="F33" s="31">
        <v>224800</v>
      </c>
    </row>
    <row r="34" spans="1:6" x14ac:dyDescent="0.25">
      <c r="A34" s="13" t="s">
        <v>113</v>
      </c>
      <c r="B34" s="13"/>
      <c r="C34" s="13"/>
      <c r="D34" s="13"/>
      <c r="E34" s="13"/>
      <c r="F34" s="13"/>
    </row>
    <row r="35" spans="1:6" x14ac:dyDescent="0.25">
      <c r="A35" s="13" t="s">
        <v>164</v>
      </c>
      <c r="B35" s="21">
        <v>180000</v>
      </c>
      <c r="C35" s="21">
        <v>222480</v>
      </c>
      <c r="D35" s="21">
        <v>229154</v>
      </c>
      <c r="E35" s="21">
        <v>236029</v>
      </c>
      <c r="F35" s="21">
        <v>243110</v>
      </c>
    </row>
    <row r="36" spans="1:6" x14ac:dyDescent="0.25">
      <c r="A36" s="13" t="s">
        <v>165</v>
      </c>
      <c r="B36" s="21">
        <v>25000</v>
      </c>
      <c r="C36" s="21">
        <v>30900</v>
      </c>
      <c r="D36" s="21">
        <v>31824</v>
      </c>
      <c r="E36" s="21">
        <v>32784</v>
      </c>
      <c r="F36" s="21">
        <v>33768</v>
      </c>
    </row>
    <row r="37" spans="1:6" x14ac:dyDescent="0.25">
      <c r="A37" s="13" t="s">
        <v>166</v>
      </c>
      <c r="B37" s="21">
        <v>15000</v>
      </c>
      <c r="C37" s="21">
        <v>18540</v>
      </c>
      <c r="D37" s="21">
        <v>19096</v>
      </c>
      <c r="E37" s="21">
        <v>19669</v>
      </c>
      <c r="F37" s="21">
        <v>20259</v>
      </c>
    </row>
    <row r="38" spans="1:6" x14ac:dyDescent="0.25">
      <c r="A38" s="13" t="s">
        <v>167</v>
      </c>
      <c r="B38" s="21">
        <v>15000</v>
      </c>
      <c r="C38" s="21">
        <v>18540</v>
      </c>
      <c r="D38" s="21">
        <v>19092</v>
      </c>
      <c r="E38" s="21">
        <v>19668</v>
      </c>
      <c r="F38" s="21">
        <v>20256</v>
      </c>
    </row>
    <row r="39" spans="1:6" x14ac:dyDescent="0.25">
      <c r="A39" s="30" t="s">
        <v>168</v>
      </c>
      <c r="B39" s="31">
        <v>235000</v>
      </c>
      <c r="C39" s="31">
        <v>290460</v>
      </c>
      <c r="D39" s="31">
        <v>299166</v>
      </c>
      <c r="E39" s="31">
        <v>308150</v>
      </c>
      <c r="F39" s="31">
        <v>317393</v>
      </c>
    </row>
    <row r="40" spans="1:6" x14ac:dyDescent="0.25">
      <c r="A40" s="13" t="s">
        <v>122</v>
      </c>
      <c r="B40" s="13"/>
      <c r="C40" s="13"/>
      <c r="D40" s="13"/>
      <c r="E40" s="13"/>
      <c r="F40" s="13"/>
    </row>
    <row r="41" spans="1:6" x14ac:dyDescent="0.25">
      <c r="A41" s="13" t="s">
        <v>169</v>
      </c>
      <c r="B41" s="21">
        <v>20833</v>
      </c>
      <c r="C41" s="21">
        <v>25750</v>
      </c>
      <c r="D41" s="21">
        <v>26523</v>
      </c>
      <c r="E41" s="21">
        <v>27318</v>
      </c>
      <c r="F41" s="21">
        <v>28138</v>
      </c>
    </row>
    <row r="42" spans="1:6" x14ac:dyDescent="0.25">
      <c r="A42" s="13" t="s">
        <v>170</v>
      </c>
      <c r="B42" s="21">
        <v>12500</v>
      </c>
      <c r="C42" s="21">
        <v>15450</v>
      </c>
      <c r="D42" s="21">
        <v>15914</v>
      </c>
      <c r="E42" s="21">
        <v>16391</v>
      </c>
      <c r="F42" s="21">
        <v>16883</v>
      </c>
    </row>
    <row r="43" spans="1:6" x14ac:dyDescent="0.25">
      <c r="A43" s="13" t="s">
        <v>171</v>
      </c>
      <c r="B43" s="21">
        <v>16667</v>
      </c>
      <c r="C43" s="21">
        <v>20600</v>
      </c>
      <c r="D43" s="21">
        <v>21218</v>
      </c>
      <c r="E43" s="21">
        <v>21855</v>
      </c>
      <c r="F43" s="21">
        <v>22510</v>
      </c>
    </row>
    <row r="44" spans="1:6" x14ac:dyDescent="0.25">
      <c r="A44" s="13" t="s">
        <v>172</v>
      </c>
      <c r="B44" s="21">
        <v>80000</v>
      </c>
      <c r="C44" s="21">
        <v>164800</v>
      </c>
      <c r="D44" s="21">
        <v>254700</v>
      </c>
      <c r="E44" s="21">
        <v>327750</v>
      </c>
      <c r="F44" s="21">
        <v>360000</v>
      </c>
    </row>
    <row r="45" spans="1:6" x14ac:dyDescent="0.25">
      <c r="A45" s="13" t="s">
        <v>173</v>
      </c>
      <c r="B45" s="21">
        <v>60000</v>
      </c>
      <c r="C45" s="21">
        <v>123600</v>
      </c>
      <c r="D45" s="21">
        <v>191100</v>
      </c>
      <c r="E45" s="21">
        <v>246000</v>
      </c>
      <c r="F45" s="21">
        <v>270000</v>
      </c>
    </row>
    <row r="46" spans="1:6" x14ac:dyDescent="0.25">
      <c r="A46" s="30" t="s">
        <v>174</v>
      </c>
      <c r="B46" s="31">
        <v>190000</v>
      </c>
      <c r="C46" s="31">
        <v>350200</v>
      </c>
      <c r="D46" s="31">
        <v>509455</v>
      </c>
      <c r="E46" s="31">
        <v>639314</v>
      </c>
      <c r="F46" s="31">
        <v>697531</v>
      </c>
    </row>
    <row r="47" ht="24" customHeight="1" spans="1:6" x14ac:dyDescent="0.25">
      <c r="A47" s="12" t="s">
        <v>175</v>
      </c>
      <c r="B47" s="29">
        <f>B30+B33+B39+B46</f>
        <v>545000</v>
      </c>
      <c r="C47" s="29">
        <f>C30+C33+C39+C46</f>
        <v>887860</v>
      </c>
      <c r="D47" s="29">
        <f>D30+D33+D39+D46</f>
        <v>1190521</v>
      </c>
      <c r="E47" s="29">
        <f>E30+E33+E39+E46</f>
        <v>1439089</v>
      </c>
      <c r="F47" s="29">
        <f>F30+F33+F39+F46</f>
        <v>1554924</v>
      </c>
    </row>
    <row r="49" ht="24" customHeight="1" spans="1:6" x14ac:dyDescent="0.25">
      <c r="A49" s="12" t="s">
        <v>176</v>
      </c>
      <c r="B49" s="12"/>
      <c r="C49" s="12"/>
      <c r="D49" s="12"/>
      <c r="E49" s="12"/>
      <c r="F49" s="12"/>
    </row>
    <row r="50" spans="1:6" x14ac:dyDescent="0.25">
      <c r="A50" s="13" t="s">
        <v>132</v>
      </c>
      <c r="B50" s="21">
        <v>49825</v>
      </c>
      <c r="C50" s="21">
        <v>49825</v>
      </c>
      <c r="D50" s="21">
        <v>49825</v>
      </c>
      <c r="E50" s="21">
        <v>49825</v>
      </c>
      <c r="F50" s="21">
        <v>49825</v>
      </c>
    </row>
    <row r="51" spans="1:6" x14ac:dyDescent="0.25">
      <c r="A51" s="13" t="s">
        <v>133</v>
      </c>
      <c r="B51" s="21">
        <v>75000</v>
      </c>
      <c r="C51" s="21">
        <v>25000</v>
      </c>
      <c r="D51" s="21">
        <v>30000</v>
      </c>
      <c r="E51" s="21">
        <v>15000</v>
      </c>
      <c r="F51" s="21">
        <v>10000</v>
      </c>
    </row>
    <row r="52" spans="1:6" x14ac:dyDescent="0.25">
      <c r="A52" s="13" t="s">
        <v>135</v>
      </c>
      <c r="B52" s="21">
        <v>40000</v>
      </c>
      <c r="C52" s="21">
        <v>15000</v>
      </c>
      <c r="D52" s="21">
        <v>10000</v>
      </c>
      <c r="E52" s="21">
        <v>10000</v>
      </c>
      <c r="F52" s="21">
        <v>10000</v>
      </c>
    </row>
    <row r="53" ht="24" customHeight="1" spans="1:6" x14ac:dyDescent="0.25">
      <c r="A53" s="12" t="s">
        <v>177</v>
      </c>
      <c r="B53" s="29">
        <f>SUM(B50:B52)</f>
        <v>164825</v>
      </c>
      <c r="C53" s="29">
        <f>SUM(C50:C52)</f>
        <v>89825</v>
      </c>
      <c r="D53" s="29">
        <f>SUM(D50:D52)</f>
        <v>89825</v>
      </c>
      <c r="E53" s="29">
        <f>SUM(E50:E52)</f>
        <v>74825</v>
      </c>
      <c r="F53" s="29">
        <f>SUM(F50:F52)</f>
        <v>69825</v>
      </c>
    </row>
    <row r="55" ht="24" customHeight="1" spans="1:6" x14ac:dyDescent="0.25">
      <c r="A55" s="12" t="s">
        <v>178</v>
      </c>
      <c r="B55" s="12"/>
      <c r="C55" s="12"/>
      <c r="D55" s="12"/>
      <c r="E55" s="12"/>
      <c r="F55" s="12"/>
    </row>
    <row r="56" spans="1:6" x14ac:dyDescent="0.25">
      <c r="A56" s="27" t="s">
        <v>179</v>
      </c>
      <c r="B56" s="31">
        <f>B13</f>
        <v>1288333</v>
      </c>
      <c r="C56" s="31">
        <f>C13</f>
        <v>2522800</v>
      </c>
      <c r="D56" s="31">
        <f>D13</f>
        <v>3784600</v>
      </c>
      <c r="E56" s="31">
        <f>E13</f>
        <v>4759125</v>
      </c>
      <c r="F56" s="31">
        <f>F13</f>
        <v>5184400</v>
      </c>
    </row>
    <row r="57" spans="1:6" x14ac:dyDescent="0.25">
      <c r="A57" s="13" t="s">
        <v>180</v>
      </c>
      <c r="B57" s="21">
        <f>B25</f>
        <v>997040</v>
      </c>
      <c r="C57" s="21">
        <f>C25</f>
        <v>1478601</v>
      </c>
      <c r="D57" s="21">
        <f>D25</f>
        <v>1796022</v>
      </c>
      <c r="E57" s="21">
        <f>E25</f>
        <v>2042905</v>
      </c>
      <c r="F57" s="21">
        <f>F25</f>
        <v>2113443</v>
      </c>
    </row>
    <row r="58" spans="1:6" x14ac:dyDescent="0.25">
      <c r="A58" s="13" t="s">
        <v>181</v>
      </c>
      <c r="B58" s="21">
        <f>B47</f>
        <v>545000</v>
      </c>
      <c r="C58" s="21">
        <f>C47</f>
        <v>887860</v>
      </c>
      <c r="D58" s="21">
        <f>D47</f>
        <v>1190521</v>
      </c>
      <c r="E58" s="21">
        <f>E47</f>
        <v>1439089</v>
      </c>
      <c r="F58" s="21">
        <f>F47</f>
        <v>1554924</v>
      </c>
    </row>
    <row r="59" spans="1:6" x14ac:dyDescent="0.25">
      <c r="A59" s="13" t="s">
        <v>182</v>
      </c>
      <c r="B59" s="21">
        <f>B53</f>
        <v>164825</v>
      </c>
      <c r="C59" s="21">
        <f>C53</f>
        <v>89825</v>
      </c>
      <c r="D59" s="21">
        <f>D53</f>
        <v>89825</v>
      </c>
      <c r="E59" s="21">
        <f>E53</f>
        <v>74825</v>
      </c>
      <c r="F59" s="21">
        <f>F53</f>
        <v>69825</v>
      </c>
    </row>
    <row r="60" spans="1:6" x14ac:dyDescent="0.25">
      <c r="A60" s="27" t="s">
        <v>183</v>
      </c>
      <c r="B60" s="31">
        <f>B57+B58+B59</f>
        <v>1706865</v>
      </c>
      <c r="C60" s="31">
        <f>C57+C58+C59</f>
        <v>2456286</v>
      </c>
      <c r="D60" s="31">
        <f>D57+D58+D59</f>
        <v>3076368</v>
      </c>
      <c r="E60" s="31">
        <f>E57+E58+E59</f>
        <v>3556819</v>
      </c>
      <c r="F60" s="31">
        <f>F57+F58+F59</f>
        <v>3738192</v>
      </c>
    </row>
    <row r="61" spans="1:1" x14ac:dyDescent="0.25">
      <c r="A61" t="s">
        <v>7</v>
      </c>
    </row>
    <row r="62" spans="1:6" x14ac:dyDescent="0.25">
      <c r="A62" s="32" t="s">
        <v>184</v>
      </c>
      <c r="B62" s="33">
        <f>B56-B60</f>
        <v>-418532</v>
      </c>
      <c r="C62" s="34">
        <f>C56-C60</f>
        <v>66514</v>
      </c>
      <c r="D62" s="34">
        <f>D56-D60</f>
        <v>708232</v>
      </c>
      <c r="E62" s="34">
        <f>E56-E60</f>
        <v>1202306</v>
      </c>
      <c r="F62" s="34">
        <f>F56-F60</f>
        <v>1446208</v>
      </c>
    </row>
    <row r="63" spans="1:6" x14ac:dyDescent="0.25">
      <c r="A63" s="13" t="s">
        <v>185</v>
      </c>
      <c r="B63" s="35">
        <f>IF(B56=0,"",B62/B56)</f>
        <v>-0.32486321</v>
      </c>
      <c r="C63" s="35">
        <f>IF(C56=0,"",C62/C56)</f>
        <v>0.02636515</v>
      </c>
      <c r="D63" s="35">
        <f>IF(D56=0,"",D62/D56)</f>
        <v>0.18713523</v>
      </c>
      <c r="E63" s="35">
        <f>IF(E56=0,"",E62/E56)</f>
        <v>0.25263173</v>
      </c>
      <c r="F63" s="35">
        <f>IF(F56=0,"",F62/F56)</f>
        <v>0.27895378</v>
      </c>
    </row>
    <row r="64" spans="1:6" x14ac:dyDescent="0.25">
      <c r="A64" s="13" t="s">
        <v>186</v>
      </c>
      <c r="B64" s="21">
        <f>B62</f>
        <v>-418532</v>
      </c>
      <c r="C64" s="21">
        <f>B64+C62</f>
        <v>-352018</v>
      </c>
      <c r="D64" s="21">
        <f>C64+D62</f>
        <v>356214</v>
      </c>
      <c r="E64" s="21">
        <f>D64+E62</f>
        <v>1558520</v>
      </c>
      <c r="F64" s="21">
        <f>E64+F62</f>
        <v>3004728</v>
      </c>
    </row>
    <row r="65" spans="1:6" x14ac:dyDescent="0.25">
      <c r="A65" s="30" t="s">
        <v>187</v>
      </c>
      <c r="B65" s="36" t="s">
        <v>7</v>
      </c>
      <c r="C65" s="36" t="s">
        <v>7</v>
      </c>
      <c r="D65" s="37" t="s">
        <v>188</v>
      </c>
      <c r="E65" s="36" t="s">
        <v>7</v>
      </c>
      <c r="F65" s="36" t="s">
        <v>7</v>
      </c>
    </row>
    <row r="67" ht="24" customHeight="1" spans="1:6" x14ac:dyDescent="0.25">
      <c r="A67" s="12" t="s">
        <v>189</v>
      </c>
      <c r="B67" s="12"/>
      <c r="C67" s="12"/>
      <c r="D67" s="12"/>
      <c r="E67" s="12"/>
      <c r="F67" s="12"/>
    </row>
    <row r="68" spans="1:6" x14ac:dyDescent="0.25">
      <c r="A68" s="27" t="s">
        <v>190</v>
      </c>
      <c r="B68" s="31">
        <f>B56-B57-B58</f>
        <v>-253707</v>
      </c>
      <c r="C68" s="31">
        <f>C56-C57-C58</f>
        <v>156339</v>
      </c>
      <c r="D68" s="31">
        <f>D56-D57-D58</f>
        <v>798057</v>
      </c>
      <c r="E68" s="31">
        <f>E56-E57-E58</f>
        <v>1277131</v>
      </c>
      <c r="F68" s="31">
        <f>F56-F57-F58</f>
        <v>1516033</v>
      </c>
    </row>
    <row r="69" spans="1:6" x14ac:dyDescent="0.25">
      <c r="A69" s="13" t="s">
        <v>191</v>
      </c>
      <c r="B69" s="21">
        <f>B59</f>
        <v>164825</v>
      </c>
      <c r="C69" s="21">
        <f>C59</f>
        <v>89825</v>
      </c>
      <c r="D69" s="21">
        <f>D59</f>
        <v>89825</v>
      </c>
      <c r="E69" s="21">
        <f>E59</f>
        <v>74825</v>
      </c>
      <c r="F69" s="21">
        <f>F59</f>
        <v>69825</v>
      </c>
    </row>
    <row r="70" spans="1:6" x14ac:dyDescent="0.25">
      <c r="A70" s="27" t="s">
        <v>192</v>
      </c>
      <c r="B70" s="38">
        <f>IF(B69=0,"N/A",B68/B69)</f>
        <v>-1.54</v>
      </c>
      <c r="C70" s="38">
        <f>IF(C69=0,"N/A",C68/C69)</f>
        <v>1.74</v>
      </c>
      <c r="D70" s="38">
        <f>IF(D69=0,"N/A",D68/D69)</f>
        <v>8.88</v>
      </c>
      <c r="E70" s="38">
        <f>IF(E69=0,"N/A",E68/E69)</f>
        <v>17.07</v>
      </c>
      <c r="F70" s="38">
        <f>IF(F69=0,"N/A",F68/F69)</f>
        <v>21.71</v>
      </c>
    </row>
    <row r="71" spans="1:6" x14ac:dyDescent="0.25">
      <c r="A71" s="13" t="s">
        <v>143</v>
      </c>
      <c r="B71" s="21" t="str">
        <f>Assumptions!B68</f>
        <v>0</v>
      </c>
      <c r="C71" s="21">
        <f>B72</f>
        <v>-418532</v>
      </c>
      <c r="D71" s="21">
        <f>C72</f>
        <v>-352018</v>
      </c>
      <c r="E71" s="21">
        <f>D72</f>
        <v>356214</v>
      </c>
      <c r="F71" s="21">
        <f>E72</f>
        <v>1558520</v>
      </c>
    </row>
    <row r="72" spans="1:6" x14ac:dyDescent="0.25">
      <c r="A72" s="27" t="s">
        <v>193</v>
      </c>
      <c r="B72" s="31">
        <f>B71+B62</f>
        <v>-418532</v>
      </c>
      <c r="C72" s="31">
        <f>C71+C62</f>
        <v>-352018</v>
      </c>
      <c r="D72" s="31">
        <f>D71+D62</f>
        <v>356214</v>
      </c>
      <c r="E72" s="31">
        <f>E71+E62</f>
        <v>1558520</v>
      </c>
      <c r="F72" s="31">
        <f>F71+F62</f>
        <v>3004728</v>
      </c>
    </row>
    <row r="73" spans="1:6" x14ac:dyDescent="0.25">
      <c r="A73" s="13" t="s">
        <v>194</v>
      </c>
      <c r="B73" s="39">
        <f>IF(B60=0,"",B72/B60*365)</f>
        <v>-89</v>
      </c>
      <c r="C73" s="39">
        <f>IF(C60=0,"",C72/C60*365)</f>
        <v>-52</v>
      </c>
      <c r="D73" s="39">
        <f>IF(D60=0,"",D72/D60*365)</f>
        <v>42</v>
      </c>
      <c r="E73" s="39">
        <f>IF(E60=0,"",E72/E60*365)</f>
        <v>160</v>
      </c>
      <c r="F73" s="39">
        <f>IF(F60=0,"",F72/F60*365)</f>
        <v>293</v>
      </c>
    </row>
    <row r="74" spans="1:6" x14ac:dyDescent="0.25">
      <c r="A74" s="13" t="s">
        <v>195</v>
      </c>
      <c r="B74" s="40">
        <f>IF(B60=0,"",B72/(B60/12))</f>
        <v>-2.9</v>
      </c>
      <c r="C74" s="40">
        <f>IF(C60=0,"",C72/(C60/12))</f>
        <v>-1.7</v>
      </c>
      <c r="D74" s="40">
        <f>IF(D60=0,"",D72/(D60/12))</f>
        <v>1.4</v>
      </c>
      <c r="E74" s="40">
        <f>IF(E60=0,"",E72/(E60/12))</f>
        <v>5.3</v>
      </c>
      <c r="F74" s="40">
        <f>IF(F60=0,"",F72/(F60/12))</f>
        <v>9.6</v>
      </c>
    </row>
    <row r="75" spans="1:6" x14ac:dyDescent="0.25">
      <c r="A75" s="13" t="s">
        <v>196</v>
      </c>
      <c r="B75" s="35">
        <f>IF(Assumptions!B12=0,"",B4/Assumptions!B12)</f>
        <v>0.3</v>
      </c>
      <c r="C75" s="35">
        <f>IF(Assumptions!B12=0,"",C4/Assumptions!B12)</f>
        <v>0.5</v>
      </c>
      <c r="D75" s="35">
        <f>IF(Assumptions!B12=0,"",D4/Assumptions!B12)</f>
        <v>0.75</v>
      </c>
      <c r="E75" s="35">
        <f>IF(Assumptions!B12=0,"",E4/Assumptions!B12)</f>
        <v>0.9375</v>
      </c>
      <c r="F75" s="35">
        <f>IF(Assumptions!B12=0,"",F4/Assumptions!B12)</f>
        <v>1</v>
      </c>
    </row>
    <row r="77" ht="24" customHeight="1" spans="1:6" x14ac:dyDescent="0.25">
      <c r="A77" s="12" t="s">
        <v>197</v>
      </c>
      <c r="B77" s="12"/>
      <c r="C77" s="12"/>
      <c r="D77" s="12"/>
      <c r="E77" s="12"/>
      <c r="F77" s="12"/>
    </row>
    <row r="78" spans="1:6" x14ac:dyDescent="0.25">
      <c r="A78" s="13" t="s">
        <v>198</v>
      </c>
      <c r="B78" s="13" t="str">
        <f>IF(B69=0,"N/A",IF(B70&gt;=1.25,"PASS","FAIL"))</f>
        <v>FAIL</v>
      </c>
      <c r="C78" s="13" t="str">
        <f>IF(C69=0,"N/A",IF(C70&gt;=1.25,"PASS","FAIL"))</f>
        <v>PASS</v>
      </c>
      <c r="D78" s="13" t="str">
        <f>IF(D69=0,"N/A",IF(D70&gt;=1.25,"PASS","FAIL"))</f>
        <v>PASS</v>
      </c>
      <c r="E78" s="13" t="str">
        <f>IF(E69=0,"N/A",IF(E70&gt;=1.25,"PASS","FAIL"))</f>
        <v>PASS</v>
      </c>
      <c r="F78" s="13" t="str">
        <f>IF(F69=0,"N/A",IF(F70&gt;=1.25,"PASS","FAIL"))</f>
        <v>PASS</v>
      </c>
    </row>
    <row r="79" spans="1:6" x14ac:dyDescent="0.25">
      <c r="A79" s="13" t="s">
        <v>199</v>
      </c>
      <c r="B79" s="13" t="str">
        <f>IF(B62&gt;0,"PASS","FAIL")</f>
        <v>FAIL</v>
      </c>
      <c r="C79" s="13" t="str">
        <f>IF(C62&gt;0,"PASS","FAIL")</f>
        <v>PASS</v>
      </c>
      <c r="D79" s="13" t="str">
        <f>IF(D62&gt;0,"PASS","FAIL")</f>
        <v>PASS</v>
      </c>
      <c r="E79" s="13" t="str">
        <f>IF(E62&gt;0,"PASS","FAIL")</f>
        <v>PASS</v>
      </c>
      <c r="F79" s="13" t="str">
        <f>IF(F62&gt;0,"PASS","FAIL")</f>
        <v>PASS</v>
      </c>
    </row>
    <row r="80" spans="1:6" x14ac:dyDescent="0.25">
      <c r="A80" s="13" t="s">
        <v>200</v>
      </c>
      <c r="B80" s="13" t="str">
        <f>IF(Assumptions!B12=0,"N/A",IF(B4/Assumptions!B12&gt;=0.7,"PASS","FAIL"))</f>
        <v>FAIL</v>
      </c>
      <c r="C80" s="13" t="str">
        <f>IF(Assumptions!B12=0,"N/A",IF(C4/Assumptions!B12&gt;=0.7,"PASS","FAIL"))</f>
        <v>FAIL</v>
      </c>
      <c r="D80" s="13" t="str">
        <f>IF(Assumptions!B12=0,"N/A",IF(D4/Assumptions!B12&gt;=0.7,"PASS","FAIL"))</f>
        <v>PASS</v>
      </c>
      <c r="E80" s="13" t="str">
        <f>IF(Assumptions!B12=0,"N/A",IF(E4/Assumptions!B12&gt;=0.7,"PASS","FAIL"))</f>
        <v>PASS</v>
      </c>
      <c r="F80" s="13" t="str">
        <f>IF(Assumptions!B12=0,"N/A",IF(F4/Assumptions!B12&gt;=0.7,"PASS","FAIL"))</f>
        <v>PASS</v>
      </c>
    </row>
    <row r="81" spans="1:6" x14ac:dyDescent="0.25">
      <c r="A81" s="13" t="s">
        <v>201</v>
      </c>
      <c r="B81" s="13" t="str">
        <f>IF(B60=0,"N/A",IF(B72/(B60/12)&gt;=2,"PASS","FAIL"))</f>
        <v>FAIL</v>
      </c>
      <c r="C81" s="13" t="str">
        <f>IF(C60=0,"N/A",IF(C72/(C60/12)&gt;=2,"PASS","FAIL"))</f>
        <v>FAIL</v>
      </c>
      <c r="D81" s="13" t="str">
        <f>IF(D60=0,"N/A",IF(D72/(D60/12)&gt;=2,"PASS","FAIL"))</f>
        <v>FAIL</v>
      </c>
      <c r="E81" s="13" t="str">
        <f>IF(E60=0,"N/A",IF(E72/(E60/12)&gt;=2,"PASS","FAIL"))</f>
        <v>PASS</v>
      </c>
      <c r="F81" s="13" t="str">
        <f>IF(F60=0,"N/A",IF(F72/(F60/12)&gt;=2,"PASS","FAIL"))</f>
        <v>PASS</v>
      </c>
    </row>
    <row r="83" ht="24" customHeight="1" spans="1:6" x14ac:dyDescent="0.25">
      <c r="A83" s="12" t="s">
        <v>202</v>
      </c>
      <c r="B83" s="12"/>
      <c r="C83" s="12"/>
      <c r="D83" s="12"/>
      <c r="E83" s="12"/>
      <c r="F83" s="12"/>
    </row>
    <row r="84" spans="1:6" x14ac:dyDescent="0.25">
      <c r="A84" s="13" t="s">
        <v>203</v>
      </c>
      <c r="B84" s="21">
        <f>IF(B4=0,"",B13/B4)</f>
        <v>10736</v>
      </c>
      <c r="C84" s="21">
        <f>IF(C4=0,"",C13/C4)</f>
        <v>12614</v>
      </c>
      <c r="D84" s="21">
        <f>IF(D4=0,"",D13/D4)</f>
        <v>12615</v>
      </c>
      <c r="E84" s="21">
        <f>IF(E4=0,"",E13/E4)</f>
        <v>12691</v>
      </c>
      <c r="F84" s="21">
        <f>IF(F4=0,"",F13/F4)</f>
        <v>12961</v>
      </c>
    </row>
    <row r="85" spans="1:6" x14ac:dyDescent="0.25">
      <c r="A85" s="13" t="s">
        <v>204</v>
      </c>
      <c r="B85" s="21">
        <f>IF(B4=0,"",B60/B4)</f>
        <v>14224</v>
      </c>
      <c r="C85" s="21">
        <f>IF(C4=0,"",C60/C4)</f>
        <v>12281</v>
      </c>
      <c r="D85" s="21">
        <f>IF(D4=0,"",D60/D4)</f>
        <v>10255</v>
      </c>
      <c r="E85" s="21">
        <f>IF(E4=0,"",E60/E4)</f>
        <v>9485</v>
      </c>
      <c r="F85" s="21">
        <f>IF(F4=0,"",F60/F4)</f>
        <v>9345</v>
      </c>
    </row>
    <row r="86" spans="1:6" x14ac:dyDescent="0.25">
      <c r="A86" s="13" t="s">
        <v>205</v>
      </c>
      <c r="B86" s="21">
        <f>B57+B59</f>
        <v>1161865</v>
      </c>
      <c r="C86" s="21">
        <f>C57+C59</f>
        <v>1568426</v>
      </c>
      <c r="D86" s="21">
        <f>D57+D59</f>
        <v>1885847</v>
      </c>
      <c r="E86" s="21">
        <f>E57+E59</f>
        <v>2117730</v>
      </c>
      <c r="F86" s="21">
        <f>F57+F59</f>
        <v>2183268</v>
      </c>
    </row>
    <row r="87" spans="1:6" x14ac:dyDescent="0.25">
      <c r="A87" s="13" t="s">
        <v>206</v>
      </c>
      <c r="B87" s="21">
        <f>IF(B4=0,"",B58/B4)</f>
        <v>4542</v>
      </c>
      <c r="C87" s="21">
        <f>IF(C4=0,"",C58/C4)</f>
        <v>4439</v>
      </c>
      <c r="D87" s="21">
        <f>IF(D4=0,"",D58/D4)</f>
        <v>3968</v>
      </c>
      <c r="E87" s="21">
        <f>IF(E4=0,"",E58/E4)</f>
        <v>3838</v>
      </c>
      <c r="F87" s="21">
        <f>IF(F4=0,"",F58/F4)</f>
        <v>3887</v>
      </c>
    </row>
    <row r="88" spans="1:6" x14ac:dyDescent="0.25">
      <c r="A88" s="13" t="s">
        <v>207</v>
      </c>
      <c r="B88" s="21">
        <f>IF(B4=0,"",B84-B87)</f>
        <v>6194</v>
      </c>
      <c r="C88" s="21">
        <f>IF(C4=0,"",C84-C87)</f>
        <v>8175</v>
      </c>
      <c r="D88" s="21">
        <f>IF(D4=0,"",D84-D87)</f>
        <v>8647</v>
      </c>
      <c r="E88" s="21">
        <f>IF(E4=0,"",E84-E87)</f>
        <v>8853</v>
      </c>
      <c r="F88" s="21">
        <f>IF(F4=0,"",F84-F87)</f>
        <v>9074</v>
      </c>
    </row>
    <row r="89" spans="1:6" x14ac:dyDescent="0.25">
      <c r="A89" s="41" t="s">
        <v>208</v>
      </c>
      <c r="B89" s="42">
        <f>IF(B88&lt;=0,"N/A",ROUNDUP(B86/B88,0))</f>
        <v>188</v>
      </c>
      <c r="C89" s="42">
        <f>IF(C88&lt;=0,"N/A",ROUNDUP(C86/C88,0))</f>
        <v>192</v>
      </c>
      <c r="D89" s="42">
        <f>IF(D88&lt;=0,"N/A",ROUNDUP(D86/D88,0))</f>
        <v>219</v>
      </c>
      <c r="E89" s="42">
        <f>IF(E88&lt;=0,"N/A",ROUNDUP(E86/E88,0))</f>
        <v>240</v>
      </c>
      <c r="F89" s="42">
        <f>IF(F88&lt;=0,"N/A",ROUNDUP(F86/F88,0))</f>
        <v>241</v>
      </c>
    </row>
    <row r="91" spans="1:6" x14ac:dyDescent="0.25">
      <c r="A91" s="24" t="s">
        <v>144</v>
      </c>
      <c r="B91" s="24"/>
      <c r="C91" s="24"/>
      <c r="D91" s="24"/>
      <c r="E91" s="24"/>
      <c r="F91" s="24"/>
    </row>
  </sheetData>
  <mergeCells count="3">
    <mergeCell ref="A1:F1"/>
    <mergeCell ref="A2:F2"/>
    <mergeCell ref="A91:F91"/>
  </mergeCells>
  <pageMargins left="0.25" right="0.25" top="0.5" bottom="0.5" header="0.3" footer="0.3"/>
  <pageSetup paperSize="1" orientation="portrait" horizontalDpi="4294967295" verticalDpi="4294967295" scale="100" fitToWidth="1" fitToHeight="0"/>
  <headerFooter>
    <oddHeader>&amp;L&amp;10&amp;BCivic Scholars Charter&amp;R&amp;8&amp;I5-Year Model</oddHeader>
    <oddFooter>&amp;L&amp;8Built by SchoolStack Budget  •  budget.schoolstack.ai&amp;C&amp;8Page &amp;P of &amp;N&amp;R&amp;8&amp;D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workbookViewId="0">
      <pane xSplit="1" ySplit="2" topLeftCell="B3" activePane="bottomRight" state="frozen"/>
      <selection pane="bottomRight" activeCell="B3" sqref="B3"/>
    </sheetView>
  </sheetViews>
  <sheetFormatPr defaultRowHeight="15" outlineLevelRow="0" outlineLevelCol="0" x14ac:dyDescent="55"/>
  <cols>
    <col min="1" max="1" width="36" customWidth="1"/>
    <col min="2" max="13" width="14" customWidth="1"/>
    <col min="14" max="14" width="16" customWidth="1"/>
  </cols>
  <sheetData>
    <row r="1" ht="32" customHeight="1" spans="1:14" x14ac:dyDescent="0.25">
      <c r="A1" s="8" t="s">
        <v>209</v>
      </c>
      <c r="B1" s="8"/>
      <c r="C1" s="8"/>
      <c r="D1" s="8"/>
      <c r="E1" s="8"/>
      <c r="F1" s="8"/>
      <c r="G1" s="8"/>
      <c r="H1" s="8"/>
      <c r="I1" s="8"/>
      <c r="J1" s="8"/>
      <c r="K1" s="8"/>
      <c r="L1" s="8"/>
      <c r="M1" s="8"/>
      <c r="N1" s="8"/>
    </row>
    <row r="2" ht="28" customHeight="1" spans="1:14" x14ac:dyDescent="0.25">
      <c r="A2" s="26" t="s">
        <v>7</v>
      </c>
      <c r="B2" s="26" t="s">
        <v>46</v>
      </c>
      <c r="C2" s="26" t="s">
        <v>210</v>
      </c>
      <c r="D2" s="26" t="s">
        <v>211</v>
      </c>
      <c r="E2" s="26" t="s">
        <v>212</v>
      </c>
      <c r="F2" s="26" t="s">
        <v>213</v>
      </c>
      <c r="G2" s="26" t="s">
        <v>214</v>
      </c>
      <c r="H2" s="26" t="s">
        <v>215</v>
      </c>
      <c r="I2" s="26" t="s">
        <v>216</v>
      </c>
      <c r="J2" s="26" t="s">
        <v>217</v>
      </c>
      <c r="K2" s="26" t="s">
        <v>218</v>
      </c>
      <c r="L2" s="26" t="s">
        <v>219</v>
      </c>
      <c r="M2" s="26" t="s">
        <v>220</v>
      </c>
      <c r="N2" s="26" t="s">
        <v>221</v>
      </c>
    </row>
    <row r="3" ht="24" customHeight="1" spans="1:14" x14ac:dyDescent="0.25">
      <c r="A3" s="12" t="s">
        <v>147</v>
      </c>
      <c r="B3" s="12"/>
      <c r="C3" s="12"/>
      <c r="D3" s="12"/>
      <c r="E3" s="12"/>
      <c r="F3" s="12"/>
      <c r="G3" s="12"/>
      <c r="H3" s="12"/>
      <c r="I3" s="12"/>
      <c r="J3" s="12"/>
      <c r="K3" s="12"/>
      <c r="L3" s="12"/>
      <c r="M3" s="12"/>
      <c r="N3" s="12"/>
    </row>
    <row r="4" spans="1:14" x14ac:dyDescent="0.25">
      <c r="A4" s="13" t="s">
        <v>67</v>
      </c>
      <c r="B4" s="21">
        <v>114000</v>
      </c>
      <c r="C4" s="21">
        <v>114000</v>
      </c>
      <c r="D4" s="21">
        <v>114000</v>
      </c>
      <c r="E4" s="21">
        <v>114000</v>
      </c>
      <c r="F4" s="21">
        <v>114000</v>
      </c>
      <c r="G4" s="21">
        <v>114000</v>
      </c>
      <c r="H4" s="21">
        <v>114000</v>
      </c>
      <c r="I4" s="21">
        <v>114000</v>
      </c>
      <c r="J4" s="21">
        <v>114000</v>
      </c>
      <c r="K4" s="21">
        <v>114000</v>
      </c>
      <c r="L4" s="21">
        <v>0</v>
      </c>
      <c r="M4" s="21">
        <v>0</v>
      </c>
      <c r="N4" s="21">
        <f>SUM(B4:M4)</f>
        <v>950000</v>
      </c>
    </row>
    <row r="5" spans="1:14" x14ac:dyDescent="0.25">
      <c r="A5" s="13" t="s">
        <v>70</v>
      </c>
      <c r="B5" s="21">
        <v>9600</v>
      </c>
      <c r="C5" s="21">
        <v>9600</v>
      </c>
      <c r="D5" s="21">
        <v>9600</v>
      </c>
      <c r="E5" s="21">
        <v>9600</v>
      </c>
      <c r="F5" s="21">
        <v>9600</v>
      </c>
      <c r="G5" s="21">
        <v>9600</v>
      </c>
      <c r="H5" s="21">
        <v>9600</v>
      </c>
      <c r="I5" s="21">
        <v>9600</v>
      </c>
      <c r="J5" s="21">
        <v>9600</v>
      </c>
      <c r="K5" s="21">
        <v>9600</v>
      </c>
      <c r="L5" s="21">
        <v>0</v>
      </c>
      <c r="M5" s="21">
        <v>0</v>
      </c>
      <c r="N5" s="21">
        <f>SUM(B5:M5)</f>
        <v>80000</v>
      </c>
    </row>
    <row r="6" spans="1:14" x14ac:dyDescent="0.25">
      <c r="A6" s="13" t="s">
        <v>71</v>
      </c>
      <c r="B6" s="21">
        <v>14400</v>
      </c>
      <c r="C6" s="21">
        <v>14400</v>
      </c>
      <c r="D6" s="21">
        <v>14400</v>
      </c>
      <c r="E6" s="21">
        <v>14400</v>
      </c>
      <c r="F6" s="21">
        <v>14400</v>
      </c>
      <c r="G6" s="21">
        <v>14400</v>
      </c>
      <c r="H6" s="21">
        <v>14400</v>
      </c>
      <c r="I6" s="21">
        <v>14400</v>
      </c>
      <c r="J6" s="21">
        <v>14400</v>
      </c>
      <c r="K6" s="21">
        <v>14400</v>
      </c>
      <c r="L6" s="21">
        <v>0</v>
      </c>
      <c r="M6" s="21">
        <v>0</v>
      </c>
      <c r="N6" s="21">
        <f>SUM(B6:M6)</f>
        <v>120000</v>
      </c>
    </row>
    <row r="7" spans="1:14" x14ac:dyDescent="0.25">
      <c r="A7" s="13" t="s">
        <v>72</v>
      </c>
      <c r="B7" s="21">
        <v>10000</v>
      </c>
      <c r="C7" s="21">
        <v>10000</v>
      </c>
      <c r="D7" s="21">
        <v>10000</v>
      </c>
      <c r="E7" s="21">
        <v>10000</v>
      </c>
      <c r="F7" s="21">
        <v>10000</v>
      </c>
      <c r="G7" s="21">
        <v>10000</v>
      </c>
      <c r="H7" s="21">
        <v>10000</v>
      </c>
      <c r="I7" s="21">
        <v>10000</v>
      </c>
      <c r="J7" s="21">
        <v>10000</v>
      </c>
      <c r="K7" s="21">
        <v>10000</v>
      </c>
      <c r="L7" s="21">
        <v>0</v>
      </c>
      <c r="M7" s="21">
        <v>0</v>
      </c>
      <c r="N7" s="21">
        <f>SUM(B7:M7)</f>
        <v>83333</v>
      </c>
    </row>
    <row r="8" spans="1:14" x14ac:dyDescent="0.25">
      <c r="A8" s="13" t="s">
        <v>75</v>
      </c>
      <c r="B8" s="21">
        <v>3000</v>
      </c>
      <c r="C8" s="21">
        <v>3000</v>
      </c>
      <c r="D8" s="21">
        <v>3000</v>
      </c>
      <c r="E8" s="21">
        <v>3000</v>
      </c>
      <c r="F8" s="21">
        <v>3000</v>
      </c>
      <c r="G8" s="21">
        <v>3000</v>
      </c>
      <c r="H8" s="21">
        <v>3000</v>
      </c>
      <c r="I8" s="21">
        <v>3000</v>
      </c>
      <c r="J8" s="21">
        <v>3000</v>
      </c>
      <c r="K8" s="21">
        <v>3000</v>
      </c>
      <c r="L8" s="21">
        <v>0</v>
      </c>
      <c r="M8" s="21">
        <v>0</v>
      </c>
      <c r="N8" s="21">
        <f>SUM(B8:M8)</f>
        <v>25000</v>
      </c>
    </row>
    <row r="9" spans="1:14" x14ac:dyDescent="0.25">
      <c r="A9" s="13" t="s">
        <v>76</v>
      </c>
      <c r="B9" s="21">
        <v>3600</v>
      </c>
      <c r="C9" s="21">
        <v>3600</v>
      </c>
      <c r="D9" s="21">
        <v>3600</v>
      </c>
      <c r="E9" s="21">
        <v>3600</v>
      </c>
      <c r="F9" s="21">
        <v>3600</v>
      </c>
      <c r="G9" s="21">
        <v>3600</v>
      </c>
      <c r="H9" s="21">
        <v>3600</v>
      </c>
      <c r="I9" s="21">
        <v>3600</v>
      </c>
      <c r="J9" s="21">
        <v>3600</v>
      </c>
      <c r="K9" s="21">
        <v>3600</v>
      </c>
      <c r="L9" s="21">
        <v>0</v>
      </c>
      <c r="M9" s="21">
        <v>0</v>
      </c>
      <c r="N9" s="21">
        <f>SUM(B9:M9)</f>
        <v>30000</v>
      </c>
    </row>
    <row r="10" ht="24" customHeight="1" spans="1:14" x14ac:dyDescent="0.25">
      <c r="A10" s="12" t="s">
        <v>148</v>
      </c>
      <c r="B10" s="29">
        <f>SUM(B4:B9)</f>
        <v>154600</v>
      </c>
      <c r="C10" s="29">
        <f>SUM(C4:C9)</f>
        <v>154600</v>
      </c>
      <c r="D10" s="29">
        <f>SUM(D4:D9)</f>
        <v>154600</v>
      </c>
      <c r="E10" s="29">
        <f>SUM(E4:E9)</f>
        <v>154600</v>
      </c>
      <c r="F10" s="29">
        <f>SUM(F4:F9)</f>
        <v>154600</v>
      </c>
      <c r="G10" s="29">
        <f>SUM(G4:G9)</f>
        <v>154600</v>
      </c>
      <c r="H10" s="29">
        <f>SUM(H4:H9)</f>
        <v>154600</v>
      </c>
      <c r="I10" s="29">
        <f>SUM(I4:I9)</f>
        <v>154600</v>
      </c>
      <c r="J10" s="29">
        <f>SUM(J4:J9)</f>
        <v>154600</v>
      </c>
      <c r="K10" s="29">
        <f>SUM(K4:K9)</f>
        <v>154600</v>
      </c>
      <c r="L10" s="29" t="str">
        <f>SUM(L4:L9)</f>
        <v>0</v>
      </c>
      <c r="M10" s="29" t="str">
        <f>SUM(M4:M9)</f>
        <v>0</v>
      </c>
      <c r="N10" s="29">
        <f>SUM(B10:M10)</f>
        <v>1546000</v>
      </c>
    </row>
    <row r="11" spans="1:1" x14ac:dyDescent="0.25">
      <c r="A11" t="s">
        <v>7</v>
      </c>
    </row>
    <row r="12" ht="24" customHeight="1" spans="1:14" x14ac:dyDescent="0.25">
      <c r="A12" s="12" t="s">
        <v>149</v>
      </c>
      <c r="B12" s="12"/>
      <c r="C12" s="12"/>
      <c r="D12" s="12"/>
      <c r="E12" s="12"/>
      <c r="F12" s="12"/>
      <c r="G12" s="12"/>
      <c r="H12" s="12"/>
      <c r="I12" s="12"/>
      <c r="J12" s="12"/>
      <c r="K12" s="12"/>
      <c r="L12" s="12"/>
      <c r="M12" s="12"/>
      <c r="N12" s="12"/>
    </row>
    <row r="13" spans="1:14" x14ac:dyDescent="0.25">
      <c r="A13" s="13" t="s">
        <v>87</v>
      </c>
      <c r="B13" s="21">
        <v>12435</v>
      </c>
      <c r="C13" s="21">
        <v>12435</v>
      </c>
      <c r="D13" s="21">
        <v>12435</v>
      </c>
      <c r="E13" s="21">
        <v>12435</v>
      </c>
      <c r="F13" s="21">
        <v>12435</v>
      </c>
      <c r="G13" s="21">
        <v>12435</v>
      </c>
      <c r="H13" s="21">
        <v>12435</v>
      </c>
      <c r="I13" s="21">
        <v>12435</v>
      </c>
      <c r="J13" s="21">
        <v>12435</v>
      </c>
      <c r="K13" s="21">
        <v>12435</v>
      </c>
      <c r="L13" s="21">
        <v>0</v>
      </c>
      <c r="M13" s="21">
        <v>0</v>
      </c>
      <c r="N13" s="21">
        <f>SUM(B13:M13)</f>
        <v>124346</v>
      </c>
    </row>
    <row r="14" spans="1:14" x14ac:dyDescent="0.25">
      <c r="A14" s="13" t="s">
        <v>91</v>
      </c>
      <c r="B14" s="21">
        <v>10174</v>
      </c>
      <c r="C14" s="21">
        <v>10174</v>
      </c>
      <c r="D14" s="21">
        <v>10174</v>
      </c>
      <c r="E14" s="21">
        <v>10174</v>
      </c>
      <c r="F14" s="21">
        <v>10174</v>
      </c>
      <c r="G14" s="21">
        <v>10174</v>
      </c>
      <c r="H14" s="21">
        <v>10174</v>
      </c>
      <c r="I14" s="21">
        <v>10174</v>
      </c>
      <c r="J14" s="21">
        <v>10174</v>
      </c>
      <c r="K14" s="21">
        <v>10174</v>
      </c>
      <c r="L14" s="21">
        <v>0</v>
      </c>
      <c r="M14" s="21">
        <v>0</v>
      </c>
      <c r="N14" s="21">
        <f>SUM(B14:M14)</f>
        <v>101738</v>
      </c>
    </row>
    <row r="15" spans="1:14" x14ac:dyDescent="0.25">
      <c r="A15" s="13" t="s">
        <v>92</v>
      </c>
      <c r="B15" s="21">
        <v>8139</v>
      </c>
      <c r="C15" s="21">
        <v>8139</v>
      </c>
      <c r="D15" s="21">
        <v>8139</v>
      </c>
      <c r="E15" s="21">
        <v>8139</v>
      </c>
      <c r="F15" s="21">
        <v>8139</v>
      </c>
      <c r="G15" s="21">
        <v>8139</v>
      </c>
      <c r="H15" s="21">
        <v>8139</v>
      </c>
      <c r="I15" s="21">
        <v>8139</v>
      </c>
      <c r="J15" s="21">
        <v>8139</v>
      </c>
      <c r="K15" s="21">
        <v>8139</v>
      </c>
      <c r="L15" s="21">
        <v>0</v>
      </c>
      <c r="M15" s="21">
        <v>0</v>
      </c>
      <c r="N15" s="21">
        <f>SUM(B15:M15)</f>
        <v>81390</v>
      </c>
    </row>
    <row r="16" spans="1:14" x14ac:dyDescent="0.25">
      <c r="A16" s="13" t="s">
        <v>93</v>
      </c>
      <c r="B16" s="21">
        <v>32330</v>
      </c>
      <c r="C16" s="21">
        <v>32330</v>
      </c>
      <c r="D16" s="21">
        <v>32330</v>
      </c>
      <c r="E16" s="21">
        <v>32330</v>
      </c>
      <c r="F16" s="21">
        <v>32330</v>
      </c>
      <c r="G16" s="21">
        <v>32330</v>
      </c>
      <c r="H16" s="21">
        <v>32330</v>
      </c>
      <c r="I16" s="21">
        <v>32330</v>
      </c>
      <c r="J16" s="21">
        <v>32330</v>
      </c>
      <c r="K16" s="21">
        <v>32330</v>
      </c>
      <c r="L16" s="21">
        <v>0</v>
      </c>
      <c r="M16" s="21">
        <v>0</v>
      </c>
      <c r="N16" s="21">
        <f>SUM(B16:M16)</f>
        <v>323299</v>
      </c>
    </row>
    <row r="17" spans="1:14" x14ac:dyDescent="0.25">
      <c r="A17" s="13" t="s">
        <v>95</v>
      </c>
      <c r="B17" s="21">
        <v>6217</v>
      </c>
      <c r="C17" s="21">
        <v>6217</v>
      </c>
      <c r="D17" s="21">
        <v>6217</v>
      </c>
      <c r="E17" s="21">
        <v>6217</v>
      </c>
      <c r="F17" s="21">
        <v>6217</v>
      </c>
      <c r="G17" s="21">
        <v>6217</v>
      </c>
      <c r="H17" s="21">
        <v>6217</v>
      </c>
      <c r="I17" s="21">
        <v>6217</v>
      </c>
      <c r="J17" s="21">
        <v>6217</v>
      </c>
      <c r="K17" s="21">
        <v>6217</v>
      </c>
      <c r="L17" s="21">
        <v>0</v>
      </c>
      <c r="M17" s="21">
        <v>0</v>
      </c>
      <c r="N17" s="21">
        <f>SUM(B17:M17)</f>
        <v>62173</v>
      </c>
    </row>
    <row r="18" spans="1:14" x14ac:dyDescent="0.25">
      <c r="A18" s="13" t="s">
        <v>96</v>
      </c>
      <c r="B18" s="21">
        <v>9574</v>
      </c>
      <c r="C18" s="21">
        <v>9574</v>
      </c>
      <c r="D18" s="21">
        <v>9574</v>
      </c>
      <c r="E18" s="21">
        <v>9574</v>
      </c>
      <c r="F18" s="21">
        <v>9574</v>
      </c>
      <c r="G18" s="21">
        <v>9574</v>
      </c>
      <c r="H18" s="21">
        <v>9574</v>
      </c>
      <c r="I18" s="21">
        <v>9574</v>
      </c>
      <c r="J18" s="21">
        <v>9574</v>
      </c>
      <c r="K18" s="21">
        <v>9574</v>
      </c>
      <c r="L18" s="21">
        <v>0</v>
      </c>
      <c r="M18" s="21">
        <v>0</v>
      </c>
      <c r="N18" s="21">
        <f>SUM(B18:M18)</f>
        <v>95738</v>
      </c>
    </row>
    <row r="19" spans="1:14" x14ac:dyDescent="0.25">
      <c r="A19" s="13" t="s">
        <v>97</v>
      </c>
      <c r="B19" s="21">
        <v>6217</v>
      </c>
      <c r="C19" s="21">
        <v>6217</v>
      </c>
      <c r="D19" s="21">
        <v>6217</v>
      </c>
      <c r="E19" s="21">
        <v>6217</v>
      </c>
      <c r="F19" s="21">
        <v>6217</v>
      </c>
      <c r="G19" s="21">
        <v>6217</v>
      </c>
      <c r="H19" s="21">
        <v>6217</v>
      </c>
      <c r="I19" s="21">
        <v>6217</v>
      </c>
      <c r="J19" s="21">
        <v>6217</v>
      </c>
      <c r="K19" s="21">
        <v>6217</v>
      </c>
      <c r="L19" s="21">
        <v>0</v>
      </c>
      <c r="M19" s="21">
        <v>0</v>
      </c>
      <c r="N19" s="21">
        <f>SUM(B19:M19)</f>
        <v>62173</v>
      </c>
    </row>
    <row r="20" spans="1:14" x14ac:dyDescent="0.25">
      <c r="A20" s="13" t="s">
        <v>99</v>
      </c>
      <c r="B20" s="21">
        <v>8401</v>
      </c>
      <c r="C20" s="21">
        <v>8401</v>
      </c>
      <c r="D20" s="21">
        <v>8401</v>
      </c>
      <c r="E20" s="21">
        <v>8401</v>
      </c>
      <c r="F20" s="21">
        <v>8401</v>
      </c>
      <c r="G20" s="21">
        <v>8401</v>
      </c>
      <c r="H20" s="21">
        <v>8401</v>
      </c>
      <c r="I20" s="21">
        <v>8401</v>
      </c>
      <c r="J20" s="21">
        <v>8401</v>
      </c>
      <c r="K20" s="21">
        <v>8401</v>
      </c>
      <c r="L20" s="21">
        <v>0</v>
      </c>
      <c r="M20" s="21">
        <v>0</v>
      </c>
      <c r="N20" s="21">
        <f>SUM(B20:M20)</f>
        <v>84012</v>
      </c>
    </row>
    <row r="21" spans="1:14" x14ac:dyDescent="0.25">
      <c r="A21" s="13" t="s">
        <v>101</v>
      </c>
      <c r="B21" s="21">
        <v>6217</v>
      </c>
      <c r="C21" s="21">
        <v>6217</v>
      </c>
      <c r="D21" s="21">
        <v>6217</v>
      </c>
      <c r="E21" s="21">
        <v>6217</v>
      </c>
      <c r="F21" s="21">
        <v>6217</v>
      </c>
      <c r="G21" s="21">
        <v>6217</v>
      </c>
      <c r="H21" s="21">
        <v>6217</v>
      </c>
      <c r="I21" s="21">
        <v>6217</v>
      </c>
      <c r="J21" s="21">
        <v>6217</v>
      </c>
      <c r="K21" s="21">
        <v>6217</v>
      </c>
      <c r="L21" s="21">
        <v>0</v>
      </c>
      <c r="M21" s="21">
        <v>0</v>
      </c>
      <c r="N21" s="21">
        <f>SUM(B21:M21)</f>
        <v>62173</v>
      </c>
    </row>
    <row r="22" ht="24" customHeight="1" spans="1:14" x14ac:dyDescent="0.25">
      <c r="A22" s="12" t="s">
        <v>159</v>
      </c>
      <c r="B22" s="29">
        <f>SUM(B13:B21)</f>
        <v>99704</v>
      </c>
      <c r="C22" s="29">
        <f>SUM(C13:C21)</f>
        <v>99704</v>
      </c>
      <c r="D22" s="29">
        <f>SUM(D13:D21)</f>
        <v>99704</v>
      </c>
      <c r="E22" s="29">
        <f>SUM(E13:E21)</f>
        <v>99704</v>
      </c>
      <c r="F22" s="29">
        <f>SUM(F13:F21)</f>
        <v>99704</v>
      </c>
      <c r="G22" s="29">
        <f>SUM(G13:G21)</f>
        <v>99704</v>
      </c>
      <c r="H22" s="29">
        <f>SUM(H13:H21)</f>
        <v>99704</v>
      </c>
      <c r="I22" s="29">
        <f>SUM(I13:I21)</f>
        <v>99704</v>
      </c>
      <c r="J22" s="29">
        <f>SUM(J13:J21)</f>
        <v>99704</v>
      </c>
      <c r="K22" s="29">
        <f>SUM(K13:K21)</f>
        <v>99704</v>
      </c>
      <c r="L22" s="29" t="str">
        <f>SUM(L13:L21)</f>
        <v>0</v>
      </c>
      <c r="M22" s="29" t="str">
        <f>SUM(M13:M21)</f>
        <v>0</v>
      </c>
      <c r="N22" s="29">
        <f>SUM(B22:M22)</f>
        <v>997040</v>
      </c>
    </row>
    <row r="23" spans="1:1" x14ac:dyDescent="0.25">
      <c r="A23" t="s">
        <v>7</v>
      </c>
    </row>
    <row r="24" ht="24" customHeight="1" spans="1:14" x14ac:dyDescent="0.25">
      <c r="A24" s="12" t="s">
        <v>111</v>
      </c>
      <c r="B24" s="12"/>
      <c r="C24" s="12"/>
      <c r="D24" s="12"/>
      <c r="E24" s="12"/>
      <c r="F24" s="12"/>
      <c r="G24" s="12"/>
      <c r="H24" s="12"/>
      <c r="I24" s="12"/>
      <c r="J24" s="12"/>
      <c r="K24" s="12"/>
      <c r="L24" s="12"/>
      <c r="M24" s="12"/>
      <c r="N24" s="12"/>
    </row>
    <row r="25" spans="1:14" x14ac:dyDescent="0.25">
      <c r="A25" s="13" t="s">
        <v>118</v>
      </c>
      <c r="B25" s="13"/>
      <c r="C25" s="13"/>
      <c r="D25" s="13"/>
      <c r="E25" s="13"/>
      <c r="F25" s="13"/>
      <c r="G25" s="13"/>
      <c r="H25" s="13"/>
      <c r="I25" s="13"/>
      <c r="J25" s="13"/>
      <c r="K25" s="13"/>
      <c r="L25" s="13"/>
      <c r="M25" s="13"/>
      <c r="N25" s="13"/>
    </row>
    <row r="26" spans="1:14" x14ac:dyDescent="0.25">
      <c r="A26" s="13" t="s">
        <v>222</v>
      </c>
      <c r="B26" s="21">
        <v>7000</v>
      </c>
      <c r="C26" s="21">
        <v>7000</v>
      </c>
      <c r="D26" s="21">
        <v>7000</v>
      </c>
      <c r="E26" s="21">
        <v>7000</v>
      </c>
      <c r="F26" s="21">
        <v>7000</v>
      </c>
      <c r="G26" s="21">
        <v>7000</v>
      </c>
      <c r="H26" s="21">
        <v>7000</v>
      </c>
      <c r="I26" s="21">
        <v>7000</v>
      </c>
      <c r="J26" s="21">
        <v>7000</v>
      </c>
      <c r="K26" s="21">
        <v>7000</v>
      </c>
      <c r="L26" s="21">
        <v>0</v>
      </c>
      <c r="M26" s="21">
        <v>0</v>
      </c>
      <c r="N26" s="21">
        <f>SUM(B26:M26)</f>
        <v>70000</v>
      </c>
    </row>
    <row r="27" spans="1:14" x14ac:dyDescent="0.25">
      <c r="A27" s="30" t="s">
        <v>161</v>
      </c>
      <c r="B27" s="31">
        <v>7000</v>
      </c>
      <c r="C27" s="31">
        <v>7000</v>
      </c>
      <c r="D27" s="31">
        <v>7000</v>
      </c>
      <c r="E27" s="31">
        <v>7000</v>
      </c>
      <c r="F27" s="31">
        <v>7000</v>
      </c>
      <c r="G27" s="31">
        <v>7000</v>
      </c>
      <c r="H27" s="31">
        <v>7000</v>
      </c>
      <c r="I27" s="31">
        <v>7000</v>
      </c>
      <c r="J27" s="31">
        <v>7000</v>
      </c>
      <c r="K27" s="31">
        <v>7000</v>
      </c>
      <c r="L27" s="31">
        <v>0</v>
      </c>
      <c r="M27" s="31">
        <v>0</v>
      </c>
      <c r="N27" s="31">
        <f>SUM(B27:M27)</f>
        <v>70000</v>
      </c>
    </row>
    <row r="28" spans="1:14" x14ac:dyDescent="0.25">
      <c r="A28" s="13" t="s">
        <v>120</v>
      </c>
      <c r="B28" s="13"/>
      <c r="C28" s="13"/>
      <c r="D28" s="13"/>
      <c r="E28" s="13"/>
      <c r="F28" s="13"/>
      <c r="G28" s="13"/>
      <c r="H28" s="13"/>
      <c r="I28" s="13"/>
      <c r="J28" s="13"/>
      <c r="K28" s="13"/>
      <c r="L28" s="13"/>
      <c r="M28" s="13"/>
      <c r="N28" s="13"/>
    </row>
    <row r="29" spans="1:14" x14ac:dyDescent="0.25">
      <c r="A29" s="13" t="s">
        <v>223</v>
      </c>
      <c r="B29" s="21">
        <v>5000</v>
      </c>
      <c r="C29" s="21">
        <v>5000</v>
      </c>
      <c r="D29" s="21">
        <v>5000</v>
      </c>
      <c r="E29" s="21">
        <v>5000</v>
      </c>
      <c r="F29" s="21">
        <v>5000</v>
      </c>
      <c r="G29" s="21">
        <v>5000</v>
      </c>
      <c r="H29" s="21">
        <v>5000</v>
      </c>
      <c r="I29" s="21">
        <v>5000</v>
      </c>
      <c r="J29" s="21">
        <v>5000</v>
      </c>
      <c r="K29" s="21">
        <v>5000</v>
      </c>
      <c r="L29" s="21">
        <v>0</v>
      </c>
      <c r="M29" s="21">
        <v>0</v>
      </c>
      <c r="N29" s="21">
        <f>SUM(B29:M29)</f>
        <v>50000</v>
      </c>
    </row>
    <row r="30" spans="1:14" x14ac:dyDescent="0.25">
      <c r="A30" s="30" t="s">
        <v>163</v>
      </c>
      <c r="B30" s="31">
        <v>5000</v>
      </c>
      <c r="C30" s="31">
        <v>5000</v>
      </c>
      <c r="D30" s="31">
        <v>5000</v>
      </c>
      <c r="E30" s="31">
        <v>5000</v>
      </c>
      <c r="F30" s="31">
        <v>5000</v>
      </c>
      <c r="G30" s="31">
        <v>5000</v>
      </c>
      <c r="H30" s="31">
        <v>5000</v>
      </c>
      <c r="I30" s="31">
        <v>5000</v>
      </c>
      <c r="J30" s="31">
        <v>5000</v>
      </c>
      <c r="K30" s="31">
        <v>5000</v>
      </c>
      <c r="L30" s="31">
        <v>0</v>
      </c>
      <c r="M30" s="31">
        <v>0</v>
      </c>
      <c r="N30" s="31">
        <f>SUM(B30:M30)</f>
        <v>50000</v>
      </c>
    </row>
    <row r="31" spans="1:14" x14ac:dyDescent="0.25">
      <c r="A31" s="13" t="s">
        <v>113</v>
      </c>
      <c r="B31" s="13"/>
      <c r="C31" s="13"/>
      <c r="D31" s="13"/>
      <c r="E31" s="13"/>
      <c r="F31" s="13"/>
      <c r="G31" s="13"/>
      <c r="H31" s="13"/>
      <c r="I31" s="13"/>
      <c r="J31" s="13"/>
      <c r="K31" s="13"/>
      <c r="L31" s="13"/>
      <c r="M31" s="13"/>
      <c r="N31" s="13"/>
    </row>
    <row r="32" spans="1:14" x14ac:dyDescent="0.25">
      <c r="A32" s="13" t="s">
        <v>224</v>
      </c>
      <c r="B32" s="21">
        <v>18000</v>
      </c>
      <c r="C32" s="21">
        <v>18000</v>
      </c>
      <c r="D32" s="21">
        <v>18000</v>
      </c>
      <c r="E32" s="21">
        <v>18000</v>
      </c>
      <c r="F32" s="21">
        <v>18000</v>
      </c>
      <c r="G32" s="21">
        <v>18000</v>
      </c>
      <c r="H32" s="21">
        <v>18000</v>
      </c>
      <c r="I32" s="21">
        <v>18000</v>
      </c>
      <c r="J32" s="21">
        <v>18000</v>
      </c>
      <c r="K32" s="21">
        <v>18000</v>
      </c>
      <c r="L32" s="21">
        <v>0</v>
      </c>
      <c r="M32" s="21">
        <v>0</v>
      </c>
      <c r="N32" s="21">
        <f>SUM(B32:M32)</f>
        <v>180000</v>
      </c>
    </row>
    <row r="33" spans="1:14" x14ac:dyDescent="0.25">
      <c r="A33" s="13" t="s">
        <v>225</v>
      </c>
      <c r="B33" s="21">
        <v>2500</v>
      </c>
      <c r="C33" s="21">
        <v>2500</v>
      </c>
      <c r="D33" s="21">
        <v>2500</v>
      </c>
      <c r="E33" s="21">
        <v>2500</v>
      </c>
      <c r="F33" s="21">
        <v>2500</v>
      </c>
      <c r="G33" s="21">
        <v>2500</v>
      </c>
      <c r="H33" s="21">
        <v>2500</v>
      </c>
      <c r="I33" s="21">
        <v>2500</v>
      </c>
      <c r="J33" s="21">
        <v>2500</v>
      </c>
      <c r="K33" s="21">
        <v>2500</v>
      </c>
      <c r="L33" s="21">
        <v>0</v>
      </c>
      <c r="M33" s="21">
        <v>0</v>
      </c>
      <c r="N33" s="21">
        <f>SUM(B33:M33)</f>
        <v>25000</v>
      </c>
    </row>
    <row r="34" spans="1:14" x14ac:dyDescent="0.25">
      <c r="A34" s="13" t="s">
        <v>226</v>
      </c>
      <c r="B34" s="21">
        <v>1500</v>
      </c>
      <c r="C34" s="21">
        <v>1500</v>
      </c>
      <c r="D34" s="21">
        <v>1500</v>
      </c>
      <c r="E34" s="21">
        <v>1500</v>
      </c>
      <c r="F34" s="21">
        <v>1500</v>
      </c>
      <c r="G34" s="21">
        <v>1500</v>
      </c>
      <c r="H34" s="21">
        <v>1500</v>
      </c>
      <c r="I34" s="21">
        <v>1500</v>
      </c>
      <c r="J34" s="21">
        <v>1500</v>
      </c>
      <c r="K34" s="21">
        <v>1500</v>
      </c>
      <c r="L34" s="21">
        <v>0</v>
      </c>
      <c r="M34" s="21">
        <v>0</v>
      </c>
      <c r="N34" s="21">
        <f>SUM(B34:M34)</f>
        <v>15000</v>
      </c>
    </row>
    <row r="35" spans="1:14" x14ac:dyDescent="0.25">
      <c r="A35" s="13" t="s">
        <v>227</v>
      </c>
      <c r="B35" s="21">
        <v>1500</v>
      </c>
      <c r="C35" s="21">
        <v>1500</v>
      </c>
      <c r="D35" s="21">
        <v>1500</v>
      </c>
      <c r="E35" s="21">
        <v>1500</v>
      </c>
      <c r="F35" s="21">
        <v>1500</v>
      </c>
      <c r="G35" s="21">
        <v>1500</v>
      </c>
      <c r="H35" s="21">
        <v>1500</v>
      </c>
      <c r="I35" s="21">
        <v>1500</v>
      </c>
      <c r="J35" s="21">
        <v>1500</v>
      </c>
      <c r="K35" s="21">
        <v>1500</v>
      </c>
      <c r="L35" s="21">
        <v>0</v>
      </c>
      <c r="M35" s="21">
        <v>0</v>
      </c>
      <c r="N35" s="21">
        <f>SUM(B35:M35)</f>
        <v>15000</v>
      </c>
    </row>
    <row r="36" spans="1:14" x14ac:dyDescent="0.25">
      <c r="A36" s="30" t="s">
        <v>168</v>
      </c>
      <c r="B36" s="31">
        <v>23500</v>
      </c>
      <c r="C36" s="31">
        <v>23500</v>
      </c>
      <c r="D36" s="31">
        <v>23500</v>
      </c>
      <c r="E36" s="31">
        <v>23500</v>
      </c>
      <c r="F36" s="31">
        <v>23500</v>
      </c>
      <c r="G36" s="31">
        <v>23500</v>
      </c>
      <c r="H36" s="31">
        <v>23500</v>
      </c>
      <c r="I36" s="31">
        <v>23500</v>
      </c>
      <c r="J36" s="31">
        <v>23500</v>
      </c>
      <c r="K36" s="31">
        <v>23500</v>
      </c>
      <c r="L36" s="31">
        <v>0</v>
      </c>
      <c r="M36" s="31">
        <v>0</v>
      </c>
      <c r="N36" s="31">
        <f>SUM(B36:M36)</f>
        <v>235000</v>
      </c>
    </row>
    <row r="37" spans="1:14" x14ac:dyDescent="0.25">
      <c r="A37" s="13" t="s">
        <v>122</v>
      </c>
      <c r="B37" s="13"/>
      <c r="C37" s="13"/>
      <c r="D37" s="13"/>
      <c r="E37" s="13"/>
      <c r="F37" s="13"/>
      <c r="G37" s="13"/>
      <c r="H37" s="13"/>
      <c r="I37" s="13"/>
      <c r="J37" s="13"/>
      <c r="K37" s="13"/>
      <c r="L37" s="13"/>
      <c r="M37" s="13"/>
      <c r="N37" s="13"/>
    </row>
    <row r="38" spans="1:14" x14ac:dyDescent="0.25">
      <c r="A38" s="13" t="s">
        <v>228</v>
      </c>
      <c r="B38" s="21">
        <v>2083</v>
      </c>
      <c r="C38" s="21">
        <v>2083</v>
      </c>
      <c r="D38" s="21">
        <v>2083</v>
      </c>
      <c r="E38" s="21">
        <v>2083</v>
      </c>
      <c r="F38" s="21">
        <v>2083</v>
      </c>
      <c r="G38" s="21">
        <v>2083</v>
      </c>
      <c r="H38" s="21">
        <v>2083</v>
      </c>
      <c r="I38" s="21">
        <v>2083</v>
      </c>
      <c r="J38" s="21">
        <v>2083</v>
      </c>
      <c r="K38" s="21">
        <v>2083</v>
      </c>
      <c r="L38" s="21">
        <v>0</v>
      </c>
      <c r="M38" s="21">
        <v>0</v>
      </c>
      <c r="N38" s="21">
        <f>SUM(B38:M38)</f>
        <v>20833</v>
      </c>
    </row>
    <row r="39" spans="1:14" x14ac:dyDescent="0.25">
      <c r="A39" s="13" t="s">
        <v>229</v>
      </c>
      <c r="B39" s="21">
        <v>1250</v>
      </c>
      <c r="C39" s="21">
        <v>1250</v>
      </c>
      <c r="D39" s="21">
        <v>1250</v>
      </c>
      <c r="E39" s="21">
        <v>1250</v>
      </c>
      <c r="F39" s="21">
        <v>1250</v>
      </c>
      <c r="G39" s="21">
        <v>1250</v>
      </c>
      <c r="H39" s="21">
        <v>1250</v>
      </c>
      <c r="I39" s="21">
        <v>1250</v>
      </c>
      <c r="J39" s="21">
        <v>1250</v>
      </c>
      <c r="K39" s="21">
        <v>1250</v>
      </c>
      <c r="L39" s="21">
        <v>0</v>
      </c>
      <c r="M39" s="21">
        <v>0</v>
      </c>
      <c r="N39" s="21">
        <f>SUM(B39:M39)</f>
        <v>12500</v>
      </c>
    </row>
    <row r="40" spans="1:14" x14ac:dyDescent="0.25">
      <c r="A40" s="13" t="s">
        <v>230</v>
      </c>
      <c r="B40" s="21">
        <v>1667</v>
      </c>
      <c r="C40" s="21">
        <v>1667</v>
      </c>
      <c r="D40" s="21">
        <v>1667</v>
      </c>
      <c r="E40" s="21">
        <v>1667</v>
      </c>
      <c r="F40" s="21">
        <v>1667</v>
      </c>
      <c r="G40" s="21">
        <v>1667</v>
      </c>
      <c r="H40" s="21">
        <v>1667</v>
      </c>
      <c r="I40" s="21">
        <v>1667</v>
      </c>
      <c r="J40" s="21">
        <v>1667</v>
      </c>
      <c r="K40" s="21">
        <v>1667</v>
      </c>
      <c r="L40" s="21">
        <v>0</v>
      </c>
      <c r="M40" s="21">
        <v>0</v>
      </c>
      <c r="N40" s="21">
        <f>SUM(B40:M40)</f>
        <v>16667</v>
      </c>
    </row>
    <row r="41" spans="1:14" x14ac:dyDescent="0.25">
      <c r="A41" s="13" t="s">
        <v>231</v>
      </c>
      <c r="B41" s="21">
        <v>8000</v>
      </c>
      <c r="C41" s="21">
        <v>8000</v>
      </c>
      <c r="D41" s="21">
        <v>8000</v>
      </c>
      <c r="E41" s="21">
        <v>8000</v>
      </c>
      <c r="F41" s="21">
        <v>8000</v>
      </c>
      <c r="G41" s="21">
        <v>8000</v>
      </c>
      <c r="H41" s="21">
        <v>8000</v>
      </c>
      <c r="I41" s="21">
        <v>8000</v>
      </c>
      <c r="J41" s="21">
        <v>8000</v>
      </c>
      <c r="K41" s="21">
        <v>8000</v>
      </c>
      <c r="L41" s="21">
        <v>0</v>
      </c>
      <c r="M41" s="21">
        <v>0</v>
      </c>
      <c r="N41" s="21">
        <f>SUM(B41:M41)</f>
        <v>80000</v>
      </c>
    </row>
    <row r="42" spans="1:14" x14ac:dyDescent="0.25">
      <c r="A42" s="13" t="s">
        <v>232</v>
      </c>
      <c r="B42" s="21">
        <v>6000</v>
      </c>
      <c r="C42" s="21">
        <v>6000</v>
      </c>
      <c r="D42" s="21">
        <v>6000</v>
      </c>
      <c r="E42" s="21">
        <v>6000</v>
      </c>
      <c r="F42" s="21">
        <v>6000</v>
      </c>
      <c r="G42" s="21">
        <v>6000</v>
      </c>
      <c r="H42" s="21">
        <v>6000</v>
      </c>
      <c r="I42" s="21">
        <v>6000</v>
      </c>
      <c r="J42" s="21">
        <v>6000</v>
      </c>
      <c r="K42" s="21">
        <v>6000</v>
      </c>
      <c r="L42" s="21">
        <v>0</v>
      </c>
      <c r="M42" s="21">
        <v>0</v>
      </c>
      <c r="N42" s="21">
        <f>SUM(B42:M42)</f>
        <v>60000</v>
      </c>
    </row>
    <row r="43" spans="1:14" x14ac:dyDescent="0.25">
      <c r="A43" s="30" t="s">
        <v>174</v>
      </c>
      <c r="B43" s="31">
        <v>19000</v>
      </c>
      <c r="C43" s="31">
        <v>19000</v>
      </c>
      <c r="D43" s="31">
        <v>19000</v>
      </c>
      <c r="E43" s="31">
        <v>19000</v>
      </c>
      <c r="F43" s="31">
        <v>19000</v>
      </c>
      <c r="G43" s="31">
        <v>19000</v>
      </c>
      <c r="H43" s="31">
        <v>19000</v>
      </c>
      <c r="I43" s="31">
        <v>19000</v>
      </c>
      <c r="J43" s="31">
        <v>19000</v>
      </c>
      <c r="K43" s="31">
        <v>19000</v>
      </c>
      <c r="L43" s="31">
        <v>0</v>
      </c>
      <c r="M43" s="31">
        <v>0</v>
      </c>
      <c r="N43" s="31">
        <f>SUM(B43:M43)</f>
        <v>190000</v>
      </c>
    </row>
    <row r="44" ht="24" customHeight="1" spans="1:14" x14ac:dyDescent="0.25">
      <c r="A44" s="12" t="s">
        <v>175</v>
      </c>
      <c r="B44" s="29">
        <f>B27+B30+B36+B43</f>
        <v>54500</v>
      </c>
      <c r="C44" s="29">
        <f>C27+C30+C36+C43</f>
        <v>54500</v>
      </c>
      <c r="D44" s="29">
        <f>D27+D30+D36+D43</f>
        <v>54500</v>
      </c>
      <c r="E44" s="29">
        <f>E27+E30+E36+E43</f>
        <v>54500</v>
      </c>
      <c r="F44" s="29">
        <f>F27+F30+F36+F43</f>
        <v>54500</v>
      </c>
      <c r="G44" s="29">
        <f>G27+G30+G36+G43</f>
        <v>54500</v>
      </c>
      <c r="H44" s="29">
        <f>H27+H30+H36+H43</f>
        <v>54500</v>
      </c>
      <c r="I44" s="29">
        <f>I27+I30+I36+I43</f>
        <v>54500</v>
      </c>
      <c r="J44" s="29">
        <f>J27+J30+J36+J43</f>
        <v>54500</v>
      </c>
      <c r="K44" s="29">
        <f>K27+K30+K36+K43</f>
        <v>54500</v>
      </c>
      <c r="L44" s="29" t="str">
        <f>L27+L30+L36+L43</f>
        <v>0</v>
      </c>
      <c r="M44" s="29" t="str">
        <f>M27+M30+M36+M43</f>
        <v>0</v>
      </c>
      <c r="N44" s="29">
        <f>SUM(B44:M44)</f>
        <v>545000</v>
      </c>
    </row>
    <row r="45" spans="1:1" x14ac:dyDescent="0.25">
      <c r="A45" t="s">
        <v>7</v>
      </c>
    </row>
    <row r="46" spans="1:14" x14ac:dyDescent="0.25">
      <c r="A46" s="27" t="s">
        <v>233</v>
      </c>
      <c r="B46" s="21">
        <v>13735</v>
      </c>
      <c r="C46" s="21">
        <v>13735</v>
      </c>
      <c r="D46" s="21">
        <v>13735</v>
      </c>
      <c r="E46" s="21">
        <v>13735</v>
      </c>
      <c r="F46" s="21">
        <v>13735</v>
      </c>
      <c r="G46" s="21">
        <v>13735</v>
      </c>
      <c r="H46" s="21">
        <v>13735</v>
      </c>
      <c r="I46" s="21">
        <v>13735</v>
      </c>
      <c r="J46" s="21">
        <v>13735</v>
      </c>
      <c r="K46" s="21">
        <v>13735</v>
      </c>
      <c r="L46" s="21">
        <v>13735</v>
      </c>
      <c r="M46" s="21">
        <v>13735</v>
      </c>
      <c r="N46" s="21">
        <f>SUM(B46:M46)</f>
        <v>164825</v>
      </c>
    </row>
    <row r="47" spans="1:1" x14ac:dyDescent="0.25">
      <c r="A47" t="s">
        <v>7</v>
      </c>
    </row>
    <row r="48" ht="24" customHeight="1" spans="1:14" x14ac:dyDescent="0.25">
      <c r="A48" s="12" t="s">
        <v>234</v>
      </c>
      <c r="B48" s="12"/>
      <c r="C48" s="12"/>
      <c r="D48" s="12"/>
      <c r="E48" s="12"/>
      <c r="F48" s="12"/>
      <c r="G48" s="12"/>
      <c r="H48" s="12"/>
      <c r="I48" s="12"/>
      <c r="J48" s="12"/>
      <c r="K48" s="12"/>
      <c r="L48" s="12"/>
      <c r="M48" s="12"/>
      <c r="N48" s="12"/>
    </row>
    <row r="49" spans="1:14" x14ac:dyDescent="0.25">
      <c r="A49" s="27" t="s">
        <v>183</v>
      </c>
      <c r="B49" s="31">
        <f>B22+B44+B46</f>
        <v>167939</v>
      </c>
      <c r="C49" s="31">
        <f>C22+C44+C46</f>
        <v>167939</v>
      </c>
      <c r="D49" s="31">
        <f>D22+D44+D46</f>
        <v>167939</v>
      </c>
      <c r="E49" s="31">
        <f>E22+E44+E46</f>
        <v>167939</v>
      </c>
      <c r="F49" s="31">
        <f>F22+F44+F46</f>
        <v>167939</v>
      </c>
      <c r="G49" s="31">
        <f>G22+G44+G46</f>
        <v>167939</v>
      </c>
      <c r="H49" s="31">
        <f>H22+H44+H46</f>
        <v>167939</v>
      </c>
      <c r="I49" s="31">
        <f>I22+I44+I46</f>
        <v>167939</v>
      </c>
      <c r="J49" s="31">
        <f>J22+J44+J46</f>
        <v>167939</v>
      </c>
      <c r="K49" s="31">
        <f>K22+K44+K46</f>
        <v>167939</v>
      </c>
      <c r="L49" s="31">
        <f>L22+L44+L46</f>
        <v>13735</v>
      </c>
      <c r="M49" s="31">
        <f>M22+M44+M46</f>
        <v>13735</v>
      </c>
      <c r="N49" s="31">
        <f>SUM(B49:M49)</f>
        <v>1706860</v>
      </c>
    </row>
    <row r="50" spans="1:14" x14ac:dyDescent="0.25">
      <c r="A50" s="27" t="s">
        <v>235</v>
      </c>
      <c r="B50" s="31">
        <f>B10-B49</f>
        <v>-13339</v>
      </c>
      <c r="C50" s="31">
        <f>C10-C49</f>
        <v>-13339</v>
      </c>
      <c r="D50" s="31">
        <f>D10-D49</f>
        <v>-13339</v>
      </c>
      <c r="E50" s="31">
        <f>E10-E49</f>
        <v>-13339</v>
      </c>
      <c r="F50" s="31">
        <f>F10-F49</f>
        <v>-13339</v>
      </c>
      <c r="G50" s="31">
        <f>G10-G49</f>
        <v>-13339</v>
      </c>
      <c r="H50" s="31">
        <f>H10-H49</f>
        <v>-13339</v>
      </c>
      <c r="I50" s="31">
        <f>I10-I49</f>
        <v>-13339</v>
      </c>
      <c r="J50" s="31">
        <f>J10-J49</f>
        <v>-13339</v>
      </c>
      <c r="K50" s="31">
        <f>K10-K49</f>
        <v>-13339</v>
      </c>
      <c r="L50" s="31">
        <f>L10-L49</f>
        <v>-13735</v>
      </c>
      <c r="M50" s="31">
        <f>M10-M49</f>
        <v>-13735</v>
      </c>
      <c r="N50" s="31">
        <f>SUM(B50:M50)</f>
        <v>-160860</v>
      </c>
    </row>
    <row r="51" spans="1:14" x14ac:dyDescent="0.25">
      <c r="A51" s="27" t="s">
        <v>236</v>
      </c>
      <c r="B51" s="31">
        <f>0+B50</f>
        <v>-13339</v>
      </c>
      <c r="C51" s="31">
        <f>B51+C50</f>
        <v>-26678</v>
      </c>
      <c r="D51" s="31">
        <f>C51+D50</f>
        <v>-40017</v>
      </c>
      <c r="E51" s="31">
        <f>D51+E50</f>
        <v>-53356</v>
      </c>
      <c r="F51" s="31">
        <f>E51+F50</f>
        <v>-66695</v>
      </c>
      <c r="G51" s="31">
        <f>F51+G50</f>
        <v>-80034</v>
      </c>
      <c r="H51" s="31">
        <f>G51+H50</f>
        <v>-93373</v>
      </c>
      <c r="I51" s="31">
        <f>H51+I50</f>
        <v>-106712</v>
      </c>
      <c r="J51" s="31">
        <f>I51+J50</f>
        <v>-120051</v>
      </c>
      <c r="K51" s="31">
        <f>J51+K50</f>
        <v>-133390</v>
      </c>
      <c r="L51" s="31">
        <f>K51+L50</f>
        <v>-147125</v>
      </c>
      <c r="M51" s="31">
        <f>L51+M50</f>
        <v>-160860</v>
      </c>
      <c r="N51" s="31">
        <f>M51</f>
        <v>-160860</v>
      </c>
    </row>
    <row r="53" ht="24" customHeight="1" spans="1:3" x14ac:dyDescent="0.25">
      <c r="A53" s="12" t="s">
        <v>237</v>
      </c>
      <c r="B53" s="12"/>
      <c r="C53" s="12"/>
    </row>
    <row r="54" spans="1:2" x14ac:dyDescent="0.25">
      <c r="A54" s="13" t="s">
        <v>143</v>
      </c>
      <c r="B54" s="21">
        <v>0</v>
      </c>
    </row>
    <row r="55" spans="1:2" x14ac:dyDescent="0.25">
      <c r="A55" s="13" t="s">
        <v>238</v>
      </c>
      <c r="B55" s="31">
        <f>M51</f>
        <v>-160860</v>
      </c>
    </row>
    <row r="56" spans="1:2" x14ac:dyDescent="0.25">
      <c r="A56" s="13" t="s">
        <v>239</v>
      </c>
      <c r="B56" s="21">
        <f>MIN(B51:M51)</f>
        <v>-160860</v>
      </c>
    </row>
    <row r="58" spans="1:14" x14ac:dyDescent="0.25">
      <c r="A58" s="24" t="s">
        <v>144</v>
      </c>
      <c r="B58" s="24"/>
      <c r="C58" s="24"/>
      <c r="D58" s="24"/>
      <c r="E58" s="24"/>
      <c r="F58" s="24"/>
      <c r="G58" s="24"/>
      <c r="H58" s="24"/>
      <c r="I58" s="24"/>
      <c r="J58" s="24"/>
      <c r="K58" s="24"/>
      <c r="L58" s="24"/>
      <c r="M58" s="24"/>
      <c r="N58" s="24"/>
    </row>
  </sheetData>
  <mergeCells count="2">
    <mergeCell ref="A1:N1"/>
    <mergeCell ref="A58:N58"/>
  </mergeCells>
  <pageMargins left="0.25" right="0.25" top="0.5" bottom="0.5" header="0.3" footer="0.3"/>
  <pageSetup paperSize="1" orientation="landscape" horizontalDpi="4294967295" verticalDpi="4294967295" scale="100" fitToWidth="1" fitToHeight="0"/>
  <headerFooter>
    <oddHeader>&amp;L&amp;10&amp;BCivic Scholars Charter&amp;R&amp;8&amp;IYear 1 Pro Forma</oddHeader>
    <oddFooter>&amp;L&amp;8Built by SchoolStack Budget  •  budget.schoolstack.ai&amp;C&amp;8Page &amp;P of &amp;N&amp;R&amp;8&amp;D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43" t="s">
        <v>240</v>
      </c>
      <c r="C1" s="43"/>
      <c r="D1" s="43"/>
      <c r="E1" s="43"/>
      <c r="F1" s="43"/>
      <c r="G1" s="43"/>
      <c r="H1" s="43"/>
    </row>
    <row r="2" ht="60" customHeight="1" spans="2:8" x14ac:dyDescent="0.25">
      <c r="B2" s="44" t="s">
        <v>241</v>
      </c>
      <c r="C2" s="44"/>
      <c r="D2" s="44"/>
      <c r="E2" s="44"/>
      <c r="F2" s="44"/>
      <c r="G2" s="44"/>
      <c r="H2" s="44"/>
    </row>
    <row r="4" ht="30" customHeight="1" spans="2:8" x14ac:dyDescent="0.25">
      <c r="B4" s="45" t="s">
        <v>242</v>
      </c>
      <c r="C4" s="45"/>
      <c r="D4" s="45"/>
      <c r="E4" s="45"/>
      <c r="F4" s="45"/>
      <c r="G4" s="45"/>
      <c r="H4" s="45"/>
    </row>
  </sheetData>
  <mergeCells count="3">
    <mergeCell ref="B1:H1"/>
    <mergeCell ref="B2:H2"/>
    <mergeCell ref="B4:H4"/>
  </mergeCells>
  <pageMargins left="0.25" right="0.25" top="0.5" bottom="0.5" header="0.3" footer="0.3"/>
  <pageSetup paperSize="1" orientation="landscape" fitToWidth="1" fitToHeight="0"/>
  <headerFooter>
    <oddHeader>&amp;L&amp;10&amp;BCivic Scholars Charter&amp;R&amp;8&amp;IDecision History</oddHeader>
    <oddFooter>&amp;L&amp;8Built by SchoolStack Budget  •  budget.schoolstack.ai&amp;C&amp;8Page &amp;P of &amp;N&amp;R&amp;8&amp;D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I40"/>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9" x14ac:dyDescent="0.25">
      <c r="B2" s="1" t="s">
        <v>243</v>
      </c>
      <c r="C2" s="1"/>
      <c r="D2" s="1"/>
      <c r="E2" s="1"/>
      <c r="F2" s="1"/>
      <c r="G2" s="1"/>
      <c r="H2" s="1"/>
      <c r="I2" s="1"/>
    </row>
    <row r="3" spans="2:9" x14ac:dyDescent="0.25">
      <c r="B3" s="46" t="s">
        <v>244</v>
      </c>
      <c r="C3" s="46"/>
      <c r="D3" s="46"/>
      <c r="E3" s="46"/>
      <c r="F3" s="46"/>
      <c r="G3" s="46"/>
      <c r="H3" s="46"/>
      <c r="I3" s="46"/>
    </row>
    <row r="4" spans="2:6" x14ac:dyDescent="0.25">
      <c r="B4" s="47" t="s">
        <v>245</v>
      </c>
      <c r="D4" s="48" t="s">
        <v>246</v>
      </c>
      <c r="F4" s="49" t="s">
        <v>247</v>
      </c>
    </row>
    <row r="6" ht="24" customHeight="1" spans="2:8" x14ac:dyDescent="0.25">
      <c r="B6" s="12" t="s">
        <v>248</v>
      </c>
      <c r="C6" s="16" t="s">
        <v>249</v>
      </c>
      <c r="D6" s="16" t="s">
        <v>250</v>
      </c>
      <c r="E6" s="16" t="s">
        <v>251</v>
      </c>
      <c r="F6" s="16" t="s">
        <v>252</v>
      </c>
      <c r="G6" s="16" t="s">
        <v>253</v>
      </c>
      <c r="H6" s="16" t="s">
        <v>254</v>
      </c>
    </row>
    <row r="7" spans="2:7" x14ac:dyDescent="0.25">
      <c r="B7" s="13" t="s">
        <v>255</v>
      </c>
      <c r="C7" s="50">
        <v>120</v>
      </c>
      <c r="D7" s="50">
        <v>200</v>
      </c>
      <c r="E7" s="50">
        <v>300</v>
      </c>
      <c r="F7" s="50">
        <v>375</v>
      </c>
      <c r="G7" s="50">
        <v>400</v>
      </c>
    </row>
    <row r="8" spans="2:7" x14ac:dyDescent="0.25">
      <c r="B8" s="13" t="s">
        <v>256</v>
      </c>
      <c r="C8" s="51">
        <v>1546000</v>
      </c>
      <c r="D8" s="51">
        <v>2522800</v>
      </c>
      <c r="E8" s="51">
        <v>3784600</v>
      </c>
      <c r="F8" s="51">
        <v>4759125</v>
      </c>
      <c r="G8" s="51">
        <v>5184400</v>
      </c>
    </row>
    <row r="9" spans="2:7" x14ac:dyDescent="0.25">
      <c r="B9" s="13" t="s">
        <v>257</v>
      </c>
      <c r="C9" s="51">
        <v>1026431.25</v>
      </c>
      <c r="D9" s="51">
        <v>1231717.5</v>
      </c>
      <c r="E9" s="51">
        <v>1231717.5</v>
      </c>
      <c r="F9" s="51">
        <v>1231717.5</v>
      </c>
      <c r="G9" s="51">
        <v>1231717.5</v>
      </c>
    </row>
    <row r="10" spans="2:7" x14ac:dyDescent="0.25">
      <c r="B10" s="13" t="s">
        <v>258</v>
      </c>
      <c r="C10" s="51">
        <v>552000</v>
      </c>
      <c r="D10" s="51">
        <v>819880</v>
      </c>
      <c r="E10" s="51">
        <v>1120509.4</v>
      </c>
      <c r="F10" s="51">
        <v>1366968.0320000001</v>
      </c>
      <c r="G10" s="51">
        <v>1480640.90296</v>
      </c>
    </row>
    <row r="11" spans="2:7" x14ac:dyDescent="0.25">
      <c r="B11" s="13" t="s">
        <v>191</v>
      </c>
      <c r="C11" s="51">
        <v>49824.605221179416</v>
      </c>
      <c r="D11" s="51">
        <v>49824.605221179416</v>
      </c>
      <c r="E11" s="51">
        <v>49824.605221179416</v>
      </c>
      <c r="F11" s="51">
        <v>49824.605221179416</v>
      </c>
      <c r="G11" s="51">
        <v>49824.605221179416</v>
      </c>
    </row>
    <row r="12" spans="2:7" x14ac:dyDescent="0.25">
      <c r="B12" s="27" t="s">
        <v>184</v>
      </c>
      <c r="C12" s="52">
        <v>-82255.85522117942</v>
      </c>
      <c r="D12" s="53">
        <v>421377.89477882057</v>
      </c>
      <c r="E12" s="53">
        <v>1382548.4947788208</v>
      </c>
      <c r="F12" s="53">
        <v>2110614.8627788206</v>
      </c>
      <c r="G12" s="53">
        <v>2422216.9918188206</v>
      </c>
    </row>
    <row r="13" spans="2:7" x14ac:dyDescent="0.25">
      <c r="B13" s="27" t="s">
        <v>193</v>
      </c>
      <c r="C13" s="52">
        <v>-82255.85522117942</v>
      </c>
      <c r="D13" s="53">
        <v>339122.03955764114</v>
      </c>
      <c r="E13" s="53">
        <v>1721670.534336462</v>
      </c>
      <c r="F13" s="53">
        <v>3832285.3971152827</v>
      </c>
      <c r="G13" s="53">
        <v>6254502.388934104</v>
      </c>
    </row>
    <row r="14" spans="2:7" x14ac:dyDescent="0.25">
      <c r="B14" s="27" t="s">
        <v>259</v>
      </c>
      <c r="C14" s="54">
        <v>-0.05320559846130622</v>
      </c>
      <c r="D14" s="55">
        <v>0.16702786379372941</v>
      </c>
      <c r="E14" s="55">
        <v>0.3653090141042173</v>
      </c>
      <c r="F14" s="55">
        <v>0.44348800730781823</v>
      </c>
      <c r="G14" s="55">
        <v>0.4672125977584331</v>
      </c>
    </row>
    <row r="15" spans="2:8" x14ac:dyDescent="0.25">
      <c r="B15" s="27" t="s">
        <v>260</v>
      </c>
      <c r="C15" s="56">
        <v>12883.333333333334</v>
      </c>
      <c r="D15" s="56">
        <v>12614</v>
      </c>
      <c r="E15" s="56">
        <v>12615.333333333334</v>
      </c>
      <c r="F15" s="56">
        <v>12691</v>
      </c>
      <c r="G15" s="56">
        <v>12961</v>
      </c>
      <c r="H15" s="57" t="s">
        <v>261</v>
      </c>
    </row>
    <row r="16" spans="2:7" x14ac:dyDescent="0.25">
      <c r="B16" s="27" t="s">
        <v>262</v>
      </c>
      <c r="C16" s="58">
        <v>13568.798793509828</v>
      </c>
      <c r="D16" s="58">
        <v>10507.110526105896</v>
      </c>
      <c r="E16" s="58">
        <v>8006.838350737264</v>
      </c>
      <c r="F16" s="58">
        <v>7062.693699256479</v>
      </c>
      <c r="G16" s="58">
        <v>6905.457520452948</v>
      </c>
    </row>
    <row r="17" spans="2:7" x14ac:dyDescent="0.25">
      <c r="B17" s="13" t="s">
        <v>263</v>
      </c>
      <c r="C17" s="51">
        <v>700</v>
      </c>
      <c r="D17" s="51">
        <v>721</v>
      </c>
      <c r="E17" s="51">
        <v>743</v>
      </c>
      <c r="F17" s="51">
        <v>765</v>
      </c>
      <c r="G17" s="51">
        <v>788</v>
      </c>
    </row>
    <row r="18" spans="2:8" x14ac:dyDescent="0.25">
      <c r="B18" s="13" t="s">
        <v>264</v>
      </c>
      <c r="C18" s="56">
        <v>1500</v>
      </c>
      <c r="D18" s="56">
        <v>1112.4</v>
      </c>
      <c r="E18" s="56">
        <v>763.848</v>
      </c>
      <c r="F18" s="56">
        <v>629.410752</v>
      </c>
      <c r="G18" s="56">
        <v>607.7747574000001</v>
      </c>
      <c r="H18" s="57" t="s">
        <v>265</v>
      </c>
    </row>
    <row r="19" spans="2:7" x14ac:dyDescent="0.25">
      <c r="B19" s="27" t="s">
        <v>266</v>
      </c>
      <c r="C19" s="59">
        <v>-685.4654601764952</v>
      </c>
      <c r="D19" s="60">
        <v>2106.889473894103</v>
      </c>
      <c r="E19" s="60">
        <v>4608.494982596069</v>
      </c>
      <c r="F19" s="60">
        <v>5628.306300743521</v>
      </c>
      <c r="G19" s="60">
        <v>6055.542479547052</v>
      </c>
    </row>
    <row r="20" spans="2:8" x14ac:dyDescent="0.25">
      <c r="B20" s="27" t="s">
        <v>267</v>
      </c>
      <c r="C20" s="54">
        <v>0.6639270698576973</v>
      </c>
      <c r="D20" s="55">
        <v>0.48823430315522437</v>
      </c>
      <c r="E20" s="55">
        <v>0.3254551339639592</v>
      </c>
      <c r="F20" s="55">
        <v>0.25881175636277676</v>
      </c>
      <c r="G20" s="55">
        <v>0.23758149448345034</v>
      </c>
      <c r="H20" s="57" t="s">
        <v>268</v>
      </c>
    </row>
    <row r="21" spans="2:8" x14ac:dyDescent="0.25">
      <c r="B21" s="27" t="s">
        <v>269</v>
      </c>
      <c r="C21" s="55">
        <v>0.11642949547218628</v>
      </c>
      <c r="D21" s="55">
        <v>0.08818772792135722</v>
      </c>
      <c r="E21" s="55">
        <v>0.060549172964117735</v>
      </c>
      <c r="F21" s="55">
        <v>0.04959504782917028</v>
      </c>
      <c r="G21" s="55">
        <v>0.046892582161870235</v>
      </c>
      <c r="H21" s="57" t="s">
        <v>270</v>
      </c>
    </row>
    <row r="22" spans="2:8" x14ac:dyDescent="0.25">
      <c r="B22" s="27" t="s">
        <v>271</v>
      </c>
      <c r="C22" s="54">
        <v>-0.020977522639068564</v>
      </c>
      <c r="D22" s="55">
        <v>0.18677758839384812</v>
      </c>
      <c r="E22" s="55">
        <v>0.3784741055857951</v>
      </c>
      <c r="F22" s="55">
        <v>0.45395728584561235</v>
      </c>
      <c r="G22" s="55">
        <v>0.47682308406758733</v>
      </c>
      <c r="H22" s="57" t="s">
        <v>272</v>
      </c>
    </row>
    <row r="23" spans="2:8" x14ac:dyDescent="0.25">
      <c r="B23" s="27" t="s">
        <v>273</v>
      </c>
      <c r="C23" s="61">
        <v>3</v>
      </c>
      <c r="D23" s="61">
        <v>3</v>
      </c>
      <c r="E23" s="61">
        <v>3</v>
      </c>
      <c r="F23" s="61">
        <v>3</v>
      </c>
      <c r="G23" s="61">
        <v>3</v>
      </c>
      <c r="H23" s="57" t="s">
        <v>274</v>
      </c>
    </row>
    <row r="24" spans="2:8" x14ac:dyDescent="0.25">
      <c r="B24" s="27" t="s">
        <v>275</v>
      </c>
      <c r="C24" s="62">
        <v>-0.6509083184108029</v>
      </c>
      <c r="D24" s="63">
        <v>9.457224957593874</v>
      </c>
      <c r="E24" s="63">
        <v>28.748308062682405</v>
      </c>
      <c r="F24" s="63">
        <v>43.36089485123791</v>
      </c>
      <c r="G24" s="63">
        <v>49.614875743946406</v>
      </c>
      <c r="H24" s="57" t="s">
        <v>276</v>
      </c>
    </row>
    <row r="25" spans="2:8" x14ac:dyDescent="0.25">
      <c r="B25" s="27" t="s">
        <v>277</v>
      </c>
      <c r="C25" s="64" t="str">
        <f>IF('5-Year Model'!B64&gt;=0,"✓ Break-even","")</f>
        <v>0</v>
      </c>
      <c r="D25" s="37" t="str">
        <f>IF(AND('5-Year Model'!C64&gt;=0,'5-Year Model'!B64&lt;0),"✓ Break-even","")</f>
        <v>✓ Break-even</v>
      </c>
      <c r="E25" s="64" t="str">
        <f>IF(AND('5-Year Model'!D64&gt;=0,'5-Year Model'!C64&lt;0),"✓ Break-even","")</f>
        <v>0</v>
      </c>
      <c r="F25" s="64" t="str">
        <f>IF(AND('5-Year Model'!E64&gt;=0,'5-Year Model'!D64&lt;0),"✓ Break-even","")</f>
        <v>0</v>
      </c>
      <c r="G25" s="64" t="str">
        <f>IF(AND('5-Year Model'!F64&gt;=0,'5-Year Model'!E64&lt;0),"✓ Break-even","")</f>
        <v>0</v>
      </c>
      <c r="H25" s="57" t="s">
        <v>249</v>
      </c>
    </row>
    <row r="26" spans="2:8" x14ac:dyDescent="0.25">
      <c r="B26" s="27" t="s">
        <v>278</v>
      </c>
      <c r="C26" s="65">
        <v>-1</v>
      </c>
      <c r="D26" s="65">
        <v>2</v>
      </c>
      <c r="E26" s="65">
        <v>9</v>
      </c>
      <c r="F26" s="66">
        <v>17</v>
      </c>
      <c r="G26" s="61">
        <v>27</v>
      </c>
      <c r="H26" s="57" t="s">
        <v>279</v>
      </c>
    </row>
    <row r="27" spans="2:8" x14ac:dyDescent="0.25">
      <c r="B27" s="27" t="s">
        <v>194</v>
      </c>
      <c r="C27" s="65">
        <v>0</v>
      </c>
      <c r="D27" s="66">
        <v>59</v>
      </c>
      <c r="E27" s="61">
        <v>262</v>
      </c>
      <c r="F27" s="61">
        <v>528</v>
      </c>
      <c r="G27" s="61">
        <v>826</v>
      </c>
      <c r="H27" s="57" t="s">
        <v>280</v>
      </c>
    </row>
    <row r="29" ht="24" customHeight="1" spans="2:9" x14ac:dyDescent="0.25">
      <c r="B29" s="12" t="s">
        <v>281</v>
      </c>
      <c r="C29" s="12" t="s">
        <v>282</v>
      </c>
      <c r="D29" s="12" t="s">
        <v>283</v>
      </c>
      <c r="E29" s="12"/>
      <c r="F29" s="12" t="s">
        <v>284</v>
      </c>
      <c r="G29" s="12"/>
      <c r="H29" s="12"/>
      <c r="I29" s="12"/>
    </row>
    <row r="30" ht="45" customHeight="1" spans="2:9" x14ac:dyDescent="0.25">
      <c r="B30" s="67" t="s">
        <v>285</v>
      </c>
      <c r="C30" s="37" t="s">
        <v>286</v>
      </c>
      <c r="D30" s="68" t="s">
        <v>287</v>
      </c>
      <c r="E30" s="68"/>
      <c r="F30" s="69" t="s">
        <v>288</v>
      </c>
      <c r="G30" s="69"/>
      <c r="H30" s="69"/>
      <c r="I30" s="69"/>
    </row>
    <row r="31" ht="45" customHeight="1" spans="2:9" x14ac:dyDescent="0.25">
      <c r="B31" s="67" t="s">
        <v>289</v>
      </c>
      <c r="C31" s="70" t="s">
        <v>290</v>
      </c>
      <c r="D31" s="68" t="s">
        <v>291</v>
      </c>
      <c r="E31" s="68"/>
      <c r="F31" s="69" t="s">
        <v>292</v>
      </c>
      <c r="G31" s="69"/>
      <c r="H31" s="69"/>
      <c r="I31" s="69"/>
    </row>
    <row r="32" ht="45" customHeight="1" spans="2:9" x14ac:dyDescent="0.25">
      <c r="B32" s="67" t="s">
        <v>293</v>
      </c>
      <c r="C32" s="37" t="s">
        <v>286</v>
      </c>
      <c r="D32" s="68" t="s">
        <v>294</v>
      </c>
      <c r="E32" s="68"/>
      <c r="F32" s="69" t="s">
        <v>295</v>
      </c>
      <c r="G32" s="69"/>
      <c r="H32" s="69"/>
      <c r="I32" s="69"/>
    </row>
    <row r="33" ht="45" customHeight="1" spans="2:9" x14ac:dyDescent="0.25">
      <c r="B33" s="67" t="s">
        <v>296</v>
      </c>
      <c r="C33" s="37" t="s">
        <v>286</v>
      </c>
      <c r="D33" s="68" t="s">
        <v>297</v>
      </c>
      <c r="E33" s="68"/>
      <c r="F33" s="69" t="s">
        <v>298</v>
      </c>
      <c r="G33" s="69"/>
      <c r="H33" s="69"/>
      <c r="I33" s="69"/>
    </row>
    <row r="34" ht="45" customHeight="1" spans="2:9" x14ac:dyDescent="0.25">
      <c r="B34" s="67" t="s">
        <v>299</v>
      </c>
      <c r="C34" s="37" t="s">
        <v>286</v>
      </c>
      <c r="D34" s="68" t="s">
        <v>300</v>
      </c>
      <c r="E34" s="68"/>
      <c r="F34" s="69" t="s">
        <v>301</v>
      </c>
      <c r="G34" s="69"/>
      <c r="H34" s="69"/>
      <c r="I34" s="69"/>
    </row>
    <row r="35" ht="45" customHeight="1" spans="2:9" x14ac:dyDescent="0.25">
      <c r="B35" s="67" t="s">
        <v>302</v>
      </c>
      <c r="C35" s="37" t="s">
        <v>286</v>
      </c>
      <c r="D35" s="68" t="s">
        <v>303</v>
      </c>
      <c r="E35" s="68"/>
      <c r="F35" s="69" t="s">
        <v>304</v>
      </c>
      <c r="G35" s="69"/>
      <c r="H35" s="69"/>
      <c r="I35" s="69"/>
    </row>
    <row r="36" ht="45" customHeight="1" spans="2:9" x14ac:dyDescent="0.25">
      <c r="B36" s="67" t="s">
        <v>305</v>
      </c>
      <c r="C36" s="37" t="s">
        <v>286</v>
      </c>
      <c r="D36" s="68" t="s">
        <v>306</v>
      </c>
      <c r="E36" s="68"/>
      <c r="F36" s="69" t="s">
        <v>307</v>
      </c>
      <c r="G36" s="69"/>
      <c r="H36" s="69"/>
      <c r="I36" s="69"/>
    </row>
    <row r="38" spans="2:6" x14ac:dyDescent="0.25">
      <c r="B38" s="67" t="s">
        <v>308</v>
      </c>
      <c r="C38" s="27" t="s">
        <v>309</v>
      </c>
      <c r="D38" s="27"/>
      <c r="E38" s="27"/>
      <c r="F38" s="27"/>
    </row>
    <row r="40" spans="2:9" x14ac:dyDescent="0.25">
      <c r="B40" s="71" t="s">
        <v>144</v>
      </c>
      <c r="C40" s="71"/>
      <c r="D40" s="71"/>
      <c r="E40" s="71"/>
      <c r="F40" s="71"/>
      <c r="G40" s="71"/>
      <c r="H40" s="71"/>
      <c r="I40" s="71"/>
    </row>
  </sheetData>
  <mergeCells count="20">
    <mergeCell ref="B2:I2"/>
    <mergeCell ref="B3:I3"/>
    <mergeCell ref="D29:E29"/>
    <mergeCell ref="F29:I29"/>
    <mergeCell ref="D30:E30"/>
    <mergeCell ref="F30:I30"/>
    <mergeCell ref="D31:E31"/>
    <mergeCell ref="F31:I31"/>
    <mergeCell ref="D32:E32"/>
    <mergeCell ref="F32:I32"/>
    <mergeCell ref="D33:E33"/>
    <mergeCell ref="F33:I33"/>
    <mergeCell ref="D34:E34"/>
    <mergeCell ref="F34:I34"/>
    <mergeCell ref="D35:E35"/>
    <mergeCell ref="F35:I35"/>
    <mergeCell ref="D36:E36"/>
    <mergeCell ref="F36:I36"/>
    <mergeCell ref="C38:F38"/>
    <mergeCell ref="B40:I40"/>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conditionalFormatting sqref="C24:G24">
    <cfRule type="expression" dxfId="21" priority="1">
      <formula>C24&gt;=1.25</formula>
    </cfRule>
    <cfRule type="expression" dxfId="22" priority="2">
      <formula>C24&gt;=1.15</formula>
    </cfRule>
    <cfRule type="expression" dxfId="23" priority="3">
      <formula>C24&lt;1.15</formula>
    </cfRule>
  </conditionalFormatting>
  <pageMargins left="0.25" right="0.25" top="0.5" bottom="0.5" header="0.3" footer="0.3"/>
  <pageSetup paperSize="1" orientation="landscape" fitToWidth="1" fitToHeight="0"/>
  <headerFooter>
    <oddHeader>&amp;L&amp;10&amp;BCivic Scholars Charter&amp;R&amp;8&amp;IFinancial Health</oddHeader>
    <oddFooter>&amp;L&amp;8Built by SchoolStack Budget  •  budget.schoolstack.ai&amp;C&amp;8Page &amp;P of &amp;N&amp;R&amp;8&amp;D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Assumptions</vt:lpstr>
      <vt:lpstr>5-Year Model</vt:lpstr>
      <vt:lpstr>Year 1 Pro Forma</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 - Formula Model</dc:creator>
  <dc:title/>
  <dc:subject/>
  <dc:description/>
  <cp:keywords/>
  <cp:category/>
  <cp:lastModifiedBy>Unknown</cp:lastModifiedBy>
  <dcterms:created xsi:type="dcterms:W3CDTF">2026-05-09T13:15:58Z</dcterms:created>
  <dcterms:modified xsi:type="dcterms:W3CDTF">2026-05-09T13:15:58Z</dcterms:modified>
</cp:coreProperties>
</file>