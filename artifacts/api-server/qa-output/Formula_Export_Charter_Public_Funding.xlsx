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Health'!$A1:$H40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<sst xmlns="http://schemas.openxmlformats.org/spreadsheetml/2006/main" count="481" uniqueCount="306">
  <si>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</si>
  <si>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</si>
  <si>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</si>
  <si>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</si>
  <si>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</si>
  <si>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</si>
  <si>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</si>
  <si>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</si>
  <si>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</si>
  <si>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</si>
  <si>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</si>
  <si>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</si>
  <si>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</si>
  <si>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</si>
  <si>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</si>
  <si>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</si>
  <si>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</si>
  <si>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</si>
  <si>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</si>
  <si>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</si>
  <si>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</si>
  <si>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</si>
  <si>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</si>
  <si>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</si>
  <si>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</si>
  <si>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</si>
  <si>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</si>
  <si>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</si>
  <si>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</si>
  <si>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</si>
  <si>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</si>
  <si>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</si>
  <si>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</si>
  <si>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</si>
  <si>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</si>
  <si>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</si>
  <si>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</si>
  <si>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</si>
  <si>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</si>
  <si>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</si>
  <si>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</si>
  <si>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</si>
  <si>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</si>
  <si>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</si>
  <si>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</si>
  <si>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</si>
  <si>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</si>
  <si>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</si>
  <si>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</si>
  <si>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</si>
  <si>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</si>
  <si>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</si>
  <si>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</si>
  <si>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</si>
  <si>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</si>
  <si>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</si>
  <si>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</si>
  <si>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</si>
  <si>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</si>
  <si>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</si>
  <si>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</si>
  <si>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</si>
  <si>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</si>
  <si>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</si>
  <si>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</si>
  <si>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</si>
  <si>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</si>
  <si>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</si>
  <si>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</si>
  <si>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</si>
  <si>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</si>
  <si>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</si>
  <si>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</si>
  <si>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</si>
  <si>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</si>
  <si>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</si>
  <si>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</si>
  <si>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</si>
  <si>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</si>
  <si>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</si>
  <si>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</si>
  <si>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</si>
  <si>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</si>
  <si>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</si>
  <si>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</si>
  <si>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</si>
  <si>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</si>
  <si>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</si>
  <si>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</si>
  <si>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</si>
  <si>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</si>
  <si>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</si>
  <si>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</si>
  <si>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 [1:22]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</si>
  <si>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</si>
  <si>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</si>
  <si>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</si>
  <si>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</si>
  <si>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</si>
  <si>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</si>
  <si>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</si>
  <si>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</si>
  <si>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</si>
  <si>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</si>
  <si>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</si>
  <si>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</si>
  <si>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</si>
  <si>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</si>
  <si>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</si>
  <si>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</si>
  <si>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</si>
  <si>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</si>
  <si>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</si>
  <si>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</si>
  <si>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</si>
  <si>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</si>
  <si>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</si>
  <si>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</si>
  <si>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</si>
  <si>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</si>
  <si>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</si>
  <si>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</si>
  <si>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</si>
  <si>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</si>
  <si>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</si>
  <si>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</si>
  <si>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</si>
  <si>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</si>
  <si>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</si>
  <si>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</si>
  <si>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</si>
  <si>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</si>
  <si>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</si>
  <si>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</si>
  <si>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</si>
  <si>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</si>
  <si>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</si>
  <si>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</si>
  <si>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</si>
  <si>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</si>
  <si>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</si>
  <si>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</si>
  <si>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</si>
  <si>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</si>
  <si>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</si>
  <si>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</si>
  <si>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</si>
  <si>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</si>
  <si>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</si>
  <si>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</si>
  <si>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</si>
  <si>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</si>
  <si>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[1:22]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</si>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</sst>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6" fillId="8" borderId="2" xfId="0" applyNumberFormat="1" applyFont="1" applyFill="1" applyBorder="1" applyAlignment="1">
      <alignment horizontal="right"/>
    </xf>
    <xf numFmtId="165" fontId="12" fillId="7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323299</v>
      </c>
      <c r="C18" s="21">
        <v>670111</v>
      </c>
      <c r="D18" s="21">
        <v>987532</v>
      </c>
      <c r="E18" s="21">
        <v>1234415</v>
      </c>
      <c r="F18" s="21">
        <v>1304953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997040</v>
      </c>
      <c r="C24" s="28">
        <f>SUM(C15:C23)</f>
        <v>1478601</v>
      </c>
      <c r="D24" s="28">
        <f>SUM(D15:D23)</f>
        <v>1796022</v>
      </c>
      <c r="E24" s="28">
        <f>SUM(E15:E23)</f>
        <v>2042905</v>
      </c>
      <c r="F24" s="28">
        <f>SUM(F15:F23)</f>
        <v>2113443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997040</v>
      </c>
      <c r="C56" s="21">
        <f>C24</f>
        <v>1478601</v>
      </c>
      <c r="D56" s="21">
        <f>D24</f>
        <v>1796022</v>
      </c>
      <c r="E56" s="21">
        <f>E24</f>
        <v>2042905</v>
      </c>
      <c r="F56" s="21">
        <f>F24</f>
        <v>2113443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1706865</v>
      </c>
      <c r="C59" s="30">
        <f>C56+C57+C58</f>
        <v>2456286</v>
      </c>
      <c r="D59" s="30">
        <f>D56+D57+D58</f>
        <v>3076368</v>
      </c>
      <c r="E59" s="30">
        <f>E56+E57+E58</f>
        <v>3556819</v>
      </c>
      <c r="F59" s="30">
        <f>F56+F57+F58</f>
        <v>3738192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-418532</v>
      </c>
      <c r="C61" s="33">
        <f>C55-C59</f>
        <v>66514</v>
      </c>
      <c r="D61" s="33">
        <f>D55-D59</f>
        <v>708232</v>
      </c>
      <c r="E61" s="33">
        <f>E55-E59</f>
        <v>1202306</v>
      </c>
      <c r="F61" s="33">
        <f>F55-F59</f>
        <v>1446208</v>
      </c>
    </row>
    <row r="62" spans="1:6" x14ac:dyDescent="0.25">
      <c r="A62" s="13" t="s">
        <v>184</v>
      </c>
      <c r="B62" s="34">
        <f>IF(B55=0,"",B61/B55)</f>
        <v>-0.32</v>
      </c>
      <c r="C62" s="34">
        <f>IF(C55=0,"",C61/C55)</f>
        <v>0.03</v>
      </c>
      <c r="D62" s="34">
        <f>IF(D55=0,"",D61/D55)</f>
        <v>0.19</v>
      </c>
      <c r="E62" s="34">
        <f>IF(E55=0,"",E61/E55)</f>
        <v>0.25</v>
      </c>
      <c r="F62" s="34">
        <f>IF(F55=0,"",F61/F55)</f>
        <v>0.28</v>
      </c>
    </row>
    <row r="63" spans="1:6" x14ac:dyDescent="0.25">
      <c r="A63" s="13" t="s">
        <v>185</v>
      </c>
      <c r="B63" s="21">
        <f>B61</f>
        <v>-418532</v>
      </c>
      <c r="C63" s="21">
        <f>B63+C61</f>
        <v>-352018</v>
      </c>
      <c r="D63" s="21">
        <f>C63+D61</f>
        <v>356214</v>
      </c>
      <c r="E63" s="21">
        <f>D63+E61</f>
        <v>1558520</v>
      </c>
      <c r="F63" s="21">
        <f>E63+F61</f>
        <v>3004728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-253707</v>
      </c>
      <c r="C67" s="30">
        <f>C55-C56-C57</f>
        <v>156339</v>
      </c>
      <c r="D67" s="30">
        <f>D55-D56-D57</f>
        <v>798057</v>
      </c>
      <c r="E67" s="30">
        <f>E55-E56-E57</f>
        <v>1277131</v>
      </c>
      <c r="F67" s="30">
        <f>F55-F56-F57</f>
        <v>1516033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-1.54</v>
      </c>
      <c r="C69" s="37">
        <f>IF(C68=0,"N/A",C67/C68)</f>
        <v>1.74</v>
      </c>
      <c r="D69" s="37">
        <f>IF(D68=0,"N/A",D67/D68)</f>
        <v>8.88</v>
      </c>
      <c r="E69" s="37">
        <f>IF(E68=0,"N/A",E67/E68)</f>
        <v>17.07</v>
      </c>
      <c r="F69" s="37">
        <f>IF(F68=0,"N/A",F67/F68)</f>
        <v>21.71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-418532</v>
      </c>
      <c r="D70" s="21">
        <f>C71</f>
        <v>-352018</v>
      </c>
      <c r="E70" s="21">
        <f>D71</f>
        <v>356214</v>
      </c>
      <c r="F70" s="21">
        <f>E71</f>
        <v>1558520</v>
      </c>
    </row>
    <row r="71" spans="1:6" x14ac:dyDescent="0.25">
      <c r="A71" s="26" t="s">
        <v>192</v>
      </c>
      <c r="B71" s="30">
        <f>B70+B61</f>
        <v>-418532</v>
      </c>
      <c r="C71" s="30">
        <f>C70+C61</f>
        <v>-352018</v>
      </c>
      <c r="D71" s="30">
        <f>D70+D61</f>
        <v>356214</v>
      </c>
      <c r="E71" s="30">
        <f>E70+E61</f>
        <v>1558520</v>
      </c>
      <c r="F71" s="30">
        <f>F70+F61</f>
        <v>3004728</v>
      </c>
    </row>
    <row r="72" spans="1:6" x14ac:dyDescent="0.25">
      <c r="A72" s="13" t="s">
        <v>193</v>
      </c>
      <c r="B72" s="38">
        <f>IF(B59=0,"",B71/B59*365)</f>
        <v>-89</v>
      </c>
      <c r="C72" s="38">
        <f>IF(C59=0,"",C71/C59*365)</f>
        <v>-52</v>
      </c>
      <c r="D72" s="38">
        <f>IF(D59=0,"",D71/D59*365)</f>
        <v>42</v>
      </c>
      <c r="E72" s="38">
        <f>IF(E59=0,"",E71/E59*365)</f>
        <v>160</v>
      </c>
      <c r="F72" s="38">
        <f>IF(F59=0,"",F71/F59*365)</f>
        <v>293</v>
      </c>
    </row>
    <row r="73" spans="1:6" x14ac:dyDescent="0.25">
      <c r="A73" s="13" t="s">
        <v>194</v>
      </c>
      <c r="B73" s="39">
        <f>IF(B59=0,"",B71/(B59/12))</f>
        <v>-2.9</v>
      </c>
      <c r="C73" s="39">
        <f>IF(C59=0,"",C71/(C59/12))</f>
        <v>-1.7</v>
      </c>
      <c r="D73" s="39">
        <f>IF(D59=0,"",D71/(D59/12))</f>
        <v>1.4</v>
      </c>
      <c r="E73" s="39">
        <f>IF(E59=0,"",E71/(E59/12))</f>
        <v>5.3</v>
      </c>
      <c r="F73" s="39">
        <f>IF(F59=0,"",F71/(F59/12))</f>
        <v>9.6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FAIL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14224</v>
      </c>
      <c r="C84" s="21">
        <f>IF(C3=0,"",C59/C3)</f>
        <v>12281</v>
      </c>
      <c r="D84" s="21">
        <f>IF(D3=0,"",D59/D3)</f>
        <v>10255</v>
      </c>
      <c r="E84" s="21">
        <f>IF(E3=0,"",E59/E3)</f>
        <v>9485</v>
      </c>
      <c r="F84" s="21">
        <f>IF(F3=0,"",F59/F3)</f>
        <v>9345</v>
      </c>
    </row>
    <row r="85" spans="1:6" x14ac:dyDescent="0.25">
      <c r="A85" s="13" t="s">
        <v>204</v>
      </c>
      <c r="B85" s="21">
        <f>B56+B58</f>
        <v>1161865</v>
      </c>
      <c r="C85" s="21">
        <f>C56+C58</f>
        <v>1568426</v>
      </c>
      <c r="D85" s="21">
        <f>D56+D58</f>
        <v>1885847</v>
      </c>
      <c r="E85" s="21">
        <f>E56+E58</f>
        <v>2117730</v>
      </c>
      <c r="F85" s="21">
        <f>F56+F58</f>
        <v>2183268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188</v>
      </c>
      <c r="C88" s="41">
        <f>IF(C87&lt;=0,"N/A",ROUNDUP(C85/C87,0))</f>
        <v>192</v>
      </c>
      <c r="D88" s="41">
        <f>IF(D87&lt;=0,"N/A",ROUNDUP(D85/D87,0))</f>
        <v>219</v>
      </c>
      <c r="E88" s="41">
        <f>IF(E87&lt;=0,"N/A",ROUNDUP(E85/E87,0))</f>
        <v>240</v>
      </c>
      <c r="F88" s="41">
        <f>IF(F87&lt;=0,"N/A",ROUNDUP(F85/F87,0))</f>
        <v>241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32330</v>
      </c>
      <c r="C16" s="21">
        <v>32330</v>
      </c>
      <c r="D16" s="21">
        <v>32330</v>
      </c>
      <c r="E16" s="21">
        <v>32330</v>
      </c>
      <c r="F16" s="21">
        <v>32330</v>
      </c>
      <c r="G16" s="21">
        <v>32330</v>
      </c>
      <c r="H16" s="21">
        <v>32330</v>
      </c>
      <c r="I16" s="21">
        <v>32330</v>
      </c>
      <c r="J16" s="21">
        <v>32330</v>
      </c>
      <c r="K16" s="21">
        <v>32330</v>
      </c>
      <c r="L16" s="21">
        <v>0</v>
      </c>
      <c r="M16" s="21">
        <v>0</v>
      </c>
      <c r="N16" s="21">
        <f>SUM(B16:M16)</f>
        <v>323299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99704</v>
      </c>
      <c r="C22" s="28">
        <f>SUM(C13:C21)</f>
        <v>99704</v>
      </c>
      <c r="D22" s="28">
        <f>SUM(D13:D21)</f>
        <v>99704</v>
      </c>
      <c r="E22" s="28">
        <f>SUM(E13:E21)</f>
        <v>99704</v>
      </c>
      <c r="F22" s="28">
        <f>SUM(F13:F21)</f>
        <v>99704</v>
      </c>
      <c r="G22" s="28">
        <f>SUM(G13:G21)</f>
        <v>99704</v>
      </c>
      <c r="H22" s="28">
        <f>SUM(H13:H21)</f>
        <v>99704</v>
      </c>
      <c r="I22" s="28">
        <f>SUM(I13:I21)</f>
        <v>99704</v>
      </c>
      <c r="J22" s="28">
        <f>SUM(J13:J21)</f>
        <v>99704</v>
      </c>
      <c r="K22" s="28">
        <f>SUM(K13:K21)</f>
        <v>99704</v>
      </c>
      <c r="L22" s="28" t="str">
        <f>SUM(L13:L21)</f>
        <v>0</v>
      </c>
      <c r="M22" s="28" t="str">
        <f>SUM(M13:M21)</f>
        <v>0</v>
      </c>
      <c r="N22" s="28">
        <f>SUM(B22:M22)</f>
        <v>997040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167939</v>
      </c>
      <c r="C49" s="30">
        <f>C22+C44+C46</f>
        <v>167939</v>
      </c>
      <c r="D49" s="30">
        <f>D22+D44+D46</f>
        <v>167939</v>
      </c>
      <c r="E49" s="30">
        <f>E22+E44+E46</f>
        <v>167939</v>
      </c>
      <c r="F49" s="30">
        <f>F22+F44+F46</f>
        <v>167939</v>
      </c>
      <c r="G49" s="30">
        <f>G22+G44+G46</f>
        <v>167939</v>
      </c>
      <c r="H49" s="30">
        <f>H22+H44+H46</f>
        <v>167939</v>
      </c>
      <c r="I49" s="30">
        <f>I22+I44+I46</f>
        <v>167939</v>
      </c>
      <c r="J49" s="30">
        <f>J22+J44+J46</f>
        <v>167939</v>
      </c>
      <c r="K49" s="30">
        <f>K22+K44+K46</f>
        <v>167939</v>
      </c>
      <c r="L49" s="30">
        <f>L22+L44+L46</f>
        <v>13735</v>
      </c>
      <c r="M49" s="30">
        <f>M22+M44+M46</f>
        <v>13735</v>
      </c>
      <c r="N49" s="30">
        <f>SUM(B49:M49)</f>
        <v>1706860</v>
      </c>
    </row>
    <row r="50" spans="1:14" x14ac:dyDescent="0.25">
      <c r="A50" s="26" t="s">
        <v>234</v>
      </c>
      <c r="B50" s="30">
        <f>B10-B49</f>
        <v>-13339</v>
      </c>
      <c r="C50" s="30">
        <f>C10-C49</f>
        <v>-13339</v>
      </c>
      <c r="D50" s="30">
        <f>D10-D49</f>
        <v>-13339</v>
      </c>
      <c r="E50" s="30">
        <f>E10-E49</f>
        <v>-13339</v>
      </c>
      <c r="F50" s="30">
        <f>F10-F49</f>
        <v>-13339</v>
      </c>
      <c r="G50" s="30">
        <f>G10-G49</f>
        <v>-13339</v>
      </c>
      <c r="H50" s="30">
        <f>H10-H49</f>
        <v>-13339</v>
      </c>
      <c r="I50" s="30">
        <f>I10-I49</f>
        <v>-13339</v>
      </c>
      <c r="J50" s="30">
        <f>J10-J49</f>
        <v>-13339</v>
      </c>
      <c r="K50" s="30">
        <f>K10-K49</f>
        <v>-13339</v>
      </c>
      <c r="L50" s="30">
        <f>L10-L49</f>
        <v>-13735</v>
      </c>
      <c r="M50" s="30">
        <f>M10-M49</f>
        <v>-13735</v>
      </c>
      <c r="N50" s="30">
        <f>SUM(B50:M50)</f>
        <v>-160860</v>
      </c>
    </row>
    <row r="51" spans="1:14" x14ac:dyDescent="0.25">
      <c r="A51" s="26" t="s">
        <v>235</v>
      </c>
      <c r="B51" s="30">
        <f>0+B50</f>
        <v>-13339</v>
      </c>
      <c r="C51" s="30">
        <f>B51+C50</f>
        <v>-26678</v>
      </c>
      <c r="D51" s="30">
        <f>C51+D50</f>
        <v>-40017</v>
      </c>
      <c r="E51" s="30">
        <f>D51+E50</f>
        <v>-53356</v>
      </c>
      <c r="F51" s="30">
        <f>E51+F50</f>
        <v>-66695</v>
      </c>
      <c r="G51" s="30">
        <f>F51+G50</f>
        <v>-80034</v>
      </c>
      <c r="H51" s="30">
        <f>G51+H50</f>
        <v>-93373</v>
      </c>
      <c r="I51" s="30">
        <f>H51+I50</f>
        <v>-106712</v>
      </c>
      <c r="J51" s="30">
        <f>I51+J50</f>
        <v>-120051</v>
      </c>
      <c r="K51" s="30">
        <f>J51+K50</f>
        <v>-133390</v>
      </c>
      <c r="L51" s="30">
        <f>K51+L50</f>
        <v>-147125</v>
      </c>
      <c r="M51" s="30">
        <f>L51+M50</f>
        <v>-160860</v>
      </c>
      <c r="N51" s="30">
        <f>M51</f>
        <v>-160860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-160860</v>
      </c>
    </row>
    <row r="56" spans="1:2" x14ac:dyDescent="0.25">
      <c r="A56" s="13" t="s">
        <v>238</v>
      </c>
      <c r="B56" s="21">
        <f>MIN(B51:M51)</f>
        <v>-160860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7" x14ac:dyDescent="0.25">
      <c r="B16" s="26" t="s">
        <v>258</v>
      </c>
      <c r="C16" s="54">
        <v>14418.798793509828</v>
      </c>
      <c r="D16" s="54">
        <v>10847.010526105896</v>
      </c>
      <c r="E16" s="54">
        <v>8240.211684070597</v>
      </c>
      <c r="F16" s="54">
        <v>7255.016365923145</v>
      </c>
      <c r="G16" s="54">
        <v>7091.165020452949</v>
      </c>
    </row>
    <row r="17" spans="2:7" x14ac:dyDescent="0.25">
      <c r="B17" s="13" t="s">
        <v>259</v>
      </c>
      <c r="C17" s="47">
        <v>700</v>
      </c>
      <c r="D17" s="47">
        <v>721</v>
      </c>
      <c r="E17" s="47">
        <v>743</v>
      </c>
      <c r="F17" s="47">
        <v>765</v>
      </c>
      <c r="G17" s="47">
        <v>788</v>
      </c>
    </row>
    <row r="18" spans="2:8" x14ac:dyDescent="0.25">
      <c r="B18" s="13" t="s">
        <v>260</v>
      </c>
      <c r="C18" s="55">
        <v>2350</v>
      </c>
      <c r="D18" s="52">
        <v>1452.3</v>
      </c>
      <c r="E18" s="52">
        <v>997.2213333333334</v>
      </c>
      <c r="F18" s="52">
        <v>821.7334186666667</v>
      </c>
      <c r="G18" s="52">
        <v>793.4822574000001</v>
      </c>
      <c r="H18" s="53" t="s">
        <v>261</v>
      </c>
    </row>
    <row r="19" spans="2:7" x14ac:dyDescent="0.25">
      <c r="B19" s="26" t="s">
        <v>262</v>
      </c>
      <c r="C19" s="56">
        <v>-1535.4654601764953</v>
      </c>
      <c r="D19" s="57">
        <v>1766.989473894103</v>
      </c>
      <c r="E19" s="57">
        <v>4375.121649262736</v>
      </c>
      <c r="F19" s="57">
        <v>5435.983634076855</v>
      </c>
      <c r="G19" s="57">
        <v>5869.834979547051</v>
      </c>
    </row>
    <row r="20" spans="2:8" x14ac:dyDescent="0.25">
      <c r="B20" s="26" t="s">
        <v>263</v>
      </c>
      <c r="C20" s="50">
        <v>0.6639270698576973</v>
      </c>
      <c r="D20" s="51">
        <v>0.48823430315522437</v>
      </c>
      <c r="E20" s="51">
        <v>0.3254551339639592</v>
      </c>
      <c r="F20" s="51">
        <v>0.25881175636277676</v>
      </c>
      <c r="G20" s="51">
        <v>0.23758149448345034</v>
      </c>
      <c r="H20" s="53" t="s">
        <v>264</v>
      </c>
    </row>
    <row r="21" spans="2:8" x14ac:dyDescent="0.25">
      <c r="B21" s="26" t="s">
        <v>265</v>
      </c>
      <c r="C21" s="58">
        <v>0.18240620957309184</v>
      </c>
      <c r="D21" s="51">
        <v>0.1151339781195497</v>
      </c>
      <c r="E21" s="51">
        <v>0.07904835385509698</v>
      </c>
      <c r="F21" s="51">
        <v>0.06474930412628371</v>
      </c>
      <c r="G21" s="51">
        <v>0.06122075900007716</v>
      </c>
      <c r="H21" s="53" t="s">
        <v>266</v>
      </c>
    </row>
    <row r="22" spans="2:8" x14ac:dyDescent="0.25">
      <c r="B22" s="26" t="s">
        <v>267</v>
      </c>
      <c r="C22" s="50">
        <v>-0.08695423673997413</v>
      </c>
      <c r="D22" s="51">
        <v>0.15983133819565562</v>
      </c>
      <c r="E22" s="51">
        <v>0.35997492469481585</v>
      </c>
      <c r="F22" s="51">
        <v>0.4388030295484989</v>
      </c>
      <c r="G22" s="51">
        <v>0.4624949072293804</v>
      </c>
      <c r="H22" s="53" t="s">
        <v>268</v>
      </c>
    </row>
    <row r="23" spans="2:8" x14ac:dyDescent="0.25">
      <c r="B23" s="26" t="s">
        <v>269</v>
      </c>
      <c r="C23" s="59">
        <v>3</v>
      </c>
      <c r="D23" s="59">
        <v>3</v>
      </c>
      <c r="E23" s="59">
        <v>3</v>
      </c>
      <c r="F23" s="59">
        <v>3</v>
      </c>
      <c r="G23" s="59">
        <v>3</v>
      </c>
      <c r="H23" s="53" t="s">
        <v>270</v>
      </c>
    </row>
    <row r="24" spans="2:8" x14ac:dyDescent="0.25">
      <c r="B24" s="26" t="s">
        <v>271</v>
      </c>
      <c r="C24" s="60">
        <v>-2.698089616630942</v>
      </c>
      <c r="D24" s="61">
        <v>8.092838833544805</v>
      </c>
      <c r="E24" s="61">
        <v>27.34313887590801</v>
      </c>
      <c r="F24" s="61">
        <v>41.91339718056208</v>
      </c>
      <c r="G24" s="61">
        <v>48.12398585791026</v>
      </c>
      <c r="H24" s="53" t="s">
        <v>272</v>
      </c>
    </row>
    <row r="25" spans="2:8" x14ac:dyDescent="0.25">
      <c r="B25" s="26" t="s">
        <v>273</v>
      </c>
      <c r="C25" s="62" t="str">
        <f>IF('5-Year Model'!B63&gt;=0,"✓ Break-even","")</f>
        <v>0</v>
      </c>
      <c r="D25" s="36" t="str">
        <f>IF(AND('5-Year Model'!C63&gt;=0,'5-Year Model'!B63&lt;0),"✓ Break-even","")</f>
        <v>✓ Break-even</v>
      </c>
      <c r="E25" s="62" t="str">
        <f>IF(AND('5-Year Model'!D63&gt;=0,'5-Year Model'!C63&lt;0),"✓ Break-even","")</f>
        <v>0</v>
      </c>
      <c r="F25" s="62" t="str">
        <f>IF(AND('5-Year Model'!E63&gt;=0,'5-Year Model'!D63&lt;0),"✓ Break-even","")</f>
        <v>0</v>
      </c>
      <c r="G25" s="62" t="str">
        <f>IF(AND('5-Year Model'!F63&gt;=0,'5-Year Model'!E63&lt;0),"✓ Break-even","")</f>
        <v>0</v>
      </c>
      <c r="H25" s="53" t="s">
        <v>245</v>
      </c>
    </row>
    <row r="26" spans="2:8" x14ac:dyDescent="0.25">
      <c r="B26" s="26" t="s">
        <v>274</v>
      </c>
      <c r="C26" s="63">
        <v>-1</v>
      </c>
      <c r="D26" s="63">
        <v>1</v>
      </c>
      <c r="E26" s="63">
        <v>7</v>
      </c>
      <c r="F26" s="64">
        <v>16</v>
      </c>
      <c r="G26" s="59">
        <v>25</v>
      </c>
      <c r="H26" s="53" t="s">
        <v>275</v>
      </c>
    </row>
    <row r="27" spans="2:8" x14ac:dyDescent="0.25">
      <c r="B27" s="26" t="s">
        <v>193</v>
      </c>
      <c r="C27" s="63">
        <v>0</v>
      </c>
      <c r="D27" s="63">
        <v>28</v>
      </c>
      <c r="E27" s="59">
        <v>219</v>
      </c>
      <c r="F27" s="59">
        <v>472</v>
      </c>
      <c r="G27" s="59">
        <v>755</v>
      </c>
      <c r="H27" s="53" t="s">
        <v>276</v>
      </c>
    </row>
    <row r="29" ht="24" customHeight="1" spans="2:8" x14ac:dyDescent="0.25">
      <c r="B29" s="12" t="s">
        <v>277</v>
      </c>
      <c r="C29" s="12" t="s">
        <v>278</v>
      </c>
      <c r="D29" s="12" t="s">
        <v>279</v>
      </c>
      <c r="E29" s="12"/>
      <c r="F29" s="12" t="s">
        <v>280</v>
      </c>
      <c r="G29" s="12"/>
      <c r="H29" s="12"/>
    </row>
    <row r="30" ht="45" customHeight="1" spans="2:8" x14ac:dyDescent="0.25">
      <c r="B30" s="65" t="s">
        <v>281</v>
      </c>
      <c r="C30" s="36" t="s">
        <v>282</v>
      </c>
      <c r="D30" s="66" t="s">
        <v>283</v>
      </c>
      <c r="E30" s="66"/>
      <c r="F30" s="67" t="s">
        <v>284</v>
      </c>
      <c r="G30" s="67"/>
      <c r="H30" s="67"/>
    </row>
    <row r="31" ht="45" customHeight="1" spans="2:8" x14ac:dyDescent="0.25">
      <c r="B31" s="65" t="s">
        <v>285</v>
      </c>
      <c r="C31" s="68" t="s">
        <v>286</v>
      </c>
      <c r="D31" s="66" t="s">
        <v>287</v>
      </c>
      <c r="E31" s="66"/>
      <c r="F31" s="67" t="s">
        <v>288</v>
      </c>
      <c r="G31" s="67"/>
      <c r="H31" s="67"/>
    </row>
    <row r="32" ht="45" customHeight="1" spans="2:8" x14ac:dyDescent="0.25">
      <c r="B32" s="65" t="s">
        <v>289</v>
      </c>
      <c r="C32" s="36" t="s">
        <v>282</v>
      </c>
      <c r="D32" s="66" t="s">
        <v>290</v>
      </c>
      <c r="E32" s="66"/>
      <c r="F32" s="67" t="s">
        <v>291</v>
      </c>
      <c r="G32" s="67"/>
      <c r="H32" s="67"/>
    </row>
    <row r="33" ht="45" customHeight="1" spans="2:8" x14ac:dyDescent="0.25">
      <c r="B33" s="65" t="s">
        <v>292</v>
      </c>
      <c r="C33" s="36" t="s">
        <v>282</v>
      </c>
      <c r="D33" s="66" t="s">
        <v>293</v>
      </c>
      <c r="E33" s="66"/>
      <c r="F33" s="67" t="s">
        <v>294</v>
      </c>
      <c r="G33" s="67"/>
      <c r="H33" s="67"/>
    </row>
    <row r="34" ht="45" customHeight="1" spans="2:8" x14ac:dyDescent="0.25">
      <c r="B34" s="65" t="s">
        <v>295</v>
      </c>
      <c r="C34" s="36" t="s">
        <v>282</v>
      </c>
      <c r="D34" s="66" t="s">
        <v>296</v>
      </c>
      <c r="E34" s="66"/>
      <c r="F34" s="67" t="s">
        <v>297</v>
      </c>
      <c r="G34" s="67"/>
      <c r="H34" s="67"/>
    </row>
    <row r="35" ht="45" customHeight="1" spans="2:8" x14ac:dyDescent="0.25">
      <c r="B35" s="65" t="s">
        <v>298</v>
      </c>
      <c r="C35" s="36" t="s">
        <v>282</v>
      </c>
      <c r="D35" s="66" t="s">
        <v>299</v>
      </c>
      <c r="E35" s="66"/>
      <c r="F35" s="67" t="s">
        <v>300</v>
      </c>
      <c r="G35" s="67"/>
      <c r="H35" s="67"/>
    </row>
    <row r="36" ht="45" customHeight="1" spans="2:8" x14ac:dyDescent="0.25">
      <c r="B36" s="65" t="s">
        <v>301</v>
      </c>
      <c r="C36" s="36" t="s">
        <v>282</v>
      </c>
      <c r="D36" s="66" t="s">
        <v>302</v>
      </c>
      <c r="E36" s="66"/>
      <c r="F36" s="67" t="s">
        <v>303</v>
      </c>
      <c r="G36" s="67"/>
      <c r="H36" s="67"/>
    </row>
    <row r="38" spans="2:6" x14ac:dyDescent="0.25">
      <c r="B38" s="65" t="s">
        <v>304</v>
      </c>
      <c r="C38" s="26" t="s">
        <v>305</v>
      </c>
      <c r="D38" s="26"/>
      <c r="E38" s="26"/>
      <c r="F38" s="26"/>
    </row>
    <row r="40" spans="2:8" x14ac:dyDescent="0.25">
      <c r="B40" s="69" t="s">
        <v>144</v>
      </c>
      <c r="C40" s="69"/>
      <c r="D40" s="69"/>
      <c r="E40" s="69"/>
      <c r="F40" s="69"/>
      <c r="G40" s="69"/>
      <c r="H40" s="69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2026-03-27T12:05:11Z</dcterms:created>
  <dcterms:modified xsi:type="dcterms:W3CDTF">2026-03-27T12:05:11Z</dcterms:modified>
</cp:coreProperties>
</file>