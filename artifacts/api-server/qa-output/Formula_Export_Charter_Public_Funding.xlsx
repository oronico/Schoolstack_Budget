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<sst xmlns="http://schemas.openxmlformats.org/spreadsheetml/2006/main" count="457" uniqueCount="287">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</sst>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6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16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5" ht="24" customHeight="1" spans="1:6" x14ac:dyDescent="0.25">
      <c r="A65" s="12" t="s">
        <v>186</v>
      </c>
      <c r="B65" s="12"/>
      <c r="C65" s="12"/>
      <c r="D65" s="12"/>
      <c r="E65" s="12"/>
      <c r="F65" s="12"/>
    </row>
    <row r="66" spans="1:6" x14ac:dyDescent="0.25">
      <c r="A66" s="26" t="s">
        <v>187</v>
      </c>
      <c r="B66" s="30">
        <f>B55-B56-B57</f>
        <v>-283098</v>
      </c>
      <c r="C66" s="30">
        <f>C55-C56-C57</f>
        <v>403222</v>
      </c>
      <c r="D66" s="30">
        <f>D55-D56-D57</f>
        <v>1362361</v>
      </c>
      <c r="E66" s="30">
        <f>E55-E56-E57</f>
        <v>2088318</v>
      </c>
      <c r="F66" s="30">
        <f>F55-F56-F57</f>
        <v>2397758</v>
      </c>
    </row>
    <row r="67" spans="1:6" x14ac:dyDescent="0.25">
      <c r="A67" s="13" t="s">
        <v>188</v>
      </c>
      <c r="B67" s="21">
        <f>B58</f>
        <v>164825</v>
      </c>
      <c r="C67" s="21">
        <f>C58</f>
        <v>89825</v>
      </c>
      <c r="D67" s="21">
        <f>D58</f>
        <v>89825</v>
      </c>
      <c r="E67" s="21">
        <f>E58</f>
        <v>74825</v>
      </c>
      <c r="F67" s="21">
        <f>F58</f>
        <v>69825</v>
      </c>
    </row>
    <row r="68" spans="1:6" x14ac:dyDescent="0.25">
      <c r="A68" s="26" t="s">
        <v>189</v>
      </c>
      <c r="B68" s="35">
        <f>IF(B67=0,"N/A",B66/B67)</f>
        <v>-1.72</v>
      </c>
      <c r="C68" s="35">
        <f>IF(C67=0,"N/A",C66/C67)</f>
        <v>4.49</v>
      </c>
      <c r="D68" s="35">
        <f>IF(D67=0,"N/A",D66/D67)</f>
        <v>15.17</v>
      </c>
      <c r="E68" s="35">
        <f>IF(E67=0,"N/A",E66/E67)</f>
        <v>27.91</v>
      </c>
      <c r="F68" s="35">
        <f>IF(F67=0,"N/A",F66/F67)</f>
        <v>34.34</v>
      </c>
    </row>
    <row r="69" spans="1:6" x14ac:dyDescent="0.25">
      <c r="A69" s="13" t="s">
        <v>143</v>
      </c>
      <c r="B69" s="21" t="str">
        <f>Assumptions!B68</f>
        <v>0</v>
      </c>
      <c r="C69" s="21">
        <f>B70</f>
        <v>-447923</v>
      </c>
      <c r="D69" s="21">
        <f>C70</f>
        <v>-134526</v>
      </c>
      <c r="E69" s="21">
        <f>D70</f>
        <v>1138010</v>
      </c>
      <c r="F69" s="21">
        <f>E70</f>
        <v>3151503</v>
      </c>
    </row>
    <row r="70" spans="1:6" x14ac:dyDescent="0.25">
      <c r="A70" s="26" t="s">
        <v>190</v>
      </c>
      <c r="B70" s="30">
        <f>B69+B61</f>
        <v>-447923</v>
      </c>
      <c r="C70" s="30">
        <f>C69+C61</f>
        <v>-134526</v>
      </c>
      <c r="D70" s="30">
        <f>D69+D61</f>
        <v>1138010</v>
      </c>
      <c r="E70" s="30">
        <f>E69+E61</f>
        <v>3151503</v>
      </c>
      <c r="F70" s="30">
        <f>F69+F61</f>
        <v>5479436</v>
      </c>
    </row>
    <row r="71" spans="1:6" x14ac:dyDescent="0.25">
      <c r="A71" s="13" t="s">
        <v>191</v>
      </c>
      <c r="B71" s="36">
        <f>IF(B59=0,"",B70/B59*365)</f>
        <v>-94</v>
      </c>
      <c r="C71" s="36">
        <f>IF(C59=0,"",C70/C59*365)</f>
        <v>-22</v>
      </c>
      <c r="D71" s="36">
        <f>IF(D59=0,"",D70/D59*365)</f>
        <v>165</v>
      </c>
      <c r="E71" s="36">
        <f>IF(E59=0,"",E70/E59*365)</f>
        <v>419</v>
      </c>
      <c r="F71" s="36">
        <f>IF(F59=0,"",F70/F59*365)</f>
        <v>700</v>
      </c>
    </row>
    <row r="72" spans="1:6" x14ac:dyDescent="0.25">
      <c r="A72" s="13" t="s">
        <v>192</v>
      </c>
      <c r="B72" s="37">
        <f>IF(B59=0,"",B70/(B59/12))</f>
        <v>-3.1</v>
      </c>
      <c r="C72" s="37">
        <f>IF(C59=0,"",C70/(C59/12))</f>
        <v>-0.7</v>
      </c>
      <c r="D72" s="37">
        <f>IF(D59=0,"",D70/(D59/12))</f>
        <v>5.4</v>
      </c>
      <c r="E72" s="37">
        <f>IF(E59=0,"",E70/(E59/12))</f>
        <v>13.8</v>
      </c>
      <c r="F72" s="37">
        <f>IF(F59=0,"",F70/(F59/12))</f>
        <v>23</v>
      </c>
    </row>
    <row r="73" spans="1:6" x14ac:dyDescent="0.25">
      <c r="A73" s="13" t="s">
        <v>193</v>
      </c>
      <c r="B73" s="34">
        <f>IF(Assumptions!B12=0,"",B3/Assumptions!B12)</f>
        <v>0.3</v>
      </c>
      <c r="C73" s="34">
        <f>IF(Assumptions!B12=0,"",C3/Assumptions!B12)</f>
        <v>0.5</v>
      </c>
      <c r="D73" s="34">
        <f>IF(Assumptions!B12=0,"",D3/Assumptions!B12)</f>
        <v>0.75</v>
      </c>
      <c r="E73" s="34">
        <f>IF(Assumptions!B12=0,"",E3/Assumptions!B12)</f>
        <v>0.94</v>
      </c>
      <c r="F73" s="34">
        <f>IF(Assumptions!B12=0,"",F3/Assumptions!B12)</f>
        <v>1</v>
      </c>
    </row>
    <row r="75" ht="24" customHeight="1" spans="1:6" x14ac:dyDescent="0.25">
      <c r="A75" s="12" t="s">
        <v>194</v>
      </c>
      <c r="B75" s="12"/>
      <c r="C75" s="12"/>
      <c r="D75" s="12"/>
      <c r="E75" s="12"/>
      <c r="F75" s="12"/>
    </row>
    <row r="76" spans="1:6" x14ac:dyDescent="0.25">
      <c r="A76" s="13" t="s">
        <v>195</v>
      </c>
      <c r="B76" s="13" t="str">
        <f>IF(B67=0,"N/A",IF(B68&gt;=1.2,"PASS","FAIL"))</f>
        <v>FAIL</v>
      </c>
      <c r="C76" s="13" t="str">
        <f>IF(C67=0,"N/A",IF(C68&gt;=1.2,"PASS","FAIL"))</f>
        <v>PASS</v>
      </c>
      <c r="D76" s="13" t="str">
        <f>IF(D67=0,"N/A",IF(D68&gt;=1.2,"PASS","FAIL"))</f>
        <v>PASS</v>
      </c>
      <c r="E76" s="13" t="str">
        <f>IF(E67=0,"N/A",IF(E68&gt;=1.2,"PASS","FAIL"))</f>
        <v>PASS</v>
      </c>
      <c r="F76" s="13" t="str">
        <f>IF(F67=0,"N/A",IF(F68&gt;=1.2,"PASS","FAIL"))</f>
        <v>PASS</v>
      </c>
    </row>
    <row r="77" spans="1:6" x14ac:dyDescent="0.25">
      <c r="A77" s="13" t="s">
        <v>196</v>
      </c>
      <c r="B77" s="13" t="str">
        <f>IF(B61&gt;0,"PASS","FAIL")</f>
        <v>FAIL</v>
      </c>
      <c r="C77" s="13" t="str">
        <f>IF(C61&gt;0,"PASS","FAIL")</f>
        <v>PASS</v>
      </c>
      <c r="D77" s="13" t="str">
        <f>IF(D61&gt;0,"PASS","FAIL")</f>
        <v>PASS</v>
      </c>
      <c r="E77" s="13" t="str">
        <f>IF(E61&gt;0,"PASS","FAIL")</f>
        <v>PASS</v>
      </c>
      <c r="F77" s="13" t="str">
        <f>IF(F61&gt;0,"PASS","FAIL")</f>
        <v>PASS</v>
      </c>
    </row>
    <row r="78" spans="1:6" x14ac:dyDescent="0.25">
      <c r="A78" s="13" t="s">
        <v>197</v>
      </c>
      <c r="B78" s="13" t="str">
        <f>IF(Assumptions!B12=0,"N/A",IF(B3/Assumptions!B12&gt;=0.7,"PASS","FAIL"))</f>
        <v>FAIL</v>
      </c>
      <c r="C78" s="13" t="str">
        <f>IF(Assumptions!B12=0,"N/A",IF(C3/Assumptions!B12&gt;=0.7,"PASS","FAIL"))</f>
        <v>FAIL</v>
      </c>
      <c r="D78" s="13" t="str">
        <f>IF(Assumptions!B12=0,"N/A",IF(D3/Assumptions!B12&gt;=0.7,"PASS","FAIL"))</f>
        <v>PASS</v>
      </c>
      <c r="E78" s="13" t="str">
        <f>IF(Assumptions!B12=0,"N/A",IF(E3/Assumptions!B12&gt;=0.7,"PASS","FAIL"))</f>
        <v>PASS</v>
      </c>
      <c r="F78" s="13" t="str">
        <f>IF(Assumptions!B12=0,"N/A",IF(F3/Assumptions!B12&gt;=0.7,"PASS","FAIL"))</f>
        <v>PASS</v>
      </c>
    </row>
    <row r="79" spans="1:6" x14ac:dyDescent="0.25">
      <c r="A79" s="13" t="s">
        <v>198</v>
      </c>
      <c r="B79" s="13" t="str">
        <f>IF(B59=0,"N/A",IF(B70/(B59/12)&gt;=2,"PASS","FAIL"))</f>
        <v>FAIL</v>
      </c>
      <c r="C79" s="13" t="str">
        <f>IF(C59=0,"N/A",IF(C70/(C59/12)&gt;=2,"PASS","FAIL"))</f>
        <v>FAIL</v>
      </c>
      <c r="D79" s="13" t="str">
        <f>IF(D59=0,"N/A",IF(D70/(D59/12)&gt;=2,"PASS","FAIL"))</f>
        <v>PASS</v>
      </c>
      <c r="E79" s="13" t="str">
        <f>IF(E59=0,"N/A",IF(E70/(E59/12)&gt;=2,"PASS","FAIL"))</f>
        <v>PASS</v>
      </c>
      <c r="F79" s="13" t="str">
        <f>IF(F59=0,"N/A",IF(F70/(F59/12)&gt;=2,"PASS","FAIL"))</f>
        <v>PASS</v>
      </c>
    </row>
    <row r="81" ht="24" customHeight="1" spans="1:6" x14ac:dyDescent="0.25">
      <c r="A81" s="12" t="s">
        <v>199</v>
      </c>
      <c r="B81" s="12"/>
      <c r="C81" s="12"/>
      <c r="D81" s="12"/>
      <c r="E81" s="12"/>
      <c r="F81" s="12"/>
    </row>
    <row r="82" spans="1:6" x14ac:dyDescent="0.25">
      <c r="A82" s="13" t="s">
        <v>200</v>
      </c>
      <c r="B82" s="21">
        <f>IF(B3=0,"",B12/B3)</f>
        <v>10736</v>
      </c>
      <c r="C82" s="21">
        <f>IF(C3=0,"",C12/C3)</f>
        <v>12614</v>
      </c>
      <c r="D82" s="21">
        <f>IF(D3=0,"",D12/D3)</f>
        <v>12615</v>
      </c>
      <c r="E82" s="21">
        <f>IF(E3=0,"",E12/E3)</f>
        <v>12691</v>
      </c>
      <c r="F82" s="21">
        <f>IF(F3=0,"",F12/F3)</f>
        <v>12961</v>
      </c>
    </row>
    <row r="83" spans="1:6" x14ac:dyDescent="0.25">
      <c r="A83" s="13" t="s">
        <v>201</v>
      </c>
      <c r="B83" s="21">
        <f>IF(B3=0,"",B59/B3)</f>
        <v>14469</v>
      </c>
      <c r="C83" s="21">
        <f>IF(C3=0,"",C59/C3)</f>
        <v>11047</v>
      </c>
      <c r="D83" s="21">
        <f>IF(D3=0,"",D59/D3)</f>
        <v>8374</v>
      </c>
      <c r="E83" s="21">
        <f>IF(E3=0,"",E59/E3)</f>
        <v>7322</v>
      </c>
      <c r="F83" s="21">
        <f>IF(F3=0,"",F59/F3)</f>
        <v>7141</v>
      </c>
    </row>
    <row r="84" spans="1:6" x14ac:dyDescent="0.25">
      <c r="A84" s="13" t="s">
        <v>202</v>
      </c>
      <c r="B84" s="21">
        <f>B56+B58</f>
        <v>1191256</v>
      </c>
      <c r="C84" s="21">
        <f>C56+C58</f>
        <v>1321543</v>
      </c>
      <c r="D84" s="21">
        <f>D56+D58</f>
        <v>1321543</v>
      </c>
      <c r="E84" s="21">
        <f>E56+E58</f>
        <v>1306543</v>
      </c>
      <c r="F84" s="21">
        <f>F56+F58</f>
        <v>1301543</v>
      </c>
    </row>
    <row r="85" spans="1:6" x14ac:dyDescent="0.25">
      <c r="A85" s="13" t="s">
        <v>203</v>
      </c>
      <c r="B85" s="21">
        <f>IF(B3=0,"",B57/B3)</f>
        <v>4542</v>
      </c>
      <c r="C85" s="21">
        <f>IF(C3=0,"",C57/C3)</f>
        <v>4439</v>
      </c>
      <c r="D85" s="21">
        <f>IF(D3=0,"",D57/D3)</f>
        <v>3968</v>
      </c>
      <c r="E85" s="21">
        <f>IF(E3=0,"",E57/E3)</f>
        <v>3838</v>
      </c>
      <c r="F85" s="21">
        <f>IF(F3=0,"",F57/F3)</f>
        <v>3887</v>
      </c>
    </row>
    <row r="86" spans="1:6" x14ac:dyDescent="0.25">
      <c r="A86" s="13" t="s">
        <v>204</v>
      </c>
      <c r="B86" s="21">
        <f>IF(B3=0,"",B82-B85)</f>
        <v>6194</v>
      </c>
      <c r="C86" s="21">
        <f>IF(C3=0,"",C82-C85)</f>
        <v>8175</v>
      </c>
      <c r="D86" s="21">
        <f>IF(D3=0,"",D82-D85)</f>
        <v>8647</v>
      </c>
      <c r="E86" s="21">
        <f>IF(E3=0,"",E82-E85)</f>
        <v>8853</v>
      </c>
      <c r="F86" s="21">
        <f>IF(F3=0,"",F82-F85)</f>
        <v>9074</v>
      </c>
    </row>
    <row r="87" spans="1:6" x14ac:dyDescent="0.25">
      <c r="A87" s="38" t="s">
        <v>205</v>
      </c>
      <c r="B87" s="39">
        <f>IF(B86&lt;=0,"N/A",ROUNDUP(B84/B86,0))</f>
        <v>193</v>
      </c>
      <c r="C87" s="39">
        <f>IF(C86&lt;=0,"N/A",ROUNDUP(C84/C86,0))</f>
        <v>162</v>
      </c>
      <c r="D87" s="39">
        <f>IF(D86&lt;=0,"N/A",ROUNDUP(D84/D86,0))</f>
        <v>153</v>
      </c>
      <c r="E87" s="39">
        <f>IF(E86&lt;=0,"N/A",ROUNDUP(E84/E86,0))</f>
        <v>148</v>
      </c>
      <c r="F87" s="39">
        <f>IF(F86&lt;=0,"N/A",ROUNDUP(F84/F86,0))</f>
        <v>144</v>
      </c>
    </row>
    <row r="89" spans="1:6" x14ac:dyDescent="0.25">
      <c r="A89" s="24" t="s">
        <v>144</v>
      </c>
      <c r="B89" s="24"/>
      <c r="C89" s="24"/>
      <c r="D89" s="24"/>
      <c r="E89" s="24"/>
      <c r="F89" s="24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207</v>
      </c>
      <c r="D2" s="25" t="s">
        <v>208</v>
      </c>
      <c r="E2" s="25" t="s">
        <v>209</v>
      </c>
      <c r="F2" s="25" t="s">
        <v>210</v>
      </c>
      <c r="G2" s="25" t="s">
        <v>211</v>
      </c>
      <c r="H2" s="25" t="s">
        <v>212</v>
      </c>
      <c r="I2" s="25" t="s">
        <v>213</v>
      </c>
      <c r="J2" s="25" t="s">
        <v>214</v>
      </c>
      <c r="K2" s="25" t="s">
        <v>215</v>
      </c>
      <c r="L2" s="25" t="s">
        <v>216</v>
      </c>
      <c r="M2" s="25" t="s">
        <v>217</v>
      </c>
      <c r="N2" s="25" t="s">
        <v>218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219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220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221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222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223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224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225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226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227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228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229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230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231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232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233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234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235</v>
      </c>
      <c r="B55" s="30">
        <f>M51</f>
        <v>-190250</v>
      </c>
    </row>
    <row r="56" spans="1:2" x14ac:dyDescent="0.25">
      <c r="A56" s="13" t="s">
        <v>236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237</v>
      </c>
      <c r="C2" s="1"/>
      <c r="D2" s="1"/>
      <c r="E2" s="1"/>
      <c r="F2" s="1"/>
      <c r="G2" s="1"/>
    </row>
    <row r="3" spans="2:7" x14ac:dyDescent="0.25">
      <c r="B3" s="40" t="s">
        <v>238</v>
      </c>
      <c r="C3" s="40"/>
      <c r="D3" s="40"/>
      <c r="E3" s="40"/>
      <c r="F3" s="40"/>
      <c r="G3" s="40"/>
    </row>
    <row r="5" ht="24" customHeight="1" spans="2:7" x14ac:dyDescent="0.25">
      <c r="B5" s="12" t="s">
        <v>239</v>
      </c>
      <c r="C5" s="16" t="s">
        <v>240</v>
      </c>
      <c r="D5" s="16" t="s">
        <v>241</v>
      </c>
      <c r="E5" s="16" t="s">
        <v>242</v>
      </c>
      <c r="F5" s="16" t="s">
        <v>243</v>
      </c>
      <c r="G5" s="16" t="s">
        <v>244</v>
      </c>
    </row>
    <row r="6" spans="2:7" x14ac:dyDescent="0.25">
      <c r="B6" s="13" t="s">
        <v>245</v>
      </c>
      <c r="C6" s="41">
        <v>120</v>
      </c>
      <c r="D6" s="41">
        <v>200</v>
      </c>
      <c r="E6" s="41">
        <v>300</v>
      </c>
      <c r="F6" s="41">
        <v>375</v>
      </c>
      <c r="G6" s="41">
        <v>400</v>
      </c>
    </row>
    <row r="7" spans="2:7" x14ac:dyDescent="0.25">
      <c r="B7" s="13" t="s">
        <v>246</v>
      </c>
      <c r="C7" s="42">
        <v>1546000</v>
      </c>
      <c r="D7" s="42">
        <v>2522800</v>
      </c>
      <c r="E7" s="42">
        <v>3784600</v>
      </c>
      <c r="F7" s="42">
        <v>4759125</v>
      </c>
      <c r="G7" s="42">
        <v>5184400</v>
      </c>
    </row>
    <row r="8" spans="2:7" x14ac:dyDescent="0.25">
      <c r="B8" s="13" t="s">
        <v>247</v>
      </c>
      <c r="C8" s="42">
        <v>1026431.25</v>
      </c>
      <c r="D8" s="42">
        <v>1231717.5</v>
      </c>
      <c r="E8" s="42">
        <v>1231717.5</v>
      </c>
      <c r="F8" s="42">
        <v>1231717.5</v>
      </c>
      <c r="G8" s="42">
        <v>1231717.5</v>
      </c>
    </row>
    <row r="9" spans="2:7" x14ac:dyDescent="0.25">
      <c r="B9" s="13" t="s">
        <v>248</v>
      </c>
      <c r="C9" s="42">
        <v>654000</v>
      </c>
      <c r="D9" s="42">
        <v>887860</v>
      </c>
      <c r="E9" s="42">
        <v>1190521.4</v>
      </c>
      <c r="F9" s="42">
        <v>1439089.0320000001</v>
      </c>
      <c r="G9" s="42">
        <v>1554923.90296</v>
      </c>
    </row>
    <row r="10" spans="2:7" x14ac:dyDescent="0.25">
      <c r="B10" s="13" t="s">
        <v>188</v>
      </c>
      <c r="C10" s="42">
        <v>49824.605221179416</v>
      </c>
      <c r="D10" s="42">
        <v>49824.605221179416</v>
      </c>
      <c r="E10" s="42">
        <v>49824.605221179416</v>
      </c>
      <c r="F10" s="42">
        <v>49824.605221179416</v>
      </c>
      <c r="G10" s="42">
        <v>49824.605221179416</v>
      </c>
    </row>
    <row r="11" spans="2:7" x14ac:dyDescent="0.25">
      <c r="B11" s="26" t="s">
        <v>183</v>
      </c>
      <c r="C11" s="43">
        <v>-184255.85522117943</v>
      </c>
      <c r="D11" s="44">
        <v>353397.89477882057</v>
      </c>
      <c r="E11" s="44">
        <v>1312536.4947788208</v>
      </c>
      <c r="F11" s="44">
        <v>2038493.8627788206</v>
      </c>
      <c r="G11" s="44">
        <v>2347933.9918188206</v>
      </c>
    </row>
    <row r="12" spans="2:7" x14ac:dyDescent="0.25">
      <c r="B12" s="26" t="s">
        <v>190</v>
      </c>
      <c r="C12" s="43">
        <v>-184255.85522117943</v>
      </c>
      <c r="D12" s="44">
        <v>169142.03955764114</v>
      </c>
      <c r="E12" s="44">
        <v>1481678.534336462</v>
      </c>
      <c r="F12" s="44">
        <v>3520172.3971152827</v>
      </c>
      <c r="G12" s="44">
        <v>5868106.388934104</v>
      </c>
    </row>
    <row r="13" spans="2:7" x14ac:dyDescent="0.25">
      <c r="B13" s="26" t="s">
        <v>249</v>
      </c>
      <c r="C13" s="45">
        <v>-0.11918231256221179</v>
      </c>
      <c r="D13" s="46">
        <v>0.14008161359553692</v>
      </c>
      <c r="E13" s="46">
        <v>0.34680983321323805</v>
      </c>
      <c r="F13" s="46">
        <v>0.4283337510107048</v>
      </c>
      <c r="G13" s="46">
        <v>0.4528844209202262</v>
      </c>
    </row>
    <row r="14" spans="2:7" x14ac:dyDescent="0.25">
      <c r="B14" s="26" t="s">
        <v>250</v>
      </c>
      <c r="C14" s="42">
        <v>12883.333333333334</v>
      </c>
      <c r="D14" s="42">
        <v>12614</v>
      </c>
      <c r="E14" s="42">
        <v>12615.333333333334</v>
      </c>
      <c r="F14" s="42">
        <v>12691</v>
      </c>
      <c r="G14" s="42">
        <v>12961</v>
      </c>
    </row>
    <row r="15" spans="2:7" x14ac:dyDescent="0.25">
      <c r="B15" s="26" t="s">
        <v>251</v>
      </c>
      <c r="C15" s="45">
        <v>0.6639270698576973</v>
      </c>
      <c r="D15" s="46">
        <v>0.48823430315522437</v>
      </c>
      <c r="E15" s="46">
        <v>0.3254551339639592</v>
      </c>
      <c r="F15" s="46">
        <v>0.25881175636277676</v>
      </c>
      <c r="G15" s="46">
        <v>0.23758149448345034</v>
      </c>
    </row>
    <row r="16" spans="2:7" x14ac:dyDescent="0.25">
      <c r="B16" s="26" t="s">
        <v>252</v>
      </c>
      <c r="C16" s="46">
        <v>0.12690815006468306</v>
      </c>
      <c r="D16" s="46">
        <v>0.10558030759473601</v>
      </c>
      <c r="E16" s="46">
        <v>0.09437098240236748</v>
      </c>
      <c r="F16" s="46">
        <v>0.09071556422661729</v>
      </c>
      <c r="G16" s="46">
        <v>0.08997707948615076</v>
      </c>
    </row>
    <row r="17" spans="2:7" x14ac:dyDescent="0.25">
      <c r="B17" s="26" t="s">
        <v>253</v>
      </c>
      <c r="C17" s="45">
        <v>-0.08695423673997413</v>
      </c>
      <c r="D17" s="46">
        <v>0.15983133819565562</v>
      </c>
      <c r="E17" s="46">
        <v>0.35997492469481585</v>
      </c>
      <c r="F17" s="46">
        <v>0.4388030295484989</v>
      </c>
      <c r="G17" s="46">
        <v>0.4624949072293804</v>
      </c>
    </row>
    <row r="18" spans="2:7" x14ac:dyDescent="0.25">
      <c r="B18" s="26" t="s">
        <v>254</v>
      </c>
      <c r="C18" s="47">
        <v>-2.698089616630942</v>
      </c>
      <c r="D18" s="48">
        <v>8.092838833544805</v>
      </c>
      <c r="E18" s="48">
        <v>27.34313887590801</v>
      </c>
      <c r="F18" s="48">
        <v>41.91339718056208</v>
      </c>
      <c r="G18" s="48">
        <v>48.12398585791026</v>
      </c>
    </row>
    <row r="19" spans="2:7" x14ac:dyDescent="0.25">
      <c r="B19" s="26" t="s">
        <v>255</v>
      </c>
      <c r="C19" s="49" t="s">
        <v>241</v>
      </c>
      <c r="D19" s="49"/>
      <c r="E19" s="49"/>
      <c r="F19" s="49"/>
      <c r="G19" s="49"/>
    </row>
    <row r="20" spans="2:7" x14ac:dyDescent="0.25">
      <c r="B20" s="26" t="s">
        <v>256</v>
      </c>
      <c r="C20" s="50" t="s">
        <v>257</v>
      </c>
      <c r="D20" s="50"/>
      <c r="E20" s="50"/>
      <c r="F20" s="50"/>
      <c r="G20" s="50"/>
    </row>
    <row r="22" ht="24" customHeight="1" spans="2:7" x14ac:dyDescent="0.25">
      <c r="B22" s="12" t="s">
        <v>258</v>
      </c>
      <c r="C22" s="12" t="s">
        <v>259</v>
      </c>
      <c r="D22" s="12" t="s">
        <v>260</v>
      </c>
      <c r="E22" s="12"/>
      <c r="F22" s="12" t="s">
        <v>261</v>
      </c>
      <c r="G22" s="12"/>
    </row>
    <row r="23" ht="45" customHeight="1" spans="2:7" x14ac:dyDescent="0.25">
      <c r="B23" s="51" t="s">
        <v>262</v>
      </c>
      <c r="C23" s="52" t="s">
        <v>263</v>
      </c>
      <c r="D23" s="53" t="s">
        <v>264</v>
      </c>
      <c r="E23" s="53"/>
      <c r="F23" s="54" t="s">
        <v>265</v>
      </c>
      <c r="G23" s="54"/>
    </row>
    <row r="24" ht="45" customHeight="1" spans="2:7" x14ac:dyDescent="0.25">
      <c r="B24" s="51" t="s">
        <v>266</v>
      </c>
      <c r="C24" s="55" t="s">
        <v>267</v>
      </c>
      <c r="D24" s="53" t="s">
        <v>268</v>
      </c>
      <c r="E24" s="53"/>
      <c r="F24" s="54" t="s">
        <v>269</v>
      </c>
      <c r="G24" s="54"/>
    </row>
    <row r="25" ht="45" customHeight="1" spans="2:7" x14ac:dyDescent="0.25">
      <c r="B25" s="51" t="s">
        <v>270</v>
      </c>
      <c r="C25" s="52" t="s">
        <v>263</v>
      </c>
      <c r="D25" s="53" t="s">
        <v>271</v>
      </c>
      <c r="E25" s="53"/>
      <c r="F25" s="54" t="s">
        <v>272</v>
      </c>
      <c r="G25" s="54"/>
    </row>
    <row r="26" ht="45" customHeight="1" spans="2:7" x14ac:dyDescent="0.25">
      <c r="B26" s="51" t="s">
        <v>273</v>
      </c>
      <c r="C26" s="52" t="s">
        <v>263</v>
      </c>
      <c r="D26" s="53" t="s">
        <v>274</v>
      </c>
      <c r="E26" s="53"/>
      <c r="F26" s="54" t="s">
        <v>275</v>
      </c>
      <c r="G26" s="54"/>
    </row>
    <row r="27" ht="45" customHeight="1" spans="2:7" x14ac:dyDescent="0.25">
      <c r="B27" s="51" t="s">
        <v>276</v>
      </c>
      <c r="C27" s="52" t="s">
        <v>263</v>
      </c>
      <c r="D27" s="53" t="s">
        <v>277</v>
      </c>
      <c r="E27" s="53"/>
      <c r="F27" s="54" t="s">
        <v>278</v>
      </c>
      <c r="G27" s="54"/>
    </row>
    <row r="28" ht="45" customHeight="1" spans="2:7" x14ac:dyDescent="0.25">
      <c r="B28" s="51" t="s">
        <v>279</v>
      </c>
      <c r="C28" s="52" t="s">
        <v>263</v>
      </c>
      <c r="D28" s="53" t="s">
        <v>280</v>
      </c>
      <c r="E28" s="53"/>
      <c r="F28" s="54" t="s">
        <v>281</v>
      </c>
      <c r="G28" s="54"/>
    </row>
    <row r="29" ht="45" customHeight="1" spans="2:7" x14ac:dyDescent="0.25">
      <c r="B29" s="51" t="s">
        <v>282</v>
      </c>
      <c r="C29" s="52" t="s">
        <v>263</v>
      </c>
      <c r="D29" s="53" t="s">
        <v>283</v>
      </c>
      <c r="E29" s="53"/>
      <c r="F29" s="54" t="s">
        <v>284</v>
      </c>
      <c r="G29" s="54"/>
    </row>
    <row r="31" spans="2:5" x14ac:dyDescent="0.25">
      <c r="B31" s="51" t="s">
        <v>285</v>
      </c>
      <c r="C31" s="26" t="s">
        <v>286</v>
      </c>
      <c r="D31" s="26"/>
      <c r="E31" s="26"/>
    </row>
    <row r="33" spans="2:7" x14ac:dyDescent="0.25">
      <c r="B33" s="56" t="s">
        <v>144</v>
      </c>
      <c r="C33" s="56"/>
      <c r="D33" s="56"/>
      <c r="E33" s="56"/>
      <c r="F33" s="56"/>
      <c r="G33" s="56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