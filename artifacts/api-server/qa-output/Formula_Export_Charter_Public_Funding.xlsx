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'Assumptions'!$A1:$J70</definedName>
    <definedName name="_xlnm.Print_Titles" localSheetId="1">'Assumptions'!$1:$3</definedName>
    <definedName name="_xlnm.Print_Area" localSheetId="2">'5-Year Model'!$A1:$F90</definedName>
    <definedName name="_xlnm.Print_Titles" localSheetId="2">'5-Year Model'!$1:$2</definedName>
    <definedName name="_xlnm.Print_Area" localSheetId="3">'Year 1 Pro Forma'!$A1:$N58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<sst xmlns="http://schemas.openxmlformats.org/spreadsheetml/2006/main" count="474" uniqueCount="300">
  <si>
    <t>How to Use This Workbook</t>
  </si>
  <si>
    <t>Civic Scholars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</si>
  <si>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</si>
  <si>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</si>
  <si>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</si>
  <si>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</si>
  <si>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</si>
  <si>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</si>
  <si>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</si>
  <si>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</si>
  <si>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</si>
  <si>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</si>
  <si>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</si>
  <si>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</si>
  <si>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</si>
  <si>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</si>
  <si>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</si>
  <si>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</si>
  <si>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</si>
  <si>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</si>
  <si>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</si>
  <si>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</si>
  <si>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</si>
  <si>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</si>
  <si>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</si>
  <si>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</si>
  <si>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</si>
  <si>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</si>
  <si>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</si>
  <si>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</si>
  <si>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Civic Scholars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</si>
  <si>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</si>
  <si>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</si>
  <si>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</si>
  <si>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</si>
  <si>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</si>
  <si>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</si>
  <si>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</si>
  <si>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</si>
  <si>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</si>
  <si>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</si>
  <si>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</si>
  <si>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</si>
  <si>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</si>
  <si>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</si>
  <si>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</si>
  <si>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</si>
  <si>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</si>
  <si>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</si>
  <si>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</si>
  <si>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</si>
  <si>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</si>
  <si>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</si>
  <si>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</si>
  <si>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</si>
  <si>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</si>
  <si>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</si>
  <si>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</si>
  <si>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</si>
  <si>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</si>
  <si>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</si>
  <si>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</si>
  <si>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</si>
  <si>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</si>
  <si>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</si>
  <si>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</si>
  <si>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</si>
  <si>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</si>
  <si>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</si>
  <si>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</si>
  <si>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</si>
  <si>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</si>
  <si>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</si>
  <si>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</si>
  <si>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</si>
  <si>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</si>
  <si>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</si>
  <si>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</si>
  <si>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</si>
  <si>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</si>
  <si>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</si>
  <si>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</si>
  <si>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</si>
  <si>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</si>
  <si>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</si>
  <si>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</si>
  <si>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</si>
  <si>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</si>
  <si>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</si>
  <si>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</si>
  <si>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</si>
  <si>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</si>
  <si>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</si>
  <si>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</si>
  <si>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</si>
  <si>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</si>
  <si>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</si>
  <si>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</si>
  <si>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</si>
  <si>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</si>
  <si>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</si>
  <si>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</si>
  <si>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</si>
  <si>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</si>
  <si>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</si>
  <si>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</si>
  <si>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</si>
  <si>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</si>
  <si>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</si>
  <si>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</si>
  <si>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</si>
  <si>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</si>
  <si>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</si>
  <si>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</si>
  <si>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</si>
  <si>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</si>
  <si>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</si>
  <si>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</si>
  <si>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</si>
  <si>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</si>
  <si>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</si>
  <si>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</si>
  <si>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</si>
  <si>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</si>
  <si>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</si>
  <si>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</si>
  <si>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</si>
  <si>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</si>
  <si>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</si>
  <si>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</si>
  <si>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</si>
  <si>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</si>
  <si>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</si>
  <si>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</si>
  <si>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</si>
  <si>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</si>
  <si>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</si>
  <si>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</si>
  <si>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</si>
  <si>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</si>
  <si>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</si>
  <si>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</si>
  <si>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</si>
  <si>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</si>
  <si>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</si>
  <si>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- 5-Year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</si>
  <si>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</si>
  <si>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</si>
  <si>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</si>
  <si>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</si>
  <si>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</si>
  <si>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</si>
  <si>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</si>
  <si>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</si>
  <si>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</si>
  <si>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</si>
  <si>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</si>
  <si>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</si>
  <si>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</si>
  <si>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</si>
  <si>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</si>
  <si>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</si>
  <si>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</si>
  <si>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</si>
  <si>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</si>
  <si>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</si>
  <si>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</si>
  <si>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</si>
  <si>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</si>
  <si>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</si>
  <si>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</si>
  <si>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</si>
  <si>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</si>
  <si>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</si>
  <si>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</si>
  <si>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</si>
  <si>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</si>
  <si>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</si>
  <si>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</si>
  <si>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</si>
  <si>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</si>
  <si>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</si>
  <si>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</si>
  <si>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</si>
  <si>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</si>
  <si>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</si>
  <si>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</si>
  <si>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</si>
  <si>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</si>
  <si>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</si>
  <si>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</si>
  <si>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</si>
  <si>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</si>
  <si>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</si>
  <si>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</si>
  <si>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</si>
  <si>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</si>
  <si>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</si>
  <si>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</si>
  <si>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</si>
  <si>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</si>
  <si>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</si>
  <si>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</si>
  <si>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</si>
  <si>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</si>
  <si>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</si>
  <si>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</si>
  <si>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</si>
  <si>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</si>
  <si>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</si>
  <si>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</si>
  <si>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</si>
  <si>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</si>
  <si>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</si>
  <si>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</si>
  <si>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</si>
  <si>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</si>
  <si>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</si>
  <si>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</si>
  <si>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</si>
  <si>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</si>
  <si>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</si>
  <si>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</si>
  <si>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</si>
  <si>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</si>
  <si>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</si>
  <si>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</si>
  <si>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</si>
  <si>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</si>
  <si>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</si>
  <si>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</si>
  <si>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</si>
  <si>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</si>
  <si>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</si>
  <si>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</si>
  <si>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</si>
  <si>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</si>
  <si>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</si>
  <si>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</si>
  <si>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</si>
  <si>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</si>
  <si>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</si>
  <si>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</si>
  <si>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</si>
  <si>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</si>
  <si>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</si>
  <si>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</si>
  <si>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</si>
  <si>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</si>
  <si>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</si>
  <si>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</si>
  <si>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</si>
  <si>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</si>
  <si>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</si>
  <si>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</si>
  <si>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</si>
  <si>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</si>
  <si>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</si>
  <si>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</si>
  <si>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</si>
  <si>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</si>
  <si>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</si>
  <si>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</si>
  <si>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</si>
  <si>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</si>
  <si>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</si>
  <si>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</si>
  <si>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</si>
  <si>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</si>
  <si>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</si>
  <si>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</si>
  <si>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</si>
  <si>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</si>
  <si>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</si>
  <si>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</si>
  <si>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</si>
  <si>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</si>
  <si>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</si>
  <si>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</si>
  <si>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</si>
  <si>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</si>
  <si>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</si>
  <si>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</si>
  <si>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</si>
  <si>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</si>
  <si>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</si>
  <si>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</si>
  <si>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</si>
  <si>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</si>
  <si>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</si>
  <si>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</si>
  <si>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</si>
  <si>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</si>
  <si>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</si>
  <si>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</si>
  <si>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</si>
  <si>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24.8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</si>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</sst>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0" fontId="0" fillId="0" borderId="2" xfId="0" applyBorder="1" applyAlignment="1">
      <alignment horizontal="center"/>
    </xf>
    <xf numFmtId="0" fontId="15" fillId="0" borderId="2" xfId="0" applyFont="1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6" fillId="0" borderId="0" xfId="0" applyFont="1"/>
    <xf numFmtId="0" fontId="15" fillId="0" borderId="0" xfId="0" applyFont="1"/>
    <xf numFmtId="0" fontId="17" fillId="0" borderId="0" xfId="0" applyFont="1"/>
    <xf numFmtId="0" fontId="14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6" fontId="12" fillId="8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164" fontId="12" fillId="8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&amp;L&amp;10&amp;BCivic Scholars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400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375</v>
      </c>
      <c r="F17" s="17">
        <v>400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9500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800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1200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100000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30000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300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110000</v>
      </c>
      <c r="F29" s="19">
        <v>0.28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90000</v>
      </c>
      <c r="F30" s="19">
        <v>0.28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88</v>
      </c>
      <c r="C31" s="13" t="s">
        <v>89</v>
      </c>
      <c r="D31" s="20">
        <v>1</v>
      </c>
      <c r="E31" s="18">
        <v>72000</v>
      </c>
      <c r="F31" s="19">
        <v>0.28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93</v>
      </c>
      <c r="B32" s="13" t="s">
        <v>94</v>
      </c>
      <c r="C32" s="13" t="s">
        <v>89</v>
      </c>
      <c r="D32" s="20">
        <v>6</v>
      </c>
      <c r="E32" s="18">
        <v>52000</v>
      </c>
      <c r="F32" s="19">
        <v>0.28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94</v>
      </c>
      <c r="C33" s="13" t="s">
        <v>89</v>
      </c>
      <c r="D33" s="20">
        <v>1</v>
      </c>
      <c r="E33" s="18">
        <v>55000</v>
      </c>
      <c r="F33" s="19">
        <v>0.28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94</v>
      </c>
      <c r="C34" s="13" t="s">
        <v>89</v>
      </c>
      <c r="D34" s="20">
        <v>3</v>
      </c>
      <c r="E34" s="18">
        <v>30000</v>
      </c>
      <c r="F34" s="19">
        <v>0.2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97</v>
      </c>
      <c r="B35" s="13" t="s">
        <v>98</v>
      </c>
      <c r="C35" s="13" t="s">
        <v>89</v>
      </c>
      <c r="D35" s="20">
        <v>1</v>
      </c>
      <c r="E35" s="18">
        <v>55000</v>
      </c>
      <c r="F35" s="19">
        <v>0.28</v>
      </c>
      <c r="G35" s="19">
        <v>0.0765</v>
      </c>
      <c r="H35" s="13" t="s">
        <v>90</v>
      </c>
      <c r="I35" s="13" t="s">
        <v>7</v>
      </c>
    </row>
    <row r="36" spans="1:9" x14ac:dyDescent="0.25">
      <c r="A36" s="13" t="s">
        <v>99</v>
      </c>
      <c r="B36" s="13" t="s">
        <v>100</v>
      </c>
      <c r="C36" s="13" t="s">
        <v>89</v>
      </c>
      <c r="D36" s="20">
        <v>2</v>
      </c>
      <c r="E36" s="18">
        <v>38000</v>
      </c>
      <c r="F36" s="19">
        <v>0.25</v>
      </c>
      <c r="G36" s="19">
        <v>0.0765</v>
      </c>
      <c r="H36" s="13" t="s">
        <v>90</v>
      </c>
      <c r="I36" s="13" t="s">
        <v>7</v>
      </c>
    </row>
    <row r="37" spans="1:9" x14ac:dyDescent="0.25">
      <c r="A37" s="13" t="s">
        <v>101</v>
      </c>
      <c r="B37" s="13" t="s">
        <v>102</v>
      </c>
      <c r="C37" s="13" t="s">
        <v>89</v>
      </c>
      <c r="D37" s="20">
        <v>1</v>
      </c>
      <c r="E37" s="18">
        <v>55000</v>
      </c>
      <c r="F37" s="19">
        <v>0.28</v>
      </c>
      <c r="G37" s="19">
        <v>0.0765</v>
      </c>
      <c r="H37" s="13" t="s">
        <v>90</v>
      </c>
      <c r="I37" s="13" t="s">
        <v>7</v>
      </c>
    </row>
    <row r="39" ht="24" customHeight="1" spans="1:4" x14ac:dyDescent="0.25">
      <c r="A39" s="12" t="s">
        <v>103</v>
      </c>
      <c r="B39" s="12" t="s">
        <v>104</v>
      </c>
      <c r="C39" s="12" t="s">
        <v>105</v>
      </c>
      <c r="D39" s="12"/>
    </row>
    <row r="40" spans="1:2" x14ac:dyDescent="0.25">
      <c r="A40" s="13" t="s">
        <v>106</v>
      </c>
      <c r="B40" s="14" t="s">
        <v>107</v>
      </c>
    </row>
    <row r="41" spans="1:3" x14ac:dyDescent="0.25">
      <c r="A41" s="13" t="s">
        <v>108</v>
      </c>
      <c r="B41" s="18">
        <v>18000</v>
      </c>
      <c r="C41" s="13" t="s">
        <v>109</v>
      </c>
    </row>
    <row r="42" spans="1:2" x14ac:dyDescent="0.25">
      <c r="A42" s="13" t="s">
        <v>110</v>
      </c>
      <c r="B42" s="19">
        <v>0.03</v>
      </c>
    </row>
    <row r="44" ht="24" customHeight="1" spans="1:7" x14ac:dyDescent="0.25">
      <c r="A44" s="12" t="s">
        <v>111</v>
      </c>
      <c r="B44" s="12" t="s">
        <v>60</v>
      </c>
      <c r="C44" s="12" t="s">
        <v>61</v>
      </c>
      <c r="D44" s="12" t="s">
        <v>62</v>
      </c>
      <c r="E44" s="12" t="s">
        <v>63</v>
      </c>
      <c r="F44" s="12" t="s">
        <v>66</v>
      </c>
      <c r="G44" s="12"/>
    </row>
    <row r="45" spans="1:6" x14ac:dyDescent="0.25">
      <c r="A45" s="13" t="s">
        <v>112</v>
      </c>
      <c r="B45" s="13" t="s">
        <v>113</v>
      </c>
      <c r="C45" s="13" t="s">
        <v>109</v>
      </c>
      <c r="D45" s="18">
        <v>18000</v>
      </c>
      <c r="E45" s="19">
        <v>0.03</v>
      </c>
      <c r="F45" s="13" t="s">
        <v>7</v>
      </c>
    </row>
    <row r="46" spans="1:6" x14ac:dyDescent="0.25">
      <c r="A46" s="13" t="s">
        <v>114</v>
      </c>
      <c r="B46" s="13" t="s">
        <v>113</v>
      </c>
      <c r="C46" s="13" t="s">
        <v>109</v>
      </c>
      <c r="D46" s="18">
        <v>2500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113</v>
      </c>
      <c r="C47" s="13" t="s">
        <v>74</v>
      </c>
      <c r="D47" s="18">
        <v>18000</v>
      </c>
      <c r="E47" s="19">
        <v>0</v>
      </c>
      <c r="F47" s="13" t="s">
        <v>7</v>
      </c>
    </row>
    <row r="48" spans="1:6" x14ac:dyDescent="0.25">
      <c r="A48" s="13" t="s">
        <v>116</v>
      </c>
      <c r="B48" s="13" t="s">
        <v>113</v>
      </c>
      <c r="C48" s="13" t="s">
        <v>109</v>
      </c>
      <c r="D48" s="18">
        <v>1500</v>
      </c>
      <c r="E48" s="19">
        <v>0</v>
      </c>
      <c r="F48" s="13" t="s">
        <v>7</v>
      </c>
    </row>
    <row r="49" spans="1:6" x14ac:dyDescent="0.25">
      <c r="A49" s="13" t="s">
        <v>117</v>
      </c>
      <c r="B49" s="13" t="s">
        <v>118</v>
      </c>
      <c r="C49" s="13" t="s">
        <v>69</v>
      </c>
      <c r="D49" s="18">
        <v>700</v>
      </c>
      <c r="E49" s="19">
        <v>0</v>
      </c>
      <c r="F49" s="13" t="s">
        <v>7</v>
      </c>
    </row>
    <row r="50" spans="1:6" x14ac:dyDescent="0.25">
      <c r="A50" s="13" t="s">
        <v>119</v>
      </c>
      <c r="B50" s="13" t="s">
        <v>120</v>
      </c>
      <c r="C50" s="13" t="s">
        <v>69</v>
      </c>
      <c r="D50" s="18">
        <v>500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122</v>
      </c>
      <c r="C51" s="13" t="s">
        <v>74</v>
      </c>
      <c r="D51" s="18">
        <v>25000</v>
      </c>
      <c r="E51" s="19">
        <v>0</v>
      </c>
      <c r="F51" s="13" t="s">
        <v>7</v>
      </c>
    </row>
    <row r="52" spans="1:6" x14ac:dyDescent="0.25">
      <c r="A52" s="13" t="s">
        <v>123</v>
      </c>
      <c r="B52" s="13" t="s">
        <v>122</v>
      </c>
      <c r="C52" s="13" t="s">
        <v>74</v>
      </c>
      <c r="D52" s="18">
        <v>15000</v>
      </c>
      <c r="E52" s="19">
        <v>0</v>
      </c>
      <c r="F52" s="13" t="s">
        <v>7</v>
      </c>
    </row>
    <row r="53" spans="1:6" x14ac:dyDescent="0.25">
      <c r="A53" s="13" t="s">
        <v>124</v>
      </c>
      <c r="B53" s="13" t="s">
        <v>122</v>
      </c>
      <c r="C53" s="13" t="s">
        <v>74</v>
      </c>
      <c r="D53" s="18">
        <v>20000</v>
      </c>
      <c r="E53" s="19">
        <v>0</v>
      </c>
      <c r="F53" s="13" t="s">
        <v>7</v>
      </c>
    </row>
    <row r="54" spans="1:6" x14ac:dyDescent="0.25">
      <c r="A54" s="13" t="s">
        <v>125</v>
      </c>
      <c r="B54" s="13" t="s">
        <v>122</v>
      </c>
      <c r="C54" s="13" t="s">
        <v>69</v>
      </c>
      <c r="D54" s="18">
        <v>800</v>
      </c>
      <c r="E54" s="19">
        <v>0</v>
      </c>
      <c r="F54" s="13" t="s">
        <v>7</v>
      </c>
    </row>
    <row r="55" spans="1:6" x14ac:dyDescent="0.25">
      <c r="A55" s="13" t="s">
        <v>126</v>
      </c>
      <c r="B55" s="13" t="s">
        <v>122</v>
      </c>
      <c r="C55" s="13" t="s">
        <v>69</v>
      </c>
      <c r="D55" s="18">
        <v>600</v>
      </c>
      <c r="E55" s="19">
        <v>0</v>
      </c>
      <c r="F55" s="13" t="s">
        <v>7</v>
      </c>
    </row>
    <row r="57" ht="24" customHeight="1" spans="1:8" x14ac:dyDescent="0.25">
      <c r="A57" s="12" t="s">
        <v>127</v>
      </c>
      <c r="B57" s="12" t="s">
        <v>128</v>
      </c>
      <c r="C57" s="12" t="s">
        <v>62</v>
      </c>
      <c r="D57" s="12" t="s">
        <v>91</v>
      </c>
      <c r="E57" s="12" t="s">
        <v>129</v>
      </c>
      <c r="F57" s="12" t="s">
        <v>130</v>
      </c>
      <c r="G57" s="12" t="s">
        <v>131</v>
      </c>
      <c r="H57" s="12" t="s">
        <v>66</v>
      </c>
    </row>
    <row r="58" spans="1:8" x14ac:dyDescent="0.25">
      <c r="A58" s="13" t="s">
        <v>132</v>
      </c>
      <c r="B58" s="13" t="s">
        <v>90</v>
      </c>
      <c r="C58" s="21">
        <v>0</v>
      </c>
      <c r="D58" s="18">
        <v>500000</v>
      </c>
      <c r="E58" s="22">
        <v>0.0575</v>
      </c>
      <c r="F58" s="15">
        <v>15</v>
      </c>
      <c r="G58" s="21">
        <v>49825</v>
      </c>
      <c r="H58" s="13" t="s">
        <v>7</v>
      </c>
    </row>
    <row r="59" spans="1:8" x14ac:dyDescent="0.25">
      <c r="A59" s="13" t="s">
        <v>133</v>
      </c>
      <c r="B59" s="13" t="s">
        <v>134</v>
      </c>
      <c r="C59" s="18">
        <v>75000</v>
      </c>
      <c r="D59" s="13">
        <v>0</v>
      </c>
      <c r="E59" s="13" t="s">
        <v>7</v>
      </c>
      <c r="F59" s="13" t="s">
        <v>7</v>
      </c>
      <c r="G59" s="13" t="s">
        <v>7</v>
      </c>
      <c r="H59" s="13" t="s">
        <v>7</v>
      </c>
    </row>
    <row r="60" spans="1:8" x14ac:dyDescent="0.25">
      <c r="A60" s="13" t="s">
        <v>135</v>
      </c>
      <c r="B60" s="13" t="s">
        <v>134</v>
      </c>
      <c r="C60" s="18">
        <v>40000</v>
      </c>
      <c r="D60" s="13">
        <v>0</v>
      </c>
      <c r="E60" s="13" t="s">
        <v>7</v>
      </c>
      <c r="F60" s="13" t="s">
        <v>7</v>
      </c>
      <c r="G60" s="13" t="s">
        <v>7</v>
      </c>
      <c r="H60" s="13" t="s">
        <v>7</v>
      </c>
    </row>
    <row r="62" ht="24" customHeight="1" spans="1:3" x14ac:dyDescent="0.25">
      <c r="A62" s="12" t="s">
        <v>136</v>
      </c>
      <c r="B62" s="12"/>
      <c r="C62" s="12"/>
    </row>
    <row r="63" spans="1:2" x14ac:dyDescent="0.25">
      <c r="A63" s="13" t="s">
        <v>137</v>
      </c>
      <c r="B63" s="19">
        <v>0</v>
      </c>
    </row>
    <row r="64" spans="1:2" x14ac:dyDescent="0.25">
      <c r="A64" s="13" t="s">
        <v>138</v>
      </c>
      <c r="B64" s="19">
        <v>0</v>
      </c>
    </row>
    <row r="65" spans="1:3" x14ac:dyDescent="0.25">
      <c r="A65" s="13" t="s">
        <v>139</v>
      </c>
      <c r="B65" s="20">
        <v>0.8333333333333334</v>
      </c>
      <c r="C65" s="23" t="s">
        <v>140</v>
      </c>
    </row>
    <row r="66" spans="1:2" x14ac:dyDescent="0.25">
      <c r="A66" s="13" t="s">
        <v>141</v>
      </c>
      <c r="B66" s="19">
        <v>0.03</v>
      </c>
    </row>
    <row r="67" spans="1:2" x14ac:dyDescent="0.25">
      <c r="A67" s="13" t="s">
        <v>142</v>
      </c>
      <c r="B67" s="19">
        <v>0</v>
      </c>
    </row>
    <row r="68" spans="1:2" x14ac:dyDescent="0.25">
      <c r="A68" s="13" t="s">
        <v>143</v>
      </c>
      <c r="B68" s="18">
        <v>0</v>
      </c>
    </row>
    <row r="70" spans="1:7" x14ac:dyDescent="0.25">
      <c r="A70" s="24" t="s">
        <v>144</v>
      </c>
      <c r="B70" s="24"/>
      <c r="C70" s="24"/>
      <c r="D70" s="24"/>
      <c r="E70" s="24"/>
      <c r="F70" s="24"/>
      <c r="G70" s="24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0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145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120</v>
      </c>
      <c r="C3" s="27">
        <f>Assumptions!C17</f>
        <v>200</v>
      </c>
      <c r="D3" s="27">
        <f>Assumptions!D17</f>
        <v>300</v>
      </c>
      <c r="E3" s="27">
        <f>Assumptions!E17</f>
        <v>375</v>
      </c>
      <c r="F3" s="27">
        <f>Assumptions!F17</f>
        <v>400</v>
      </c>
    </row>
    <row r="5" ht="24" customHeight="1" spans="1:6" x14ac:dyDescent="0.25">
      <c r="A5" s="12" t="s">
        <v>146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950000</v>
      </c>
      <c r="C6" s="21">
        <v>1938000</v>
      </c>
      <c r="D6" s="21">
        <v>2965200</v>
      </c>
      <c r="E6" s="21">
        <v>3780375</v>
      </c>
      <c r="F6" s="21">
        <v>4113200</v>
      </c>
    </row>
    <row r="7" spans="1:6" x14ac:dyDescent="0.25">
      <c r="A7" s="13" t="s">
        <v>70</v>
      </c>
      <c r="B7" s="21">
        <v>80000</v>
      </c>
      <c r="C7" s="21">
        <v>163200</v>
      </c>
      <c r="D7" s="21">
        <v>249600</v>
      </c>
      <c r="E7" s="21">
        <v>318375</v>
      </c>
      <c r="F7" s="21">
        <v>346400</v>
      </c>
    </row>
    <row r="8" spans="1:6" x14ac:dyDescent="0.25">
      <c r="A8" s="13" t="s">
        <v>71</v>
      </c>
      <c r="B8" s="21">
        <v>120000</v>
      </c>
      <c r="C8" s="21">
        <v>244800</v>
      </c>
      <c r="D8" s="21">
        <v>374400</v>
      </c>
      <c r="E8" s="21">
        <v>477375</v>
      </c>
      <c r="F8" s="21">
        <v>519600</v>
      </c>
    </row>
    <row r="9" spans="1:6" x14ac:dyDescent="0.25">
      <c r="A9" s="13" t="s">
        <v>72</v>
      </c>
      <c r="B9" s="21">
        <v>83333</v>
      </c>
      <c r="C9" s="21">
        <v>75000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25000</v>
      </c>
      <c r="C10" s="21">
        <v>40000</v>
      </c>
      <c r="D10" s="21">
        <v>50000</v>
      </c>
      <c r="E10" s="21">
        <v>60000</v>
      </c>
      <c r="F10" s="21">
        <v>70000</v>
      </c>
    </row>
    <row r="11" spans="1:6" x14ac:dyDescent="0.25">
      <c r="A11" s="13" t="s">
        <v>76</v>
      </c>
      <c r="B11" s="21">
        <v>30000</v>
      </c>
      <c r="C11" s="21">
        <v>61800</v>
      </c>
      <c r="D11" s="21">
        <v>95400</v>
      </c>
      <c r="E11" s="21">
        <v>123000</v>
      </c>
      <c r="F11" s="21">
        <v>135200</v>
      </c>
    </row>
    <row r="12" ht="24" customHeight="1" spans="1:6" x14ac:dyDescent="0.25">
      <c r="A12" s="12" t="s">
        <v>147</v>
      </c>
      <c r="B12" s="28">
        <f>SUM(B6:B11)</f>
        <v>1288333</v>
      </c>
      <c r="C12" s="28">
        <f>SUM(C6:C11)</f>
        <v>2522800</v>
      </c>
      <c r="D12" s="28">
        <f>SUM(D6:D11)</f>
        <v>3784600</v>
      </c>
      <c r="E12" s="28">
        <f>SUM(E6:E11)</f>
        <v>4759125</v>
      </c>
      <c r="F12" s="28">
        <f>SUM(F6:F11)</f>
        <v>5184400</v>
      </c>
    </row>
    <row r="14" ht="24" customHeight="1" spans="1:6" x14ac:dyDescent="0.25">
      <c r="A14" s="12" t="s">
        <v>148</v>
      </c>
      <c r="B14" s="12"/>
      <c r="C14" s="12"/>
      <c r="D14" s="12"/>
      <c r="E14" s="12"/>
      <c r="F14" s="12"/>
    </row>
    <row r="15" spans="1:6" x14ac:dyDescent="0.25">
      <c r="A15" s="13" t="s">
        <v>149</v>
      </c>
      <c r="B15" s="21">
        <v>124346</v>
      </c>
      <c r="C15" s="21">
        <v>149215</v>
      </c>
      <c r="D15" s="21">
        <v>149215</v>
      </c>
      <c r="E15" s="21">
        <v>149215</v>
      </c>
      <c r="F15" s="21">
        <v>149215</v>
      </c>
    </row>
    <row r="16" spans="1:6" x14ac:dyDescent="0.25">
      <c r="A16" s="13" t="s">
        <v>150</v>
      </c>
      <c r="B16" s="21">
        <v>101738</v>
      </c>
      <c r="C16" s="21">
        <v>122085</v>
      </c>
      <c r="D16" s="21">
        <v>122085</v>
      </c>
      <c r="E16" s="21">
        <v>122085</v>
      </c>
      <c r="F16" s="21">
        <v>122085</v>
      </c>
    </row>
    <row r="17" spans="1:6" x14ac:dyDescent="0.25">
      <c r="A17" s="13" t="s">
        <v>151</v>
      </c>
      <c r="B17" s="21">
        <v>81390</v>
      </c>
      <c r="C17" s="21">
        <v>97668</v>
      </c>
      <c r="D17" s="21">
        <v>97668</v>
      </c>
      <c r="E17" s="21">
        <v>97668</v>
      </c>
      <c r="F17" s="21">
        <v>97668</v>
      </c>
    </row>
    <row r="18" spans="1:6" x14ac:dyDescent="0.25">
      <c r="A18" s="13" t="s">
        <v>152</v>
      </c>
      <c r="B18" s="21">
        <v>352690</v>
      </c>
      <c r="C18" s="21">
        <v>423228</v>
      </c>
      <c r="D18" s="21">
        <v>423228</v>
      </c>
      <c r="E18" s="21">
        <v>423228</v>
      </c>
      <c r="F18" s="21">
        <v>423228</v>
      </c>
    </row>
    <row r="19" spans="1:6" x14ac:dyDescent="0.25">
      <c r="A19" s="13" t="s">
        <v>153</v>
      </c>
      <c r="B19" s="21">
        <v>62173</v>
      </c>
      <c r="C19" s="21">
        <v>74608</v>
      </c>
      <c r="D19" s="21">
        <v>74608</v>
      </c>
      <c r="E19" s="21">
        <v>74608</v>
      </c>
      <c r="F19" s="21">
        <v>74608</v>
      </c>
    </row>
    <row r="20" spans="1:6" x14ac:dyDescent="0.25">
      <c r="A20" s="13" t="s">
        <v>154</v>
      </c>
      <c r="B20" s="21">
        <v>95738</v>
      </c>
      <c r="C20" s="21">
        <v>114885</v>
      </c>
      <c r="D20" s="21">
        <v>114885</v>
      </c>
      <c r="E20" s="21">
        <v>114885</v>
      </c>
      <c r="F20" s="21">
        <v>114885</v>
      </c>
    </row>
    <row r="21" spans="1:6" x14ac:dyDescent="0.25">
      <c r="A21" s="13" t="s">
        <v>155</v>
      </c>
      <c r="B21" s="21">
        <v>62173</v>
      </c>
      <c r="C21" s="21">
        <v>74608</v>
      </c>
      <c r="D21" s="21">
        <v>74608</v>
      </c>
      <c r="E21" s="21">
        <v>74608</v>
      </c>
      <c r="F21" s="21">
        <v>74608</v>
      </c>
    </row>
    <row r="22" spans="1:6" x14ac:dyDescent="0.25">
      <c r="A22" s="13" t="s">
        <v>156</v>
      </c>
      <c r="B22" s="21">
        <v>84012</v>
      </c>
      <c r="C22" s="21">
        <v>100814</v>
      </c>
      <c r="D22" s="21">
        <v>100814</v>
      </c>
      <c r="E22" s="21">
        <v>100814</v>
      </c>
      <c r="F22" s="21">
        <v>100814</v>
      </c>
    </row>
    <row r="23" spans="1:6" x14ac:dyDescent="0.25">
      <c r="A23" s="13" t="s">
        <v>157</v>
      </c>
      <c r="B23" s="21">
        <v>62173</v>
      </c>
      <c r="C23" s="21">
        <v>74608</v>
      </c>
      <c r="D23" s="21">
        <v>74608</v>
      </c>
      <c r="E23" s="21">
        <v>74608</v>
      </c>
      <c r="F23" s="21">
        <v>74608</v>
      </c>
    </row>
    <row r="24" ht="24" customHeight="1" spans="1:6" x14ac:dyDescent="0.25">
      <c r="A24" s="12" t="s">
        <v>158</v>
      </c>
      <c r="B24" s="28">
        <f>SUM(B15:B23)</f>
        <v>1026431</v>
      </c>
      <c r="C24" s="28">
        <f>SUM(C15:C23)</f>
        <v>1231718</v>
      </c>
      <c r="D24" s="28">
        <f>SUM(D15:D23)</f>
        <v>1231718</v>
      </c>
      <c r="E24" s="28">
        <f>SUM(E15:E23)</f>
        <v>1231718</v>
      </c>
      <c r="F24" s="28">
        <f>SUM(F15:F23)</f>
        <v>1231718</v>
      </c>
    </row>
    <row r="26" ht="24" customHeight="1" spans="1:6" x14ac:dyDescent="0.25">
      <c r="A26" s="12" t="s">
        <v>111</v>
      </c>
      <c r="B26" s="12"/>
      <c r="C26" s="12"/>
      <c r="D26" s="12"/>
      <c r="E26" s="12"/>
      <c r="F26" s="12"/>
    </row>
    <row r="27" spans="1:6" x14ac:dyDescent="0.25">
      <c r="A27" s="13" t="s">
        <v>118</v>
      </c>
      <c r="B27" s="13"/>
      <c r="C27" s="13"/>
      <c r="D27" s="13"/>
      <c r="E27" s="13"/>
      <c r="F27" s="13"/>
    </row>
    <row r="28" spans="1:6" x14ac:dyDescent="0.25">
      <c r="A28" s="13" t="s">
        <v>159</v>
      </c>
      <c r="B28" s="21">
        <v>70000</v>
      </c>
      <c r="C28" s="21">
        <v>144200</v>
      </c>
      <c r="D28" s="21">
        <v>222900</v>
      </c>
      <c r="E28" s="21">
        <v>286875</v>
      </c>
      <c r="F28" s="21">
        <v>315200</v>
      </c>
    </row>
    <row r="29" spans="1:6" x14ac:dyDescent="0.25">
      <c r="A29" s="29" t="s">
        <v>160</v>
      </c>
      <c r="B29" s="30">
        <v>70000</v>
      </c>
      <c r="C29" s="30">
        <v>144200</v>
      </c>
      <c r="D29" s="30">
        <v>222900</v>
      </c>
      <c r="E29" s="30">
        <v>286875</v>
      </c>
      <c r="F29" s="30">
        <v>315200</v>
      </c>
    </row>
    <row r="30" spans="1:6" x14ac:dyDescent="0.25">
      <c r="A30" s="13" t="s">
        <v>120</v>
      </c>
      <c r="B30" s="13"/>
      <c r="C30" s="13"/>
      <c r="D30" s="13"/>
      <c r="E30" s="13"/>
      <c r="F30" s="13"/>
    </row>
    <row r="31" spans="1:6" x14ac:dyDescent="0.25">
      <c r="A31" s="13" t="s">
        <v>161</v>
      </c>
      <c r="B31" s="21">
        <v>50000</v>
      </c>
      <c r="C31" s="21">
        <v>103000</v>
      </c>
      <c r="D31" s="21">
        <v>159000</v>
      </c>
      <c r="E31" s="21">
        <v>204750</v>
      </c>
      <c r="F31" s="21">
        <v>224800</v>
      </c>
    </row>
    <row r="32" spans="1:6" x14ac:dyDescent="0.25">
      <c r="A32" s="29" t="s">
        <v>162</v>
      </c>
      <c r="B32" s="30">
        <v>50000</v>
      </c>
      <c r="C32" s="30">
        <v>103000</v>
      </c>
      <c r="D32" s="30">
        <v>159000</v>
      </c>
      <c r="E32" s="30">
        <v>204750</v>
      </c>
      <c r="F32" s="30">
        <v>224800</v>
      </c>
    </row>
    <row r="33" spans="1:6" x14ac:dyDescent="0.25">
      <c r="A33" s="13" t="s">
        <v>113</v>
      </c>
      <c r="B33" s="13"/>
      <c r="C33" s="13"/>
      <c r="D33" s="13"/>
      <c r="E33" s="13"/>
      <c r="F33" s="13"/>
    </row>
    <row r="34" spans="1:6" x14ac:dyDescent="0.25">
      <c r="A34" s="13" t="s">
        <v>163</v>
      </c>
      <c r="B34" s="21">
        <v>180000</v>
      </c>
      <c r="C34" s="21">
        <v>222480</v>
      </c>
      <c r="D34" s="21">
        <v>229154</v>
      </c>
      <c r="E34" s="21">
        <v>236029</v>
      </c>
      <c r="F34" s="21">
        <v>243110</v>
      </c>
    </row>
    <row r="35" spans="1:6" x14ac:dyDescent="0.25">
      <c r="A35" s="13" t="s">
        <v>164</v>
      </c>
      <c r="B35" s="21">
        <v>25000</v>
      </c>
      <c r="C35" s="21">
        <v>30900</v>
      </c>
      <c r="D35" s="21">
        <v>31824</v>
      </c>
      <c r="E35" s="21">
        <v>32784</v>
      </c>
      <c r="F35" s="21">
        <v>33768</v>
      </c>
    </row>
    <row r="36" spans="1:6" x14ac:dyDescent="0.25">
      <c r="A36" s="13" t="s">
        <v>165</v>
      </c>
      <c r="B36" s="21">
        <v>15000</v>
      </c>
      <c r="C36" s="21">
        <v>18540</v>
      </c>
      <c r="D36" s="21">
        <v>19096</v>
      </c>
      <c r="E36" s="21">
        <v>19669</v>
      </c>
      <c r="F36" s="21">
        <v>20259</v>
      </c>
    </row>
    <row r="37" spans="1:6" x14ac:dyDescent="0.25">
      <c r="A37" s="13" t="s">
        <v>166</v>
      </c>
      <c r="B37" s="21">
        <v>15000</v>
      </c>
      <c r="C37" s="21">
        <v>18540</v>
      </c>
      <c r="D37" s="21">
        <v>19092</v>
      </c>
      <c r="E37" s="21">
        <v>19668</v>
      </c>
      <c r="F37" s="21">
        <v>20256</v>
      </c>
    </row>
    <row r="38" spans="1:6" x14ac:dyDescent="0.25">
      <c r="A38" s="29" t="s">
        <v>167</v>
      </c>
      <c r="B38" s="30">
        <v>235000</v>
      </c>
      <c r="C38" s="30">
        <v>290460</v>
      </c>
      <c r="D38" s="30">
        <v>299166</v>
      </c>
      <c r="E38" s="30">
        <v>308150</v>
      </c>
      <c r="F38" s="30">
        <v>317393</v>
      </c>
    </row>
    <row r="39" spans="1:6" x14ac:dyDescent="0.25">
      <c r="A39" s="13" t="s">
        <v>122</v>
      </c>
      <c r="B39" s="13"/>
      <c r="C39" s="13"/>
      <c r="D39" s="13"/>
      <c r="E39" s="13"/>
      <c r="F39" s="13"/>
    </row>
    <row r="40" spans="1:6" x14ac:dyDescent="0.25">
      <c r="A40" s="13" t="s">
        <v>168</v>
      </c>
      <c r="B40" s="21">
        <v>20833</v>
      </c>
      <c r="C40" s="21">
        <v>25750</v>
      </c>
      <c r="D40" s="21">
        <v>26523</v>
      </c>
      <c r="E40" s="21">
        <v>27318</v>
      </c>
      <c r="F40" s="21">
        <v>28138</v>
      </c>
    </row>
    <row r="41" spans="1:6" x14ac:dyDescent="0.25">
      <c r="A41" s="13" t="s">
        <v>169</v>
      </c>
      <c r="B41" s="21">
        <v>12500</v>
      </c>
      <c r="C41" s="21">
        <v>15450</v>
      </c>
      <c r="D41" s="21">
        <v>15914</v>
      </c>
      <c r="E41" s="21">
        <v>16391</v>
      </c>
      <c r="F41" s="21">
        <v>16883</v>
      </c>
    </row>
    <row r="42" spans="1:6" x14ac:dyDescent="0.25">
      <c r="A42" s="13" t="s">
        <v>170</v>
      </c>
      <c r="B42" s="21">
        <v>16667</v>
      </c>
      <c r="C42" s="21">
        <v>20600</v>
      </c>
      <c r="D42" s="21">
        <v>21218</v>
      </c>
      <c r="E42" s="21">
        <v>21855</v>
      </c>
      <c r="F42" s="21">
        <v>22510</v>
      </c>
    </row>
    <row r="43" spans="1:6" x14ac:dyDescent="0.25">
      <c r="A43" s="13" t="s">
        <v>171</v>
      </c>
      <c r="B43" s="21">
        <v>80000</v>
      </c>
      <c r="C43" s="21">
        <v>164800</v>
      </c>
      <c r="D43" s="21">
        <v>254700</v>
      </c>
      <c r="E43" s="21">
        <v>327750</v>
      </c>
      <c r="F43" s="21">
        <v>360000</v>
      </c>
    </row>
    <row r="44" spans="1:6" x14ac:dyDescent="0.25">
      <c r="A44" s="13" t="s">
        <v>172</v>
      </c>
      <c r="B44" s="21">
        <v>60000</v>
      </c>
      <c r="C44" s="21">
        <v>123600</v>
      </c>
      <c r="D44" s="21">
        <v>191100</v>
      </c>
      <c r="E44" s="21">
        <v>246000</v>
      </c>
      <c r="F44" s="21">
        <v>270000</v>
      </c>
    </row>
    <row r="45" spans="1:6" x14ac:dyDescent="0.25">
      <c r="A45" s="29" t="s">
        <v>173</v>
      </c>
      <c r="B45" s="30">
        <v>190000</v>
      </c>
      <c r="C45" s="30">
        <v>350200</v>
      </c>
      <c r="D45" s="30">
        <v>509455</v>
      </c>
      <c r="E45" s="30">
        <v>639314</v>
      </c>
      <c r="F45" s="30">
        <v>697531</v>
      </c>
    </row>
    <row r="46" ht="24" customHeight="1" spans="1:6" x14ac:dyDescent="0.25">
      <c r="A46" s="12" t="s">
        <v>174</v>
      </c>
      <c r="B46" s="28">
        <f>B29+B32+B38+B45</f>
        <v>545000</v>
      </c>
      <c r="C46" s="28">
        <f>C29+C32+C38+C45</f>
        <v>887860</v>
      </c>
      <c r="D46" s="28">
        <f>D29+D32+D38+D45</f>
        <v>1190521</v>
      </c>
      <c r="E46" s="28">
        <f>E29+E32+E38+E45</f>
        <v>1439089</v>
      </c>
      <c r="F46" s="28">
        <f>F29+F32+F38+F45</f>
        <v>1554924</v>
      </c>
    </row>
    <row r="48" ht="24" customHeight="1" spans="1:6" x14ac:dyDescent="0.25">
      <c r="A48" s="12" t="s">
        <v>175</v>
      </c>
      <c r="B48" s="12"/>
      <c r="C48" s="12"/>
      <c r="D48" s="12"/>
      <c r="E48" s="12"/>
      <c r="F48" s="12"/>
    </row>
    <row r="49" spans="1:6" x14ac:dyDescent="0.25">
      <c r="A49" s="13" t="s">
        <v>132</v>
      </c>
      <c r="B49" s="21">
        <v>49825</v>
      </c>
      <c r="C49" s="21">
        <v>49825</v>
      </c>
      <c r="D49" s="21">
        <v>49825</v>
      </c>
      <c r="E49" s="21">
        <v>49825</v>
      </c>
      <c r="F49" s="21">
        <v>49825</v>
      </c>
    </row>
    <row r="50" spans="1:6" x14ac:dyDescent="0.25">
      <c r="A50" s="13" t="s">
        <v>133</v>
      </c>
      <c r="B50" s="21">
        <v>75000</v>
      </c>
      <c r="C50" s="21">
        <v>25000</v>
      </c>
      <c r="D50" s="21">
        <v>30000</v>
      </c>
      <c r="E50" s="21">
        <v>15000</v>
      </c>
      <c r="F50" s="21">
        <v>10000</v>
      </c>
    </row>
    <row r="51" spans="1:6" x14ac:dyDescent="0.25">
      <c r="A51" s="13" t="s">
        <v>135</v>
      </c>
      <c r="B51" s="21">
        <v>40000</v>
      </c>
      <c r="C51" s="21">
        <v>15000</v>
      </c>
      <c r="D51" s="21">
        <v>10000</v>
      </c>
      <c r="E51" s="21">
        <v>10000</v>
      </c>
      <c r="F51" s="21">
        <v>10000</v>
      </c>
    </row>
    <row r="52" ht="24" customHeight="1" spans="1:6" x14ac:dyDescent="0.25">
      <c r="A52" s="12" t="s">
        <v>176</v>
      </c>
      <c r="B52" s="28">
        <f>SUM(B49:B51)</f>
        <v>164825</v>
      </c>
      <c r="C52" s="28">
        <f>SUM(C49:C51)</f>
        <v>89825</v>
      </c>
      <c r="D52" s="28">
        <f>SUM(D49:D51)</f>
        <v>89825</v>
      </c>
      <c r="E52" s="28">
        <f>SUM(E49:E51)</f>
        <v>74825</v>
      </c>
      <c r="F52" s="28">
        <f>SUM(F49:F51)</f>
        <v>69825</v>
      </c>
    </row>
    <row r="54" ht="24" customHeight="1" spans="1:6" x14ac:dyDescent="0.25">
      <c r="A54" s="12" t="s">
        <v>177</v>
      </c>
      <c r="B54" s="12"/>
      <c r="C54" s="12"/>
      <c r="D54" s="12"/>
      <c r="E54" s="12"/>
      <c r="F54" s="12"/>
    </row>
    <row r="55" spans="1:6" x14ac:dyDescent="0.25">
      <c r="A55" s="26" t="s">
        <v>178</v>
      </c>
      <c r="B55" s="30">
        <f>B12</f>
        <v>1288333</v>
      </c>
      <c r="C55" s="30">
        <f>C12</f>
        <v>2522800</v>
      </c>
      <c r="D55" s="30">
        <f>D12</f>
        <v>3784600</v>
      </c>
      <c r="E55" s="30">
        <f>E12</f>
        <v>4759125</v>
      </c>
      <c r="F55" s="30">
        <f>F12</f>
        <v>5184400</v>
      </c>
    </row>
    <row r="56" spans="1:6" x14ac:dyDescent="0.25">
      <c r="A56" s="13" t="s">
        <v>179</v>
      </c>
      <c r="B56" s="21">
        <f>B24</f>
        <v>1026431</v>
      </c>
      <c r="C56" s="21">
        <f>C24</f>
        <v>1231718</v>
      </c>
      <c r="D56" s="21">
        <f>D24</f>
        <v>1231718</v>
      </c>
      <c r="E56" s="21">
        <f>E24</f>
        <v>1231718</v>
      </c>
      <c r="F56" s="21">
        <f>F24</f>
        <v>1231718</v>
      </c>
    </row>
    <row r="57" spans="1:6" x14ac:dyDescent="0.25">
      <c r="A57" s="13" t="s">
        <v>180</v>
      </c>
      <c r="B57" s="21">
        <f>B46</f>
        <v>545000</v>
      </c>
      <c r="C57" s="21">
        <f>C46</f>
        <v>887860</v>
      </c>
      <c r="D57" s="21">
        <f>D46</f>
        <v>1190521</v>
      </c>
      <c r="E57" s="21">
        <f>E46</f>
        <v>1439089</v>
      </c>
      <c r="F57" s="21">
        <f>F46</f>
        <v>1554924</v>
      </c>
    </row>
    <row r="58" spans="1:6" x14ac:dyDescent="0.25">
      <c r="A58" s="13" t="s">
        <v>181</v>
      </c>
      <c r="B58" s="21">
        <f>B52</f>
        <v>164825</v>
      </c>
      <c r="C58" s="21">
        <f>C52</f>
        <v>89825</v>
      </c>
      <c r="D58" s="21">
        <f>D52</f>
        <v>89825</v>
      </c>
      <c r="E58" s="21">
        <f>E52</f>
        <v>74825</v>
      </c>
      <c r="F58" s="21">
        <f>F52</f>
        <v>69825</v>
      </c>
    </row>
    <row r="59" spans="1:6" x14ac:dyDescent="0.25">
      <c r="A59" s="26" t="s">
        <v>182</v>
      </c>
      <c r="B59" s="30">
        <f>B56+B57+B58</f>
        <v>1736256</v>
      </c>
      <c r="C59" s="30">
        <f>C56+C57+C58</f>
        <v>2209403</v>
      </c>
      <c r="D59" s="30">
        <f>D56+D57+D58</f>
        <v>2512064</v>
      </c>
      <c r="E59" s="30">
        <f>E56+E57+E58</f>
        <v>2745632</v>
      </c>
      <c r="F59" s="30">
        <f>F56+F57+F58</f>
        <v>2856467</v>
      </c>
    </row>
    <row r="60" spans="1:1" x14ac:dyDescent="0.25">
      <c r="A60" t="s">
        <v>7</v>
      </c>
    </row>
    <row r="61" spans="1:6" x14ac:dyDescent="0.25">
      <c r="A61" s="31" t="s">
        <v>183</v>
      </c>
      <c r="B61" s="32">
        <f>B55-B59</f>
        <v>-447923</v>
      </c>
      <c r="C61" s="33">
        <f>C55-C59</f>
        <v>313397</v>
      </c>
      <c r="D61" s="33">
        <f>D55-D59</f>
        <v>1272536</v>
      </c>
      <c r="E61" s="33">
        <f>E55-E59</f>
        <v>2013493</v>
      </c>
      <c r="F61" s="33">
        <f>F55-F59</f>
        <v>2327933</v>
      </c>
    </row>
    <row r="62" spans="1:6" x14ac:dyDescent="0.25">
      <c r="A62" s="13" t="s">
        <v>184</v>
      </c>
      <c r="B62" s="34">
        <f>IF(B55=0,"",B61/B55)</f>
        <v>-0.35</v>
      </c>
      <c r="C62" s="34">
        <f>IF(C55=0,"",C61/C55)</f>
        <v>0.12</v>
      </c>
      <c r="D62" s="34">
        <f>IF(D55=0,"",D61/D55)</f>
        <v>0.34</v>
      </c>
      <c r="E62" s="34">
        <f>IF(E55=0,"",E61/E55)</f>
        <v>0.42</v>
      </c>
      <c r="F62" s="34">
        <f>IF(F55=0,"",F61/F55)</f>
        <v>0.45</v>
      </c>
    </row>
    <row r="63" spans="1:6" x14ac:dyDescent="0.25">
      <c r="A63" s="13" t="s">
        <v>185</v>
      </c>
      <c r="B63" s="21">
        <f>B61</f>
        <v>-447923</v>
      </c>
      <c r="C63" s="21">
        <f>B63+C61</f>
        <v>-134526</v>
      </c>
      <c r="D63" s="21">
        <f>C63+D61</f>
        <v>1138010</v>
      </c>
      <c r="E63" s="21">
        <f>D63+E61</f>
        <v>3151503</v>
      </c>
      <c r="F63" s="21">
        <f>E63+F61</f>
        <v>5479436</v>
      </c>
    </row>
    <row r="64" spans="1:6" x14ac:dyDescent="0.25">
      <c r="A64" s="29" t="s">
        <v>186</v>
      </c>
      <c r="B64" s="35" t="s">
        <v>7</v>
      </c>
      <c r="C64" s="35" t="s">
        <v>7</v>
      </c>
      <c r="D64" s="36" t="s">
        <v>187</v>
      </c>
      <c r="E64" s="35" t="s">
        <v>7</v>
      </c>
      <c r="F64" s="35" t="s">
        <v>7</v>
      </c>
    </row>
    <row r="66" ht="24" customHeight="1" spans="1:6" x14ac:dyDescent="0.25">
      <c r="A66" s="12" t="s">
        <v>188</v>
      </c>
      <c r="B66" s="12"/>
      <c r="C66" s="12"/>
      <c r="D66" s="12"/>
      <c r="E66" s="12"/>
      <c r="F66" s="12"/>
    </row>
    <row r="67" spans="1:6" x14ac:dyDescent="0.25">
      <c r="A67" s="26" t="s">
        <v>189</v>
      </c>
      <c r="B67" s="30">
        <f>B55-B56-B57</f>
        <v>-283098</v>
      </c>
      <c r="C67" s="30">
        <f>C55-C56-C57</f>
        <v>403222</v>
      </c>
      <c r="D67" s="30">
        <f>D55-D56-D57</f>
        <v>1362361</v>
      </c>
      <c r="E67" s="30">
        <f>E55-E56-E57</f>
        <v>2088318</v>
      </c>
      <c r="F67" s="30">
        <f>F55-F56-F57</f>
        <v>2397758</v>
      </c>
    </row>
    <row r="68" spans="1:6" x14ac:dyDescent="0.25">
      <c r="A68" s="13" t="s">
        <v>190</v>
      </c>
      <c r="B68" s="21">
        <f>B58</f>
        <v>164825</v>
      </c>
      <c r="C68" s="21">
        <f>C58</f>
        <v>89825</v>
      </c>
      <c r="D68" s="21">
        <f>D58</f>
        <v>89825</v>
      </c>
      <c r="E68" s="21">
        <f>E58</f>
        <v>74825</v>
      </c>
      <c r="F68" s="21">
        <f>F58</f>
        <v>69825</v>
      </c>
    </row>
    <row r="69" spans="1:6" x14ac:dyDescent="0.25">
      <c r="A69" s="26" t="s">
        <v>191</v>
      </c>
      <c r="B69" s="37">
        <f>IF(B68=0,"N/A",B67/B68)</f>
        <v>-1.72</v>
      </c>
      <c r="C69" s="37">
        <f>IF(C68=0,"N/A",C67/C68)</f>
        <v>4.49</v>
      </c>
      <c r="D69" s="37">
        <f>IF(D68=0,"N/A",D67/D68)</f>
        <v>15.17</v>
      </c>
      <c r="E69" s="37">
        <f>IF(E68=0,"N/A",E67/E68)</f>
        <v>27.91</v>
      </c>
      <c r="F69" s="37">
        <f>IF(F68=0,"N/A",F67/F68)</f>
        <v>34.34</v>
      </c>
    </row>
    <row r="70" spans="1:6" x14ac:dyDescent="0.25">
      <c r="A70" s="13" t="s">
        <v>143</v>
      </c>
      <c r="B70" s="21" t="str">
        <f>Assumptions!B68</f>
        <v>0</v>
      </c>
      <c r="C70" s="21">
        <f>B71</f>
        <v>-447923</v>
      </c>
      <c r="D70" s="21">
        <f>C71</f>
        <v>-134526</v>
      </c>
      <c r="E70" s="21">
        <f>D71</f>
        <v>1138010</v>
      </c>
      <c r="F70" s="21">
        <f>E71</f>
        <v>3151503</v>
      </c>
    </row>
    <row r="71" spans="1:6" x14ac:dyDescent="0.25">
      <c r="A71" s="26" t="s">
        <v>192</v>
      </c>
      <c r="B71" s="30">
        <f>B70+B61</f>
        <v>-447923</v>
      </c>
      <c r="C71" s="30">
        <f>C70+C61</f>
        <v>-134526</v>
      </c>
      <c r="D71" s="30">
        <f>D70+D61</f>
        <v>1138010</v>
      </c>
      <c r="E71" s="30">
        <f>E70+E61</f>
        <v>3151503</v>
      </c>
      <c r="F71" s="30">
        <f>F70+F61</f>
        <v>5479436</v>
      </c>
    </row>
    <row r="72" spans="1:6" x14ac:dyDescent="0.25">
      <c r="A72" s="13" t="s">
        <v>193</v>
      </c>
      <c r="B72" s="38">
        <f>IF(B59=0,"",B71/B59*365)</f>
        <v>-94</v>
      </c>
      <c r="C72" s="38">
        <f>IF(C59=0,"",C71/C59*365)</f>
        <v>-22</v>
      </c>
      <c r="D72" s="38">
        <f>IF(D59=0,"",D71/D59*365)</f>
        <v>165</v>
      </c>
      <c r="E72" s="38">
        <f>IF(E59=0,"",E71/E59*365)</f>
        <v>419</v>
      </c>
      <c r="F72" s="38">
        <f>IF(F59=0,"",F71/F59*365)</f>
        <v>700</v>
      </c>
    </row>
    <row r="73" spans="1:6" x14ac:dyDescent="0.25">
      <c r="A73" s="13" t="s">
        <v>194</v>
      </c>
      <c r="B73" s="39">
        <f>IF(B59=0,"",B71/(B59/12))</f>
        <v>-3.1</v>
      </c>
      <c r="C73" s="39">
        <f>IF(C59=0,"",C71/(C59/12))</f>
        <v>-0.7</v>
      </c>
      <c r="D73" s="39">
        <f>IF(D59=0,"",D71/(D59/12))</f>
        <v>5.4</v>
      </c>
      <c r="E73" s="39">
        <f>IF(E59=0,"",E71/(E59/12))</f>
        <v>13.8</v>
      </c>
      <c r="F73" s="39">
        <f>IF(F59=0,"",F71/(F59/12))</f>
        <v>23</v>
      </c>
    </row>
    <row r="74" spans="1:6" x14ac:dyDescent="0.25">
      <c r="A74" s="13" t="s">
        <v>195</v>
      </c>
      <c r="B74" s="34">
        <f>IF(Assumptions!B12=0,"",B3/Assumptions!B12)</f>
        <v>0.3</v>
      </c>
      <c r="C74" s="34">
        <f>IF(Assumptions!B12=0,"",C3/Assumptions!B12)</f>
        <v>0.5</v>
      </c>
      <c r="D74" s="34">
        <f>IF(Assumptions!B12=0,"",D3/Assumptions!B12)</f>
        <v>0.75</v>
      </c>
      <c r="E74" s="34">
        <f>IF(Assumptions!B12=0,"",E3/Assumptions!B12)</f>
        <v>0.94</v>
      </c>
      <c r="F74" s="34">
        <f>IF(Assumptions!B12=0,"",F3/Assumptions!B12)</f>
        <v>1</v>
      </c>
    </row>
    <row r="76" ht="24" customHeight="1" spans="1:6" x14ac:dyDescent="0.25">
      <c r="A76" s="12" t="s">
        <v>196</v>
      </c>
      <c r="B76" s="12"/>
      <c r="C76" s="12"/>
      <c r="D76" s="12"/>
      <c r="E76" s="12"/>
      <c r="F76" s="12"/>
    </row>
    <row r="77" spans="1:6" x14ac:dyDescent="0.25">
      <c r="A77" s="13" t="s">
        <v>197</v>
      </c>
      <c r="B77" s="13" t="str">
        <f>IF(B68=0,"N/A",IF(B69&gt;=1.2,"PASS","FAIL"))</f>
        <v>FAIL</v>
      </c>
      <c r="C77" s="13" t="str">
        <f>IF(C68=0,"N/A",IF(C69&gt;=1.2,"PASS","FAIL"))</f>
        <v>PASS</v>
      </c>
      <c r="D77" s="13" t="str">
        <f>IF(D68=0,"N/A",IF(D69&gt;=1.2,"PASS","FAIL"))</f>
        <v>PASS</v>
      </c>
      <c r="E77" s="13" t="str">
        <f>IF(E68=0,"N/A",IF(E69&gt;=1.2,"PASS","FAIL"))</f>
        <v>PASS</v>
      </c>
      <c r="F77" s="13" t="str">
        <f>IF(F68=0,"N/A",IF(F69&gt;=1.2,"PASS","FAIL"))</f>
        <v>PASS</v>
      </c>
    </row>
    <row r="78" spans="1:6" x14ac:dyDescent="0.25">
      <c r="A78" s="13" t="s">
        <v>198</v>
      </c>
      <c r="B78" s="13" t="str">
        <f>IF(B61&gt;0,"PASS","FAIL")</f>
        <v>FAIL</v>
      </c>
      <c r="C78" s="13" t="str">
        <f>IF(C61&gt;0,"PASS","FAIL")</f>
        <v>PASS</v>
      </c>
      <c r="D78" s="13" t="str">
        <f>IF(D61&gt;0,"PASS","FAIL")</f>
        <v>PASS</v>
      </c>
      <c r="E78" s="13" t="str">
        <f>IF(E61&gt;0,"PASS","FAIL")</f>
        <v>PASS</v>
      </c>
      <c r="F78" s="13" t="str">
        <f>IF(F61&gt;0,"PASS","FAIL")</f>
        <v>PASS</v>
      </c>
    </row>
    <row r="79" spans="1:6" x14ac:dyDescent="0.25">
      <c r="A79" s="13" t="s">
        <v>199</v>
      </c>
      <c r="B79" s="13" t="str">
        <f>IF(Assumptions!B12=0,"N/A",IF(B3/Assumptions!B12&gt;=0.7,"PASS","FAIL"))</f>
        <v>FAIL</v>
      </c>
      <c r="C79" s="13" t="str">
        <f>IF(Assumptions!B12=0,"N/A",IF(C3/Assumptions!B12&gt;=0.7,"PASS","FAIL"))</f>
        <v>FAIL</v>
      </c>
      <c r="D79" s="13" t="str">
        <f>IF(Assumptions!B12=0,"N/A",IF(D3/Assumptions!B12&gt;=0.7,"PASS","FAIL"))</f>
        <v>PASS</v>
      </c>
      <c r="E79" s="13" t="str">
        <f>IF(Assumptions!B12=0,"N/A",IF(E3/Assumptions!B12&gt;=0.7,"PASS","FAIL"))</f>
        <v>PASS</v>
      </c>
      <c r="F79" s="13" t="str">
        <f>IF(Assumptions!B12=0,"N/A",IF(F3/Assumptions!B12&gt;=0.7,"PASS","FAIL"))</f>
        <v>PASS</v>
      </c>
    </row>
    <row r="80" spans="1:6" x14ac:dyDescent="0.25">
      <c r="A80" s="13" t="s">
        <v>200</v>
      </c>
      <c r="B80" s="13" t="str">
        <f>IF(B59=0,"N/A",IF(B71/(B59/12)&gt;=2,"PASS","FAIL"))</f>
        <v>FAIL</v>
      </c>
      <c r="C80" s="13" t="str">
        <f>IF(C59=0,"N/A",IF(C71/(C59/12)&gt;=2,"PASS","FAIL"))</f>
        <v>FAIL</v>
      </c>
      <c r="D80" s="13" t="str">
        <f>IF(D59=0,"N/A",IF(D71/(D59/12)&gt;=2,"PASS","FAIL"))</f>
        <v>PASS</v>
      </c>
      <c r="E80" s="13" t="str">
        <f>IF(E59=0,"N/A",IF(E71/(E59/12)&gt;=2,"PASS","FAIL"))</f>
        <v>PASS</v>
      </c>
      <c r="F80" s="13" t="str">
        <f>IF(F59=0,"N/A",IF(F71/(F59/12)&gt;=2,"PASS","FAIL"))</f>
        <v>PASS</v>
      </c>
    </row>
    <row r="82" ht="24" customHeight="1" spans="1:6" x14ac:dyDescent="0.25">
      <c r="A82" s="12" t="s">
        <v>201</v>
      </c>
      <c r="B82" s="12"/>
      <c r="C82" s="12"/>
      <c r="D82" s="12"/>
      <c r="E82" s="12"/>
      <c r="F82" s="12"/>
    </row>
    <row r="83" spans="1:6" x14ac:dyDescent="0.25">
      <c r="A83" s="13" t="s">
        <v>202</v>
      </c>
      <c r="B83" s="21">
        <f>IF(B3=0,"",B12/B3)</f>
        <v>10736</v>
      </c>
      <c r="C83" s="21">
        <f>IF(C3=0,"",C12/C3)</f>
        <v>12614</v>
      </c>
      <c r="D83" s="21">
        <f>IF(D3=0,"",D12/D3)</f>
        <v>12615</v>
      </c>
      <c r="E83" s="21">
        <f>IF(E3=0,"",E12/E3)</f>
        <v>12691</v>
      </c>
      <c r="F83" s="21">
        <f>IF(F3=0,"",F12/F3)</f>
        <v>12961</v>
      </c>
    </row>
    <row r="84" spans="1:6" x14ac:dyDescent="0.25">
      <c r="A84" s="13" t="s">
        <v>203</v>
      </c>
      <c r="B84" s="21">
        <f>IF(B3=0,"",B59/B3)</f>
        <v>14469</v>
      </c>
      <c r="C84" s="21">
        <f>IF(C3=0,"",C59/C3)</f>
        <v>11047</v>
      </c>
      <c r="D84" s="21">
        <f>IF(D3=0,"",D59/D3)</f>
        <v>8374</v>
      </c>
      <c r="E84" s="21">
        <f>IF(E3=0,"",E59/E3)</f>
        <v>7322</v>
      </c>
      <c r="F84" s="21">
        <f>IF(F3=0,"",F59/F3)</f>
        <v>7141</v>
      </c>
    </row>
    <row r="85" spans="1:6" x14ac:dyDescent="0.25">
      <c r="A85" s="13" t="s">
        <v>204</v>
      </c>
      <c r="B85" s="21">
        <f>B56+B58</f>
        <v>1191256</v>
      </c>
      <c r="C85" s="21">
        <f>C56+C58</f>
        <v>1321543</v>
      </c>
      <c r="D85" s="21">
        <f>D56+D58</f>
        <v>1321543</v>
      </c>
      <c r="E85" s="21">
        <f>E56+E58</f>
        <v>1306543</v>
      </c>
      <c r="F85" s="21">
        <f>F56+F58</f>
        <v>1301543</v>
      </c>
    </row>
    <row r="86" spans="1:6" x14ac:dyDescent="0.25">
      <c r="A86" s="13" t="s">
        <v>205</v>
      </c>
      <c r="B86" s="21">
        <f>IF(B3=0,"",B57/B3)</f>
        <v>4542</v>
      </c>
      <c r="C86" s="21">
        <f>IF(C3=0,"",C57/C3)</f>
        <v>4439</v>
      </c>
      <c r="D86" s="21">
        <f>IF(D3=0,"",D57/D3)</f>
        <v>3968</v>
      </c>
      <c r="E86" s="21">
        <f>IF(E3=0,"",E57/E3)</f>
        <v>3838</v>
      </c>
      <c r="F86" s="21">
        <f>IF(F3=0,"",F57/F3)</f>
        <v>3887</v>
      </c>
    </row>
    <row r="87" spans="1:6" x14ac:dyDescent="0.25">
      <c r="A87" s="13" t="s">
        <v>206</v>
      </c>
      <c r="B87" s="21">
        <f>IF(B3=0,"",B83-B86)</f>
        <v>6194</v>
      </c>
      <c r="C87" s="21">
        <f>IF(C3=0,"",C83-C86)</f>
        <v>8175</v>
      </c>
      <c r="D87" s="21">
        <f>IF(D3=0,"",D83-D86)</f>
        <v>8647</v>
      </c>
      <c r="E87" s="21">
        <f>IF(E3=0,"",E83-E86)</f>
        <v>8853</v>
      </c>
      <c r="F87" s="21">
        <f>IF(F3=0,"",F83-F86)</f>
        <v>9074</v>
      </c>
    </row>
    <row r="88" spans="1:6" x14ac:dyDescent="0.25">
      <c r="A88" s="40" t="s">
        <v>207</v>
      </c>
      <c r="B88" s="41">
        <f>IF(B87&lt;=0,"N/A",ROUNDUP(B85/B87,0))</f>
        <v>193</v>
      </c>
      <c r="C88" s="41">
        <f>IF(C87&lt;=0,"N/A",ROUNDUP(C85/C87,0))</f>
        <v>162</v>
      </c>
      <c r="D88" s="41">
        <f>IF(D87&lt;=0,"N/A",ROUNDUP(D85/D87,0))</f>
        <v>153</v>
      </c>
      <c r="E88" s="41">
        <f>IF(E87&lt;=0,"N/A",ROUNDUP(E85/E87,0))</f>
        <v>148</v>
      </c>
      <c r="F88" s="41">
        <f>IF(F87&lt;=0,"N/A",ROUNDUP(F85/F87,0))</f>
        <v>144</v>
      </c>
    </row>
    <row r="90" spans="1:6" x14ac:dyDescent="0.25">
      <c r="A90" s="24" t="s">
        <v>144</v>
      </c>
      <c r="B90" s="24"/>
      <c r="C90" s="24"/>
      <c r="D90" s="24"/>
      <c r="E90" s="24"/>
      <c r="F90" s="24"/>
    </row>
  </sheetData>
  <mergeCells count="2">
    <mergeCell ref="A1:F1"/>
    <mergeCell ref="A90:F90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209</v>
      </c>
      <c r="D2" s="25" t="s">
        <v>210</v>
      </c>
      <c r="E2" s="25" t="s">
        <v>211</v>
      </c>
      <c r="F2" s="25" t="s">
        <v>212</v>
      </c>
      <c r="G2" s="25" t="s">
        <v>213</v>
      </c>
      <c r="H2" s="25" t="s">
        <v>214</v>
      </c>
      <c r="I2" s="25" t="s">
        <v>215</v>
      </c>
      <c r="J2" s="25" t="s">
        <v>216</v>
      </c>
      <c r="K2" s="25" t="s">
        <v>217</v>
      </c>
      <c r="L2" s="25" t="s">
        <v>218</v>
      </c>
      <c r="M2" s="25" t="s">
        <v>219</v>
      </c>
      <c r="N2" s="25" t="s">
        <v>220</v>
      </c>
    </row>
    <row r="3" ht="24" customHeight="1" spans="1:14" x14ac:dyDescent="0.25">
      <c r="A3" s="12" t="s">
        <v>146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114000</v>
      </c>
      <c r="C4" s="21">
        <v>114000</v>
      </c>
      <c r="D4" s="21">
        <v>114000</v>
      </c>
      <c r="E4" s="21">
        <v>114000</v>
      </c>
      <c r="F4" s="21">
        <v>114000</v>
      </c>
      <c r="G4" s="21">
        <v>114000</v>
      </c>
      <c r="H4" s="21">
        <v>114000</v>
      </c>
      <c r="I4" s="21">
        <v>114000</v>
      </c>
      <c r="J4" s="21">
        <v>114000</v>
      </c>
      <c r="K4" s="21">
        <v>114000</v>
      </c>
      <c r="L4" s="21">
        <v>0</v>
      </c>
      <c r="M4" s="21">
        <v>0</v>
      </c>
      <c r="N4" s="21">
        <f>SUM(B4:M4)</f>
        <v>950000</v>
      </c>
    </row>
    <row r="5" spans="1:14" x14ac:dyDescent="0.25">
      <c r="A5" s="13" t="s">
        <v>70</v>
      </c>
      <c r="B5" s="21">
        <v>9600</v>
      </c>
      <c r="C5" s="21">
        <v>9600</v>
      </c>
      <c r="D5" s="21">
        <v>9600</v>
      </c>
      <c r="E5" s="21">
        <v>9600</v>
      </c>
      <c r="F5" s="21">
        <v>9600</v>
      </c>
      <c r="G5" s="21">
        <v>9600</v>
      </c>
      <c r="H5" s="21">
        <v>9600</v>
      </c>
      <c r="I5" s="21">
        <v>9600</v>
      </c>
      <c r="J5" s="21">
        <v>9600</v>
      </c>
      <c r="K5" s="21">
        <v>9600</v>
      </c>
      <c r="L5" s="21">
        <v>0</v>
      </c>
      <c r="M5" s="21">
        <v>0</v>
      </c>
      <c r="N5" s="21">
        <f>SUM(B5:M5)</f>
        <v>80000</v>
      </c>
    </row>
    <row r="6" spans="1:14" x14ac:dyDescent="0.25">
      <c r="A6" s="13" t="s">
        <v>71</v>
      </c>
      <c r="B6" s="21">
        <v>14400</v>
      </c>
      <c r="C6" s="21">
        <v>14400</v>
      </c>
      <c r="D6" s="21">
        <v>14400</v>
      </c>
      <c r="E6" s="21">
        <v>14400</v>
      </c>
      <c r="F6" s="21">
        <v>14400</v>
      </c>
      <c r="G6" s="21">
        <v>14400</v>
      </c>
      <c r="H6" s="21">
        <v>14400</v>
      </c>
      <c r="I6" s="21">
        <v>14400</v>
      </c>
      <c r="J6" s="21">
        <v>14400</v>
      </c>
      <c r="K6" s="21">
        <v>14400</v>
      </c>
      <c r="L6" s="21">
        <v>0</v>
      </c>
      <c r="M6" s="21">
        <v>0</v>
      </c>
      <c r="N6" s="21">
        <f>SUM(B6:M6)</f>
        <v>120000</v>
      </c>
    </row>
    <row r="7" spans="1:14" x14ac:dyDescent="0.25">
      <c r="A7" s="13" t="s">
        <v>72</v>
      </c>
      <c r="B7" s="21">
        <v>10000</v>
      </c>
      <c r="C7" s="21">
        <v>10000</v>
      </c>
      <c r="D7" s="21">
        <v>10000</v>
      </c>
      <c r="E7" s="21">
        <v>10000</v>
      </c>
      <c r="F7" s="21">
        <v>10000</v>
      </c>
      <c r="G7" s="21">
        <v>10000</v>
      </c>
      <c r="H7" s="21">
        <v>10000</v>
      </c>
      <c r="I7" s="21">
        <v>10000</v>
      </c>
      <c r="J7" s="21">
        <v>10000</v>
      </c>
      <c r="K7" s="21">
        <v>10000</v>
      </c>
      <c r="L7" s="21">
        <v>0</v>
      </c>
      <c r="M7" s="21">
        <v>0</v>
      </c>
      <c r="N7" s="21">
        <f>SUM(B7:M7)</f>
        <v>83333</v>
      </c>
    </row>
    <row r="8" spans="1:14" x14ac:dyDescent="0.25">
      <c r="A8" s="13" t="s">
        <v>75</v>
      </c>
      <c r="B8" s="21">
        <v>3000</v>
      </c>
      <c r="C8" s="21">
        <v>3000</v>
      </c>
      <c r="D8" s="21">
        <v>3000</v>
      </c>
      <c r="E8" s="21">
        <v>3000</v>
      </c>
      <c r="F8" s="21">
        <v>3000</v>
      </c>
      <c r="G8" s="21">
        <v>3000</v>
      </c>
      <c r="H8" s="21">
        <v>3000</v>
      </c>
      <c r="I8" s="21">
        <v>3000</v>
      </c>
      <c r="J8" s="21">
        <v>3000</v>
      </c>
      <c r="K8" s="21">
        <v>3000</v>
      </c>
      <c r="L8" s="21">
        <v>0</v>
      </c>
      <c r="M8" s="21">
        <v>0</v>
      </c>
      <c r="N8" s="21">
        <f>SUM(B8:M8)</f>
        <v>25000</v>
      </c>
    </row>
    <row r="9" spans="1:14" x14ac:dyDescent="0.25">
      <c r="A9" s="13" t="s">
        <v>76</v>
      </c>
      <c r="B9" s="21">
        <v>3600</v>
      </c>
      <c r="C9" s="21">
        <v>3600</v>
      </c>
      <c r="D9" s="21">
        <v>3600</v>
      </c>
      <c r="E9" s="21">
        <v>3600</v>
      </c>
      <c r="F9" s="21">
        <v>3600</v>
      </c>
      <c r="G9" s="21">
        <v>3600</v>
      </c>
      <c r="H9" s="21">
        <v>3600</v>
      </c>
      <c r="I9" s="21">
        <v>3600</v>
      </c>
      <c r="J9" s="21">
        <v>3600</v>
      </c>
      <c r="K9" s="21">
        <v>3600</v>
      </c>
      <c r="L9" s="21">
        <v>0</v>
      </c>
      <c r="M9" s="21">
        <v>0</v>
      </c>
      <c r="N9" s="21">
        <f>SUM(B9:M9)</f>
        <v>30000</v>
      </c>
    </row>
    <row r="10" ht="24" customHeight="1" spans="1:14" x14ac:dyDescent="0.25">
      <c r="A10" s="12" t="s">
        <v>147</v>
      </c>
      <c r="B10" s="28">
        <f>SUM(B4:B9)</f>
        <v>154600</v>
      </c>
      <c r="C10" s="28">
        <f>SUM(C4:C9)</f>
        <v>154600</v>
      </c>
      <c r="D10" s="28">
        <f>SUM(D4:D9)</f>
        <v>154600</v>
      </c>
      <c r="E10" s="28">
        <f>SUM(E4:E9)</f>
        <v>154600</v>
      </c>
      <c r="F10" s="28">
        <f>SUM(F4:F9)</f>
        <v>154600</v>
      </c>
      <c r="G10" s="28">
        <f>SUM(G4:G9)</f>
        <v>154600</v>
      </c>
      <c r="H10" s="28">
        <f>SUM(H4:H9)</f>
        <v>154600</v>
      </c>
      <c r="I10" s="28">
        <f>SUM(I4:I9)</f>
        <v>154600</v>
      </c>
      <c r="J10" s="28">
        <f>SUM(J4:J9)</f>
        <v>154600</v>
      </c>
      <c r="K10" s="28">
        <f>SUM(K4:K9)</f>
        <v>154600</v>
      </c>
      <c r="L10" s="28" t="str">
        <f>SUM(L4:L9)</f>
        <v>0</v>
      </c>
      <c r="M10" s="28" t="str">
        <f>SUM(M4:M9)</f>
        <v>0</v>
      </c>
      <c r="N10" s="28">
        <f>SUM(B10:M10)</f>
        <v>1546000</v>
      </c>
    </row>
    <row r="11" spans="1:1" x14ac:dyDescent="0.25">
      <c r="A11" t="s">
        <v>7</v>
      </c>
    </row>
    <row r="12" ht="24" customHeight="1" spans="1:14" x14ac:dyDescent="0.25">
      <c r="A12" s="12" t="s">
        <v>148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12435</v>
      </c>
      <c r="C13" s="21">
        <v>12435</v>
      </c>
      <c r="D13" s="21">
        <v>12435</v>
      </c>
      <c r="E13" s="21">
        <v>12435</v>
      </c>
      <c r="F13" s="21">
        <v>12435</v>
      </c>
      <c r="G13" s="21">
        <v>12435</v>
      </c>
      <c r="H13" s="21">
        <v>12435</v>
      </c>
      <c r="I13" s="21">
        <v>12435</v>
      </c>
      <c r="J13" s="21">
        <v>12435</v>
      </c>
      <c r="K13" s="21">
        <v>12435</v>
      </c>
      <c r="L13" s="21">
        <v>0</v>
      </c>
      <c r="M13" s="21">
        <v>0</v>
      </c>
      <c r="N13" s="21">
        <f>SUM(B13:M13)</f>
        <v>124346</v>
      </c>
    </row>
    <row r="14" spans="1:14" x14ac:dyDescent="0.25">
      <c r="A14" s="13" t="s">
        <v>91</v>
      </c>
      <c r="B14" s="21">
        <v>10174</v>
      </c>
      <c r="C14" s="21">
        <v>10174</v>
      </c>
      <c r="D14" s="21">
        <v>10174</v>
      </c>
      <c r="E14" s="21">
        <v>10174</v>
      </c>
      <c r="F14" s="21">
        <v>10174</v>
      </c>
      <c r="G14" s="21">
        <v>10174</v>
      </c>
      <c r="H14" s="21">
        <v>10174</v>
      </c>
      <c r="I14" s="21">
        <v>10174</v>
      </c>
      <c r="J14" s="21">
        <v>10174</v>
      </c>
      <c r="K14" s="21">
        <v>10174</v>
      </c>
      <c r="L14" s="21">
        <v>0</v>
      </c>
      <c r="M14" s="21">
        <v>0</v>
      </c>
      <c r="N14" s="21">
        <f>SUM(B14:M14)</f>
        <v>101738</v>
      </c>
    </row>
    <row r="15" spans="1:14" x14ac:dyDescent="0.25">
      <c r="A15" s="13" t="s">
        <v>92</v>
      </c>
      <c r="B15" s="21">
        <v>8139</v>
      </c>
      <c r="C15" s="21">
        <v>8139</v>
      </c>
      <c r="D15" s="21">
        <v>8139</v>
      </c>
      <c r="E15" s="21">
        <v>8139</v>
      </c>
      <c r="F15" s="21">
        <v>8139</v>
      </c>
      <c r="G15" s="21">
        <v>8139</v>
      </c>
      <c r="H15" s="21">
        <v>8139</v>
      </c>
      <c r="I15" s="21">
        <v>8139</v>
      </c>
      <c r="J15" s="21">
        <v>8139</v>
      </c>
      <c r="K15" s="21">
        <v>8139</v>
      </c>
      <c r="L15" s="21">
        <v>0</v>
      </c>
      <c r="M15" s="21">
        <v>0</v>
      </c>
      <c r="N15" s="21">
        <f>SUM(B15:M15)</f>
        <v>81390</v>
      </c>
    </row>
    <row r="16" spans="1:14" x14ac:dyDescent="0.25">
      <c r="A16" s="13" t="s">
        <v>93</v>
      </c>
      <c r="B16" s="21">
        <v>35269</v>
      </c>
      <c r="C16" s="21">
        <v>35269</v>
      </c>
      <c r="D16" s="21">
        <v>35269</v>
      </c>
      <c r="E16" s="21">
        <v>35269</v>
      </c>
      <c r="F16" s="21">
        <v>35269</v>
      </c>
      <c r="G16" s="21">
        <v>35269</v>
      </c>
      <c r="H16" s="21">
        <v>35269</v>
      </c>
      <c r="I16" s="21">
        <v>35269</v>
      </c>
      <c r="J16" s="21">
        <v>35269</v>
      </c>
      <c r="K16" s="21">
        <v>35269</v>
      </c>
      <c r="L16" s="21">
        <v>0</v>
      </c>
      <c r="M16" s="21">
        <v>0</v>
      </c>
      <c r="N16" s="21">
        <f>SUM(B16:M16)</f>
        <v>352690</v>
      </c>
    </row>
    <row r="17" spans="1:14" x14ac:dyDescent="0.25">
      <c r="A17" s="13" t="s">
        <v>95</v>
      </c>
      <c r="B17" s="21">
        <v>6217</v>
      </c>
      <c r="C17" s="21">
        <v>6217</v>
      </c>
      <c r="D17" s="21">
        <v>6217</v>
      </c>
      <c r="E17" s="21">
        <v>6217</v>
      </c>
      <c r="F17" s="21">
        <v>6217</v>
      </c>
      <c r="G17" s="21">
        <v>6217</v>
      </c>
      <c r="H17" s="21">
        <v>6217</v>
      </c>
      <c r="I17" s="21">
        <v>6217</v>
      </c>
      <c r="J17" s="21">
        <v>6217</v>
      </c>
      <c r="K17" s="21">
        <v>6217</v>
      </c>
      <c r="L17" s="21">
        <v>0</v>
      </c>
      <c r="M17" s="21">
        <v>0</v>
      </c>
      <c r="N17" s="21">
        <f>SUM(B17:M17)</f>
        <v>62173</v>
      </c>
    </row>
    <row r="18" spans="1:14" x14ac:dyDescent="0.25">
      <c r="A18" s="13" t="s">
        <v>96</v>
      </c>
      <c r="B18" s="21">
        <v>9574</v>
      </c>
      <c r="C18" s="21">
        <v>9574</v>
      </c>
      <c r="D18" s="21">
        <v>9574</v>
      </c>
      <c r="E18" s="21">
        <v>9574</v>
      </c>
      <c r="F18" s="21">
        <v>9574</v>
      </c>
      <c r="G18" s="21">
        <v>9574</v>
      </c>
      <c r="H18" s="21">
        <v>9574</v>
      </c>
      <c r="I18" s="21">
        <v>9574</v>
      </c>
      <c r="J18" s="21">
        <v>9574</v>
      </c>
      <c r="K18" s="21">
        <v>9574</v>
      </c>
      <c r="L18" s="21">
        <v>0</v>
      </c>
      <c r="M18" s="21">
        <v>0</v>
      </c>
      <c r="N18" s="21">
        <f>SUM(B18:M18)</f>
        <v>95738</v>
      </c>
    </row>
    <row r="19" spans="1:14" x14ac:dyDescent="0.25">
      <c r="A19" s="13" t="s">
        <v>97</v>
      </c>
      <c r="B19" s="21">
        <v>6217</v>
      </c>
      <c r="C19" s="21">
        <v>6217</v>
      </c>
      <c r="D19" s="21">
        <v>6217</v>
      </c>
      <c r="E19" s="21">
        <v>6217</v>
      </c>
      <c r="F19" s="21">
        <v>6217</v>
      </c>
      <c r="G19" s="21">
        <v>6217</v>
      </c>
      <c r="H19" s="21">
        <v>6217</v>
      </c>
      <c r="I19" s="21">
        <v>6217</v>
      </c>
      <c r="J19" s="21">
        <v>6217</v>
      </c>
      <c r="K19" s="21">
        <v>6217</v>
      </c>
      <c r="L19" s="21">
        <v>0</v>
      </c>
      <c r="M19" s="21">
        <v>0</v>
      </c>
      <c r="N19" s="21">
        <f>SUM(B19:M19)</f>
        <v>62173</v>
      </c>
    </row>
    <row r="20" spans="1:14" x14ac:dyDescent="0.25">
      <c r="A20" s="13" t="s">
        <v>99</v>
      </c>
      <c r="B20" s="21">
        <v>8401</v>
      </c>
      <c r="C20" s="21">
        <v>8401</v>
      </c>
      <c r="D20" s="21">
        <v>8401</v>
      </c>
      <c r="E20" s="21">
        <v>8401</v>
      </c>
      <c r="F20" s="21">
        <v>8401</v>
      </c>
      <c r="G20" s="21">
        <v>8401</v>
      </c>
      <c r="H20" s="21">
        <v>8401</v>
      </c>
      <c r="I20" s="21">
        <v>8401</v>
      </c>
      <c r="J20" s="21">
        <v>8401</v>
      </c>
      <c r="K20" s="21">
        <v>8401</v>
      </c>
      <c r="L20" s="21">
        <v>0</v>
      </c>
      <c r="M20" s="21">
        <v>0</v>
      </c>
      <c r="N20" s="21">
        <f>SUM(B20:M20)</f>
        <v>84012</v>
      </c>
    </row>
    <row r="21" spans="1:14" x14ac:dyDescent="0.25">
      <c r="A21" s="13" t="s">
        <v>101</v>
      </c>
      <c r="B21" s="21">
        <v>6217</v>
      </c>
      <c r="C21" s="21">
        <v>6217</v>
      </c>
      <c r="D21" s="21">
        <v>6217</v>
      </c>
      <c r="E21" s="21">
        <v>6217</v>
      </c>
      <c r="F21" s="21">
        <v>6217</v>
      </c>
      <c r="G21" s="21">
        <v>6217</v>
      </c>
      <c r="H21" s="21">
        <v>6217</v>
      </c>
      <c r="I21" s="21">
        <v>6217</v>
      </c>
      <c r="J21" s="21">
        <v>6217</v>
      </c>
      <c r="K21" s="21">
        <v>6217</v>
      </c>
      <c r="L21" s="21">
        <v>0</v>
      </c>
      <c r="M21" s="21">
        <v>0</v>
      </c>
      <c r="N21" s="21">
        <f>SUM(B21:M21)</f>
        <v>62173</v>
      </c>
    </row>
    <row r="22" ht="24" customHeight="1" spans="1:14" x14ac:dyDescent="0.25">
      <c r="A22" s="12" t="s">
        <v>158</v>
      </c>
      <c r="B22" s="28">
        <f>SUM(B13:B21)</f>
        <v>102643</v>
      </c>
      <c r="C22" s="28">
        <f>SUM(C13:C21)</f>
        <v>102643</v>
      </c>
      <c r="D22" s="28">
        <f>SUM(D13:D21)</f>
        <v>102643</v>
      </c>
      <c r="E22" s="28">
        <f>SUM(E13:E21)</f>
        <v>102643</v>
      </c>
      <c r="F22" s="28">
        <f>SUM(F13:F21)</f>
        <v>102643</v>
      </c>
      <c r="G22" s="28">
        <f>SUM(G13:G21)</f>
        <v>102643</v>
      </c>
      <c r="H22" s="28">
        <f>SUM(H13:H21)</f>
        <v>102643</v>
      </c>
      <c r="I22" s="28">
        <f>SUM(I13:I21)</f>
        <v>102643</v>
      </c>
      <c r="J22" s="28">
        <f>SUM(J13:J21)</f>
        <v>102643</v>
      </c>
      <c r="K22" s="28">
        <f>SUM(K13:K21)</f>
        <v>102643</v>
      </c>
      <c r="L22" s="28" t="str">
        <f>SUM(L13:L21)</f>
        <v>0</v>
      </c>
      <c r="M22" s="28" t="str">
        <f>SUM(M13:M21)</f>
        <v>0</v>
      </c>
      <c r="N22" s="28">
        <f>SUM(B22:M22)</f>
        <v>1026431</v>
      </c>
    </row>
    <row r="23" spans="1:1" x14ac:dyDescent="0.25">
      <c r="A23" t="s">
        <v>7</v>
      </c>
    </row>
    <row r="24" ht="24" customHeight="1" spans="1:14" x14ac:dyDescent="0.25">
      <c r="A24" s="12" t="s">
        <v>111</v>
      </c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</row>
    <row r="25" spans="1:14" x14ac:dyDescent="0.25">
      <c r="A25" s="13" t="s">
        <v>118</v>
      </c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</row>
    <row r="26" spans="1:14" x14ac:dyDescent="0.25">
      <c r="A26" s="13" t="s">
        <v>221</v>
      </c>
      <c r="B26" s="21">
        <v>7000</v>
      </c>
      <c r="C26" s="21">
        <v>7000</v>
      </c>
      <c r="D26" s="21">
        <v>7000</v>
      </c>
      <c r="E26" s="21">
        <v>7000</v>
      </c>
      <c r="F26" s="21">
        <v>7000</v>
      </c>
      <c r="G26" s="21">
        <v>7000</v>
      </c>
      <c r="H26" s="21">
        <v>7000</v>
      </c>
      <c r="I26" s="21">
        <v>7000</v>
      </c>
      <c r="J26" s="21">
        <v>7000</v>
      </c>
      <c r="K26" s="21">
        <v>7000</v>
      </c>
      <c r="L26" s="21">
        <v>0</v>
      </c>
      <c r="M26" s="21">
        <v>0</v>
      </c>
      <c r="N26" s="21">
        <f>SUM(B26:M26)</f>
        <v>70000</v>
      </c>
    </row>
    <row r="27" spans="1:14" x14ac:dyDescent="0.25">
      <c r="A27" s="29" t="s">
        <v>160</v>
      </c>
      <c r="B27" s="30">
        <v>7000</v>
      </c>
      <c r="C27" s="30">
        <v>7000</v>
      </c>
      <c r="D27" s="30">
        <v>7000</v>
      </c>
      <c r="E27" s="30">
        <v>7000</v>
      </c>
      <c r="F27" s="30">
        <v>7000</v>
      </c>
      <c r="G27" s="30">
        <v>7000</v>
      </c>
      <c r="H27" s="30">
        <v>7000</v>
      </c>
      <c r="I27" s="30">
        <v>7000</v>
      </c>
      <c r="J27" s="30">
        <v>7000</v>
      </c>
      <c r="K27" s="30">
        <v>7000</v>
      </c>
      <c r="L27" s="30">
        <v>0</v>
      </c>
      <c r="M27" s="30">
        <v>0</v>
      </c>
      <c r="N27" s="30">
        <f>SUM(B27:M27)</f>
        <v>70000</v>
      </c>
    </row>
    <row r="28" spans="1:14" x14ac:dyDescent="0.25">
      <c r="A28" s="13" t="s">
        <v>120</v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</row>
    <row r="29" spans="1:14" x14ac:dyDescent="0.25">
      <c r="A29" s="13" t="s">
        <v>222</v>
      </c>
      <c r="B29" s="21">
        <v>5000</v>
      </c>
      <c r="C29" s="21">
        <v>5000</v>
      </c>
      <c r="D29" s="21">
        <v>5000</v>
      </c>
      <c r="E29" s="21">
        <v>5000</v>
      </c>
      <c r="F29" s="21">
        <v>5000</v>
      </c>
      <c r="G29" s="21">
        <v>5000</v>
      </c>
      <c r="H29" s="21">
        <v>5000</v>
      </c>
      <c r="I29" s="21">
        <v>5000</v>
      </c>
      <c r="J29" s="21">
        <v>5000</v>
      </c>
      <c r="K29" s="21">
        <v>5000</v>
      </c>
      <c r="L29" s="21">
        <v>0</v>
      </c>
      <c r="M29" s="21">
        <v>0</v>
      </c>
      <c r="N29" s="21">
        <f>SUM(B29:M29)</f>
        <v>50000</v>
      </c>
    </row>
    <row r="30" spans="1:14" x14ac:dyDescent="0.25">
      <c r="A30" s="29" t="s">
        <v>162</v>
      </c>
      <c r="B30" s="30">
        <v>5000</v>
      </c>
      <c r="C30" s="30">
        <v>5000</v>
      </c>
      <c r="D30" s="30">
        <v>5000</v>
      </c>
      <c r="E30" s="30">
        <v>5000</v>
      </c>
      <c r="F30" s="30">
        <v>5000</v>
      </c>
      <c r="G30" s="30">
        <v>5000</v>
      </c>
      <c r="H30" s="30">
        <v>5000</v>
      </c>
      <c r="I30" s="30">
        <v>5000</v>
      </c>
      <c r="J30" s="30">
        <v>5000</v>
      </c>
      <c r="K30" s="30">
        <v>5000</v>
      </c>
      <c r="L30" s="30">
        <v>0</v>
      </c>
      <c r="M30" s="30">
        <v>0</v>
      </c>
      <c r="N30" s="30">
        <f>SUM(B30:M30)</f>
        <v>50000</v>
      </c>
    </row>
    <row r="31" spans="1:14" x14ac:dyDescent="0.25">
      <c r="A31" s="13" t="s">
        <v>113</v>
      </c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</row>
    <row r="32" spans="1:14" x14ac:dyDescent="0.25">
      <c r="A32" s="13" t="s">
        <v>223</v>
      </c>
      <c r="B32" s="21">
        <v>18000</v>
      </c>
      <c r="C32" s="21">
        <v>18000</v>
      </c>
      <c r="D32" s="21">
        <v>18000</v>
      </c>
      <c r="E32" s="21">
        <v>18000</v>
      </c>
      <c r="F32" s="21">
        <v>18000</v>
      </c>
      <c r="G32" s="21">
        <v>18000</v>
      </c>
      <c r="H32" s="21">
        <v>18000</v>
      </c>
      <c r="I32" s="21">
        <v>18000</v>
      </c>
      <c r="J32" s="21">
        <v>18000</v>
      </c>
      <c r="K32" s="21">
        <v>18000</v>
      </c>
      <c r="L32" s="21">
        <v>0</v>
      </c>
      <c r="M32" s="21">
        <v>0</v>
      </c>
      <c r="N32" s="21">
        <f>SUM(B32:M32)</f>
        <v>180000</v>
      </c>
    </row>
    <row r="33" spans="1:14" x14ac:dyDescent="0.25">
      <c r="A33" s="13" t="s">
        <v>224</v>
      </c>
      <c r="B33" s="21">
        <v>2500</v>
      </c>
      <c r="C33" s="21">
        <v>2500</v>
      </c>
      <c r="D33" s="21">
        <v>2500</v>
      </c>
      <c r="E33" s="21">
        <v>2500</v>
      </c>
      <c r="F33" s="21">
        <v>2500</v>
      </c>
      <c r="G33" s="21">
        <v>2500</v>
      </c>
      <c r="H33" s="21">
        <v>2500</v>
      </c>
      <c r="I33" s="21">
        <v>2500</v>
      </c>
      <c r="J33" s="21">
        <v>2500</v>
      </c>
      <c r="K33" s="21">
        <v>2500</v>
      </c>
      <c r="L33" s="21">
        <v>0</v>
      </c>
      <c r="M33" s="21">
        <v>0</v>
      </c>
      <c r="N33" s="21">
        <f>SUM(B33:M33)</f>
        <v>25000</v>
      </c>
    </row>
    <row r="34" spans="1:14" x14ac:dyDescent="0.25">
      <c r="A34" s="13" t="s">
        <v>225</v>
      </c>
      <c r="B34" s="21">
        <v>1500</v>
      </c>
      <c r="C34" s="21">
        <v>1500</v>
      </c>
      <c r="D34" s="21">
        <v>1500</v>
      </c>
      <c r="E34" s="21">
        <v>1500</v>
      </c>
      <c r="F34" s="21">
        <v>1500</v>
      </c>
      <c r="G34" s="21">
        <v>1500</v>
      </c>
      <c r="H34" s="21">
        <v>1500</v>
      </c>
      <c r="I34" s="21">
        <v>1500</v>
      </c>
      <c r="J34" s="21">
        <v>1500</v>
      </c>
      <c r="K34" s="21">
        <v>1500</v>
      </c>
      <c r="L34" s="21">
        <v>0</v>
      </c>
      <c r="M34" s="21">
        <v>0</v>
      </c>
      <c r="N34" s="21">
        <f>SUM(B34:M34)</f>
        <v>15000</v>
      </c>
    </row>
    <row r="35" spans="1:14" x14ac:dyDescent="0.25">
      <c r="A35" s="13" t="s">
        <v>226</v>
      </c>
      <c r="B35" s="21">
        <v>1500</v>
      </c>
      <c r="C35" s="21">
        <v>1500</v>
      </c>
      <c r="D35" s="21">
        <v>1500</v>
      </c>
      <c r="E35" s="21">
        <v>1500</v>
      </c>
      <c r="F35" s="21">
        <v>1500</v>
      </c>
      <c r="G35" s="21">
        <v>1500</v>
      </c>
      <c r="H35" s="21">
        <v>1500</v>
      </c>
      <c r="I35" s="21">
        <v>1500</v>
      </c>
      <c r="J35" s="21">
        <v>1500</v>
      </c>
      <c r="K35" s="21">
        <v>1500</v>
      </c>
      <c r="L35" s="21">
        <v>0</v>
      </c>
      <c r="M35" s="21">
        <v>0</v>
      </c>
      <c r="N35" s="21">
        <f>SUM(B35:M35)</f>
        <v>15000</v>
      </c>
    </row>
    <row r="36" spans="1:14" x14ac:dyDescent="0.25">
      <c r="A36" s="29" t="s">
        <v>167</v>
      </c>
      <c r="B36" s="30">
        <v>23500</v>
      </c>
      <c r="C36" s="30">
        <v>23500</v>
      </c>
      <c r="D36" s="30">
        <v>23500</v>
      </c>
      <c r="E36" s="30">
        <v>23500</v>
      </c>
      <c r="F36" s="30">
        <v>23500</v>
      </c>
      <c r="G36" s="30">
        <v>23500</v>
      </c>
      <c r="H36" s="30">
        <v>23500</v>
      </c>
      <c r="I36" s="30">
        <v>23500</v>
      </c>
      <c r="J36" s="30">
        <v>23500</v>
      </c>
      <c r="K36" s="30">
        <v>23500</v>
      </c>
      <c r="L36" s="30">
        <v>0</v>
      </c>
      <c r="M36" s="30">
        <v>0</v>
      </c>
      <c r="N36" s="30">
        <f>SUM(B36:M36)</f>
        <v>235000</v>
      </c>
    </row>
    <row r="37" spans="1:14" x14ac:dyDescent="0.25">
      <c r="A37" s="13" t="s">
        <v>122</v>
      </c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</row>
    <row r="38" spans="1:14" x14ac:dyDescent="0.25">
      <c r="A38" s="13" t="s">
        <v>227</v>
      </c>
      <c r="B38" s="21">
        <v>2083</v>
      </c>
      <c r="C38" s="21">
        <v>2083</v>
      </c>
      <c r="D38" s="21">
        <v>2083</v>
      </c>
      <c r="E38" s="21">
        <v>2083</v>
      </c>
      <c r="F38" s="21">
        <v>2083</v>
      </c>
      <c r="G38" s="21">
        <v>2083</v>
      </c>
      <c r="H38" s="21">
        <v>2083</v>
      </c>
      <c r="I38" s="21">
        <v>2083</v>
      </c>
      <c r="J38" s="21">
        <v>2083</v>
      </c>
      <c r="K38" s="21">
        <v>2083</v>
      </c>
      <c r="L38" s="21">
        <v>0</v>
      </c>
      <c r="M38" s="21">
        <v>0</v>
      </c>
      <c r="N38" s="21">
        <f>SUM(B38:M38)</f>
        <v>20833</v>
      </c>
    </row>
    <row r="39" spans="1:14" x14ac:dyDescent="0.25">
      <c r="A39" s="13" t="s">
        <v>228</v>
      </c>
      <c r="B39" s="21">
        <v>1250</v>
      </c>
      <c r="C39" s="21">
        <v>1250</v>
      </c>
      <c r="D39" s="21">
        <v>1250</v>
      </c>
      <c r="E39" s="21">
        <v>1250</v>
      </c>
      <c r="F39" s="21">
        <v>1250</v>
      </c>
      <c r="G39" s="21">
        <v>1250</v>
      </c>
      <c r="H39" s="21">
        <v>1250</v>
      </c>
      <c r="I39" s="21">
        <v>1250</v>
      </c>
      <c r="J39" s="21">
        <v>1250</v>
      </c>
      <c r="K39" s="21">
        <v>1250</v>
      </c>
      <c r="L39" s="21">
        <v>0</v>
      </c>
      <c r="M39" s="21">
        <v>0</v>
      </c>
      <c r="N39" s="21">
        <f>SUM(B39:M39)</f>
        <v>12500</v>
      </c>
    </row>
    <row r="40" spans="1:14" x14ac:dyDescent="0.25">
      <c r="A40" s="13" t="s">
        <v>229</v>
      </c>
      <c r="B40" s="21">
        <v>1667</v>
      </c>
      <c r="C40" s="21">
        <v>1667</v>
      </c>
      <c r="D40" s="21">
        <v>1667</v>
      </c>
      <c r="E40" s="21">
        <v>1667</v>
      </c>
      <c r="F40" s="21">
        <v>1667</v>
      </c>
      <c r="G40" s="21">
        <v>1667</v>
      </c>
      <c r="H40" s="21">
        <v>1667</v>
      </c>
      <c r="I40" s="21">
        <v>1667</v>
      </c>
      <c r="J40" s="21">
        <v>1667</v>
      </c>
      <c r="K40" s="21">
        <v>1667</v>
      </c>
      <c r="L40" s="21">
        <v>0</v>
      </c>
      <c r="M40" s="21">
        <v>0</v>
      </c>
      <c r="N40" s="21">
        <f>SUM(B40:M40)</f>
        <v>16667</v>
      </c>
    </row>
    <row r="41" spans="1:14" x14ac:dyDescent="0.25">
      <c r="A41" s="13" t="s">
        <v>230</v>
      </c>
      <c r="B41" s="21">
        <v>8000</v>
      </c>
      <c r="C41" s="21">
        <v>8000</v>
      </c>
      <c r="D41" s="21">
        <v>8000</v>
      </c>
      <c r="E41" s="21">
        <v>8000</v>
      </c>
      <c r="F41" s="21">
        <v>8000</v>
      </c>
      <c r="G41" s="21">
        <v>8000</v>
      </c>
      <c r="H41" s="21">
        <v>8000</v>
      </c>
      <c r="I41" s="21">
        <v>8000</v>
      </c>
      <c r="J41" s="21">
        <v>8000</v>
      </c>
      <c r="K41" s="21">
        <v>8000</v>
      </c>
      <c r="L41" s="21">
        <v>0</v>
      </c>
      <c r="M41" s="21">
        <v>0</v>
      </c>
      <c r="N41" s="21">
        <f>SUM(B41:M41)</f>
        <v>80000</v>
      </c>
    </row>
    <row r="42" spans="1:14" x14ac:dyDescent="0.25">
      <c r="A42" s="13" t="s">
        <v>231</v>
      </c>
      <c r="B42" s="21">
        <v>6000</v>
      </c>
      <c r="C42" s="21">
        <v>6000</v>
      </c>
      <c r="D42" s="21">
        <v>6000</v>
      </c>
      <c r="E42" s="21">
        <v>6000</v>
      </c>
      <c r="F42" s="21">
        <v>6000</v>
      </c>
      <c r="G42" s="21">
        <v>6000</v>
      </c>
      <c r="H42" s="21">
        <v>6000</v>
      </c>
      <c r="I42" s="21">
        <v>6000</v>
      </c>
      <c r="J42" s="21">
        <v>6000</v>
      </c>
      <c r="K42" s="21">
        <v>6000</v>
      </c>
      <c r="L42" s="21">
        <v>0</v>
      </c>
      <c r="M42" s="21">
        <v>0</v>
      </c>
      <c r="N42" s="21">
        <f>SUM(B42:M42)</f>
        <v>60000</v>
      </c>
    </row>
    <row r="43" spans="1:14" x14ac:dyDescent="0.25">
      <c r="A43" s="29" t="s">
        <v>173</v>
      </c>
      <c r="B43" s="30">
        <v>19000</v>
      </c>
      <c r="C43" s="30">
        <v>19000</v>
      </c>
      <c r="D43" s="30">
        <v>19000</v>
      </c>
      <c r="E43" s="30">
        <v>19000</v>
      </c>
      <c r="F43" s="30">
        <v>19000</v>
      </c>
      <c r="G43" s="30">
        <v>19000</v>
      </c>
      <c r="H43" s="30">
        <v>19000</v>
      </c>
      <c r="I43" s="30">
        <v>19000</v>
      </c>
      <c r="J43" s="30">
        <v>19000</v>
      </c>
      <c r="K43" s="30">
        <v>19000</v>
      </c>
      <c r="L43" s="30">
        <v>0</v>
      </c>
      <c r="M43" s="30">
        <v>0</v>
      </c>
      <c r="N43" s="30">
        <f>SUM(B43:M43)</f>
        <v>190000</v>
      </c>
    </row>
    <row r="44" ht="24" customHeight="1" spans="1:14" x14ac:dyDescent="0.25">
      <c r="A44" s="12" t="s">
        <v>174</v>
      </c>
      <c r="B44" s="28">
        <f>B27+B30+B36+B43</f>
        <v>54500</v>
      </c>
      <c r="C44" s="28">
        <f>C27+C30+C36+C43</f>
        <v>54500</v>
      </c>
      <c r="D44" s="28">
        <f>D27+D30+D36+D43</f>
        <v>54500</v>
      </c>
      <c r="E44" s="28">
        <f>E27+E30+E36+E43</f>
        <v>54500</v>
      </c>
      <c r="F44" s="28">
        <f>F27+F30+F36+F43</f>
        <v>54500</v>
      </c>
      <c r="G44" s="28">
        <f>G27+G30+G36+G43</f>
        <v>54500</v>
      </c>
      <c r="H44" s="28">
        <f>H27+H30+H36+H43</f>
        <v>54500</v>
      </c>
      <c r="I44" s="28">
        <f>I27+I30+I36+I43</f>
        <v>54500</v>
      </c>
      <c r="J44" s="28">
        <f>J27+J30+J36+J43</f>
        <v>54500</v>
      </c>
      <c r="K44" s="28">
        <f>K27+K30+K36+K43</f>
        <v>54500</v>
      </c>
      <c r="L44" s="28" t="str">
        <f>L27+L30+L36+L43</f>
        <v>0</v>
      </c>
      <c r="M44" s="28" t="str">
        <f>M27+M30+M36+M43</f>
        <v>0</v>
      </c>
      <c r="N44" s="28">
        <f>SUM(B44:M44)</f>
        <v>545000</v>
      </c>
    </row>
    <row r="45" spans="1:1" x14ac:dyDescent="0.25">
      <c r="A45" t="s">
        <v>7</v>
      </c>
    </row>
    <row r="46" spans="1:14" x14ac:dyDescent="0.25">
      <c r="A46" s="26" t="s">
        <v>232</v>
      </c>
      <c r="B46" s="21">
        <v>13735</v>
      </c>
      <c r="C46" s="21">
        <v>13735</v>
      </c>
      <c r="D46" s="21">
        <v>13735</v>
      </c>
      <c r="E46" s="21">
        <v>13735</v>
      </c>
      <c r="F46" s="21">
        <v>13735</v>
      </c>
      <c r="G46" s="21">
        <v>13735</v>
      </c>
      <c r="H46" s="21">
        <v>13735</v>
      </c>
      <c r="I46" s="21">
        <v>13735</v>
      </c>
      <c r="J46" s="21">
        <v>13735</v>
      </c>
      <c r="K46" s="21">
        <v>13735</v>
      </c>
      <c r="L46" s="21">
        <v>13735</v>
      </c>
      <c r="M46" s="21">
        <v>13735</v>
      </c>
      <c r="N46" s="21">
        <f>SUM(B46:M46)</f>
        <v>164825</v>
      </c>
    </row>
    <row r="47" spans="1:1" x14ac:dyDescent="0.25">
      <c r="A47" t="s">
        <v>7</v>
      </c>
    </row>
    <row r="48" ht="24" customHeight="1" spans="1:14" x14ac:dyDescent="0.25">
      <c r="A48" s="12" t="s">
        <v>233</v>
      </c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</row>
    <row r="49" spans="1:14" x14ac:dyDescent="0.25">
      <c r="A49" s="26" t="s">
        <v>182</v>
      </c>
      <c r="B49" s="30">
        <f>B22+B44+B46</f>
        <v>170878</v>
      </c>
      <c r="C49" s="30">
        <f>C22+C44+C46</f>
        <v>170878</v>
      </c>
      <c r="D49" s="30">
        <f>D22+D44+D46</f>
        <v>170878</v>
      </c>
      <c r="E49" s="30">
        <f>E22+E44+E46</f>
        <v>170878</v>
      </c>
      <c r="F49" s="30">
        <f>F22+F44+F46</f>
        <v>170878</v>
      </c>
      <c r="G49" s="30">
        <f>G22+G44+G46</f>
        <v>170878</v>
      </c>
      <c r="H49" s="30">
        <f>H22+H44+H46</f>
        <v>170878</v>
      </c>
      <c r="I49" s="30">
        <f>I22+I44+I46</f>
        <v>170878</v>
      </c>
      <c r="J49" s="30">
        <f>J22+J44+J46</f>
        <v>170878</v>
      </c>
      <c r="K49" s="30">
        <f>K22+K44+K46</f>
        <v>170878</v>
      </c>
      <c r="L49" s="30">
        <f>L22+L44+L46</f>
        <v>13735</v>
      </c>
      <c r="M49" s="30">
        <f>M22+M44+M46</f>
        <v>13735</v>
      </c>
      <c r="N49" s="30">
        <f>SUM(B49:M49)</f>
        <v>1736250</v>
      </c>
    </row>
    <row r="50" spans="1:14" x14ac:dyDescent="0.25">
      <c r="A50" s="26" t="s">
        <v>234</v>
      </c>
      <c r="B50" s="30">
        <f>B10-B49</f>
        <v>-16278</v>
      </c>
      <c r="C50" s="30">
        <f>C10-C49</f>
        <v>-16278</v>
      </c>
      <c r="D50" s="30">
        <f>D10-D49</f>
        <v>-16278</v>
      </c>
      <c r="E50" s="30">
        <f>E10-E49</f>
        <v>-16278</v>
      </c>
      <c r="F50" s="30">
        <f>F10-F49</f>
        <v>-16278</v>
      </c>
      <c r="G50" s="30">
        <f>G10-G49</f>
        <v>-16278</v>
      </c>
      <c r="H50" s="30">
        <f>H10-H49</f>
        <v>-16278</v>
      </c>
      <c r="I50" s="30">
        <f>I10-I49</f>
        <v>-16278</v>
      </c>
      <c r="J50" s="30">
        <f>J10-J49</f>
        <v>-16278</v>
      </c>
      <c r="K50" s="30">
        <f>K10-K49</f>
        <v>-16278</v>
      </c>
      <c r="L50" s="30">
        <f>L10-L49</f>
        <v>-13735</v>
      </c>
      <c r="M50" s="30">
        <f>M10-M49</f>
        <v>-13735</v>
      </c>
      <c r="N50" s="30">
        <f>SUM(B50:M50)</f>
        <v>-190250</v>
      </c>
    </row>
    <row r="51" spans="1:14" x14ac:dyDescent="0.25">
      <c r="A51" s="26" t="s">
        <v>235</v>
      </c>
      <c r="B51" s="30">
        <f>0+B50</f>
        <v>-16278</v>
      </c>
      <c r="C51" s="30">
        <f>B51+C50</f>
        <v>-32556</v>
      </c>
      <c r="D51" s="30">
        <f>C51+D50</f>
        <v>-48834</v>
      </c>
      <c r="E51" s="30">
        <f>D51+E50</f>
        <v>-65112</v>
      </c>
      <c r="F51" s="30">
        <f>E51+F50</f>
        <v>-81390</v>
      </c>
      <c r="G51" s="30">
        <f>F51+G50</f>
        <v>-97668</v>
      </c>
      <c r="H51" s="30">
        <f>G51+H50</f>
        <v>-113946</v>
      </c>
      <c r="I51" s="30">
        <f>H51+I50</f>
        <v>-130224</v>
      </c>
      <c r="J51" s="30">
        <f>I51+J50</f>
        <v>-146502</v>
      </c>
      <c r="K51" s="30">
        <f>J51+K50</f>
        <v>-162780</v>
      </c>
      <c r="L51" s="30">
        <f>K51+L50</f>
        <v>-176515</v>
      </c>
      <c r="M51" s="30">
        <f>L51+M50</f>
        <v>-190250</v>
      </c>
      <c r="N51" s="30">
        <f>M51</f>
        <v>-190250</v>
      </c>
    </row>
    <row r="53" ht="24" customHeight="1" spans="1:3" x14ac:dyDescent="0.25">
      <c r="A53" s="12" t="s">
        <v>236</v>
      </c>
      <c r="B53" s="12"/>
      <c r="C53" s="12"/>
    </row>
    <row r="54" spans="1:2" x14ac:dyDescent="0.25">
      <c r="A54" s="13" t="s">
        <v>143</v>
      </c>
      <c r="B54" s="21">
        <v>0</v>
      </c>
    </row>
    <row r="55" spans="1:2" x14ac:dyDescent="0.25">
      <c r="A55" s="13" t="s">
        <v>237</v>
      </c>
      <c r="B55" s="30">
        <f>M51</f>
        <v>-190250</v>
      </c>
    </row>
    <row r="56" spans="1:2" x14ac:dyDescent="0.25">
      <c r="A56" s="13" t="s">
        <v>238</v>
      </c>
      <c r="B56" s="21">
        <f>MIN(B51:M51)</f>
        <v>-190250</v>
      </c>
    </row>
    <row r="58" spans="1:14" x14ac:dyDescent="0.25">
      <c r="A58" s="24" t="s">
        <v>144</v>
      </c>
      <c r="B58" s="24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239</v>
      </c>
      <c r="C2" s="1"/>
      <c r="D2" s="1"/>
      <c r="E2" s="1"/>
      <c r="F2" s="1"/>
      <c r="G2" s="1"/>
      <c r="H2" s="1"/>
    </row>
    <row r="3" spans="2:8" x14ac:dyDescent="0.25">
      <c r="B3" s="42" t="s">
        <v>240</v>
      </c>
      <c r="C3" s="42"/>
      <c r="D3" s="42"/>
      <c r="E3" s="42"/>
      <c r="F3" s="42"/>
      <c r="G3" s="42"/>
      <c r="H3" s="42"/>
    </row>
    <row r="4" spans="2:6" x14ac:dyDescent="0.25">
      <c r="B4" s="43" t="s">
        <v>241</v>
      </c>
      <c r="D4" s="44" t="s">
        <v>242</v>
      </c>
      <c r="F4" s="45" t="s">
        <v>243</v>
      </c>
    </row>
    <row r="6" ht="24" customHeight="1" spans="2:8" x14ac:dyDescent="0.25">
      <c r="B6" s="12" t="s">
        <v>244</v>
      </c>
      <c r="C6" s="16" t="s">
        <v>245</v>
      </c>
      <c r="D6" s="16" t="s">
        <v>246</v>
      </c>
      <c r="E6" s="16" t="s">
        <v>247</v>
      </c>
      <c r="F6" s="16" t="s">
        <v>248</v>
      </c>
      <c r="G6" s="16" t="s">
        <v>249</v>
      </c>
      <c r="H6" s="16" t="s">
        <v>250</v>
      </c>
    </row>
    <row r="7" spans="2:7" x14ac:dyDescent="0.25">
      <c r="B7" s="13" t="s">
        <v>251</v>
      </c>
      <c r="C7" s="46">
        <v>120</v>
      </c>
      <c r="D7" s="46">
        <v>200</v>
      </c>
      <c r="E7" s="46">
        <v>300</v>
      </c>
      <c r="F7" s="46">
        <v>375</v>
      </c>
      <c r="G7" s="46">
        <v>400</v>
      </c>
    </row>
    <row r="8" spans="2:7" x14ac:dyDescent="0.25">
      <c r="B8" s="13" t="s">
        <v>252</v>
      </c>
      <c r="C8" s="47">
        <v>1546000</v>
      </c>
      <c r="D8" s="47">
        <v>2522800</v>
      </c>
      <c r="E8" s="47">
        <v>3784600</v>
      </c>
      <c r="F8" s="47">
        <v>4759125</v>
      </c>
      <c r="G8" s="47">
        <v>5184400</v>
      </c>
    </row>
    <row r="9" spans="2:7" x14ac:dyDescent="0.25">
      <c r="B9" s="13" t="s">
        <v>253</v>
      </c>
      <c r="C9" s="47">
        <v>1026431.25</v>
      </c>
      <c r="D9" s="47">
        <v>1231717.5</v>
      </c>
      <c r="E9" s="47">
        <v>1231717.5</v>
      </c>
      <c r="F9" s="47">
        <v>1231717.5</v>
      </c>
      <c r="G9" s="47">
        <v>1231717.5</v>
      </c>
    </row>
    <row r="10" spans="2:7" x14ac:dyDescent="0.25">
      <c r="B10" s="13" t="s">
        <v>254</v>
      </c>
      <c r="C10" s="47">
        <v>654000</v>
      </c>
      <c r="D10" s="47">
        <v>887860</v>
      </c>
      <c r="E10" s="47">
        <v>1190521.4</v>
      </c>
      <c r="F10" s="47">
        <v>1439089.0320000001</v>
      </c>
      <c r="G10" s="47">
        <v>1554923.90296</v>
      </c>
    </row>
    <row r="11" spans="2:7" x14ac:dyDescent="0.25">
      <c r="B11" s="13" t="s">
        <v>190</v>
      </c>
      <c r="C11" s="47">
        <v>49824.605221179416</v>
      </c>
      <c r="D11" s="47">
        <v>49824.605221179416</v>
      </c>
      <c r="E11" s="47">
        <v>49824.605221179416</v>
      </c>
      <c r="F11" s="47">
        <v>49824.605221179416</v>
      </c>
      <c r="G11" s="47">
        <v>49824.605221179416</v>
      </c>
    </row>
    <row r="12" spans="2:7" x14ac:dyDescent="0.25">
      <c r="B12" s="26" t="s">
        <v>183</v>
      </c>
      <c r="C12" s="48">
        <v>-184255.85522117943</v>
      </c>
      <c r="D12" s="49">
        <v>353397.89477882057</v>
      </c>
      <c r="E12" s="49">
        <v>1312536.4947788208</v>
      </c>
      <c r="F12" s="49">
        <v>2038493.8627788206</v>
      </c>
      <c r="G12" s="49">
        <v>2347933.9918188206</v>
      </c>
    </row>
    <row r="13" spans="2:7" x14ac:dyDescent="0.25">
      <c r="B13" s="26" t="s">
        <v>192</v>
      </c>
      <c r="C13" s="48">
        <v>-184255.85522117943</v>
      </c>
      <c r="D13" s="49">
        <v>169142.03955764114</v>
      </c>
      <c r="E13" s="49">
        <v>1481678.534336462</v>
      </c>
      <c r="F13" s="49">
        <v>3520172.3971152827</v>
      </c>
      <c r="G13" s="49">
        <v>5868106.388934104</v>
      </c>
    </row>
    <row r="14" spans="2:7" x14ac:dyDescent="0.25">
      <c r="B14" s="26" t="s">
        <v>255</v>
      </c>
      <c r="C14" s="50">
        <v>-0.11918231256221179</v>
      </c>
      <c r="D14" s="51">
        <v>0.14008161359553692</v>
      </c>
      <c r="E14" s="51">
        <v>0.34680983321323805</v>
      </c>
      <c r="F14" s="51">
        <v>0.4283337510107048</v>
      </c>
      <c r="G14" s="51">
        <v>0.4528844209202262</v>
      </c>
    </row>
    <row r="15" spans="2:8" x14ac:dyDescent="0.25">
      <c r="B15" s="26" t="s">
        <v>256</v>
      </c>
      <c r="C15" s="52">
        <v>12883.333333333334</v>
      </c>
      <c r="D15" s="52">
        <v>12614</v>
      </c>
      <c r="E15" s="52">
        <v>12615.333333333334</v>
      </c>
      <c r="F15" s="52">
        <v>12691</v>
      </c>
      <c r="G15" s="52">
        <v>12961</v>
      </c>
      <c r="H15" s="53" t="s">
        <v>257</v>
      </c>
    </row>
    <row r="16" spans="2:8" x14ac:dyDescent="0.25">
      <c r="B16" s="26" t="s">
        <v>258</v>
      </c>
      <c r="C16" s="50">
        <v>0.6639270698576973</v>
      </c>
      <c r="D16" s="51">
        <v>0.48823430315522437</v>
      </c>
      <c r="E16" s="51">
        <v>0.3254551339639592</v>
      </c>
      <c r="F16" s="51">
        <v>0.25881175636277676</v>
      </c>
      <c r="G16" s="51">
        <v>0.23758149448345034</v>
      </c>
      <c r="H16" s="53" t="s">
        <v>259</v>
      </c>
    </row>
    <row r="17" spans="2:8" x14ac:dyDescent="0.25">
      <c r="B17" s="26" t="s">
        <v>260</v>
      </c>
      <c r="C17" s="54">
        <v>0.18240620957309184</v>
      </c>
      <c r="D17" s="51">
        <v>0.1151339781195497</v>
      </c>
      <c r="E17" s="51">
        <v>0.07904835385509698</v>
      </c>
      <c r="F17" s="51">
        <v>0.06474930412628371</v>
      </c>
      <c r="G17" s="51">
        <v>0.06122075900007716</v>
      </c>
      <c r="H17" s="53" t="s">
        <v>261</v>
      </c>
    </row>
    <row r="18" spans="2:8" x14ac:dyDescent="0.25">
      <c r="B18" s="26" t="s">
        <v>262</v>
      </c>
      <c r="C18" s="50">
        <v>-0.08695423673997413</v>
      </c>
      <c r="D18" s="51">
        <v>0.15983133819565562</v>
      </c>
      <c r="E18" s="51">
        <v>0.35997492469481585</v>
      </c>
      <c r="F18" s="51">
        <v>0.4388030295484989</v>
      </c>
      <c r="G18" s="51">
        <v>0.4624949072293804</v>
      </c>
      <c r="H18" s="53" t="s">
        <v>263</v>
      </c>
    </row>
    <row r="19" spans="2:8" x14ac:dyDescent="0.25">
      <c r="B19" s="26" t="s">
        <v>264</v>
      </c>
      <c r="C19" s="55">
        <v>3</v>
      </c>
      <c r="D19" s="55">
        <v>3</v>
      </c>
      <c r="E19" s="55">
        <v>3</v>
      </c>
      <c r="F19" s="55">
        <v>3</v>
      </c>
      <c r="G19" s="55">
        <v>3</v>
      </c>
      <c r="H19" s="53" t="s">
        <v>265</v>
      </c>
    </row>
    <row r="20" spans="2:8" x14ac:dyDescent="0.25">
      <c r="B20" s="26" t="s">
        <v>266</v>
      </c>
      <c r="C20" s="56">
        <v>-2.698089616630942</v>
      </c>
      <c r="D20" s="57">
        <v>8.092838833544805</v>
      </c>
      <c r="E20" s="57">
        <v>27.34313887590801</v>
      </c>
      <c r="F20" s="57">
        <v>41.91339718056208</v>
      </c>
      <c r="G20" s="57">
        <v>48.12398585791026</v>
      </c>
      <c r="H20" s="53" t="s">
        <v>267</v>
      </c>
    </row>
    <row r="21" spans="2:8" x14ac:dyDescent="0.25">
      <c r="B21" s="26" t="s">
        <v>268</v>
      </c>
      <c r="C21" s="58" t="str">
        <f>IF('5-Year Model'!B63&gt;=0,"✓ Break-even","")</f>
        <v>0</v>
      </c>
      <c r="D21" s="36" t="str">
        <f>IF(AND('5-Year Model'!C63&gt;=0,'5-Year Model'!B63&lt;0),"✓ Break-even","")</f>
        <v>✓ Break-even</v>
      </c>
      <c r="E21" s="58" t="str">
        <f>IF(AND('5-Year Model'!D63&gt;=0,'5-Year Model'!C63&lt;0),"✓ Break-even","")</f>
        <v>0</v>
      </c>
      <c r="F21" s="58" t="str">
        <f>IF(AND('5-Year Model'!E63&gt;=0,'5-Year Model'!D63&lt;0),"✓ Break-even","")</f>
        <v>0</v>
      </c>
      <c r="G21" s="58" t="str">
        <f>IF(AND('5-Year Model'!F63&gt;=0,'5-Year Model'!E63&lt;0),"✓ Break-even","")</f>
        <v>0</v>
      </c>
      <c r="H21" s="53" t="s">
        <v>245</v>
      </c>
    </row>
    <row r="22" spans="2:8" x14ac:dyDescent="0.25">
      <c r="B22" s="26" t="s">
        <v>269</v>
      </c>
      <c r="C22" s="59">
        <v>-1</v>
      </c>
      <c r="D22" s="59">
        <v>1</v>
      </c>
      <c r="E22" s="59">
        <v>7</v>
      </c>
      <c r="F22" s="60">
        <v>16</v>
      </c>
      <c r="G22" s="55">
        <v>25</v>
      </c>
      <c r="H22" s="53" t="s">
        <v>270</v>
      </c>
    </row>
    <row r="24" ht="24" customHeight="1" spans="2:8" x14ac:dyDescent="0.25">
      <c r="B24" s="12" t="s">
        <v>271</v>
      </c>
      <c r="C24" s="12" t="s">
        <v>272</v>
      </c>
      <c r="D24" s="12" t="s">
        <v>273</v>
      </c>
      <c r="E24" s="12"/>
      <c r="F24" s="12" t="s">
        <v>274</v>
      </c>
      <c r="G24" s="12"/>
      <c r="H24" s="12"/>
    </row>
    <row r="25" ht="45" customHeight="1" spans="2:8" x14ac:dyDescent="0.25">
      <c r="B25" s="61" t="s">
        <v>275</v>
      </c>
      <c r="C25" s="36" t="s">
        <v>276</v>
      </c>
      <c r="D25" s="62" t="s">
        <v>277</v>
      </c>
      <c r="E25" s="62"/>
      <c r="F25" s="63" t="s">
        <v>278</v>
      </c>
      <c r="G25" s="63"/>
      <c r="H25" s="63"/>
    </row>
    <row r="26" ht="45" customHeight="1" spans="2:8" x14ac:dyDescent="0.25">
      <c r="B26" s="61" t="s">
        <v>279</v>
      </c>
      <c r="C26" s="64" t="s">
        <v>280</v>
      </c>
      <c r="D26" s="62" t="s">
        <v>281</v>
      </c>
      <c r="E26" s="62"/>
      <c r="F26" s="63" t="s">
        <v>282</v>
      </c>
      <c r="G26" s="63"/>
      <c r="H26" s="63"/>
    </row>
    <row r="27" ht="45" customHeight="1" spans="2:8" x14ac:dyDescent="0.25">
      <c r="B27" s="61" t="s">
        <v>283</v>
      </c>
      <c r="C27" s="36" t="s">
        <v>276</v>
      </c>
      <c r="D27" s="62" t="s">
        <v>284</v>
      </c>
      <c r="E27" s="62"/>
      <c r="F27" s="63" t="s">
        <v>285</v>
      </c>
      <c r="G27" s="63"/>
      <c r="H27" s="63"/>
    </row>
    <row r="28" ht="45" customHeight="1" spans="2:8" x14ac:dyDescent="0.25">
      <c r="B28" s="61" t="s">
        <v>286</v>
      </c>
      <c r="C28" s="36" t="s">
        <v>276</v>
      </c>
      <c r="D28" s="62" t="s">
        <v>287</v>
      </c>
      <c r="E28" s="62"/>
      <c r="F28" s="63" t="s">
        <v>288</v>
      </c>
      <c r="G28" s="63"/>
      <c r="H28" s="63"/>
    </row>
    <row r="29" ht="45" customHeight="1" spans="2:8" x14ac:dyDescent="0.25">
      <c r="B29" s="61" t="s">
        <v>289</v>
      </c>
      <c r="C29" s="36" t="s">
        <v>276</v>
      </c>
      <c r="D29" s="62" t="s">
        <v>290</v>
      </c>
      <c r="E29" s="62"/>
      <c r="F29" s="63" t="s">
        <v>291</v>
      </c>
      <c r="G29" s="63"/>
      <c r="H29" s="63"/>
    </row>
    <row r="30" ht="45" customHeight="1" spans="2:8" x14ac:dyDescent="0.25">
      <c r="B30" s="61" t="s">
        <v>292</v>
      </c>
      <c r="C30" s="36" t="s">
        <v>276</v>
      </c>
      <c r="D30" s="62" t="s">
        <v>293</v>
      </c>
      <c r="E30" s="62"/>
      <c r="F30" s="63" t="s">
        <v>294</v>
      </c>
      <c r="G30" s="63"/>
      <c r="H30" s="63"/>
    </row>
    <row r="31" ht="45" customHeight="1" spans="2:8" x14ac:dyDescent="0.25">
      <c r="B31" s="61" t="s">
        <v>295</v>
      </c>
      <c r="C31" s="36" t="s">
        <v>276</v>
      </c>
      <c r="D31" s="62" t="s">
        <v>296</v>
      </c>
      <c r="E31" s="62"/>
      <c r="F31" s="63" t="s">
        <v>297</v>
      </c>
      <c r="G31" s="63"/>
      <c r="H31" s="63"/>
    </row>
    <row r="33" spans="2:6" x14ac:dyDescent="0.25">
      <c r="B33" s="61" t="s">
        <v>298</v>
      </c>
      <c r="C33" s="26" t="s">
        <v>299</v>
      </c>
      <c r="D33" s="26"/>
      <c r="E33" s="26"/>
      <c r="F33" s="26"/>
    </row>
    <row r="35" spans="2:8" x14ac:dyDescent="0.25">
      <c r="B35" s="65" t="s">
        <v>144</v>
      </c>
      <c r="C35" s="65"/>
      <c r="D35" s="65"/>
      <c r="E35" s="65"/>
      <c r="F35" s="65"/>
      <c r="G35" s="65"/>
      <c r="H35" s="65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2026-03-27T00:37:26Z</dcterms:created>
  <dcterms:modified xsi:type="dcterms:W3CDTF">2026-03-27T00:37:26Z</dcterms:modified>
</cp:coreProperties>
</file>