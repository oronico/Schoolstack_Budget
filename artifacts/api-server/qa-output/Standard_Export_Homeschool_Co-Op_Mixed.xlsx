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'Assumptions'!$A1:$F40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Personnel'!$A1:$H21</definedName>
    <definedName name="_xlnm.Print_Titles" localSheetId="3">'Staffing &amp; Personnel'!$1:$1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Health'!$A1:$H39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<sst xmlns="http://schemas.openxmlformats.org/spreadsheetml/2006/main" count="312" uniqueCount="215">
  <si>
    <t>SchoolStack Budget</t>
  </si>
  <si>
    <t>5-Year Financial Model</t>
  </si>
  <si>
    <t>Prepared for</t>
  </si>
  <si>
    <t>Liberty Learning Co-Op</t>
  </si>
  <si>
    <t>Homeschool Co-Op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</si>
  <si>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</si>
  <si>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</si>
  <si>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</si>
  <si>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</si>
  <si>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</si>
  <si>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</si>
  <si>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</si>
  <si>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</si>
  <si>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</si>
  <si>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</si>
  <si>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</si>
  <si>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</si>
  <si>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</si>
  <si>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</si>
  <si>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</si>
  <si>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</si>
  <si>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</si>
  <si>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</si>
  <si>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</si>
  <si>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</si>
  <si>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</si>
  <si>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</si>
  <si>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</si>
  <si>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</si>
  <si>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</si>
  <si>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</si>
  <si>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Homeschool Co-Op</t>
  </si>
  <si>
    <t>Entity Type</t>
  </si>
  <si>
    <t>LLC - Single Member</t>
  </si>
  <si>
    <t>EIN</t>
  </si>
  <si>
    <t>86-5551234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</si>
  <si>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</si>
  <si>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</si>
  <si>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</si>
  <si>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</si>
  <si>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</si>
  <si>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</si>
  <si>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</si>
  <si>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</si>
  <si>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</si>
  <si>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</si>
  <si>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</si>
  <si>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Desert Way, Mesa, AZ, 85201</t>
  </si>
  <si>
    <t>Facility Ownership</t>
  </si>
  <si>
    <t>Rented / Leased</t>
  </si>
  <si>
    <t>Monthly Rent</t>
  </si>
  <si>
    <t>$1,800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</si>
  <si>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</si>
  <si>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</si>
  <si>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</si>
  <si>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</si>
  <si>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</si>
  <si>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</si>
  <si>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</si>
  <si>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</si>
  <si>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WEIGHTED ENROLLMENT POPULATIONS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</si>
  <si>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</si>
  <si>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</si>
  <si>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</si>
  <si>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</si>
  <si>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</si>
  <si>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</si>
  <si>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</si>
  <si>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</si>
  <si>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</si>
  <si>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</si>
  <si>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</si>
  <si>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</si>
  <si>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</si>
  <si>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</si>
  <si>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</si>
  <si>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</si>
  <si>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Students</t>
  </si>
  <si>
    <t>TUITION &amp; STUDENT FEES</t>
  </si>
  <si>
    <t>Co-Op Tuition</t>
  </si>
  <si>
    <t>Materials Fee</t>
  </si>
  <si>
    <t>Total TUITION &amp; STUDENT FEES</t>
  </si>
  <si>
    <t>SCHOOL CHOICE / CHOICE FUNDING</t>
  </si>
  <si>
    <t>ESA Revenue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</si>
  <si>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</si>
  <si>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</si>
  <si>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</si>
  <si>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</si>
  <si>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</si>
  <si>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</si>
  <si>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</si>
  <si>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</si>
  <si>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</si>
  <si>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</si>
  <si>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</si>
  <si>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</si>
  <si>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</si>
  <si>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</si>
  <si>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Director / Lead Educator</t>
  </si>
  <si>
    <t>School Leadership</t>
  </si>
  <si>
    <t>Full-Time</t>
  </si>
  <si>
    <t>Assistant Educator</t>
  </si>
  <si>
    <t>Instructional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</si>
  <si>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</si>
  <si>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</si>
  <si>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</si>
  <si>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</si>
  <si>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</si>
  <si>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</si>
  <si>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</si>
  <si>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</si>
  <si>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</si>
  <si>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</si>
  <si>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</si>
  <si>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</si>
  <si>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</si>
  <si>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</si>
  <si>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</si>
  <si>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</si>
  <si>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</si>
  <si>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</si>
  <si>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</si>
  <si>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</si>
  <si>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</si>
  <si>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</si>
  <si>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</si>
  <si>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</si>
  <si>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</si>
  <si>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</si>
  <si>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</si>
  <si>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</si>
  <si>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</si>
  <si>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</si>
  <si>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</si>
  <si>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</si>
  <si>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</si>
  <si>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</si>
  <si>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</si>
  <si>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</si>
  <si>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</si>
  <si>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</si>
  <si>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40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</si>
  <si>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</si>
  <si>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</si>
  <si>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</si>
  <si>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</si>
  <si>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</si>
  <si>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</si>
  <si>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</si>
  <si>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</si>
  <si>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</si>
  <si>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</si>
  <si>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</si>
  <si>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</si>
  <si>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</si>
  <si>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</si>
  <si>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</si>
  <si>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</si>
  <si>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</si>
  <si>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</si>
  <si>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</si>
  <si>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</si>
  <si>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</si>
  <si>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</si>
  <si>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</si>
  <si>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</si>
  <si>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</si>
  <si>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</si>
  <si>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</si>
  <si>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</si>
  <si>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</si>
  <si>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</si>
  <si>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</si>
  <si>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</si>
  <si>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</si>
  <si>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</si>
  <si>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</si>
  <si>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</si>
  <si>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</si>
  <si>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</si>
  <si>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</si>
  <si>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</si>
  <si>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</si>
  <si>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</si>
  <si>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</si>
  <si>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</si>
  <si>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60+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</si>
  <si>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</si>
  <si>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</si>
  <si>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</si>
  <si>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</si>
  <si>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</si>
  <si>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</si>
  <si>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</si>
  <si>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</si>
  <si>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</si>
  <si>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</si>
  <si>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</si>
  <si>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</si>
  <si>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</si>
  <si>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</si>
  <si>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</si>
  <si>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</si>
  <si>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</si>
  <si>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</si>
  <si>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</si>
  <si>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</si>
  <si>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</si>
  <si>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</si>
  <si>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</si>
  <si>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</si>
  <si>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116.9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</si>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</sst>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3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0" fontId="8" fillId="0" borderId="0" xfId="0" applyFont="1" applyAlignment="1">
      <alignment horizontal="right"/>
    </xf>
    <xf numFmtId="3" fontId="14" fillId="4" borderId="3" xfId="0" applyNumberFormat="1" applyFont="1" applyFill="1" applyBorder="1"/>
    <xf numFmtId="0" fontId="8" fillId="0" borderId="0" xfId="0" applyFont="1"/>
    <xf numFmtId="3" fontId="8" fillId="0" borderId="0" xfId="0" applyNumberFormat="1" applyFont="1"/>
    <xf numFmtId="0" fontId="15" fillId="0" borderId="0" xfId="0" applyFont="1"/>
    <xf numFmtId="9" fontId="15" fillId="0" borderId="0" xfId="0" applyNumberFormat="1" applyFont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6" fillId="0" borderId="0" xfId="0" applyFont="1"/>
    <xf numFmtId="0" fontId="17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6" fillId="0" borderId="0" xfId="0" applyNumberFormat="1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8" fillId="0" borderId="0" xfId="0" applyFont="1"/>
    <xf numFmtId="0" fontId="19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22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49" fontId="8" fillId="0" borderId="5" xfId="0" applyNumberFormat="1" applyFont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  <col min="3" max="6" width="14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15</v>
      </c>
    </row>
    <row r="23" spans="1:2" x14ac:dyDescent="0.25">
      <c r="A23" s="22" t="s">
        <v>56</v>
      </c>
      <c r="B23" s="24">
        <v>22</v>
      </c>
    </row>
    <row r="24" spans="1:2" x14ac:dyDescent="0.25">
      <c r="A24" s="22" t="s">
        <v>57</v>
      </c>
      <c r="B24" s="24">
        <v>30</v>
      </c>
    </row>
    <row r="25" spans="1:2" x14ac:dyDescent="0.25">
      <c r="A25" s="22" t="s">
        <v>58</v>
      </c>
      <c r="B25" s="24">
        <v>36</v>
      </c>
    </row>
    <row r="26" spans="1:2" x14ac:dyDescent="0.25">
      <c r="A26" s="22" t="s">
        <v>59</v>
      </c>
      <c r="B26" s="24">
        <v>40</v>
      </c>
    </row>
    <row r="28" ht="24" customHeight="1" spans="1:6" x14ac:dyDescent="0.25">
      <c r="A28" s="8" t="s">
        <v>60</v>
      </c>
      <c r="B28" s="8"/>
      <c r="C28" s="8"/>
      <c r="D28" s="8"/>
      <c r="E28" s="8"/>
      <c r="F28" s="8"/>
    </row>
    <row r="29" spans="1:6" x14ac:dyDescent="0.25">
      <c r="A29" s="22" t="s">
        <v>23</v>
      </c>
      <c r="B29" s="25" t="s">
        <v>61</v>
      </c>
      <c r="C29" s="25" t="s">
        <v>62</v>
      </c>
      <c r="D29" s="25" t="s">
        <v>63</v>
      </c>
      <c r="E29" s="25" t="s">
        <v>64</v>
      </c>
      <c r="F29" s="25" t="s">
        <v>65</v>
      </c>
    </row>
    <row r="30" spans="1:6" x14ac:dyDescent="0.25">
      <c r="A30" s="22" t="s">
        <v>66</v>
      </c>
      <c r="B30" s="26">
        <v>3</v>
      </c>
      <c r="C30" s="26">
        <v>4</v>
      </c>
      <c r="D30" s="26">
        <v>5</v>
      </c>
      <c r="E30" s="26">
        <v>6</v>
      </c>
      <c r="F30" s="26">
        <v>6</v>
      </c>
    </row>
    <row r="31" spans="1:6" x14ac:dyDescent="0.25">
      <c r="A31" s="22" t="s">
        <v>67</v>
      </c>
      <c r="B31" s="26">
        <v>2</v>
      </c>
      <c r="C31" s="26">
        <v>3</v>
      </c>
      <c r="D31" s="26">
        <v>4</v>
      </c>
      <c r="E31" s="26">
        <v>5</v>
      </c>
      <c r="F31" s="26">
        <v>5</v>
      </c>
    </row>
    <row r="32" spans="1:6" x14ac:dyDescent="0.25">
      <c r="A32" s="22" t="s">
        <v>68</v>
      </c>
      <c r="B32" s="26">
        <v>5</v>
      </c>
      <c r="C32" s="26">
        <v>7</v>
      </c>
      <c r="D32" s="26">
        <v>9</v>
      </c>
      <c r="E32" s="26">
        <v>10</v>
      </c>
      <c r="F32" s="26">
        <v>12</v>
      </c>
    </row>
    <row r="33" spans="1:6" x14ac:dyDescent="0.25">
      <c r="A33" s="27" t="s">
        <v>69</v>
      </c>
      <c r="B33" s="28">
        <f>B30+B31+B32</f>
        <v>10</v>
      </c>
      <c r="C33" s="28">
        <f>C30+C31+C32</f>
        <v>14</v>
      </c>
      <c r="D33" s="28">
        <f>D30+D31+D32</f>
        <v>18</v>
      </c>
      <c r="E33" s="28">
        <f>E30+E31+E32</f>
        <v>21</v>
      </c>
      <c r="F33" s="28">
        <f>F30+F31+F32</f>
        <v>23</v>
      </c>
    </row>
    <row r="34" spans="1:6" x14ac:dyDescent="0.25">
      <c r="A34" s="29" t="s">
        <v>70</v>
      </c>
      <c r="B34" s="30">
        <f>IF(B22=0,0,B33/B22)</f>
        <v>0.66666667</v>
      </c>
      <c r="C34" s="30">
        <f>IF(C23=0,0,C33/C23)</f>
        <v>0.63636364</v>
      </c>
      <c r="D34" s="30">
        <f>IF(D24=0,0,D33/D24)</f>
        <v>0.6</v>
      </c>
      <c r="E34" s="30">
        <f>IF(E25=0,0,E33/E25)</f>
        <v>0.58333333</v>
      </c>
      <c r="F34" s="30">
        <f>IF(F26=0,0,F33/F26)</f>
        <v>0.575</v>
      </c>
    </row>
    <row r="36" ht="24" customHeight="1" spans="1:2" x14ac:dyDescent="0.25">
      <c r="A36" s="8" t="s">
        <v>71</v>
      </c>
      <c r="B36" s="8"/>
    </row>
    <row r="37" spans="1:2" x14ac:dyDescent="0.25">
      <c r="A37" s="22" t="s">
        <v>72</v>
      </c>
      <c r="B37" s="31">
        <v>0.03</v>
      </c>
    </row>
    <row r="38" spans="1:2" x14ac:dyDescent="0.25">
      <c r="A38" s="22" t="s">
        <v>73</v>
      </c>
      <c r="B38" s="31">
        <v>0.025</v>
      </c>
    </row>
    <row r="39" spans="1:2" x14ac:dyDescent="0.25">
      <c r="A39" s="22" t="s">
        <v>74</v>
      </c>
      <c r="B39" s="32">
        <v>0.8333333333333334</v>
      </c>
    </row>
    <row r="40" spans="1:2" x14ac:dyDescent="0.25">
      <c r="A40" s="22" t="s">
        <v>75</v>
      </c>
      <c r="B40" s="33" t="s">
        <v>76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78</v>
      </c>
      <c r="B3" s="8"/>
      <c r="C3" s="8"/>
      <c r="D3" s="8"/>
      <c r="E3" s="8"/>
      <c r="F3" s="8"/>
    </row>
    <row r="4" spans="1:6" x14ac:dyDescent="0.25">
      <c r="A4" s="22" t="s">
        <v>79</v>
      </c>
      <c r="B4" s="36">
        <f>6000*Assumptions!B22</f>
        <v>90000</v>
      </c>
      <c r="C4" s="36">
        <f>6180*Assumptions!B23</f>
        <v>135960</v>
      </c>
      <c r="D4" s="36">
        <f>6365*Assumptions!B24</f>
        <v>190950</v>
      </c>
      <c r="E4" s="36">
        <f>6556*Assumptions!B25</f>
        <v>236016</v>
      </c>
      <c r="F4" s="36">
        <f>6753*Assumptions!B26</f>
        <v>270120</v>
      </c>
    </row>
    <row r="5" spans="1:6" x14ac:dyDescent="0.25">
      <c r="A5" s="22" t="s">
        <v>80</v>
      </c>
      <c r="B5" s="36">
        <f>200*Assumptions!B22</f>
        <v>3000</v>
      </c>
      <c r="C5" s="36">
        <f>200*Assumptions!B23</f>
        <v>4400</v>
      </c>
      <c r="D5" s="36">
        <f>200*Assumptions!B24</f>
        <v>6000</v>
      </c>
      <c r="E5" s="36">
        <f>200*Assumptions!B25</f>
        <v>7200</v>
      </c>
      <c r="F5" s="36">
        <f>200*Assumptions!B26</f>
        <v>8000</v>
      </c>
    </row>
    <row r="6" ht="24" customHeight="1" spans="1:6" x14ac:dyDescent="0.25">
      <c r="A6" s="8" t="s">
        <v>81</v>
      </c>
      <c r="B6" s="37">
        <f>SUM(B4:B5)</f>
        <v>93000</v>
      </c>
      <c r="C6" s="37">
        <f>SUM(C4:C5)</f>
        <v>140360</v>
      </c>
      <c r="D6" s="37">
        <f>SUM(D4:D5)</f>
        <v>196950</v>
      </c>
      <c r="E6" s="37">
        <f>SUM(E4:E5)</f>
        <v>243216</v>
      </c>
      <c r="F6" s="37">
        <f>SUM(F4:F5)</f>
        <v>278120</v>
      </c>
    </row>
    <row r="7" ht="24" customHeight="1" spans="1:6" x14ac:dyDescent="0.25">
      <c r="A7" s="8" t="s">
        <v>82</v>
      </c>
      <c r="B7" s="8"/>
      <c r="C7" s="8"/>
      <c r="D7" s="8"/>
      <c r="E7" s="8"/>
      <c r="F7" s="8"/>
    </row>
    <row r="8" spans="1:6" x14ac:dyDescent="0.25">
      <c r="A8" s="22" t="s">
        <v>83</v>
      </c>
      <c r="B8" s="36">
        <f>7000*Assumptions!B22</f>
        <v>105000</v>
      </c>
      <c r="C8" s="36">
        <f>7210*Assumptions!B23</f>
        <v>158620</v>
      </c>
      <c r="D8" s="36">
        <f>7426*Assumptions!B24</f>
        <v>222780</v>
      </c>
      <c r="E8" s="36">
        <f>7649*Assumptions!B25</f>
        <v>275364</v>
      </c>
      <c r="F8" s="36">
        <f>7878*Assumptions!B26</f>
        <v>315120</v>
      </c>
    </row>
    <row r="9" ht="24" customHeight="1" spans="1:6" x14ac:dyDescent="0.25">
      <c r="A9" s="8" t="s">
        <v>84</v>
      </c>
      <c r="B9" s="37">
        <f>SUM(B8:B8)</f>
        <v>105000</v>
      </c>
      <c r="C9" s="37">
        <f>SUM(C8:C8)</f>
        <v>158620</v>
      </c>
      <c r="D9" s="37">
        <f>SUM(D8:D8)</f>
        <v>222780</v>
      </c>
      <c r="E9" s="37">
        <f>SUM(E8:E8)</f>
        <v>275364</v>
      </c>
      <c r="F9" s="37">
        <f>SUM(F8:F8)</f>
        <v>315120</v>
      </c>
    </row>
    <row r="10" ht="24" customHeight="1" spans="1:6" x14ac:dyDescent="0.25">
      <c r="A10" s="8" t="s">
        <v>85</v>
      </c>
      <c r="B10" s="8"/>
      <c r="C10" s="8"/>
      <c r="D10" s="8"/>
      <c r="E10" s="8"/>
      <c r="F10" s="8"/>
    </row>
    <row r="11" spans="1:6" x14ac:dyDescent="0.25">
      <c r="A11" s="22" t="s">
        <v>86</v>
      </c>
      <c r="B11" s="36">
        <v>3000</v>
      </c>
      <c r="C11" s="36">
        <v>4000</v>
      </c>
      <c r="D11" s="36">
        <v>5000</v>
      </c>
      <c r="E11" s="36">
        <v>5000</v>
      </c>
      <c r="F11" s="36">
        <v>5000</v>
      </c>
    </row>
    <row r="12" ht="24" customHeight="1" spans="1:6" x14ac:dyDescent="0.25">
      <c r="A12" s="8" t="s">
        <v>87</v>
      </c>
      <c r="B12" s="37">
        <f>SUM(B11:B11)</f>
        <v>3000</v>
      </c>
      <c r="C12" s="37">
        <f>SUM(C11:C11)</f>
        <v>4000</v>
      </c>
      <c r="D12" s="37">
        <f>SUM(D11:D11)</f>
        <v>5000</v>
      </c>
      <c r="E12" s="37">
        <f>SUM(E11:E11)</f>
        <v>5000</v>
      </c>
      <c r="F12" s="37">
        <f>SUM(F11:F11)</f>
        <v>5000</v>
      </c>
    </row>
    <row r="14" ht="24" customHeight="1" spans="1:6" x14ac:dyDescent="0.25">
      <c r="A14" s="8" t="s">
        <v>88</v>
      </c>
      <c r="B14" s="37">
        <f>B6+B9+B12</f>
        <v>201000</v>
      </c>
      <c r="C14" s="37">
        <f>C6+C9+C12</f>
        <v>302980</v>
      </c>
      <c r="D14" s="37">
        <f>D6+D9+D12</f>
        <v>424730</v>
      </c>
      <c r="E14" s="37">
        <f>E6+E9+E12</f>
        <v>523580</v>
      </c>
      <c r="F14" s="37">
        <f>F6+F9+F12</f>
        <v>598240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89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34" t="s">
        <v>90</v>
      </c>
      <c r="B3" s="34" t="s">
        <v>91</v>
      </c>
      <c r="C3" s="34" t="s">
        <v>92</v>
      </c>
      <c r="D3" s="34" t="s">
        <v>93</v>
      </c>
      <c r="E3" s="34" t="s">
        <v>94</v>
      </c>
      <c r="F3" s="34" t="s">
        <v>95</v>
      </c>
      <c r="G3" s="34" t="s">
        <v>96</v>
      </c>
      <c r="H3" s="34" t="s">
        <v>97</v>
      </c>
    </row>
    <row r="4" spans="1:8" x14ac:dyDescent="0.25">
      <c r="A4" s="22" t="s">
        <v>98</v>
      </c>
      <c r="B4" s="22" t="s">
        <v>99</v>
      </c>
      <c r="C4" s="22" t="s">
        <v>100</v>
      </c>
      <c r="D4" s="32">
        <v>1</v>
      </c>
      <c r="E4" s="38">
        <v>48000</v>
      </c>
      <c r="F4" s="31">
        <v>0.2</v>
      </c>
      <c r="G4" s="31">
        <v>0.0765</v>
      </c>
      <c r="H4" s="39">
        <v>61272</v>
      </c>
    </row>
    <row r="5" spans="1:8" x14ac:dyDescent="0.25">
      <c r="A5" s="22" t="s">
        <v>101</v>
      </c>
      <c r="B5" s="22" t="s">
        <v>102</v>
      </c>
      <c r="C5" s="22" t="s">
        <v>103</v>
      </c>
      <c r="D5" s="32">
        <v>0.5</v>
      </c>
      <c r="E5" s="38">
        <v>30000</v>
      </c>
      <c r="F5" s="31">
        <v>0</v>
      </c>
      <c r="G5" s="31">
        <v>0.0765</v>
      </c>
      <c r="H5" s="39">
        <v>16147.5</v>
      </c>
    </row>
    <row r="7" ht="24" customHeight="1" spans="1:8" x14ac:dyDescent="0.25">
      <c r="A7" s="8" t="s">
        <v>104</v>
      </c>
      <c r="B7" s="8"/>
      <c r="C7" s="8"/>
      <c r="D7" s="8"/>
      <c r="E7" s="8"/>
      <c r="F7" s="8"/>
      <c r="G7" s="8"/>
      <c r="H7" s="8"/>
    </row>
    <row r="8" spans="1:2" x14ac:dyDescent="0.25">
      <c r="A8" s="22" t="s">
        <v>105</v>
      </c>
      <c r="B8" s="27">
        <v>2</v>
      </c>
    </row>
    <row r="9" spans="1:2" x14ac:dyDescent="0.25">
      <c r="A9" s="22" t="s">
        <v>106</v>
      </c>
      <c r="B9" s="27">
        <v>1.5</v>
      </c>
    </row>
    <row r="10" spans="1:2" x14ac:dyDescent="0.25">
      <c r="A10" s="22" t="s">
        <v>107</v>
      </c>
      <c r="B10" s="40">
        <v>63000</v>
      </c>
    </row>
    <row r="11" spans="1:2" x14ac:dyDescent="0.25">
      <c r="A11" s="22" t="s">
        <v>108</v>
      </c>
      <c r="B11" s="40">
        <v>9600</v>
      </c>
    </row>
    <row r="12" spans="1:2" x14ac:dyDescent="0.25">
      <c r="A12" s="22" t="s">
        <v>109</v>
      </c>
      <c r="B12" s="40">
        <v>4820</v>
      </c>
    </row>
    <row r="13" spans="1:2" x14ac:dyDescent="0.25">
      <c r="A13" s="22" t="s">
        <v>110</v>
      </c>
      <c r="B13" s="40">
        <v>0</v>
      </c>
    </row>
    <row r="14" spans="1:2" x14ac:dyDescent="0.25">
      <c r="A14" s="27" t="s">
        <v>111</v>
      </c>
      <c r="B14" s="41">
        <v>77420</v>
      </c>
    </row>
    <row r="16" ht="24" customHeight="1" spans="1:6" x14ac:dyDescent="0.25">
      <c r="A16" s="8" t="s">
        <v>112</v>
      </c>
      <c r="B16" s="8"/>
      <c r="C16" s="8"/>
      <c r="D16" s="8"/>
      <c r="E16" s="8"/>
      <c r="F16" s="8"/>
    </row>
    <row r="17" ht="28" customHeight="1" spans="1:6" x14ac:dyDescent="0.25">
      <c r="A17" s="34" t="s">
        <v>23</v>
      </c>
      <c r="B17" s="34" t="s">
        <v>61</v>
      </c>
      <c r="C17" s="34" t="s">
        <v>62</v>
      </c>
      <c r="D17" s="34" t="s">
        <v>63</v>
      </c>
      <c r="E17" s="34" t="s">
        <v>64</v>
      </c>
      <c r="F17" s="34" t="s">
        <v>65</v>
      </c>
    </row>
    <row r="18" spans="1:6" x14ac:dyDescent="0.25">
      <c r="A18" s="22" t="s">
        <v>113</v>
      </c>
      <c r="B18" s="36">
        <v>77420</v>
      </c>
      <c r="C18" s="36">
        <v>77420</v>
      </c>
      <c r="D18" s="36">
        <v>77420</v>
      </c>
      <c r="E18" s="36">
        <v>77420</v>
      </c>
      <c r="F18" s="36">
        <v>77420</v>
      </c>
    </row>
    <row r="19" spans="1:6" x14ac:dyDescent="0.25">
      <c r="A19" s="22" t="s">
        <v>114</v>
      </c>
      <c r="B19" s="42">
        <f>(1+Assumptions!B37)^0</f>
        <v>1</v>
      </c>
      <c r="C19" s="42">
        <f>(1+Assumptions!B37)^1</f>
        <v>1.03</v>
      </c>
      <c r="D19" s="42">
        <f>(1+Assumptions!B37)^2</f>
        <v>1.0609</v>
      </c>
      <c r="E19" s="42">
        <f>(1+Assumptions!B37)^3</f>
        <v>1.092727</v>
      </c>
      <c r="F19" s="42">
        <f>(1+Assumptions!B37)^4</f>
        <v>1.1255088100000001</v>
      </c>
    </row>
    <row r="20" spans="1:6" x14ac:dyDescent="0.25">
      <c r="A20" s="22" t="s">
        <v>115</v>
      </c>
      <c r="B20" s="43">
        <f>Assumptions!B39</f>
        <v>0.8333333333333334</v>
      </c>
      <c r="C20" s="43">
        <v>1</v>
      </c>
      <c r="D20" s="43">
        <v>1</v>
      </c>
      <c r="E20" s="43">
        <v>1</v>
      </c>
      <c r="F20" s="43">
        <v>1</v>
      </c>
    </row>
    <row r="21" ht="24" customHeight="1" spans="1:6" x14ac:dyDescent="0.25">
      <c r="A21" s="8" t="s">
        <v>116</v>
      </c>
      <c r="B21" s="37">
        <f>B18*B19*B20</f>
        <v>64516</v>
      </c>
      <c r="C21" s="37">
        <f>C18*C19*C20</f>
        <v>79742</v>
      </c>
      <c r="D21" s="37">
        <f>D18*D19*D20</f>
        <v>82134</v>
      </c>
      <c r="E21" s="37">
        <f>E18*E19*E20</f>
        <v>84598</v>
      </c>
      <c r="F21" s="37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22" t="s">
        <v>118</v>
      </c>
      <c r="B4" s="36">
        <f>400*Assumptions!B22</f>
        <v>6000</v>
      </c>
      <c r="C4" s="36">
        <f>412*Assumptions!B23</f>
        <v>9064</v>
      </c>
      <c r="D4" s="36">
        <f>424*Assumptions!B24</f>
        <v>12720</v>
      </c>
      <c r="E4" s="36">
        <f>437*Assumptions!B25</f>
        <v>15732</v>
      </c>
      <c r="F4" s="36">
        <f>450*Assumptions!B26</f>
        <v>18000</v>
      </c>
    </row>
    <row r="5" ht="24" customHeight="1" spans="1:6" x14ac:dyDescent="0.25">
      <c r="A5" s="8" t="s">
        <v>119</v>
      </c>
      <c r="B5" s="37">
        <f>SUM(B4:B4)</f>
        <v>6000</v>
      </c>
      <c r="C5" s="37">
        <f>SUM(C4:C4)</f>
        <v>9064</v>
      </c>
      <c r="D5" s="37">
        <f>SUM(D4:D4)</f>
        <v>12720</v>
      </c>
      <c r="E5" s="37">
        <f>SUM(E4:E4)</f>
        <v>15732</v>
      </c>
      <c r="F5" s="37">
        <f>SUM(F4:F4)</f>
        <v>18000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22" t="s">
        <v>121</v>
      </c>
      <c r="B7" s="36">
        <f>250*Assumptions!B22</f>
        <v>3750</v>
      </c>
      <c r="C7" s="36">
        <f>258*Assumptions!B23</f>
        <v>5676</v>
      </c>
      <c r="D7" s="36">
        <f>265*Assumptions!B24</f>
        <v>7950</v>
      </c>
      <c r="E7" s="36">
        <f>273*Assumptions!B25</f>
        <v>9828</v>
      </c>
      <c r="F7" s="36">
        <f>281*Assumptions!B26</f>
        <v>11240</v>
      </c>
    </row>
    <row r="8" ht="24" customHeight="1" spans="1:6" x14ac:dyDescent="0.25">
      <c r="A8" s="8" t="s">
        <v>122</v>
      </c>
      <c r="B8" s="37">
        <f>SUM(B7:B7)</f>
        <v>3750</v>
      </c>
      <c r="C8" s="37">
        <f>SUM(C7:C7)</f>
        <v>5676</v>
      </c>
      <c r="D8" s="37">
        <f>SUM(D7:D7)</f>
        <v>7950</v>
      </c>
      <c r="E8" s="37">
        <f>SUM(E7:E7)</f>
        <v>9828</v>
      </c>
      <c r="F8" s="37">
        <f>SUM(F7:F7)</f>
        <v>11240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22" t="s">
        <v>124</v>
      </c>
      <c r="B10" s="36">
        <f>1800*12</f>
        <v>21600</v>
      </c>
      <c r="C10" s="36">
        <f>1854*12</f>
        <v>22248</v>
      </c>
      <c r="D10" s="36">
        <f>1910*12</f>
        <v>22920</v>
      </c>
      <c r="E10" s="36">
        <f>1967*12</f>
        <v>23604</v>
      </c>
      <c r="F10" s="36">
        <f>2026*12</f>
        <v>24312</v>
      </c>
    </row>
    <row r="11" spans="1:6" x14ac:dyDescent="0.25">
      <c r="A11" s="22" t="s">
        <v>125</v>
      </c>
      <c r="B11" s="36">
        <f>200*12</f>
        <v>2400</v>
      </c>
      <c r="C11" s="36">
        <f>205*12</f>
        <v>2460</v>
      </c>
      <c r="D11" s="36">
        <f>210*12</f>
        <v>2520</v>
      </c>
      <c r="E11" s="36">
        <f>215*12</f>
        <v>2580</v>
      </c>
      <c r="F11" s="36">
        <f>221*12</f>
        <v>2652</v>
      </c>
    </row>
    <row r="12" spans="1:6" x14ac:dyDescent="0.25">
      <c r="A12" s="22" t="s">
        <v>126</v>
      </c>
      <c r="B12" s="36">
        <v>1800</v>
      </c>
      <c r="C12" s="36">
        <v>1845</v>
      </c>
      <c r="D12" s="36">
        <v>1891</v>
      </c>
      <c r="E12" s="36">
        <v>1938</v>
      </c>
      <c r="F12" s="36">
        <v>1987</v>
      </c>
    </row>
    <row r="13" ht="24" customHeight="1" spans="1:6" x14ac:dyDescent="0.25">
      <c r="A13" s="8" t="s">
        <v>127</v>
      </c>
      <c r="B13" s="37">
        <f>SUM(B10:B12)</f>
        <v>25800</v>
      </c>
      <c r="C13" s="37">
        <f>SUM(C10:C12)</f>
        <v>26553</v>
      </c>
      <c r="D13" s="37">
        <f>SUM(D10:D12)</f>
        <v>27331</v>
      </c>
      <c r="E13" s="37">
        <f>SUM(E10:E12)</f>
        <v>28122</v>
      </c>
      <c r="F13" s="37">
        <f>SUM(F10:F12)</f>
        <v>28951</v>
      </c>
    </row>
    <row r="15" ht="24" customHeight="1" spans="1:6" x14ac:dyDescent="0.25">
      <c r="A15" s="8" t="s">
        <v>128</v>
      </c>
      <c r="B15" s="37">
        <f>B5+B8+B13</f>
        <v>35550</v>
      </c>
      <c r="C15" s="37">
        <f>C5+C8+C13</f>
        <v>41293</v>
      </c>
      <c r="D15" s="37">
        <f>D5+D8+D13</f>
        <v>48001</v>
      </c>
      <c r="E15" s="37">
        <f>E5+E8+E13</f>
        <v>53682</v>
      </c>
      <c r="F15" s="37">
        <f>F5+F8+F13</f>
        <v>58191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ht="24" customHeight="1" spans="1:6" x14ac:dyDescent="0.25">
      <c r="A2" s="8" t="s">
        <v>129</v>
      </c>
      <c r="B2" s="8"/>
      <c r="C2" s="8"/>
      <c r="D2" s="8"/>
      <c r="E2" s="8"/>
      <c r="F2" s="8"/>
    </row>
    <row r="3" spans="1:6" x14ac:dyDescent="0.25">
      <c r="A3" s="22" t="s">
        <v>130</v>
      </c>
      <c r="B3" s="36">
        <v>0</v>
      </c>
      <c r="C3" s="36">
        <v>0</v>
      </c>
      <c r="D3" s="36">
        <v>0</v>
      </c>
      <c r="E3" s="36">
        <v>0</v>
      </c>
      <c r="F3" s="36">
        <v>0</v>
      </c>
    </row>
    <row r="4" ht="24" customHeight="1" spans="1:6" x14ac:dyDescent="0.25">
      <c r="A4" s="8" t="s">
        <v>131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1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132</v>
      </c>
      <c r="B2" s="36">
        <f>'Revenue Schedule'!B14</f>
        <v>201000</v>
      </c>
      <c r="C2" s="36">
        <f>'Revenue Schedule'!C14</f>
        <v>302980</v>
      </c>
      <c r="D2" s="36">
        <f>'Revenue Schedule'!D14</f>
        <v>424730</v>
      </c>
      <c r="E2" s="36">
        <f>'Revenue Schedule'!E14</f>
        <v>523580</v>
      </c>
      <c r="F2" s="36">
        <f>'Revenue Schedule'!F14</f>
        <v>598240</v>
      </c>
    </row>
    <row r="3" spans="1:6" x14ac:dyDescent="0.25">
      <c r="A3" s="22" t="s">
        <v>133</v>
      </c>
      <c r="B3" s="36">
        <f>'Staffing &amp; Personnel'!B21</f>
        <v>64516</v>
      </c>
      <c r="C3" s="36">
        <f>'Staffing &amp; Personnel'!C21</f>
        <v>79742</v>
      </c>
      <c r="D3" s="36">
        <f>'Staffing &amp; Personnel'!D21</f>
        <v>82134</v>
      </c>
      <c r="E3" s="36">
        <f>'Staffing &amp; Personnel'!E21</f>
        <v>84598</v>
      </c>
      <c r="F3" s="36">
        <f>'Staffing &amp; Personnel'!F21</f>
        <v>87136</v>
      </c>
    </row>
    <row r="4" spans="1:6" x14ac:dyDescent="0.25">
      <c r="A4" s="22" t="s">
        <v>17</v>
      </c>
      <c r="B4" s="36">
        <f>'Operating Expenses'!B15</f>
        <v>35550</v>
      </c>
      <c r="C4" s="36">
        <f>'Operating Expenses'!C15</f>
        <v>41293</v>
      </c>
      <c r="D4" s="36">
        <f>'Operating Expenses'!D15</f>
        <v>48001</v>
      </c>
      <c r="E4" s="36">
        <f>'Operating Expenses'!E15</f>
        <v>53682</v>
      </c>
      <c r="F4" s="36">
        <f>'Operating Expenses'!F15</f>
        <v>58191</v>
      </c>
    </row>
    <row r="5" spans="1:6" x14ac:dyDescent="0.25">
      <c r="A5" s="22" t="s">
        <v>18</v>
      </c>
      <c r="B5" s="36" t="str">
        <f>'Capital &amp; Debt'!B4</f>
        <v>0</v>
      </c>
      <c r="C5" s="36" t="str">
        <f>'Capital &amp; Debt'!C4</f>
        <v>0</v>
      </c>
      <c r="D5" s="36" t="str">
        <f>'Capital &amp; Debt'!D4</f>
        <v>0</v>
      </c>
      <c r="E5" s="36" t="str">
        <f>'Capital &amp; Debt'!E4</f>
        <v>0</v>
      </c>
      <c r="F5" s="36" t="str">
        <f>'Capital &amp; Debt'!F4</f>
        <v>0</v>
      </c>
    </row>
    <row r="6" ht="24" customHeight="1" spans="1:6" x14ac:dyDescent="0.25">
      <c r="A6" s="8" t="s">
        <v>134</v>
      </c>
      <c r="B6" s="37">
        <f>B3+B4+B5</f>
        <v>100066</v>
      </c>
      <c r="C6" s="37">
        <f>C3+C4+C5</f>
        <v>121035</v>
      </c>
      <c r="D6" s="37">
        <f>D3+D4+D5</f>
        <v>130135</v>
      </c>
      <c r="E6" s="37">
        <f>E3+E4+E5</f>
        <v>138280</v>
      </c>
      <c r="F6" s="37">
        <f>F3+F4+F5</f>
        <v>145327</v>
      </c>
    </row>
    <row r="7" ht="24" customHeight="1" spans="1:6" x14ac:dyDescent="0.25">
      <c r="A7" s="8" t="s">
        <v>135</v>
      </c>
      <c r="B7" s="37">
        <f>B2-B6</f>
        <v>100934</v>
      </c>
      <c r="C7" s="37">
        <f>C2-C6</f>
        <v>181945</v>
      </c>
      <c r="D7" s="37">
        <f>D2-D6</f>
        <v>294595</v>
      </c>
      <c r="E7" s="37">
        <f>E2-E6</f>
        <v>385300</v>
      </c>
      <c r="F7" s="37">
        <f>F2-F6</f>
        <v>452913</v>
      </c>
    </row>
    <row r="8" spans="1:6" x14ac:dyDescent="0.25">
      <c r="A8" s="22" t="s">
        <v>136</v>
      </c>
      <c r="B8" s="36">
        <f>B7</f>
        <v>100934</v>
      </c>
      <c r="C8" s="36">
        <f>B8+C7</f>
        <v>282879</v>
      </c>
      <c r="D8" s="36">
        <f>C8+D7</f>
        <v>577474</v>
      </c>
      <c r="E8" s="36">
        <f>D8+E7</f>
        <v>962774</v>
      </c>
      <c r="F8" s="36">
        <f>E8+F7</f>
        <v>1415687</v>
      </c>
    </row>
    <row r="9" spans="1:6" x14ac:dyDescent="0.25">
      <c r="A9" s="22" t="s">
        <v>11</v>
      </c>
      <c r="B9" s="44">
        <f>IF(B6=0,0,IF(B8&gt;0,B8/(B6/12),0))</f>
        <v>12.10409129974217</v>
      </c>
      <c r="C9" s="44">
        <f>IF(C6=0,0,IF(C8&gt;0,C8/(C6/12),0))</f>
        <v>28.04600322220845</v>
      </c>
      <c r="D9" s="44">
        <f>IF(D6=0,0,IF(D8&gt;0,D8/(D6/12),0))</f>
        <v>53.249994236754134</v>
      </c>
      <c r="E9" s="44">
        <f>IF(E6=0,0,IF(E8&gt;0,E8/(E6/12),0))</f>
        <v>83.54995660977725</v>
      </c>
      <c r="F9" s="44">
        <f>IF(F6=0,0,IF(F8&gt;0,F8/(F6/12),0))</f>
        <v>116.8966812773951</v>
      </c>
    </row>
    <row r="10" spans="1:6" x14ac:dyDescent="0.25">
      <c r="A10" s="27" t="s">
        <v>137</v>
      </c>
      <c r="B10" s="45" t="s">
        <v>138</v>
      </c>
      <c r="C10" s="46" t="s">
        <v>23</v>
      </c>
      <c r="D10" s="46" t="s">
        <v>23</v>
      </c>
      <c r="E10" s="46" t="s">
        <v>23</v>
      </c>
      <c r="F10" s="46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7" t="s">
        <v>139</v>
      </c>
      <c r="B1" s="47"/>
      <c r="C1" s="47"/>
      <c r="D1" s="47"/>
      <c r="E1" s="47"/>
      <c r="F1" s="47"/>
    </row>
    <row r="2" spans="1:1" x14ac:dyDescent="0.25">
      <c r="A2" s="48" t="s">
        <v>140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27" t="s">
        <v>3</v>
      </c>
    </row>
    <row r="6" spans="1:2" x14ac:dyDescent="0.25">
      <c r="A6" s="22" t="s">
        <v>30</v>
      </c>
      <c r="B6" s="27" t="s">
        <v>31</v>
      </c>
    </row>
    <row r="7" spans="1:2" x14ac:dyDescent="0.25">
      <c r="A7" s="22" t="s">
        <v>32</v>
      </c>
      <c r="B7" s="27" t="s">
        <v>33</v>
      </c>
    </row>
    <row r="8" spans="1:2" x14ac:dyDescent="0.25">
      <c r="A8" s="22" t="s">
        <v>34</v>
      </c>
      <c r="B8" s="27" t="s">
        <v>35</v>
      </c>
    </row>
    <row r="9" spans="1:2" x14ac:dyDescent="0.25">
      <c r="A9" s="22" t="s">
        <v>36</v>
      </c>
      <c r="B9" s="27" t="s">
        <v>37</v>
      </c>
    </row>
    <row r="10" spans="1:2" x14ac:dyDescent="0.25">
      <c r="A10" s="22" t="s">
        <v>28</v>
      </c>
      <c r="B10" s="27" t="s">
        <v>29</v>
      </c>
    </row>
    <row r="11" spans="1:2" x14ac:dyDescent="0.25">
      <c r="A11" s="22" t="s">
        <v>41</v>
      </c>
      <c r="B11" s="27" t="s">
        <v>42</v>
      </c>
    </row>
    <row r="12" spans="1:2" x14ac:dyDescent="0.25">
      <c r="A12" s="22" t="s">
        <v>40</v>
      </c>
      <c r="B12" s="27" t="s">
        <v>141</v>
      </c>
    </row>
    <row r="14" ht="24" customHeight="1" spans="1:6" x14ac:dyDescent="0.25">
      <c r="A14" s="8" t="s">
        <v>142</v>
      </c>
      <c r="B14" s="8"/>
      <c r="C14" s="8"/>
      <c r="D14" s="8"/>
      <c r="E14" s="8"/>
      <c r="F14" s="8"/>
    </row>
    <row r="15" ht="28" customHeight="1" spans="1:6" x14ac:dyDescent="0.25">
      <c r="A15" s="34" t="s">
        <v>23</v>
      </c>
      <c r="B15" s="34" t="s">
        <v>61</v>
      </c>
      <c r="C15" s="34" t="s">
        <v>62</v>
      </c>
      <c r="D15" s="34" t="s">
        <v>63</v>
      </c>
      <c r="E15" s="34" t="s">
        <v>64</v>
      </c>
      <c r="F15" s="34" t="s">
        <v>65</v>
      </c>
    </row>
    <row r="16" spans="1:6" x14ac:dyDescent="0.25">
      <c r="A16" s="22" t="s">
        <v>77</v>
      </c>
      <c r="B16" s="35">
        <f>'Revenue Schedule'!B2</f>
        <v>15</v>
      </c>
      <c r="C16" s="35">
        <f>'Revenue Schedule'!C2</f>
        <v>22</v>
      </c>
      <c r="D16" s="35">
        <f>'Revenue Schedule'!D2</f>
        <v>30</v>
      </c>
      <c r="E16" s="35">
        <f>'Revenue Schedule'!E2</f>
        <v>36</v>
      </c>
      <c r="F16" s="35">
        <f>'Revenue Schedule'!F2</f>
        <v>40</v>
      </c>
    </row>
    <row r="17" spans="1:6" x14ac:dyDescent="0.25">
      <c r="A17" s="22" t="s">
        <v>143</v>
      </c>
      <c r="B17" s="9" t="s">
        <v>144</v>
      </c>
      <c r="C17" s="49">
        <f>IF(B16=0,0,(C16-B16)/B16)</f>
        <v>0.4666666666666667</v>
      </c>
      <c r="D17" s="49">
        <f>IF(C16=0,0,(D16-C16)/C16)</f>
        <v>0.36363636363636365</v>
      </c>
      <c r="E17" s="49">
        <f>IF(D16=0,0,(E16-D16)/D16)</f>
        <v>0.2</v>
      </c>
      <c r="F17" s="49">
        <f>IF(E16=0,0,(F16-E16)/E16)</f>
        <v>0.1111111111111111</v>
      </c>
    </row>
    <row r="19" ht="28" customHeight="1" spans="1:6" x14ac:dyDescent="0.25">
      <c r="A19" s="34" t="s">
        <v>23</v>
      </c>
      <c r="B19" s="34" t="s">
        <v>61</v>
      </c>
      <c r="C19" s="34" t="s">
        <v>62</v>
      </c>
      <c r="D19" s="34" t="s">
        <v>63</v>
      </c>
      <c r="E19" s="34" t="s">
        <v>64</v>
      </c>
      <c r="F19" s="34" t="s">
        <v>65</v>
      </c>
    </row>
    <row r="20" spans="1:6" x14ac:dyDescent="0.25">
      <c r="A20" s="22" t="s">
        <v>132</v>
      </c>
      <c r="B20" s="36">
        <f>'Financial Model'!B2</f>
        <v>201000</v>
      </c>
      <c r="C20" s="36">
        <f>'Financial Model'!C2</f>
        <v>302980</v>
      </c>
      <c r="D20" s="36">
        <f>'Financial Model'!D2</f>
        <v>424730</v>
      </c>
      <c r="E20" s="36">
        <f>'Financial Model'!E2</f>
        <v>523580</v>
      </c>
      <c r="F20" s="36">
        <f>'Financial Model'!F2</f>
        <v>598240</v>
      </c>
    </row>
    <row r="21" spans="1:6" x14ac:dyDescent="0.25">
      <c r="A21" s="22" t="s">
        <v>133</v>
      </c>
      <c r="B21" s="36">
        <f>'Financial Model'!B3</f>
        <v>64516</v>
      </c>
      <c r="C21" s="36">
        <f>'Financial Model'!C3</f>
        <v>79742</v>
      </c>
      <c r="D21" s="36">
        <f>'Financial Model'!D3</f>
        <v>82134</v>
      </c>
      <c r="E21" s="36">
        <f>'Financial Model'!E3</f>
        <v>84598</v>
      </c>
      <c r="F21" s="36">
        <f>'Financial Model'!F3</f>
        <v>87136</v>
      </c>
    </row>
    <row r="22" spans="1:6" x14ac:dyDescent="0.25">
      <c r="A22" s="22" t="s">
        <v>17</v>
      </c>
      <c r="B22" s="36">
        <f>'Financial Model'!B4</f>
        <v>35550</v>
      </c>
      <c r="C22" s="36">
        <f>'Financial Model'!C4</f>
        <v>41293</v>
      </c>
      <c r="D22" s="36">
        <f>'Financial Model'!D4</f>
        <v>48001</v>
      </c>
      <c r="E22" s="36">
        <f>'Financial Model'!E4</f>
        <v>53682</v>
      </c>
      <c r="F22" s="36">
        <f>'Financial Model'!F4</f>
        <v>58191</v>
      </c>
    </row>
    <row r="23" ht="24" customHeight="1" spans="1:6" x14ac:dyDescent="0.25">
      <c r="A23" s="8" t="s">
        <v>134</v>
      </c>
      <c r="B23" s="37">
        <f>'Financial Model'!B6</f>
        <v>100066</v>
      </c>
      <c r="C23" s="37">
        <f>'Financial Model'!C6</f>
        <v>121035</v>
      </c>
      <c r="D23" s="37">
        <f>'Financial Model'!D6</f>
        <v>130135</v>
      </c>
      <c r="E23" s="37">
        <f>'Financial Model'!E6</f>
        <v>138280</v>
      </c>
      <c r="F23" s="37">
        <f>'Financial Model'!F6</f>
        <v>145327</v>
      </c>
    </row>
    <row r="24" spans="1:6" x14ac:dyDescent="0.25">
      <c r="A24" s="27" t="s">
        <v>135</v>
      </c>
      <c r="B24" s="50">
        <f>'Financial Model'!B7</f>
        <v>100934</v>
      </c>
      <c r="C24" s="50">
        <f>'Financial Model'!C7</f>
        <v>181945</v>
      </c>
      <c r="D24" s="50">
        <f>'Financial Model'!D7</f>
        <v>294595</v>
      </c>
      <c r="E24" s="50">
        <f>'Financial Model'!E7</f>
        <v>385300</v>
      </c>
      <c r="F24" s="50">
        <f>'Financial Model'!F7</f>
        <v>452913</v>
      </c>
    </row>
    <row r="25" spans="1:6" x14ac:dyDescent="0.25">
      <c r="A25" s="22" t="s">
        <v>136</v>
      </c>
      <c r="B25" s="36">
        <f>'Financial Model'!B8</f>
        <v>100934</v>
      </c>
      <c r="C25" s="36">
        <f>'Financial Model'!C8</f>
        <v>282879</v>
      </c>
      <c r="D25" s="36">
        <f>'Financial Model'!D8</f>
        <v>577474</v>
      </c>
      <c r="E25" s="36">
        <f>'Financial Model'!E8</f>
        <v>962774</v>
      </c>
      <c r="F25" s="36">
        <f>'Financial Model'!F8</f>
        <v>1415687</v>
      </c>
    </row>
    <row r="26" spans="1:6" x14ac:dyDescent="0.25">
      <c r="A26" s="27" t="s">
        <v>11</v>
      </c>
      <c r="B26" s="13">
        <f>'Financial Model'!B9</f>
        <v>12.10409129974217</v>
      </c>
      <c r="C26" s="13">
        <f>'Financial Model'!C9</f>
        <v>28.04600322220845</v>
      </c>
      <c r="D26" s="13">
        <f>'Financial Model'!D9</f>
        <v>53.249994236754134</v>
      </c>
      <c r="E26" s="13">
        <f>'Financial Model'!E9</f>
        <v>83.54995660977725</v>
      </c>
      <c r="F26" s="13">
        <f>'Financial Model'!F9</f>
        <v>116.8966812773951</v>
      </c>
    </row>
    <row r="28" ht="24" customHeight="1" spans="1:6" x14ac:dyDescent="0.25">
      <c r="A28" s="8" t="s">
        <v>145</v>
      </c>
      <c r="B28" s="8"/>
      <c r="C28" s="8"/>
      <c r="D28" s="8"/>
      <c r="E28" s="8"/>
      <c r="F28" s="8"/>
    </row>
    <row r="29" spans="1:6" x14ac:dyDescent="0.25">
      <c r="A29" s="22" t="s">
        <v>146</v>
      </c>
      <c r="B29" s="36">
        <f>IF('Revenue Schedule'!B2=0,0,B20/'Revenue Schedule'!B2)</f>
        <v>13400</v>
      </c>
      <c r="C29" s="36">
        <f>IF('Revenue Schedule'!C2=0,0,C20/'Revenue Schedule'!C2)</f>
        <v>13771.818181818182</v>
      </c>
      <c r="D29" s="36">
        <f>IF('Revenue Schedule'!D2=0,0,D20/'Revenue Schedule'!D2)</f>
        <v>14157.666666666666</v>
      </c>
      <c r="E29" s="36">
        <f>IF('Revenue Schedule'!E2=0,0,E20/'Revenue Schedule'!E2)</f>
        <v>14543.888888888889</v>
      </c>
      <c r="F29" s="36">
        <f>IF('Revenue Schedule'!F2=0,0,F20/'Revenue Schedule'!F2)</f>
        <v>14956</v>
      </c>
    </row>
    <row r="30" spans="1:6" x14ac:dyDescent="0.25">
      <c r="A30" s="22" t="s">
        <v>147</v>
      </c>
      <c r="B30" s="49">
        <f>IF(B20=0,0,'Financial Model'!B3/B20)</f>
        <v>0.32097512437810943</v>
      </c>
      <c r="C30" s="49">
        <f>IF(C20=0,0,'Financial Model'!C3/C20)</f>
        <v>0.2631922899201267</v>
      </c>
      <c r="D30" s="49">
        <f>IF(D20=0,0,'Financial Model'!D3/D20)</f>
        <v>0.19337932333482447</v>
      </c>
      <c r="E30" s="49">
        <f>IF(E20=0,0,'Financial Model'!E3/E20)</f>
        <v>0.16157607242446237</v>
      </c>
      <c r="F30" s="49">
        <f>IF(F20=0,0,'Financial Model'!F3/F20)</f>
        <v>0.1456539181599358</v>
      </c>
    </row>
    <row r="31" spans="1:6" x14ac:dyDescent="0.25">
      <c r="A31" s="22" t="s">
        <v>148</v>
      </c>
      <c r="B31" s="49">
        <f>IF(B20=0,0,'Financial Model'!B4/B20)</f>
        <v>0.17686567164179104</v>
      </c>
      <c r="C31" s="49">
        <f>IF(C20=0,0,'Financial Model'!C4/C20)</f>
        <v>0.13628952406099412</v>
      </c>
      <c r="D31" s="49">
        <f>IF(D20=0,0,'Financial Model'!D4/D20)</f>
        <v>0.11301532738445601</v>
      </c>
      <c r="E31" s="49">
        <f>IF(E20=0,0,'Financial Model'!E4/E20)</f>
        <v>0.10252874441346117</v>
      </c>
      <c r="F31" s="49">
        <f>IF(F20=0,0,'Financial Model'!F4/F20)</f>
        <v>0.09727032629045199</v>
      </c>
    </row>
    <row r="32" spans="1:6" x14ac:dyDescent="0.25">
      <c r="A32" s="27" t="s">
        <v>149</v>
      </c>
      <c r="B32" s="12">
        <f>IF(B20=0,0,B24/B20)</f>
        <v>0.5021592039800995</v>
      </c>
      <c r="C32" s="12">
        <f>IF(C20=0,0,C24/C20)</f>
        <v>0.6005181860188792</v>
      </c>
      <c r="D32" s="12">
        <f>IF(D20=0,0,D24/D20)</f>
        <v>0.6936053492807195</v>
      </c>
      <c r="E32" s="12">
        <f>IF(E20=0,0,E24/E20)</f>
        <v>0.7358951831620765</v>
      </c>
      <c r="F32" s="12">
        <f>IF(F20=0,0,F24/F20)</f>
        <v>0.7570757555496122</v>
      </c>
    </row>
    <row r="34" ht="24" customHeight="1" spans="1:6" x14ac:dyDescent="0.25">
      <c r="A34" s="8" t="s">
        <v>150</v>
      </c>
      <c r="B34" s="8"/>
      <c r="C34" s="8"/>
      <c r="D34" s="8"/>
      <c r="E34" s="8"/>
      <c r="F34" s="8"/>
    </row>
    <row r="35" spans="1:6" x14ac:dyDescent="0.25">
      <c r="A35" s="22" t="s">
        <v>151</v>
      </c>
      <c r="B35" s="49">
        <v>0.4626865671641791</v>
      </c>
      <c r="C35" s="49">
        <v>0.46326490197372766</v>
      </c>
      <c r="D35" s="49">
        <v>0.46370635462529136</v>
      </c>
      <c r="E35" s="49">
        <v>0.4645250009549639</v>
      </c>
      <c r="F35" s="49">
        <v>0.4648970312917893</v>
      </c>
    </row>
    <row r="36" spans="1:6" x14ac:dyDescent="0.25">
      <c r="A36" s="22" t="s">
        <v>152</v>
      </c>
      <c r="B36" s="49">
        <v>0.5223880597014925</v>
      </c>
      <c r="C36" s="49">
        <v>0.5235329064624727</v>
      </c>
      <c r="D36" s="49">
        <v>0.5245214606926754</v>
      </c>
      <c r="E36" s="49">
        <v>0.5259253600213912</v>
      </c>
      <c r="F36" s="49">
        <v>0.5267451190157796</v>
      </c>
    </row>
    <row r="37" spans="1:6" x14ac:dyDescent="0.25">
      <c r="A37" s="22" t="s">
        <v>153</v>
      </c>
      <c r="B37" s="49">
        <v>0.014925373134328358</v>
      </c>
      <c r="C37" s="49">
        <v>0.01320219156379959</v>
      </c>
      <c r="D37" s="49">
        <v>0.011772184682033292</v>
      </c>
      <c r="E37" s="49">
        <v>0.009549639023644906</v>
      </c>
      <c r="F37" s="49">
        <v>0.008357849692431132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598240</v>
      </c>
    </row>
    <row r="17" spans="2:3" x14ac:dyDescent="0.25">
      <c r="B17" s="9" t="s">
        <v>9</v>
      </c>
      <c r="C17" s="11">
        <v>452913</v>
      </c>
    </row>
    <row r="18" spans="2:3" x14ac:dyDescent="0.25">
      <c r="B18" s="9" t="s">
        <v>10</v>
      </c>
      <c r="C18" s="12">
        <v>0.7570757555496122</v>
      </c>
    </row>
    <row r="19" spans="2:3" x14ac:dyDescent="0.25">
      <c r="B19" s="9" t="s">
        <v>11</v>
      </c>
      <c r="C19" s="13">
        <v>116.8966812773951</v>
      </c>
    </row>
    <row r="20" spans="2:3" x14ac:dyDescent="0.25">
      <c r="B20" s="9" t="s">
        <v>12</v>
      </c>
      <c r="C20" s="14">
        <v>40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7" t="s">
        <v>154</v>
      </c>
      <c r="C2" s="47"/>
      <c r="D2" s="47"/>
      <c r="E2" s="47"/>
      <c r="F2" s="47"/>
      <c r="G2" s="47"/>
      <c r="H2" s="47"/>
    </row>
    <row r="3" spans="2:8" x14ac:dyDescent="0.25">
      <c r="B3" s="51" t="s">
        <v>155</v>
      </c>
      <c r="C3" s="51"/>
      <c r="D3" s="51"/>
      <c r="E3" s="51"/>
      <c r="F3" s="51"/>
      <c r="G3" s="51"/>
      <c r="H3" s="51"/>
    </row>
    <row r="4" spans="2:6" x14ac:dyDescent="0.25">
      <c r="B4" s="52" t="s">
        <v>156</v>
      </c>
      <c r="D4" s="53" t="s">
        <v>157</v>
      </c>
      <c r="F4" s="54" t="s">
        <v>158</v>
      </c>
    </row>
    <row r="6" ht="24" customHeight="1" spans="2:8" x14ac:dyDescent="0.25">
      <c r="B6" s="8" t="s">
        <v>159</v>
      </c>
      <c r="C6" s="55" t="s">
        <v>61</v>
      </c>
      <c r="D6" s="55" t="s">
        <v>62</v>
      </c>
      <c r="E6" s="55" t="s">
        <v>63</v>
      </c>
      <c r="F6" s="55" t="s">
        <v>64</v>
      </c>
      <c r="G6" s="55" t="s">
        <v>65</v>
      </c>
      <c r="H6" s="55" t="s">
        <v>160</v>
      </c>
    </row>
    <row r="7" spans="2:7" x14ac:dyDescent="0.25">
      <c r="B7" s="9" t="s">
        <v>161</v>
      </c>
      <c r="C7" s="56">
        <v>15</v>
      </c>
      <c r="D7" s="56">
        <v>22</v>
      </c>
      <c r="E7" s="56">
        <v>30</v>
      </c>
      <c r="F7" s="56">
        <v>36</v>
      </c>
      <c r="G7" s="56">
        <v>40</v>
      </c>
    </row>
    <row r="8" spans="2:7" x14ac:dyDescent="0.25">
      <c r="B8" s="9" t="s">
        <v>162</v>
      </c>
      <c r="C8" s="57">
        <v>201000</v>
      </c>
      <c r="D8" s="57">
        <v>302980</v>
      </c>
      <c r="E8" s="57">
        <v>424730</v>
      </c>
      <c r="F8" s="57">
        <v>523580</v>
      </c>
      <c r="G8" s="57">
        <v>598240</v>
      </c>
    </row>
    <row r="9" spans="2:7" x14ac:dyDescent="0.25">
      <c r="B9" s="9" t="s">
        <v>163</v>
      </c>
      <c r="C9" s="57">
        <v>64516</v>
      </c>
      <c r="D9" s="57">
        <v>79742</v>
      </c>
      <c r="E9" s="57">
        <v>82134</v>
      </c>
      <c r="F9" s="57">
        <v>84598</v>
      </c>
      <c r="G9" s="57">
        <v>87136</v>
      </c>
    </row>
    <row r="10" spans="2:7" x14ac:dyDescent="0.25">
      <c r="B10" s="9" t="s">
        <v>17</v>
      </c>
      <c r="C10" s="57">
        <v>35550</v>
      </c>
      <c r="D10" s="57">
        <v>41293</v>
      </c>
      <c r="E10" s="57">
        <v>48001</v>
      </c>
      <c r="F10" s="57">
        <v>53682</v>
      </c>
      <c r="G10" s="57">
        <v>58191</v>
      </c>
    </row>
    <row r="11" spans="2:7" x14ac:dyDescent="0.25">
      <c r="B11" s="9" t="s">
        <v>164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</row>
    <row r="12" spans="2:7" x14ac:dyDescent="0.25">
      <c r="B12" s="58" t="s">
        <v>165</v>
      </c>
      <c r="C12" s="59">
        <v>100934</v>
      </c>
      <c r="D12" s="59">
        <v>181945</v>
      </c>
      <c r="E12" s="59">
        <v>294595</v>
      </c>
      <c r="F12" s="59">
        <v>385300</v>
      </c>
      <c r="G12" s="59">
        <v>452913</v>
      </c>
    </row>
    <row r="13" spans="2:7" x14ac:dyDescent="0.25">
      <c r="B13" s="58" t="s">
        <v>166</v>
      </c>
      <c r="C13" s="59">
        <v>100934</v>
      </c>
      <c r="D13" s="59">
        <v>282879</v>
      </c>
      <c r="E13" s="59">
        <v>577474</v>
      </c>
      <c r="F13" s="59">
        <v>962774</v>
      </c>
      <c r="G13" s="59">
        <v>1415687</v>
      </c>
    </row>
    <row r="14" spans="2:7" x14ac:dyDescent="0.25">
      <c r="B14" s="58" t="s">
        <v>167</v>
      </c>
      <c r="C14" s="60">
        <v>0.5021592039800995</v>
      </c>
      <c r="D14" s="60">
        <v>0.6005181860188792</v>
      </c>
      <c r="E14" s="60">
        <v>0.6936053492807195</v>
      </c>
      <c r="F14" s="60">
        <v>0.7358951831620765</v>
      </c>
      <c r="G14" s="60">
        <v>0.7570757555496122</v>
      </c>
    </row>
    <row r="15" spans="2:8" x14ac:dyDescent="0.25">
      <c r="B15" s="58" t="s">
        <v>146</v>
      </c>
      <c r="C15" s="61">
        <v>13400</v>
      </c>
      <c r="D15" s="61">
        <v>13771.818181818182</v>
      </c>
      <c r="E15" s="61">
        <v>14157.666666666666</v>
      </c>
      <c r="F15" s="61">
        <v>14543.888888888889</v>
      </c>
      <c r="G15" s="61">
        <v>14956</v>
      </c>
      <c r="H15" s="62" t="s">
        <v>168</v>
      </c>
    </row>
    <row r="16" spans="2:7" x14ac:dyDescent="0.25">
      <c r="B16" s="58" t="s">
        <v>169</v>
      </c>
      <c r="C16" s="63">
        <v>6671.066666666667</v>
      </c>
      <c r="D16" s="63">
        <v>5501.590909090909</v>
      </c>
      <c r="E16" s="63">
        <v>4337.833333333333</v>
      </c>
      <c r="F16" s="63">
        <v>3841.1111111111113</v>
      </c>
      <c r="G16" s="63">
        <v>3633.175</v>
      </c>
    </row>
    <row r="17" spans="2:7" x14ac:dyDescent="0.25">
      <c r="B17" s="9" t="s">
        <v>170</v>
      </c>
      <c r="C17" s="57">
        <v>400</v>
      </c>
      <c r="D17" s="57">
        <v>412</v>
      </c>
      <c r="E17" s="57">
        <v>424</v>
      </c>
      <c r="F17" s="57">
        <v>437</v>
      </c>
      <c r="G17" s="57">
        <v>450</v>
      </c>
    </row>
    <row r="18" spans="2:8" x14ac:dyDescent="0.25">
      <c r="B18" s="9" t="s">
        <v>171</v>
      </c>
      <c r="C18" s="61">
        <v>1720</v>
      </c>
      <c r="D18" s="61">
        <v>1206.9545454545455</v>
      </c>
      <c r="E18" s="61">
        <v>910.8813333333333</v>
      </c>
      <c r="F18" s="61">
        <v>781.1362</v>
      </c>
      <c r="G18" s="61">
        <v>723.7497574000001</v>
      </c>
      <c r="H18" s="62" t="s">
        <v>172</v>
      </c>
    </row>
    <row r="19" spans="2:7" x14ac:dyDescent="0.25">
      <c r="B19" s="58" t="s">
        <v>173</v>
      </c>
      <c r="C19" s="64">
        <v>6728.933333333333</v>
      </c>
      <c r="D19" s="64">
        <v>8270.227272727272</v>
      </c>
      <c r="E19" s="64">
        <v>9819.833333333334</v>
      </c>
      <c r="F19" s="64">
        <v>10702.777777777777</v>
      </c>
      <c r="G19" s="64">
        <v>11322.825</v>
      </c>
    </row>
    <row r="20" spans="2:8" x14ac:dyDescent="0.25">
      <c r="B20" s="58" t="s">
        <v>174</v>
      </c>
      <c r="C20" s="60">
        <v>0.32097512437810943</v>
      </c>
      <c r="D20" s="60">
        <v>0.2631922899201267</v>
      </c>
      <c r="E20" s="60">
        <v>0.19337932333482447</v>
      </c>
      <c r="F20" s="60">
        <v>0.16157607242446237</v>
      </c>
      <c r="G20" s="60">
        <v>0.1456539181599358</v>
      </c>
      <c r="H20" s="62" t="s">
        <v>175</v>
      </c>
    </row>
    <row r="21" spans="2:8" x14ac:dyDescent="0.25">
      <c r="B21" s="58" t="s">
        <v>176</v>
      </c>
      <c r="C21" s="60">
        <v>0.12835820895522387</v>
      </c>
      <c r="D21" s="60">
        <v>0.08763944814839263</v>
      </c>
      <c r="E21" s="60">
        <v>0.06433837967650036</v>
      </c>
      <c r="F21" s="60">
        <v>0.05370889491577219</v>
      </c>
      <c r="G21" s="60">
        <v>0.048391933498261576</v>
      </c>
      <c r="H21" s="62" t="s">
        <v>177</v>
      </c>
    </row>
    <row r="22" spans="2:8" x14ac:dyDescent="0.25">
      <c r="B22" s="58" t="s">
        <v>178</v>
      </c>
      <c r="C22" s="60">
        <v>0.5021592039800995</v>
      </c>
      <c r="D22" s="60">
        <v>0.6005181860188792</v>
      </c>
      <c r="E22" s="60">
        <v>0.6936053492807195</v>
      </c>
      <c r="F22" s="60">
        <v>0.7358951831620765</v>
      </c>
      <c r="G22" s="60">
        <v>0.7570757555496122</v>
      </c>
      <c r="H22" s="62" t="s">
        <v>179</v>
      </c>
    </row>
    <row r="23" spans="2:8" x14ac:dyDescent="0.25">
      <c r="B23" s="58" t="s">
        <v>180</v>
      </c>
      <c r="C23" s="65">
        <v>3</v>
      </c>
      <c r="D23" s="65">
        <v>3</v>
      </c>
      <c r="E23" s="65">
        <v>3</v>
      </c>
      <c r="F23" s="65">
        <v>3</v>
      </c>
      <c r="G23" s="65">
        <v>3</v>
      </c>
      <c r="H23" s="62" t="s">
        <v>181</v>
      </c>
    </row>
    <row r="24" spans="2:8" x14ac:dyDescent="0.25">
      <c r="B24" s="58" t="s">
        <v>182</v>
      </c>
      <c r="C24" s="66" t="s">
        <v>183</v>
      </c>
      <c r="D24" s="66" t="s">
        <v>183</v>
      </c>
      <c r="E24" s="66" t="s">
        <v>183</v>
      </c>
      <c r="F24" s="66" t="s">
        <v>183</v>
      </c>
      <c r="G24" s="66" t="s">
        <v>183</v>
      </c>
      <c r="H24" s="62" t="s">
        <v>183</v>
      </c>
    </row>
    <row r="25" spans="2:8" x14ac:dyDescent="0.25">
      <c r="B25" s="58" t="s">
        <v>184</v>
      </c>
      <c r="C25" s="45" t="str">
        <f>IF('Financial Model'!B8&gt;=0,"✓ Break-even","")</f>
        <v>✓ Break-even</v>
      </c>
      <c r="D25" s="67" t="str">
        <f>IF(AND('Financial Model'!C8&gt;=0,'Financial Model'!B8&lt;0),"✓ Break-even","")</f>
        <v>0</v>
      </c>
      <c r="E25" s="67" t="str">
        <f>IF(AND('Financial Model'!D8&gt;=0,'Financial Model'!C8&lt;0),"✓ Break-even","")</f>
        <v>0</v>
      </c>
      <c r="F25" s="67" t="str">
        <f>IF(AND('Financial Model'!E8&gt;=0,'Financial Model'!D8&lt;0),"✓ Break-even","")</f>
        <v>0</v>
      </c>
      <c r="G25" s="67" t="str">
        <f>IF(AND('Financial Model'!F8&gt;=0,'Financial Model'!E8&lt;0),"✓ Break-even","")</f>
        <v>0</v>
      </c>
      <c r="H25" s="62" t="s">
        <v>61</v>
      </c>
    </row>
    <row r="26" spans="2:8" x14ac:dyDescent="0.25">
      <c r="B26" s="58" t="s">
        <v>185</v>
      </c>
      <c r="C26" s="68">
        <v>12</v>
      </c>
      <c r="D26" s="65">
        <v>28</v>
      </c>
      <c r="E26" s="65">
        <v>53</v>
      </c>
      <c r="F26" s="69" t="s">
        <v>186</v>
      </c>
      <c r="G26" s="69" t="s">
        <v>186</v>
      </c>
      <c r="H26" s="62" t="s">
        <v>187</v>
      </c>
    </row>
    <row r="27" spans="2:8" x14ac:dyDescent="0.25">
      <c r="B27" s="58" t="s">
        <v>188</v>
      </c>
      <c r="C27" s="65">
        <v>368</v>
      </c>
      <c r="D27" s="65">
        <v>853</v>
      </c>
      <c r="E27" s="65">
        <v>1620</v>
      </c>
      <c r="F27" s="65">
        <v>2541</v>
      </c>
      <c r="G27" s="65">
        <v>3556</v>
      </c>
      <c r="H27" s="62" t="s">
        <v>189</v>
      </c>
    </row>
    <row r="29" ht="24" customHeight="1" spans="2:8" x14ac:dyDescent="0.25">
      <c r="B29" s="8" t="s">
        <v>190</v>
      </c>
      <c r="C29" s="8" t="s">
        <v>191</v>
      </c>
      <c r="D29" s="8" t="s">
        <v>192</v>
      </c>
      <c r="E29" s="8"/>
      <c r="F29" s="8" t="s">
        <v>193</v>
      </c>
      <c r="G29" s="8"/>
      <c r="H29" s="8"/>
    </row>
    <row r="30" ht="45" customHeight="1" spans="2:8" x14ac:dyDescent="0.25">
      <c r="B30" s="70" t="s">
        <v>194</v>
      </c>
      <c r="C30" s="45" t="s">
        <v>195</v>
      </c>
      <c r="D30" s="71" t="s">
        <v>196</v>
      </c>
      <c r="E30" s="71"/>
      <c r="F30" s="72" t="s">
        <v>197</v>
      </c>
      <c r="G30" s="72"/>
      <c r="H30" s="72"/>
    </row>
    <row r="31" ht="45" customHeight="1" spans="2:8" x14ac:dyDescent="0.25">
      <c r="B31" s="70" t="s">
        <v>198</v>
      </c>
      <c r="C31" s="45" t="s">
        <v>195</v>
      </c>
      <c r="D31" s="71" t="s">
        <v>199</v>
      </c>
      <c r="E31" s="71"/>
      <c r="F31" s="72" t="s">
        <v>200</v>
      </c>
      <c r="G31" s="72"/>
      <c r="H31" s="72"/>
    </row>
    <row r="32" ht="45" customHeight="1" spans="2:8" x14ac:dyDescent="0.25">
      <c r="B32" s="70" t="s">
        <v>201</v>
      </c>
      <c r="C32" s="45" t="s">
        <v>195</v>
      </c>
      <c r="D32" s="71" t="s">
        <v>202</v>
      </c>
      <c r="E32" s="71"/>
      <c r="F32" s="72" t="s">
        <v>203</v>
      </c>
      <c r="G32" s="72"/>
      <c r="H32" s="72"/>
    </row>
    <row r="33" ht="45" customHeight="1" spans="2:8" x14ac:dyDescent="0.25">
      <c r="B33" s="70" t="s">
        <v>204</v>
      </c>
      <c r="C33" s="45" t="s">
        <v>195</v>
      </c>
      <c r="D33" s="71" t="s">
        <v>205</v>
      </c>
      <c r="E33" s="71"/>
      <c r="F33" s="72" t="s">
        <v>206</v>
      </c>
      <c r="G33" s="72"/>
      <c r="H33" s="72"/>
    </row>
    <row r="34" ht="45" customHeight="1" spans="2:8" x14ac:dyDescent="0.25">
      <c r="B34" s="70" t="s">
        <v>207</v>
      </c>
      <c r="C34" s="45" t="s">
        <v>195</v>
      </c>
      <c r="D34" s="71" t="s">
        <v>208</v>
      </c>
      <c r="E34" s="71"/>
      <c r="F34" s="72" t="s">
        <v>209</v>
      </c>
      <c r="G34" s="72"/>
      <c r="H34" s="72"/>
    </row>
    <row r="35" ht="45" customHeight="1" spans="2:8" x14ac:dyDescent="0.25">
      <c r="B35" s="70" t="s">
        <v>210</v>
      </c>
      <c r="C35" s="45" t="s">
        <v>195</v>
      </c>
      <c r="D35" s="71" t="s">
        <v>211</v>
      </c>
      <c r="E35" s="71"/>
      <c r="F35" s="72" t="s">
        <v>212</v>
      </c>
      <c r="G35" s="72"/>
      <c r="H35" s="72"/>
    </row>
    <row r="37" spans="2:6" x14ac:dyDescent="0.25">
      <c r="B37" s="70" t="s">
        <v>20</v>
      </c>
      <c r="C37" s="58" t="s">
        <v>213</v>
      </c>
      <c r="D37" s="58"/>
      <c r="E37" s="58"/>
      <c r="F37" s="58"/>
    </row>
    <row r="39" spans="2:8" x14ac:dyDescent="0.25">
      <c r="B39" s="73" t="s">
        <v>214</v>
      </c>
      <c r="C39" s="73"/>
      <c r="D39" s="73"/>
      <c r="E39" s="73"/>
      <c r="F39" s="73"/>
      <c r="G39" s="73"/>
      <c r="H39" s="73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2026-03-27T03:49:35Z</dcterms:created>
  <dcterms:modified xsi:type="dcterms:W3CDTF">2026-03-27T03:49:35Z</dcterms:modified>
</cp:coreProperties>
</file>