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Health'!$A1:$H34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<sst xmlns="http://schemas.openxmlformats.org/spreadsheetml/2006/main" count="305" uniqueCount="208">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</sst>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8" x14ac:dyDescent="0.25">
      <c r="B16" s="58" t="s">
        <v>169</v>
      </c>
      <c r="C16" s="60">
        <v>0.32097512437810943</v>
      </c>
      <c r="D16" s="60">
        <v>0.2631922899201267</v>
      </c>
      <c r="E16" s="60">
        <v>0.19337932333482447</v>
      </c>
      <c r="F16" s="60">
        <v>0.16157607242446237</v>
      </c>
      <c r="G16" s="60">
        <v>0.1456539181599358</v>
      </c>
      <c r="H16" s="62" t="s">
        <v>170</v>
      </c>
    </row>
    <row r="17" spans="2:8" x14ac:dyDescent="0.25">
      <c r="B17" s="58" t="s">
        <v>171</v>
      </c>
      <c r="C17" s="60">
        <v>0.12835820895522387</v>
      </c>
      <c r="D17" s="60">
        <v>0.08763944814839263</v>
      </c>
      <c r="E17" s="60">
        <v>0.06433837967650036</v>
      </c>
      <c r="F17" s="60">
        <v>0.05370889491577219</v>
      </c>
      <c r="G17" s="60">
        <v>0.048391933498261576</v>
      </c>
      <c r="H17" s="62" t="s">
        <v>172</v>
      </c>
    </row>
    <row r="18" spans="2:8" x14ac:dyDescent="0.25">
      <c r="B18" s="58" t="s">
        <v>173</v>
      </c>
      <c r="C18" s="60">
        <v>0.5021592039800995</v>
      </c>
      <c r="D18" s="60">
        <v>0.6005181860188792</v>
      </c>
      <c r="E18" s="60">
        <v>0.6936053492807195</v>
      </c>
      <c r="F18" s="60">
        <v>0.7358951831620765</v>
      </c>
      <c r="G18" s="60">
        <v>0.7570757555496122</v>
      </c>
      <c r="H18" s="62" t="s">
        <v>174</v>
      </c>
    </row>
    <row r="19" spans="2:8" x14ac:dyDescent="0.25">
      <c r="B19" s="58" t="s">
        <v>175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176</v>
      </c>
    </row>
    <row r="20" spans="2:8" x14ac:dyDescent="0.25">
      <c r="B20" s="58" t="s">
        <v>177</v>
      </c>
      <c r="C20" s="64" t="s">
        <v>178</v>
      </c>
      <c r="D20" s="64" t="s">
        <v>178</v>
      </c>
      <c r="E20" s="64" t="s">
        <v>178</v>
      </c>
      <c r="F20" s="64" t="s">
        <v>178</v>
      </c>
      <c r="G20" s="64" t="s">
        <v>178</v>
      </c>
      <c r="H20" s="62" t="s">
        <v>178</v>
      </c>
    </row>
    <row r="21" spans="2:8" x14ac:dyDescent="0.25">
      <c r="B21" s="58" t="s">
        <v>179</v>
      </c>
      <c r="C21" s="45" t="str">
        <f>IF('Financial Model'!B8&gt;=0,"✓ Break-even","")</f>
        <v>✓ Break-even</v>
      </c>
      <c r="D21" s="65" t="str">
        <f>IF(AND('Financial Model'!C8&gt;=0,'Financial Model'!B8&lt;0),"✓ Break-even","")</f>
        <v>0</v>
      </c>
      <c r="E21" s="65" t="str">
        <f>IF(AND('Financial Model'!D8&gt;=0,'Financial Model'!C8&lt;0),"✓ Break-even","")</f>
        <v>0</v>
      </c>
      <c r="F21" s="65" t="str">
        <f>IF(AND('Financial Model'!E8&gt;=0,'Financial Model'!D8&lt;0),"✓ Break-even","")</f>
        <v>0</v>
      </c>
      <c r="G21" s="65" t="str">
        <f>IF(AND('Financial Model'!F8&gt;=0,'Financial Model'!E8&lt;0),"✓ Break-even","")</f>
        <v>0</v>
      </c>
      <c r="H21" s="62" t="s">
        <v>61</v>
      </c>
    </row>
    <row r="22" spans="2:8" x14ac:dyDescent="0.25">
      <c r="B22" s="58" t="s">
        <v>180</v>
      </c>
      <c r="C22" s="66">
        <v>12</v>
      </c>
      <c r="D22" s="63">
        <v>28</v>
      </c>
      <c r="E22" s="63">
        <v>53</v>
      </c>
      <c r="F22" s="67" t="s">
        <v>181</v>
      </c>
      <c r="G22" s="67" t="s">
        <v>181</v>
      </c>
      <c r="H22" s="62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8" t="s">
        <v>187</v>
      </c>
      <c r="C25" s="45" t="s">
        <v>188</v>
      </c>
      <c r="D25" s="69" t="s">
        <v>189</v>
      </c>
      <c r="E25" s="69"/>
      <c r="F25" s="70" t="s">
        <v>190</v>
      </c>
      <c r="G25" s="70"/>
      <c r="H25" s="70"/>
    </row>
    <row r="26" ht="45" customHeight="1" spans="2:8" x14ac:dyDescent="0.25">
      <c r="B26" s="68" t="s">
        <v>191</v>
      </c>
      <c r="C26" s="45" t="s">
        <v>188</v>
      </c>
      <c r="D26" s="69" t="s">
        <v>192</v>
      </c>
      <c r="E26" s="69"/>
      <c r="F26" s="70" t="s">
        <v>193</v>
      </c>
      <c r="G26" s="70"/>
      <c r="H26" s="70"/>
    </row>
    <row r="27" ht="45" customHeight="1" spans="2:8" x14ac:dyDescent="0.25">
      <c r="B27" s="68" t="s">
        <v>194</v>
      </c>
      <c r="C27" s="45" t="s">
        <v>188</v>
      </c>
      <c r="D27" s="69" t="s">
        <v>195</v>
      </c>
      <c r="E27" s="69"/>
      <c r="F27" s="70" t="s">
        <v>196</v>
      </c>
      <c r="G27" s="70"/>
      <c r="H27" s="70"/>
    </row>
    <row r="28" ht="45" customHeight="1" spans="2:8" x14ac:dyDescent="0.25">
      <c r="B28" s="68" t="s">
        <v>197</v>
      </c>
      <c r="C28" s="45" t="s">
        <v>188</v>
      </c>
      <c r="D28" s="69" t="s">
        <v>198</v>
      </c>
      <c r="E28" s="69"/>
      <c r="F28" s="70" t="s">
        <v>199</v>
      </c>
      <c r="G28" s="70"/>
      <c r="H28" s="70"/>
    </row>
    <row r="29" ht="45" customHeight="1" spans="2:8" x14ac:dyDescent="0.25">
      <c r="B29" s="68" t="s">
        <v>200</v>
      </c>
      <c r="C29" s="45" t="s">
        <v>188</v>
      </c>
      <c r="D29" s="69" t="s">
        <v>201</v>
      </c>
      <c r="E29" s="69"/>
      <c r="F29" s="70" t="s">
        <v>202</v>
      </c>
      <c r="G29" s="70"/>
      <c r="H29" s="70"/>
    </row>
    <row r="30" ht="45" customHeight="1" spans="2:8" x14ac:dyDescent="0.25">
      <c r="B30" s="68" t="s">
        <v>203</v>
      </c>
      <c r="C30" s="45" t="s">
        <v>188</v>
      </c>
      <c r="D30" s="69" t="s">
        <v>204</v>
      </c>
      <c r="E30" s="69"/>
      <c r="F30" s="70" t="s">
        <v>205</v>
      </c>
      <c r="G30" s="70"/>
      <c r="H30" s="70"/>
    </row>
    <row r="32" spans="2:6" x14ac:dyDescent="0.25">
      <c r="B32" s="68" t="s">
        <v>20</v>
      </c>
      <c r="C32" s="58" t="s">
        <v>206</v>
      </c>
      <c r="D32" s="58"/>
      <c r="E32" s="58"/>
      <c r="F32" s="58"/>
    </row>
    <row r="34" spans="2:8" x14ac:dyDescent="0.25">
      <c r="B34" s="71" t="s">
        <v>207</v>
      </c>
      <c r="C34" s="71"/>
      <c r="D34" s="71"/>
      <c r="E34" s="71"/>
      <c r="F34" s="71"/>
      <c r="G34" s="71"/>
      <c r="H34" s="71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2026-03-27T02:55:08Z</dcterms:created>
  <dcterms:modified xsi:type="dcterms:W3CDTF">2026-03-27T02:55:08Z</dcterms:modified>
</cp:coreProperties>
</file>