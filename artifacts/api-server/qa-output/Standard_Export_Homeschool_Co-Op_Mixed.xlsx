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8" name="Cover" state="visible" r:id="rId4"/>
    <sheet sheetId="1" name="Assumptions" state="visible" r:id="rId5"/>
    <sheet sheetId="2" name="Revenue Schedule" state="visible" r:id="rId6"/>
    <sheet sheetId="3" name="Staffing &amp; Personnel" state="visible" r:id="rId7"/>
    <sheet sheetId="4" name="Operating Expenses" state="visible" r:id="rId8"/>
    <sheet sheetId="5" name="Capital &amp; Debt" state="visible" r:id="rId9"/>
    <sheet sheetId="6" name="Financial Model" state="visible" r:id="rId10"/>
    <sheet sheetId="7" name="Summary" state="visible" r:id="rId11"/>
    <sheet sheetId="9" name="Financial Health" state="visible" r:id="rId12"/>
  </sheets>
  <definedNames>
    <definedName name="_xlnm.Print_Area" localSheetId="1">'Assumptions'!$A1:$E39</definedName>
    <definedName name="_xlnm.Print_Titles" localSheetId="1">'Assumptions'!$1:$1</definedName>
    <definedName name="_xlnm.Print_Area" localSheetId="2">'Revenue Schedule'!$A1:$F14</definedName>
    <definedName name="_xlnm.Print_Titles" localSheetId="2">'Revenue Schedule'!$1:$1</definedName>
    <definedName name="_xlnm.Print_Area" localSheetId="3">'Staffing &amp; Personnel'!$A1:$H21</definedName>
    <definedName name="_xlnm.Print_Titles" localSheetId="3">'Staffing &amp; Personnel'!$1:$1</definedName>
    <definedName name="_xlnm.Print_Area" localSheetId="4">'Operating Expenses'!$A1:$F15</definedName>
    <definedName name="_xlnm.Print_Titles" localSheetId="4">'Operating Expenses'!$1:$1</definedName>
    <definedName name="_xlnm.Print_Area" localSheetId="5">'Capital &amp; Debt'!$A1:$F4</definedName>
    <definedName name="_xlnm.Print_Titles" localSheetId="5">'Capital &amp; Debt'!$1:$1</definedName>
    <definedName name="_xlnm.Print_Area" localSheetId="6">'Financial Model'!$A1:$F10</definedName>
    <definedName name="_xlnm.Print_Titles" localSheetId="6">'Financial Model'!$1:$1</definedName>
    <definedName name="_xlnm.Print_Area" localSheetId="7">'Summary'!$A1:$F37</definedName>
    <definedName name="_xlnm.Print_Titles" localSheetId="7">'Summary'!$1:$1</definedName>
    <definedName name="_xlnm.Print_Area" localSheetId="8">'Financial Health'!$A1:$H34</definedName>
    <definedName name="_xlnm.Print_Titles" localSheetId="8">'Financial Health'!$1:$1</definedName>
  </definedNames>
  <calcPr calcId="171027" fullCalcOnLoad="1"/>
</workbook>
</file>

<file path=xl/sharedStrings.xml><?xml version="1.0" encoding="utf-8"?>
<sst xmlns="http://schemas.openxmlformats.org/spreadsheetml/2006/main" count="304" uniqueCount="213">
  <si>
    <t>SchoolStack Budget</t>
  </si>
  <si>
    <t>5-Year Financial Model</t>
  </si>
  <si>
    <t>Prepared for</t>
  </si>
  <si>
    <t>Liberty Learning Co-Op</t>
  </si>
  <si>
    <t>Homeschool Co-Op  •  LLC - Single Member  •  AZ</t>
  </si>
  <si>
    <t>Date Prepared</t>
  </si>
  <si>
    <t>March 27, 2026</t>
  </si>
  <si>
    <t>KEY HIGHLIGHTS</t>
  </si>
  <si>
    <t>Year 5 Revenue</t>
  </si>
  <si>
    <t>Year 5 Net Income</t>
  </si>
  <si>
    <t>Year 5 Net Margin</t>
  </si>
  <si>
    <t>Operating Reserve (Months)</t>
  </si>
  <si>
    <t>Year 5 Enrollment</t>
  </si>
  <si>
    <t>TABLE OF CONTENTS</t>
  </si>
  <si>
    <t>Assumptions</t>
  </si>
  <si>
    <t>Revenue Schedule</t>
  </si>
  <si>
    <t>Staffing &amp; Personnel</t>
  </si>
  <si>
    <t>Operating Expenses</t>
  </si>
  <si>
    <t>Capital &amp; Debt</t>
  </si>
  <si>
    <t>Financial Model</t>
  </si>
  <si>
    <t>Summary</t>
  </si>
  <si>
    <t>Generated by SchoolStack Budget  •  budget.schoolstack.ai</t>
  </si>
  <si>
    <t>SchoolStack Budget - Assumptions</t>
  </si>
  <si>
    <t/>
  </si>
  <si>
    <t>Editable assumption — change this value</t>
  </si>
  <si>
    <t>Calculated — driven by formula</t>
  </si>
  <si>
    <t>SCHOOL INFORMATION</t>
  </si>
  <si>
    <t>School Name</t>
  </si>
  <si>
    <t>State</t>
  </si>
  <si>
    <t>AZ</t>
  </si>
  <si>
    <t>School Type</t>
  </si>
  <si>
    <t>Homeschool Co-Op</t>
  </si>
  <si>
    <t>Entity Type</t>
  </si>
  <si>
    <t>LLC - Single Member</t>
  </si>
  <si>
    <t>EIN</t>
  </si>
  <si>
    <t>86-5551234</t>
  </si>
  <si>
    <t>School Stage</t>
  </si>
  <si>
    <t>New School</t>
  </si>
  <si>
    <t>Opening Year</t>
  </si>
  <si>
    <t>Current Students</t>
  </si>
  <si>
    <t>Max Student Capacity</t>
  </si>
  <si>
    <t>Fiscal Year Start</t>
  </si>
  <si>
    <t>July</t>
  </si>
  <si>
    <t>Year 1 Operating Months</t>
  </si>
  <si>
    <t>Location Secured</t>
  </si>
  <si>
    <t>Yes</t>
  </si>
  <si>
    <t>Facility Address</t>
  </si>
  <si>
    <t>789 Desert Way, Mesa, AZ, 85201</t>
  </si>
  <si>
    <t>Facility Ownership</t>
  </si>
  <si>
    <t>Rented / Leased</t>
  </si>
  <si>
    <t>Monthly Rent</t>
  </si>
  <si>
    <t>$1,800</t>
  </si>
  <si>
    <t>Annual Rent Escalation</t>
  </si>
  <si>
    <t>3%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</si>
  <si>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</si>
  <si>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</si>
  <si>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</si>
  <si>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</si>
  <si>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</si>
  <si>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</si>
  <si>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WEIGHTED ENROLLMENT POPULATIONS</t>
  </si>
  <si>
    <t>Special Education (SPED)</t>
  </si>
  <si>
    <t>3  /  4  /  5  /  6  /  6</t>
  </si>
  <si>
    <t>English Language Learners (ELL)</t>
  </si>
  <si>
    <t>2  /  3  /  4  /  5  /  5</t>
  </si>
  <si>
    <t>Economically Disadvantaged</t>
  </si>
  <si>
    <t>5  /  7  /  9  /  10  /  12</t>
  </si>
  <si>
    <t>Total Weighted Students</t>
  </si>
  <si>
    <t>10  /  14  /  18  /  21  /  23</t>
  </si>
  <si>
    <t>Weighted % of Enrollment</t>
  </si>
  <si>
    <t>67%  /  64%  /  60%  /  58%  /  57%</t>
  </si>
  <si>
    <t>GROWTH &amp; ESCALATION ASSUMPTIONS</t>
  </si>
  <si>
    <t>Annual Salary Escalation</t>
  </si>
  <si>
    <t>General Cost Inflation</t>
  </si>
  <si>
    <t>Year 1 Proration Factor</t>
  </si>
  <si>
    <t>Projection Period</t>
  </si>
  <si>
    <t>5 Years</t>
  </si>
  <si>
    <t>Year 1</t>
  </si>
  <si>
    <t>Year 2</t>
  </si>
  <si>
    <t>Year 3</t>
  </si>
  <si>
    <t>Year 4</t>
  </si>
  <si>
    <t>Year 5</t>
  </si>
  <si>
    <t>Students</t>
  </si>
  <si>
    <t>TUITION &amp; STUDENT FEES</t>
  </si>
  <si>
    <t>Co-Op Tuition</t>
  </si>
  <si>
    <t>Materials Fee</t>
  </si>
  <si>
    <t>Total TUITION &amp; STUDENT FEES</t>
  </si>
  <si>
    <t>SCHOOL CHOICE / CHOICE FUNDING</t>
  </si>
  <si>
    <t>ESA Revenue</t>
  </si>
  <si>
    <t>Total SCHOOL CHOICE / CHOICE FUNDING</t>
  </si>
  <si>
    <t>PHILANTHROPY</t>
  </si>
  <si>
    <t>Annual Fundraising</t>
  </si>
  <si>
    <t>Total PHILANTHROPY</t>
  </si>
  <si>
    <t>TOTAL NET REVENUE</t>
  </si>
  <si>
    <t>SchoolStack Budget - Staffing &amp; Personnel</t>
  </si>
  <si>
    <t>Role</t>
  </si>
  <si>
    <t>Function</t>
  </si>
  <si>
    <t>Type</t>
  </si>
  <si>
    <t>FTE</t>
  </si>
  <si>
    <t>Annual Rate</t>
  </si>
  <si>
    <t>Benefits %</t>
  </si>
  <si>
    <t>Payroll Tax %</t>
  </si>
  <si>
    <t>Total Annual Cost</t>
  </si>
  <si>
    <t>Director / Lead Educator</t>
  </si>
  <si>
    <t>School Leadership</t>
  </si>
  <si>
    <t>Full-Time</t>
  </si>
  <si>
    <t>Assistant Educator</t>
  </si>
  <si>
    <t>Instructional</t>
  </si>
  <si>
    <t>Part-Time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</si>
  <si>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</si>
  <si>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</si>
  <si>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</si>
  <si>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</si>
  <si>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</si>
  <si>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</si>
  <si>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</si>
  <si>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Annual Personnel Cost</t>
  </si>
  <si>
    <t>PERSONNEL COST PROJECTION</t>
  </si>
  <si>
    <t>Base Personnel Cost</t>
  </si>
  <si>
    <t>Salary Escalation Factor</t>
  </si>
  <si>
    <t>Proration Factor</t>
  </si>
  <si>
    <t>Total Personnel Cost</t>
  </si>
  <si>
    <t>INSTRUCTIONAL / PROGRAM</t>
  </si>
  <si>
    <t>Curriculum &amp; Materials</t>
  </si>
  <si>
    <t>Total INSTRUCTIONAL</t>
  </si>
  <si>
    <t>TECHNOLOGY</t>
  </si>
  <si>
    <t>Technology</t>
  </si>
  <si>
    <t>Total TECHNOLOGY</t>
  </si>
  <si>
    <t>OCCUPANCY / FACILITY</t>
  </si>
  <si>
    <t>Rent</t>
  </si>
  <si>
    <t>Utilities</t>
  </si>
  <si>
    <t>Insurance</t>
  </si>
  <si>
    <t>Total OCCUPANCY</t>
  </si>
  <si>
    <t>TOTAL OPERATING EXPENSES</t>
  </si>
  <si>
    <t>CAPITAL EXPENDITURES &amp; DEBT SERVICE</t>
  </si>
  <si>
    <t>(No capital or debt items)</t>
  </si>
  <si>
    <t>TOTAL CAPITAL &amp; DEBT</t>
  </si>
  <si>
    <t>Total Revenue</t>
  </si>
  <si>
    <t>Personnel Costs</t>
  </si>
  <si>
    <t>Total Expenses</t>
  </si>
  <si>
    <t>Profit</t>
  </si>
  <si>
    <t>Cumulative Profit</t>
  </si>
  <si>
    <t>Break-even</t>
  </si>
  <si>
    <t>✓ Break-even</t>
  </si>
  <si>
    <t>Financial Model Summary</t>
  </si>
  <si>
    <t>Prepared by SchoolStack Budget</t>
  </si>
  <si>
    <t>40</t>
  </si>
  <si>
    <t>ENROLLMENT TREND</t>
  </si>
  <si>
    <t>Enrollment Growth %</t>
  </si>
  <si>
    <t>-</t>
  </si>
  <si>
    <t>KEY RATIOS</t>
  </si>
  <si>
    <t>Revenue per Student</t>
  </si>
  <si>
    <t>Personnel Cost as % of Revenue</t>
  </si>
  <si>
    <t>Operating Cost as % of Revenue</t>
  </si>
  <si>
    <t>Profit Margin %</t>
  </si>
  <si>
    <t>REVENUE MIX TREND</t>
  </si>
  <si>
    <t>Tuition &amp; Fees %</t>
  </si>
  <si>
    <t>Public Funding %</t>
  </si>
  <si>
    <t>Philanthropy %</t>
  </si>
  <si>
    <t>Liberty Learning Co-Op — Financial Health Dashboard</t>
  </si>
  <si>
    <t>Generated March 27, 2026</t>
  </si>
  <si>
    <t>● Green = healthy</t>
  </si>
  <si>
    <t>◐ Yellow = monitor</t>
  </si>
  <si>
    <t>○ Red = action needed</t>
  </si>
  <si>
    <t>Metric</t>
  </si>
  <si>
    <t>Benchmark</t>
  </si>
  <si>
    <t>Enrollment</t>
  </si>
  <si>
    <t>Revenue</t>
  </si>
  <si>
    <t>Personnel</t>
  </si>
  <si>
    <t>Debt Service</t>
  </si>
  <si>
    <t>Net Income</t>
  </si>
  <si>
    <t>Ending Cash</t>
  </si>
  <si>
    <t>Net Margin</t>
  </si>
  <si>
    <t>≥ $10,000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</si>
  <si>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</si>
  <si>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</si>
  <si>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</si>
  <si>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</si>
  <si>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</si>
  <si>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</si>
  <si>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</si>
  <si>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</si>
  <si>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DSCR</t>
  </si>
  <si>
    <t>N/A</t>
  </si>
  <si>
    <t>Break-even Year</t>
  </si>
  <si>
    <t>Cash Runway (Months)</t>
  </si>
  <si>
    <t>60+</t>
  </si>
  <si>
    <t>≥ 24 months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</si>
  <si>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</si>
  <si>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</si>
  <si>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</si>
  <si>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</si>
  <si>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</si>
  <si>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</si>
  <si>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</si>
  <si>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</si>
  <si>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</si>
  <si>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</si>
  <si>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</si>
  <si>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</si>
  <si>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15% of revenue leaves room for facilities, programs, and reserves.</t>
  </si>
  <si>
    <t>As you add staff, ensure staffing stays below 60% of revenue.</t>
  </si>
  <si>
    <t>Facility Burden</t>
  </si>
  <si>
    <t>Facility costs at 5% of revenue are well-managed and leave budget for programs.</t>
  </si>
  <si>
    <t>Watch for rent escalation clauses that could push this higher over time.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</si>
  <si>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</si>
  <si>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</si>
  <si>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</si>
  <si>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</si>
  <si>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116.9 months of reserves by Year 5 — a strong buffer for unexpected costs.</t>
  </si>
  <si>
    <t>Continue growing reserves toward 6 months for best-in-class financial health.</t>
  </si>
  <si>
    <t>6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</si>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</sst>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_);_(&quot;$&quot;* (#,##0);_(&quot;$&quot;* &quot;-&quot;??_);_(@_)"/>
    <numFmt numFmtId="165" formatCode="0.0%;[Red](0.0%);&quot;-&quot;"/>
    <numFmt numFmtId="166" formatCode="0.0"/>
    <numFmt numFmtId="167" formatCode="#,##0;#,##0;&quot;-&quot;"/>
    <numFmt numFmtId="168" formatCode="0.0000"/>
    <numFmt numFmtId="169" formatCode="0.000"/>
  </numFmts>
  <fonts count="23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16A34A"/>
      <sz val="11"/>
      <name val="Calibri"/>
    </font>
    <font>
      <u/>
      <color rgb="FF2563EB"/>
      <sz val="11"/>
      <name val="Calibri"/>
    </font>
    <font>
      <i/>
      <color rgb="FF9CA3AF"/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color rgb="FF1E3A5F"/>
      <sz val="11"/>
      <name val="Calibri"/>
    </font>
    <font>
      <i/>
      <sz val="11"/>
      <name val="Calibri"/>
    </font>
    <font>
      <color rgb="FF1E293B"/>
      <sz val="11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i/>
      <color rgb="FF888888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FFF8E1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164" fontId="9" fillId="3" borderId="2" xfId="0" applyNumberFormat="1" applyFont="1" applyFill="1" applyBorder="1"/>
    <xf numFmtId="165" fontId="9" fillId="3" borderId="2" xfId="0" applyNumberFormat="1" applyFont="1" applyFill="1" applyBorder="1"/>
    <xf numFmtId="166" fontId="9" fillId="3" borderId="2" xfId="0" applyNumberFormat="1" applyFont="1" applyFill="1" applyBorder="1"/>
    <xf numFmtId="3" fontId="8" fillId="0" borderId="2" xfId="0" applyNumberFormat="1" applyFont="1" applyBorder="1"/>
    <xf numFmtId="0" fontId="10" fillId="0" borderId="2" xfId="0" applyFont="1" applyBorder="1"/>
    <xf numFmtId="0" fontId="0" fillId="0" borderId="2" xfId="0" applyBorder="1"/>
    <xf numFmtId="0" fontId="11" fillId="0" borderId="0" xfId="0" applyFont="1"/>
    <xf numFmtId="0" fontId="12" fillId="0" borderId="0" xfId="0" applyFont="1"/>
    <xf numFmtId="0" fontId="0" fillId="4" borderId="3" xfId="0" applyFill="1" applyBorder="1"/>
    <xf numFmtId="0" fontId="13" fillId="0" borderId="0" xfId="0" applyFont="1"/>
    <xf numFmtId="0" fontId="0" fillId="5" borderId="4" xfId="0" applyFill="1" applyBorder="1"/>
    <xf numFmtId="0" fontId="7" fillId="0" borderId="0" xfId="0" applyFont="1"/>
    <xf numFmtId="0" fontId="14" fillId="4" borderId="3" xfId="0" applyFont="1" applyFill="1" applyBorder="1"/>
    <xf numFmtId="167" fontId="14" fillId="4" borderId="3" xfId="0" applyNumberFormat="1" applyFont="1" applyFill="1" applyBorder="1"/>
    <xf numFmtId="0" fontId="8" fillId="0" borderId="0" xfId="0" applyFont="1"/>
    <xf numFmtId="0" fontId="15" fillId="0" borderId="0" xfId="0" applyFont="1"/>
    <xf numFmtId="165" fontId="14" fillId="4" borderId="3" xfId="0" applyNumberFormat="1" applyFont="1" applyFill="1" applyBorder="1"/>
    <xf numFmtId="2" fontId="14" fillId="4" borderId="3" xfId="0" applyNumberFormat="1" applyFont="1" applyFill="1" applyBorder="1"/>
    <xf numFmtId="0" fontId="16" fillId="0" borderId="0" xfId="0" applyFont="1"/>
    <xf numFmtId="0" fontId="17" fillId="6" borderId="2" xfId="0" applyFont="1" applyFill="1" applyBorder="1" applyAlignment="1">
      <alignment horizontal="center" vertical="center"/>
    </xf>
    <xf numFmtId="167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164" fontId="14" fillId="4" borderId="3" xfId="0" applyNumberFormat="1" applyFont="1" applyFill="1" applyBorder="1"/>
    <xf numFmtId="164" fontId="16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168" fontId="7" fillId="0" borderId="2" xfId="0" applyNumberFormat="1" applyFont="1" applyBorder="1"/>
    <xf numFmtId="169" fontId="7" fillId="0" borderId="2" xfId="0" applyNumberFormat="1" applyFont="1" applyBorder="1"/>
    <xf numFmtId="166" fontId="7" fillId="0" borderId="2" xfId="0" applyNumberFormat="1" applyFont="1" applyBorder="1"/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8" fillId="0" borderId="0" xfId="0" applyFont="1"/>
    <xf numFmtId="0" fontId="19" fillId="0" borderId="0" xfId="0" applyFont="1"/>
    <xf numFmtId="165" fontId="7" fillId="0" borderId="2" xfId="0" applyNumberFormat="1" applyFont="1" applyBorder="1"/>
    <xf numFmtId="164" fontId="9" fillId="3" borderId="5" xfId="0" applyNumberFormat="1" applyFont="1" applyFill="1" applyBorder="1"/>
    <xf numFmtId="0" fontId="20" fillId="0" borderId="0" xfId="0" applyFont="1"/>
    <xf numFmtId="0" fontId="9" fillId="0" borderId="0" xfId="0" applyFont="1"/>
    <xf numFmtId="0" fontId="21" fillId="0" borderId="0" xfId="0" applyFont="1"/>
    <xf numFmtId="0" fontId="22" fillId="0" borderId="0" xfId="0" applyFont="1"/>
    <xf numFmtId="0" fontId="6" fillId="2" borderId="2" xfId="0" applyFont="1" applyFill="1" applyBorder="1" applyAlignment="1">
      <alignment horizontal="center"/>
    </xf>
    <xf numFmtId="167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0" fontId="8" fillId="0" borderId="2" xfId="0" applyFont="1" applyBorder="1"/>
    <xf numFmtId="164" fontId="8" fillId="3" borderId="5" xfId="0" applyNumberFormat="1" applyFont="1" applyFill="1" applyBorder="1" applyAlignment="1">
      <alignment horizontal="right"/>
    </xf>
    <xf numFmtId="165" fontId="8" fillId="3" borderId="5" xfId="0" applyNumberFormat="1" applyFont="1" applyFill="1" applyBorder="1" applyAlignment="1">
      <alignment horizontal="right"/>
    </xf>
    <xf numFmtId="164" fontId="7" fillId="3" borderId="2" xfId="0" applyNumberFormat="1" applyFont="1" applyFill="1" applyBorder="1" applyAlignment="1">
      <alignment horizontal="right"/>
    </xf>
    <xf numFmtId="0" fontId="20" fillId="0" borderId="2" xfId="0" applyFont="1" applyBorder="1"/>
    <xf numFmtId="167" fontId="8" fillId="3" borderId="5" xfId="0" applyNumberFormat="1" applyFont="1" applyFill="1" applyBorder="1" applyAlignment="1">
      <alignment horizontal="right"/>
    </xf>
    <xf numFmtId="49" fontId="8" fillId="0" borderId="5" xfId="0" applyNumberFormat="1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167" fontId="8" fillId="7" borderId="5" xfId="0" applyNumberFormat="1" applyFont="1" applyFill="1" applyBorder="1" applyAlignment="1">
      <alignment horizontal="right"/>
    </xf>
    <xf numFmtId="49" fontId="8" fillId="3" borderId="5" xfId="0" applyNumberFormat="1" applyFont="1" applyFill="1" applyBorder="1" applyAlignment="1">
      <alignment horizontal="right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Revenue Schedule&apos;!A1" TargetMode="External"/><Relationship Id="rId3" Type="http://schemas.openxmlformats.org/officeDocument/2006/relationships/hyperlink" Target="#&apos;Staffing &amp; Personnel&apos;!A1" TargetMode="External"/><Relationship Id="rId4" Type="http://schemas.openxmlformats.org/officeDocument/2006/relationships/hyperlink" Target="#&apos;Operating Expenses&apos;!A1" TargetMode="External"/><Relationship Id="rId5" Type="http://schemas.openxmlformats.org/officeDocument/2006/relationships/hyperlink" Target="#&apos;Capital &amp; Debt&apos;!A1" TargetMode="External"/><Relationship Id="rId6" Type="http://schemas.openxmlformats.org/officeDocument/2006/relationships/hyperlink" Target="#&apos;Financial Model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8" t="s">
        <v>22</v>
      </c>
      <c r="B1" s="18"/>
    </row>
    <row r="2" spans="1:5" x14ac:dyDescent="0.25">
      <c r="A2" s="19" t="s">
        <v>23</v>
      </c>
      <c r="B2" s="20" t="s">
        <v>24</v>
      </c>
      <c r="D2" s="21" t="s">
        <v>23</v>
      </c>
      <c r="E2" s="20" t="s">
        <v>25</v>
      </c>
    </row>
    <row r="3" ht="24" customHeight="1" spans="1:2" x14ac:dyDescent="0.25">
      <c r="A3" s="8" t="s">
        <v>26</v>
      </c>
      <c r="B3" s="8"/>
    </row>
    <row r="4" spans="1:2" x14ac:dyDescent="0.25">
      <c r="A4" s="22" t="s">
        <v>27</v>
      </c>
      <c r="B4" s="23" t="s">
        <v>3</v>
      </c>
    </row>
    <row r="5" spans="1:2" x14ac:dyDescent="0.25">
      <c r="A5" s="22" t="s">
        <v>28</v>
      </c>
      <c r="B5" s="23" t="s">
        <v>29</v>
      </c>
    </row>
    <row r="6" spans="1:2" x14ac:dyDescent="0.25">
      <c r="A6" s="22" t="s">
        <v>30</v>
      </c>
      <c r="B6" s="23" t="s">
        <v>31</v>
      </c>
    </row>
    <row r="7" spans="1:2" x14ac:dyDescent="0.25">
      <c r="A7" s="22" t="s">
        <v>32</v>
      </c>
      <c r="B7" s="23" t="s">
        <v>33</v>
      </c>
    </row>
    <row r="8" spans="1:2" x14ac:dyDescent="0.25">
      <c r="A8" s="22" t="s">
        <v>34</v>
      </c>
      <c r="B8" s="23" t="s">
        <v>35</v>
      </c>
    </row>
    <row r="9" spans="1:2" x14ac:dyDescent="0.25">
      <c r="A9" s="22" t="s">
        <v>36</v>
      </c>
      <c r="B9" s="23" t="s">
        <v>37</v>
      </c>
    </row>
    <row r="10" spans="1:2" x14ac:dyDescent="0.25">
      <c r="A10" s="22" t="s">
        <v>38</v>
      </c>
      <c r="B10" s="23">
        <v>2026</v>
      </c>
    </row>
    <row r="11" spans="1:2" x14ac:dyDescent="0.25">
      <c r="A11" s="22" t="s">
        <v>39</v>
      </c>
      <c r="B11" s="23">
        <v>0</v>
      </c>
    </row>
    <row r="12" spans="1:2" x14ac:dyDescent="0.25">
      <c r="A12" s="22" t="s">
        <v>40</v>
      </c>
      <c r="B12" s="23">
        <v>40</v>
      </c>
    </row>
    <row r="13" spans="1:2" x14ac:dyDescent="0.25">
      <c r="A13" s="22" t="s">
        <v>41</v>
      </c>
      <c r="B13" s="23" t="s">
        <v>42</v>
      </c>
    </row>
    <row r="14" spans="1:2" x14ac:dyDescent="0.25">
      <c r="A14" s="22" t="s">
        <v>43</v>
      </c>
      <c r="B14" s="23">
        <v>10</v>
      </c>
    </row>
    <row r="15" spans="1:2" x14ac:dyDescent="0.25">
      <c r="A15" s="22" t="s">
        <v>44</v>
      </c>
      <c r="B15" s="23" t="s">
        <v>45</v>
      </c>
    </row>
    <row r="16" spans="1:2" x14ac:dyDescent="0.25">
      <c r="A16" s="22" t="s">
        <v>46</v>
      </c>
      <c r="B16" s="23" t="s">
        <v>47</v>
      </c>
    </row>
    <row r="17" spans="1:2" x14ac:dyDescent="0.25">
      <c r="A17" s="22" t="s">
        <v>48</v>
      </c>
      <c r="B17" s="23" t="s">
        <v>49</v>
      </c>
    </row>
    <row r="18" spans="1:2" x14ac:dyDescent="0.25">
      <c r="A18" s="22" t="s">
        <v>50</v>
      </c>
      <c r="B18" s="23" t="s">
        <v>51</v>
      </c>
    </row>
    <row r="19" spans="1:2" x14ac:dyDescent="0.25">
      <c r="A19" s="22" t="s">
        <v>52</v>
      </c>
      <c r="B19" s="23" t="s">
        <v>53</v>
      </c>
    </row>
    <row r="21" ht="24" customHeight="1" spans="1:2" x14ac:dyDescent="0.25">
      <c r="A21" s="8" t="s">
        <v>54</v>
      </c>
      <c r="B21" s="8"/>
    </row>
    <row r="22" spans="1:2" x14ac:dyDescent="0.25">
      <c r="A22" s="22" t="s">
        <v>55</v>
      </c>
      <c r="B22" s="24">
        <v>15</v>
      </c>
    </row>
    <row r="23" spans="1:2" x14ac:dyDescent="0.25">
      <c r="A23" s="22" t="s">
        <v>56</v>
      </c>
      <c r="B23" s="24">
        <v>22</v>
      </c>
    </row>
    <row r="24" spans="1:2" x14ac:dyDescent="0.25">
      <c r="A24" s="22" t="s">
        <v>57</v>
      </c>
      <c r="B24" s="24">
        <v>30</v>
      </c>
    </row>
    <row r="25" spans="1:2" x14ac:dyDescent="0.25">
      <c r="A25" s="22" t="s">
        <v>58</v>
      </c>
      <c r="B25" s="24">
        <v>36</v>
      </c>
    </row>
    <row r="26" spans="1:2" x14ac:dyDescent="0.25">
      <c r="A26" s="22" t="s">
        <v>59</v>
      </c>
      <c r="B26" s="24">
        <v>40</v>
      </c>
    </row>
    <row r="28" ht="24" customHeight="1" spans="1:2" x14ac:dyDescent="0.25">
      <c r="A28" s="8" t="s">
        <v>60</v>
      </c>
      <c r="B28" s="8"/>
    </row>
    <row r="29" spans="1:2" x14ac:dyDescent="0.25">
      <c r="A29" s="22" t="s">
        <v>61</v>
      </c>
      <c r="B29" s="23" t="s">
        <v>62</v>
      </c>
    </row>
    <row r="30" spans="1:2" x14ac:dyDescent="0.25">
      <c r="A30" s="22" t="s">
        <v>63</v>
      </c>
      <c r="B30" s="23" t="s">
        <v>64</v>
      </c>
    </row>
    <row r="31" spans="1:2" x14ac:dyDescent="0.25">
      <c r="A31" s="22" t="s">
        <v>65</v>
      </c>
      <c r="B31" s="23" t="s">
        <v>66</v>
      </c>
    </row>
    <row r="32" spans="1:2" x14ac:dyDescent="0.25">
      <c r="A32" s="25" t="s">
        <v>67</v>
      </c>
      <c r="B32" s="25" t="s">
        <v>68</v>
      </c>
    </row>
    <row r="33" spans="1:2" x14ac:dyDescent="0.25">
      <c r="A33" s="26" t="s">
        <v>69</v>
      </c>
      <c r="B33" s="26" t="s">
        <v>70</v>
      </c>
    </row>
    <row r="35" ht="24" customHeight="1" spans="1:2" x14ac:dyDescent="0.25">
      <c r="A35" s="8" t="s">
        <v>71</v>
      </c>
      <c r="B35" s="8"/>
    </row>
    <row r="36" spans="1:2" x14ac:dyDescent="0.25">
      <c r="A36" s="22" t="s">
        <v>72</v>
      </c>
      <c r="B36" s="27">
        <v>0.03</v>
      </c>
    </row>
    <row r="37" spans="1:2" x14ac:dyDescent="0.25">
      <c r="A37" s="22" t="s">
        <v>73</v>
      </c>
      <c r="B37" s="27">
        <v>0.025</v>
      </c>
    </row>
    <row r="38" spans="1:2" x14ac:dyDescent="0.25">
      <c r="A38" s="22" t="s">
        <v>74</v>
      </c>
      <c r="B38" s="28">
        <v>0.8333333333333334</v>
      </c>
    </row>
    <row r="39" spans="1:2" x14ac:dyDescent="0.25">
      <c r="A39" s="22" t="s">
        <v>75</v>
      </c>
      <c r="B39" s="29" t="s">
        <v>76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30" t="s">
        <v>23</v>
      </c>
      <c r="B1" s="30" t="s">
        <v>77</v>
      </c>
      <c r="C1" s="30" t="s">
        <v>78</v>
      </c>
      <c r="D1" s="30" t="s">
        <v>79</v>
      </c>
      <c r="E1" s="30" t="s">
        <v>80</v>
      </c>
      <c r="F1" s="30" t="s">
        <v>81</v>
      </c>
    </row>
    <row r="2" spans="1:6" x14ac:dyDescent="0.25">
      <c r="A2" s="22" t="s">
        <v>82</v>
      </c>
      <c r="B2" s="31">
        <f>Assumptions!B22</f>
        <v>15</v>
      </c>
      <c r="C2" s="31">
        <f>Assumptions!B23</f>
        <v>22</v>
      </c>
      <c r="D2" s="31">
        <f>Assumptions!B24</f>
        <v>30</v>
      </c>
      <c r="E2" s="31">
        <f>Assumptions!B25</f>
        <v>36</v>
      </c>
      <c r="F2" s="31">
        <f>Assumptions!B26</f>
        <v>40</v>
      </c>
    </row>
    <row r="3" ht="24" customHeight="1" spans="1:6" x14ac:dyDescent="0.25">
      <c r="A3" s="8" t="s">
        <v>83</v>
      </c>
      <c r="B3" s="8"/>
      <c r="C3" s="8"/>
      <c r="D3" s="8"/>
      <c r="E3" s="8"/>
      <c r="F3" s="8"/>
    </row>
    <row r="4" spans="1:6" x14ac:dyDescent="0.25">
      <c r="A4" s="22" t="s">
        <v>84</v>
      </c>
      <c r="B4" s="32">
        <f>6000*Assumptions!B22</f>
        <v>90000</v>
      </c>
      <c r="C4" s="32">
        <f>6180*Assumptions!B23</f>
        <v>135960</v>
      </c>
      <c r="D4" s="32">
        <f>6365*Assumptions!B24</f>
        <v>190950</v>
      </c>
      <c r="E4" s="32">
        <f>6556*Assumptions!B25</f>
        <v>236016</v>
      </c>
      <c r="F4" s="32">
        <f>6753*Assumptions!B26</f>
        <v>270120</v>
      </c>
    </row>
    <row r="5" spans="1:6" x14ac:dyDescent="0.25">
      <c r="A5" s="22" t="s">
        <v>85</v>
      </c>
      <c r="B5" s="32">
        <f>200*Assumptions!B22</f>
        <v>3000</v>
      </c>
      <c r="C5" s="32">
        <f>200*Assumptions!B23</f>
        <v>4400</v>
      </c>
      <c r="D5" s="32">
        <f>200*Assumptions!B24</f>
        <v>6000</v>
      </c>
      <c r="E5" s="32">
        <f>200*Assumptions!B25</f>
        <v>7200</v>
      </c>
      <c r="F5" s="32">
        <f>200*Assumptions!B26</f>
        <v>8000</v>
      </c>
    </row>
    <row r="6" ht="24" customHeight="1" spans="1:6" x14ac:dyDescent="0.25">
      <c r="A6" s="8" t="s">
        <v>86</v>
      </c>
      <c r="B6" s="33">
        <f>SUM(B4:B5)</f>
        <v>93000</v>
      </c>
      <c r="C6" s="33">
        <f>SUM(C4:C5)</f>
        <v>140360</v>
      </c>
      <c r="D6" s="33">
        <f>SUM(D4:D5)</f>
        <v>196950</v>
      </c>
      <c r="E6" s="33">
        <f>SUM(E4:E5)</f>
        <v>243216</v>
      </c>
      <c r="F6" s="33">
        <f>SUM(F4:F5)</f>
        <v>278120</v>
      </c>
    </row>
    <row r="7" ht="24" customHeight="1" spans="1:6" x14ac:dyDescent="0.25">
      <c r="A7" s="8" t="s">
        <v>87</v>
      </c>
      <c r="B7" s="8"/>
      <c r="C7" s="8"/>
      <c r="D7" s="8"/>
      <c r="E7" s="8"/>
      <c r="F7" s="8"/>
    </row>
    <row r="8" spans="1:6" x14ac:dyDescent="0.25">
      <c r="A8" s="22" t="s">
        <v>88</v>
      </c>
      <c r="B8" s="32">
        <f>7000*Assumptions!B22</f>
        <v>105000</v>
      </c>
      <c r="C8" s="32">
        <f>7210*Assumptions!B23</f>
        <v>158620</v>
      </c>
      <c r="D8" s="32">
        <f>7426*Assumptions!B24</f>
        <v>222780</v>
      </c>
      <c r="E8" s="32">
        <f>7649*Assumptions!B25</f>
        <v>275364</v>
      </c>
      <c r="F8" s="32">
        <f>7878*Assumptions!B26</f>
        <v>315120</v>
      </c>
    </row>
    <row r="9" ht="24" customHeight="1" spans="1:6" x14ac:dyDescent="0.25">
      <c r="A9" s="8" t="s">
        <v>89</v>
      </c>
      <c r="B9" s="33">
        <f>SUM(B8:B8)</f>
        <v>105000</v>
      </c>
      <c r="C9" s="33">
        <f>SUM(C8:C8)</f>
        <v>158620</v>
      </c>
      <c r="D9" s="33">
        <f>SUM(D8:D8)</f>
        <v>222780</v>
      </c>
      <c r="E9" s="33">
        <f>SUM(E8:E8)</f>
        <v>275364</v>
      </c>
      <c r="F9" s="33">
        <f>SUM(F8:F8)</f>
        <v>315120</v>
      </c>
    </row>
    <row r="10" ht="24" customHeight="1" spans="1:6" x14ac:dyDescent="0.25">
      <c r="A10" s="8" t="s">
        <v>90</v>
      </c>
      <c r="B10" s="8"/>
      <c r="C10" s="8"/>
      <c r="D10" s="8"/>
      <c r="E10" s="8"/>
      <c r="F10" s="8"/>
    </row>
    <row r="11" spans="1:6" x14ac:dyDescent="0.25">
      <c r="A11" s="22" t="s">
        <v>91</v>
      </c>
      <c r="B11" s="32">
        <v>3000</v>
      </c>
      <c r="C11" s="32">
        <v>4000</v>
      </c>
      <c r="D11" s="32">
        <v>5000</v>
      </c>
      <c r="E11" s="32">
        <v>5000</v>
      </c>
      <c r="F11" s="32">
        <v>5000</v>
      </c>
    </row>
    <row r="12" ht="24" customHeight="1" spans="1:6" x14ac:dyDescent="0.25">
      <c r="A12" s="8" t="s">
        <v>92</v>
      </c>
      <c r="B12" s="33">
        <f>SUM(B11:B11)</f>
        <v>3000</v>
      </c>
      <c r="C12" s="33">
        <f>SUM(C11:C11)</f>
        <v>4000</v>
      </c>
      <c r="D12" s="33">
        <f>SUM(D11:D11)</f>
        <v>5000</v>
      </c>
      <c r="E12" s="33">
        <f>SUM(E11:E11)</f>
        <v>5000</v>
      </c>
      <c r="F12" s="33">
        <f>SUM(F11:F11)</f>
        <v>5000</v>
      </c>
    </row>
    <row r="14" ht="24" customHeight="1" spans="1:6" x14ac:dyDescent="0.25">
      <c r="A14" s="8" t="s">
        <v>93</v>
      </c>
      <c r="B14" s="33">
        <f>B6+B9+B12</f>
        <v>201000</v>
      </c>
      <c r="C14" s="33">
        <f>C6+C9+C12</f>
        <v>302980</v>
      </c>
      <c r="D14" s="33">
        <f>D6+D9+D12</f>
        <v>424730</v>
      </c>
      <c r="E14" s="33">
        <f>E6+E9+E12</f>
        <v>523580</v>
      </c>
      <c r="F14" s="33">
        <f>F6+F9+F12</f>
        <v>598240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&amp;L&amp;10&amp;BLiberty Learning Co-Op&amp;R&amp;8&amp;IRevenue Schedule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8" t="s">
        <v>94</v>
      </c>
      <c r="B1" s="18"/>
      <c r="C1" s="18"/>
      <c r="D1" s="18"/>
      <c r="E1" s="18"/>
      <c r="F1" s="18"/>
      <c r="G1" s="18"/>
      <c r="H1" s="18"/>
    </row>
    <row r="3" ht="28" customHeight="1" spans="1:8" x14ac:dyDescent="0.25">
      <c r="A3" s="30" t="s">
        <v>95</v>
      </c>
      <c r="B3" s="30" t="s">
        <v>96</v>
      </c>
      <c r="C3" s="30" t="s">
        <v>97</v>
      </c>
      <c r="D3" s="30" t="s">
        <v>98</v>
      </c>
      <c r="E3" s="30" t="s">
        <v>99</v>
      </c>
      <c r="F3" s="30" t="s">
        <v>100</v>
      </c>
      <c r="G3" s="30" t="s">
        <v>101</v>
      </c>
      <c r="H3" s="30" t="s">
        <v>102</v>
      </c>
    </row>
    <row r="4" spans="1:8" x14ac:dyDescent="0.25">
      <c r="A4" s="22" t="s">
        <v>103</v>
      </c>
      <c r="B4" s="22" t="s">
        <v>104</v>
      </c>
      <c r="C4" s="22" t="s">
        <v>105</v>
      </c>
      <c r="D4" s="28">
        <v>1</v>
      </c>
      <c r="E4" s="34">
        <v>48000</v>
      </c>
      <c r="F4" s="27">
        <v>0.2</v>
      </c>
      <c r="G4" s="27">
        <v>0.0765</v>
      </c>
      <c r="H4" s="35">
        <v>61272</v>
      </c>
    </row>
    <row r="5" spans="1:8" x14ac:dyDescent="0.25">
      <c r="A5" s="22" t="s">
        <v>106</v>
      </c>
      <c r="B5" s="22" t="s">
        <v>107</v>
      </c>
      <c r="C5" s="22" t="s">
        <v>108</v>
      </c>
      <c r="D5" s="28">
        <v>0.5</v>
      </c>
      <c r="E5" s="34">
        <v>30000</v>
      </c>
      <c r="F5" s="27">
        <v>0</v>
      </c>
      <c r="G5" s="27">
        <v>0.0765</v>
      </c>
      <c r="H5" s="35">
        <v>16147.5</v>
      </c>
    </row>
    <row r="7" ht="24" customHeight="1" spans="1:8" x14ac:dyDescent="0.25">
      <c r="A7" s="8" t="s">
        <v>109</v>
      </c>
      <c r="B7" s="8"/>
      <c r="C7" s="8"/>
      <c r="D7" s="8"/>
      <c r="E7" s="8"/>
      <c r="F7" s="8"/>
      <c r="G7" s="8"/>
      <c r="H7" s="8"/>
    </row>
    <row r="8" spans="1:2" x14ac:dyDescent="0.25">
      <c r="A8" s="22" t="s">
        <v>110</v>
      </c>
      <c r="B8" s="25">
        <v>2</v>
      </c>
    </row>
    <row r="9" spans="1:2" x14ac:dyDescent="0.25">
      <c r="A9" s="22" t="s">
        <v>111</v>
      </c>
      <c r="B9" s="25">
        <v>1.5</v>
      </c>
    </row>
    <row r="10" spans="1:2" x14ac:dyDescent="0.25">
      <c r="A10" s="22" t="s">
        <v>112</v>
      </c>
      <c r="B10" s="36">
        <v>63000</v>
      </c>
    </row>
    <row r="11" spans="1:2" x14ac:dyDescent="0.25">
      <c r="A11" s="22" t="s">
        <v>113</v>
      </c>
      <c r="B11" s="36">
        <v>9600</v>
      </c>
    </row>
    <row r="12" spans="1:2" x14ac:dyDescent="0.25">
      <c r="A12" s="22" t="s">
        <v>114</v>
      </c>
      <c r="B12" s="36">
        <v>4820</v>
      </c>
    </row>
    <row r="13" spans="1:2" x14ac:dyDescent="0.25">
      <c r="A13" s="22" t="s">
        <v>115</v>
      </c>
      <c r="B13" s="36">
        <v>0</v>
      </c>
    </row>
    <row r="14" spans="1:2" x14ac:dyDescent="0.25">
      <c r="A14" s="25" t="s">
        <v>116</v>
      </c>
      <c r="B14" s="37">
        <v>77420</v>
      </c>
    </row>
    <row r="16" ht="24" customHeight="1" spans="1:6" x14ac:dyDescent="0.25">
      <c r="A16" s="8" t="s">
        <v>117</v>
      </c>
      <c r="B16" s="8"/>
      <c r="C16" s="8"/>
      <c r="D16" s="8"/>
      <c r="E16" s="8"/>
      <c r="F16" s="8"/>
    </row>
    <row r="17" ht="28" customHeight="1" spans="1:6" x14ac:dyDescent="0.25">
      <c r="A17" s="30" t="s">
        <v>23</v>
      </c>
      <c r="B17" s="30" t="s">
        <v>77</v>
      </c>
      <c r="C17" s="30" t="s">
        <v>78</v>
      </c>
      <c r="D17" s="30" t="s">
        <v>79</v>
      </c>
      <c r="E17" s="30" t="s">
        <v>80</v>
      </c>
      <c r="F17" s="30" t="s">
        <v>81</v>
      </c>
    </row>
    <row r="18" spans="1:6" x14ac:dyDescent="0.25">
      <c r="A18" s="22" t="s">
        <v>118</v>
      </c>
      <c r="B18" s="32">
        <v>77420</v>
      </c>
      <c r="C18" s="32">
        <v>77420</v>
      </c>
      <c r="D18" s="32">
        <v>77420</v>
      </c>
      <c r="E18" s="32">
        <v>77420</v>
      </c>
      <c r="F18" s="32">
        <v>77420</v>
      </c>
    </row>
    <row r="19" spans="1:6" x14ac:dyDescent="0.25">
      <c r="A19" s="22" t="s">
        <v>119</v>
      </c>
      <c r="B19" s="38">
        <f>(1+Assumptions!B36)^0</f>
        <v>1</v>
      </c>
      <c r="C19" s="38">
        <f>(1+Assumptions!B36)^1</f>
        <v>1.03</v>
      </c>
      <c r="D19" s="38">
        <f>(1+Assumptions!B36)^2</f>
        <v>1.0609</v>
      </c>
      <c r="E19" s="38">
        <f>(1+Assumptions!B36)^3</f>
        <v>1.092727</v>
      </c>
      <c r="F19" s="38">
        <f>(1+Assumptions!B36)^4</f>
        <v>1.1255088100000001</v>
      </c>
    </row>
    <row r="20" spans="1:6" x14ac:dyDescent="0.25">
      <c r="A20" s="22" t="s">
        <v>120</v>
      </c>
      <c r="B20" s="39">
        <f>Assumptions!B38</f>
        <v>0.8333333333333334</v>
      </c>
      <c r="C20" s="39">
        <v>1</v>
      </c>
      <c r="D20" s="39">
        <v>1</v>
      </c>
      <c r="E20" s="39">
        <v>1</v>
      </c>
      <c r="F20" s="39">
        <v>1</v>
      </c>
    </row>
    <row r="21" ht="24" customHeight="1" spans="1:6" x14ac:dyDescent="0.25">
      <c r="A21" s="8" t="s">
        <v>121</v>
      </c>
      <c r="B21" s="33">
        <f>B18*B19*B20</f>
        <v>64516</v>
      </c>
      <c r="C21" s="33">
        <f>C18*C19*C20</f>
        <v>79742</v>
      </c>
      <c r="D21" s="33">
        <f>D18*D19*D20</f>
        <v>82134</v>
      </c>
      <c r="E21" s="33">
        <f>E18*E19*E20</f>
        <v>84598</v>
      </c>
      <c r="F21" s="33">
        <f>F18*F19*F20</f>
        <v>87136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Co-Op&amp;R&amp;8&amp;IStaffing &amp; 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30" t="s">
        <v>23</v>
      </c>
      <c r="B1" s="30" t="s">
        <v>77</v>
      </c>
      <c r="C1" s="30" t="s">
        <v>78</v>
      </c>
      <c r="D1" s="30" t="s">
        <v>79</v>
      </c>
      <c r="E1" s="30" t="s">
        <v>80</v>
      </c>
      <c r="F1" s="30" t="s">
        <v>81</v>
      </c>
    </row>
    <row r="2" spans="1:6" x14ac:dyDescent="0.25">
      <c r="A2" s="22" t="s">
        <v>82</v>
      </c>
      <c r="B2" s="31">
        <f>Assumptions!B22</f>
        <v>15</v>
      </c>
      <c r="C2" s="31">
        <f>Assumptions!B23</f>
        <v>22</v>
      </c>
      <c r="D2" s="31">
        <f>Assumptions!B24</f>
        <v>30</v>
      </c>
      <c r="E2" s="31">
        <f>Assumptions!B25</f>
        <v>36</v>
      </c>
      <c r="F2" s="31">
        <f>Assumptions!B26</f>
        <v>40</v>
      </c>
    </row>
    <row r="3" ht="24" customHeight="1" spans="1:6" x14ac:dyDescent="0.25">
      <c r="A3" s="8" t="s">
        <v>122</v>
      </c>
      <c r="B3" s="8"/>
      <c r="C3" s="8"/>
      <c r="D3" s="8"/>
      <c r="E3" s="8"/>
      <c r="F3" s="8"/>
    </row>
    <row r="4" spans="1:6" x14ac:dyDescent="0.25">
      <c r="A4" s="22" t="s">
        <v>123</v>
      </c>
      <c r="B4" s="32">
        <f>400*Assumptions!B22</f>
        <v>6000</v>
      </c>
      <c r="C4" s="32">
        <f>412*Assumptions!B23</f>
        <v>9064</v>
      </c>
      <c r="D4" s="32">
        <f>424*Assumptions!B24</f>
        <v>12720</v>
      </c>
      <c r="E4" s="32">
        <f>437*Assumptions!B25</f>
        <v>15732</v>
      </c>
      <c r="F4" s="32">
        <f>450*Assumptions!B26</f>
        <v>18000</v>
      </c>
    </row>
    <row r="5" ht="24" customHeight="1" spans="1:6" x14ac:dyDescent="0.25">
      <c r="A5" s="8" t="s">
        <v>124</v>
      </c>
      <c r="B5" s="33">
        <f>SUM(B4:B4)</f>
        <v>6000</v>
      </c>
      <c r="C5" s="33">
        <f>SUM(C4:C4)</f>
        <v>9064</v>
      </c>
      <c r="D5" s="33">
        <f>SUM(D4:D4)</f>
        <v>12720</v>
      </c>
      <c r="E5" s="33">
        <f>SUM(E4:E4)</f>
        <v>15732</v>
      </c>
      <c r="F5" s="33">
        <f>SUM(F4:F4)</f>
        <v>18000</v>
      </c>
    </row>
    <row r="6" ht="24" customHeight="1" spans="1:6" x14ac:dyDescent="0.25">
      <c r="A6" s="8" t="s">
        <v>125</v>
      </c>
      <c r="B6" s="8"/>
      <c r="C6" s="8"/>
      <c r="D6" s="8"/>
      <c r="E6" s="8"/>
      <c r="F6" s="8"/>
    </row>
    <row r="7" spans="1:6" x14ac:dyDescent="0.25">
      <c r="A7" s="22" t="s">
        <v>126</v>
      </c>
      <c r="B7" s="32">
        <f>250*Assumptions!B22</f>
        <v>3750</v>
      </c>
      <c r="C7" s="32">
        <f>258*Assumptions!B23</f>
        <v>5676</v>
      </c>
      <c r="D7" s="32">
        <f>265*Assumptions!B24</f>
        <v>7950</v>
      </c>
      <c r="E7" s="32">
        <f>273*Assumptions!B25</f>
        <v>9828</v>
      </c>
      <c r="F7" s="32">
        <f>281*Assumptions!B26</f>
        <v>11240</v>
      </c>
    </row>
    <row r="8" ht="24" customHeight="1" spans="1:6" x14ac:dyDescent="0.25">
      <c r="A8" s="8" t="s">
        <v>127</v>
      </c>
      <c r="B8" s="33">
        <f>SUM(B7:B7)</f>
        <v>3750</v>
      </c>
      <c r="C8" s="33">
        <f>SUM(C7:C7)</f>
        <v>5676</v>
      </c>
      <c r="D8" s="33">
        <f>SUM(D7:D7)</f>
        <v>7950</v>
      </c>
      <c r="E8" s="33">
        <f>SUM(E7:E7)</f>
        <v>9828</v>
      </c>
      <c r="F8" s="33">
        <f>SUM(F7:F7)</f>
        <v>11240</v>
      </c>
    </row>
    <row r="9" ht="24" customHeight="1" spans="1:6" x14ac:dyDescent="0.25">
      <c r="A9" s="8" t="s">
        <v>128</v>
      </c>
      <c r="B9" s="8"/>
      <c r="C9" s="8"/>
      <c r="D9" s="8"/>
      <c r="E9" s="8"/>
      <c r="F9" s="8"/>
    </row>
    <row r="10" spans="1:6" x14ac:dyDescent="0.25">
      <c r="A10" s="22" t="s">
        <v>129</v>
      </c>
      <c r="B10" s="32">
        <f>1800*12</f>
        <v>21600</v>
      </c>
      <c r="C10" s="32">
        <f>1854*12</f>
        <v>22248</v>
      </c>
      <c r="D10" s="32">
        <f>1910*12</f>
        <v>22920</v>
      </c>
      <c r="E10" s="32">
        <f>1967*12</f>
        <v>23604</v>
      </c>
      <c r="F10" s="32">
        <f>2026*12</f>
        <v>24312</v>
      </c>
    </row>
    <row r="11" spans="1:6" x14ac:dyDescent="0.25">
      <c r="A11" s="22" t="s">
        <v>130</v>
      </c>
      <c r="B11" s="32">
        <f>200*12</f>
        <v>2400</v>
      </c>
      <c r="C11" s="32">
        <f>205*12</f>
        <v>2460</v>
      </c>
      <c r="D11" s="32">
        <f>210*12</f>
        <v>2520</v>
      </c>
      <c r="E11" s="32">
        <f>215*12</f>
        <v>2580</v>
      </c>
      <c r="F11" s="32">
        <f>221*12</f>
        <v>2652</v>
      </c>
    </row>
    <row r="12" spans="1:6" x14ac:dyDescent="0.25">
      <c r="A12" s="22" t="s">
        <v>131</v>
      </c>
      <c r="B12" s="32">
        <v>1800</v>
      </c>
      <c r="C12" s="32">
        <v>1845</v>
      </c>
      <c r="D12" s="32">
        <v>1891</v>
      </c>
      <c r="E12" s="32">
        <v>1938</v>
      </c>
      <c r="F12" s="32">
        <v>1987</v>
      </c>
    </row>
    <row r="13" ht="24" customHeight="1" spans="1:6" x14ac:dyDescent="0.25">
      <c r="A13" s="8" t="s">
        <v>132</v>
      </c>
      <c r="B13" s="33">
        <f>SUM(B10:B12)</f>
        <v>25800</v>
      </c>
      <c r="C13" s="33">
        <f>SUM(C10:C12)</f>
        <v>26553</v>
      </c>
      <c r="D13" s="33">
        <f>SUM(D10:D12)</f>
        <v>27331</v>
      </c>
      <c r="E13" s="33">
        <f>SUM(E10:E12)</f>
        <v>28122</v>
      </c>
      <c r="F13" s="33">
        <f>SUM(F10:F12)</f>
        <v>28951</v>
      </c>
    </row>
    <row r="15" ht="24" customHeight="1" spans="1:6" x14ac:dyDescent="0.25">
      <c r="A15" s="8" t="s">
        <v>133</v>
      </c>
      <c r="B15" s="33">
        <f>B5+B8+B13</f>
        <v>35550</v>
      </c>
      <c r="C15" s="33">
        <f>C5+C8+C13</f>
        <v>41293</v>
      </c>
      <c r="D15" s="33">
        <f>D5+D8+D13</f>
        <v>48001</v>
      </c>
      <c r="E15" s="33">
        <f>E5+E8+E13</f>
        <v>53682</v>
      </c>
      <c r="F15" s="33">
        <f>F5+F8+F13</f>
        <v>58191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&amp;L&amp;10&amp;BLiberty Learning Co-Op&amp;R&amp;8&amp;IOperating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30" t="s">
        <v>23</v>
      </c>
      <c r="B1" s="30" t="s">
        <v>77</v>
      </c>
      <c r="C1" s="30" t="s">
        <v>78</v>
      </c>
      <c r="D1" s="30" t="s">
        <v>79</v>
      </c>
      <c r="E1" s="30" t="s">
        <v>80</v>
      </c>
      <c r="F1" s="30" t="s">
        <v>81</v>
      </c>
    </row>
    <row r="2" ht="24" customHeight="1" spans="1:6" x14ac:dyDescent="0.25">
      <c r="A2" s="8" t="s">
        <v>134</v>
      </c>
      <c r="B2" s="8"/>
      <c r="C2" s="8"/>
      <c r="D2" s="8"/>
      <c r="E2" s="8"/>
      <c r="F2" s="8"/>
    </row>
    <row r="3" spans="1:6" x14ac:dyDescent="0.25">
      <c r="A3" s="22" t="s">
        <v>135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</row>
    <row r="4" ht="24" customHeight="1" spans="1:6" x14ac:dyDescent="0.25">
      <c r="A4" s="8" t="s">
        <v>136</v>
      </c>
      <c r="B4" s="33">
        <v>0</v>
      </c>
      <c r="C4" s="33">
        <v>0</v>
      </c>
      <c r="D4" s="33">
        <v>0</v>
      </c>
      <c r="E4" s="33">
        <v>0</v>
      </c>
      <c r="F4" s="33">
        <v>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&amp;L&amp;10&amp;BLiberty Learning Co-Op&amp;R&amp;8&amp;ICapital &amp; Debt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30" t="s">
        <v>1</v>
      </c>
      <c r="B1" s="30" t="s">
        <v>77</v>
      </c>
      <c r="C1" s="30" t="s">
        <v>78</v>
      </c>
      <c r="D1" s="30" t="s">
        <v>79</v>
      </c>
      <c r="E1" s="30" t="s">
        <v>80</v>
      </c>
      <c r="F1" s="30" t="s">
        <v>81</v>
      </c>
    </row>
    <row r="2" spans="1:6" x14ac:dyDescent="0.25">
      <c r="A2" s="22" t="s">
        <v>137</v>
      </c>
      <c r="B2" s="32">
        <f>'Revenue Schedule'!B14</f>
        <v>201000</v>
      </c>
      <c r="C2" s="32">
        <f>'Revenue Schedule'!C14</f>
        <v>302980</v>
      </c>
      <c r="D2" s="32">
        <f>'Revenue Schedule'!D14</f>
        <v>424730</v>
      </c>
      <c r="E2" s="32">
        <f>'Revenue Schedule'!E14</f>
        <v>523580</v>
      </c>
      <c r="F2" s="32">
        <f>'Revenue Schedule'!F14</f>
        <v>598240</v>
      </c>
    </row>
    <row r="3" spans="1:6" x14ac:dyDescent="0.25">
      <c r="A3" s="22" t="s">
        <v>138</v>
      </c>
      <c r="B3" s="32">
        <f>'Staffing &amp; Personnel'!B21</f>
        <v>64516</v>
      </c>
      <c r="C3" s="32">
        <f>'Staffing &amp; Personnel'!C21</f>
        <v>79742</v>
      </c>
      <c r="D3" s="32">
        <f>'Staffing &amp; Personnel'!D21</f>
        <v>82134</v>
      </c>
      <c r="E3" s="32">
        <f>'Staffing &amp; Personnel'!E21</f>
        <v>84598</v>
      </c>
      <c r="F3" s="32">
        <f>'Staffing &amp; Personnel'!F21</f>
        <v>87136</v>
      </c>
    </row>
    <row r="4" spans="1:6" x14ac:dyDescent="0.25">
      <c r="A4" s="22" t="s">
        <v>17</v>
      </c>
      <c r="B4" s="32">
        <f>'Operating Expenses'!B15</f>
        <v>35550</v>
      </c>
      <c r="C4" s="32">
        <f>'Operating Expenses'!C15</f>
        <v>41293</v>
      </c>
      <c r="D4" s="32">
        <f>'Operating Expenses'!D15</f>
        <v>48001</v>
      </c>
      <c r="E4" s="32">
        <f>'Operating Expenses'!E15</f>
        <v>53682</v>
      </c>
      <c r="F4" s="32">
        <f>'Operating Expenses'!F15</f>
        <v>58191</v>
      </c>
    </row>
    <row r="5" spans="1:6" x14ac:dyDescent="0.25">
      <c r="A5" s="22" t="s">
        <v>18</v>
      </c>
      <c r="B5" s="32" t="str">
        <f>'Capital &amp; Debt'!B4</f>
        <v>0</v>
      </c>
      <c r="C5" s="32" t="str">
        <f>'Capital &amp; Debt'!C4</f>
        <v>0</v>
      </c>
      <c r="D5" s="32" t="str">
        <f>'Capital &amp; Debt'!D4</f>
        <v>0</v>
      </c>
      <c r="E5" s="32" t="str">
        <f>'Capital &amp; Debt'!E4</f>
        <v>0</v>
      </c>
      <c r="F5" s="32" t="str">
        <f>'Capital &amp; Debt'!F4</f>
        <v>0</v>
      </c>
    </row>
    <row r="6" ht="24" customHeight="1" spans="1:6" x14ac:dyDescent="0.25">
      <c r="A6" s="8" t="s">
        <v>139</v>
      </c>
      <c r="B6" s="33">
        <f>B3+B4+B5</f>
        <v>100066</v>
      </c>
      <c r="C6" s="33">
        <f>C3+C4+C5</f>
        <v>121035</v>
      </c>
      <c r="D6" s="33">
        <f>D3+D4+D5</f>
        <v>130135</v>
      </c>
      <c r="E6" s="33">
        <f>E3+E4+E5</f>
        <v>138280</v>
      </c>
      <c r="F6" s="33">
        <f>F3+F4+F5</f>
        <v>145327</v>
      </c>
    </row>
    <row r="7" ht="24" customHeight="1" spans="1:6" x14ac:dyDescent="0.25">
      <c r="A7" s="8" t="s">
        <v>140</v>
      </c>
      <c r="B7" s="33">
        <f>B2-B6</f>
        <v>100934</v>
      </c>
      <c r="C7" s="33">
        <f>C2-C6</f>
        <v>181945</v>
      </c>
      <c r="D7" s="33">
        <f>D2-D6</f>
        <v>294595</v>
      </c>
      <c r="E7" s="33">
        <f>E2-E6</f>
        <v>385300</v>
      </c>
      <c r="F7" s="33">
        <f>F2-F6</f>
        <v>452913</v>
      </c>
    </row>
    <row r="8" spans="1:6" x14ac:dyDescent="0.25">
      <c r="A8" s="22" t="s">
        <v>141</v>
      </c>
      <c r="B8" s="32">
        <f>B7</f>
        <v>100934</v>
      </c>
      <c r="C8" s="32">
        <f>B8+C7</f>
        <v>282879</v>
      </c>
      <c r="D8" s="32">
        <f>C8+D7</f>
        <v>577474</v>
      </c>
      <c r="E8" s="32">
        <f>D8+E7</f>
        <v>962774</v>
      </c>
      <c r="F8" s="32">
        <f>E8+F7</f>
        <v>1415687</v>
      </c>
    </row>
    <row r="9" spans="1:6" x14ac:dyDescent="0.25">
      <c r="A9" s="22" t="s">
        <v>11</v>
      </c>
      <c r="B9" s="40">
        <f>IF(B6=0,0,IF(B8&gt;0,B8/(B6/12),0))</f>
        <v>12.10409129974217</v>
      </c>
      <c r="C9" s="40">
        <f>IF(C6=0,0,IF(C8&gt;0,C8/(C6/12),0))</f>
        <v>28.04600322220845</v>
      </c>
      <c r="D9" s="40">
        <f>IF(D6=0,0,IF(D8&gt;0,D8/(D6/12),0))</f>
        <v>53.249994236754134</v>
      </c>
      <c r="E9" s="40">
        <f>IF(E6=0,0,IF(E8&gt;0,E8/(E6/12),0))</f>
        <v>83.54995660977725</v>
      </c>
      <c r="F9" s="40">
        <f>IF(F6=0,0,IF(F8&gt;0,F8/(F6/12),0))</f>
        <v>116.8966812773951</v>
      </c>
    </row>
    <row r="10" spans="1:6" x14ac:dyDescent="0.25">
      <c r="A10" s="25" t="s">
        <v>142</v>
      </c>
      <c r="B10" s="41" t="s">
        <v>143</v>
      </c>
      <c r="C10" s="42" t="s">
        <v>23</v>
      </c>
      <c r="D10" s="42" t="s">
        <v>23</v>
      </c>
      <c r="E10" s="42" t="s">
        <v>23</v>
      </c>
      <c r="F10" s="42" t="s">
        <v>23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Co-Op&amp;R&amp;8&amp;IFinancial Model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6" customHeight="1" spans="1:6" x14ac:dyDescent="0.25">
      <c r="A1" s="43" t="s">
        <v>144</v>
      </c>
      <c r="B1" s="43"/>
      <c r="C1" s="43"/>
      <c r="D1" s="43"/>
      <c r="E1" s="43"/>
      <c r="F1" s="43"/>
    </row>
    <row r="2" spans="1:1" x14ac:dyDescent="0.25">
      <c r="A2" s="44" t="s">
        <v>145</v>
      </c>
    </row>
    <row r="4" ht="24" customHeight="1" spans="1:6" x14ac:dyDescent="0.25">
      <c r="A4" s="8" t="s">
        <v>26</v>
      </c>
      <c r="B4" s="8"/>
      <c r="C4" s="8"/>
      <c r="D4" s="8"/>
      <c r="E4" s="8"/>
      <c r="F4" s="8"/>
    </row>
    <row r="5" spans="1:2" x14ac:dyDescent="0.25">
      <c r="A5" s="22" t="s">
        <v>27</v>
      </c>
      <c r="B5" s="25" t="s">
        <v>3</v>
      </c>
    </row>
    <row r="6" spans="1:2" x14ac:dyDescent="0.25">
      <c r="A6" s="22" t="s">
        <v>30</v>
      </c>
      <c r="B6" s="25" t="s">
        <v>31</v>
      </c>
    </row>
    <row r="7" spans="1:2" x14ac:dyDescent="0.25">
      <c r="A7" s="22" t="s">
        <v>32</v>
      </c>
      <c r="B7" s="25" t="s">
        <v>33</v>
      </c>
    </row>
    <row r="8" spans="1:2" x14ac:dyDescent="0.25">
      <c r="A8" s="22" t="s">
        <v>34</v>
      </c>
      <c r="B8" s="25" t="s">
        <v>35</v>
      </c>
    </row>
    <row r="9" spans="1:2" x14ac:dyDescent="0.25">
      <c r="A9" s="22" t="s">
        <v>36</v>
      </c>
      <c r="B9" s="25" t="s">
        <v>37</v>
      </c>
    </row>
    <row r="10" spans="1:2" x14ac:dyDescent="0.25">
      <c r="A10" s="22" t="s">
        <v>28</v>
      </c>
      <c r="B10" s="25" t="s">
        <v>29</v>
      </c>
    </row>
    <row r="11" spans="1:2" x14ac:dyDescent="0.25">
      <c r="A11" s="22" t="s">
        <v>41</v>
      </c>
      <c r="B11" s="25" t="s">
        <v>42</v>
      </c>
    </row>
    <row r="12" spans="1:2" x14ac:dyDescent="0.25">
      <c r="A12" s="22" t="s">
        <v>40</v>
      </c>
      <c r="B12" s="25" t="s">
        <v>146</v>
      </c>
    </row>
    <row r="14" ht="24" customHeight="1" spans="1:6" x14ac:dyDescent="0.25">
      <c r="A14" s="8" t="s">
        <v>147</v>
      </c>
      <c r="B14" s="8"/>
      <c r="C14" s="8"/>
      <c r="D14" s="8"/>
      <c r="E14" s="8"/>
      <c r="F14" s="8"/>
    </row>
    <row r="15" ht="28" customHeight="1" spans="1:6" x14ac:dyDescent="0.25">
      <c r="A15" s="30" t="s">
        <v>23</v>
      </c>
      <c r="B15" s="30" t="s">
        <v>77</v>
      </c>
      <c r="C15" s="30" t="s">
        <v>78</v>
      </c>
      <c r="D15" s="30" t="s">
        <v>79</v>
      </c>
      <c r="E15" s="30" t="s">
        <v>80</v>
      </c>
      <c r="F15" s="30" t="s">
        <v>81</v>
      </c>
    </row>
    <row r="16" spans="1:6" x14ac:dyDescent="0.25">
      <c r="A16" s="22" t="s">
        <v>82</v>
      </c>
      <c r="B16" s="31">
        <f>'Revenue Schedule'!B2</f>
        <v>15</v>
      </c>
      <c r="C16" s="31">
        <f>'Revenue Schedule'!C2</f>
        <v>22</v>
      </c>
      <c r="D16" s="31">
        <f>'Revenue Schedule'!D2</f>
        <v>30</v>
      </c>
      <c r="E16" s="31">
        <f>'Revenue Schedule'!E2</f>
        <v>36</v>
      </c>
      <c r="F16" s="31">
        <f>'Revenue Schedule'!F2</f>
        <v>40</v>
      </c>
    </row>
    <row r="17" spans="1:6" x14ac:dyDescent="0.25">
      <c r="A17" s="22" t="s">
        <v>148</v>
      </c>
      <c r="B17" s="9" t="s">
        <v>149</v>
      </c>
      <c r="C17" s="45">
        <f>IF(B16=0,0,(C16-B16)/B16)</f>
        <v>0.4666666666666667</v>
      </c>
      <c r="D17" s="45">
        <f>IF(C16=0,0,(D16-C16)/C16)</f>
        <v>0.36363636363636365</v>
      </c>
      <c r="E17" s="45">
        <f>IF(D16=0,0,(E16-D16)/D16)</f>
        <v>0.2</v>
      </c>
      <c r="F17" s="45">
        <f>IF(E16=0,0,(F16-E16)/E16)</f>
        <v>0.1111111111111111</v>
      </c>
    </row>
    <row r="19" ht="28" customHeight="1" spans="1:6" x14ac:dyDescent="0.25">
      <c r="A19" s="30" t="s">
        <v>23</v>
      </c>
      <c r="B19" s="30" t="s">
        <v>77</v>
      </c>
      <c r="C19" s="30" t="s">
        <v>78</v>
      </c>
      <c r="D19" s="30" t="s">
        <v>79</v>
      </c>
      <c r="E19" s="30" t="s">
        <v>80</v>
      </c>
      <c r="F19" s="30" t="s">
        <v>81</v>
      </c>
    </row>
    <row r="20" spans="1:6" x14ac:dyDescent="0.25">
      <c r="A20" s="22" t="s">
        <v>137</v>
      </c>
      <c r="B20" s="32">
        <f>'Financial Model'!B2</f>
        <v>201000</v>
      </c>
      <c r="C20" s="32">
        <f>'Financial Model'!C2</f>
        <v>302980</v>
      </c>
      <c r="D20" s="32">
        <f>'Financial Model'!D2</f>
        <v>424730</v>
      </c>
      <c r="E20" s="32">
        <f>'Financial Model'!E2</f>
        <v>523580</v>
      </c>
      <c r="F20" s="32">
        <f>'Financial Model'!F2</f>
        <v>598240</v>
      </c>
    </row>
    <row r="21" spans="1:6" x14ac:dyDescent="0.25">
      <c r="A21" s="22" t="s">
        <v>138</v>
      </c>
      <c r="B21" s="32">
        <f>'Financial Model'!B3</f>
        <v>64516</v>
      </c>
      <c r="C21" s="32">
        <f>'Financial Model'!C3</f>
        <v>79742</v>
      </c>
      <c r="D21" s="32">
        <f>'Financial Model'!D3</f>
        <v>82134</v>
      </c>
      <c r="E21" s="32">
        <f>'Financial Model'!E3</f>
        <v>84598</v>
      </c>
      <c r="F21" s="32">
        <f>'Financial Model'!F3</f>
        <v>87136</v>
      </c>
    </row>
    <row r="22" spans="1:6" x14ac:dyDescent="0.25">
      <c r="A22" s="22" t="s">
        <v>17</v>
      </c>
      <c r="B22" s="32">
        <f>'Financial Model'!B4</f>
        <v>35550</v>
      </c>
      <c r="C22" s="32">
        <f>'Financial Model'!C4</f>
        <v>41293</v>
      </c>
      <c r="D22" s="32">
        <f>'Financial Model'!D4</f>
        <v>48001</v>
      </c>
      <c r="E22" s="32">
        <f>'Financial Model'!E4</f>
        <v>53682</v>
      </c>
      <c r="F22" s="32">
        <f>'Financial Model'!F4</f>
        <v>58191</v>
      </c>
    </row>
    <row r="23" ht="24" customHeight="1" spans="1:6" x14ac:dyDescent="0.25">
      <c r="A23" s="8" t="s">
        <v>139</v>
      </c>
      <c r="B23" s="33">
        <f>'Financial Model'!B6</f>
        <v>100066</v>
      </c>
      <c r="C23" s="33">
        <f>'Financial Model'!C6</f>
        <v>121035</v>
      </c>
      <c r="D23" s="33">
        <f>'Financial Model'!D6</f>
        <v>130135</v>
      </c>
      <c r="E23" s="33">
        <f>'Financial Model'!E6</f>
        <v>138280</v>
      </c>
      <c r="F23" s="33">
        <f>'Financial Model'!F6</f>
        <v>145327</v>
      </c>
    </row>
    <row r="24" spans="1:6" x14ac:dyDescent="0.25">
      <c r="A24" s="25" t="s">
        <v>140</v>
      </c>
      <c r="B24" s="46">
        <f>'Financial Model'!B7</f>
        <v>100934</v>
      </c>
      <c r="C24" s="46">
        <f>'Financial Model'!C7</f>
        <v>181945</v>
      </c>
      <c r="D24" s="46">
        <f>'Financial Model'!D7</f>
        <v>294595</v>
      </c>
      <c r="E24" s="46">
        <f>'Financial Model'!E7</f>
        <v>385300</v>
      </c>
      <c r="F24" s="46">
        <f>'Financial Model'!F7</f>
        <v>452913</v>
      </c>
    </row>
    <row r="25" spans="1:6" x14ac:dyDescent="0.25">
      <c r="A25" s="22" t="s">
        <v>141</v>
      </c>
      <c r="B25" s="32">
        <f>'Financial Model'!B8</f>
        <v>100934</v>
      </c>
      <c r="C25" s="32">
        <f>'Financial Model'!C8</f>
        <v>282879</v>
      </c>
      <c r="D25" s="32">
        <f>'Financial Model'!D8</f>
        <v>577474</v>
      </c>
      <c r="E25" s="32">
        <f>'Financial Model'!E8</f>
        <v>962774</v>
      </c>
      <c r="F25" s="32">
        <f>'Financial Model'!F8</f>
        <v>1415687</v>
      </c>
    </row>
    <row r="26" spans="1:6" x14ac:dyDescent="0.25">
      <c r="A26" s="25" t="s">
        <v>11</v>
      </c>
      <c r="B26" s="13">
        <f>'Financial Model'!B9</f>
        <v>12.10409129974217</v>
      </c>
      <c r="C26" s="13">
        <f>'Financial Model'!C9</f>
        <v>28.04600322220845</v>
      </c>
      <c r="D26" s="13">
        <f>'Financial Model'!D9</f>
        <v>53.249994236754134</v>
      </c>
      <c r="E26" s="13">
        <f>'Financial Model'!E9</f>
        <v>83.54995660977725</v>
      </c>
      <c r="F26" s="13">
        <f>'Financial Model'!F9</f>
        <v>116.8966812773951</v>
      </c>
    </row>
    <row r="28" ht="24" customHeight="1" spans="1:6" x14ac:dyDescent="0.25">
      <c r="A28" s="8" t="s">
        <v>150</v>
      </c>
      <c r="B28" s="8"/>
      <c r="C28" s="8"/>
      <c r="D28" s="8"/>
      <c r="E28" s="8"/>
      <c r="F28" s="8"/>
    </row>
    <row r="29" spans="1:6" x14ac:dyDescent="0.25">
      <c r="A29" s="22" t="s">
        <v>151</v>
      </c>
      <c r="B29" s="32">
        <f>IF('Revenue Schedule'!B2=0,0,B20/'Revenue Schedule'!B2)</f>
        <v>13400</v>
      </c>
      <c r="C29" s="32">
        <f>IF('Revenue Schedule'!C2=0,0,C20/'Revenue Schedule'!C2)</f>
        <v>13771.818181818182</v>
      </c>
      <c r="D29" s="32">
        <f>IF('Revenue Schedule'!D2=0,0,D20/'Revenue Schedule'!D2)</f>
        <v>14157.666666666666</v>
      </c>
      <c r="E29" s="32">
        <f>IF('Revenue Schedule'!E2=0,0,E20/'Revenue Schedule'!E2)</f>
        <v>14543.888888888889</v>
      </c>
      <c r="F29" s="32">
        <f>IF('Revenue Schedule'!F2=0,0,F20/'Revenue Schedule'!F2)</f>
        <v>14956</v>
      </c>
    </row>
    <row r="30" spans="1:6" x14ac:dyDescent="0.25">
      <c r="A30" s="22" t="s">
        <v>152</v>
      </c>
      <c r="B30" s="45">
        <f>IF(B20=0,0,'Financial Model'!B3/B20)</f>
        <v>0.32097512437810943</v>
      </c>
      <c r="C30" s="45">
        <f>IF(C20=0,0,'Financial Model'!C3/C20)</f>
        <v>0.2631922899201267</v>
      </c>
      <c r="D30" s="45">
        <f>IF(D20=0,0,'Financial Model'!D3/D20)</f>
        <v>0.19337932333482447</v>
      </c>
      <c r="E30" s="45">
        <f>IF(E20=0,0,'Financial Model'!E3/E20)</f>
        <v>0.16157607242446237</v>
      </c>
      <c r="F30" s="45">
        <f>IF(F20=0,0,'Financial Model'!F3/F20)</f>
        <v>0.1456539181599358</v>
      </c>
    </row>
    <row r="31" spans="1:6" x14ac:dyDescent="0.25">
      <c r="A31" s="22" t="s">
        <v>153</v>
      </c>
      <c r="B31" s="45">
        <f>IF(B20=0,0,'Financial Model'!B4/B20)</f>
        <v>0.17686567164179104</v>
      </c>
      <c r="C31" s="45">
        <f>IF(C20=0,0,'Financial Model'!C4/C20)</f>
        <v>0.13628952406099412</v>
      </c>
      <c r="D31" s="45">
        <f>IF(D20=0,0,'Financial Model'!D4/D20)</f>
        <v>0.11301532738445601</v>
      </c>
      <c r="E31" s="45">
        <f>IF(E20=0,0,'Financial Model'!E4/E20)</f>
        <v>0.10252874441346117</v>
      </c>
      <c r="F31" s="45">
        <f>IF(F20=0,0,'Financial Model'!F4/F20)</f>
        <v>0.09727032629045199</v>
      </c>
    </row>
    <row r="32" spans="1:6" x14ac:dyDescent="0.25">
      <c r="A32" s="25" t="s">
        <v>154</v>
      </c>
      <c r="B32" s="12">
        <f>IF(B20=0,0,B24/B20)</f>
        <v>0.5021592039800995</v>
      </c>
      <c r="C32" s="12">
        <f>IF(C20=0,0,C24/C20)</f>
        <v>0.6005181860188792</v>
      </c>
      <c r="D32" s="12">
        <f>IF(D20=0,0,D24/D20)</f>
        <v>0.6936053492807195</v>
      </c>
      <c r="E32" s="12">
        <f>IF(E20=0,0,E24/E20)</f>
        <v>0.7358951831620765</v>
      </c>
      <c r="F32" s="12">
        <f>IF(F20=0,0,F24/F20)</f>
        <v>0.7570757555496122</v>
      </c>
    </row>
    <row r="34" ht="24" customHeight="1" spans="1:6" x14ac:dyDescent="0.25">
      <c r="A34" s="8" t="s">
        <v>155</v>
      </c>
      <c r="B34" s="8"/>
      <c r="C34" s="8"/>
      <c r="D34" s="8"/>
      <c r="E34" s="8"/>
      <c r="F34" s="8"/>
    </row>
    <row r="35" spans="1:6" x14ac:dyDescent="0.25">
      <c r="A35" s="22" t="s">
        <v>156</v>
      </c>
      <c r="B35" s="45">
        <v>0.4626865671641791</v>
      </c>
      <c r="C35" s="45">
        <v>0.46326490197372766</v>
      </c>
      <c r="D35" s="45">
        <v>0.46370635462529136</v>
      </c>
      <c r="E35" s="45">
        <v>0.4645250009549639</v>
      </c>
      <c r="F35" s="45">
        <v>0.4648970312917893</v>
      </c>
    </row>
    <row r="36" spans="1:6" x14ac:dyDescent="0.25">
      <c r="A36" s="22" t="s">
        <v>157</v>
      </c>
      <c r="B36" s="45">
        <v>0.5223880597014925</v>
      </c>
      <c r="C36" s="45">
        <v>0.5235329064624727</v>
      </c>
      <c r="D36" s="45">
        <v>0.5245214606926754</v>
      </c>
      <c r="E36" s="45">
        <v>0.5259253600213912</v>
      </c>
      <c r="F36" s="45">
        <v>0.5267451190157796</v>
      </c>
    </row>
    <row r="37" spans="1:6" x14ac:dyDescent="0.25">
      <c r="A37" s="22" t="s">
        <v>158</v>
      </c>
      <c r="B37" s="45">
        <v>0.014925373134328358</v>
      </c>
      <c r="C37" s="45">
        <v>0.01320219156379959</v>
      </c>
      <c r="D37" s="45">
        <v>0.011772184682033292</v>
      </c>
      <c r="E37" s="45">
        <v>0.009549639023644906</v>
      </c>
      <c r="F37" s="45">
        <v>0.008357849692431132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Co-Op&amp;R&amp;8&amp;ISummary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3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2:3" x14ac:dyDescent="0.25">
      <c r="B15" s="8" t="s">
        <v>7</v>
      </c>
      <c r="C15" s="8"/>
    </row>
    <row r="16" spans="2:3" x14ac:dyDescent="0.25">
      <c r="B16" s="9" t="s">
        <v>8</v>
      </c>
      <c r="C16" s="10">
        <v>598240</v>
      </c>
    </row>
    <row r="17" spans="2:3" x14ac:dyDescent="0.25">
      <c r="B17" s="9" t="s">
        <v>9</v>
      </c>
      <c r="C17" s="11">
        <v>452913</v>
      </c>
    </row>
    <row r="18" spans="2:3" x14ac:dyDescent="0.25">
      <c r="B18" s="9" t="s">
        <v>10</v>
      </c>
      <c r="C18" s="12">
        <v>0.7570757555496122</v>
      </c>
    </row>
    <row r="19" spans="2:3" x14ac:dyDescent="0.25">
      <c r="B19" s="9" t="s">
        <v>11</v>
      </c>
      <c r="C19" s="13">
        <v>116.8966812773951</v>
      </c>
    </row>
    <row r="20" spans="2:3" x14ac:dyDescent="0.25">
      <c r="B20" s="9" t="s">
        <v>12</v>
      </c>
      <c r="C20" s="14">
        <v>40</v>
      </c>
    </row>
    <row r="23" ht="24" customHeight="1" spans="2:3" x14ac:dyDescent="0.25">
      <c r="B23" s="8" t="s">
        <v>13</v>
      </c>
      <c r="C23" s="8"/>
    </row>
    <row r="24" spans="2:3" x14ac:dyDescent="0.25">
      <c r="B24" s="15" t="s">
        <v>14</v>
      </c>
      <c r="C24" s="16"/>
    </row>
    <row r="25" spans="2:3" x14ac:dyDescent="0.25">
      <c r="B25" s="15" t="s">
        <v>15</v>
      </c>
      <c r="C25" s="16"/>
    </row>
    <row r="26" spans="2:3" x14ac:dyDescent="0.25">
      <c r="B26" s="15" t="s">
        <v>16</v>
      </c>
      <c r="C26" s="16"/>
    </row>
    <row r="27" spans="2:3" x14ac:dyDescent="0.25">
      <c r="B27" s="15" t="s">
        <v>17</v>
      </c>
      <c r="C27" s="16"/>
    </row>
    <row r="28" spans="2:3" x14ac:dyDescent="0.25">
      <c r="B28" s="15" t="s">
        <v>18</v>
      </c>
      <c r="C28" s="16"/>
    </row>
    <row r="29" spans="2:3" x14ac:dyDescent="0.25">
      <c r="B29" s="15" t="s">
        <v>19</v>
      </c>
      <c r="C29" s="16"/>
    </row>
    <row r="30" spans="2:3" x14ac:dyDescent="0.25">
      <c r="B30" s="15" t="s">
        <v>20</v>
      </c>
      <c r="C30" s="16"/>
    </row>
    <row r="33" spans="2:3" x14ac:dyDescent="0.25">
      <c r="B33" s="17" t="s">
        <v>21</v>
      </c>
      <c r="C33" s="17"/>
    </row>
  </sheetData>
  <mergeCells count="5">
    <mergeCell ref="B3:C3"/>
    <mergeCell ref="B4:C4"/>
    <mergeCell ref="B9:C9"/>
    <mergeCell ref="B10:C10"/>
    <mergeCell ref="B33:C33"/>
  </mergeCells>
  <hyperlinks>
    <hyperlink ref="B24" r:id="rId1" location="#'Assumptions'!A1"/>
    <hyperlink ref="B25" r:id="rId2" location="#'Revenue Schedule'!A1"/>
    <hyperlink ref="B26" r:id="rId3" location="#'Staffing &amp; Personnel'!A1"/>
    <hyperlink ref="B27" r:id="rId4" location="#'Operating Expenses'!A1"/>
    <hyperlink ref="B28" r:id="rId5" location="#'Capital &amp; Debt'!A1"/>
    <hyperlink ref="B29" r:id="rId6" location="#'Financial Model'!A1"/>
    <hyperlink ref="B30" r:id="rId7" location="#'Summary'!A1"/>
  </hyperlinks>
  <pageMargins left="0.75" right="0.75" top="1" bottom="1" header="0.3" footer="0.3"/>
  <pageSetup paperSize="1" orientation="portrait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43" t="s">
        <v>159</v>
      </c>
      <c r="C2" s="43"/>
      <c r="D2" s="43"/>
      <c r="E2" s="43"/>
      <c r="F2" s="43"/>
      <c r="G2" s="43"/>
      <c r="H2" s="43"/>
    </row>
    <row r="3" spans="2:8" x14ac:dyDescent="0.25">
      <c r="B3" s="47" t="s">
        <v>160</v>
      </c>
      <c r="C3" s="47"/>
      <c r="D3" s="47"/>
      <c r="E3" s="47"/>
      <c r="F3" s="47"/>
      <c r="G3" s="47"/>
      <c r="H3" s="47"/>
    </row>
    <row r="4" spans="2:6" x14ac:dyDescent="0.25">
      <c r="B4" s="48" t="s">
        <v>161</v>
      </c>
      <c r="D4" s="49" t="s">
        <v>162</v>
      </c>
      <c r="F4" s="50" t="s">
        <v>163</v>
      </c>
    </row>
    <row r="6" ht="24" customHeight="1" spans="2:8" x14ac:dyDescent="0.25">
      <c r="B6" s="8" t="s">
        <v>164</v>
      </c>
      <c r="C6" s="51" t="s">
        <v>77</v>
      </c>
      <c r="D6" s="51" t="s">
        <v>78</v>
      </c>
      <c r="E6" s="51" t="s">
        <v>79</v>
      </c>
      <c r="F6" s="51" t="s">
        <v>80</v>
      </c>
      <c r="G6" s="51" t="s">
        <v>81</v>
      </c>
      <c r="H6" s="51" t="s">
        <v>165</v>
      </c>
    </row>
    <row r="7" spans="2:7" x14ac:dyDescent="0.25">
      <c r="B7" s="9" t="s">
        <v>166</v>
      </c>
      <c r="C7" s="52">
        <v>15</v>
      </c>
      <c r="D7" s="52">
        <v>22</v>
      </c>
      <c r="E7" s="52">
        <v>30</v>
      </c>
      <c r="F7" s="52">
        <v>36</v>
      </c>
      <c r="G7" s="52">
        <v>40</v>
      </c>
    </row>
    <row r="8" spans="2:7" x14ac:dyDescent="0.25">
      <c r="B8" s="9" t="s">
        <v>167</v>
      </c>
      <c r="C8" s="53">
        <v>201000</v>
      </c>
      <c r="D8" s="53">
        <v>302980</v>
      </c>
      <c r="E8" s="53">
        <v>424730</v>
      </c>
      <c r="F8" s="53">
        <v>523580</v>
      </c>
      <c r="G8" s="53">
        <v>598240</v>
      </c>
    </row>
    <row r="9" spans="2:7" x14ac:dyDescent="0.25">
      <c r="B9" s="9" t="s">
        <v>168</v>
      </c>
      <c r="C9" s="53">
        <v>64516</v>
      </c>
      <c r="D9" s="53">
        <v>79742</v>
      </c>
      <c r="E9" s="53">
        <v>82134</v>
      </c>
      <c r="F9" s="53">
        <v>84598</v>
      </c>
      <c r="G9" s="53">
        <v>87136</v>
      </c>
    </row>
    <row r="10" spans="2:7" x14ac:dyDescent="0.25">
      <c r="B10" s="9" t="s">
        <v>17</v>
      </c>
      <c r="C10" s="53">
        <v>35550</v>
      </c>
      <c r="D10" s="53">
        <v>41293</v>
      </c>
      <c r="E10" s="53">
        <v>48001</v>
      </c>
      <c r="F10" s="53">
        <v>53682</v>
      </c>
      <c r="G10" s="53">
        <v>58191</v>
      </c>
    </row>
    <row r="11" spans="2:7" x14ac:dyDescent="0.25">
      <c r="B11" s="9" t="s">
        <v>169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</row>
    <row r="12" spans="2:7" x14ac:dyDescent="0.25">
      <c r="B12" s="54" t="s">
        <v>170</v>
      </c>
      <c r="C12" s="55">
        <v>100934</v>
      </c>
      <c r="D12" s="55">
        <v>181945</v>
      </c>
      <c r="E12" s="55">
        <v>294595</v>
      </c>
      <c r="F12" s="55">
        <v>385300</v>
      </c>
      <c r="G12" s="55">
        <v>452913</v>
      </c>
    </row>
    <row r="13" spans="2:7" x14ac:dyDescent="0.25">
      <c r="B13" s="54" t="s">
        <v>171</v>
      </c>
      <c r="C13" s="55">
        <v>100934</v>
      </c>
      <c r="D13" s="55">
        <v>282879</v>
      </c>
      <c r="E13" s="55">
        <v>577474</v>
      </c>
      <c r="F13" s="55">
        <v>962774</v>
      </c>
      <c r="G13" s="55">
        <v>1415687</v>
      </c>
    </row>
    <row r="14" spans="2:7" x14ac:dyDescent="0.25">
      <c r="B14" s="54" t="s">
        <v>172</v>
      </c>
      <c r="C14" s="56">
        <v>0.5021592039800995</v>
      </c>
      <c r="D14" s="56">
        <v>0.6005181860188792</v>
      </c>
      <c r="E14" s="56">
        <v>0.6936053492807195</v>
      </c>
      <c r="F14" s="56">
        <v>0.7358951831620765</v>
      </c>
      <c r="G14" s="56">
        <v>0.7570757555496122</v>
      </c>
    </row>
    <row r="15" spans="2:8" x14ac:dyDescent="0.25">
      <c r="B15" s="54" t="s">
        <v>151</v>
      </c>
      <c r="C15" s="57">
        <v>13400</v>
      </c>
      <c r="D15" s="57">
        <v>13771.818181818182</v>
      </c>
      <c r="E15" s="57">
        <v>14157.666666666666</v>
      </c>
      <c r="F15" s="57">
        <v>14543.888888888889</v>
      </c>
      <c r="G15" s="57">
        <v>14956</v>
      </c>
      <c r="H15" s="58" t="s">
        <v>173</v>
      </c>
    </row>
    <row r="16" spans="2:8" x14ac:dyDescent="0.25">
      <c r="B16" s="54" t="s">
        <v>174</v>
      </c>
      <c r="C16" s="56">
        <v>0.32097512437810943</v>
      </c>
      <c r="D16" s="56">
        <v>0.2631922899201267</v>
      </c>
      <c r="E16" s="56">
        <v>0.19337932333482447</v>
      </c>
      <c r="F16" s="56">
        <v>0.16157607242446237</v>
      </c>
      <c r="G16" s="56">
        <v>0.1456539181599358</v>
      </c>
      <c r="H16" s="58" t="s">
        <v>175</v>
      </c>
    </row>
    <row r="17" spans="2:8" x14ac:dyDescent="0.25">
      <c r="B17" s="54" t="s">
        <v>176</v>
      </c>
      <c r="C17" s="56">
        <v>0.12835820895522387</v>
      </c>
      <c r="D17" s="56">
        <v>0.08763944814839263</v>
      </c>
      <c r="E17" s="56">
        <v>0.06433837967650036</v>
      </c>
      <c r="F17" s="56">
        <v>0.05370889491577219</v>
      </c>
      <c r="G17" s="56">
        <v>0.048391933498261576</v>
      </c>
      <c r="H17" s="58" t="s">
        <v>177</v>
      </c>
    </row>
    <row r="18" spans="2:8" x14ac:dyDescent="0.25">
      <c r="B18" s="54" t="s">
        <v>178</v>
      </c>
      <c r="C18" s="56">
        <v>0.5021592039800995</v>
      </c>
      <c r="D18" s="56">
        <v>0.6005181860188792</v>
      </c>
      <c r="E18" s="56">
        <v>0.6936053492807195</v>
      </c>
      <c r="F18" s="56">
        <v>0.7358951831620765</v>
      </c>
      <c r="G18" s="56">
        <v>0.7570757555496122</v>
      </c>
      <c r="H18" s="58" t="s">
        <v>179</v>
      </c>
    </row>
    <row r="19" spans="2:8" x14ac:dyDescent="0.25">
      <c r="B19" s="54" t="s">
        <v>180</v>
      </c>
      <c r="C19" s="59">
        <v>3</v>
      </c>
      <c r="D19" s="59">
        <v>3</v>
      </c>
      <c r="E19" s="59">
        <v>3</v>
      </c>
      <c r="F19" s="59">
        <v>3</v>
      </c>
      <c r="G19" s="59">
        <v>3</v>
      </c>
      <c r="H19" s="58" t="s">
        <v>181</v>
      </c>
    </row>
    <row r="20" spans="2:8" x14ac:dyDescent="0.25">
      <c r="B20" s="54" t="s">
        <v>182</v>
      </c>
      <c r="C20" s="60" t="s">
        <v>183</v>
      </c>
      <c r="D20" s="60" t="s">
        <v>183</v>
      </c>
      <c r="E20" s="60" t="s">
        <v>183</v>
      </c>
      <c r="F20" s="60" t="s">
        <v>183</v>
      </c>
      <c r="G20" s="60" t="s">
        <v>183</v>
      </c>
      <c r="H20" s="58" t="s">
        <v>183</v>
      </c>
    </row>
    <row r="21" spans="2:8" x14ac:dyDescent="0.25">
      <c r="B21" s="54" t="s">
        <v>184</v>
      </c>
      <c r="C21" s="41" t="str">
        <f>IF('Financial Model'!B8&gt;=0,"✓ Break-even","")</f>
        <v>✓ Break-even</v>
      </c>
      <c r="D21" s="61" t="str">
        <f>IF(AND('Financial Model'!C8&gt;=0,'Financial Model'!B8&lt;0),"✓ Break-even","")</f>
        <v>0</v>
      </c>
      <c r="E21" s="61" t="str">
        <f>IF(AND('Financial Model'!D8&gt;=0,'Financial Model'!C8&lt;0),"✓ Break-even","")</f>
        <v>0</v>
      </c>
      <c r="F21" s="61" t="str">
        <f>IF(AND('Financial Model'!E8&gt;=0,'Financial Model'!D8&lt;0),"✓ Break-even","")</f>
        <v>0</v>
      </c>
      <c r="G21" s="61" t="str">
        <f>IF(AND('Financial Model'!F8&gt;=0,'Financial Model'!E8&lt;0),"✓ Break-even","")</f>
        <v>0</v>
      </c>
      <c r="H21" s="58" t="s">
        <v>77</v>
      </c>
    </row>
    <row r="22" spans="2:8" x14ac:dyDescent="0.25">
      <c r="B22" s="54" t="s">
        <v>185</v>
      </c>
      <c r="C22" s="62">
        <v>12</v>
      </c>
      <c r="D22" s="59">
        <v>28</v>
      </c>
      <c r="E22" s="59">
        <v>53</v>
      </c>
      <c r="F22" s="63" t="s">
        <v>186</v>
      </c>
      <c r="G22" s="63" t="s">
        <v>186</v>
      </c>
      <c r="H22" s="58" t="s">
        <v>187</v>
      </c>
    </row>
    <row r="24" ht="24" customHeight="1" spans="2:8" x14ac:dyDescent="0.25">
      <c r="B24" s="8" t="s">
        <v>188</v>
      </c>
      <c r="C24" s="8" t="s">
        <v>189</v>
      </c>
      <c r="D24" s="8" t="s">
        <v>190</v>
      </c>
      <c r="E24" s="8"/>
      <c r="F24" s="8" t="s">
        <v>191</v>
      </c>
      <c r="G24" s="8"/>
      <c r="H24" s="8"/>
    </row>
    <row r="25" ht="45" customHeight="1" spans="2:8" x14ac:dyDescent="0.25">
      <c r="B25" s="64" t="s">
        <v>192</v>
      </c>
      <c r="C25" s="41" t="s">
        <v>193</v>
      </c>
      <c r="D25" s="65" t="s">
        <v>194</v>
      </c>
      <c r="E25" s="65"/>
      <c r="F25" s="66" t="s">
        <v>195</v>
      </c>
      <c r="G25" s="66"/>
      <c r="H25" s="66"/>
    </row>
    <row r="26" ht="45" customHeight="1" spans="2:8" x14ac:dyDescent="0.25">
      <c r="B26" s="64" t="s">
        <v>196</v>
      </c>
      <c r="C26" s="41" t="s">
        <v>193</v>
      </c>
      <c r="D26" s="65" t="s">
        <v>197</v>
      </c>
      <c r="E26" s="65"/>
      <c r="F26" s="66" t="s">
        <v>198</v>
      </c>
      <c r="G26" s="66"/>
      <c r="H26" s="66"/>
    </row>
    <row r="27" ht="45" customHeight="1" spans="2:8" x14ac:dyDescent="0.25">
      <c r="B27" s="64" t="s">
        <v>199</v>
      </c>
      <c r="C27" s="41" t="s">
        <v>193</v>
      </c>
      <c r="D27" s="65" t="s">
        <v>200</v>
      </c>
      <c r="E27" s="65"/>
      <c r="F27" s="66" t="s">
        <v>201</v>
      </c>
      <c r="G27" s="66"/>
      <c r="H27" s="66"/>
    </row>
    <row r="28" ht="45" customHeight="1" spans="2:8" x14ac:dyDescent="0.25">
      <c r="B28" s="64" t="s">
        <v>202</v>
      </c>
      <c r="C28" s="41" t="s">
        <v>193</v>
      </c>
      <c r="D28" s="65" t="s">
        <v>203</v>
      </c>
      <c r="E28" s="65"/>
      <c r="F28" s="66" t="s">
        <v>204</v>
      </c>
      <c r="G28" s="66"/>
      <c r="H28" s="66"/>
    </row>
    <row r="29" ht="45" customHeight="1" spans="2:8" x14ac:dyDescent="0.25">
      <c r="B29" s="64" t="s">
        <v>205</v>
      </c>
      <c r="C29" s="41" t="s">
        <v>193</v>
      </c>
      <c r="D29" s="65" t="s">
        <v>206</v>
      </c>
      <c r="E29" s="65"/>
      <c r="F29" s="66" t="s">
        <v>207</v>
      </c>
      <c r="G29" s="66"/>
      <c r="H29" s="66"/>
    </row>
    <row r="30" ht="45" customHeight="1" spans="2:8" x14ac:dyDescent="0.25">
      <c r="B30" s="64" t="s">
        <v>208</v>
      </c>
      <c r="C30" s="41" t="s">
        <v>193</v>
      </c>
      <c r="D30" s="65" t="s">
        <v>209</v>
      </c>
      <c r="E30" s="65"/>
      <c r="F30" s="66" t="s">
        <v>210</v>
      </c>
      <c r="G30" s="66"/>
      <c r="H30" s="66"/>
    </row>
    <row r="32" spans="2:6" x14ac:dyDescent="0.25">
      <c r="B32" s="64" t="s">
        <v>20</v>
      </c>
      <c r="C32" s="54" t="s">
        <v>211</v>
      </c>
      <c r="D32" s="54"/>
      <c r="E32" s="54"/>
      <c r="F32" s="54"/>
    </row>
    <row r="34" spans="2:8" x14ac:dyDescent="0.25">
      <c r="B34" s="67" t="s">
        <v>212</v>
      </c>
      <c r="C34" s="67"/>
      <c r="D34" s="67"/>
      <c r="E34" s="67"/>
      <c r="F34" s="67"/>
      <c r="G34" s="67"/>
      <c r="H34" s="67"/>
    </row>
  </sheetData>
  <mergeCells count="18">
    <mergeCell ref="B2:H2"/>
    <mergeCell ref="B3:H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C32:F32"/>
    <mergeCell ref="B34:H34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16:G16">
    <cfRule type="expression" dxfId="12" priority="1">
      <formula>C16&lt;=0.55</formula>
    </cfRule>
    <cfRule type="expression" dxfId="13" priority="2">
      <formula>C16&lt;=0.65</formula>
    </cfRule>
    <cfRule type="expression" dxfId="14" priority="3">
      <formula>C16&gt;0.65</formula>
    </cfRule>
  </conditionalFormatting>
  <conditionalFormatting sqref="C17:G17">
    <cfRule type="expression" dxfId="15" priority="1">
      <formula>C17&lt;=0.15</formula>
    </cfRule>
    <cfRule type="expression" dxfId="16" priority="2">
      <formula>C17&lt;=0.22</formula>
    </cfRule>
    <cfRule type="expression" dxfId="17" priority="3">
      <formula>C17&gt;0.22</formula>
    </cfRule>
  </conditionalFormatting>
  <conditionalFormatting sqref="C18:G18">
    <cfRule type="expression" dxfId="18" priority="1">
      <formula>C18&gt;=0.10</formula>
    </cfRule>
    <cfRule type="expression" dxfId="19" priority="2">
      <formula>C18&gt;=0</formula>
    </cfRule>
    <cfRule type="expression" dxfId="20" priority="3">
      <formula>C18&lt;0</formula>
    </cfRule>
  </conditionalFormatting>
  <pageMargins left="0.5" right="0.5" top="0.75" bottom="0.75" header="0.3" footer="0.3"/>
  <pageSetup paperSize="1" orientation="landscape" fitToWidth="1" fitToHeight="0"/>
  <headerFooter>
    <oddHeader>&amp;L&amp;10&amp;BLiberty Learning Co-Op&amp;R&amp;8&amp;IFinancial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Revenue Schedule</vt:lpstr>
      <vt:lpstr>Staffing &amp; Personnel</vt:lpstr>
      <vt:lpstr>Operating Expenses</vt:lpstr>
      <vt:lpstr>Capital &amp; Debt</vt:lpstr>
      <vt:lpstr>Financial Model</vt:lpstr>
      <vt:lpstr>Summary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2026-03-27T00:27:34Z</dcterms:created>
  <dcterms:modified xsi:type="dcterms:W3CDTF">2026-03-27T00:27:34Z</dcterms:modified>
</cp:coreProperties>
</file>