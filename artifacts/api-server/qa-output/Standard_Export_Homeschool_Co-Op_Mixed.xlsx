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'Assumptions'!$A1:$F41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<sst xmlns="http://schemas.openxmlformats.org/spreadsheetml/2006/main" count="319" uniqueCount="219">
  <si>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</si>
  <si>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</si>
  <si>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</si>
  <si>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</si>
  <si>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</si>
  <si>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</si>
  <si>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</si>
  <si>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</si>
  <si>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</si>
  <si>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</si>
  <si>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</si>
  <si>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</si>
  <si>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</si>
  <si>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</si>
  <si>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</si>
  <si>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</si>
  <si>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</si>
  <si>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</si>
  <si>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</si>
  <si>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</si>
  <si>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</si>
  <si>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</si>
  <si>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</si>
  <si>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</si>
  <si>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</si>
  <si>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</si>
  <si>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</si>
  <si>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</si>
  <si>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</si>
  <si>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</si>
  <si>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</si>
  <si>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</si>
  <si>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</si>
  <si>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</si>
  <si>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</si>
  <si>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</si>
  <si>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</si>
  <si>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</si>
  <si>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</si>
  <si>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</si>
  <si>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</si>
  <si>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</si>
  <si>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</si>
  <si>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</si>
  <si>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</si>
  <si>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</si>
  <si>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</si>
  <si>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</si>
  <si>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</si>
  <si>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</si>
  <si>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</si>
  <si>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</si>
  <si>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</si>
  <si>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</si>
  <si>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</si>
  <si>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</si>
  <si>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</si>
  <si>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</si>
  <si>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</si>
  <si>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</si>
  <si>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</si>
  <si>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</si>
  <si>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</si>
  <si>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</si>
  <si>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</si>
  <si>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</si>
  <si>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</si>
  <si>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</si>
  <si>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</si>
  <si>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</si>
  <si>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</si>
  <si>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</si>
  <si>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</si>
  <si>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</si>
  <si>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</si>
  <si>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</si>
  <si>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</si>
  <si>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</si>
  <si>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</si>
  <si>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</si>
  <si>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</si>
  <si>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</si>
  <si>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</si>
  <si>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</si>
  <si>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</si>
  <si>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</si>
  <si>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</si>
  <si>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</si>
  <si>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</si>
  <si>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</si>
  <si>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</si>
  <si>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</si>
  <si>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</si>
  <si>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</si>
  <si>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</si>
  <si>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</si>
  <si>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</si>
  <si>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</si>
  <si>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</si>
  <si>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</si>
  <si>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</si>
  <si>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</si>
  <si>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</si>
  <si>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</si>
  <si>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</si>
  <si>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</si>
  <si>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</si>
  <si>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</si>
  <si>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</si>
  <si>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</si>
  <si>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</si>
  <si>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</si>
  <si>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</si>
  <si>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</si>
  <si>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</si>
  <si>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</si>
  <si>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</si>
  <si>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</si>
  <si>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</si>
  <si>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</si>
  <si>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</si>
  <si>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</si>
  <si>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</si>
  <si>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</si>
  <si>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</si>
  <si>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</si>
  <si>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</si>
  <si>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</si>
  <si>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</si>
  <si>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</si>
  <si>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Compliance Contract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</si>
  <si>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</si>
  <si>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</si>
  <si>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</si>
  <si>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</si>
  <si>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</si>
  <si>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</si>
  <si>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</si>
  <si>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</si>
  <si>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</si>
  <si>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</si>
  <si>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</si>
  <si>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</si>
  <si>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</si>
  <si>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</si>
  <si>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</si>
  <si>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</si>
  <si>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</si>
  <si>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</si>
  <si>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</si>
  <si>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</si>
  <si>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</si>
  <si>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</si>
  <si>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</si>
  <si>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</si>
  <si>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</si>
  <si>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</si>
  <si>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</si>
  <si>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</si>
  <si>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</si>
  <si>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</si>
  <si>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</si>
  <si>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</si>
  <si>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</si>
  <si>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</si>
  <si>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</si>
  <si>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</si>
  <si>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</si>
  <si>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</si>
  <si>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</si>
  <si>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</si>
  <si>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</si>
  <si>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</si>
  <si>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</si>
  <si>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</si>
  <si>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</si>
  <si>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</si>
  <si>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</si>
  <si>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</si>
  <si>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</si>
  <si>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</si>
  <si>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</si>
  <si>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</si>
  <si>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</si>
  <si>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</si>
  <si>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</si>
  <si>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</si>
  <si>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</si>
  <si>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</si>
  <si>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</si>
  <si>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</si>
  <si>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</si>
  <si>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</si>
  <si>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</si>
  <si>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</si>
  <si>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</si>
  <si>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</si>
  <si>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</si>
  <si>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</si>
  <si>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</si>
  <si>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</si>
  <si>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</si>
  <si>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</si>
  <si>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</si>
  <si>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</si>
  <si>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</si>
  <si>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</si>
  <si>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</si>
  <si>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</si>
  <si>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</si>
  <si>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</si>
  <si>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</si>
  <si>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</si>
  <si>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</si>
  <si>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</si>
  <si>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111.6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</si>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</sst>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 t="s">
        <v>23</v>
      </c>
    </row>
    <row r="15" spans="1:2" x14ac:dyDescent="0.25">
      <c r="A15" s="22" t="s">
        <v>44</v>
      </c>
      <c r="B15" s="23">
        <v>10</v>
      </c>
    </row>
    <row r="16" spans="1:2" x14ac:dyDescent="0.25">
      <c r="A16" s="22" t="s">
        <v>45</v>
      </c>
      <c r="B16" s="23" t="s">
        <v>46</v>
      </c>
    </row>
    <row r="17" spans="1:2" x14ac:dyDescent="0.25">
      <c r="A17" s="22" t="s">
        <v>47</v>
      </c>
      <c r="B17" s="23" t="s">
        <v>48</v>
      </c>
    </row>
    <row r="18" spans="1:2" x14ac:dyDescent="0.25">
      <c r="A18" s="22" t="s">
        <v>49</v>
      </c>
      <c r="B18" s="23" t="s">
        <v>50</v>
      </c>
    </row>
    <row r="19" spans="1:2" x14ac:dyDescent="0.25">
      <c r="A19" s="22" t="s">
        <v>51</v>
      </c>
      <c r="B19" s="23" t="s">
        <v>52</v>
      </c>
    </row>
    <row r="20" spans="1:2" x14ac:dyDescent="0.25">
      <c r="A20" s="22" t="s">
        <v>53</v>
      </c>
      <c r="B20" s="23" t="s">
        <v>54</v>
      </c>
    </row>
    <row r="22" ht="24" customHeight="1" spans="1:2" x14ac:dyDescent="0.25">
      <c r="A22" s="8" t="s">
        <v>55</v>
      </c>
      <c r="B22" s="8"/>
    </row>
    <row r="23" spans="1:2" x14ac:dyDescent="0.25">
      <c r="A23" s="22" t="s">
        <v>56</v>
      </c>
      <c r="B23" s="24">
        <v>15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30</v>
      </c>
    </row>
    <row r="26" spans="1:2" x14ac:dyDescent="0.25">
      <c r="A26" s="22" t="s">
        <v>59</v>
      </c>
      <c r="B26" s="24">
        <v>36</v>
      </c>
    </row>
    <row r="27" spans="1:2" x14ac:dyDescent="0.25">
      <c r="A27" s="22" t="s">
        <v>60</v>
      </c>
      <c r="B27" s="24">
        <v>40</v>
      </c>
    </row>
    <row r="29" ht="24" customHeight="1" spans="1:6" x14ac:dyDescent="0.25">
      <c r="A29" s="8" t="s">
        <v>61</v>
      </c>
      <c r="B29" s="8"/>
      <c r="C29" s="8"/>
      <c r="D29" s="8"/>
      <c r="E29" s="8"/>
      <c r="F29" s="8"/>
    </row>
    <row r="30" spans="1:6" x14ac:dyDescent="0.25">
      <c r="A30" s="22" t="s">
        <v>23</v>
      </c>
      <c r="B30" s="25" t="s">
        <v>62</v>
      </c>
      <c r="C30" s="25" t="s">
        <v>63</v>
      </c>
      <c r="D30" s="25" t="s">
        <v>64</v>
      </c>
      <c r="E30" s="25" t="s">
        <v>65</v>
      </c>
      <c r="F30" s="25" t="s">
        <v>66</v>
      </c>
    </row>
    <row r="31" spans="1:6" x14ac:dyDescent="0.25">
      <c r="A31" s="22" t="s">
        <v>67</v>
      </c>
      <c r="B31" s="26">
        <v>3</v>
      </c>
      <c r="C31" s="26">
        <v>4</v>
      </c>
      <c r="D31" s="26">
        <v>5</v>
      </c>
      <c r="E31" s="26">
        <v>6</v>
      </c>
      <c r="F31" s="26">
        <v>6</v>
      </c>
    </row>
    <row r="32" spans="1:6" x14ac:dyDescent="0.25">
      <c r="A32" s="22" t="s">
        <v>68</v>
      </c>
      <c r="B32" s="26">
        <v>2</v>
      </c>
      <c r="C32" s="26">
        <v>3</v>
      </c>
      <c r="D32" s="26">
        <v>4</v>
      </c>
      <c r="E32" s="26">
        <v>5</v>
      </c>
      <c r="F32" s="26">
        <v>5</v>
      </c>
    </row>
    <row r="33" spans="1:6" x14ac:dyDescent="0.25">
      <c r="A33" s="22" t="s">
        <v>69</v>
      </c>
      <c r="B33" s="26">
        <v>5</v>
      </c>
      <c r="C33" s="26">
        <v>7</v>
      </c>
      <c r="D33" s="26">
        <v>9</v>
      </c>
      <c r="E33" s="26">
        <v>10</v>
      </c>
      <c r="F33" s="26">
        <v>12</v>
      </c>
    </row>
    <row r="34" spans="1:6" x14ac:dyDescent="0.25">
      <c r="A34" s="27" t="s">
        <v>70</v>
      </c>
      <c r="B34" s="28">
        <f>B31+B32+B33</f>
        <v>10</v>
      </c>
      <c r="C34" s="28">
        <f>C31+C32+C33</f>
        <v>14</v>
      </c>
      <c r="D34" s="28">
        <f>D31+D32+D33</f>
        <v>18</v>
      </c>
      <c r="E34" s="28">
        <f>E31+E32+E33</f>
        <v>21</v>
      </c>
      <c r="F34" s="28">
        <f>F31+F32+F33</f>
        <v>23</v>
      </c>
    </row>
    <row r="35" spans="1:6" x14ac:dyDescent="0.25">
      <c r="A35" s="29" t="s">
        <v>71</v>
      </c>
      <c r="B35" s="30">
        <f>IF(B23=0,0,B34/B23)</f>
        <v>0.66666667</v>
      </c>
      <c r="C35" s="30">
        <f>IF(C24=0,0,C34/C24)</f>
        <v>0.63636364</v>
      </c>
      <c r="D35" s="30">
        <f>IF(D25=0,0,D34/D25)</f>
        <v>0.6</v>
      </c>
      <c r="E35" s="30">
        <f>IF(E26=0,0,E34/E26)</f>
        <v>0.58333333</v>
      </c>
      <c r="F35" s="30">
        <f>IF(F27=0,0,F34/F27)</f>
        <v>0.575</v>
      </c>
    </row>
    <row r="37" ht="24" customHeight="1" spans="1:2" x14ac:dyDescent="0.25">
      <c r="A37" s="8" t="s">
        <v>72</v>
      </c>
      <c r="B37" s="8"/>
    </row>
    <row r="38" spans="1:2" x14ac:dyDescent="0.25">
      <c r="A38" s="22" t="s">
        <v>73</v>
      </c>
      <c r="B38" s="31">
        <v>0.03</v>
      </c>
    </row>
    <row r="39" spans="1:2" x14ac:dyDescent="0.25">
      <c r="A39" s="22" t="s">
        <v>74</v>
      </c>
      <c r="B39" s="31">
        <v>0.025</v>
      </c>
    </row>
    <row r="40" spans="1:2" x14ac:dyDescent="0.25">
      <c r="A40" s="22" t="s">
        <v>75</v>
      </c>
      <c r="B40" s="32">
        <v>0.8333333333333334</v>
      </c>
    </row>
    <row r="41" spans="1:2" x14ac:dyDescent="0.25">
      <c r="A41" s="22" t="s">
        <v>76</v>
      </c>
      <c r="B41" s="33" t="s">
        <v>77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62</v>
      </c>
      <c r="C1" s="34" t="s">
        <v>63</v>
      </c>
      <c r="D1" s="34" t="s">
        <v>64</v>
      </c>
      <c r="E1" s="34" t="s">
        <v>65</v>
      </c>
      <c r="F1" s="34" t="s">
        <v>66</v>
      </c>
    </row>
    <row r="2" spans="1:6" x14ac:dyDescent="0.25">
      <c r="A2" s="22" t="s">
        <v>78</v>
      </c>
      <c r="B2" s="35">
        <f>Assumptions!B23</f>
        <v>15</v>
      </c>
      <c r="C2" s="35">
        <f>Assumptions!B24</f>
        <v>22</v>
      </c>
      <c r="D2" s="35">
        <f>Assumptions!B25</f>
        <v>30</v>
      </c>
      <c r="E2" s="35">
        <f>Assumptions!B26</f>
        <v>36</v>
      </c>
      <c r="F2" s="35">
        <f>Assumptions!B27</f>
        <v>40</v>
      </c>
    </row>
    <row r="3" ht="24" customHeight="1" spans="1:6" x14ac:dyDescent="0.25">
      <c r="A3" s="8" t="s">
        <v>79</v>
      </c>
      <c r="B3" s="8"/>
      <c r="C3" s="8"/>
      <c r="D3" s="8"/>
      <c r="E3" s="8"/>
      <c r="F3" s="8"/>
    </row>
    <row r="4" spans="1:6" x14ac:dyDescent="0.25">
      <c r="A4" s="22" t="s">
        <v>80</v>
      </c>
      <c r="B4" s="36">
        <f>6000*Assumptions!B23</f>
        <v>90000</v>
      </c>
      <c r="C4" s="36">
        <f>6180*Assumptions!B24</f>
        <v>135960</v>
      </c>
      <c r="D4" s="36">
        <f>6365*Assumptions!B25</f>
        <v>190950</v>
      </c>
      <c r="E4" s="36">
        <f>6556*Assumptions!B26</f>
        <v>236016</v>
      </c>
      <c r="F4" s="36">
        <f>6753*Assumptions!B27</f>
        <v>270120</v>
      </c>
    </row>
    <row r="5" spans="1:6" x14ac:dyDescent="0.25">
      <c r="A5" s="22" t="s">
        <v>81</v>
      </c>
      <c r="B5" s="36">
        <f>200*Assumptions!B23</f>
        <v>3000</v>
      </c>
      <c r="C5" s="36">
        <f>200*Assumptions!B24</f>
        <v>4400</v>
      </c>
      <c r="D5" s="36">
        <f>200*Assumptions!B25</f>
        <v>6000</v>
      </c>
      <c r="E5" s="36">
        <f>200*Assumptions!B26</f>
        <v>7200</v>
      </c>
      <c r="F5" s="36">
        <f>200*Assumptions!B27</f>
        <v>8000</v>
      </c>
    </row>
    <row r="6" ht="24" customHeight="1" spans="1:6" x14ac:dyDescent="0.25">
      <c r="A6" s="8" t="s">
        <v>82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83</v>
      </c>
      <c r="B7" s="8"/>
      <c r="C7" s="8"/>
      <c r="D7" s="8"/>
      <c r="E7" s="8"/>
      <c r="F7" s="8"/>
    </row>
    <row r="8" spans="1:6" x14ac:dyDescent="0.25">
      <c r="A8" s="22" t="s">
        <v>84</v>
      </c>
      <c r="B8" s="36">
        <f>7000*Assumptions!B23</f>
        <v>105000</v>
      </c>
      <c r="C8" s="36">
        <f>7210*Assumptions!B24</f>
        <v>158620</v>
      </c>
      <c r="D8" s="36">
        <f>7426*Assumptions!B25</f>
        <v>222780</v>
      </c>
      <c r="E8" s="36">
        <f>7649*Assumptions!B26</f>
        <v>275364</v>
      </c>
      <c r="F8" s="36">
        <f>7878*Assumptions!B27</f>
        <v>315120</v>
      </c>
    </row>
    <row r="9" ht="24" customHeight="1" spans="1:6" x14ac:dyDescent="0.25">
      <c r="A9" s="8" t="s">
        <v>85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86</v>
      </c>
      <c r="B10" s="8"/>
      <c r="C10" s="8"/>
      <c r="D10" s="8"/>
      <c r="E10" s="8"/>
      <c r="F10" s="8"/>
    </row>
    <row r="11" spans="1:6" x14ac:dyDescent="0.25">
      <c r="A11" s="22" t="s">
        <v>87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88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89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91</v>
      </c>
      <c r="B3" s="34" t="s">
        <v>92</v>
      </c>
      <c r="C3" s="34" t="s">
        <v>93</v>
      </c>
      <c r="D3" s="34" t="s">
        <v>94</v>
      </c>
      <c r="E3" s="34" t="s">
        <v>95</v>
      </c>
      <c r="F3" s="34" t="s">
        <v>96</v>
      </c>
      <c r="G3" s="34" t="s">
        <v>97</v>
      </c>
      <c r="H3" s="34" t="s">
        <v>98</v>
      </c>
    </row>
    <row r="4" spans="1:8" x14ac:dyDescent="0.25">
      <c r="A4" s="22" t="s">
        <v>99</v>
      </c>
      <c r="B4" s="22" t="s">
        <v>100</v>
      </c>
      <c r="C4" s="22" t="s">
        <v>101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102</v>
      </c>
      <c r="B5" s="22" t="s">
        <v>103</v>
      </c>
      <c r="C5" s="22" t="s">
        <v>104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105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106</v>
      </c>
      <c r="B8" s="27">
        <v>2</v>
      </c>
    </row>
    <row r="9" spans="1:2" x14ac:dyDescent="0.25">
      <c r="A9" s="22" t="s">
        <v>107</v>
      </c>
      <c r="B9" s="27">
        <v>1.5</v>
      </c>
    </row>
    <row r="10" spans="1:2" x14ac:dyDescent="0.25">
      <c r="A10" s="22" t="s">
        <v>108</v>
      </c>
      <c r="B10" s="40">
        <v>63000</v>
      </c>
    </row>
    <row r="11" spans="1:2" x14ac:dyDescent="0.25">
      <c r="A11" s="22" t="s">
        <v>109</v>
      </c>
      <c r="B11" s="40">
        <v>9600</v>
      </c>
    </row>
    <row r="12" spans="1:2" x14ac:dyDescent="0.25">
      <c r="A12" s="22" t="s">
        <v>110</v>
      </c>
      <c r="B12" s="40">
        <v>4820</v>
      </c>
    </row>
    <row r="13" spans="1:2" x14ac:dyDescent="0.25">
      <c r="A13" s="22" t="s">
        <v>111</v>
      </c>
      <c r="B13" s="40">
        <v>0</v>
      </c>
    </row>
    <row r="14" spans="1:2" x14ac:dyDescent="0.25">
      <c r="A14" s="27" t="s">
        <v>112</v>
      </c>
      <c r="B14" s="41">
        <v>77420</v>
      </c>
    </row>
    <row r="16" ht="24" customHeight="1" spans="1:6" x14ac:dyDescent="0.25">
      <c r="A16" s="8" t="s">
        <v>113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62</v>
      </c>
      <c r="C17" s="34" t="s">
        <v>63</v>
      </c>
      <c r="D17" s="34" t="s">
        <v>64</v>
      </c>
      <c r="E17" s="34" t="s">
        <v>65</v>
      </c>
      <c r="F17" s="34" t="s">
        <v>66</v>
      </c>
    </row>
    <row r="18" spans="1:6" x14ac:dyDescent="0.25">
      <c r="A18" s="22" t="s">
        <v>114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115</v>
      </c>
      <c r="B19" s="42">
        <f>(1+Assumptions!B38)^0</f>
        <v>1</v>
      </c>
      <c r="C19" s="42">
        <f>(1+Assumptions!B38)^1</f>
        <v>1.03</v>
      </c>
      <c r="D19" s="42">
        <f>(1+Assumptions!B38)^2</f>
        <v>1.0609</v>
      </c>
      <c r="E19" s="42">
        <f>(1+Assumptions!B38)^3</f>
        <v>1.092727</v>
      </c>
      <c r="F19" s="42">
        <f>(1+Assumptions!B38)^4</f>
        <v>1.1255088100000001</v>
      </c>
    </row>
    <row r="20" spans="1:6" x14ac:dyDescent="0.25">
      <c r="A20" s="22" t="s">
        <v>116</v>
      </c>
      <c r="B20" s="43">
        <f>Assumptions!B40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117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62</v>
      </c>
      <c r="C1" s="34" t="s">
        <v>63</v>
      </c>
      <c r="D1" s="34" t="s">
        <v>64</v>
      </c>
      <c r="E1" s="34" t="s">
        <v>65</v>
      </c>
      <c r="F1" s="34" t="s">
        <v>66</v>
      </c>
    </row>
    <row r="2" spans="1:6" x14ac:dyDescent="0.25">
      <c r="A2" s="22" t="s">
        <v>78</v>
      </c>
      <c r="B2" s="35">
        <f>Assumptions!B23</f>
        <v>15</v>
      </c>
      <c r="C2" s="35">
        <f>Assumptions!B24</f>
        <v>22</v>
      </c>
      <c r="D2" s="35">
        <f>Assumptions!B25</f>
        <v>30</v>
      </c>
      <c r="E2" s="35">
        <f>Assumptions!B26</f>
        <v>36</v>
      </c>
      <c r="F2" s="35">
        <f>Assumptions!B27</f>
        <v>40</v>
      </c>
    </row>
    <row r="3" ht="24" customHeight="1" spans="1:6" x14ac:dyDescent="0.25">
      <c r="A3" s="8" t="s">
        <v>118</v>
      </c>
      <c r="B3" s="8"/>
      <c r="C3" s="8"/>
      <c r="D3" s="8"/>
      <c r="E3" s="8"/>
      <c r="F3" s="8"/>
    </row>
    <row r="4" spans="1:6" x14ac:dyDescent="0.25">
      <c r="A4" s="22" t="s">
        <v>119</v>
      </c>
      <c r="B4" s="36">
        <f>400*Assumptions!B23</f>
        <v>6000</v>
      </c>
      <c r="C4" s="36">
        <f>412*Assumptions!B24</f>
        <v>9064</v>
      </c>
      <c r="D4" s="36">
        <f>424*Assumptions!B25</f>
        <v>12720</v>
      </c>
      <c r="E4" s="36">
        <f>437*Assumptions!B26</f>
        <v>15732</v>
      </c>
      <c r="F4" s="36">
        <f>450*Assumptions!B27</f>
        <v>18000</v>
      </c>
    </row>
    <row r="5" ht="24" customHeight="1" spans="1:6" x14ac:dyDescent="0.25">
      <c r="A5" s="8" t="s">
        <v>120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121</v>
      </c>
      <c r="B6" s="8"/>
      <c r="C6" s="8"/>
      <c r="D6" s="8"/>
      <c r="E6" s="8"/>
      <c r="F6" s="8"/>
    </row>
    <row r="7" spans="1:6" x14ac:dyDescent="0.25">
      <c r="A7" s="22" t="s">
        <v>122</v>
      </c>
      <c r="B7" s="36">
        <f>250*Assumptions!B23</f>
        <v>3750</v>
      </c>
      <c r="C7" s="36">
        <f>258*Assumptions!B24</f>
        <v>5676</v>
      </c>
      <c r="D7" s="36">
        <f>265*Assumptions!B25</f>
        <v>7950</v>
      </c>
      <c r="E7" s="36">
        <f>273*Assumptions!B26</f>
        <v>9828</v>
      </c>
      <c r="F7" s="36">
        <f>281*Assumptions!B27</f>
        <v>11240</v>
      </c>
    </row>
    <row r="8" ht="24" customHeight="1" spans="1:6" x14ac:dyDescent="0.25">
      <c r="A8" s="8" t="s">
        <v>123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124</v>
      </c>
      <c r="B9" s="8"/>
      <c r="C9" s="8"/>
      <c r="D9" s="8"/>
      <c r="E9" s="8"/>
      <c r="F9" s="8"/>
    </row>
    <row r="10" spans="1:6" x14ac:dyDescent="0.25">
      <c r="A10" s="22" t="s">
        <v>125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126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127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128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4" ht="24" customHeight="1" spans="1:6" x14ac:dyDescent="0.25">
      <c r="A14" s="8" t="s">
        <v>129</v>
      </c>
      <c r="B14" s="8"/>
      <c r="C14" s="8"/>
      <c r="D14" s="8"/>
      <c r="E14" s="8"/>
      <c r="F14" s="8"/>
    </row>
    <row r="15" spans="1:6" x14ac:dyDescent="0.25">
      <c r="A15" s="22" t="s">
        <v>130</v>
      </c>
      <c r="B15" s="36">
        <v>4500</v>
      </c>
      <c r="C15" s="36">
        <v>4500</v>
      </c>
      <c r="D15" s="36">
        <v>4500</v>
      </c>
      <c r="E15" s="36">
        <v>4500</v>
      </c>
      <c r="F15" s="36">
        <v>4500</v>
      </c>
    </row>
    <row r="16" ht="24" customHeight="1" spans="1:6" x14ac:dyDescent="0.25">
      <c r="A16" s="8" t="s">
        <v>131</v>
      </c>
      <c r="B16" s="37">
        <f>SUM(B15:B15)</f>
        <v>4500</v>
      </c>
      <c r="C16" s="37">
        <f>SUM(C15:C15)</f>
        <v>4500</v>
      </c>
      <c r="D16" s="37">
        <f>SUM(D15:D15)</f>
        <v>4500</v>
      </c>
      <c r="E16" s="37">
        <f>SUM(E15:E15)</f>
        <v>4500</v>
      </c>
      <c r="F16" s="37">
        <f>SUM(F15:F15)</f>
        <v>4500</v>
      </c>
    </row>
    <row r="18" ht="24" customHeight="1" spans="1:6" x14ac:dyDescent="0.25">
      <c r="A18" s="8" t="s">
        <v>132</v>
      </c>
      <c r="B18" s="37">
        <f>B5+B8+B13+B16</f>
        <v>40050</v>
      </c>
      <c r="C18" s="37">
        <f>C5+C8+C13+C16</f>
        <v>45793</v>
      </c>
      <c r="D18" s="37">
        <f>D5+D8+D13+D16</f>
        <v>52501</v>
      </c>
      <c r="E18" s="37">
        <f>E5+E8+E13+E16</f>
        <v>58182</v>
      </c>
      <c r="F18" s="37">
        <f>F5+F8+F13+F16</f>
        <v>62691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62</v>
      </c>
      <c r="C1" s="34" t="s">
        <v>63</v>
      </c>
      <c r="D1" s="34" t="s">
        <v>64</v>
      </c>
      <c r="E1" s="34" t="s">
        <v>65</v>
      </c>
      <c r="F1" s="34" t="s">
        <v>66</v>
      </c>
    </row>
    <row r="2" ht="24" customHeight="1" spans="1:6" x14ac:dyDescent="0.25">
      <c r="A2" s="8" t="s">
        <v>133</v>
      </c>
      <c r="B2" s="8"/>
      <c r="C2" s="8"/>
      <c r="D2" s="8"/>
      <c r="E2" s="8"/>
      <c r="F2" s="8"/>
    </row>
    <row r="3" spans="1:6" x14ac:dyDescent="0.25">
      <c r="A3" s="22" t="s">
        <v>134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62</v>
      </c>
      <c r="C1" s="34" t="s">
        <v>63</v>
      </c>
      <c r="D1" s="34" t="s">
        <v>64</v>
      </c>
      <c r="E1" s="34" t="s">
        <v>65</v>
      </c>
      <c r="F1" s="34" t="s">
        <v>66</v>
      </c>
    </row>
    <row r="2" spans="1:6" x14ac:dyDescent="0.25">
      <c r="A2" s="22" t="s">
        <v>136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137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Expenses'!B18</f>
        <v>40050</v>
      </c>
      <c r="C4" s="36">
        <f>'Operating Expenses'!C18</f>
        <v>45793</v>
      </c>
      <c r="D4" s="36">
        <f>'Operating Expenses'!D18</f>
        <v>52501</v>
      </c>
      <c r="E4" s="36">
        <f>'Operating Expenses'!E18</f>
        <v>58182</v>
      </c>
      <c r="F4" s="36">
        <f>'Operating Expenses'!F18</f>
        <v>62691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138</v>
      </c>
      <c r="B6" s="37">
        <f>B3+B4+B5</f>
        <v>104566</v>
      </c>
      <c r="C6" s="37">
        <f>C3+C4+C5</f>
        <v>125535</v>
      </c>
      <c r="D6" s="37">
        <f>D3+D4+D5</f>
        <v>134635</v>
      </c>
      <c r="E6" s="37">
        <f>E3+E4+E5</f>
        <v>142780</v>
      </c>
      <c r="F6" s="37">
        <f>F3+F4+F5</f>
        <v>149827</v>
      </c>
    </row>
    <row r="7" ht="24" customHeight="1" spans="1:6" x14ac:dyDescent="0.25">
      <c r="A7" s="8" t="s">
        <v>139</v>
      </c>
      <c r="B7" s="37">
        <f>B2-B6</f>
        <v>96434</v>
      </c>
      <c r="C7" s="37">
        <f>C2-C6</f>
        <v>177445</v>
      </c>
      <c r="D7" s="37">
        <f>D2-D6</f>
        <v>290095</v>
      </c>
      <c r="E7" s="37">
        <f>E2-E6</f>
        <v>380800</v>
      </c>
      <c r="F7" s="37">
        <f>F2-F6</f>
        <v>448413</v>
      </c>
    </row>
    <row r="8" spans="1:6" x14ac:dyDescent="0.25">
      <c r="A8" s="22" t="s">
        <v>140</v>
      </c>
      <c r="B8" s="36">
        <f>B7</f>
        <v>96434</v>
      </c>
      <c r="C8" s="36">
        <f>B8+C7</f>
        <v>273879</v>
      </c>
      <c r="D8" s="36">
        <f>C8+D7</f>
        <v>563974</v>
      </c>
      <c r="E8" s="36">
        <f>D8+E7</f>
        <v>944774</v>
      </c>
      <c r="F8" s="36">
        <f>E8+F7</f>
        <v>1393187</v>
      </c>
    </row>
    <row r="9" spans="1:6" x14ac:dyDescent="0.25">
      <c r="A9" s="22" t="s">
        <v>11</v>
      </c>
      <c r="B9" s="44">
        <f>IF(B6=0,0,IF(B8&gt;0,B8/(B6/12),0))</f>
        <v>11.066771225828662</v>
      </c>
      <c r="C9" s="44">
        <f>IF(C6=0,0,IF(C8&gt;0,C8/(C6/12),0))</f>
        <v>26.180332178276974</v>
      </c>
      <c r="D9" s="44">
        <f>IF(D6=0,0,IF(D8&gt;0,D8/(D6/12),0))</f>
        <v>50.26692910461618</v>
      </c>
      <c r="E9" s="44">
        <f>IF(E6=0,0,IF(E8&gt;0,E8/(E6/12),0))</f>
        <v>79.40389410281551</v>
      </c>
      <c r="F9" s="44">
        <f>IF(F6=0,0,IF(F8&gt;0,F8/(F6/12),0))</f>
        <v>111.5836531466291</v>
      </c>
    </row>
    <row r="10" spans="1:6" x14ac:dyDescent="0.25">
      <c r="A10" s="27" t="s">
        <v>141</v>
      </c>
      <c r="B10" s="45" t="s">
        <v>142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143</v>
      </c>
      <c r="B1" s="47"/>
      <c r="C1" s="47"/>
      <c r="D1" s="47"/>
      <c r="E1" s="47"/>
      <c r="F1" s="47"/>
    </row>
    <row r="2" spans="1:1" x14ac:dyDescent="0.25">
      <c r="A2" s="48" t="s">
        <v>144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43</v>
      </c>
      <c r="B12" s="27" t="s">
        <v>23</v>
      </c>
    </row>
    <row r="13" spans="1:2" x14ac:dyDescent="0.25">
      <c r="A13" s="22" t="s">
        <v>40</v>
      </c>
      <c r="B13" s="27" t="s">
        <v>145</v>
      </c>
    </row>
    <row r="15" ht="24" customHeight="1" spans="1:6" x14ac:dyDescent="0.25">
      <c r="A15" s="8" t="s">
        <v>146</v>
      </c>
      <c r="B15" s="8"/>
      <c r="C15" s="8"/>
      <c r="D15" s="8"/>
      <c r="E15" s="8"/>
      <c r="F15" s="8"/>
    </row>
    <row r="16" ht="28" customHeight="1" spans="1:6" x14ac:dyDescent="0.25">
      <c r="A16" s="34" t="s">
        <v>23</v>
      </c>
      <c r="B16" s="34" t="s">
        <v>62</v>
      </c>
      <c r="C16" s="34" t="s">
        <v>63</v>
      </c>
      <c r="D16" s="34" t="s">
        <v>64</v>
      </c>
      <c r="E16" s="34" t="s">
        <v>65</v>
      </c>
      <c r="F16" s="34" t="s">
        <v>66</v>
      </c>
    </row>
    <row r="17" spans="1:6" x14ac:dyDescent="0.25">
      <c r="A17" s="22" t="s">
        <v>78</v>
      </c>
      <c r="B17" s="35">
        <f>'Revenue Schedule'!B2</f>
        <v>15</v>
      </c>
      <c r="C17" s="35">
        <f>'Revenue Schedule'!C2</f>
        <v>22</v>
      </c>
      <c r="D17" s="35">
        <f>'Revenue Schedule'!D2</f>
        <v>30</v>
      </c>
      <c r="E17" s="35">
        <f>'Revenue Schedule'!E2</f>
        <v>36</v>
      </c>
      <c r="F17" s="35">
        <f>'Revenue Schedule'!F2</f>
        <v>40</v>
      </c>
    </row>
    <row r="18" spans="1:6" x14ac:dyDescent="0.25">
      <c r="A18" s="22" t="s">
        <v>147</v>
      </c>
      <c r="B18" s="9" t="s">
        <v>148</v>
      </c>
      <c r="C18" s="49">
        <f>IF(B17=0,0,(C17-B17)/B17)</f>
        <v>0.4666666666666667</v>
      </c>
      <c r="D18" s="49">
        <f>IF(C17=0,0,(D17-C17)/C17)</f>
        <v>0.36363636363636365</v>
      </c>
      <c r="E18" s="49">
        <f>IF(D17=0,0,(E17-D17)/D17)</f>
        <v>0.2</v>
      </c>
      <c r="F18" s="49">
        <f>IF(E17=0,0,(F17-E17)/E17)</f>
        <v>0.1111111111111111</v>
      </c>
    </row>
    <row r="20" ht="28" customHeight="1" spans="1:6" x14ac:dyDescent="0.25">
      <c r="A20" s="34" t="s">
        <v>23</v>
      </c>
      <c r="B20" s="34" t="s">
        <v>62</v>
      </c>
      <c r="C20" s="34" t="s">
        <v>63</v>
      </c>
      <c r="D20" s="34" t="s">
        <v>64</v>
      </c>
      <c r="E20" s="34" t="s">
        <v>65</v>
      </c>
      <c r="F20" s="34" t="s">
        <v>66</v>
      </c>
    </row>
    <row r="21" spans="1:6" x14ac:dyDescent="0.25">
      <c r="A21" s="22" t="s">
        <v>136</v>
      </c>
      <c r="B21" s="36">
        <f>'Financial Model'!B2</f>
        <v>201000</v>
      </c>
      <c r="C21" s="36">
        <f>'Financial Model'!C2</f>
        <v>302980</v>
      </c>
      <c r="D21" s="36">
        <f>'Financial Model'!D2</f>
        <v>424730</v>
      </c>
      <c r="E21" s="36">
        <f>'Financial Model'!E2</f>
        <v>523580</v>
      </c>
      <c r="F21" s="36">
        <f>'Financial Model'!F2</f>
        <v>598240</v>
      </c>
    </row>
    <row r="22" spans="1:6" x14ac:dyDescent="0.25">
      <c r="A22" s="22" t="s">
        <v>137</v>
      </c>
      <c r="B22" s="36">
        <f>'Financial Model'!B3</f>
        <v>64516</v>
      </c>
      <c r="C22" s="36">
        <f>'Financial Model'!C3</f>
        <v>79742</v>
      </c>
      <c r="D22" s="36">
        <f>'Financial Model'!D3</f>
        <v>82134</v>
      </c>
      <c r="E22" s="36">
        <f>'Financial Model'!E3</f>
        <v>84598</v>
      </c>
      <c r="F22" s="36">
        <f>'Financial Model'!F3</f>
        <v>87136</v>
      </c>
    </row>
    <row r="23" spans="1:6" x14ac:dyDescent="0.25">
      <c r="A23" s="22" t="s">
        <v>17</v>
      </c>
      <c r="B23" s="36">
        <f>'Financial Model'!B4</f>
        <v>40050</v>
      </c>
      <c r="C23" s="36">
        <f>'Financial Model'!C4</f>
        <v>45793</v>
      </c>
      <c r="D23" s="36">
        <f>'Financial Model'!D4</f>
        <v>52501</v>
      </c>
      <c r="E23" s="36">
        <f>'Financial Model'!E4</f>
        <v>58182</v>
      </c>
      <c r="F23" s="36">
        <f>'Financial Model'!F4</f>
        <v>62691</v>
      </c>
    </row>
    <row r="24" ht="24" customHeight="1" spans="1:6" x14ac:dyDescent="0.25">
      <c r="A24" s="8" t="s">
        <v>138</v>
      </c>
      <c r="B24" s="37">
        <f>'Financial Model'!B6</f>
        <v>104566</v>
      </c>
      <c r="C24" s="37">
        <f>'Financial Model'!C6</f>
        <v>125535</v>
      </c>
      <c r="D24" s="37">
        <f>'Financial Model'!D6</f>
        <v>134635</v>
      </c>
      <c r="E24" s="37">
        <f>'Financial Model'!E6</f>
        <v>142780</v>
      </c>
      <c r="F24" s="37">
        <f>'Financial Model'!F6</f>
        <v>149827</v>
      </c>
    </row>
    <row r="25" spans="1:6" x14ac:dyDescent="0.25">
      <c r="A25" s="27" t="s">
        <v>139</v>
      </c>
      <c r="B25" s="50">
        <f>'Financial Model'!B7</f>
        <v>96434</v>
      </c>
      <c r="C25" s="50">
        <f>'Financial Model'!C7</f>
        <v>177445</v>
      </c>
      <c r="D25" s="50">
        <f>'Financial Model'!D7</f>
        <v>290095</v>
      </c>
      <c r="E25" s="50">
        <f>'Financial Model'!E7</f>
        <v>380800</v>
      </c>
      <c r="F25" s="50">
        <f>'Financial Model'!F7</f>
        <v>448413</v>
      </c>
    </row>
    <row r="26" spans="1:6" x14ac:dyDescent="0.25">
      <c r="A26" s="22" t="s">
        <v>140</v>
      </c>
      <c r="B26" s="36">
        <f>'Financial Model'!B8</f>
        <v>96434</v>
      </c>
      <c r="C26" s="36">
        <f>'Financial Model'!C8</f>
        <v>273879</v>
      </c>
      <c r="D26" s="36">
        <f>'Financial Model'!D8</f>
        <v>563974</v>
      </c>
      <c r="E26" s="36">
        <f>'Financial Model'!E8</f>
        <v>944774</v>
      </c>
      <c r="F26" s="36">
        <f>'Financial Model'!F8</f>
        <v>1393187</v>
      </c>
    </row>
    <row r="27" spans="1:6" x14ac:dyDescent="0.25">
      <c r="A27" s="27" t="s">
        <v>11</v>
      </c>
      <c r="B27" s="13">
        <f>'Financial Model'!B9</f>
        <v>11.066771225828662</v>
      </c>
      <c r="C27" s="13">
        <f>'Financial Model'!C9</f>
        <v>26.180332178276974</v>
      </c>
      <c r="D27" s="13">
        <f>'Financial Model'!D9</f>
        <v>50.26692910461618</v>
      </c>
      <c r="E27" s="13">
        <f>'Financial Model'!E9</f>
        <v>79.40389410281551</v>
      </c>
      <c r="F27" s="13">
        <f>'Financial Model'!F9</f>
        <v>111.5836531466291</v>
      </c>
    </row>
    <row r="29" ht="24" customHeight="1" spans="1:6" x14ac:dyDescent="0.25">
      <c r="A29" s="8" t="s">
        <v>149</v>
      </c>
      <c r="B29" s="8"/>
      <c r="C29" s="8"/>
      <c r="D29" s="8"/>
      <c r="E29" s="8"/>
      <c r="F29" s="8"/>
    </row>
    <row r="30" spans="1:6" x14ac:dyDescent="0.25">
      <c r="A30" s="22" t="s">
        <v>150</v>
      </c>
      <c r="B30" s="36">
        <f>IF('Revenue Schedule'!B2=0,0,B21/'Revenue Schedule'!B2)</f>
        <v>13400</v>
      </c>
      <c r="C30" s="36">
        <f>IF('Revenue Schedule'!C2=0,0,C21/'Revenue Schedule'!C2)</f>
        <v>13771.818181818182</v>
      </c>
      <c r="D30" s="36">
        <f>IF('Revenue Schedule'!D2=0,0,D21/'Revenue Schedule'!D2)</f>
        <v>14157.666666666666</v>
      </c>
      <c r="E30" s="36">
        <f>IF('Revenue Schedule'!E2=0,0,E21/'Revenue Schedule'!E2)</f>
        <v>14543.888888888889</v>
      </c>
      <c r="F30" s="36">
        <f>IF('Revenue Schedule'!F2=0,0,F21/'Revenue Schedule'!F2)</f>
        <v>14956</v>
      </c>
    </row>
    <row r="31" spans="1:6" x14ac:dyDescent="0.25">
      <c r="A31" s="22" t="s">
        <v>151</v>
      </c>
      <c r="B31" s="49">
        <f>IF(B21=0,0,'Financial Model'!B3/B21)</f>
        <v>0.32097512437810943</v>
      </c>
      <c r="C31" s="49">
        <f>IF(C21=0,0,'Financial Model'!C3/C21)</f>
        <v>0.2631922899201267</v>
      </c>
      <c r="D31" s="49">
        <f>IF(D21=0,0,'Financial Model'!D3/D21)</f>
        <v>0.19337932333482447</v>
      </c>
      <c r="E31" s="49">
        <f>IF(E21=0,0,'Financial Model'!E3/E21)</f>
        <v>0.16157607242446237</v>
      </c>
      <c r="F31" s="49">
        <f>IF(F21=0,0,'Financial Model'!F3/F21)</f>
        <v>0.1456539181599358</v>
      </c>
    </row>
    <row r="32" spans="1:6" x14ac:dyDescent="0.25">
      <c r="A32" s="22" t="s">
        <v>152</v>
      </c>
      <c r="B32" s="49">
        <f>IF(B21=0,0,'Financial Model'!B4/B21)</f>
        <v>0.19925373134328359</v>
      </c>
      <c r="C32" s="49">
        <f>IF(C21=0,0,'Financial Model'!C4/C21)</f>
        <v>0.15114198957026867</v>
      </c>
      <c r="D32" s="49">
        <f>IF(D21=0,0,'Financial Model'!D4/D21)</f>
        <v>0.12361029359828597</v>
      </c>
      <c r="E32" s="49">
        <f>IF(E21=0,0,'Financial Model'!E4/E21)</f>
        <v>0.11112341953474159</v>
      </c>
      <c r="F32" s="49">
        <f>IF(F21=0,0,'Financial Model'!F4/F21)</f>
        <v>0.10479239101364</v>
      </c>
    </row>
    <row r="33" spans="1:6" x14ac:dyDescent="0.25">
      <c r="A33" s="27" t="s">
        <v>153</v>
      </c>
      <c r="B33" s="12">
        <f>IF(B21=0,0,B25/B21)</f>
        <v>0.47977114427860695</v>
      </c>
      <c r="C33" s="12">
        <f>IF(C21=0,0,C25/C21)</f>
        <v>0.5856657205096046</v>
      </c>
      <c r="D33" s="12">
        <f>IF(D21=0,0,D25/D21)</f>
        <v>0.6830103830668895</v>
      </c>
      <c r="E33" s="12">
        <f>IF(E21=0,0,E25/E21)</f>
        <v>0.727300508040796</v>
      </c>
      <c r="F33" s="12">
        <f>IF(F21=0,0,F25/F21)</f>
        <v>0.7495536908264242</v>
      </c>
    </row>
    <row r="35" ht="24" customHeight="1" spans="1:6" x14ac:dyDescent="0.25">
      <c r="A35" s="8" t="s">
        <v>154</v>
      </c>
      <c r="B35" s="8"/>
      <c r="C35" s="8"/>
      <c r="D35" s="8"/>
      <c r="E35" s="8"/>
      <c r="F35" s="8"/>
    </row>
    <row r="36" spans="1:6" x14ac:dyDescent="0.25">
      <c r="A36" s="22" t="s">
        <v>155</v>
      </c>
      <c r="B36" s="49">
        <v>0.4626865671641791</v>
      </c>
      <c r="C36" s="49">
        <v>0.46326490197372766</v>
      </c>
      <c r="D36" s="49">
        <v>0.46370635462529136</v>
      </c>
      <c r="E36" s="49">
        <v>0.4645250009549639</v>
      </c>
      <c r="F36" s="49">
        <v>0.4648970312917893</v>
      </c>
    </row>
    <row r="37" spans="1:6" x14ac:dyDescent="0.25">
      <c r="A37" s="22" t="s">
        <v>156</v>
      </c>
      <c r="B37" s="49">
        <v>0.5223880597014925</v>
      </c>
      <c r="C37" s="49">
        <v>0.5235329064624727</v>
      </c>
      <c r="D37" s="49">
        <v>0.5245214606926754</v>
      </c>
      <c r="E37" s="49">
        <v>0.5259253600213912</v>
      </c>
      <c r="F37" s="49">
        <v>0.5267451190157796</v>
      </c>
    </row>
    <row r="38" spans="1:6" x14ac:dyDescent="0.25">
      <c r="A38" s="22" t="s">
        <v>157</v>
      </c>
      <c r="B38" s="49">
        <v>0.014925373134328358</v>
      </c>
      <c r="C38" s="49">
        <v>0.01320219156379959</v>
      </c>
      <c r="D38" s="49">
        <v>0.011772184682033292</v>
      </c>
      <c r="E38" s="49">
        <v>0.009549639023644906</v>
      </c>
      <c r="F38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448413</v>
      </c>
    </row>
    <row r="18" spans="2:3" x14ac:dyDescent="0.25">
      <c r="B18" s="9" t="s">
        <v>10</v>
      </c>
      <c r="C18" s="12">
        <v>0.7495536908264242</v>
      </c>
    </row>
    <row r="19" spans="2:3" x14ac:dyDescent="0.25">
      <c r="B19" s="9" t="s">
        <v>11</v>
      </c>
      <c r="C19" s="13">
        <v>111.5836531466291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158</v>
      </c>
      <c r="C2" s="47"/>
      <c r="D2" s="47"/>
      <c r="E2" s="47"/>
      <c r="F2" s="47"/>
      <c r="G2" s="47"/>
      <c r="H2" s="47"/>
    </row>
    <row r="3" spans="2:8" x14ac:dyDescent="0.25">
      <c r="B3" s="51" t="s">
        <v>159</v>
      </c>
      <c r="C3" s="51"/>
      <c r="D3" s="51"/>
      <c r="E3" s="51"/>
      <c r="F3" s="51"/>
      <c r="G3" s="51"/>
      <c r="H3" s="51"/>
    </row>
    <row r="4" spans="2:6" x14ac:dyDescent="0.25">
      <c r="B4" s="52" t="s">
        <v>160</v>
      </c>
      <c r="D4" s="53" t="s">
        <v>161</v>
      </c>
      <c r="F4" s="54" t="s">
        <v>162</v>
      </c>
    </row>
    <row r="6" ht="24" customHeight="1" spans="2:8" x14ac:dyDescent="0.25">
      <c r="B6" s="8" t="s">
        <v>163</v>
      </c>
      <c r="C6" s="55" t="s">
        <v>62</v>
      </c>
      <c r="D6" s="55" t="s">
        <v>63</v>
      </c>
      <c r="E6" s="55" t="s">
        <v>64</v>
      </c>
      <c r="F6" s="55" t="s">
        <v>65</v>
      </c>
      <c r="G6" s="55" t="s">
        <v>66</v>
      </c>
      <c r="H6" s="55" t="s">
        <v>164</v>
      </c>
    </row>
    <row r="7" spans="2:7" x14ac:dyDescent="0.25">
      <c r="B7" s="9" t="s">
        <v>165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166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167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40050</v>
      </c>
      <c r="D10" s="57">
        <v>45793</v>
      </c>
      <c r="E10" s="57">
        <v>52501</v>
      </c>
      <c r="F10" s="57">
        <v>58182</v>
      </c>
      <c r="G10" s="57">
        <v>62691</v>
      </c>
    </row>
    <row r="11" spans="2:7" x14ac:dyDescent="0.25">
      <c r="B11" s="9" t="s">
        <v>168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169</v>
      </c>
      <c r="C12" s="59">
        <v>96434</v>
      </c>
      <c r="D12" s="59">
        <v>177445</v>
      </c>
      <c r="E12" s="59">
        <v>290095</v>
      </c>
      <c r="F12" s="59">
        <v>380800</v>
      </c>
      <c r="G12" s="59">
        <v>448413</v>
      </c>
    </row>
    <row r="13" spans="2:7" x14ac:dyDescent="0.25">
      <c r="B13" s="58" t="s">
        <v>170</v>
      </c>
      <c r="C13" s="59">
        <v>96434</v>
      </c>
      <c r="D13" s="59">
        <v>273879</v>
      </c>
      <c r="E13" s="59">
        <v>563974</v>
      </c>
      <c r="F13" s="59">
        <v>944774</v>
      </c>
      <c r="G13" s="59">
        <v>1393187</v>
      </c>
    </row>
    <row r="14" spans="2:7" x14ac:dyDescent="0.25">
      <c r="B14" s="58" t="s">
        <v>171</v>
      </c>
      <c r="C14" s="60">
        <v>0.47977114427860695</v>
      </c>
      <c r="D14" s="60">
        <v>0.5856657205096046</v>
      </c>
      <c r="E14" s="60">
        <v>0.6830103830668895</v>
      </c>
      <c r="F14" s="60">
        <v>0.727300508040796</v>
      </c>
      <c r="G14" s="60">
        <v>0.7495536908264242</v>
      </c>
    </row>
    <row r="15" spans="2:8" x14ac:dyDescent="0.25">
      <c r="B15" s="58" t="s">
        <v>150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172</v>
      </c>
    </row>
    <row r="16" spans="2:7" x14ac:dyDescent="0.25">
      <c r="B16" s="58" t="s">
        <v>173</v>
      </c>
      <c r="C16" s="63">
        <v>6971.066666666667</v>
      </c>
      <c r="D16" s="63">
        <v>5706.136363636364</v>
      </c>
      <c r="E16" s="63">
        <v>4487.833333333333</v>
      </c>
      <c r="F16" s="63">
        <v>3966.1111111111113</v>
      </c>
      <c r="G16" s="63">
        <v>3745.675</v>
      </c>
    </row>
    <row r="17" spans="2:7" x14ac:dyDescent="0.25">
      <c r="B17" s="9" t="s">
        <v>174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175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176</v>
      </c>
    </row>
    <row r="19" spans="2:7" x14ac:dyDescent="0.25">
      <c r="B19" s="58" t="s">
        <v>177</v>
      </c>
      <c r="C19" s="64">
        <v>6428.933333333333</v>
      </c>
      <c r="D19" s="64">
        <v>8065.681818181818</v>
      </c>
      <c r="E19" s="64">
        <v>9669.833333333334</v>
      </c>
      <c r="F19" s="64">
        <v>10577.777777777777</v>
      </c>
      <c r="G19" s="64">
        <v>11210.325</v>
      </c>
    </row>
    <row r="20" spans="2:8" x14ac:dyDescent="0.25">
      <c r="B20" s="58" t="s">
        <v>178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179</v>
      </c>
    </row>
    <row r="21" spans="2:8" x14ac:dyDescent="0.25">
      <c r="B21" s="58" t="s">
        <v>180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181</v>
      </c>
    </row>
    <row r="22" spans="2:8" x14ac:dyDescent="0.25">
      <c r="B22" s="58" t="s">
        <v>182</v>
      </c>
      <c r="C22" s="60">
        <v>0.47977114427860695</v>
      </c>
      <c r="D22" s="60">
        <v>0.5856657205096046</v>
      </c>
      <c r="E22" s="60">
        <v>0.6830103830668895</v>
      </c>
      <c r="F22" s="60">
        <v>0.727300508040796</v>
      </c>
      <c r="G22" s="60">
        <v>0.7495536908264242</v>
      </c>
      <c r="H22" s="62" t="s">
        <v>183</v>
      </c>
    </row>
    <row r="23" spans="2:8" x14ac:dyDescent="0.25">
      <c r="B23" s="58" t="s">
        <v>184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185</v>
      </c>
    </row>
    <row r="24" spans="2:8" x14ac:dyDescent="0.25">
      <c r="B24" s="58" t="s">
        <v>186</v>
      </c>
      <c r="C24" s="66" t="s">
        <v>187</v>
      </c>
      <c r="D24" s="66" t="s">
        <v>187</v>
      </c>
      <c r="E24" s="66" t="s">
        <v>187</v>
      </c>
      <c r="F24" s="66" t="s">
        <v>187</v>
      </c>
      <c r="G24" s="66" t="s">
        <v>187</v>
      </c>
      <c r="H24" s="62" t="s">
        <v>187</v>
      </c>
    </row>
    <row r="25" spans="2:8" x14ac:dyDescent="0.25">
      <c r="B25" s="58" t="s">
        <v>188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62</v>
      </c>
    </row>
    <row r="26" spans="2:8" x14ac:dyDescent="0.25">
      <c r="B26" s="58" t="s">
        <v>189</v>
      </c>
      <c r="C26" s="68">
        <v>11</v>
      </c>
      <c r="D26" s="65">
        <v>26</v>
      </c>
      <c r="E26" s="65">
        <v>50</v>
      </c>
      <c r="F26" s="69" t="s">
        <v>190</v>
      </c>
      <c r="G26" s="69" t="s">
        <v>190</v>
      </c>
      <c r="H26" s="62" t="s">
        <v>191</v>
      </c>
    </row>
    <row r="27" spans="2:8" x14ac:dyDescent="0.25">
      <c r="B27" s="58" t="s">
        <v>192</v>
      </c>
      <c r="C27" s="65">
        <v>337</v>
      </c>
      <c r="D27" s="65">
        <v>796</v>
      </c>
      <c r="E27" s="65">
        <v>1529</v>
      </c>
      <c r="F27" s="65">
        <v>2415</v>
      </c>
      <c r="G27" s="65">
        <v>3394</v>
      </c>
      <c r="H27" s="62" t="s">
        <v>193</v>
      </c>
    </row>
    <row r="29" ht="24" customHeight="1" spans="2:8" x14ac:dyDescent="0.25">
      <c r="B29" s="8" t="s">
        <v>194</v>
      </c>
      <c r="C29" s="8" t="s">
        <v>195</v>
      </c>
      <c r="D29" s="8" t="s">
        <v>196</v>
      </c>
      <c r="E29" s="8"/>
      <c r="F29" s="8" t="s">
        <v>197</v>
      </c>
      <c r="G29" s="8"/>
      <c r="H29" s="8"/>
    </row>
    <row r="30" ht="45" customHeight="1" spans="2:8" x14ac:dyDescent="0.25">
      <c r="B30" s="70" t="s">
        <v>198</v>
      </c>
      <c r="C30" s="45" t="s">
        <v>199</v>
      </c>
      <c r="D30" s="71" t="s">
        <v>200</v>
      </c>
      <c r="E30" s="71"/>
      <c r="F30" s="72" t="s">
        <v>201</v>
      </c>
      <c r="G30" s="72"/>
      <c r="H30" s="72"/>
    </row>
    <row r="31" ht="45" customHeight="1" spans="2:8" x14ac:dyDescent="0.25">
      <c r="B31" s="70" t="s">
        <v>202</v>
      </c>
      <c r="C31" s="45" t="s">
        <v>199</v>
      </c>
      <c r="D31" s="71" t="s">
        <v>203</v>
      </c>
      <c r="E31" s="71"/>
      <c r="F31" s="72" t="s">
        <v>204</v>
      </c>
      <c r="G31" s="72"/>
      <c r="H31" s="72"/>
    </row>
    <row r="32" ht="45" customHeight="1" spans="2:8" x14ac:dyDescent="0.25">
      <c r="B32" s="70" t="s">
        <v>205</v>
      </c>
      <c r="C32" s="45" t="s">
        <v>199</v>
      </c>
      <c r="D32" s="71" t="s">
        <v>206</v>
      </c>
      <c r="E32" s="71"/>
      <c r="F32" s="72" t="s">
        <v>207</v>
      </c>
      <c r="G32" s="72"/>
      <c r="H32" s="72"/>
    </row>
    <row r="33" ht="45" customHeight="1" spans="2:8" x14ac:dyDescent="0.25">
      <c r="B33" s="70" t="s">
        <v>208</v>
      </c>
      <c r="C33" s="45" t="s">
        <v>199</v>
      </c>
      <c r="D33" s="71" t="s">
        <v>209</v>
      </c>
      <c r="E33" s="71"/>
      <c r="F33" s="72" t="s">
        <v>210</v>
      </c>
      <c r="G33" s="72"/>
      <c r="H33" s="72"/>
    </row>
    <row r="34" ht="45" customHeight="1" spans="2:8" x14ac:dyDescent="0.25">
      <c r="B34" s="70" t="s">
        <v>211</v>
      </c>
      <c r="C34" s="45" t="s">
        <v>199</v>
      </c>
      <c r="D34" s="71" t="s">
        <v>212</v>
      </c>
      <c r="E34" s="71"/>
      <c r="F34" s="72" t="s">
        <v>213</v>
      </c>
      <c r="G34" s="72"/>
      <c r="H34" s="72"/>
    </row>
    <row r="35" ht="45" customHeight="1" spans="2:8" x14ac:dyDescent="0.25">
      <c r="B35" s="70" t="s">
        <v>214</v>
      </c>
      <c r="C35" s="45" t="s">
        <v>199</v>
      </c>
      <c r="D35" s="71" t="s">
        <v>215</v>
      </c>
      <c r="E35" s="71"/>
      <c r="F35" s="72" t="s">
        <v>216</v>
      </c>
      <c r="G35" s="72"/>
      <c r="H35" s="72"/>
    </row>
    <row r="37" spans="2:6" x14ac:dyDescent="0.25">
      <c r="B37" s="70" t="s">
        <v>20</v>
      </c>
      <c r="C37" s="58" t="s">
        <v>217</v>
      </c>
      <c r="D37" s="58"/>
      <c r="E37" s="58"/>
      <c r="F37" s="58"/>
    </row>
    <row r="39" spans="2:8" x14ac:dyDescent="0.25">
      <c r="B39" s="73" t="s">
        <v>218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2026-04-29T01:01:48Z</dcterms:created>
  <dcterms:modified xsi:type="dcterms:W3CDTF">2026-04-29T01:01:48Z</dcterms:modified>
</cp:coreProperties>
</file>