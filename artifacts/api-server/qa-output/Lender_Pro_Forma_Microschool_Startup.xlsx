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<sst xmlns="http://schemas.openxmlformats.org/spreadsheetml/2006/main" count="259" uniqueCount="206">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</sst>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8" t="s">
        <v>125</v>
      </c>
      <c r="C19" s="32">
        <f>C16</f>
        <v>-113200</v>
      </c>
      <c r="D19" s="32">
        <f>C19+D16</f>
        <v>-241340</v>
      </c>
      <c r="E19" s="32">
        <f>D19+E16</f>
        <v>-358086.00327273</v>
      </c>
      <c r="F19" s="32">
        <f>E19+F16</f>
        <v>-525576.90172964</v>
      </c>
      <c r="G19" s="32">
        <f>F19+G16</f>
        <v>-726078.89629461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-113200</v>
      </c>
      <c r="D4" s="27">
        <f>'5-Year P&amp;L'!D16</f>
        <v>-128140</v>
      </c>
      <c r="E4" s="27">
        <f>'5-Year P&amp;L'!E16</f>
        <v>-116746.00327273</v>
      </c>
      <c r="F4" s="27">
        <f>'5-Year P&amp;L'!F16</f>
        <v>-167490.89845692</v>
      </c>
      <c r="G4" s="27">
        <f>'5-Year P&amp;L'!G16</f>
        <v>-200501.99456497</v>
      </c>
    </row>
    <row r="6" spans="2:7" x14ac:dyDescent="0.25">
      <c r="B6" s="25" t="s">
        <v>129</v>
      </c>
      <c r="C6" s="27" t="str">
        <f>Assumptions!D58</f>
        <v>0</v>
      </c>
      <c r="D6" s="27" t="str">
        <f>Assumptions!D58</f>
        <v>0</v>
      </c>
      <c r="E6" s="27" t="str">
        <f>Assumptions!D58</f>
        <v>0</v>
      </c>
      <c r="F6" s="27" t="str">
        <f>Assumptions!D58</f>
        <v>0</v>
      </c>
      <c r="G6" s="27" t="str">
        <f>Assumptions!D58</f>
        <v>0</v>
      </c>
    </row>
    <row r="7" spans="2:7" x14ac:dyDescent="0.25">
      <c r="B7" s="25" t="s">
        <v>130</v>
      </c>
      <c r="C7" s="27">
        <f>IF(Assumptions!D59&gt;0,PMT(Assumptions!D60/12,Assumptions!D61*12,-Assumptions!D59)*12,0)</f>
        <v>6959.80855059</v>
      </c>
      <c r="D7" s="27">
        <f>IF(Assumptions!D59&gt;0,PMT(Assumptions!D60/12,Assumptions!D61*12,-Assumptions!D59)*12,0)</f>
        <v>6959.80855059</v>
      </c>
      <c r="E7" s="27">
        <f>IF(Assumptions!D59&gt;0,PMT(Assumptions!D60/12,Assumptions!D61*12,-Assumptions!D59)*12,0)</f>
        <v>6959.80855059</v>
      </c>
      <c r="F7" s="27">
        <f>IF(Assumptions!D59&gt;0,PMT(Assumptions!D60/12,Assumptions!D61*12,-Assumptions!D59)*12,0)</f>
        <v>6959.80855059</v>
      </c>
      <c r="G7" s="27">
        <f>IF(Assumptions!D59&gt;0,PMT(Assumptions!D60/12,Assumptions!D61*12,-Assumptions!D59)*12,0)</f>
        <v>6959.80855059</v>
      </c>
    </row>
    <row r="8" spans="2:7" x14ac:dyDescent="0.25">
      <c r="B8" s="28" t="s">
        <v>131</v>
      </c>
      <c r="C8" s="29">
        <f>C6+C7</f>
        <v>6959.80855059</v>
      </c>
      <c r="D8" s="29">
        <f>D6+D7</f>
        <v>6959.80855059</v>
      </c>
      <c r="E8" s="29">
        <f>E6+E7</f>
        <v>6959.80855059</v>
      </c>
      <c r="F8" s="29">
        <f>F6+F7</f>
        <v>6959.80855059</v>
      </c>
      <c r="G8" s="29">
        <f>G6+G7</f>
        <v>6959.80855059</v>
      </c>
    </row>
    <row r="10" spans="2:7" x14ac:dyDescent="0.25">
      <c r="B10" s="28" t="s">
        <v>132</v>
      </c>
      <c r="C10" s="34">
        <f>IF(C8&gt;0,C4/C8,IF(C4&gt;0,99.9,0))</f>
        <v>-16.26481521</v>
      </c>
      <c r="D10" s="34">
        <f>IF(D8&gt;0,D4/D8,IF(D4&gt;0,99.9,0))</f>
        <v>-18.41142599</v>
      </c>
      <c r="E10" s="34">
        <f>IF(E8&gt;0,E4/E8,IF(E4&gt;0,99.9,0))</f>
        <v>-16.77431246</v>
      </c>
      <c r="F10" s="34">
        <f>IF(F8&gt;0,F4/F8,IF(F4&gt;0,99.9,0))</f>
        <v>-24.06544623</v>
      </c>
      <c r="G10" s="34">
        <f>IF(G8&gt;0,G4/G8,IF(G4&gt;0,99.9,0))</f>
        <v>-28.80855028</v>
      </c>
    </row>
    <row r="12" spans="2:7" x14ac:dyDescent="0.25">
      <c r="B12" s="25" t="s">
        <v>133</v>
      </c>
      <c r="C12" s="27">
        <f>C4-C8</f>
        <v>-120159.80855059</v>
      </c>
      <c r="D12" s="27">
        <f>D4-D8</f>
        <v>-135099.80855059</v>
      </c>
      <c r="E12" s="27">
        <f>E4-E8</f>
        <v>-123705.81182332</v>
      </c>
      <c r="F12" s="27">
        <f>F4-F8</f>
        <v>-174450.70700751</v>
      </c>
      <c r="G12" s="27">
        <f>G4-G8</f>
        <v>-207461.80311556</v>
      </c>
    </row>
    <row r="14" spans="2:7" x14ac:dyDescent="0.25">
      <c r="B14" s="28" t="s">
        <v>134</v>
      </c>
      <c r="C14" s="35">
        <f>Assumptions!D57+C12</f>
        <v>-120159.80855059</v>
      </c>
      <c r="D14" s="35">
        <f>C14+D12</f>
        <v>-255259.61710119</v>
      </c>
      <c r="E14" s="35">
        <f>D14+E12</f>
        <v>-378965.42892451</v>
      </c>
      <c r="F14" s="35">
        <f>E14+F12</f>
        <v>-553416.13593202</v>
      </c>
      <c r="G14" s="35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137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138</v>
      </c>
      <c r="C6" s="36">
        <f>C4+C5</f>
        <v>3</v>
      </c>
      <c r="D6" s="36">
        <f>D4+D5</f>
        <v>4</v>
      </c>
      <c r="E6" s="36">
        <f>E4+E5</f>
        <v>4</v>
      </c>
      <c r="F6" s="36">
        <f>F4+F5</f>
        <v>5</v>
      </c>
      <c r="G6" s="36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30000</v>
      </c>
    </row>
    <row r="4" spans="2:3" x14ac:dyDescent="0.25">
      <c r="B4" s="25" t="s">
        <v>141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142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143</v>
      </c>
      <c r="C8" s="34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146</v>
      </c>
      <c r="C9" s="27">
        <f>Drivers!G10</f>
        <v>201964.04175</v>
      </c>
    </row>
    <row r="10" spans="2:3" x14ac:dyDescent="0.25">
      <c r="B10" s="25" t="s">
        <v>147</v>
      </c>
      <c r="C10" s="35">
        <f>'5-Year P&amp;L'!G16</f>
        <v>-200501.99456497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155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156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157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158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159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160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161</v>
      </c>
      <c r="C14" s="42">
        <v>-1.3501102084336423</v>
      </c>
      <c r="D14" s="42">
        <v>-1.0023728190428414</v>
      </c>
      <c r="E14" s="42">
        <v>-0.7346884451071656</v>
      </c>
      <c r="F14" s="42">
        <v>-0.8890239721196186</v>
      </c>
      <c r="G14" s="42">
        <v>-1.0272214861513054</v>
      </c>
    </row>
    <row r="15" spans="2:8" x14ac:dyDescent="0.25">
      <c r="B15" s="28" t="s">
        <v>162</v>
      </c>
      <c r="C15" s="43">
        <v>7416.666666666667</v>
      </c>
      <c r="D15" s="43">
        <v>7487.777777777777</v>
      </c>
      <c r="E15" s="43">
        <v>7653.572727272727</v>
      </c>
      <c r="F15" s="43">
        <v>7849.089</v>
      </c>
      <c r="G15" s="43">
        <v>8078.561670000001</v>
      </c>
      <c r="H15" s="44" t="s">
        <v>163</v>
      </c>
    </row>
    <row r="16" spans="2:8" x14ac:dyDescent="0.25">
      <c r="B16" s="28" t="s">
        <v>164</v>
      </c>
      <c r="C16" s="42">
        <v>1.7258426966292135</v>
      </c>
      <c r="D16" s="42">
        <v>1.5085472622050748</v>
      </c>
      <c r="E16" s="42">
        <v>1.2437546101464199</v>
      </c>
      <c r="F16" s="42">
        <v>1.3431660790188518</v>
      </c>
      <c r="G16" s="42">
        <v>1.344163657152598</v>
      </c>
      <c r="H16" s="44" t="s">
        <v>165</v>
      </c>
    </row>
    <row r="17" spans="2:8" x14ac:dyDescent="0.25">
      <c r="B17" s="28" t="s">
        <v>166</v>
      </c>
      <c r="C17" s="42">
        <v>0.4044943820224719</v>
      </c>
      <c r="D17" s="42">
        <v>0.27493693426324384</v>
      </c>
      <c r="E17" s="42">
        <v>0.22653101997522254</v>
      </c>
      <c r="F17" s="45">
        <v>0.20008353392009362</v>
      </c>
      <c r="G17" s="45">
        <v>0.2001025371659282</v>
      </c>
      <c r="H17" s="44" t="s">
        <v>167</v>
      </c>
    </row>
    <row r="18" spans="2:8" x14ac:dyDescent="0.25">
      <c r="B18" s="28" t="s">
        <v>124</v>
      </c>
      <c r="C18" s="42">
        <v>-1.2719101123595506</v>
      </c>
      <c r="D18" s="42">
        <v>-0.9507345303457486</v>
      </c>
      <c r="E18" s="42">
        <v>-0.6933541630155331</v>
      </c>
      <c r="F18" s="42">
        <v>-0.8535558633972221</v>
      </c>
      <c r="G18" s="42">
        <v>-0.99276085399972</v>
      </c>
      <c r="H18" s="44" t="s">
        <v>168</v>
      </c>
    </row>
    <row r="19" spans="2:8" x14ac:dyDescent="0.25">
      <c r="B19" s="28" t="s">
        <v>169</v>
      </c>
      <c r="C19" s="46">
        <v>2</v>
      </c>
      <c r="D19" s="46">
        <v>2</v>
      </c>
      <c r="E19" s="46">
        <v>2</v>
      </c>
      <c r="F19" s="46">
        <v>2</v>
      </c>
      <c r="G19" s="46">
        <v>2</v>
      </c>
      <c r="H19" s="44" t="s">
        <v>170</v>
      </c>
    </row>
    <row r="20" spans="2:8" x14ac:dyDescent="0.25">
      <c r="B20" s="28" t="s">
        <v>171</v>
      </c>
      <c r="C20" s="47">
        <v>-16.26481521396674</v>
      </c>
      <c r="D20" s="47">
        <v>-18.411425985138678</v>
      </c>
      <c r="E20" s="47">
        <v>-16.77431245759775</v>
      </c>
      <c r="F20" s="47">
        <v>-24.065446231651993</v>
      </c>
      <c r="G20" s="47">
        <v>-28.808550279425102</v>
      </c>
      <c r="H20" s="44" t="s">
        <v>172</v>
      </c>
    </row>
    <row r="21" spans="2:8" x14ac:dyDescent="0.25">
      <c r="B21" s="28" t="s">
        <v>173</v>
      </c>
      <c r="C21" s="48" t="str">
        <f>IF('5-Year P&amp;L'!C19&gt;=0,"✓ Break-even","")</f>
        <v>0</v>
      </c>
      <c r="D21" s="48" t="str">
        <f>IF(AND('5-Year P&amp;L'!D19&gt;=0,'5-Year P&amp;L'!C19&lt;0),"✓ Break-even","")</f>
        <v>0</v>
      </c>
      <c r="E21" s="48" t="str">
        <f>IF(AND('5-Year P&amp;L'!E19&gt;=0,'5-Year P&amp;L'!D19&lt;0),"✓ Break-even","")</f>
        <v>0</v>
      </c>
      <c r="F21" s="48" t="str">
        <f>IF(AND('5-Year P&amp;L'!F19&gt;=0,'5-Year P&amp;L'!E19&lt;0),"✓ Break-even","")</f>
        <v>0</v>
      </c>
      <c r="G21" s="48" t="str">
        <f>IF(AND('5-Year P&amp;L'!G19&gt;=0,'5-Year P&amp;L'!F19&lt;0),"✓ Break-even","")</f>
        <v>0</v>
      </c>
      <c r="H21" s="44" t="s">
        <v>96</v>
      </c>
    </row>
    <row r="22" spans="2:8" x14ac:dyDescent="0.25">
      <c r="B22" s="28" t="s">
        <v>174</v>
      </c>
      <c r="C22" s="49">
        <v>-7</v>
      </c>
      <c r="D22" s="49">
        <v>-11</v>
      </c>
      <c r="E22" s="49">
        <v>-16</v>
      </c>
      <c r="F22" s="49">
        <v>-18</v>
      </c>
      <c r="G22" s="49">
        <v>-22</v>
      </c>
      <c r="H22" s="44" t="s">
        <v>175</v>
      </c>
    </row>
    <row r="24" ht="24" customHeight="1" spans="2:8" x14ac:dyDescent="0.25">
      <c r="B24" s="40" t="s">
        <v>176</v>
      </c>
      <c r="C24" s="40" t="s">
        <v>177</v>
      </c>
      <c r="D24" s="40" t="s">
        <v>178</v>
      </c>
      <c r="E24" s="40"/>
      <c r="F24" s="40" t="s">
        <v>179</v>
      </c>
      <c r="G24" s="40"/>
      <c r="H24" s="40"/>
    </row>
    <row r="25" ht="45" customHeight="1" spans="2:8" x14ac:dyDescent="0.25">
      <c r="B25" s="50" t="s">
        <v>180</v>
      </c>
      <c r="C25" s="51" t="s">
        <v>181</v>
      </c>
      <c r="D25" s="52" t="s">
        <v>182</v>
      </c>
      <c r="E25" s="52"/>
      <c r="F25" s="53" t="s">
        <v>183</v>
      </c>
      <c r="G25" s="53"/>
      <c r="H25" s="53"/>
    </row>
    <row r="26" ht="45" customHeight="1" spans="2:8" x14ac:dyDescent="0.25">
      <c r="B26" s="50" t="s">
        <v>184</v>
      </c>
      <c r="C26" s="51" t="s">
        <v>181</v>
      </c>
      <c r="D26" s="52" t="s">
        <v>185</v>
      </c>
      <c r="E26" s="52"/>
      <c r="F26" s="53" t="s">
        <v>186</v>
      </c>
      <c r="G26" s="53"/>
      <c r="H26" s="53"/>
    </row>
    <row r="27" ht="45" customHeight="1" spans="2:8" x14ac:dyDescent="0.25">
      <c r="B27" s="50" t="s">
        <v>187</v>
      </c>
      <c r="C27" s="51" t="s">
        <v>181</v>
      </c>
      <c r="D27" s="52" t="s">
        <v>188</v>
      </c>
      <c r="E27" s="52"/>
      <c r="F27" s="53" t="s">
        <v>189</v>
      </c>
      <c r="G27" s="53"/>
      <c r="H27" s="53"/>
    </row>
    <row r="28" ht="45" customHeight="1" spans="2:8" x14ac:dyDescent="0.25">
      <c r="B28" s="50" t="s">
        <v>190</v>
      </c>
      <c r="C28" s="54" t="s">
        <v>191</v>
      </c>
      <c r="D28" s="52" t="s">
        <v>192</v>
      </c>
      <c r="E28" s="52"/>
      <c r="F28" s="53" t="s">
        <v>193</v>
      </c>
      <c r="G28" s="53"/>
      <c r="H28" s="53"/>
    </row>
    <row r="29" ht="45" customHeight="1" spans="2:8" x14ac:dyDescent="0.25">
      <c r="B29" s="50" t="s">
        <v>194</v>
      </c>
      <c r="C29" s="51" t="s">
        <v>181</v>
      </c>
      <c r="D29" s="52" t="s">
        <v>195</v>
      </c>
      <c r="E29" s="52"/>
      <c r="F29" s="53" t="s">
        <v>196</v>
      </c>
      <c r="G29" s="53"/>
      <c r="H29" s="53"/>
    </row>
    <row r="30" ht="45" customHeight="1" spans="2:8" x14ac:dyDescent="0.25">
      <c r="B30" s="50" t="s">
        <v>197</v>
      </c>
      <c r="C30" s="55" t="s">
        <v>198</v>
      </c>
      <c r="D30" s="52" t="s">
        <v>199</v>
      </c>
      <c r="E30" s="52"/>
      <c r="F30" s="53" t="s">
        <v>200</v>
      </c>
      <c r="G30" s="53"/>
      <c r="H30" s="53"/>
    </row>
    <row r="31" ht="45" customHeight="1" spans="2:8" x14ac:dyDescent="0.25">
      <c r="B31" s="50" t="s">
        <v>201</v>
      </c>
      <c r="C31" s="51" t="s">
        <v>181</v>
      </c>
      <c r="D31" s="52" t="s">
        <v>202</v>
      </c>
      <c r="E31" s="52"/>
      <c r="F31" s="53" t="s">
        <v>203</v>
      </c>
      <c r="G31" s="53"/>
      <c r="H31" s="53"/>
    </row>
    <row r="33" spans="2:6" x14ac:dyDescent="0.25">
      <c r="B33" s="50" t="s">
        <v>39</v>
      </c>
      <c r="C33" s="28" t="s">
        <v>204</v>
      </c>
      <c r="D33" s="28"/>
      <c r="E33" s="28"/>
      <c r="F33" s="28"/>
    </row>
    <row r="35" spans="2:8" x14ac:dyDescent="0.25">
      <c r="B35" s="56" t="s">
        <v>205</v>
      </c>
      <c r="C35" s="56"/>
      <c r="D35" s="56"/>
      <c r="E35" s="56"/>
      <c r="F35" s="56"/>
      <c r="G35" s="56"/>
      <c r="H35" s="5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2026-03-26T13:02:34Z</dcterms:created>
  <dcterms:modified xsi:type="dcterms:W3CDTF">2026-03-26T13:02:34Z</dcterms:modified>
</cp:coreProperties>
</file>