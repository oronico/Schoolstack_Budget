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<sst xmlns="http://schemas.openxmlformats.org/spreadsheetml/2006/main" count="239" uniqueCount="193">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</sst>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</v>
      </c>
    </row>
    <row r="13" spans="3:4" x14ac:dyDescent="0.25">
      <c r="C13" s="17" t="s">
        <v>53</v>
      </c>
      <c r="D13" s="19">
        <v>18</v>
      </c>
    </row>
    <row r="14" spans="3:4" x14ac:dyDescent="0.25">
      <c r="C14" s="17" t="s">
        <v>54</v>
      </c>
      <c r="D14" s="19">
        <v>22</v>
      </c>
    </row>
    <row r="15" spans="3:4" x14ac:dyDescent="0.25">
      <c r="C15" s="17" t="s">
        <v>55</v>
      </c>
      <c r="D15" s="19">
        <v>25</v>
      </c>
    </row>
    <row r="16" spans="3:4" x14ac:dyDescent="0.25">
      <c r="C16" s="17" t="s">
        <v>56</v>
      </c>
      <c r="D16" s="19">
        <v>25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7000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0</v>
      </c>
    </row>
    <row r="25" spans="3:4" x14ac:dyDescent="0.25">
      <c r="C25" s="17" t="s">
        <v>63</v>
      </c>
      <c r="D25" s="21">
        <v>0.02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8</v>
      </c>
    </row>
    <row r="33" spans="3:4" x14ac:dyDescent="0.25">
      <c r="C33" s="17" t="s">
        <v>69</v>
      </c>
      <c r="D33" s="20">
        <v>36500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1</v>
      </c>
    </row>
    <row r="36" spans="3:4" x14ac:dyDescent="0.25">
      <c r="C36" s="17" t="s">
        <v>72</v>
      </c>
      <c r="D36" s="19">
        <v>1</v>
      </c>
    </row>
    <row r="37" spans="3:4" x14ac:dyDescent="0.25">
      <c r="C37" s="17" t="s">
        <v>73</v>
      </c>
      <c r="D37" s="19">
        <v>1</v>
      </c>
    </row>
    <row r="38" spans="3:4" x14ac:dyDescent="0.25">
      <c r="C38" s="17" t="s">
        <v>74</v>
      </c>
      <c r="D38" s="19">
        <v>1</v>
      </c>
    </row>
    <row r="39" spans="3:4" x14ac:dyDescent="0.25">
      <c r="C39" s="17" t="s">
        <v>75</v>
      </c>
      <c r="D39" s="19">
        <v>1</v>
      </c>
    </row>
    <row r="40" spans="3:4" x14ac:dyDescent="0.25">
      <c r="C40" s="17" t="s">
        <v>76</v>
      </c>
      <c r="D40" s="20">
        <v>55000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30000</v>
      </c>
    </row>
    <row r="47" spans="3:4" x14ac:dyDescent="0.25">
      <c r="C47" s="17" t="s">
        <v>81</v>
      </c>
      <c r="D47" s="21">
        <v>0.029333333333333333</v>
      </c>
    </row>
    <row r="48" spans="3:4" x14ac:dyDescent="0.25">
      <c r="C48" s="17" t="s">
        <v>82</v>
      </c>
      <c r="D48" s="20">
        <v>6000</v>
      </c>
    </row>
    <row r="49" spans="3:4" x14ac:dyDescent="0.25">
      <c r="C49" s="17" t="s">
        <v>83</v>
      </c>
      <c r="D49" s="21">
        <v>0.029333333333333333</v>
      </c>
    </row>
    <row r="50" spans="3:4" x14ac:dyDescent="0.25">
      <c r="C50" s="17" t="s">
        <v>84</v>
      </c>
      <c r="D50" s="20">
        <v>500</v>
      </c>
    </row>
    <row r="51" spans="3:4" x14ac:dyDescent="0.25">
      <c r="C51" s="17" t="s">
        <v>85</v>
      </c>
      <c r="D51" s="21">
        <v>0.545</v>
      </c>
    </row>
    <row r="52" spans="3:4" x14ac:dyDescent="0.25">
      <c r="C52" s="17" t="s">
        <v>86</v>
      </c>
      <c r="D52" s="20">
        <v>6600</v>
      </c>
    </row>
    <row r="53" spans="3:4" x14ac:dyDescent="0.25">
      <c r="C53" s="17" t="s">
        <v>87</v>
      </c>
      <c r="D53" s="21">
        <v>0.30863636363636365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0</v>
      </c>
    </row>
    <row r="59" spans="3:4" x14ac:dyDescent="0.25">
      <c r="C59" s="17" t="s">
        <v>91</v>
      </c>
      <c r="D59" s="20">
        <v>30000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104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105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106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107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108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109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110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111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112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113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114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115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116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119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105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106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120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116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121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122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123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126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127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128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129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130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131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134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135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30000</v>
      </c>
    </row>
    <row r="4" spans="2:3" x14ac:dyDescent="0.25">
      <c r="B4" s="24" t="s">
        <v>138</v>
      </c>
      <c r="C4" s="30">
        <f>Assumptions!D60</f>
        <v>0.06</v>
      </c>
    </row>
    <row r="5" spans="2:3" x14ac:dyDescent="0.25">
      <c r="B5" s="24" t="s">
        <v>93</v>
      </c>
      <c r="C5" s="25">
        <f>Assumptions!D61</f>
        <v>5</v>
      </c>
    </row>
    <row r="6" spans="2:3" x14ac:dyDescent="0.25">
      <c r="B6" s="24" t="s">
        <v>139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140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Bright Horizons Microschool</v>
      </c>
    </row>
    <row r="4" spans="2:3" x14ac:dyDescent="0.25">
      <c r="B4" s="24" t="s">
        <v>48</v>
      </c>
      <c r="C4" s="24" t="str">
        <f>Assumptions!D7</f>
        <v>Microschool</v>
      </c>
    </row>
    <row r="5" spans="2:3" x14ac:dyDescent="0.25">
      <c r="B5" s="24" t="s">
        <v>46</v>
      </c>
      <c r="C5" s="24" t="str">
        <f>Assumptions!D6</f>
        <v>AZ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25</v>
      </c>
    </row>
    <row r="9" spans="2:3" x14ac:dyDescent="0.25">
      <c r="B9" s="24" t="s">
        <v>143</v>
      </c>
      <c r="C9" s="26">
        <f>Drivers!G10</f>
        <v>201964.04175</v>
      </c>
    </row>
    <row r="10" spans="2:3" x14ac:dyDescent="0.25">
      <c r="B10" s="24" t="s">
        <v>144</v>
      </c>
      <c r="C10" s="32">
        <f>'5-Year P&amp;L'!G16</f>
        <v>-200501.99456497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148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149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150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151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152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153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154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155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156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157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123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158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3" t="s">
        <v>168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6" t="s">
        <v>178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