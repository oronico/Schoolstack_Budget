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<sst xmlns="http://schemas.openxmlformats.org/spreadsheetml/2006/main" count="142" uniqueCount="116">
  <si>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</si>
  <si>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</si>
  <si>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</si>
  <si>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</si>
  <si>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</si>
  <si>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</si>
  <si>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</si>
  <si>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</si>
  <si>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</si>
  <si>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</si>
  <si>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</si>
  <si>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16,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</si>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</sst>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0"/>
      <name val="Calibri"/>
    </font>
    <font>
      <i/>
      <color rgb="FF6B7280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0"/>
      <name val="Calibri"/>
    </font>
    <font>
      <color rgb="FF1E293B"/>
      <sz val="10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0</v>
      </c>
    </row>
    <row r="60" spans="3:4" x14ac:dyDescent="0.25">
      <c r="C60" s="9" t="s">
        <v>62</v>
      </c>
      <c r="D60" s="13">
        <v>0.08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191227.23</v>
      </c>
      <c r="G7" s="18">
        <f>Assumptions!D16*Assumptions!D22*(1+Assumptions!D23)^4</f>
        <v>196964.04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196227.23</v>
      </c>
      <c r="G10" s="20">
        <f>G6+G7+G8+G9</f>
        <v>201964.04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</v>
      </c>
      <c r="G13" s="18">
        <f>G12*Assumptions!D33*(1+Assumptions!D34)^4</f>
        <v>164324.29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60099.99</v>
      </c>
      <c r="G14" s="18">
        <f>Assumptions!D39*Assumptions!D40*(1+Assumptions!D41)^4</f>
        <v>61902.98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43927.63</v>
      </c>
      <c r="G15" s="18">
        <f>(G13+G14)*Assumptions!D42</f>
        <v>45245.45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</v>
      </c>
      <c r="G16" s="20">
        <f>G13+G14+G15</f>
        <v>271472.72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</v>
      </c>
      <c r="F18" s="18">
        <f>Assumptions!D46*(1+Assumptions!D47)^3</f>
        <v>32718.2</v>
      </c>
      <c r="G18" s="18">
        <f>Assumptions!D46*(1+Assumptions!D47)^4</f>
        <v>33677.93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</v>
      </c>
      <c r="F19" s="18">
        <f>Assumptions!D48*(1+Assumptions!D49)^3</f>
        <v>6543.64</v>
      </c>
      <c r="G19" s="18">
        <f>Assumptions!D48*(1+Assumptions!D49)^4</f>
        <v>6735.59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26257.28</v>
      </c>
      <c r="F20" s="18">
        <f>Assumptions!D15*Assumptions!D50*(1+Assumptions!D51)^3</f>
        <v>46099.42</v>
      </c>
      <c r="G20" s="18">
        <f>Assumptions!D16*Assumptions!D50*(1+Assumptions!D51)^4</f>
        <v>71223.6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</v>
      </c>
      <c r="F21" s="18">
        <f>Assumptions!D52*(1+Assumptions!D53)^3</f>
        <v>14791.11</v>
      </c>
      <c r="G21" s="18">
        <f>Assumptions!D52*(1+Assumptions!D53)^4</f>
        <v>19356.19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</v>
      </c>
      <c r="F22" s="20">
        <f>F18+F19+F20+F21</f>
        <v>100152.37</v>
      </c>
      <c r="G22" s="20">
        <f>G18+G19+G20+G21</f>
        <v>130993.31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191227.23</v>
      </c>
      <c r="G7" s="18">
        <f>Drivers!G7</f>
        <v>196964.04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196227.23</v>
      </c>
      <c r="G10" s="20">
        <f>Drivers!G10</f>
        <v>201964.04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</v>
      </c>
      <c r="G12" s="18">
        <f>Drivers!G16</f>
        <v>271472.72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</v>
      </c>
      <c r="F13" s="18">
        <f>Drivers!F22</f>
        <v>100152.37</v>
      </c>
      <c r="G13" s="18">
        <f>Drivers!G22</f>
        <v>130993.31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</v>
      </c>
      <c r="F15" s="20">
        <f>F12+F13</f>
        <v>363718.12</v>
      </c>
      <c r="G15" s="20">
        <f>G12+G13</f>
        <v>402466.04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</v>
      </c>
      <c r="F16" s="21">
        <f>F10-F15</f>
        <v>-167490.9</v>
      </c>
      <c r="G16" s="21">
        <f>G10-G15</f>
        <v>-200501.99</v>
      </c>
    </row>
    <row r="17" spans="2:7" x14ac:dyDescent="0.25">
      <c r="B17" s="16" t="s">
        <v>93</v>
      </c>
      <c r="C17" s="22">
        <f>IF(C10&gt;0,C16/C10,0)</f>
        <v>-1.27</v>
      </c>
      <c r="D17" s="22">
        <f>IF(D10&gt;0,D16/D10,0)</f>
        <v>-0.95</v>
      </c>
      <c r="E17" s="22">
        <f>IF(E10&gt;0,E16/E10,0)</f>
        <v>-0.69</v>
      </c>
      <c r="F17" s="22">
        <f>IF(F10&gt;0,F16/F10,0)</f>
        <v>-0.85</v>
      </c>
      <c r="G17" s="22">
        <f>IF(G10&gt;0,G16/G10,0)</f>
        <v>-0.99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</v>
      </c>
      <c r="F4" s="18">
        <f>'5-Year P&amp;L'!F16</f>
        <v>-167490.9</v>
      </c>
      <c r="G4" s="18">
        <f>'5-Year P&amp;L'!G16</f>
        <v>-200501.99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 t="str">
        <f>IF(Assumptions!D59&gt;0,PMT(Assumptions!D60/12,Assumptions!D61*12,-Assumptions!D59)*12,0)</f>
        <v>0</v>
      </c>
      <c r="D7" s="18" t="str">
        <f>IF(Assumptions!D59&gt;0,PMT(Assumptions!D60/12,Assumptions!D61*12,-Assumptions!D59)*12,0)</f>
        <v>0</v>
      </c>
      <c r="E7" s="18" t="str">
        <f>IF(Assumptions!D59&gt;0,PMT(Assumptions!D60/12,Assumptions!D61*12,-Assumptions!D59)*12,0)</f>
        <v>0</v>
      </c>
      <c r="F7" s="18" t="str">
        <f>IF(Assumptions!D59&gt;0,PMT(Assumptions!D60/12,Assumptions!D61*12,-Assumptions!D59)*12,0)</f>
        <v>0</v>
      </c>
      <c r="G7" s="18" t="str">
        <f>IF(Assumptions!D59&gt;0,PMT(Assumptions!D60/12,Assumptions!D61*12,-Assumptions!D59)*12,0)</f>
        <v>0</v>
      </c>
    </row>
    <row r="8" spans="2:7" x14ac:dyDescent="0.25">
      <c r="B8" s="19" t="s">
        <v>98</v>
      </c>
      <c r="C8" s="20" t="str">
        <f>C6+C7</f>
        <v>0</v>
      </c>
      <c r="D8" s="20" t="str">
        <f>D6+D7</f>
        <v>0</v>
      </c>
      <c r="E8" s="20" t="str">
        <f>E6+E7</f>
        <v>0</v>
      </c>
      <c r="F8" s="20" t="str">
        <f>F6+F7</f>
        <v>0</v>
      </c>
      <c r="G8" s="20" t="str">
        <f>G6+G7</f>
        <v>0</v>
      </c>
    </row>
    <row r="10" spans="2:7" x14ac:dyDescent="0.25">
      <c r="B10" s="19" t="s">
        <v>99</v>
      </c>
      <c r="C10" s="23" t="str">
        <f>IF(C8&gt;0,C4/C8,IF(C4&gt;0,99.9,0))</f>
        <v>0</v>
      </c>
      <c r="D10" s="23" t="str">
        <f>IF(D8&gt;0,D4/D8,IF(D4&gt;0,99.9,0))</f>
        <v>0</v>
      </c>
      <c r="E10" s="23" t="str">
        <f>IF(E8&gt;0,E4/E8,IF(E4&gt;0,99.9,0))</f>
        <v>0</v>
      </c>
      <c r="F10" s="23" t="str">
        <f>IF(F8&gt;0,F4/F8,IF(F4&gt;0,99.9,0))</f>
        <v>0</v>
      </c>
      <c r="G10" s="23" t="str">
        <f>IF(G8&gt;0,G4/G8,IF(G4&gt;0,99.9,0))</f>
        <v>0</v>
      </c>
    </row>
    <row r="12" spans="2:7" x14ac:dyDescent="0.25">
      <c r="B12" s="16" t="s">
        <v>100</v>
      </c>
      <c r="C12" s="18">
        <f>C4-C8</f>
        <v>-113200</v>
      </c>
      <c r="D12" s="18">
        <f>D4-D8</f>
        <v>-128140</v>
      </c>
      <c r="E12" s="18">
        <f>E4-E8</f>
        <v>-116746</v>
      </c>
      <c r="F12" s="18">
        <f>F4-F8</f>
        <v>-167490.9</v>
      </c>
      <c r="G12" s="18">
        <f>G4-G8</f>
        <v>-200501.99</v>
      </c>
    </row>
    <row r="14" spans="2:7" x14ac:dyDescent="0.25">
      <c r="B14" s="19" t="s">
        <v>101</v>
      </c>
      <c r="C14" s="24">
        <f>Assumptions!D57+C12</f>
        <v>-113200</v>
      </c>
      <c r="D14" s="24">
        <f>C14+D12</f>
        <v>-241340</v>
      </c>
      <c r="E14" s="24">
        <f>D14+E12</f>
        <v>-358086</v>
      </c>
      <c r="F14" s="24">
        <f>E14+F12</f>
        <v>-525576.9</v>
      </c>
      <c r="G14" s="24">
        <f>F14+G12</f>
        <v>-726078.9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 t="str">
        <f>Assumptions!D59</f>
        <v>0</v>
      </c>
    </row>
    <row r="4" spans="2:3" x14ac:dyDescent="0.25">
      <c r="B4" s="16" t="s">
        <v>108</v>
      </c>
      <c r="C4" s="22">
        <f>Assumptions!D60</f>
        <v>0.08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 t="str">
        <f>IF(Assumptions!D59&gt;0,PMT(Assumptions!D60/12,Assumptions!D61*12,-Assumptions!D59)*12,0)</f>
        <v>0</v>
      </c>
    </row>
    <row r="8" spans="2:3" x14ac:dyDescent="0.25">
      <c r="B8" s="16" t="s">
        <v>110</v>
      </c>
      <c r="C8" s="23" t="str">
        <f>'Cash Flow &amp; DSCR'!C10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</v>
      </c>
    </row>
    <row r="10" spans="2:3" x14ac:dyDescent="0.25">
      <c r="B10" s="16" t="s">
        <v>114</v>
      </c>
      <c r="C10" s="24">
        <f>'5-Year P&amp;L'!G16</f>
        <v>-200501.99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2026-03-16T21:15:53Z</dcterms:created>
  <dcterms:modified xsi:type="dcterms:W3CDTF">2026-03-16T21:15:53Z</dcterms:modified>
</cp:coreProperties>
</file>