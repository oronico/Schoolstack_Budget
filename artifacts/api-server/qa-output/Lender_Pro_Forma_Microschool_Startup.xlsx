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<sst xmlns="http://schemas.openxmlformats.org/spreadsheetml/2006/main" count="142" uniqueCount="116">
  <si>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</si>
  <si>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</si>
  <si>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</si>
  <si>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</si>
  <si>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</si>
  <si>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</si>
  <si>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</si>
  <si>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</si>
  <si>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</si>
  <si>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</si>
  <si>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</si>
  <si>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18,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</si>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</sst>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30000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>
        <f>IF(Assumptions!D59&gt;0,PMT(Assumptions!D60/12,Assumptions!D61*12,-Assumptions!D59)*12,0)</f>
        <v>6959.80855059</v>
      </c>
      <c r="D7" s="18">
        <f>IF(Assumptions!D59&gt;0,PMT(Assumptions!D60/12,Assumptions!D61*12,-Assumptions!D59)*12,0)</f>
        <v>6959.80855059</v>
      </c>
      <c r="E7" s="18">
        <f>IF(Assumptions!D59&gt;0,PMT(Assumptions!D60/12,Assumptions!D61*12,-Assumptions!D59)*12,0)</f>
        <v>6959.80855059</v>
      </c>
      <c r="F7" s="18">
        <f>IF(Assumptions!D59&gt;0,PMT(Assumptions!D60/12,Assumptions!D61*12,-Assumptions!D59)*12,0)</f>
        <v>6959.80855059</v>
      </c>
      <c r="G7" s="18">
        <f>IF(Assumptions!D59&gt;0,PMT(Assumptions!D60/12,Assumptions!D61*12,-Assumptions!D59)*12,0)</f>
        <v>6959.80855059</v>
      </c>
    </row>
    <row r="8" spans="2:7" x14ac:dyDescent="0.25">
      <c r="B8" s="19" t="s">
        <v>98</v>
      </c>
      <c r="C8" s="20">
        <f>C6+C7</f>
        <v>6959.80855059</v>
      </c>
      <c r="D8" s="20">
        <f>D6+D7</f>
        <v>6959.80855059</v>
      </c>
      <c r="E8" s="20">
        <f>E6+E7</f>
        <v>6959.80855059</v>
      </c>
      <c r="F8" s="20">
        <f>F6+F7</f>
        <v>6959.80855059</v>
      </c>
      <c r="G8" s="20">
        <f>G6+G7</f>
        <v>6959.80855059</v>
      </c>
    </row>
    <row r="10" spans="2:7" x14ac:dyDescent="0.25">
      <c r="B10" s="19" t="s">
        <v>99</v>
      </c>
      <c r="C10" s="23">
        <f>IF(C8&gt;0,C4/C8,IF(C4&gt;0,99.9,0))</f>
        <v>-16.26481521</v>
      </c>
      <c r="D10" s="23">
        <f>IF(D8&gt;0,D4/D8,IF(D4&gt;0,99.9,0))</f>
        <v>-18.41142599</v>
      </c>
      <c r="E10" s="23">
        <f>IF(E8&gt;0,E4/E8,IF(E4&gt;0,99.9,0))</f>
        <v>-16.77431246</v>
      </c>
      <c r="F10" s="23">
        <f>IF(F8&gt;0,F4/F8,IF(F4&gt;0,99.9,0))</f>
        <v>-24.06544623</v>
      </c>
      <c r="G10" s="23">
        <f>IF(G8&gt;0,G4/G8,IF(G4&gt;0,99.9,0))</f>
        <v>-28.80855028</v>
      </c>
    </row>
    <row r="12" spans="2:7" x14ac:dyDescent="0.25">
      <c r="B12" s="16" t="s">
        <v>100</v>
      </c>
      <c r="C12" s="18">
        <f>C4-C8</f>
        <v>-120159.80855059</v>
      </c>
      <c r="D12" s="18">
        <f>D4-D8</f>
        <v>-135099.80855059</v>
      </c>
      <c r="E12" s="18">
        <f>E4-E8</f>
        <v>-123705.81182332</v>
      </c>
      <c r="F12" s="18">
        <f>F4-F8</f>
        <v>-174450.70700751</v>
      </c>
      <c r="G12" s="18">
        <f>G4-G8</f>
        <v>-207461.80311556</v>
      </c>
    </row>
    <row r="14" spans="2:7" x14ac:dyDescent="0.25">
      <c r="B14" s="19" t="s">
        <v>101</v>
      </c>
      <c r="C14" s="24">
        <f>Assumptions!D57+C12</f>
        <v>-120159.80855059</v>
      </c>
      <c r="D14" s="24">
        <f>C14+D12</f>
        <v>-255259.61710119</v>
      </c>
      <c r="E14" s="24">
        <f>D14+E12</f>
        <v>-378965.42892451</v>
      </c>
      <c r="F14" s="24">
        <f>E14+F12</f>
        <v>-553416.13593202</v>
      </c>
      <c r="G14" s="24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30000</v>
      </c>
    </row>
    <row r="4" spans="2:3" x14ac:dyDescent="0.25">
      <c r="B4" s="16" t="s">
        <v>108</v>
      </c>
      <c r="C4" s="22">
        <f>Assumptions!D60</f>
        <v>0.06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>
        <f>IF(Assumptions!D59&gt;0,PMT(Assumptions!D60/12,Assumptions!D61*12,-Assumptions!D59)*12,0)</f>
        <v>6959.80855059</v>
      </c>
    </row>
    <row r="8" spans="2:3" x14ac:dyDescent="0.25">
      <c r="B8" s="16" t="s">
        <v>110</v>
      </c>
      <c r="C8" s="23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2026-03-18T04:48:13Z</dcterms:created>
  <dcterms:modified xsi:type="dcterms:W3CDTF">2026-03-18T04:48:13Z</dcterms:modified>
</cp:coreProperties>
</file>