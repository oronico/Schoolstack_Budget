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<sst xmlns="http://schemas.openxmlformats.org/spreadsheetml/2006/main" count="142" uniqueCount="116">
  <si>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</si>
  <si>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</si>
  <si>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Bright Horizons Microschool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</si>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</sst>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</v>
      </c>
    </row>
    <row r="13" spans="3:4" x14ac:dyDescent="0.25">
      <c r="C13" s="9" t="s">
        <v>23</v>
      </c>
      <c r="D13" s="11">
        <v>18</v>
      </c>
    </row>
    <row r="14" spans="3:4" x14ac:dyDescent="0.25">
      <c r="C14" s="9" t="s">
        <v>24</v>
      </c>
      <c r="D14" s="11">
        <v>22</v>
      </c>
    </row>
    <row r="15" spans="3:4" x14ac:dyDescent="0.25">
      <c r="C15" s="9" t="s">
        <v>25</v>
      </c>
      <c r="D15" s="11">
        <v>25</v>
      </c>
    </row>
    <row r="16" spans="3:4" x14ac:dyDescent="0.25">
      <c r="C16" s="9" t="s">
        <v>26</v>
      </c>
      <c r="D16" s="11">
        <v>25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7000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0</v>
      </c>
    </row>
    <row r="25" spans="3:4" x14ac:dyDescent="0.25">
      <c r="C25" s="9" t="s">
        <v>33</v>
      </c>
      <c r="D25" s="13">
        <v>0.02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8</v>
      </c>
    </row>
    <row r="33" spans="3:4" x14ac:dyDescent="0.25">
      <c r="C33" s="9" t="s">
        <v>39</v>
      </c>
      <c r="D33" s="12">
        <v>36500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1</v>
      </c>
    </row>
    <row r="36" spans="3:4" x14ac:dyDescent="0.25">
      <c r="C36" s="9" t="s">
        <v>42</v>
      </c>
      <c r="D36" s="11">
        <v>1</v>
      </c>
    </row>
    <row r="37" spans="3:4" x14ac:dyDescent="0.25">
      <c r="C37" s="9" t="s">
        <v>43</v>
      </c>
      <c r="D37" s="11">
        <v>1</v>
      </c>
    </row>
    <row r="38" spans="3:4" x14ac:dyDescent="0.25">
      <c r="C38" s="9" t="s">
        <v>44</v>
      </c>
      <c r="D38" s="11">
        <v>1</v>
      </c>
    </row>
    <row r="39" spans="3:4" x14ac:dyDescent="0.25">
      <c r="C39" s="9" t="s">
        <v>45</v>
      </c>
      <c r="D39" s="11">
        <v>1</v>
      </c>
    </row>
    <row r="40" spans="3:4" x14ac:dyDescent="0.25">
      <c r="C40" s="9" t="s">
        <v>46</v>
      </c>
      <c r="D40" s="12">
        <v>55000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30000</v>
      </c>
    </row>
    <row r="47" spans="3:4" x14ac:dyDescent="0.25">
      <c r="C47" s="9" t="s">
        <v>51</v>
      </c>
      <c r="D47" s="13">
        <v>0.029333333333333333</v>
      </c>
    </row>
    <row r="48" spans="3:4" x14ac:dyDescent="0.25">
      <c r="C48" s="9" t="s">
        <v>52</v>
      </c>
      <c r="D48" s="12">
        <v>6000</v>
      </c>
    </row>
    <row r="49" spans="3:4" x14ac:dyDescent="0.25">
      <c r="C49" s="9" t="s">
        <v>53</v>
      </c>
      <c r="D49" s="13">
        <v>0.029333333333333333</v>
      </c>
    </row>
    <row r="50" spans="3:4" x14ac:dyDescent="0.25">
      <c r="C50" s="9" t="s">
        <v>54</v>
      </c>
      <c r="D50" s="12">
        <v>500</v>
      </c>
    </row>
    <row r="51" spans="3:4" x14ac:dyDescent="0.25">
      <c r="C51" s="9" t="s">
        <v>55</v>
      </c>
      <c r="D51" s="13">
        <v>0.545</v>
      </c>
    </row>
    <row r="52" spans="3:4" x14ac:dyDescent="0.25">
      <c r="C52" s="9" t="s">
        <v>56</v>
      </c>
      <c r="D52" s="12">
        <v>6600</v>
      </c>
    </row>
    <row r="53" spans="3:4" x14ac:dyDescent="0.25">
      <c r="C53" s="9" t="s">
        <v>57</v>
      </c>
      <c r="D53" s="13">
        <v>0.30863636363636365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0</v>
      </c>
    </row>
    <row r="59" spans="3:4" x14ac:dyDescent="0.25">
      <c r="C59" s="9" t="s">
        <v>61</v>
      </c>
      <c r="D59" s="12">
        <v>0</v>
      </c>
    </row>
    <row r="60" spans="3:4" x14ac:dyDescent="0.25">
      <c r="C60" s="9" t="s">
        <v>62</v>
      </c>
      <c r="D60" s="13">
        <v>0.08</v>
      </c>
    </row>
    <row r="61" spans="3:4" x14ac:dyDescent="0.25">
      <c r="C61" s="9" t="s">
        <v>63</v>
      </c>
      <c r="D61" s="11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</v>
      </c>
      <c r="D4" s="17">
        <f>Assumptions!D13</f>
        <v>18</v>
      </c>
      <c r="E4" s="17">
        <f>Assumptions!D14</f>
        <v>22</v>
      </c>
      <c r="F4" s="17">
        <f>Assumptions!D15</f>
        <v>25</v>
      </c>
      <c r="G4" s="17">
        <f>Assumptions!D16</f>
        <v>25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84000</v>
      </c>
      <c r="D7" s="18">
        <f>Assumptions!D13*Assumptions!D22*(1+Assumptions!D23)^1</f>
        <v>129780</v>
      </c>
      <c r="E7" s="18">
        <f>Assumptions!D14*Assumptions!D22*(1+Assumptions!D23)^2</f>
        <v>163378.6</v>
      </c>
      <c r="F7" s="18">
        <f>Assumptions!D15*Assumptions!D22*(1+Assumptions!D23)^3</f>
        <v>191227.225</v>
      </c>
      <c r="G7" s="18">
        <f>Assumptions!D16*Assumptions!D22*(1+Assumptions!D23)^4</f>
        <v>196964.04175</v>
      </c>
    </row>
    <row r="8" spans="2:7" x14ac:dyDescent="0.25">
      <c r="B8" s="16" t="s">
        <v>74</v>
      </c>
      <c r="C8" s="18" t="str">
        <f>Assumptions!D12*Assumptions!D24</f>
        <v>0</v>
      </c>
      <c r="D8" s="18" t="str">
        <f>Assumptions!D13*Assumptions!D24*(1+Assumptions!D25)^1</f>
        <v>0</v>
      </c>
      <c r="E8" s="18" t="str">
        <f>Assumptions!D14*Assumptions!D24*(1+Assumptions!D25)^2</f>
        <v>0</v>
      </c>
      <c r="F8" s="18" t="str">
        <f>Assumptions!D15*Assumptions!D24*(1+Assumptions!D25)^3</f>
        <v>0</v>
      </c>
      <c r="G8" s="18" t="str">
        <f>Assumptions!D16*Assumptions!D24*(1+Assumptions!D25)^4</f>
        <v>0</v>
      </c>
    </row>
    <row r="9" spans="2:7" x14ac:dyDescent="0.25">
      <c r="B9" s="16" t="s">
        <v>75</v>
      </c>
      <c r="C9" s="18">
        <f>Assumptions!D27</f>
        <v>5000</v>
      </c>
      <c r="D9" s="18">
        <f>Assumptions!D27*(1+Assumptions!D28)^1</f>
        <v>5000</v>
      </c>
      <c r="E9" s="18">
        <f>Assumptions!D27*(1+Assumptions!D28)^2</f>
        <v>5000</v>
      </c>
      <c r="F9" s="18">
        <f>Assumptions!D27*(1+Assumptions!D28)^3</f>
        <v>5000</v>
      </c>
      <c r="G9" s="18">
        <f>Assumptions!D27*(1+Assumptions!D28)^4</f>
        <v>5000</v>
      </c>
    </row>
    <row r="10" spans="2:7" x14ac:dyDescent="0.25">
      <c r="B10" s="19" t="s">
        <v>76</v>
      </c>
      <c r="C10" s="20">
        <f>C6+C7+C8+C9</f>
        <v>89000</v>
      </c>
      <c r="D10" s="20">
        <f>D6+D7+D8+D9</f>
        <v>134780</v>
      </c>
      <c r="E10" s="20">
        <f>E6+E7+E8+E9</f>
        <v>168378.6</v>
      </c>
      <c r="F10" s="20">
        <f>F6+F7+F8+F9</f>
        <v>196227.225</v>
      </c>
      <c r="G10" s="20">
        <f>G6+G7+G8+G9</f>
        <v>201964.04175</v>
      </c>
    </row>
    <row r="12" spans="2:7" x14ac:dyDescent="0.25">
      <c r="B12" s="16" t="s">
        <v>77</v>
      </c>
      <c r="C12" s="17">
        <f>CEILING(Assumptions!D12/Assumptions!D32,1)</f>
        <v>2</v>
      </c>
      <c r="D12" s="17">
        <f>CEILING(Assumptions!D13/Assumptions!D32,1)</f>
        <v>3</v>
      </c>
      <c r="E12" s="17">
        <f>CEILING(Assumptions!D14/Assumptions!D32,1)</f>
        <v>3</v>
      </c>
      <c r="F12" s="17">
        <f>CEILING(Assumptions!D15/Assumptions!D32,1)</f>
        <v>4</v>
      </c>
      <c r="G12" s="17">
        <f>CEILING(Assumptions!D16/Assumptions!D32,1)</f>
        <v>4</v>
      </c>
    </row>
    <row r="13" spans="2:7" x14ac:dyDescent="0.25">
      <c r="B13" s="16" t="s">
        <v>78</v>
      </c>
      <c r="C13" s="18">
        <f>C12*Assumptions!D33</f>
        <v>73000</v>
      </c>
      <c r="D13" s="18">
        <f>D12*Assumptions!D33*(1+Assumptions!D34)^1</f>
        <v>112785</v>
      </c>
      <c r="E13" s="18">
        <f>E12*Assumptions!D33*(1+Assumptions!D34)^2</f>
        <v>116168.55</v>
      </c>
      <c r="F13" s="18">
        <f>F12*Assumptions!D33*(1+Assumptions!D34)^3</f>
        <v>159538.142</v>
      </c>
      <c r="G13" s="18">
        <f>G12*Assumptions!D33*(1+Assumptions!D34)^4</f>
        <v>164324.28626</v>
      </c>
    </row>
    <row r="14" spans="2:7" x14ac:dyDescent="0.25">
      <c r="B14" s="16" t="s">
        <v>79</v>
      </c>
      <c r="C14" s="18">
        <f>Assumptions!D35*Assumptions!D40</f>
        <v>55000</v>
      </c>
      <c r="D14" s="18">
        <f>Assumptions!D36*Assumptions!D40*(1+Assumptions!D41)^1</f>
        <v>56650</v>
      </c>
      <c r="E14" s="18">
        <f>Assumptions!D37*Assumptions!D40*(1+Assumptions!D41)^2</f>
        <v>58349.5</v>
      </c>
      <c r="F14" s="18">
        <f>Assumptions!D38*Assumptions!D40*(1+Assumptions!D41)^3</f>
        <v>60099.985</v>
      </c>
      <c r="G14" s="18">
        <f>Assumptions!D39*Assumptions!D40*(1+Assumptions!D41)^4</f>
        <v>61902.98455</v>
      </c>
    </row>
    <row r="15" spans="2:7" x14ac:dyDescent="0.25">
      <c r="B15" s="16" t="s">
        <v>80</v>
      </c>
      <c r="C15" s="18">
        <f>(C13+C14)*Assumptions!D42</f>
        <v>25600</v>
      </c>
      <c r="D15" s="18">
        <f>(D13+D14)*Assumptions!D42</f>
        <v>33887</v>
      </c>
      <c r="E15" s="18">
        <f>(E13+E14)*Assumptions!D42</f>
        <v>34903.61</v>
      </c>
      <c r="F15" s="18">
        <f>(F13+F14)*Assumptions!D42</f>
        <v>43927.6254</v>
      </c>
      <c r="G15" s="18">
        <f>(G13+G14)*Assumptions!D42</f>
        <v>45245.454162</v>
      </c>
    </row>
    <row r="16" spans="2:7" x14ac:dyDescent="0.25">
      <c r="B16" s="19" t="s">
        <v>81</v>
      </c>
      <c r="C16" s="20">
        <f>C13+C14+C15</f>
        <v>153600</v>
      </c>
      <c r="D16" s="20">
        <f>D13+D14+D15</f>
        <v>203322</v>
      </c>
      <c r="E16" s="20">
        <f>E13+E14+E15</f>
        <v>209421.66</v>
      </c>
      <c r="F16" s="20">
        <f>F13+F14+F15</f>
        <v>263565.7524</v>
      </c>
      <c r="G16" s="20">
        <f>G13+G14+G15</f>
        <v>271472.724972</v>
      </c>
    </row>
    <row r="18" spans="2:7" x14ac:dyDescent="0.25">
      <c r="B18" s="16" t="s">
        <v>82</v>
      </c>
      <c r="C18" s="18">
        <f>Assumptions!D46</f>
        <v>30000</v>
      </c>
      <c r="D18" s="18">
        <f>Assumptions!D46*(1+Assumptions!D47)^1</f>
        <v>30880</v>
      </c>
      <c r="E18" s="18">
        <f>Assumptions!D46*(1+Assumptions!D47)^2</f>
        <v>31785.81333333</v>
      </c>
      <c r="F18" s="18">
        <f>Assumptions!D46*(1+Assumptions!D47)^3</f>
        <v>32718.19719111</v>
      </c>
      <c r="G18" s="18">
        <f>Assumptions!D46*(1+Assumptions!D47)^4</f>
        <v>33677.93097538</v>
      </c>
    </row>
    <row r="19" spans="2:7" x14ac:dyDescent="0.25">
      <c r="B19" s="16" t="s">
        <v>83</v>
      </c>
      <c r="C19" s="18">
        <f>Assumptions!D48</f>
        <v>6000</v>
      </c>
      <c r="D19" s="18">
        <f>Assumptions!D48*(1+Assumptions!D49)^1</f>
        <v>6176</v>
      </c>
      <c r="E19" s="18">
        <f>Assumptions!D48*(1+Assumptions!D49)^2</f>
        <v>6357.16266667</v>
      </c>
      <c r="F19" s="18">
        <f>Assumptions!D48*(1+Assumptions!D49)^3</f>
        <v>6543.63943822</v>
      </c>
      <c r="G19" s="18">
        <f>Assumptions!D48*(1+Assumptions!D49)^4</f>
        <v>6735.58619508</v>
      </c>
    </row>
    <row r="20" spans="2:7" x14ac:dyDescent="0.25">
      <c r="B20" s="16" t="s">
        <v>84</v>
      </c>
      <c r="C20" s="18">
        <f>Assumptions!D12*Assumptions!D50</f>
        <v>6000</v>
      </c>
      <c r="D20" s="18">
        <f>Assumptions!D13*Assumptions!D50*(1+Assumptions!D51)^1</f>
        <v>13905</v>
      </c>
      <c r="E20" s="18">
        <f>Assumptions!D14*Assumptions!D50*(1+Assumptions!D51)^2</f>
        <v>26257.275</v>
      </c>
      <c r="F20" s="18">
        <f>Assumptions!D15*Assumptions!D50*(1+Assumptions!D51)^3</f>
        <v>46099.4203125</v>
      </c>
      <c r="G20" s="18">
        <f>Assumptions!D16*Assumptions!D50*(1+Assumptions!D51)^4</f>
        <v>71223.60438281</v>
      </c>
    </row>
    <row r="21" spans="2:7" x14ac:dyDescent="0.25">
      <c r="B21" s="16" t="s">
        <v>85</v>
      </c>
      <c r="C21" s="18">
        <f>Assumptions!D52</f>
        <v>6600</v>
      </c>
      <c r="D21" s="18">
        <f>Assumptions!D52*(1+Assumptions!D53)^1</f>
        <v>8637</v>
      </c>
      <c r="E21" s="18">
        <f>Assumptions!D52*(1+Assumptions!D53)^2</f>
        <v>11302.69227273</v>
      </c>
      <c r="F21" s="18">
        <f>Assumptions!D52*(1+Assumptions!D53)^3</f>
        <v>14791.11411508</v>
      </c>
      <c r="G21" s="18">
        <f>Assumptions!D52*(1+Assumptions!D53)^4</f>
        <v>19356.18978969</v>
      </c>
    </row>
    <row r="22" spans="2:7" x14ac:dyDescent="0.25">
      <c r="B22" s="19" t="s">
        <v>86</v>
      </c>
      <c r="C22" s="20">
        <f>C18+C19+C20+C21</f>
        <v>48600</v>
      </c>
      <c r="D22" s="20">
        <f>D18+D19+D20+D21</f>
        <v>59598</v>
      </c>
      <c r="E22" s="20">
        <f>E18+E19+E20+E21</f>
        <v>75702.94327273</v>
      </c>
      <c r="F22" s="20">
        <f>F18+F19+F20+F21</f>
        <v>100152.37105692</v>
      </c>
      <c r="G22" s="20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</v>
      </c>
      <c r="D5" s="17">
        <f>Drivers!D4</f>
        <v>18</v>
      </c>
      <c r="E5" s="17">
        <f>Drivers!E4</f>
        <v>22</v>
      </c>
      <c r="F5" s="17">
        <f>Drivers!F4</f>
        <v>25</v>
      </c>
      <c r="G5" s="17">
        <f>Drivers!G4</f>
        <v>25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84000</v>
      </c>
      <c r="D7" s="18">
        <f>Drivers!D7</f>
        <v>129780</v>
      </c>
      <c r="E7" s="18">
        <f>Drivers!E7</f>
        <v>163378.6</v>
      </c>
      <c r="F7" s="18">
        <f>Drivers!F7</f>
        <v>191227.225</v>
      </c>
      <c r="G7" s="18">
        <f>Drivers!G7</f>
        <v>196964.04175</v>
      </c>
    </row>
    <row r="8" spans="2:7" x14ac:dyDescent="0.25">
      <c r="B8" s="16" t="s">
        <v>89</v>
      </c>
      <c r="C8" s="18" t="str">
        <f>Drivers!C8</f>
        <v>0</v>
      </c>
      <c r="D8" s="18" t="str">
        <f>Drivers!D8</f>
        <v>0</v>
      </c>
      <c r="E8" s="18" t="str">
        <f>Drivers!E8</f>
        <v>0</v>
      </c>
      <c r="F8" s="18" t="str">
        <f>Drivers!F8</f>
        <v>0</v>
      </c>
      <c r="G8" s="18" t="str">
        <f>Drivers!G8</f>
        <v>0</v>
      </c>
    </row>
    <row r="9" spans="2:7" x14ac:dyDescent="0.25">
      <c r="B9" s="16" t="s">
        <v>75</v>
      </c>
      <c r="C9" s="18">
        <f>Drivers!C9</f>
        <v>5000</v>
      </c>
      <c r="D9" s="18">
        <f>Drivers!D9</f>
        <v>5000</v>
      </c>
      <c r="E9" s="18">
        <f>Drivers!E9</f>
        <v>5000</v>
      </c>
      <c r="F9" s="18">
        <f>Drivers!F9</f>
        <v>5000</v>
      </c>
      <c r="G9" s="18">
        <f>Drivers!G9</f>
        <v>5000</v>
      </c>
    </row>
    <row r="10" spans="2:7" x14ac:dyDescent="0.25">
      <c r="B10" s="19" t="s">
        <v>76</v>
      </c>
      <c r="C10" s="20">
        <f>Drivers!C10</f>
        <v>89000</v>
      </c>
      <c r="D10" s="20">
        <f>Drivers!D10</f>
        <v>134780</v>
      </c>
      <c r="E10" s="20">
        <f>Drivers!E10</f>
        <v>168378.6</v>
      </c>
      <c r="F10" s="20">
        <f>Drivers!F10</f>
        <v>196227.225</v>
      </c>
      <c r="G10" s="20">
        <f>Drivers!G10</f>
        <v>201964.04175</v>
      </c>
    </row>
    <row r="12" spans="2:7" x14ac:dyDescent="0.25">
      <c r="B12" s="16" t="s">
        <v>90</v>
      </c>
      <c r="C12" s="18">
        <f>Drivers!C16</f>
        <v>153600</v>
      </c>
      <c r="D12" s="18">
        <f>Drivers!D16</f>
        <v>203322</v>
      </c>
      <c r="E12" s="18">
        <f>Drivers!E16</f>
        <v>209421.66</v>
      </c>
      <c r="F12" s="18">
        <f>Drivers!F16</f>
        <v>263565.7524</v>
      </c>
      <c r="G12" s="18">
        <f>Drivers!G16</f>
        <v>271472.724972</v>
      </c>
    </row>
    <row r="13" spans="2:7" x14ac:dyDescent="0.25">
      <c r="B13" s="16" t="s">
        <v>86</v>
      </c>
      <c r="C13" s="18">
        <f>Drivers!C22</f>
        <v>48600</v>
      </c>
      <c r="D13" s="18">
        <f>Drivers!D22</f>
        <v>59598</v>
      </c>
      <c r="E13" s="18">
        <f>Drivers!E22</f>
        <v>75702.94327273</v>
      </c>
      <c r="F13" s="18">
        <f>Drivers!F22</f>
        <v>100152.37105692</v>
      </c>
      <c r="G13" s="18">
        <f>Drivers!G22</f>
        <v>130993.31134297</v>
      </c>
    </row>
    <row r="15" spans="2:7" x14ac:dyDescent="0.25">
      <c r="B15" s="19" t="s">
        <v>91</v>
      </c>
      <c r="C15" s="20">
        <f>C12+C13</f>
        <v>202200</v>
      </c>
      <c r="D15" s="20">
        <f>D12+D13</f>
        <v>262920</v>
      </c>
      <c r="E15" s="20">
        <f>E12+E13</f>
        <v>285124.60327273</v>
      </c>
      <c r="F15" s="20">
        <f>F12+F13</f>
        <v>363718.12345692</v>
      </c>
      <c r="G15" s="20">
        <f>G12+G13</f>
        <v>402466.03631497</v>
      </c>
    </row>
    <row r="16" spans="2:7" x14ac:dyDescent="0.25">
      <c r="B16" s="19" t="s">
        <v>92</v>
      </c>
      <c r="C16" s="21">
        <f>C10-C15</f>
        <v>-113200</v>
      </c>
      <c r="D16" s="21">
        <f>D10-D15</f>
        <v>-128140</v>
      </c>
      <c r="E16" s="21">
        <f>E10-E15</f>
        <v>-116746.00327273</v>
      </c>
      <c r="F16" s="21">
        <f>F10-F15</f>
        <v>-167490.89845692</v>
      </c>
      <c r="G16" s="21">
        <f>G10-G15</f>
        <v>-200501.99456497</v>
      </c>
    </row>
    <row r="17" spans="2:7" x14ac:dyDescent="0.25">
      <c r="B17" s="16" t="s">
        <v>93</v>
      </c>
      <c r="C17" s="22">
        <f>IF(C10&gt;0,C16/C10,0)</f>
        <v>-1.27191011</v>
      </c>
      <c r="D17" s="22">
        <f>IF(D10&gt;0,D16/D10,0)</f>
        <v>-0.95073453</v>
      </c>
      <c r="E17" s="22">
        <f>IF(E10&gt;0,E16/E10,0)</f>
        <v>-0.69335416</v>
      </c>
      <c r="F17" s="22">
        <f>IF(F10&gt;0,F16/F10,0)</f>
        <v>-0.85355586</v>
      </c>
      <c r="G17" s="22">
        <f>IF(G10&gt;0,G16/G10,0)</f>
        <v>-0.99276085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-113200</v>
      </c>
      <c r="D4" s="18">
        <f>'5-Year P&amp;L'!D16</f>
        <v>-128140</v>
      </c>
      <c r="E4" s="18">
        <f>'5-Year P&amp;L'!E16</f>
        <v>-116746.00327273</v>
      </c>
      <c r="F4" s="18">
        <f>'5-Year P&amp;L'!F16</f>
        <v>-167490.89845692</v>
      </c>
      <c r="G4" s="18">
        <f>'5-Year P&amp;L'!G16</f>
        <v>-200501.99456497</v>
      </c>
    </row>
    <row r="6" spans="2:7" x14ac:dyDescent="0.25">
      <c r="B6" s="16" t="s">
        <v>96</v>
      </c>
      <c r="C6" s="18" t="str">
        <f>Assumptions!D58</f>
        <v>0</v>
      </c>
      <c r="D6" s="18" t="str">
        <f>Assumptions!D58</f>
        <v>0</v>
      </c>
      <c r="E6" s="18" t="str">
        <f>Assumptions!D58</f>
        <v>0</v>
      </c>
      <c r="F6" s="18" t="str">
        <f>Assumptions!D58</f>
        <v>0</v>
      </c>
      <c r="G6" s="18" t="str">
        <f>Assumptions!D58</f>
        <v>0</v>
      </c>
    </row>
    <row r="7" spans="2:7" x14ac:dyDescent="0.25">
      <c r="B7" s="16" t="s">
        <v>97</v>
      </c>
      <c r="C7" s="18" t="str">
        <f>IF(Assumptions!D59&gt;0,PMT(Assumptions!D60/12,Assumptions!D61*12,-Assumptions!D59)*12,0)</f>
        <v>0</v>
      </c>
      <c r="D7" s="18" t="str">
        <f>IF(Assumptions!D59&gt;0,PMT(Assumptions!D60/12,Assumptions!D61*12,-Assumptions!D59)*12,0)</f>
        <v>0</v>
      </c>
      <c r="E7" s="18" t="str">
        <f>IF(Assumptions!D59&gt;0,PMT(Assumptions!D60/12,Assumptions!D61*12,-Assumptions!D59)*12,0)</f>
        <v>0</v>
      </c>
      <c r="F7" s="18" t="str">
        <f>IF(Assumptions!D59&gt;0,PMT(Assumptions!D60/12,Assumptions!D61*12,-Assumptions!D59)*12,0)</f>
        <v>0</v>
      </c>
      <c r="G7" s="18" t="str">
        <f>IF(Assumptions!D59&gt;0,PMT(Assumptions!D60/12,Assumptions!D61*12,-Assumptions!D59)*12,0)</f>
        <v>0</v>
      </c>
    </row>
    <row r="8" spans="2:7" x14ac:dyDescent="0.25">
      <c r="B8" s="19" t="s">
        <v>98</v>
      </c>
      <c r="C8" s="20" t="str">
        <f>C6+C7</f>
        <v>0</v>
      </c>
      <c r="D8" s="20" t="str">
        <f>D6+D7</f>
        <v>0</v>
      </c>
      <c r="E8" s="20" t="str">
        <f>E6+E7</f>
        <v>0</v>
      </c>
      <c r="F8" s="20" t="str">
        <f>F6+F7</f>
        <v>0</v>
      </c>
      <c r="G8" s="20" t="str">
        <f>G6+G7</f>
        <v>0</v>
      </c>
    </row>
    <row r="10" spans="2:7" x14ac:dyDescent="0.25">
      <c r="B10" s="19" t="s">
        <v>99</v>
      </c>
      <c r="C10" s="23" t="str">
        <f>IF(C8&gt;0,C4/C8,IF(C4&gt;0,99.9,0))</f>
        <v>0</v>
      </c>
      <c r="D10" s="23" t="str">
        <f>IF(D8&gt;0,D4/D8,IF(D4&gt;0,99.9,0))</f>
        <v>0</v>
      </c>
      <c r="E10" s="23" t="str">
        <f>IF(E8&gt;0,E4/E8,IF(E4&gt;0,99.9,0))</f>
        <v>0</v>
      </c>
      <c r="F10" s="23" t="str">
        <f>IF(F8&gt;0,F4/F8,IF(F4&gt;0,99.9,0))</f>
        <v>0</v>
      </c>
      <c r="G10" s="23" t="str">
        <f>IF(G8&gt;0,G4/G8,IF(G4&gt;0,99.9,0))</f>
        <v>0</v>
      </c>
    </row>
    <row r="12" spans="2:7" x14ac:dyDescent="0.25">
      <c r="B12" s="16" t="s">
        <v>100</v>
      </c>
      <c r="C12" s="18">
        <f>C4-C8</f>
        <v>-113200</v>
      </c>
      <c r="D12" s="18">
        <f>D4-D8</f>
        <v>-128140</v>
      </c>
      <c r="E12" s="18">
        <f>E4-E8</f>
        <v>-116746.00327273</v>
      </c>
      <c r="F12" s="18">
        <f>F4-F8</f>
        <v>-167490.89845692</v>
      </c>
      <c r="G12" s="18">
        <f>G4-G8</f>
        <v>-200501.99456497</v>
      </c>
    </row>
    <row r="14" spans="2:7" x14ac:dyDescent="0.25">
      <c r="B14" s="19" t="s">
        <v>101</v>
      </c>
      <c r="C14" s="24">
        <f>Assumptions!D57+C12</f>
        <v>-113200</v>
      </c>
      <c r="D14" s="24">
        <f>C14+D12</f>
        <v>-241340</v>
      </c>
      <c r="E14" s="24">
        <f>D14+E12</f>
        <v>-358086.00327273</v>
      </c>
      <c r="F14" s="24">
        <f>E14+F12</f>
        <v>-525576.90172964</v>
      </c>
      <c r="G14" s="24">
        <f>F14+G12</f>
        <v>-726078.89629461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2</v>
      </c>
      <c r="D4" s="17">
        <f>Drivers!D12</f>
        <v>3</v>
      </c>
      <c r="E4" s="17">
        <f>Drivers!E12</f>
        <v>3</v>
      </c>
      <c r="F4" s="17">
        <f>Drivers!F12</f>
        <v>4</v>
      </c>
      <c r="G4" s="17">
        <f>Drivers!G12</f>
        <v>4</v>
      </c>
    </row>
    <row r="5" spans="2:7" x14ac:dyDescent="0.25">
      <c r="B5" s="16" t="s">
        <v>104</v>
      </c>
      <c r="C5" s="17">
        <f>Assumptions!D35</f>
        <v>1</v>
      </c>
      <c r="D5" s="17">
        <f>Assumptions!D36</f>
        <v>1</v>
      </c>
      <c r="E5" s="17">
        <f>Assumptions!D37</f>
        <v>1</v>
      </c>
      <c r="F5" s="17">
        <f>Assumptions!D38</f>
        <v>1</v>
      </c>
      <c r="G5" s="17">
        <f>Assumptions!D39</f>
        <v>1</v>
      </c>
    </row>
    <row r="6" spans="2:7" x14ac:dyDescent="0.25">
      <c r="B6" s="19" t="s">
        <v>105</v>
      </c>
      <c r="C6" s="25">
        <f>C4+C5</f>
        <v>3</v>
      </c>
      <c r="D6" s="25">
        <f>D4+D5</f>
        <v>4</v>
      </c>
      <c r="E6" s="25">
        <f>E4+E5</f>
        <v>4</v>
      </c>
      <c r="F6" s="25">
        <f>F4+F5</f>
        <v>5</v>
      </c>
      <c r="G6" s="2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 t="str">
        <f>Assumptions!D59</f>
        <v>0</v>
      </c>
    </row>
    <row r="4" spans="2:3" x14ac:dyDescent="0.25">
      <c r="B4" s="16" t="s">
        <v>108</v>
      </c>
      <c r="C4" s="22">
        <f>Assumptions!D60</f>
        <v>0.08</v>
      </c>
    </row>
    <row r="5" spans="2:3" x14ac:dyDescent="0.25">
      <c r="B5" s="16" t="s">
        <v>63</v>
      </c>
      <c r="C5" s="17">
        <f>Assumptions!D61</f>
        <v>5</v>
      </c>
    </row>
    <row r="6" spans="2:3" x14ac:dyDescent="0.25">
      <c r="B6" s="16" t="s">
        <v>109</v>
      </c>
      <c r="C6" s="26" t="str">
        <f>IF(Assumptions!D59&gt;0,PMT(Assumptions!D60/12,Assumptions!D61*12,-Assumptions!D59)*12,0)</f>
        <v>0</v>
      </c>
    </row>
    <row r="8" spans="2:3" x14ac:dyDescent="0.25">
      <c r="B8" s="16" t="s">
        <v>110</v>
      </c>
      <c r="C8" s="23" t="str">
        <f>'Cash Flow &amp; DSCR'!C10</f>
        <v>0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Bright Horizons Microschool</v>
      </c>
    </row>
    <row r="4" spans="2:3" x14ac:dyDescent="0.25">
      <c r="B4" s="16" t="s">
        <v>18</v>
      </c>
      <c r="C4" s="16" t="str">
        <f>Assumptions!D7</f>
        <v>Microschool</v>
      </c>
    </row>
    <row r="5" spans="2:3" x14ac:dyDescent="0.25">
      <c r="B5" s="16" t="s">
        <v>16</v>
      </c>
      <c r="C5" s="16" t="str">
        <f>Assumptions!D6</f>
        <v>AZ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25</v>
      </c>
    </row>
    <row r="9" spans="2:3" x14ac:dyDescent="0.25">
      <c r="B9" s="16" t="s">
        <v>113</v>
      </c>
      <c r="C9" s="18">
        <f>Drivers!G10</f>
        <v>201964.04175</v>
      </c>
    </row>
    <row r="10" spans="2:3" x14ac:dyDescent="0.25">
      <c r="B10" s="16" t="s">
        <v>114</v>
      </c>
      <c r="C10" s="24">
        <f>'5-Year P&amp;L'!G16</f>
        <v>-200501.99456497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2026-03-17T20:07:25Z</dcterms:created>
  <dcterms:modified xsi:type="dcterms:W3CDTF">2026-03-17T20:07:25Z</dcterms:modified>
</cp:coreProperties>
</file>