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<sst xmlns="http://schemas.openxmlformats.org/spreadsheetml/2006/main" count="271" uniqueCount="215">
  <si>
    <t>How to Use This Workbook</t>
  </si>
  <si>
    <t>Bright Horizons Microschool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</si>
  <si>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</si>
  <si>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</si>
  <si>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</si>
  <si>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</si>
  <si>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</si>
  <si>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</si>
  <si>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</si>
  <si>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</si>
  <si>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</si>
  <si>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</si>
  <si>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</si>
  <si>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</si>
  <si>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</si>
  <si>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</si>
  <si>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</si>
  <si>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</si>
  <si>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</si>
  <si>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</si>
  <si>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</si>
  <si>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</si>
  <si>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</si>
  <si>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</si>
  <si>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</si>
  <si>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</si>
  <si>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</si>
  <si>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</si>
  <si>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</si>
  <si>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</si>
  <si>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</si>
  <si>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</si>
  <si>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</si>
  <si>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</si>
  <si>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</si>
  <si>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</si>
  <si>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</si>
  <si>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</si>
  <si>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</si>
  <si>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</si>
  <si>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</si>
  <si>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</si>
  <si>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</si>
  <si>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</si>
  <si>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</si>
  <si>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</si>
  <si>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</si>
  <si>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</si>
  <si>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</si>
  <si>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</si>
  <si>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</si>
  <si>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</si>
  <si>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</si>
  <si>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</si>
  <si>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</si>
  <si>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</si>
  <si>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</si>
  <si>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</si>
  <si>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</si>
  <si>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</si>
  <si>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</si>
  <si>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</si>
  <si>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</si>
  <si>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</si>
  <si>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</si>
  <si>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</si>
  <si>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</si>
  <si>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</si>
  <si>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</si>
  <si>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</si>
  <si>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</si>
  <si>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</si>
  <si>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</si>
  <si>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</si>
  <si>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</si>
  <si>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</si>
  <si>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</si>
  <si>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</si>
  <si>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</si>
  <si>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</si>
  <si>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</si>
  <si>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</si>
  <si>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</si>
  <si>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</si>
  <si>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</si>
  <si>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</si>
  <si>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</si>
  <si>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</si>
  <si>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</si>
  <si>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</si>
  <si>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</si>
  <si>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</si>
  <si>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</si>
  <si>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</si>
  <si>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</si>
  <si>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</si>
  <si>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</si>
  <si>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</si>
  <si>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</si>
  <si>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</si>
  <si>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</si>
  <si>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</si>
  <si>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</si>
  <si>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</si>
  <si>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</si>
  <si>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</si>
  <si>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</si>
  <si>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</si>
  <si>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</si>
  <si>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</si>
  <si>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</si>
  <si>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</si>
  <si>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</si>
  <si>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</si>
  <si>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</si>
  <si>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</si>
  <si>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</si>
  <si>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</si>
  <si>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</si>
  <si>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</si>
  <si>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</si>
  <si>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</si>
  <si>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</si>
  <si>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</si>
  <si>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</si>
  <si>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</si>
  <si>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</si>
  <si>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</si>
  <si>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</si>
  <si>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</si>
  <si>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</si>
  <si>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</si>
  <si>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</si>
  <si>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</si>
  <si>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</si>
  <si>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</si>
  <si>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</si>
  <si>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</si>
  <si>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</si>
  <si>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</si>
  <si>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</si>
  <si>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</si>
  <si>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</si>
  <si>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</si>
  <si>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</si>
  <si>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</si>
  <si>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</si>
  <si>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</si>
  <si>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</si>
  <si>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</si>
  <si>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</si>
  <si>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</si>
  <si>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</si>
  <si>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</si>
  <si>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</si>
  <si>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</si>
  <si>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</si>
  <si>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</si>
  <si>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</si>
  <si>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</si>
  <si>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</si>
  <si>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Bright Horizons Microschool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</si>
  <si>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</si>
  <si>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</si>
  <si>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</si>
  <si>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</si>
  <si>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</si>
  <si>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</si>
  <si>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</si>
  <si>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</si>
  <si>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</si>
  <si>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</si>
  <si>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</si>
  <si>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</si>
  <si>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</si>
  <si>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</si>
  <si>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</si>
  <si>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</si>
  <si>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</si>
  <si>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</si>
  <si>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</si>
  <si>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</si>
  <si>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</si>
  <si>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</si>
  <si>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</si>
  <si>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</si>
  <si>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</si>
  <si>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</si>
  <si>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</si>
  <si>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</si>
  <si>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</si>
  <si>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</si>
  <si>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</si>
  <si>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</si>
  <si>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</si>
  <si>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</si>
  <si>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</si>
  <si>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134% of revenue is above the sustainable range. There's too little left for everything else.</t>
  </si>
  <si>
    <t>Review staffing plan for phased hiring, shared roles, or adjusted ratios.</t>
  </si>
  <si>
    <t>Facility Burden</t>
  </si>
  <si>
    <t>◐ Watch closely</t>
  </si>
  <si>
    <t>Facility costs at 20% of revenue are moderate but could become a constraint as other costs grow.</t>
  </si>
  <si>
    <t>Ensure enrollment growth keeps pace with any rent increases.</t>
  </si>
  <si>
    <t>Debt Affordability</t>
  </si>
  <si>
    <t>DSCR of -28.81x means operating income does not cover debt payments. This must be resolved.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</si>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</sst>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8" borderId="5" xfId="0" applyNumberFormat="1" applyFont="1" applyFill="1" applyBorder="1" applyAlignment="1">
      <alignment horizontal="right"/>
    </xf>
    <xf numFmtId="164" fontId="16" fillId="8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</v>
      </c>
    </row>
    <row r="13" spans="3:4" x14ac:dyDescent="0.25">
      <c r="C13" s="18" t="s">
        <v>54</v>
      </c>
      <c r="D13" s="20">
        <v>18</v>
      </c>
    </row>
    <row r="14" spans="3:4" x14ac:dyDescent="0.25">
      <c r="C14" s="18" t="s">
        <v>55</v>
      </c>
      <c r="D14" s="20">
        <v>22</v>
      </c>
    </row>
    <row r="15" spans="3:4" x14ac:dyDescent="0.25">
      <c r="C15" s="18" t="s">
        <v>56</v>
      </c>
      <c r="D15" s="20">
        <v>25</v>
      </c>
    </row>
    <row r="16" spans="3:4" x14ac:dyDescent="0.25">
      <c r="C16" s="18" t="s">
        <v>57</v>
      </c>
      <c r="D16" s="20">
        <v>25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7000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0</v>
      </c>
    </row>
    <row r="25" spans="3:4" x14ac:dyDescent="0.25">
      <c r="C25" s="18" t="s">
        <v>64</v>
      </c>
      <c r="D25" s="22">
        <v>0.02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8</v>
      </c>
    </row>
    <row r="33" spans="3:4" x14ac:dyDescent="0.25">
      <c r="C33" s="18" t="s">
        <v>70</v>
      </c>
      <c r="D33" s="21">
        <v>36500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1</v>
      </c>
    </row>
    <row r="36" spans="3:4" x14ac:dyDescent="0.25">
      <c r="C36" s="18" t="s">
        <v>73</v>
      </c>
      <c r="D36" s="20">
        <v>1</v>
      </c>
    </row>
    <row r="37" spans="3:4" x14ac:dyDescent="0.25">
      <c r="C37" s="18" t="s">
        <v>74</v>
      </c>
      <c r="D37" s="20">
        <v>1</v>
      </c>
    </row>
    <row r="38" spans="3:4" x14ac:dyDescent="0.25">
      <c r="C38" s="18" t="s">
        <v>75</v>
      </c>
      <c r="D38" s="20">
        <v>1</v>
      </c>
    </row>
    <row r="39" spans="3:4" x14ac:dyDescent="0.25">
      <c r="C39" s="18" t="s">
        <v>76</v>
      </c>
      <c r="D39" s="20">
        <v>1</v>
      </c>
    </row>
    <row r="40" spans="3:4" x14ac:dyDescent="0.25">
      <c r="C40" s="18" t="s">
        <v>77</v>
      </c>
      <c r="D40" s="21">
        <v>55000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30000</v>
      </c>
    </row>
    <row r="47" spans="3:4" x14ac:dyDescent="0.25">
      <c r="C47" s="18" t="s">
        <v>82</v>
      </c>
      <c r="D47" s="22">
        <v>0.029333333333333333</v>
      </c>
    </row>
    <row r="48" spans="3:4" x14ac:dyDescent="0.25">
      <c r="C48" s="18" t="s">
        <v>83</v>
      </c>
      <c r="D48" s="21">
        <v>6000</v>
      </c>
    </row>
    <row r="49" spans="3:4" x14ac:dyDescent="0.25">
      <c r="C49" s="18" t="s">
        <v>84</v>
      </c>
      <c r="D49" s="22">
        <v>0.029333333333333333</v>
      </c>
    </row>
    <row r="50" spans="3:4" x14ac:dyDescent="0.25">
      <c r="C50" s="18" t="s">
        <v>85</v>
      </c>
      <c r="D50" s="21">
        <v>500</v>
      </c>
    </row>
    <row r="51" spans="3:4" x14ac:dyDescent="0.25">
      <c r="C51" s="18" t="s">
        <v>86</v>
      </c>
      <c r="D51" s="22">
        <v>0.545</v>
      </c>
    </row>
    <row r="52" spans="3:4" x14ac:dyDescent="0.25">
      <c r="C52" s="18" t="s">
        <v>87</v>
      </c>
      <c r="D52" s="21">
        <v>6600</v>
      </c>
    </row>
    <row r="53" spans="3:4" x14ac:dyDescent="0.25">
      <c r="C53" s="18" t="s">
        <v>88</v>
      </c>
      <c r="D53" s="22">
        <v>0.30863636363636365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0</v>
      </c>
    </row>
    <row r="59" spans="3:4" x14ac:dyDescent="0.25">
      <c r="C59" s="18" t="s">
        <v>92</v>
      </c>
      <c r="D59" s="21">
        <v>30000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</v>
      </c>
      <c r="D4" s="26">
        <f>Assumptions!D13</f>
        <v>18</v>
      </c>
      <c r="E4" s="26">
        <f>Assumptions!D14</f>
        <v>22</v>
      </c>
      <c r="F4" s="26">
        <f>Assumptions!D15</f>
        <v>25</v>
      </c>
      <c r="G4" s="26">
        <f>Assumptions!D16</f>
        <v>25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84000</v>
      </c>
      <c r="D7" s="27">
        <f>Assumptions!D13*Assumptions!D22*(1+Assumptions!D23)^1</f>
        <v>129780</v>
      </c>
      <c r="E7" s="27">
        <f>Assumptions!D14*Assumptions!D22*(1+Assumptions!D23)^2</f>
        <v>163378.6</v>
      </c>
      <c r="F7" s="27">
        <f>Assumptions!D15*Assumptions!D22*(1+Assumptions!D23)^3</f>
        <v>191227.225</v>
      </c>
      <c r="G7" s="27">
        <f>Assumptions!D16*Assumptions!D22*(1+Assumptions!D23)^4</f>
        <v>196964.04175</v>
      </c>
    </row>
    <row r="8" spans="2:7" x14ac:dyDescent="0.25">
      <c r="B8" s="25" t="s">
        <v>105</v>
      </c>
      <c r="C8" s="27" t="str">
        <f>Assumptions!D12*Assumptions!D24</f>
        <v>0</v>
      </c>
      <c r="D8" s="27" t="str">
        <f>Assumptions!D13*Assumptions!D24*(1+Assumptions!D25)^1</f>
        <v>0</v>
      </c>
      <c r="E8" s="27" t="str">
        <f>Assumptions!D14*Assumptions!D24*(1+Assumptions!D25)^2</f>
        <v>0</v>
      </c>
      <c r="F8" s="27" t="str">
        <f>Assumptions!D15*Assumptions!D24*(1+Assumptions!D25)^3</f>
        <v>0</v>
      </c>
      <c r="G8" s="27" t="str">
        <f>Assumptions!D16*Assumptions!D24*(1+Assumptions!D25)^4</f>
        <v>0</v>
      </c>
    </row>
    <row r="9" spans="2:7" x14ac:dyDescent="0.25">
      <c r="B9" s="25" t="s">
        <v>106</v>
      </c>
      <c r="C9" s="27">
        <f>Assumptions!D27</f>
        <v>5000</v>
      </c>
      <c r="D9" s="27">
        <f>Assumptions!D27*(1+Assumptions!D28)^1</f>
        <v>5000</v>
      </c>
      <c r="E9" s="27">
        <f>Assumptions!D27*(1+Assumptions!D28)^2</f>
        <v>5000</v>
      </c>
      <c r="F9" s="27">
        <f>Assumptions!D27*(1+Assumptions!D28)^3</f>
        <v>5000</v>
      </c>
      <c r="G9" s="27">
        <f>Assumptions!D27*(1+Assumptions!D28)^4</f>
        <v>5000</v>
      </c>
    </row>
    <row r="10" spans="2:7" x14ac:dyDescent="0.25">
      <c r="B10" s="28" t="s">
        <v>107</v>
      </c>
      <c r="C10" s="29">
        <f>C6+C7+C8+C9</f>
        <v>89000</v>
      </c>
      <c r="D10" s="29">
        <f>D6+D7+D8+D9</f>
        <v>134780</v>
      </c>
      <c r="E10" s="29">
        <f>E6+E7+E8+E9</f>
        <v>168378.6</v>
      </c>
      <c r="F10" s="29">
        <f>F6+F7+F8+F9</f>
        <v>196227.225</v>
      </c>
      <c r="G10" s="29">
        <f>G6+G7+G8+G9</f>
        <v>201964.04175</v>
      </c>
    </row>
    <row r="12" spans="2:7" x14ac:dyDescent="0.25">
      <c r="B12" s="25" t="s">
        <v>108</v>
      </c>
      <c r="C12" s="26">
        <f>CEILING(Assumptions!D12/Assumptions!D32,1)</f>
        <v>2</v>
      </c>
      <c r="D12" s="26">
        <f>CEILING(Assumptions!D13/Assumptions!D32,1)</f>
        <v>3</v>
      </c>
      <c r="E12" s="26">
        <f>CEILING(Assumptions!D14/Assumptions!D32,1)</f>
        <v>3</v>
      </c>
      <c r="F12" s="26">
        <f>CEILING(Assumptions!D15/Assumptions!D32,1)</f>
        <v>4</v>
      </c>
      <c r="G12" s="26">
        <f>CEILING(Assumptions!D16/Assumptions!D32,1)</f>
        <v>4</v>
      </c>
    </row>
    <row r="13" spans="2:7" x14ac:dyDescent="0.25">
      <c r="B13" s="25" t="s">
        <v>109</v>
      </c>
      <c r="C13" s="27">
        <f>C12*Assumptions!D33</f>
        <v>73000</v>
      </c>
      <c r="D13" s="27">
        <f>D12*Assumptions!D33*(1+Assumptions!D34)^1</f>
        <v>112785</v>
      </c>
      <c r="E13" s="27">
        <f>E12*Assumptions!D33*(1+Assumptions!D34)^2</f>
        <v>116168.55</v>
      </c>
      <c r="F13" s="27">
        <f>F12*Assumptions!D33*(1+Assumptions!D34)^3</f>
        <v>159538.142</v>
      </c>
      <c r="G13" s="27">
        <f>G12*Assumptions!D33*(1+Assumptions!D34)^4</f>
        <v>164324.28626</v>
      </c>
    </row>
    <row r="14" spans="2:7" x14ac:dyDescent="0.25">
      <c r="B14" s="25" t="s">
        <v>110</v>
      </c>
      <c r="C14" s="27">
        <f>Assumptions!D35*Assumptions!D40</f>
        <v>55000</v>
      </c>
      <c r="D14" s="27">
        <f>Assumptions!D36*Assumptions!D40*(1+Assumptions!D41)^1</f>
        <v>56650</v>
      </c>
      <c r="E14" s="27">
        <f>Assumptions!D37*Assumptions!D40*(1+Assumptions!D41)^2</f>
        <v>58349.5</v>
      </c>
      <c r="F14" s="27">
        <f>Assumptions!D38*Assumptions!D40*(1+Assumptions!D41)^3</f>
        <v>60099.985</v>
      </c>
      <c r="G14" s="27">
        <f>Assumptions!D39*Assumptions!D40*(1+Assumptions!D41)^4</f>
        <v>61902.98455</v>
      </c>
    </row>
    <row r="15" spans="2:7" x14ac:dyDescent="0.25">
      <c r="B15" s="25" t="s">
        <v>111</v>
      </c>
      <c r="C15" s="27">
        <f>(C13+C14)*Assumptions!D42</f>
        <v>25600</v>
      </c>
      <c r="D15" s="27">
        <f>(D13+D14)*Assumptions!D42</f>
        <v>33887</v>
      </c>
      <c r="E15" s="27">
        <f>(E13+E14)*Assumptions!D42</f>
        <v>34903.61</v>
      </c>
      <c r="F15" s="27">
        <f>(F13+F14)*Assumptions!D42</f>
        <v>43927.6254</v>
      </c>
      <c r="G15" s="27">
        <f>(G13+G14)*Assumptions!D42</f>
        <v>45245.454162</v>
      </c>
    </row>
    <row r="16" spans="2:7" x14ac:dyDescent="0.25">
      <c r="B16" s="28" t="s">
        <v>112</v>
      </c>
      <c r="C16" s="29">
        <f>C13+C14+C15</f>
        <v>153600</v>
      </c>
      <c r="D16" s="29">
        <f>D13+D14+D15</f>
        <v>203322</v>
      </c>
      <c r="E16" s="29">
        <f>E13+E14+E15</f>
        <v>209421.66</v>
      </c>
      <c r="F16" s="29">
        <f>F13+F14+F15</f>
        <v>263565.7524</v>
      </c>
      <c r="G16" s="29">
        <f>G13+G14+G15</f>
        <v>271472.724972</v>
      </c>
    </row>
    <row r="18" spans="2:7" x14ac:dyDescent="0.25">
      <c r="B18" s="25" t="s">
        <v>113</v>
      </c>
      <c r="C18" s="27">
        <f>Assumptions!D46</f>
        <v>30000</v>
      </c>
      <c r="D18" s="27">
        <f>Assumptions!D46*(1+Assumptions!D47)^1</f>
        <v>30880</v>
      </c>
      <c r="E18" s="27">
        <f>Assumptions!D46*(1+Assumptions!D47)^2</f>
        <v>31785.81333333</v>
      </c>
      <c r="F18" s="27">
        <f>Assumptions!D46*(1+Assumptions!D47)^3</f>
        <v>32718.19719111</v>
      </c>
      <c r="G18" s="27">
        <f>Assumptions!D46*(1+Assumptions!D47)^4</f>
        <v>33677.93097538</v>
      </c>
    </row>
    <row r="19" spans="2:7" x14ac:dyDescent="0.25">
      <c r="B19" s="25" t="s">
        <v>114</v>
      </c>
      <c r="C19" s="27">
        <f>Assumptions!D48</f>
        <v>6000</v>
      </c>
      <c r="D19" s="27">
        <f>Assumptions!D48*(1+Assumptions!D49)^1</f>
        <v>6176</v>
      </c>
      <c r="E19" s="27">
        <f>Assumptions!D48*(1+Assumptions!D49)^2</f>
        <v>6357.16266667</v>
      </c>
      <c r="F19" s="27">
        <f>Assumptions!D48*(1+Assumptions!D49)^3</f>
        <v>6543.63943822</v>
      </c>
      <c r="G19" s="27">
        <f>Assumptions!D48*(1+Assumptions!D49)^4</f>
        <v>6735.58619508</v>
      </c>
    </row>
    <row r="20" spans="2:7" x14ac:dyDescent="0.25">
      <c r="B20" s="25" t="s">
        <v>115</v>
      </c>
      <c r="C20" s="27">
        <f>Assumptions!D12*Assumptions!D50</f>
        <v>6000</v>
      </c>
      <c r="D20" s="27">
        <f>Assumptions!D13*Assumptions!D50*(1+Assumptions!D51)^1</f>
        <v>13905</v>
      </c>
      <c r="E20" s="27">
        <f>Assumptions!D14*Assumptions!D50*(1+Assumptions!D51)^2</f>
        <v>26257.275</v>
      </c>
      <c r="F20" s="27">
        <f>Assumptions!D15*Assumptions!D50*(1+Assumptions!D51)^3</f>
        <v>46099.4203125</v>
      </c>
      <c r="G20" s="27">
        <f>Assumptions!D16*Assumptions!D50*(1+Assumptions!D51)^4</f>
        <v>71223.60438281</v>
      </c>
    </row>
    <row r="21" spans="2:7" x14ac:dyDescent="0.25">
      <c r="B21" s="25" t="s">
        <v>116</v>
      </c>
      <c r="C21" s="27">
        <f>Assumptions!D52</f>
        <v>6600</v>
      </c>
      <c r="D21" s="27">
        <f>Assumptions!D52*(1+Assumptions!D53)^1</f>
        <v>8637</v>
      </c>
      <c r="E21" s="27">
        <f>Assumptions!D52*(1+Assumptions!D53)^2</f>
        <v>11302.69227273</v>
      </c>
      <c r="F21" s="27">
        <f>Assumptions!D52*(1+Assumptions!D53)^3</f>
        <v>14791.11411508</v>
      </c>
      <c r="G21" s="27">
        <f>Assumptions!D52*(1+Assumptions!D53)^4</f>
        <v>19356.18978969</v>
      </c>
    </row>
    <row r="22" spans="2:7" x14ac:dyDescent="0.25">
      <c r="B22" s="28" t="s">
        <v>117</v>
      </c>
      <c r="C22" s="29">
        <f>C18+C19+C20+C21</f>
        <v>48600</v>
      </c>
      <c r="D22" s="29">
        <f>D18+D19+D20+D21</f>
        <v>59598</v>
      </c>
      <c r="E22" s="29">
        <f>E18+E19+E20+E21</f>
        <v>75702.94327273</v>
      </c>
      <c r="F22" s="29">
        <f>F18+F19+F20+F21</f>
        <v>100152.37105692</v>
      </c>
      <c r="G22" s="29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</v>
      </c>
      <c r="D5" s="26">
        <f>Drivers!D4</f>
        <v>18</v>
      </c>
      <c r="E5" s="26">
        <f>Drivers!E4</f>
        <v>22</v>
      </c>
      <c r="F5" s="26">
        <f>Drivers!F4</f>
        <v>25</v>
      </c>
      <c r="G5" s="26">
        <f>Drivers!G4</f>
        <v>25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84000</v>
      </c>
      <c r="D7" s="27">
        <f>Drivers!D7</f>
        <v>129780</v>
      </c>
      <c r="E7" s="27">
        <f>Drivers!E7</f>
        <v>163378.6</v>
      </c>
      <c r="F7" s="27">
        <f>Drivers!F7</f>
        <v>191227.225</v>
      </c>
      <c r="G7" s="27">
        <f>Drivers!G7</f>
        <v>196964.04175</v>
      </c>
    </row>
    <row r="8" spans="2:7" x14ac:dyDescent="0.25">
      <c r="B8" s="25" t="s">
        <v>120</v>
      </c>
      <c r="C8" s="27" t="str">
        <f>Drivers!C8</f>
        <v>0</v>
      </c>
      <c r="D8" s="27" t="str">
        <f>Drivers!D8</f>
        <v>0</v>
      </c>
      <c r="E8" s="27" t="str">
        <f>Drivers!E8</f>
        <v>0</v>
      </c>
      <c r="F8" s="27" t="str">
        <f>Drivers!F8</f>
        <v>0</v>
      </c>
      <c r="G8" s="27" t="str">
        <f>Drivers!G8</f>
        <v>0</v>
      </c>
    </row>
    <row r="9" spans="2:7" x14ac:dyDescent="0.25">
      <c r="B9" s="25" t="s">
        <v>106</v>
      </c>
      <c r="C9" s="27">
        <f>Drivers!C9</f>
        <v>5000</v>
      </c>
      <c r="D9" s="27">
        <f>Drivers!D9</f>
        <v>5000</v>
      </c>
      <c r="E9" s="27">
        <f>Drivers!E9</f>
        <v>5000</v>
      </c>
      <c r="F9" s="27">
        <f>Drivers!F9</f>
        <v>5000</v>
      </c>
      <c r="G9" s="27">
        <f>Drivers!G9</f>
        <v>5000</v>
      </c>
    </row>
    <row r="10" spans="2:7" x14ac:dyDescent="0.25">
      <c r="B10" s="28" t="s">
        <v>107</v>
      </c>
      <c r="C10" s="29">
        <f>Drivers!C10</f>
        <v>89000</v>
      </c>
      <c r="D10" s="29">
        <f>Drivers!D10</f>
        <v>134780</v>
      </c>
      <c r="E10" s="29">
        <f>Drivers!E10</f>
        <v>168378.6</v>
      </c>
      <c r="F10" s="29">
        <f>Drivers!F10</f>
        <v>196227.225</v>
      </c>
      <c r="G10" s="29">
        <f>Drivers!G10</f>
        <v>201964.04175</v>
      </c>
    </row>
    <row r="12" spans="2:7" x14ac:dyDescent="0.25">
      <c r="B12" s="25" t="s">
        <v>121</v>
      </c>
      <c r="C12" s="27">
        <f>Drivers!C16</f>
        <v>153600</v>
      </c>
      <c r="D12" s="27">
        <f>Drivers!D16</f>
        <v>203322</v>
      </c>
      <c r="E12" s="27">
        <f>Drivers!E16</f>
        <v>209421.66</v>
      </c>
      <c r="F12" s="27">
        <f>Drivers!F16</f>
        <v>263565.7524</v>
      </c>
      <c r="G12" s="27">
        <f>Drivers!G16</f>
        <v>271472.724972</v>
      </c>
    </row>
    <row r="13" spans="2:7" x14ac:dyDescent="0.25">
      <c r="B13" s="25" t="s">
        <v>117</v>
      </c>
      <c r="C13" s="27">
        <f>Drivers!C22</f>
        <v>48600</v>
      </c>
      <c r="D13" s="27">
        <f>Drivers!D22</f>
        <v>59598</v>
      </c>
      <c r="E13" s="27">
        <f>Drivers!E22</f>
        <v>75702.94327273</v>
      </c>
      <c r="F13" s="27">
        <f>Drivers!F22</f>
        <v>100152.37105692</v>
      </c>
      <c r="G13" s="27">
        <f>Drivers!G22</f>
        <v>130993.31134297</v>
      </c>
    </row>
    <row r="15" spans="2:7" x14ac:dyDescent="0.25">
      <c r="B15" s="28" t="s">
        <v>122</v>
      </c>
      <c r="C15" s="29">
        <f>C12+C13</f>
        <v>202200</v>
      </c>
      <c r="D15" s="29">
        <f>D12+D13</f>
        <v>262920</v>
      </c>
      <c r="E15" s="29">
        <f>E12+E13</f>
        <v>285124.60327273</v>
      </c>
      <c r="F15" s="29">
        <f>F12+F13</f>
        <v>363718.12345692</v>
      </c>
      <c r="G15" s="29">
        <f>G12+G13</f>
        <v>402466.03631497</v>
      </c>
    </row>
    <row r="16" spans="2:7" x14ac:dyDescent="0.25">
      <c r="B16" s="28" t="s">
        <v>123</v>
      </c>
      <c r="C16" s="30">
        <f>C10-C15</f>
        <v>-113200</v>
      </c>
      <c r="D16" s="30">
        <f>D10-D15</f>
        <v>-128140</v>
      </c>
      <c r="E16" s="30">
        <f>E10-E15</f>
        <v>-116746.00327273</v>
      </c>
      <c r="F16" s="30">
        <f>F10-F15</f>
        <v>-167490.89845692</v>
      </c>
      <c r="G16" s="30">
        <f>G10-G15</f>
        <v>-200501.99456497</v>
      </c>
    </row>
    <row r="17" spans="2:7" x14ac:dyDescent="0.25">
      <c r="B17" s="25" t="s">
        <v>124</v>
      </c>
      <c r="C17" s="31">
        <f>IF(C10&gt;0,C16/C10,0)</f>
        <v>-1.27191011</v>
      </c>
      <c r="D17" s="31">
        <f>IF(D10&gt;0,D16/D10,0)</f>
        <v>-0.95073453</v>
      </c>
      <c r="E17" s="31">
        <f>IF(E10&gt;0,E16/E10,0)</f>
        <v>-0.69335416</v>
      </c>
      <c r="F17" s="31">
        <f>IF(F10&gt;0,F16/F10,0)</f>
        <v>-0.85355586</v>
      </c>
      <c r="G17" s="31">
        <f>IF(G10&gt;0,G16/G10,0)</f>
        <v>-0.99276085</v>
      </c>
    </row>
    <row r="19" spans="2:7" x14ac:dyDescent="0.25">
      <c r="B19" s="25" t="s">
        <v>125</v>
      </c>
      <c r="C19" s="27">
        <f>'Cash Flow &amp; DSCR'!C9</f>
        <v>6959.80855059</v>
      </c>
      <c r="D19" s="27">
        <f>'Cash Flow &amp; DSCR'!D9</f>
        <v>6959.80855059</v>
      </c>
      <c r="E19" s="27">
        <f>'Cash Flow &amp; DSCR'!E9</f>
        <v>6959.80855059</v>
      </c>
      <c r="F19" s="27">
        <f>'Cash Flow &amp; DSCR'!F9</f>
        <v>6959.80855059</v>
      </c>
      <c r="G19" s="27">
        <f>'Cash Flow &amp; DSCR'!G9</f>
        <v>6959.80855059</v>
      </c>
    </row>
    <row r="21" spans="2:7" x14ac:dyDescent="0.25">
      <c r="B21" s="28" t="s">
        <v>126</v>
      </c>
      <c r="C21" s="30">
        <f>C16-C19</f>
        <v>-120159.80855059</v>
      </c>
      <c r="D21" s="30">
        <f>D16-D19</f>
        <v>-135099.80855059</v>
      </c>
      <c r="E21" s="30">
        <f>E16-E19</f>
        <v>-123705.81182332</v>
      </c>
      <c r="F21" s="30">
        <f>F16-F19</f>
        <v>-174450.70700751</v>
      </c>
      <c r="G21" s="30">
        <f>G16-G19</f>
        <v>-207461.80311556</v>
      </c>
    </row>
    <row r="22" spans="2:7" x14ac:dyDescent="0.25">
      <c r="B22" s="25" t="s">
        <v>127</v>
      </c>
      <c r="C22" s="31">
        <f>IF(C10&gt;0,C21/C10,0)</f>
        <v>-1.35011021</v>
      </c>
      <c r="D22" s="31">
        <f>IF(D10&gt;0,D21/D10,0)</f>
        <v>-1.00237282</v>
      </c>
      <c r="E22" s="31">
        <f>IF(E10&gt;0,E21/E10,0)</f>
        <v>-0.73468845</v>
      </c>
      <c r="F22" s="31">
        <f>IF(F10&gt;0,F21/F10,0)</f>
        <v>-0.88902397</v>
      </c>
      <c r="G22" s="31">
        <f>IF(G10&gt;0,G21/G10,0)</f>
        <v>-1.02722149</v>
      </c>
    </row>
    <row r="24" spans="2:7" x14ac:dyDescent="0.25">
      <c r="B24" s="28" t="s">
        <v>128</v>
      </c>
      <c r="C24" s="32">
        <f>C21</f>
        <v>-120159.80855059</v>
      </c>
      <c r="D24" s="32">
        <f>C24+D21</f>
        <v>-255259.61710119</v>
      </c>
      <c r="E24" s="32">
        <f>D24+E21</f>
        <v>-378965.42892451</v>
      </c>
      <c r="F24" s="32">
        <f>E24+F21</f>
        <v>-553416.13593202</v>
      </c>
      <c r="G24" s="32">
        <f>F24+G21</f>
        <v>-760877.93904758</v>
      </c>
    </row>
    <row r="25" spans="2:7" x14ac:dyDescent="0.25">
      <c r="B25" s="28" t="s">
        <v>129</v>
      </c>
      <c r="C25" s="33" t="s">
        <v>7</v>
      </c>
      <c r="D25" s="33" t="s">
        <v>7</v>
      </c>
      <c r="E25" s="33" t="s">
        <v>7</v>
      </c>
      <c r="F25" s="33" t="s">
        <v>7</v>
      </c>
      <c r="G25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2" t="str">
        <f>Assumptions!D57</f>
        <v>0</v>
      </c>
      <c r="D4" s="32">
        <f>C16</f>
        <v>-120159.80855059</v>
      </c>
      <c r="E4" s="32">
        <f>D16</f>
        <v>-255259.61710119</v>
      </c>
      <c r="F4" s="32">
        <f>E16</f>
        <v>-378965.42892451</v>
      </c>
      <c r="G4" s="32">
        <f>F16</f>
        <v>-553416.13593202</v>
      </c>
    </row>
    <row r="5" spans="2:7" x14ac:dyDescent="0.25">
      <c r="B5" s="25" t="s">
        <v>132</v>
      </c>
      <c r="C5" s="27">
        <f>'5-Year P&amp;L'!C16</f>
        <v>-113200</v>
      </c>
      <c r="D5" s="27">
        <f>'5-Year P&amp;L'!D16</f>
        <v>-128140</v>
      </c>
      <c r="E5" s="27">
        <f>'5-Year P&amp;L'!E16</f>
        <v>-116746.00327273</v>
      </c>
      <c r="F5" s="27">
        <f>'5-Year P&amp;L'!F16</f>
        <v>-167490.89845692</v>
      </c>
      <c r="G5" s="27">
        <f>'5-Year P&amp;L'!G16</f>
        <v>-200501.99456497</v>
      </c>
    </row>
    <row r="7" spans="2:7" x14ac:dyDescent="0.25">
      <c r="B7" s="25" t="s">
        <v>133</v>
      </c>
      <c r="C7" s="27" t="str">
        <f>Assumptions!D58</f>
        <v>0</v>
      </c>
      <c r="D7" s="27" t="str">
        <f>Assumptions!D58</f>
        <v>0</v>
      </c>
      <c r="E7" s="27" t="str">
        <f>Assumptions!D58</f>
        <v>0</v>
      </c>
      <c r="F7" s="27" t="str">
        <f>Assumptions!D58</f>
        <v>0</v>
      </c>
      <c r="G7" s="27" t="str">
        <f>Assumptions!D58</f>
        <v>0</v>
      </c>
    </row>
    <row r="8" spans="2:7" x14ac:dyDescent="0.25">
      <c r="B8" s="25" t="s">
        <v>134</v>
      </c>
      <c r="C8" s="27">
        <f>IF(Assumptions!D59&gt;0,PMT(Assumptions!D60/12,Assumptions!D61*12,-Assumptions!D59)*12,0)</f>
        <v>6959.80855059</v>
      </c>
      <c r="D8" s="27">
        <f>IF(Assumptions!D59&gt;0,PMT(Assumptions!D60/12,Assumptions!D61*12,-Assumptions!D59)*12,0)</f>
        <v>6959.80855059</v>
      </c>
      <c r="E8" s="27">
        <f>IF(Assumptions!D59&gt;0,PMT(Assumptions!D60/12,Assumptions!D61*12,-Assumptions!D59)*12,0)</f>
        <v>6959.80855059</v>
      </c>
      <c r="F8" s="27">
        <f>IF(Assumptions!D59&gt;0,PMT(Assumptions!D60/12,Assumptions!D61*12,-Assumptions!D59)*12,0)</f>
        <v>6959.80855059</v>
      </c>
      <c r="G8" s="27">
        <f>IF(Assumptions!D59&gt;0,PMT(Assumptions!D60/12,Assumptions!D61*12,-Assumptions!D59)*12,0)</f>
        <v>6959.80855059</v>
      </c>
    </row>
    <row r="9" spans="2:7" x14ac:dyDescent="0.25">
      <c r="B9" s="28" t="s">
        <v>135</v>
      </c>
      <c r="C9" s="29">
        <f>C7+C8</f>
        <v>6959.80855059</v>
      </c>
      <c r="D9" s="29">
        <f>D7+D8</f>
        <v>6959.80855059</v>
      </c>
      <c r="E9" s="29">
        <f>E7+E8</f>
        <v>6959.80855059</v>
      </c>
      <c r="F9" s="29">
        <f>F7+F8</f>
        <v>6959.80855059</v>
      </c>
      <c r="G9" s="29">
        <f>G7+G8</f>
        <v>6959.80855059</v>
      </c>
    </row>
    <row r="11" spans="2:7" x14ac:dyDescent="0.25">
      <c r="B11" s="28" t="s">
        <v>136</v>
      </c>
      <c r="C11" s="34">
        <f>IF(C9&gt;0,C5/C9,IF(C5&gt;0,99.9,0))</f>
        <v>-16.26481521</v>
      </c>
      <c r="D11" s="34">
        <f>IF(D9&gt;0,D5/D9,IF(D5&gt;0,99.9,0))</f>
        <v>-18.41142599</v>
      </c>
      <c r="E11" s="34">
        <f>IF(E9&gt;0,E5/E9,IF(E5&gt;0,99.9,0))</f>
        <v>-16.77431246</v>
      </c>
      <c r="F11" s="34">
        <f>IF(F9&gt;0,F5/F9,IF(F5&gt;0,99.9,0))</f>
        <v>-24.06544623</v>
      </c>
      <c r="G11" s="34">
        <f>IF(G9&gt;0,G5/G9,IF(G5&gt;0,99.9,0))</f>
        <v>-28.80855028</v>
      </c>
    </row>
    <row r="13" spans="2:7" x14ac:dyDescent="0.25">
      <c r="B13" s="25" t="s">
        <v>137</v>
      </c>
      <c r="C13" s="27">
        <f>C5-C9</f>
        <v>-120159.80855059</v>
      </c>
      <c r="D13" s="27">
        <f>D5-D9</f>
        <v>-135099.80855059</v>
      </c>
      <c r="E13" s="27">
        <f>E5-E9</f>
        <v>-123705.81182332</v>
      </c>
      <c r="F13" s="27">
        <f>F5-F9</f>
        <v>-174450.70700751</v>
      </c>
      <c r="G13" s="27">
        <f>G5-G9</f>
        <v>-207461.80311556</v>
      </c>
    </row>
    <row r="14" spans="2:7" x14ac:dyDescent="0.25">
      <c r="B14" s="28" t="s">
        <v>138</v>
      </c>
      <c r="C14" s="32">
        <f>C5-C9</f>
        <v>-120159.80855059</v>
      </c>
      <c r="D14" s="32">
        <f>D5-D9</f>
        <v>-135099.80855059</v>
      </c>
      <c r="E14" s="32">
        <f>E5-E9</f>
        <v>-123705.81182332</v>
      </c>
      <c r="F14" s="32">
        <f>F5-F9</f>
        <v>-174450.70700751</v>
      </c>
      <c r="G14" s="32">
        <f>G5-G9</f>
        <v>-207461.80311556</v>
      </c>
    </row>
    <row r="16" spans="2:7" x14ac:dyDescent="0.25">
      <c r="B16" s="28" t="s">
        <v>139</v>
      </c>
      <c r="C16" s="30">
        <f>C4+C14</f>
        <v>-120159.80855059</v>
      </c>
      <c r="D16" s="30">
        <f>D4+D14</f>
        <v>-255259.61710119</v>
      </c>
      <c r="E16" s="30">
        <f>E4+E14</f>
        <v>-378965.42892451</v>
      </c>
      <c r="F16" s="30">
        <f>F4+F14</f>
        <v>-553416.13593202</v>
      </c>
      <c r="G16" s="30">
        <f>G4+G14</f>
        <v>-760877.93904758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2</v>
      </c>
      <c r="D4" s="26">
        <f>Drivers!D12</f>
        <v>3</v>
      </c>
      <c r="E4" s="26">
        <f>Drivers!E12</f>
        <v>3</v>
      </c>
      <c r="F4" s="26">
        <f>Drivers!F12</f>
        <v>4</v>
      </c>
      <c r="G4" s="26">
        <f>Drivers!G12</f>
        <v>4</v>
      </c>
    </row>
    <row r="5" spans="2:7" x14ac:dyDescent="0.25">
      <c r="B5" s="25" t="s">
        <v>142</v>
      </c>
      <c r="C5" s="26">
        <f>Assumptions!D35</f>
        <v>1</v>
      </c>
      <c r="D5" s="26">
        <f>Assumptions!D36</f>
        <v>1</v>
      </c>
      <c r="E5" s="26">
        <f>Assumptions!D37</f>
        <v>1</v>
      </c>
      <c r="F5" s="26">
        <f>Assumptions!D38</f>
        <v>1</v>
      </c>
      <c r="G5" s="26">
        <f>Assumptions!D39</f>
        <v>1</v>
      </c>
    </row>
    <row r="6" spans="2:7" x14ac:dyDescent="0.25">
      <c r="B6" s="28" t="s">
        <v>143</v>
      </c>
      <c r="C6" s="35">
        <f>C4+C5</f>
        <v>3</v>
      </c>
      <c r="D6" s="35">
        <f>D4+D5</f>
        <v>4</v>
      </c>
      <c r="E6" s="35">
        <f>E4+E5</f>
        <v>4</v>
      </c>
      <c r="F6" s="35">
        <f>F4+F5</f>
        <v>5</v>
      </c>
      <c r="G6" s="3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30000</v>
      </c>
    </row>
    <row r="4" spans="2:3" x14ac:dyDescent="0.25">
      <c r="B4" s="25" t="s">
        <v>146</v>
      </c>
      <c r="C4" s="31">
        <f>Assumptions!D60</f>
        <v>0.06</v>
      </c>
    </row>
    <row r="5" spans="2:3" x14ac:dyDescent="0.25">
      <c r="B5" s="25" t="s">
        <v>94</v>
      </c>
      <c r="C5" s="26">
        <f>Assumptions!D61</f>
        <v>5</v>
      </c>
    </row>
    <row r="6" spans="2:3" x14ac:dyDescent="0.25">
      <c r="B6" s="25" t="s">
        <v>147</v>
      </c>
      <c r="C6" s="32">
        <f>IF(Assumptions!D59&gt;0,PMT(Assumptions!D60/12,Assumptions!D61*12,-Assumptions!D59)*12,0)</f>
        <v>6959.80855059</v>
      </c>
    </row>
    <row r="8" spans="2:3" x14ac:dyDescent="0.25">
      <c r="B8" s="25" t="s">
        <v>148</v>
      </c>
      <c r="C8" s="34">
        <f>'Cash Flow &amp; DSCR'!C11</f>
        <v>-16.26481521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Bright Horizons Microschool</v>
      </c>
    </row>
    <row r="4" spans="2:3" x14ac:dyDescent="0.25">
      <c r="B4" s="25" t="s">
        <v>49</v>
      </c>
      <c r="C4" s="25" t="str">
        <f>Assumptions!D7</f>
        <v>Microschool</v>
      </c>
    </row>
    <row r="5" spans="2:3" x14ac:dyDescent="0.25">
      <c r="B5" s="25" t="s">
        <v>47</v>
      </c>
      <c r="C5" s="25" t="str">
        <f>Assumptions!D6</f>
        <v>AZ</v>
      </c>
    </row>
    <row r="6" spans="2:3" x14ac:dyDescent="0.25">
      <c r="B6" s="25" t="s">
        <v>150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25</v>
      </c>
    </row>
    <row r="9" spans="2:3" x14ac:dyDescent="0.25">
      <c r="B9" s="25" t="s">
        <v>151</v>
      </c>
      <c r="C9" s="27">
        <f>Drivers!G10</f>
        <v>201964.04175</v>
      </c>
    </row>
    <row r="10" spans="2:3" x14ac:dyDescent="0.25">
      <c r="B10" s="25" t="s">
        <v>152</v>
      </c>
      <c r="C10" s="36">
        <f>'5-Year P&amp;L'!G16</f>
        <v>-200501.99456497</v>
      </c>
    </row>
    <row r="12" ht="24" customHeight="1" spans="2:3" x14ac:dyDescent="0.25">
      <c r="B12" s="37" t="s">
        <v>153</v>
      </c>
      <c r="C12" s="23"/>
    </row>
    <row r="13" spans="2:3" x14ac:dyDescent="0.25">
      <c r="B13" s="25" t="s">
        <v>154</v>
      </c>
      <c r="C13" s="38">
        <f>IF(Drivers!G10&gt;0,'5-Year P&amp;L'!G21/Drivers!G10,0)</f>
        <v>-1.02722149</v>
      </c>
    </row>
    <row r="14" spans="2:3" x14ac:dyDescent="0.25">
      <c r="B14" s="25" t="s">
        <v>155</v>
      </c>
      <c r="C14" s="31">
        <f>IF(Drivers!G10&gt;0,Drivers!G16/Drivers!G10,0)</f>
        <v>1.34416366</v>
      </c>
    </row>
    <row r="15" spans="2:3" x14ac:dyDescent="0.25">
      <c r="B15" s="25" t="s">
        <v>156</v>
      </c>
      <c r="C15" s="27">
        <f>IF(Assumptions!D16&gt;0,Drivers!G10/Assumptions!D16,0)</f>
        <v>8079</v>
      </c>
    </row>
    <row r="16" spans="2:3" x14ac:dyDescent="0.25">
      <c r="B16" s="25" t="s">
        <v>157</v>
      </c>
      <c r="C16" s="27">
        <f>IF(Assumptions!D16&gt;0,('5-Year P&amp;L'!G12+'5-Year P&amp;L'!G13)/Assumptions!D16,0)</f>
        <v>16099</v>
      </c>
    </row>
    <row r="17" spans="2:3" x14ac:dyDescent="0.25">
      <c r="B17" s="25" t="s">
        <v>158</v>
      </c>
      <c r="C17" s="34">
        <f>'Cash Flow &amp; DSCR'!C11</f>
        <v>-16.26481521</v>
      </c>
    </row>
    <row r="18" spans="2:3" x14ac:dyDescent="0.25">
      <c r="B18" s="25" t="s">
        <v>159</v>
      </c>
      <c r="C18" s="34">
        <f>'Cash Flow &amp; DSCR'!G11</f>
        <v>-28.80855028</v>
      </c>
    </row>
    <row r="20" spans="2:3" x14ac:dyDescent="0.25">
      <c r="B20" s="12" t="s">
        <v>160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161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39" t="s">
        <v>162</v>
      </c>
      <c r="D4" s="40" t="s">
        <v>163</v>
      </c>
      <c r="F4" s="41" t="s">
        <v>164</v>
      </c>
    </row>
    <row r="6" ht="24" customHeight="1" spans="2:8" x14ac:dyDescent="0.25">
      <c r="B6" s="42" t="s">
        <v>165</v>
      </c>
      <c r="C6" s="43" t="s">
        <v>96</v>
      </c>
      <c r="D6" s="43" t="s">
        <v>97</v>
      </c>
      <c r="E6" s="43" t="s">
        <v>98</v>
      </c>
      <c r="F6" s="43" t="s">
        <v>99</v>
      </c>
      <c r="G6" s="43" t="s">
        <v>100</v>
      </c>
      <c r="H6" s="43" t="s">
        <v>166</v>
      </c>
    </row>
    <row r="7" spans="2:7" x14ac:dyDescent="0.25">
      <c r="B7" s="25" t="s">
        <v>101</v>
      </c>
      <c r="C7" s="26">
        <v>12</v>
      </c>
      <c r="D7" s="26">
        <v>18</v>
      </c>
      <c r="E7" s="26">
        <v>22</v>
      </c>
      <c r="F7" s="26">
        <v>25</v>
      </c>
      <c r="G7" s="26">
        <v>25</v>
      </c>
    </row>
    <row r="8" spans="2:7" x14ac:dyDescent="0.25">
      <c r="B8" s="25" t="s">
        <v>167</v>
      </c>
      <c r="C8" s="27">
        <v>89000</v>
      </c>
      <c r="D8" s="27">
        <v>134780</v>
      </c>
      <c r="E8" s="27">
        <v>168378.6</v>
      </c>
      <c r="F8" s="27">
        <v>196227.225</v>
      </c>
      <c r="G8" s="27">
        <v>201964.04175000003</v>
      </c>
    </row>
    <row r="9" spans="2:7" x14ac:dyDescent="0.25">
      <c r="B9" s="25" t="s">
        <v>168</v>
      </c>
      <c r="C9" s="27">
        <v>153600</v>
      </c>
      <c r="D9" s="27">
        <v>203322</v>
      </c>
      <c r="E9" s="27">
        <v>209421.65999999997</v>
      </c>
      <c r="F9" s="27">
        <v>263565.7524</v>
      </c>
      <c r="G9" s="27">
        <v>271472.724972</v>
      </c>
    </row>
    <row r="10" spans="2:7" x14ac:dyDescent="0.25">
      <c r="B10" s="25" t="s">
        <v>169</v>
      </c>
      <c r="C10" s="27">
        <v>48600</v>
      </c>
      <c r="D10" s="27">
        <v>59598.00000000001</v>
      </c>
      <c r="E10" s="27">
        <v>75702.94327272728</v>
      </c>
      <c r="F10" s="27">
        <v>100152.37105691597</v>
      </c>
      <c r="G10" s="27">
        <v>130993.31134296517</v>
      </c>
    </row>
    <row r="11" spans="2:7" x14ac:dyDescent="0.25">
      <c r="B11" s="25" t="s">
        <v>170</v>
      </c>
      <c r="C11" s="27">
        <v>6959.808550594178</v>
      </c>
      <c r="D11" s="27">
        <v>6959.808550594178</v>
      </c>
      <c r="E11" s="27">
        <v>6959.808550594178</v>
      </c>
      <c r="F11" s="27">
        <v>6959.808550594178</v>
      </c>
      <c r="G11" s="27">
        <v>6959.808550594178</v>
      </c>
    </row>
    <row r="12" spans="2:7" x14ac:dyDescent="0.25">
      <c r="B12" s="28" t="s">
        <v>126</v>
      </c>
      <c r="C12" s="30">
        <v>-120159.80855059417</v>
      </c>
      <c r="D12" s="30">
        <v>-135099.80855059417</v>
      </c>
      <c r="E12" s="30">
        <v>-123705.81182332139</v>
      </c>
      <c r="F12" s="30">
        <v>-174450.70700751012</v>
      </c>
      <c r="G12" s="30">
        <v>-207461.8031155593</v>
      </c>
    </row>
    <row r="13" spans="2:7" x14ac:dyDescent="0.25">
      <c r="B13" s="28" t="s">
        <v>139</v>
      </c>
      <c r="C13" s="30">
        <v>-120159.80855059417</v>
      </c>
      <c r="D13" s="30">
        <v>-255259.61710118834</v>
      </c>
      <c r="E13" s="30">
        <v>-378965.42892450973</v>
      </c>
      <c r="F13" s="30">
        <v>-553416.1359320199</v>
      </c>
      <c r="G13" s="30">
        <v>-760877.9390475792</v>
      </c>
    </row>
    <row r="14" spans="2:7" x14ac:dyDescent="0.25">
      <c r="B14" s="28" t="s">
        <v>127</v>
      </c>
      <c r="C14" s="44">
        <v>-1.3501102084336423</v>
      </c>
      <c r="D14" s="44">
        <v>-1.0023728190428414</v>
      </c>
      <c r="E14" s="44">
        <v>-0.7346884451071656</v>
      </c>
      <c r="F14" s="44">
        <v>-0.8890239721196186</v>
      </c>
      <c r="G14" s="44">
        <v>-1.0272214861513054</v>
      </c>
    </row>
    <row r="15" spans="2:8" x14ac:dyDescent="0.25">
      <c r="B15" s="28" t="s">
        <v>171</v>
      </c>
      <c r="C15" s="45">
        <v>7416.666666666667</v>
      </c>
      <c r="D15" s="45">
        <v>7487.777777777777</v>
      </c>
      <c r="E15" s="45">
        <v>7653.572727272727</v>
      </c>
      <c r="F15" s="45">
        <v>7849.089</v>
      </c>
      <c r="G15" s="45">
        <v>8078.561670000001</v>
      </c>
      <c r="H15" s="46" t="s">
        <v>172</v>
      </c>
    </row>
    <row r="16" spans="2:8" x14ac:dyDescent="0.25">
      <c r="B16" s="28" t="s">
        <v>173</v>
      </c>
      <c r="C16" s="44">
        <v>1.7258426966292135</v>
      </c>
      <c r="D16" s="44">
        <v>1.5085472622050748</v>
      </c>
      <c r="E16" s="44">
        <v>1.2437546101464199</v>
      </c>
      <c r="F16" s="44">
        <v>1.3431660790188518</v>
      </c>
      <c r="G16" s="44">
        <v>1.344163657152598</v>
      </c>
      <c r="H16" s="46" t="s">
        <v>174</v>
      </c>
    </row>
    <row r="17" spans="2:8" x14ac:dyDescent="0.25">
      <c r="B17" s="28" t="s">
        <v>175</v>
      </c>
      <c r="C17" s="44">
        <v>0.4044943820224719</v>
      </c>
      <c r="D17" s="44">
        <v>0.27493693426324384</v>
      </c>
      <c r="E17" s="44">
        <v>0.22653101997522254</v>
      </c>
      <c r="F17" s="47">
        <v>0.20008353392009362</v>
      </c>
      <c r="G17" s="47">
        <v>0.2001025371659282</v>
      </c>
      <c r="H17" s="46" t="s">
        <v>176</v>
      </c>
    </row>
    <row r="18" spans="2:8" x14ac:dyDescent="0.25">
      <c r="B18" s="28" t="s">
        <v>124</v>
      </c>
      <c r="C18" s="44">
        <v>-1.2719101123595506</v>
      </c>
      <c r="D18" s="44">
        <v>-0.9507345303457486</v>
      </c>
      <c r="E18" s="44">
        <v>-0.6933541630155331</v>
      </c>
      <c r="F18" s="44">
        <v>-0.8535558633972221</v>
      </c>
      <c r="G18" s="44">
        <v>-0.99276085399972</v>
      </c>
      <c r="H18" s="46" t="s">
        <v>177</v>
      </c>
    </row>
    <row r="19" spans="2:8" x14ac:dyDescent="0.25">
      <c r="B19" s="28" t="s">
        <v>178</v>
      </c>
      <c r="C19" s="48">
        <v>2</v>
      </c>
      <c r="D19" s="48">
        <v>2</v>
      </c>
      <c r="E19" s="48">
        <v>2</v>
      </c>
      <c r="F19" s="48">
        <v>2</v>
      </c>
      <c r="G19" s="48">
        <v>2</v>
      </c>
      <c r="H19" s="46" t="s">
        <v>179</v>
      </c>
    </row>
    <row r="20" spans="2:8" x14ac:dyDescent="0.25">
      <c r="B20" s="28" t="s">
        <v>180</v>
      </c>
      <c r="C20" s="49">
        <v>-16.26481521396674</v>
      </c>
      <c r="D20" s="49">
        <v>-18.411425985138678</v>
      </c>
      <c r="E20" s="49">
        <v>-16.77431245759775</v>
      </c>
      <c r="F20" s="49">
        <v>-24.065446231651993</v>
      </c>
      <c r="G20" s="49">
        <v>-28.808550279425102</v>
      </c>
      <c r="H20" s="46" t="s">
        <v>181</v>
      </c>
    </row>
    <row r="21" spans="2:8" x14ac:dyDescent="0.25">
      <c r="B21" s="28" t="s">
        <v>182</v>
      </c>
      <c r="C21" s="50" t="str">
        <f>IF('5-Year P&amp;L'!C24&gt;=0,"✓ Break-even","")</f>
        <v>0</v>
      </c>
      <c r="D21" s="50" t="str">
        <f>IF(AND('5-Year P&amp;L'!D24&gt;=0,'5-Year P&amp;L'!C24&lt;0),"✓ Break-even","")</f>
        <v>0</v>
      </c>
      <c r="E21" s="50" t="str">
        <f>IF(AND('5-Year P&amp;L'!E24&gt;=0,'5-Year P&amp;L'!D24&lt;0),"✓ Break-even","")</f>
        <v>0</v>
      </c>
      <c r="F21" s="50" t="str">
        <f>IF(AND('5-Year P&amp;L'!F24&gt;=0,'5-Year P&amp;L'!E24&lt;0),"✓ Break-even","")</f>
        <v>0</v>
      </c>
      <c r="G21" s="50" t="str">
        <f>IF(AND('5-Year P&amp;L'!G24&gt;=0,'5-Year P&amp;L'!F24&lt;0),"✓ Break-even","")</f>
        <v>0</v>
      </c>
      <c r="H21" s="46" t="s">
        <v>96</v>
      </c>
    </row>
    <row r="22" spans="2:8" x14ac:dyDescent="0.25">
      <c r="B22" s="28" t="s">
        <v>183</v>
      </c>
      <c r="C22" s="51">
        <v>-7</v>
      </c>
      <c r="D22" s="51">
        <v>-11</v>
      </c>
      <c r="E22" s="51">
        <v>-16</v>
      </c>
      <c r="F22" s="51">
        <v>-18</v>
      </c>
      <c r="G22" s="51">
        <v>-22</v>
      </c>
      <c r="H22" s="46" t="s">
        <v>184</v>
      </c>
    </row>
    <row r="24" ht="24" customHeight="1" spans="2:8" x14ac:dyDescent="0.25">
      <c r="B24" s="42" t="s">
        <v>185</v>
      </c>
      <c r="C24" s="42" t="s">
        <v>186</v>
      </c>
      <c r="D24" s="42" t="s">
        <v>187</v>
      </c>
      <c r="E24" s="42"/>
      <c r="F24" s="42" t="s">
        <v>188</v>
      </c>
      <c r="G24" s="42"/>
      <c r="H24" s="42"/>
    </row>
    <row r="25" ht="45" customHeight="1" spans="2:8" x14ac:dyDescent="0.25">
      <c r="B25" s="52" t="s">
        <v>189</v>
      </c>
      <c r="C25" s="53" t="s">
        <v>190</v>
      </c>
      <c r="D25" s="54" t="s">
        <v>191</v>
      </c>
      <c r="E25" s="54"/>
      <c r="F25" s="55" t="s">
        <v>192</v>
      </c>
      <c r="G25" s="55"/>
      <c r="H25" s="55"/>
    </row>
    <row r="26" ht="45" customHeight="1" spans="2:8" x14ac:dyDescent="0.25">
      <c r="B26" s="52" t="s">
        <v>193</v>
      </c>
      <c r="C26" s="53" t="s">
        <v>190</v>
      </c>
      <c r="D26" s="54" t="s">
        <v>194</v>
      </c>
      <c r="E26" s="54"/>
      <c r="F26" s="55" t="s">
        <v>195</v>
      </c>
      <c r="G26" s="55"/>
      <c r="H26" s="55"/>
    </row>
    <row r="27" ht="45" customHeight="1" spans="2:8" x14ac:dyDescent="0.25">
      <c r="B27" s="52" t="s">
        <v>196</v>
      </c>
      <c r="C27" s="53" t="s">
        <v>190</v>
      </c>
      <c r="D27" s="54" t="s">
        <v>197</v>
      </c>
      <c r="E27" s="54"/>
      <c r="F27" s="55" t="s">
        <v>198</v>
      </c>
      <c r="G27" s="55"/>
      <c r="H27" s="55"/>
    </row>
    <row r="28" ht="45" customHeight="1" spans="2:8" x14ac:dyDescent="0.25">
      <c r="B28" s="52" t="s">
        <v>199</v>
      </c>
      <c r="C28" s="56" t="s">
        <v>200</v>
      </c>
      <c r="D28" s="54" t="s">
        <v>201</v>
      </c>
      <c r="E28" s="54"/>
      <c r="F28" s="55" t="s">
        <v>202</v>
      </c>
      <c r="G28" s="55"/>
      <c r="H28" s="55"/>
    </row>
    <row r="29" ht="45" customHeight="1" spans="2:8" x14ac:dyDescent="0.25">
      <c r="B29" s="52" t="s">
        <v>203</v>
      </c>
      <c r="C29" s="53" t="s">
        <v>190</v>
      </c>
      <c r="D29" s="54" t="s">
        <v>204</v>
      </c>
      <c r="E29" s="54"/>
      <c r="F29" s="55" t="s">
        <v>205</v>
      </c>
      <c r="G29" s="55"/>
      <c r="H29" s="55"/>
    </row>
    <row r="30" ht="45" customHeight="1" spans="2:8" x14ac:dyDescent="0.25">
      <c r="B30" s="52" t="s">
        <v>206</v>
      </c>
      <c r="C30" s="57" t="s">
        <v>207</v>
      </c>
      <c r="D30" s="54" t="s">
        <v>208</v>
      </c>
      <c r="E30" s="54"/>
      <c r="F30" s="55" t="s">
        <v>209</v>
      </c>
      <c r="G30" s="55"/>
      <c r="H30" s="55"/>
    </row>
    <row r="31" ht="45" customHeight="1" spans="2:8" x14ac:dyDescent="0.25">
      <c r="B31" s="52" t="s">
        <v>210</v>
      </c>
      <c r="C31" s="53" t="s">
        <v>190</v>
      </c>
      <c r="D31" s="54" t="s">
        <v>211</v>
      </c>
      <c r="E31" s="54"/>
      <c r="F31" s="55" t="s">
        <v>212</v>
      </c>
      <c r="G31" s="55"/>
      <c r="H31" s="55"/>
    </row>
    <row r="33" spans="2:6" x14ac:dyDescent="0.25">
      <c r="B33" s="52" t="s">
        <v>39</v>
      </c>
      <c r="C33" s="28" t="s">
        <v>213</v>
      </c>
      <c r="D33" s="28"/>
      <c r="E33" s="28"/>
      <c r="F33" s="28"/>
    </row>
    <row r="35" spans="2:8" x14ac:dyDescent="0.25">
      <c r="B35" s="58" t="s">
        <v>214</v>
      </c>
      <c r="C35" s="58"/>
      <c r="D35" s="58"/>
      <c r="E35" s="58"/>
      <c r="F35" s="58"/>
      <c r="G35" s="58"/>
      <c r="H35" s="58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2026-03-27T02:55:08Z</dcterms:created>
  <dcterms:modified xsi:type="dcterms:W3CDTF">2026-03-27T02:55:08Z</dcterms:modified>
</cp:coreProperties>
</file>