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Decision History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Personnel'!$A1:$H30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Model'!$A1:$G16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'Decision History'!$A1:$H11</definedName>
    <definedName name="_xlnm.Print_Titles" localSheetId="8">'Decision History'!$1:$1</definedName>
    <definedName name="_xlnm.Print_Area" localSheetId="9">'Financial Health'!$A1:$I41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<sst xmlns="http://schemas.openxmlformats.org/spreadsheetml/2006/main" count="371" uniqueCount="270">
  <si>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</si>
  <si>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</si>
  <si>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</si>
  <si>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</si>
  <si>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</si>
  <si>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</si>
  <si>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May 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</si>
  <si>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</si>
  <si>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</si>
  <si>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</si>
  <si>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</si>
  <si>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</si>
  <si>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</si>
  <si>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</si>
  <si>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</si>
  <si>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</si>
  <si>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</si>
  <si>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</si>
  <si>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</si>
  <si>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</si>
  <si>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</si>
  <si>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Decision History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</si>
  <si>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</si>
  <si>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</si>
  <si>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</si>
  <si>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</si>
  <si>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</si>
  <si>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</si>
  <si>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</si>
  <si>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</si>
  <si>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</si>
  <si>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</si>
  <si>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</si>
  <si>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</si>
  <si>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</si>
  <si>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</si>
  <si>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</si>
  <si>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</si>
  <si>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</si>
  <si>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</si>
  <si>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</si>
  <si>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</si>
  <si>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</si>
  <si>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</si>
  <si>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</si>
  <si>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</si>
  <si>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</si>
  <si>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</si>
  <si>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</si>
  <si>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</si>
  <si>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</si>
  <si>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</si>
  <si>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</si>
  <si>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</si>
  <si>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</si>
  <si>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</si>
  <si>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</si>
  <si>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</si>
  <si>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</si>
  <si>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</si>
  <si>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</si>
  <si>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</si>
  <si>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</si>
  <si>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</si>
  <si>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</si>
  <si>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</si>
  <si>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</si>
  <si>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</si>
  <si>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</si>
  <si>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</si>
  <si>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</si>
  <si>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</si>
  <si>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</si>
  <si>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</si>
  <si>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</si>
  <si>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</si>
  <si>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</si>
  <si>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</si>
  <si>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</si>
  <si>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</si>
  <si>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</si>
  <si>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</si>
  <si>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</si>
  <si>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</si>
  <si>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</si>
  <si>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</si>
  <si>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</si>
  <si>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</si>
  <si>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</si>
  <si>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</si>
  <si>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</si>
  <si>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</si>
  <si>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</si>
  <si>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</si>
  <si>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</si>
  <si>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</si>
  <si>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</si>
  <si>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</si>
  <si>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</si>
  <si>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</si>
  <si>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</si>
  <si>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</si>
  <si>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</si>
  <si>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</si>
  <si>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</si>
  <si>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</si>
  <si>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</si>
  <si>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</si>
  <si>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</si>
  <si>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</si>
  <si>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</si>
  <si>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</si>
  <si>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</si>
  <si>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</si>
  <si>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</si>
  <si>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</si>
  <si>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</si>
  <si>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FOUNDER COMPENSATION</t>
  </si>
  <si>
    <t>5-Year Total</t>
  </si>
  <si>
    <t>Founder Compensation (as planned)</t>
  </si>
  <si>
    <t xml:space="preserve">  Fully-loaded (incl. benefits + payroll tax)</t>
  </si>
  <si>
    <t>Founder Compensation (market rate, normalized)</t>
  </si>
  <si>
    <t>Lender Normalization Adjustment (market - planned)</t>
  </si>
  <si>
    <t>Note: Founder is paying themselves below market rate ("sweat equity"). Lenders and boards underwrite to the market-rate line; the adjustment shows the gap.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</si>
  <si>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</si>
  <si>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</si>
  <si>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</si>
  <si>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</si>
  <si>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</si>
  <si>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</si>
  <si>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</si>
  <si>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</si>
  <si>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</si>
  <si>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</si>
  <si>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</si>
  <si>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</si>
  <si>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</si>
  <si>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</si>
  <si>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</si>
  <si>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</si>
  <si>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</si>
  <si>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</si>
  <si>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</si>
  <si>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</si>
  <si>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</si>
  <si>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</si>
  <si>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</si>
  <si>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FOUNDER COMPENSATION (memo — already in Personnel above)</t>
  </si>
  <si>
    <t xml:space="preserve">  Founder compensation (as planned)</t>
  </si>
  <si>
    <t xml:space="preserve">  Founder compensation (market rate, normalized)</t>
  </si>
  <si>
    <t xml:space="preserve">  Lender Normalization Adjustment (market - planned)</t>
  </si>
  <si>
    <t>Note: Founder is paying themselves below market ("sweat equity"). Lenders / boards underwrite to the market-rate line.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</si>
  <si>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</si>
  <si>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</si>
  <si>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</si>
  <si>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</si>
  <si>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</si>
  <si>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</si>
  <si>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</si>
  <si>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</si>
  <si>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</si>
  <si>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</si>
  <si>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</si>
  <si>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</si>
  <si>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</si>
  <si>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</si>
  <si>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</si>
  <si>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</si>
  <si>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</si>
  <si>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</si>
  <si>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</si>
  <si>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</si>
  <si>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</si>
  <si>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</si>
  <si>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</si>
  <si>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</si>
  <si>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</si>
  <si>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</si>
  <si>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</si>
  <si>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</si>
  <si>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</si>
  <si>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</si>
  <si>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</si>
  <si>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</si>
  <si>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</si>
  <si>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</si>
  <si>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</si>
  <si>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</si>
  <si>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</si>
  <si>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</si>
  <si>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</si>
  <si>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</si>
  <si>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</si>
  <si>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</si>
  <si>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</si>
  <si>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</si>
  <si>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</si>
  <si>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</si>
  <si>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</si>
  <si>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</si>
  <si>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</si>
  <si>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</si>
  <si>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</si>
  <si>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</si>
  <si>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</si>
  <si>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</si>
  <si>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</si>
  <si>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9, 2026</t>
  </si>
  <si>
    <t>Built from assumptions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</si>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</sst>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i/>
      <color rgb="FF64748B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i/>
      <color rgb="FF1E293B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0" fontId="0" fillId="0" borderId="0" xfId="0" applyAlignment="1">
      <alignment vertical="top" wrapText="1"/>
    </xf>
    <xf numFmtId="0" fontId="17" fillId="0" borderId="0" xfId="0" applyFont="1" applyAlignment="1">
      <alignment vertical="top" wrapText="1"/>
    </xf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 applyAlignment="1">
      <alignment vertical="top" wrapText="1"/>
    </xf>
    <xf numFmtId="0" fontId="16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8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top"/>
    </xf>
    <xf numFmtId="0" fontId="7" fillId="0" borderId="2" xfId="0" applyFont="1" applyBorder="1" applyAlignment="1">
      <alignment horizontal="left" vertical="top"/>
    </xf>
    <xf numFmtId="0" fontId="0" fillId="7" borderId="0" xfId="0" applyFill="1"/>
    <xf numFmtId="0" fontId="6" fillId="7" borderId="2" xfId="0" applyFont="1" applyFill="1" applyBorder="1" applyAlignment="1">
      <alignment horizontal="center" vertical="top"/>
    </xf>
    <xf numFmtId="0" fontId="0" fillId="8" borderId="0" xfId="0" applyFill="1"/>
    <xf numFmtId="0" fontId="6" fillId="8" borderId="2" xfId="0" applyFont="1" applyFill="1" applyBorder="1" applyAlignment="1">
      <alignment horizontal="center" vertical="top"/>
    </xf>
    <xf numFmtId="0" fontId="20" fillId="0" borderId="0" xfId="0" applyFont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Decision Histo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2026</v>
      </c>
    </row>
    <row r="11" spans="1:2" x14ac:dyDescent="0.25">
      <c r="A11" s="22" t="s">
        <v>40</v>
      </c>
      <c r="B11" s="23">
        <v>0</v>
      </c>
    </row>
    <row r="12" spans="1:2" x14ac:dyDescent="0.25">
      <c r="A12" s="22" t="s">
        <v>41</v>
      </c>
      <c r="B12" s="23">
        <v>25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>
        <v>10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0" spans="1:2" x14ac:dyDescent="0.25">
      <c r="A20" s="22" t="s">
        <v>54</v>
      </c>
      <c r="B20" s="23" t="s">
        <v>55</v>
      </c>
    </row>
    <row r="22" ht="24" customHeight="1" spans="1:2" x14ac:dyDescent="0.25">
      <c r="A22" s="8" t="s">
        <v>56</v>
      </c>
      <c r="B22" s="8"/>
    </row>
    <row r="23" spans="1:2" x14ac:dyDescent="0.25">
      <c r="A23" s="22" t="s">
        <v>57</v>
      </c>
      <c r="B23" s="24">
        <v>12</v>
      </c>
    </row>
    <row r="24" spans="1:2" x14ac:dyDescent="0.25">
      <c r="A24" s="22" t="s">
        <v>58</v>
      </c>
      <c r="B24" s="24">
        <v>18</v>
      </c>
    </row>
    <row r="25" spans="1:2" x14ac:dyDescent="0.25">
      <c r="A25" s="22" t="s">
        <v>59</v>
      </c>
      <c r="B25" s="24">
        <v>22</v>
      </c>
    </row>
    <row r="26" spans="1:2" x14ac:dyDescent="0.25">
      <c r="A26" s="22" t="s">
        <v>60</v>
      </c>
      <c r="B26" s="24">
        <v>25</v>
      </c>
    </row>
    <row r="27" spans="1:2" x14ac:dyDescent="0.25">
      <c r="A27" s="22" t="s">
        <v>61</v>
      </c>
      <c r="B27" s="24">
        <v>25</v>
      </c>
    </row>
    <row r="29" ht="24" customHeight="1" spans="1:2" x14ac:dyDescent="0.25">
      <c r="A29" s="8" t="s">
        <v>62</v>
      </c>
      <c r="B29" s="8"/>
    </row>
    <row r="30" spans="1:2" x14ac:dyDescent="0.25">
      <c r="A30" s="22" t="s">
        <v>63</v>
      </c>
      <c r="B30" s="25">
        <v>0.03</v>
      </c>
    </row>
    <row r="31" spans="1:2" x14ac:dyDescent="0.25">
      <c r="A31" s="22" t="s">
        <v>64</v>
      </c>
      <c r="B31" s="25">
        <v>0.025</v>
      </c>
    </row>
    <row r="32" spans="1:2" x14ac:dyDescent="0.25">
      <c r="A32" s="22" t="s">
        <v>65</v>
      </c>
      <c r="B32" s="26">
        <v>0.8333333333333334</v>
      </c>
    </row>
    <row r="33" spans="1:2" x14ac:dyDescent="0.25">
      <c r="A33" s="22" t="s">
        <v>66</v>
      </c>
      <c r="B33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76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77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80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83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86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87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7" width="18" customWidth="1"/>
  </cols>
  <sheetData>
    <row r="1" ht="32" customHeight="1" spans="1:8" x14ac:dyDescent="0.25">
      <c r="A1" s="18" t="s">
        <v>88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89</v>
      </c>
      <c r="B3" s="28" t="s">
        <v>90</v>
      </c>
      <c r="C3" s="28" t="s">
        <v>91</v>
      </c>
      <c r="D3" s="28" t="s">
        <v>92</v>
      </c>
      <c r="E3" s="28" t="s">
        <v>93</v>
      </c>
      <c r="F3" s="28" t="s">
        <v>94</v>
      </c>
      <c r="G3" s="28" t="s">
        <v>95</v>
      </c>
      <c r="H3" s="28" t="s">
        <v>96</v>
      </c>
    </row>
    <row r="4" spans="1:8" x14ac:dyDescent="0.25">
      <c r="A4" s="22" t="s">
        <v>97</v>
      </c>
      <c r="B4" s="22" t="s">
        <v>98</v>
      </c>
      <c r="C4" s="22" t="s">
        <v>99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100</v>
      </c>
      <c r="B5" s="22" t="s">
        <v>101</v>
      </c>
      <c r="C5" s="22" t="s">
        <v>99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102</v>
      </c>
      <c r="B6" s="22" t="s">
        <v>101</v>
      </c>
      <c r="C6" s="22" t="s">
        <v>103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104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105</v>
      </c>
      <c r="B9" s="34">
        <v>3</v>
      </c>
    </row>
    <row r="10" spans="1:2" x14ac:dyDescent="0.25">
      <c r="A10" s="22" t="s">
        <v>106</v>
      </c>
      <c r="B10" s="34">
        <v>2.5</v>
      </c>
    </row>
    <row r="11" spans="1:2" x14ac:dyDescent="0.25">
      <c r="A11" s="22" t="s">
        <v>107</v>
      </c>
      <c r="B11" s="35">
        <v>114000</v>
      </c>
    </row>
    <row r="12" spans="1:2" x14ac:dyDescent="0.25">
      <c r="A12" s="22" t="s">
        <v>108</v>
      </c>
      <c r="B12" s="35">
        <v>20000</v>
      </c>
    </row>
    <row r="13" spans="1:2" x14ac:dyDescent="0.25">
      <c r="A13" s="22" t="s">
        <v>109</v>
      </c>
      <c r="B13" s="35">
        <v>8721</v>
      </c>
    </row>
    <row r="14" spans="1:2" x14ac:dyDescent="0.25">
      <c r="A14" s="22" t="s">
        <v>110</v>
      </c>
      <c r="B14" s="35">
        <v>0</v>
      </c>
    </row>
    <row r="15" spans="1:2" x14ac:dyDescent="0.25">
      <c r="A15" s="34" t="s">
        <v>111</v>
      </c>
      <c r="B15" s="36">
        <v>142721</v>
      </c>
    </row>
    <row r="17" ht="24" customHeight="1" spans="1:6" x14ac:dyDescent="0.25">
      <c r="A17" s="8" t="s">
        <v>112</v>
      </c>
      <c r="B17" s="8"/>
      <c r="C17" s="8"/>
      <c r="D17" s="8"/>
      <c r="E17" s="8"/>
      <c r="F17" s="8"/>
    </row>
    <row r="18" ht="28" customHeight="1" spans="1:6" x14ac:dyDescent="0.25">
      <c r="A18" s="28" t="s">
        <v>24</v>
      </c>
      <c r="B18" s="28" t="s">
        <v>68</v>
      </c>
      <c r="C18" s="28" t="s">
        <v>69</v>
      </c>
      <c r="D18" s="28" t="s">
        <v>70</v>
      </c>
      <c r="E18" s="28" t="s">
        <v>71</v>
      </c>
      <c r="F18" s="28" t="s">
        <v>72</v>
      </c>
    </row>
    <row r="19" spans="1:6" x14ac:dyDescent="0.25">
      <c r="A19" s="22" t="s">
        <v>113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114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115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116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  <row r="24" ht="24" customHeight="1" spans="1:7" x14ac:dyDescent="0.25">
      <c r="A24" s="8" t="s">
        <v>117</v>
      </c>
      <c r="B24" s="8"/>
      <c r="C24" s="8"/>
      <c r="D24" s="8"/>
      <c r="E24" s="8"/>
      <c r="F24" s="8"/>
      <c r="G24" s="8" t="s">
        <v>118</v>
      </c>
    </row>
    <row r="25" spans="1:7" x14ac:dyDescent="0.25">
      <c r="A25" s="22" t="s">
        <v>119</v>
      </c>
      <c r="B25" s="30">
        <v>55000</v>
      </c>
      <c r="C25" s="30">
        <v>56650</v>
      </c>
      <c r="D25" s="30">
        <v>58350</v>
      </c>
      <c r="E25" s="30">
        <v>60100</v>
      </c>
      <c r="F25" s="30">
        <v>61903</v>
      </c>
      <c r="G25" s="30">
        <f>SUM(B25:F25)</f>
        <v>292003</v>
      </c>
    </row>
    <row r="26" spans="1:7" x14ac:dyDescent="0.25">
      <c r="A26" s="22" t="s">
        <v>120</v>
      </c>
      <c r="B26" s="30">
        <v>70208</v>
      </c>
      <c r="C26" s="30">
        <v>72314</v>
      </c>
      <c r="D26" s="30">
        <v>74484</v>
      </c>
      <c r="E26" s="30">
        <v>76718</v>
      </c>
      <c r="F26" s="30">
        <v>79019</v>
      </c>
      <c r="G26" s="30">
        <f>SUM(B26:F26)</f>
        <v>372743</v>
      </c>
    </row>
    <row r="27" spans="1:7" x14ac:dyDescent="0.25">
      <c r="A27" s="22" t="s">
        <v>121</v>
      </c>
      <c r="B27" s="30">
        <v>70000</v>
      </c>
      <c r="C27" s="30">
        <v>72000</v>
      </c>
      <c r="D27" s="30">
        <v>74000</v>
      </c>
      <c r="E27" s="30">
        <v>76000</v>
      </c>
      <c r="F27" s="30">
        <v>79000</v>
      </c>
      <c r="G27" s="30">
        <f>SUM(B27:F27)</f>
        <v>371000</v>
      </c>
    </row>
    <row r="28" spans="1:7" x14ac:dyDescent="0.25">
      <c r="A28" s="22" t="s">
        <v>120</v>
      </c>
      <c r="B28" s="30">
        <v>89355</v>
      </c>
      <c r="C28" s="30">
        <v>91908</v>
      </c>
      <c r="D28" s="30">
        <v>94461</v>
      </c>
      <c r="E28" s="30">
        <v>97014</v>
      </c>
      <c r="F28" s="30">
        <v>100844</v>
      </c>
      <c r="G28" s="30">
        <f>SUM(B28:F28)</f>
        <v>473582</v>
      </c>
    </row>
    <row r="29" spans="1:7" x14ac:dyDescent="0.25">
      <c r="A29" s="34" t="s">
        <v>122</v>
      </c>
      <c r="B29" s="10">
        <v>19148</v>
      </c>
      <c r="C29" s="10">
        <v>19594</v>
      </c>
      <c r="D29" s="10">
        <v>19977</v>
      </c>
      <c r="E29" s="10">
        <v>20296</v>
      </c>
      <c r="F29" s="10">
        <v>21824</v>
      </c>
      <c r="G29" s="10">
        <f>SUM(B29:F29)</f>
        <v>100839</v>
      </c>
    </row>
    <row r="30" ht="32" customHeight="1" spans="1:7" s="39" customFormat="1" x14ac:dyDescent="0.25">
      <c r="A30" s="40" t="s">
        <v>123</v>
      </c>
      <c r="B30" s="40"/>
      <c r="C30" s="40"/>
      <c r="D30" s="40"/>
      <c r="E30" s="40"/>
      <c r="F30" s="40"/>
      <c r="G30" s="40"/>
    </row>
  </sheetData>
  <mergeCells count="2">
    <mergeCell ref="A1:H1"/>
    <mergeCell ref="A30:G30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124</v>
      </c>
      <c r="B3" s="8"/>
      <c r="C3" s="8"/>
      <c r="D3" s="8"/>
      <c r="E3" s="8"/>
      <c r="F3" s="8"/>
    </row>
    <row r="4" spans="1:6" x14ac:dyDescent="0.25">
      <c r="A4" s="22" t="s">
        <v>125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126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127</v>
      </c>
      <c r="B6" s="8"/>
      <c r="C6" s="8"/>
      <c r="D6" s="8"/>
      <c r="E6" s="8"/>
      <c r="F6" s="8"/>
    </row>
    <row r="7" spans="1:6" x14ac:dyDescent="0.25">
      <c r="A7" s="22" t="s">
        <v>128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129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130</v>
      </c>
      <c r="B9" s="8"/>
      <c r="C9" s="8"/>
      <c r="D9" s="8"/>
      <c r="E9" s="8"/>
      <c r="F9" s="8"/>
    </row>
    <row r="10" spans="1:6" x14ac:dyDescent="0.25">
      <c r="A10" s="22" t="s">
        <v>131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132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133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134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135</v>
      </c>
      <c r="B14" s="8"/>
      <c r="C14" s="8"/>
      <c r="D14" s="8"/>
      <c r="E14" s="8"/>
      <c r="F14" s="8"/>
    </row>
    <row r="15" spans="1:6" x14ac:dyDescent="0.25">
      <c r="A15" s="22" t="s">
        <v>136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137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138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139</v>
      </c>
      <c r="B2" s="8"/>
      <c r="C2" s="8"/>
      <c r="D2" s="8"/>
      <c r="E2" s="8"/>
      <c r="F2" s="8"/>
    </row>
    <row r="3" spans="1:6" x14ac:dyDescent="0.25">
      <c r="A3" s="22" t="s">
        <v>140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141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7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142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143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144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145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146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41">
        <f>IF(B6=0,0,IF(B8&gt;0,B8/(B6/12),0))</f>
        <v>3.2394924753859735</v>
      </c>
      <c r="C9" s="41">
        <f>IF(C6=0,0,IF(C8&gt;0,C8/(C6/12),0))</f>
        <v>10.263461704144051</v>
      </c>
      <c r="D9" s="41">
        <f>IF(D6=0,0,IF(D8&gt;0,D8/(D6/12),0))</f>
        <v>21.34412488148077</v>
      </c>
      <c r="E9" s="41">
        <f>IF(E6=0,0,IF(E8&gt;0,E8/(E6/12),0))</f>
        <v>34.93466752914153</v>
      </c>
      <c r="F9" s="41">
        <f>IF(F6=0,0,IF(F8&gt;0,F8/(F6/12),0))</f>
        <v>48.44287620611784</v>
      </c>
    </row>
    <row r="11" ht="24" customHeight="1" spans="1:7" x14ac:dyDescent="0.25">
      <c r="A11" s="8" t="s">
        <v>147</v>
      </c>
      <c r="B11" s="8"/>
      <c r="C11" s="8"/>
      <c r="D11" s="8"/>
      <c r="E11" s="8"/>
      <c r="F11" s="8"/>
      <c r="G11" s="8" t="s">
        <v>118</v>
      </c>
    </row>
    <row r="12" spans="1:7" x14ac:dyDescent="0.25">
      <c r="A12" s="22" t="s">
        <v>148</v>
      </c>
      <c r="B12" s="30">
        <v>70208</v>
      </c>
      <c r="C12" s="30">
        <v>72314</v>
      </c>
      <c r="D12" s="30">
        <v>74484</v>
      </c>
      <c r="E12" s="30">
        <v>76718</v>
      </c>
      <c r="F12" s="30">
        <v>79019</v>
      </c>
      <c r="G12" s="30">
        <f>SUM(B12:F12)</f>
        <v>372743</v>
      </c>
    </row>
    <row r="13" spans="1:7" x14ac:dyDescent="0.25">
      <c r="A13" s="22" t="s">
        <v>149</v>
      </c>
      <c r="B13" s="30">
        <v>89355</v>
      </c>
      <c r="C13" s="30">
        <v>91908</v>
      </c>
      <c r="D13" s="30">
        <v>94461</v>
      </c>
      <c r="E13" s="30">
        <v>97014</v>
      </c>
      <c r="F13" s="30">
        <v>100844</v>
      </c>
      <c r="G13" s="30">
        <f>SUM(B13:F13)</f>
        <v>473582</v>
      </c>
    </row>
    <row r="14" spans="1:7" x14ac:dyDescent="0.25">
      <c r="A14" s="34" t="s">
        <v>150</v>
      </c>
      <c r="B14" s="10">
        <v>19148</v>
      </c>
      <c r="C14" s="10">
        <v>19594</v>
      </c>
      <c r="D14" s="10">
        <v>19977</v>
      </c>
      <c r="E14" s="10">
        <v>20296</v>
      </c>
      <c r="F14" s="10">
        <v>21824</v>
      </c>
      <c r="G14" s="10">
        <f>SUM(B14:F14)</f>
        <v>100839</v>
      </c>
    </row>
    <row r="15" ht="30" customHeight="1" spans="1:7" s="39" customFormat="1" x14ac:dyDescent="0.25">
      <c r="A15" s="40" t="s">
        <v>151</v>
      </c>
      <c r="B15" s="40"/>
      <c r="C15" s="40"/>
      <c r="D15" s="40"/>
      <c r="E15" s="40"/>
      <c r="F15" s="40"/>
      <c r="G15" s="40"/>
    </row>
    <row r="16" spans="1:6" x14ac:dyDescent="0.25">
      <c r="A16" s="34" t="s">
        <v>152</v>
      </c>
      <c r="B16" s="42" t="s">
        <v>153</v>
      </c>
      <c r="C16" s="43" t="s">
        <v>24</v>
      </c>
      <c r="D16" s="43" t="s">
        <v>24</v>
      </c>
      <c r="E16" s="43" t="s">
        <v>24</v>
      </c>
      <c r="F16" s="43" t="s">
        <v>24</v>
      </c>
    </row>
  </sheetData>
  <mergeCells count="1">
    <mergeCell ref="A15:G15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4" t="s">
        <v>154</v>
      </c>
      <c r="B1" s="44"/>
      <c r="C1" s="44"/>
      <c r="D1" s="44"/>
      <c r="E1" s="44"/>
      <c r="F1" s="44"/>
    </row>
    <row r="2" spans="1:1" x14ac:dyDescent="0.25">
      <c r="A2" s="45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156</v>
      </c>
    </row>
    <row r="15" ht="24" customHeight="1" spans="1:6" x14ac:dyDescent="0.25">
      <c r="A15" s="8" t="s">
        <v>157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68</v>
      </c>
      <c r="C16" s="28" t="s">
        <v>69</v>
      </c>
      <c r="D16" s="28" t="s">
        <v>70</v>
      </c>
      <c r="E16" s="28" t="s">
        <v>71</v>
      </c>
      <c r="F16" s="28" t="s">
        <v>72</v>
      </c>
    </row>
    <row r="17" spans="1:6" x14ac:dyDescent="0.25">
      <c r="A17" s="22" t="s">
        <v>73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158</v>
      </c>
      <c r="B18" s="9" t="s">
        <v>159</v>
      </c>
      <c r="C18" s="46">
        <f>IF(B17=0,0,(C17-B17)/B17)</f>
        <v>0.5</v>
      </c>
      <c r="D18" s="46">
        <f>IF(C17=0,0,(D17-C17)/C17)</f>
        <v>0.2222222222222222</v>
      </c>
      <c r="E18" s="46">
        <f>IF(D17=0,0,(E17-D17)/D17)</f>
        <v>0.13636363636363635</v>
      </c>
      <c r="F18" s="46" t="str">
        <f>IF(E17=0,0,(F17-E17)/E17)</f>
        <v>0</v>
      </c>
    </row>
    <row r="20" ht="28" customHeight="1" spans="1:6" x14ac:dyDescent="0.25">
      <c r="A20" s="28" t="s">
        <v>24</v>
      </c>
      <c r="B20" s="28" t="s">
        <v>68</v>
      </c>
      <c r="C20" s="28" t="s">
        <v>69</v>
      </c>
      <c r="D20" s="28" t="s">
        <v>70</v>
      </c>
      <c r="E20" s="28" t="s">
        <v>71</v>
      </c>
      <c r="F20" s="28" t="s">
        <v>72</v>
      </c>
    </row>
    <row r="21" spans="1:6" x14ac:dyDescent="0.25">
      <c r="A21" s="22" t="s">
        <v>142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143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144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145</v>
      </c>
      <c r="B25" s="47">
        <f>'Financial Model'!B7</f>
        <v>47106</v>
      </c>
      <c r="C25" s="47">
        <f>'Financial Model'!C7</f>
        <v>131586</v>
      </c>
      <c r="D25" s="47">
        <f>'Financial Model'!D7</f>
        <v>209627</v>
      </c>
      <c r="E25" s="47">
        <f>'Financial Model'!E7</f>
        <v>273265</v>
      </c>
      <c r="F25" s="47">
        <f>'Financial Model'!F7</f>
        <v>282277</v>
      </c>
    </row>
    <row r="26" spans="1:6" x14ac:dyDescent="0.25">
      <c r="A26" s="22" t="s">
        <v>146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160</v>
      </c>
      <c r="B29" s="8"/>
      <c r="C29" s="8"/>
      <c r="D29" s="8"/>
      <c r="E29" s="8"/>
      <c r="F29" s="8"/>
    </row>
    <row r="30" spans="1:6" x14ac:dyDescent="0.25">
      <c r="A30" s="22" t="s">
        <v>161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162</v>
      </c>
      <c r="B31" s="46">
        <f>IF(B21=0,0,'Financial Model'!B3/B21)</f>
        <v>0.5367057761732852</v>
      </c>
      <c r="C31" s="46">
        <f>IF(C21=0,0,'Financial Model'!C3/C21)</f>
        <v>0.43171165773893433</v>
      </c>
      <c r="D31" s="46">
        <f>IF(D21=0,0,'Financial Model'!D3/D21)</f>
        <v>0.3538133315885649</v>
      </c>
      <c r="E31" s="46">
        <f>IF(E21=0,0,'Financial Model'!E3/E21)</f>
        <v>0.31158719566529075</v>
      </c>
      <c r="F31" s="46">
        <f>IF(F21=0,0,'Financial Model'!F3/F21)</f>
        <v>0.3112549289361249</v>
      </c>
    </row>
    <row r="32" spans="1:6" x14ac:dyDescent="0.25">
      <c r="A32" s="22" t="s">
        <v>163</v>
      </c>
      <c r="B32" s="46">
        <f>IF(B21=0,0,'Financial Model'!B4/B21)</f>
        <v>0.21931407942238268</v>
      </c>
      <c r="C32" s="46">
        <f>IF(C21=0,0,'Financial Model'!C4/C21)</f>
        <v>0.16141281364533408</v>
      </c>
      <c r="D32" s="46">
        <f>IF(D21=0,0,'Financial Model'!D4/D21)</f>
        <v>0.14007842110920538</v>
      </c>
      <c r="E32" s="46">
        <f>IF(E21=0,0,'Financial Model'!E4/E21)</f>
        <v>0.12854282962850486</v>
      </c>
      <c r="F32" s="46">
        <f>IF(F21=0,0,'Financial Model'!F4/F21)</f>
        <v>0.12830057064243294</v>
      </c>
    </row>
    <row r="33" spans="1:6" x14ac:dyDescent="0.25">
      <c r="A33" s="34" t="s">
        <v>164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165</v>
      </c>
      <c r="B35" s="8"/>
      <c r="C35" s="8"/>
      <c r="D35" s="8"/>
      <c r="E35" s="8"/>
      <c r="F35" s="8"/>
    </row>
    <row r="36" spans="1:6" x14ac:dyDescent="0.25">
      <c r="A36" s="22" t="s">
        <v>166</v>
      </c>
      <c r="B36" s="46">
        <v>0.5983754512635379</v>
      </c>
      <c r="C36" s="46">
        <v>0.6012475331265859</v>
      </c>
      <c r="D36" s="46">
        <v>0.6018841638357006</v>
      </c>
      <c r="E36" s="46">
        <v>0.6019619693617106</v>
      </c>
      <c r="F36" s="46">
        <v>0.6009378300086227</v>
      </c>
    </row>
    <row r="37" spans="1:6" x14ac:dyDescent="0.25">
      <c r="A37" s="22" t="s">
        <v>167</v>
      </c>
      <c r="B37" s="46">
        <v>0.37906137184115524</v>
      </c>
      <c r="C37" s="46">
        <v>0.3811319424866084</v>
      </c>
      <c r="D37" s="46">
        <v>0.3817586245734857</v>
      </c>
      <c r="E37" s="46">
        <v>0.38205457351641053</v>
      </c>
      <c r="F37" s="46">
        <v>0.3816231822277338</v>
      </c>
    </row>
    <row r="38" spans="1:6" x14ac:dyDescent="0.25">
      <c r="A38" s="22" t="s">
        <v>168</v>
      </c>
      <c r="B38" s="46">
        <v>0.02256317689530686</v>
      </c>
      <c r="C38" s="46">
        <v>0.017620524386805753</v>
      </c>
      <c r="D38" s="46">
        <v>0.016357211590813603</v>
      </c>
      <c r="E38" s="46">
        <v>0.015983457121878854</v>
      </c>
      <c r="F38" s="46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8" t="s">
        <v>21</v>
      </c>
      <c r="C1" s="18"/>
      <c r="D1" s="18"/>
      <c r="E1" s="18"/>
      <c r="F1" s="18"/>
      <c r="G1" s="18"/>
      <c r="H1" s="18"/>
    </row>
    <row r="2" ht="44" customHeight="1" spans="2:8" x14ac:dyDescent="0.25">
      <c r="B2" s="48" t="s">
        <v>169</v>
      </c>
      <c r="C2" s="48"/>
      <c r="D2" s="48"/>
      <c r="E2" s="48"/>
      <c r="F2" s="48"/>
      <c r="G2" s="48"/>
      <c r="H2" s="48"/>
    </row>
    <row r="4" ht="28" customHeight="1" spans="2:8" x14ac:dyDescent="0.25">
      <c r="B4" s="49" t="s">
        <v>170</v>
      </c>
      <c r="C4" s="49" t="s">
        <v>91</v>
      </c>
      <c r="D4" s="49" t="s">
        <v>171</v>
      </c>
      <c r="E4" s="49" t="s">
        <v>172</v>
      </c>
      <c r="F4" s="49" t="s">
        <v>173</v>
      </c>
      <c r="G4" s="49" t="s">
        <v>174</v>
      </c>
      <c r="H4" s="49" t="s">
        <v>175</v>
      </c>
    </row>
    <row r="5" ht="64" customHeight="1" spans="1:8" x14ac:dyDescent="0.25">
      <c r="A5" s="50"/>
      <c r="B5" s="51" t="s">
        <v>176</v>
      </c>
      <c r="C5" s="52" t="s">
        <v>177</v>
      </c>
      <c r="D5" s="53" t="s">
        <v>178</v>
      </c>
      <c r="E5" s="52" t="s">
        <v>179</v>
      </c>
      <c r="F5" s="54" t="s">
        <v>180</v>
      </c>
      <c r="G5" s="52" t="s">
        <v>181</v>
      </c>
      <c r="H5" s="52" t="s">
        <v>182</v>
      </c>
    </row>
    <row r="6" ht="32" customHeight="1" spans="1:8" x14ac:dyDescent="0.25">
      <c r="A6" s="50"/>
      <c r="B6" s="51" t="s">
        <v>183</v>
      </c>
      <c r="C6" s="52" t="s">
        <v>184</v>
      </c>
      <c r="D6" s="53" t="s">
        <v>178</v>
      </c>
      <c r="E6" s="52" t="s">
        <v>185</v>
      </c>
      <c r="F6" s="54" t="s">
        <v>186</v>
      </c>
      <c r="G6" s="52" t="s">
        <v>187</v>
      </c>
      <c r="H6" s="52" t="s">
        <v>188</v>
      </c>
    </row>
    <row r="7" ht="64" customHeight="1" spans="1:8" x14ac:dyDescent="0.25">
      <c r="A7" s="55"/>
      <c r="B7" s="51" t="s">
        <v>189</v>
      </c>
      <c r="C7" s="52" t="s">
        <v>190</v>
      </c>
      <c r="D7" s="56" t="s">
        <v>191</v>
      </c>
      <c r="E7" s="52" t="s">
        <v>192</v>
      </c>
      <c r="F7" s="54" t="s">
        <v>193</v>
      </c>
      <c r="G7" s="52" t="s">
        <v>194</v>
      </c>
      <c r="H7" s="52" t="s">
        <v>195</v>
      </c>
    </row>
    <row r="8" ht="32" customHeight="1" spans="1:8" x14ac:dyDescent="0.25">
      <c r="A8" s="57"/>
      <c r="B8" s="51" t="s">
        <v>196</v>
      </c>
      <c r="C8" s="52" t="s">
        <v>184</v>
      </c>
      <c r="D8" s="58" t="s">
        <v>197</v>
      </c>
      <c r="E8" s="52" t="s">
        <v>192</v>
      </c>
      <c r="F8" s="54" t="s">
        <v>198</v>
      </c>
      <c r="G8" s="52" t="s">
        <v>199</v>
      </c>
      <c r="H8" s="52" t="s">
        <v>200</v>
      </c>
    </row>
    <row r="9" ht="32" customHeight="1" spans="1:8" x14ac:dyDescent="0.25">
      <c r="A9" s="57"/>
      <c r="B9" s="51" t="s">
        <v>201</v>
      </c>
      <c r="C9" s="52" t="s">
        <v>190</v>
      </c>
      <c r="D9" s="58" t="s">
        <v>197</v>
      </c>
      <c r="E9" s="52" t="s">
        <v>192</v>
      </c>
      <c r="F9" s="54" t="s">
        <v>202</v>
      </c>
      <c r="G9" s="52" t="s">
        <v>203</v>
      </c>
      <c r="H9" s="52" t="s">
        <v>204</v>
      </c>
    </row>
    <row r="11" spans="2:8" x14ac:dyDescent="0.25">
      <c r="B11" s="59" t="s">
        <v>205</v>
      </c>
      <c r="C11" s="59"/>
      <c r="D11" s="59"/>
      <c r="E11" s="59"/>
      <c r="F11" s="59"/>
      <c r="G11" s="59"/>
      <c r="H11" s="59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Decision History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44" t="s">
        <v>206</v>
      </c>
      <c r="C2" s="44"/>
      <c r="D2" s="44"/>
      <c r="E2" s="44"/>
      <c r="F2" s="44"/>
      <c r="G2" s="44"/>
      <c r="H2" s="44"/>
      <c r="I2" s="44"/>
    </row>
    <row r="3" spans="2:9" x14ac:dyDescent="0.25">
      <c r="B3" s="59" t="s">
        <v>207</v>
      </c>
      <c r="C3" s="59"/>
      <c r="D3" s="59"/>
      <c r="E3" s="59"/>
      <c r="F3" s="59"/>
      <c r="G3" s="59"/>
      <c r="H3" s="59"/>
      <c r="I3" s="59"/>
    </row>
    <row r="4" spans="2:9" x14ac:dyDescent="0.25">
      <c r="B4" s="60" t="s">
        <v>208</v>
      </c>
      <c r="C4" s="60"/>
      <c r="D4" s="60"/>
      <c r="E4" s="60"/>
      <c r="F4" s="60"/>
      <c r="G4" s="60"/>
      <c r="H4" s="60"/>
      <c r="I4" s="60"/>
    </row>
    <row r="5" spans="2:6" x14ac:dyDescent="0.25">
      <c r="B5" s="61" t="s">
        <v>209</v>
      </c>
      <c r="D5" s="62" t="s">
        <v>210</v>
      </c>
      <c r="F5" s="63" t="s">
        <v>211</v>
      </c>
    </row>
    <row r="7" ht="24" customHeight="1" spans="2:8" x14ac:dyDescent="0.25">
      <c r="B7" s="8" t="s">
        <v>212</v>
      </c>
      <c r="C7" s="64" t="s">
        <v>68</v>
      </c>
      <c r="D7" s="64" t="s">
        <v>69</v>
      </c>
      <c r="E7" s="64" t="s">
        <v>70</v>
      </c>
      <c r="F7" s="64" t="s">
        <v>71</v>
      </c>
      <c r="G7" s="64" t="s">
        <v>72</v>
      </c>
      <c r="H7" s="64" t="s">
        <v>213</v>
      </c>
    </row>
    <row r="8" spans="2:7" x14ac:dyDescent="0.25">
      <c r="B8" s="9" t="s">
        <v>214</v>
      </c>
      <c r="C8" s="65">
        <v>12</v>
      </c>
      <c r="D8" s="65">
        <v>18</v>
      </c>
      <c r="E8" s="65">
        <v>22</v>
      </c>
      <c r="F8" s="65">
        <v>25</v>
      </c>
      <c r="G8" s="65">
        <v>25</v>
      </c>
    </row>
    <row r="9" spans="2:7" x14ac:dyDescent="0.25">
      <c r="B9" s="9" t="s">
        <v>215</v>
      </c>
      <c r="C9" s="66">
        <v>221600</v>
      </c>
      <c r="D9" s="66">
        <v>340512</v>
      </c>
      <c r="E9" s="66">
        <v>427946</v>
      </c>
      <c r="F9" s="66">
        <v>500518</v>
      </c>
      <c r="G9" s="66">
        <v>516085</v>
      </c>
    </row>
    <row r="10" spans="2:7" x14ac:dyDescent="0.25">
      <c r="B10" s="9" t="s">
        <v>216</v>
      </c>
      <c r="C10" s="66">
        <v>118934</v>
      </c>
      <c r="D10" s="66">
        <v>147003</v>
      </c>
      <c r="E10" s="66">
        <v>151413</v>
      </c>
      <c r="F10" s="66">
        <v>155955</v>
      </c>
      <c r="G10" s="66">
        <v>160634</v>
      </c>
    </row>
    <row r="11" spans="2:7" x14ac:dyDescent="0.25">
      <c r="B11" s="9" t="s">
        <v>17</v>
      </c>
      <c r="C11" s="66">
        <v>48600</v>
      </c>
      <c r="D11" s="66">
        <v>54963</v>
      </c>
      <c r="E11" s="66">
        <v>59946</v>
      </c>
      <c r="F11" s="66">
        <v>64338</v>
      </c>
      <c r="G11" s="66">
        <v>66214</v>
      </c>
    </row>
    <row r="12" spans="2:7" x14ac:dyDescent="0.25">
      <c r="B12" s="9" t="s">
        <v>217</v>
      </c>
      <c r="C12" s="66">
        <v>6959.808550594178</v>
      </c>
      <c r="D12" s="66">
        <v>6959.808550594178</v>
      </c>
      <c r="E12" s="66">
        <v>6959.808550594178</v>
      </c>
      <c r="F12" s="66">
        <v>6959.808550594178</v>
      </c>
      <c r="G12" s="66">
        <v>6959.808550594178</v>
      </c>
    </row>
    <row r="13" spans="2:7" x14ac:dyDescent="0.25">
      <c r="B13" s="67" t="s">
        <v>218</v>
      </c>
      <c r="C13" s="68">
        <v>47106</v>
      </c>
      <c r="D13" s="68">
        <v>131586</v>
      </c>
      <c r="E13" s="68">
        <v>209627</v>
      </c>
      <c r="F13" s="68">
        <v>273265</v>
      </c>
      <c r="G13" s="68">
        <v>282277</v>
      </c>
    </row>
    <row r="14" spans="2:7" x14ac:dyDescent="0.25">
      <c r="B14" s="67" t="s">
        <v>219</v>
      </c>
      <c r="C14" s="68">
        <v>47106</v>
      </c>
      <c r="D14" s="68">
        <v>178692</v>
      </c>
      <c r="E14" s="68">
        <v>388319</v>
      </c>
      <c r="F14" s="68">
        <v>661584</v>
      </c>
      <c r="G14" s="68">
        <v>943861</v>
      </c>
    </row>
    <row r="15" spans="2:7" x14ac:dyDescent="0.25">
      <c r="B15" s="67" t="s">
        <v>220</v>
      </c>
      <c r="C15" s="69">
        <v>0.21257220216606498</v>
      </c>
      <c r="D15" s="69">
        <v>0.38643572032703694</v>
      </c>
      <c r="E15" s="69">
        <v>0.4898445130927734</v>
      </c>
      <c r="F15" s="69">
        <v>0.5459643809013862</v>
      </c>
      <c r="G15" s="69">
        <v>0.5469583498842245</v>
      </c>
    </row>
    <row r="16" spans="2:8" x14ac:dyDescent="0.25">
      <c r="B16" s="67" t="s">
        <v>161</v>
      </c>
      <c r="C16" s="70">
        <v>18466.666666666668</v>
      </c>
      <c r="D16" s="70">
        <v>18917.333333333332</v>
      </c>
      <c r="E16" s="70">
        <v>19452.090909090908</v>
      </c>
      <c r="F16" s="70">
        <v>20020.72</v>
      </c>
      <c r="G16" s="70">
        <v>20643.4</v>
      </c>
      <c r="H16" s="71" t="s">
        <v>221</v>
      </c>
    </row>
    <row r="17" spans="2:7" x14ac:dyDescent="0.25">
      <c r="B17" s="67" t="s">
        <v>222</v>
      </c>
      <c r="C17" s="72">
        <v>14541.150712549514</v>
      </c>
      <c r="D17" s="72">
        <v>11606.989363921899</v>
      </c>
      <c r="E17" s="72">
        <v>9923.582206845189</v>
      </c>
      <c r="F17" s="72">
        <v>9090.112342023767</v>
      </c>
      <c r="G17" s="72">
        <v>9352.312342023766</v>
      </c>
    </row>
    <row r="18" spans="2:7" x14ac:dyDescent="0.25">
      <c r="B18" s="9" t="s">
        <v>223</v>
      </c>
      <c r="C18" s="66">
        <v>500</v>
      </c>
      <c r="D18" s="66">
        <v>515</v>
      </c>
      <c r="E18" s="66">
        <v>530</v>
      </c>
      <c r="F18" s="66">
        <v>546</v>
      </c>
      <c r="G18" s="66">
        <v>562</v>
      </c>
    </row>
    <row r="19" spans="2:8" x14ac:dyDescent="0.25">
      <c r="B19" s="9" t="s">
        <v>224</v>
      </c>
      <c r="C19" s="73">
        <v>3000</v>
      </c>
      <c r="D19" s="73">
        <v>2058.6666666666665</v>
      </c>
      <c r="E19" s="70">
        <v>1733.6818181818182</v>
      </c>
      <c r="F19" s="70">
        <v>1570.1924</v>
      </c>
      <c r="G19" s="70">
        <v>1615.9705720000002</v>
      </c>
      <c r="H19" s="71" t="s">
        <v>225</v>
      </c>
    </row>
    <row r="20" spans="2:7" x14ac:dyDescent="0.25">
      <c r="B20" s="67" t="s">
        <v>226</v>
      </c>
      <c r="C20" s="74">
        <v>3925.5</v>
      </c>
      <c r="D20" s="74">
        <v>7310.333333333333</v>
      </c>
      <c r="E20" s="74">
        <v>9528.5</v>
      </c>
      <c r="F20" s="74">
        <v>10930.6</v>
      </c>
      <c r="G20" s="74">
        <v>11291.08</v>
      </c>
    </row>
    <row r="21" spans="2:8" x14ac:dyDescent="0.25">
      <c r="B21" s="67" t="s">
        <v>227</v>
      </c>
      <c r="C21" s="69">
        <v>0.5367057761732852</v>
      </c>
      <c r="D21" s="69">
        <v>0.43171165773893433</v>
      </c>
      <c r="E21" s="69">
        <v>0.3538133315885649</v>
      </c>
      <c r="F21" s="69">
        <v>0.31158719566529075</v>
      </c>
      <c r="G21" s="69">
        <v>0.3112549289361249</v>
      </c>
      <c r="H21" s="71" t="s">
        <v>228</v>
      </c>
    </row>
    <row r="22" spans="2:8" x14ac:dyDescent="0.25">
      <c r="B22" s="67" t="s">
        <v>229</v>
      </c>
      <c r="C22" s="75">
        <v>0.1624548736462094</v>
      </c>
      <c r="D22" s="69">
        <v>0.10882435861291231</v>
      </c>
      <c r="E22" s="69">
        <v>0.08912573081650489</v>
      </c>
      <c r="F22" s="69">
        <v>0.07842836821053388</v>
      </c>
      <c r="G22" s="69">
        <v>0.07828025286532257</v>
      </c>
      <c r="H22" s="71" t="s">
        <v>230</v>
      </c>
    </row>
    <row r="23" spans="2:8" x14ac:dyDescent="0.25">
      <c r="B23" s="67" t="s">
        <v>231</v>
      </c>
      <c r="C23" s="69">
        <v>0.24398014440433213</v>
      </c>
      <c r="D23" s="69">
        <v>0.4068755286157316</v>
      </c>
      <c r="E23" s="69">
        <v>0.5061082473022297</v>
      </c>
      <c r="F23" s="69">
        <v>0.5598699747062044</v>
      </c>
      <c r="G23" s="69">
        <v>0.5604445004214422</v>
      </c>
      <c r="H23" s="71" t="s">
        <v>232</v>
      </c>
    </row>
    <row r="24" spans="2:8" x14ac:dyDescent="0.25">
      <c r="B24" s="67" t="s">
        <v>233</v>
      </c>
      <c r="C24" s="76">
        <v>3</v>
      </c>
      <c r="D24" s="76">
        <v>3</v>
      </c>
      <c r="E24" s="76">
        <v>3</v>
      </c>
      <c r="F24" s="76">
        <v>3</v>
      </c>
      <c r="G24" s="76">
        <v>3</v>
      </c>
      <c r="H24" s="71" t="s">
        <v>234</v>
      </c>
    </row>
    <row r="25" spans="2:8" x14ac:dyDescent="0.25">
      <c r="B25" s="67" t="s">
        <v>235</v>
      </c>
      <c r="C25" s="77">
        <v>7.768317132140687</v>
      </c>
      <c r="D25" s="77">
        <v>19.906582055072757</v>
      </c>
      <c r="E25" s="77">
        <v>31.11967785112557</v>
      </c>
      <c r="F25" s="77">
        <v>40.26332017079355</v>
      </c>
      <c r="G25" s="77">
        <v>41.558183374930195</v>
      </c>
      <c r="H25" s="71" t="s">
        <v>236</v>
      </c>
    </row>
    <row r="26" spans="2:8" x14ac:dyDescent="0.25">
      <c r="B26" s="67" t="s">
        <v>237</v>
      </c>
      <c r="C26" s="42" t="str">
        <f>IF('Financial Model'!B8&gt;=0,"✓ Break-even","")</f>
        <v>✓ Break-even</v>
      </c>
      <c r="D26" s="78" t="str">
        <f>IF(AND('Financial Model'!C8&gt;=0,'Financial Model'!B8&lt;0),"✓ Break-even","")</f>
        <v>0</v>
      </c>
      <c r="E26" s="78" t="str">
        <f>IF(AND('Financial Model'!D8&gt;=0,'Financial Model'!C8&lt;0),"✓ Break-even","")</f>
        <v>0</v>
      </c>
      <c r="F26" s="78" t="str">
        <f>IF(AND('Financial Model'!E8&gt;=0,'Financial Model'!D8&lt;0),"✓ Break-even","")</f>
        <v>0</v>
      </c>
      <c r="G26" s="78" t="str">
        <f>IF(AND('Financial Model'!F8&gt;=0,'Financial Model'!E8&lt;0),"✓ Break-even","")</f>
        <v>0</v>
      </c>
      <c r="H26" s="71" t="s">
        <v>68</v>
      </c>
    </row>
    <row r="27" spans="2:8" x14ac:dyDescent="0.25">
      <c r="B27" s="67" t="s">
        <v>238</v>
      </c>
      <c r="C27" s="79">
        <v>3</v>
      </c>
      <c r="D27" s="79">
        <v>10</v>
      </c>
      <c r="E27" s="80">
        <v>21</v>
      </c>
      <c r="F27" s="76">
        <v>35</v>
      </c>
      <c r="G27" s="76">
        <v>48</v>
      </c>
      <c r="H27" s="71" t="s">
        <v>239</v>
      </c>
    </row>
    <row r="28" spans="2:8" x14ac:dyDescent="0.25">
      <c r="B28" s="67" t="s">
        <v>240</v>
      </c>
      <c r="C28" s="76">
        <v>99</v>
      </c>
      <c r="D28" s="76">
        <v>312</v>
      </c>
      <c r="E28" s="76">
        <v>649</v>
      </c>
      <c r="F28" s="76">
        <v>1063</v>
      </c>
      <c r="G28" s="76">
        <v>1473</v>
      </c>
      <c r="H28" s="71" t="s">
        <v>241</v>
      </c>
    </row>
    <row r="30" ht="24" customHeight="1" spans="2:9" x14ac:dyDescent="0.25">
      <c r="B30" s="8" t="s">
        <v>242</v>
      </c>
      <c r="C30" s="8" t="s">
        <v>243</v>
      </c>
      <c r="D30" s="8" t="s">
        <v>244</v>
      </c>
      <c r="E30" s="8"/>
      <c r="F30" s="8" t="s">
        <v>245</v>
      </c>
      <c r="G30" s="8"/>
      <c r="H30" s="8"/>
      <c r="I30" s="8"/>
    </row>
    <row r="31" ht="45" customHeight="1" spans="2:9" x14ac:dyDescent="0.25">
      <c r="B31" s="81" t="s">
        <v>246</v>
      </c>
      <c r="C31" s="42" t="s">
        <v>247</v>
      </c>
      <c r="D31" s="82" t="s">
        <v>248</v>
      </c>
      <c r="E31" s="82"/>
      <c r="F31" s="83" t="s">
        <v>249</v>
      </c>
      <c r="G31" s="83"/>
      <c r="H31" s="83"/>
      <c r="I31" s="83"/>
    </row>
    <row r="32" ht="45" customHeight="1" spans="2:9" x14ac:dyDescent="0.25">
      <c r="B32" s="81" t="s">
        <v>250</v>
      </c>
      <c r="C32" s="42" t="s">
        <v>247</v>
      </c>
      <c r="D32" s="82" t="s">
        <v>251</v>
      </c>
      <c r="E32" s="82"/>
      <c r="F32" s="83" t="s">
        <v>252</v>
      </c>
      <c r="G32" s="83"/>
      <c r="H32" s="83"/>
      <c r="I32" s="83"/>
    </row>
    <row r="33" ht="45" customHeight="1" spans="2:9" x14ac:dyDescent="0.25">
      <c r="B33" s="81" t="s">
        <v>253</v>
      </c>
      <c r="C33" s="42" t="s">
        <v>247</v>
      </c>
      <c r="D33" s="82" t="s">
        <v>254</v>
      </c>
      <c r="E33" s="82"/>
      <c r="F33" s="83" t="s">
        <v>255</v>
      </c>
      <c r="G33" s="83"/>
      <c r="H33" s="83"/>
      <c r="I33" s="83"/>
    </row>
    <row r="34" ht="45" customHeight="1" spans="2:9" x14ac:dyDescent="0.25">
      <c r="B34" s="81" t="s">
        <v>256</v>
      </c>
      <c r="C34" s="42" t="s">
        <v>247</v>
      </c>
      <c r="D34" s="82" t="s">
        <v>257</v>
      </c>
      <c r="E34" s="82"/>
      <c r="F34" s="83" t="s">
        <v>258</v>
      </c>
      <c r="G34" s="83"/>
      <c r="H34" s="83"/>
      <c r="I34" s="83"/>
    </row>
    <row r="35" ht="45" customHeight="1" spans="2:9" x14ac:dyDescent="0.25">
      <c r="B35" s="81" t="s">
        <v>259</v>
      </c>
      <c r="C35" s="42" t="s">
        <v>247</v>
      </c>
      <c r="D35" s="82" t="s">
        <v>260</v>
      </c>
      <c r="E35" s="82"/>
      <c r="F35" s="83" t="s">
        <v>261</v>
      </c>
      <c r="G35" s="83"/>
      <c r="H35" s="83"/>
      <c r="I35" s="83"/>
    </row>
    <row r="36" ht="45" customHeight="1" spans="2:9" x14ac:dyDescent="0.25">
      <c r="B36" s="81" t="s">
        <v>262</v>
      </c>
      <c r="C36" s="42" t="s">
        <v>247</v>
      </c>
      <c r="D36" s="82" t="s">
        <v>263</v>
      </c>
      <c r="E36" s="82"/>
      <c r="F36" s="83" t="s">
        <v>264</v>
      </c>
      <c r="G36" s="83"/>
      <c r="H36" s="83"/>
      <c r="I36" s="83"/>
    </row>
    <row r="37" ht="45" customHeight="1" spans="2:9" x14ac:dyDescent="0.25">
      <c r="B37" s="81" t="s">
        <v>265</v>
      </c>
      <c r="C37" s="42" t="s">
        <v>247</v>
      </c>
      <c r="D37" s="82" t="s">
        <v>266</v>
      </c>
      <c r="E37" s="82"/>
      <c r="F37" s="83" t="s">
        <v>267</v>
      </c>
      <c r="G37" s="83"/>
      <c r="H37" s="83"/>
      <c r="I37" s="83"/>
    </row>
    <row r="39" spans="2:6" x14ac:dyDescent="0.25">
      <c r="B39" s="81" t="s">
        <v>20</v>
      </c>
      <c r="C39" s="67" t="s">
        <v>268</v>
      </c>
      <c r="D39" s="67"/>
      <c r="E39" s="67"/>
      <c r="F39" s="67"/>
    </row>
    <row r="41" spans="2:9" x14ac:dyDescent="0.25">
      <c r="B41" s="84" t="s">
        <v>269</v>
      </c>
      <c r="C41" s="84"/>
      <c r="D41" s="84"/>
      <c r="E41" s="84"/>
      <c r="F41" s="84"/>
      <c r="G41" s="84"/>
      <c r="H41" s="84"/>
      <c r="I41" s="84"/>
    </row>
  </sheetData>
  <mergeCells count="21">
    <mergeCell ref="B2:I2"/>
    <mergeCell ref="B3:I3"/>
    <mergeCell ref="B4:I4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D37:E37"/>
    <mergeCell ref="F37:I37"/>
    <mergeCell ref="C39:F39"/>
    <mergeCell ref="B41:I41"/>
  </mergeCells>
  <conditionalFormatting sqref="C13:G13">
    <cfRule type="expression" dxfId="0" priority="1">
      <formula>C13&gt;=0</formula>
    </cfRule>
    <cfRule type="expression" dxfId="1" priority="2">
      <formula>C13&gt;=-1</formula>
    </cfRule>
    <cfRule type="expression" dxfId="2" priority="3">
      <formula>C13&lt;-1</formula>
    </cfRule>
  </conditionalFormatting>
  <conditionalFormatting sqref="C14:G14">
    <cfRule type="expression" dxfId="3" priority="1">
      <formula>C14&gt;=0</formula>
    </cfRule>
    <cfRule type="expression" dxfId="4" priority="2">
      <formula>C14&gt;=-1</formula>
    </cfRule>
    <cfRule type="expression" dxfId="5" priority="3">
      <formula>C14&lt;-1</formula>
    </cfRule>
  </conditionalFormatting>
  <conditionalFormatting sqref="C15:G15">
    <cfRule type="expression" dxfId="6" priority="1">
      <formula>C15&gt;=0.05</formula>
    </cfRule>
    <cfRule type="expression" dxfId="7" priority="2">
      <formula>C15&gt;=0</formula>
    </cfRule>
    <cfRule type="expression" dxfId="8" priority="3">
      <formula>C15&lt;0</formula>
    </cfRule>
  </conditionalFormatting>
  <conditionalFormatting sqref="C16:G16">
    <cfRule type="expression" dxfId="9" priority="1">
      <formula>C16&gt;=10000</formula>
    </cfRule>
    <cfRule type="expression" dxfId="10" priority="2">
      <formula>C16&gt;=7000</formula>
    </cfRule>
    <cfRule type="expression" dxfId="11" priority="3">
      <formula>C16&lt;7000</formula>
    </cfRule>
  </conditionalFormatting>
  <conditionalFormatting sqref="C21:G21">
    <cfRule type="expression" dxfId="12" priority="1">
      <formula>C21&lt;=0.55</formula>
    </cfRule>
    <cfRule type="expression" dxfId="13" priority="2">
      <formula>C21&lt;=0.65</formula>
    </cfRule>
    <cfRule type="expression" dxfId="14" priority="3">
      <formula>C21&gt;0.65</formula>
    </cfRule>
  </conditionalFormatting>
  <conditionalFormatting sqref="C22:G22">
    <cfRule type="expression" dxfId="15" priority="1">
      <formula>C22&lt;=0.15</formula>
    </cfRule>
    <cfRule type="expression" dxfId="16" priority="2">
      <formula>C22&lt;=0.22</formula>
    </cfRule>
    <cfRule type="expression" dxfId="17" priority="3">
      <formula>C22&gt;0.22</formula>
    </cfRule>
  </conditionalFormatting>
  <conditionalFormatting sqref="C23:G23">
    <cfRule type="expression" dxfId="18" priority="1">
      <formula>C23&gt;=0.10</formula>
    </cfRule>
    <cfRule type="expression" dxfId="19" priority="2">
      <formula>C23&gt;=0</formula>
    </cfRule>
    <cfRule type="expression" dxfId="20" priority="3">
      <formula>C23&lt;0</formula>
    </cfRule>
  </conditionalFormatting>
  <conditionalFormatting sqref="C25:G25">
    <cfRule type="expression" dxfId="21" priority="1">
      <formula>C25&gt;=1.25</formula>
    </cfRule>
    <cfRule type="expression" dxfId="22" priority="2">
      <formula>C25&gt;=1.15</formula>
    </cfRule>
    <cfRule type="expression" dxfId="23" priority="3">
      <formula>C25&lt;1.15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2026-05-09T18:17:43Z</dcterms:created>
  <dcterms:modified xsi:type="dcterms:W3CDTF">2026-05-09T18:17:43Z</dcterms:modified>
</cp:coreProperties>
</file>