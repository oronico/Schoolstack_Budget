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Cover" state="visible" r:id="rId4"/>
    <sheet sheetId="1" name="Assumptions" state="visible" r:id="rId5"/>
    <sheet sheetId="2" name="Revenue Schedule" state="visible" r:id="rId6"/>
    <sheet sheetId="3" name="Staffing &amp; Personnel" state="visible" r:id="rId7"/>
    <sheet sheetId="4" name="Operating Expenses" state="visible" r:id="rId8"/>
    <sheet sheetId="5" name="Capital &amp; Debt" state="visible" r:id="rId9"/>
    <sheet sheetId="6" name="Financial Model" state="visible" r:id="rId10"/>
    <sheet sheetId="7" name="Summary" state="visible" r:id="rId11"/>
    <sheet sheetId="8" name="Decision History" state="visible" r:id="rId12"/>
    <sheet sheetId="10" name="Financial Health" state="visible" r:id="rId13"/>
  </sheets>
  <definedNames>
    <definedName name="_xlnm.Print_Area" localSheetId="1">'Assumptions'!$A1:$E33</definedName>
    <definedName name="_xlnm.Print_Titles" localSheetId="1">'Assumptions'!$1:$1</definedName>
    <definedName name="_xlnm.Print_Area" localSheetId="2">'Revenue Schedule'!$A1:$F17</definedName>
    <definedName name="_xlnm.Print_Titles" localSheetId="2">'Revenue Schedule'!$1:$1</definedName>
    <definedName name="_xlnm.Print_Area" localSheetId="3">'Staffing &amp; Personnel'!$A1:$H22</definedName>
    <definedName name="_xlnm.Print_Titles" localSheetId="3">'Staffing &amp; Personnel'!$1:$1</definedName>
    <definedName name="_xlnm.Print_Area" localSheetId="4">'Operating Expenses'!$A1:$F18</definedName>
    <definedName name="_xlnm.Print_Titles" localSheetId="4">'Operating Expenses'!$1:$1</definedName>
    <definedName name="_xlnm.Print_Area" localSheetId="5">'Capital &amp; Debt'!$A1:$F4</definedName>
    <definedName name="_xlnm.Print_Titles" localSheetId="5">'Capital &amp; Debt'!$1:$1</definedName>
    <definedName name="_xlnm.Print_Area" localSheetId="6">'Financial Model'!$A1:$F10</definedName>
    <definedName name="_xlnm.Print_Titles" localSheetId="6">'Financial Model'!$1:$1</definedName>
    <definedName name="_xlnm.Print_Area" localSheetId="7">'Summary'!$A1:$F38</definedName>
    <definedName name="_xlnm.Print_Titles" localSheetId="7">'Summary'!$1:$1</definedName>
    <definedName name="_xlnm.Print_Area" localSheetId="8">'Decision History'!$A1:$H11</definedName>
    <definedName name="_xlnm.Print_Titles" localSheetId="8">'Decision History'!$1:$1</definedName>
    <definedName name="_xlnm.Print_Area" localSheetId="9">'Financial Health'!$A1:$I40</definedName>
    <definedName name="_xlnm.Print_Titles" localSheetId="9">'Financial Health'!$1:$1</definedName>
  </definedNames>
  <calcPr calcId="171027" fullCalcOnLoad="1"/>
</workbook>
</file>

<file path=xl/sharedStrings.xml><?xml version="1.0" encoding="utf-8"?>
<sst xmlns="http://schemas.openxmlformats.org/spreadsheetml/2006/main" count="356" uniqueCount="257">
  <si>
    <t>SchoolStack Budget</t>
  </si>
  <si>
    <t>5-Year Financial Model</t>
  </si>
  <si>
    <t>Prepared for</t>
  </si>
  <si>
    <t>Bright Horizons Microschool</t>
  </si>
  <si>
    <t>Microschool  •  LLC - Single Member  •  AZ</t>
  </si>
  <si>
    <t>Date Prepared</t>
  </si>
  <si>
    <t>May 7, 2026</t>
  </si>
  <si>
    <t>KEY HIGHLIGHTS</t>
  </si>
  <si>
    <t>Year 5 Revenue</t>
  </si>
  <si>
    <t>Year 5 Net Income</t>
  </si>
  <si>
    <t>Year 5 Net Margin</t>
  </si>
  <si>
    <t>Operating Reserve (Months)</t>
  </si>
  <si>
    <t>Year 5 Enrollment</t>
  </si>
  <si>
    <t>TABLE OF CONTENTS</t>
  </si>
  <si>
    <t>Assumptions</t>
  </si>
  <si>
    <t>Revenue Schedule</t>
  </si>
  <si>
    <t>Staffing &amp; Personnel</t>
  </si>
  <si>
    <t>Operating Expenses</t>
  </si>
  <si>
    <t>Capital &amp; Debt</t>
  </si>
  <si>
    <t>Financial Model</t>
  </si>
  <si>
    <t>Summary</t>
  </si>
  <si>
    <t>Decision History</t>
  </si>
  <si>
    <t>Generated by SchoolStack Budget  •  budget.schoolstack.ai</t>
  </si>
  <si>
    <t>SchoolStack Budget - Assumptions</t>
  </si>
  <si>
    <t/>
  </si>
  <si>
    <t>Editable assumption — change this value</t>
  </si>
  <si>
    <t>Calculated — driven by formula</t>
  </si>
  <si>
    <t>SCHOOL INFORMATION</t>
  </si>
  <si>
    <t>School Name</t>
  </si>
  <si>
    <t>State</t>
  </si>
  <si>
    <t>AZ</t>
  </si>
  <si>
    <t>School Type</t>
  </si>
  <si>
    <t>Microschool</t>
  </si>
  <si>
    <t>Entity Type</t>
  </si>
  <si>
    <t>LLC - Single Member</t>
  </si>
  <si>
    <t>EIN</t>
  </si>
  <si>
    <t>88-1234567</t>
  </si>
  <si>
    <t>School Stage</t>
  </si>
  <si>
    <t>New School</t>
  </si>
  <si>
    <t>Opening Year</t>
  </si>
  <si>
    <t>Current Students</t>
  </si>
  <si>
    <t>Max Student Capacity</t>
  </si>
  <si>
    <t>Fiscal Year Start</t>
  </si>
  <si>
    <t>July</t>
  </si>
  <si>
    <t>Accounting Basis</t>
  </si>
  <si>
    <t>Year 1 Operating Months</t>
  </si>
  <si>
    <t>Location Secured</t>
  </si>
  <si>
    <t>Yes</t>
  </si>
  <si>
    <t>Facility Address</t>
  </si>
  <si>
    <t>123 Main St, Scottsdale, AZ, 85251</t>
  </si>
  <si>
    <t>Facility Ownership</t>
  </si>
  <si>
    <t>Rented / Leased</t>
  </si>
  <si>
    <t>Monthly Rent</t>
  </si>
  <si>
    <t>$2,500</t>
  </si>
  <si>
    <t>Annual Rent Escalation</t>
  </si>
  <si>
    <t>3%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</si>
  <si>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</si>
  <si>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</si>
  <si>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</si>
  <si>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</si>
  <si>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</si>
  <si>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</si>
  <si>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 ASSUMPTIONS</t>
  </si>
  <si>
    <t>Annual Salary Escalation</t>
  </si>
  <si>
    <t>General Cost Inflation</t>
  </si>
  <si>
    <t>Year 1 Proration Factor</t>
  </si>
  <si>
    <t>Projection Period</t>
  </si>
  <si>
    <t>5 Years</t>
  </si>
  <si>
    <t>Year 1</t>
  </si>
  <si>
    <t>Year 2</t>
  </si>
  <si>
    <t>Year 3</t>
  </si>
  <si>
    <t>Year 4</t>
  </si>
  <si>
    <t>Year 5</t>
  </si>
  <si>
    <t>Students</t>
  </si>
  <si>
    <t>TUITION &amp; STUDENT FEES</t>
  </si>
  <si>
    <t>Tuition</t>
  </si>
  <si>
    <t>Registration Fee</t>
  </si>
  <si>
    <t>Total TUITION &amp; STUDENT FEES</t>
  </si>
  <si>
    <t>TUITION OFFSETS</t>
  </si>
  <si>
    <t>Scholarship Discount</t>
  </si>
  <si>
    <t>Total TUITION OFFSETS</t>
  </si>
  <si>
    <t>SCHOOL CHOICE / CHOICE FUNDING</t>
  </si>
  <si>
    <t>AZ ESA Funds</t>
  </si>
  <si>
    <t>Total SCHOOL CHOICE / CHOICE FUNDING</t>
  </si>
  <si>
    <t>PHILANTHROPY</t>
  </si>
  <si>
    <t>Annual Fundraising</t>
  </si>
  <si>
    <t>Total PHILANTHROPY</t>
  </si>
  <si>
    <t>TOTAL NET REVENUE</t>
  </si>
  <si>
    <t>SchoolStack Budget - Staffing &amp; Personnel</t>
  </si>
  <si>
    <t>Role</t>
  </si>
  <si>
    <t>Function</t>
  </si>
  <si>
    <t>Type</t>
  </si>
  <si>
    <t>FTE</t>
  </si>
  <si>
    <t>Annual Rate</t>
  </si>
  <si>
    <t>Benefits %</t>
  </si>
  <si>
    <t>Payroll Tax %</t>
  </si>
  <si>
    <t>Total Annual Cost</t>
  </si>
  <si>
    <t>Founder / Head of School</t>
  </si>
  <si>
    <t>School Leadership</t>
  </si>
  <si>
    <t>Full-Time</t>
  </si>
  <si>
    <t>Lead Teacher</t>
  </si>
  <si>
    <t>Instructional</t>
  </si>
  <si>
    <t>Teaching Assistant</t>
  </si>
  <si>
    <t>Part-Time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</si>
  <si>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</si>
  <si>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</si>
  <si>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</si>
  <si>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</si>
  <si>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</si>
  <si>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</si>
  <si>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</si>
  <si>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Annual Personnel Cost</t>
  </si>
  <si>
    <t>PERSONNEL COST PROJECTION</t>
  </si>
  <si>
    <t>Base Personnel Cost</t>
  </si>
  <si>
    <t>Salary Escalation Factor</t>
  </si>
  <si>
    <t>Proration Factor</t>
  </si>
  <si>
    <t>Total Personnel Cost</t>
  </si>
  <si>
    <t>INSTRUCTIONAL / PROGRAM</t>
  </si>
  <si>
    <t>Curriculum &amp; Materials</t>
  </si>
  <si>
    <t>Total INSTRUCTIONAL</t>
  </si>
  <si>
    <t>TECHNOLOGY</t>
  </si>
  <si>
    <t>Technology</t>
  </si>
  <si>
    <t>Total TECHNOLOGY</t>
  </si>
  <si>
    <t>OCCUPANCY / FACILITY</t>
  </si>
  <si>
    <t>Rent</t>
  </si>
  <si>
    <t>Utilities</t>
  </si>
  <si>
    <t>Insurance</t>
  </si>
  <si>
    <t>Total OCCUPANCY</t>
  </si>
  <si>
    <t>ADMINISTRATIVE / GENERAL</t>
  </si>
  <si>
    <t>Marketing</t>
  </si>
  <si>
    <t>Total ADMINISTRATIVE</t>
  </si>
  <si>
    <t>TOTAL OPERATING EXPENSES</t>
  </si>
  <si>
    <t>CAPITAL EXPENDITURES &amp; DEBT SERVICE</t>
  </si>
  <si>
    <t>Equipment Loan</t>
  </si>
  <si>
    <t>TOTAL CAPITAL &amp; DEBT</t>
  </si>
  <si>
    <t>Total Revenue</t>
  </si>
  <si>
    <t>Personnel Costs</t>
  </si>
  <si>
    <t>Total Expenses</t>
  </si>
  <si>
    <t>Profit</t>
  </si>
  <si>
    <t>Cumulative Profit</t>
  </si>
  <si>
    <t>Break-even</t>
  </si>
  <si>
    <t>✓ Break-even</t>
  </si>
  <si>
    <t>Financial Model Summary</t>
  </si>
  <si>
    <t>Prepared by SchoolStack Budget</t>
  </si>
  <si>
    <t>25</t>
  </si>
  <si>
    <t>ENROLLMENT TREND</t>
  </si>
  <si>
    <t>Enrollment Growth %</t>
  </si>
  <si>
    <t>-</t>
  </si>
  <si>
    <t>KEY RATIOS</t>
  </si>
  <si>
    <t>Revenue per Student</t>
  </si>
  <si>
    <t>Personnel Cost as % of Revenue</t>
  </si>
  <si>
    <t>Operating Cost as % of Revenue</t>
  </si>
  <si>
    <t>Profit Margin %</t>
  </si>
  <si>
    <t>REVENUE MIX TREND</t>
  </si>
  <si>
    <t>Tuition &amp; Fees %</t>
  </si>
  <si>
    <t>Public Funding %</t>
  </si>
  <si>
    <t>Philanthropy %</t>
  </si>
  <si>
    <t>Track record of 5 tracked decisions (2 pursued, 1 on hold, 2 declined). Each entry shows the modeled change, the outcome the team logged, and any retrospective notes captured after the fact.</t>
  </si>
  <si>
    <t>Decision</t>
  </si>
  <si>
    <t>Outcome</t>
  </si>
  <si>
    <t>Applied to base model?</t>
  </si>
  <si>
    <t>Outcome logged</t>
  </si>
  <si>
    <t>Modeled change</t>
  </si>
  <si>
    <t>What happened (retrospective)</t>
  </si>
  <si>
    <t>Add Middle School program</t>
  </si>
  <si>
    <t>Add a program</t>
  </si>
  <si>
    <t>Pursued</t>
  </si>
  <si>
    <t>[APPLIED] Folded into the base model on Apr 12, 2025</t>
  </si>
  <si>
    <t>Apr 10, 2025</t>
  </si>
  <si>
    <t xml:space="preserve">• Program: Middle School (6-8)
• Tuition $14,000/yr
• Adds 72 cumulative students (5 yrs)
• +2 FTE</t>
  </si>
  <si>
    <t>Launched in fall 2025; enrollment hit plan within 1 student.</t>
  </si>
  <si>
    <t>Increase retention focus</t>
  </si>
  <si>
    <t>Change enrollment</t>
  </si>
  <si>
    <t>[PENDING] Pending apply to base model</t>
  </si>
  <si>
    <t>Mar 5, 2025</t>
  </si>
  <si>
    <t xml:space="preserve">• Enrollment +14 cumulative
• Retention 92%</t>
  </si>
  <si>
    <t>Retention initiatives approved; planner will reflect after Q2 board review.</t>
  </si>
  <si>
    <t>Evaluate downtown campus</t>
  </si>
  <si>
    <t>Evaluate a site</t>
  </si>
  <si>
    <t>On hold</t>
  </si>
  <si>
    <t>—</t>
  </si>
  <si>
    <t>Mar 25, 2025</t>
  </si>
  <si>
    <t xml:space="preserve">• Rent $8,500/mo
• Rent escalation 4%
• Sqft +1500
• Fit-out $75,000 (Y1)</t>
  </si>
  <si>
    <t>Landlord negotiations paused while waiting on city zoning ruling.</t>
  </si>
  <si>
    <t>Reduce K cohort</t>
  </si>
  <si>
    <t>Declined</t>
  </si>
  <si>
    <t>Mar 15, 2025</t>
  </si>
  <si>
    <t xml:space="preserve">• Enrollment -8 cumulative
• Tuition -$500/student</t>
  </si>
  <si>
    <t>Board declined; enrollment goals retained as originally modeled.</t>
  </si>
  <si>
    <t>Move to larger building</t>
  </si>
  <si>
    <t>Feb 10, 2025</t>
  </si>
  <si>
    <t xml:space="preserve">• Rent $12,000/mo
• Sqft +4000</t>
  </si>
  <si>
    <t>Costs out of reach; revisited next year after capital campaign.</t>
  </si>
  <si>
    <t>Generated by SchoolStack Budget (budget.schoolstack.ai)</t>
  </si>
  <si>
    <t>Bright Horizons Microschool — Financial Health Dashboard</t>
  </si>
  <si>
    <t>Generated May 7, 2026</t>
  </si>
  <si>
    <t>● Green = healthy</t>
  </si>
  <si>
    <t>◐ Yellow = monitor</t>
  </si>
  <si>
    <t>○ Red = action needed</t>
  </si>
  <si>
    <t>Metric</t>
  </si>
  <si>
    <t>Benchmark</t>
  </si>
  <si>
    <t>Enrollment</t>
  </si>
  <si>
    <t>Revenue</t>
  </si>
  <si>
    <t>Personnel</t>
  </si>
  <si>
    <t>Debt Service</t>
  </si>
  <si>
    <t>Net Income</t>
  </si>
  <si>
    <t>Ending Cash</t>
  </si>
  <si>
    <t>Net Margin</t>
  </si>
  <si>
    <t>≥ $10,000</t>
  </si>
  <si>
    <t>Cost per Student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</si>
  <si>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</si>
  <si>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</si>
  <si>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</si>
  <si>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</si>
  <si>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</si>
  <si>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</si>
  <si>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</si>
  <si>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</si>
  <si>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</si>
  <si>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</si>
  <si>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</si>
  <si>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</si>
  <si>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DSCR</t>
  </si>
  <si>
    <t>≥ 1.25x</t>
  </si>
  <si>
    <t>Break-even Year</t>
  </si>
  <si>
    <t>Cash Runway (Months)</t>
  </si>
  <si>
    <t>≥ 24 months</t>
  </si>
  <si>
    <t>Days Cash on Hand</t>
  </si>
  <si>
    <t>≥ 90 days</t>
  </si>
  <si>
    <t>FINANCIAL HEALTH SIGNALS</t>
  </si>
  <si>
    <t>Status</t>
  </si>
  <si>
    <t>Assessment</t>
  </si>
  <si>
    <t>Watch Item</t>
  </si>
  <si>
    <t>Viability</t>
  </si>
  <si>
    <t>● Healthy</t>
  </si>
  <si>
    <t>The model reaches profit early and sustains strong margins through Year 5.</t>
  </si>
  <si>
    <t>Compare your real Year 1 enrollment against this projection as students enroll.</t>
  </si>
  <si>
    <t>Liquidity</t>
  </si>
  <si>
    <t>Cash stays positive throughout the projection and reserves exceed 3 months of expenses.</t>
  </si>
  <si>
    <t>Maintain reserves as a buffer against seasonal revenue dips.</t>
  </si>
  <si>
    <t>Staffing Burden</t>
  </si>
  <si>
    <t>Staffing at 31% of revenue leaves room for facilities, programs, and reserves.</t>
  </si>
  <si>
    <t>As you add staff, ensure staffing stays below 60% of revenue.</t>
  </si>
  <si>
    <t>Facility Burden</t>
  </si>
  <si>
    <t>Facility costs at 8% of revenue are well-managed and leave budget for programs.</t>
  </si>
  <si>
    <t>Watch for rent escalation clauses that could push this higher over time.</t>
  </si>
  <si>
    <t>Debt Affordability</t>
  </si>
  <si>
    <t>DSCR of 41.56x provides comfortable coverage of debt payments with room to spare.</t>
  </si>
  <si>
    <t>Maintain this ratio as you take on any additional debt.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</si>
  <si>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</si>
  <si>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</si>
  <si>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</si>
  <si>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</si>
  <si>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48.4 months of reserves by Year 5 — a strong buffer for unexpected costs.</t>
  </si>
  <si>
    <t>Continue growing reserves toward 6 months for best-in-class financial health.</t>
  </si>
  <si>
    <t>7 Healthy  |  0 Watch  |  0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</si>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</sst>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(#,##0);_(&quot;$&quot;* &quot;-&quot;??_);_(@_)"/>
    <numFmt numFmtId="165" formatCode="0.0%;[Red](0.0%);&quot;-&quot;"/>
    <numFmt numFmtId="166" formatCode="0.0"/>
    <numFmt numFmtId="167" formatCode="#,##0;#,##0;&quot;-&quot;"/>
    <numFmt numFmtId="168" formatCode="0.0000"/>
    <numFmt numFmtId="169" formatCode="0.000"/>
    <numFmt numFmtId="170" formatCode="0.00x"/>
  </numFmts>
  <fonts count="22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1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b/>
      <color rgb="FF16A34A"/>
      <sz val="11"/>
      <name val="Calibri"/>
    </font>
    <font>
      <u/>
      <color rgb="FF2563EB"/>
      <sz val="11"/>
      <name val="Calibri"/>
    </font>
    <font>
      <i/>
      <color rgb="FF9CA3AF"/>
      <sz val="11"/>
      <name val="Calibri"/>
    </font>
    <font>
      <b/>
      <color rgb="FF1E293B"/>
      <sz val="14"/>
      <name val="Calibri"/>
    </font>
    <font>
      <i/>
      <color rgb="FF666666"/>
      <sz val="11"/>
      <name val="Calibri"/>
    </font>
    <font>
      <color rgb="FF1E3A5F"/>
      <sz val="11"/>
      <name val="Calibri"/>
    </font>
    <font>
      <color rgb="FF1E293B"/>
      <sz val="11"/>
      <name val="Calibri"/>
    </font>
    <font>
      <b/>
      <color rgb="FFFFFFFF"/>
      <sz val="11"/>
      <name val="Calibri"/>
    </font>
    <font>
      <b/>
      <color rgb="FF1E293B"/>
      <sz val="16"/>
      <name val="Calibri"/>
    </font>
    <font>
      <i/>
      <color rgb="FF888888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164" fontId="9" fillId="3" borderId="2" xfId="0" applyNumberFormat="1" applyFont="1" applyFill="1" applyBorder="1"/>
    <xf numFmtId="165" fontId="9" fillId="3" borderId="2" xfId="0" applyNumberFormat="1" applyFont="1" applyFill="1" applyBorder="1"/>
    <xf numFmtId="166" fontId="9" fillId="3" borderId="2" xfId="0" applyNumberFormat="1" applyFont="1" applyFill="1" applyBorder="1"/>
    <xf numFmtId="3" fontId="8" fillId="0" borderId="2" xfId="0" applyNumberFormat="1" applyFont="1" applyBorder="1"/>
    <xf numFmtId="0" fontId="10" fillId="0" borderId="2" xfId="0" applyFont="1" applyBorder="1"/>
    <xf numFmtId="0" fontId="0" fillId="0" borderId="2" xfId="0" applyBorder="1"/>
    <xf numFmtId="0" fontId="11" fillId="0" borderId="0" xfId="0" applyFont="1"/>
    <xf numFmtId="0" fontId="12" fillId="0" borderId="0" xfId="0" applyFont="1"/>
    <xf numFmtId="0" fontId="0" fillId="4" borderId="3" xfId="0" applyFill="1" applyBorder="1"/>
    <xf numFmtId="0" fontId="13" fillId="0" borderId="0" xfId="0" applyFont="1"/>
    <xf numFmtId="0" fontId="0" fillId="5" borderId="4" xfId="0" applyFill="1" applyBorder="1"/>
    <xf numFmtId="0" fontId="7" fillId="0" borderId="0" xfId="0" applyFont="1"/>
    <xf numFmtId="0" fontId="14" fillId="4" borderId="3" xfId="0" applyFont="1" applyFill="1" applyBorder="1"/>
    <xf numFmtId="167" fontId="14" fillId="4" borderId="3" xfId="0" applyNumberFormat="1" applyFont="1" applyFill="1" applyBorder="1"/>
    <xf numFmtId="165" fontId="14" fillId="4" borderId="3" xfId="0" applyNumberFormat="1" applyFont="1" applyFill="1" applyBorder="1"/>
    <xf numFmtId="2" fontId="14" fillId="4" borderId="3" xfId="0" applyNumberFormat="1" applyFont="1" applyFill="1" applyBorder="1"/>
    <xf numFmtId="0" fontId="15" fillId="0" borderId="0" xfId="0" applyFont="1"/>
    <xf numFmtId="0" fontId="16" fillId="6" borderId="2" xfId="0" applyFont="1" applyFill="1" applyBorder="1" applyAlignment="1">
      <alignment horizontal="center" vertical="center"/>
    </xf>
    <xf numFmtId="167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164" fontId="14" fillId="4" borderId="3" xfId="0" applyNumberFormat="1" applyFont="1" applyFill="1" applyBorder="1"/>
    <xf numFmtId="164" fontId="15" fillId="0" borderId="0" xfId="0" applyNumberFormat="1" applyFont="1"/>
    <xf numFmtId="0" fontId="8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8" fontId="7" fillId="0" borderId="2" xfId="0" applyNumberFormat="1" applyFont="1" applyBorder="1"/>
    <xf numFmtId="169" fontId="7" fillId="0" borderId="2" xfId="0" applyNumberFormat="1" applyFont="1" applyBorder="1"/>
    <xf numFmtId="166" fontId="7" fillId="0" borderId="2" xfId="0" applyNumberFormat="1" applyFont="1" applyBorder="1"/>
    <xf numFmtId="0" fontId="9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0" xfId="0" applyFont="1"/>
    <xf numFmtId="0" fontId="18" fillId="0" borderId="0" xfId="0" applyFont="1"/>
    <xf numFmtId="165" fontId="7" fillId="0" borderId="2" xfId="0" applyNumberFormat="1" applyFont="1" applyBorder="1"/>
    <xf numFmtId="164" fontId="9" fillId="3" borderId="5" xfId="0" applyNumberFormat="1" applyFont="1" applyFill="1" applyBorder="1"/>
    <xf numFmtId="0" fontId="19" fillId="0" borderId="0" xfId="0" applyFont="1" applyAlignment="1">
      <alignment vertical="top" wrapText="1"/>
    </xf>
    <xf numFmtId="0" fontId="16" fillId="6" borderId="2" xfId="0" applyFont="1" applyFill="1" applyBorder="1" applyAlignment="1">
      <alignment horizontal="left" vertical="center" wrapText="1"/>
    </xf>
    <xf numFmtId="0" fontId="0" fillId="3" borderId="0" xfId="0" applyFill="1"/>
    <xf numFmtId="0" fontId="8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3" borderId="2" xfId="0" applyFont="1" applyFill="1" applyBorder="1" applyAlignment="1">
      <alignment horizontal="center" vertical="top"/>
    </xf>
    <xf numFmtId="0" fontId="7" fillId="0" borderId="2" xfId="0" applyFont="1" applyBorder="1" applyAlignment="1">
      <alignment horizontal="left" vertical="top"/>
    </xf>
    <xf numFmtId="0" fontId="0" fillId="7" borderId="0" xfId="0" applyFill="1"/>
    <xf numFmtId="0" fontId="6" fillId="7" borderId="2" xfId="0" applyFont="1" applyFill="1" applyBorder="1" applyAlignment="1">
      <alignment horizontal="center" vertical="top"/>
    </xf>
    <xf numFmtId="0" fontId="0" fillId="8" borderId="0" xfId="0" applyFill="1"/>
    <xf numFmtId="0" fontId="6" fillId="8" borderId="2" xfId="0" applyFont="1" applyFill="1" applyBorder="1" applyAlignment="1">
      <alignment horizontal="center" vertical="top"/>
    </xf>
    <xf numFmtId="0" fontId="19" fillId="0" borderId="0" xfId="0" applyFont="1"/>
    <xf numFmtId="0" fontId="9" fillId="0" borderId="0" xfId="0" applyFont="1"/>
    <xf numFmtId="0" fontId="20" fillId="0" borderId="0" xfId="0" applyFont="1"/>
    <xf numFmtId="0" fontId="21" fillId="0" borderId="0" xfId="0" applyFont="1"/>
    <xf numFmtId="0" fontId="6" fillId="2" borderId="2" xfId="0" applyFont="1" applyFill="1" applyBorder="1" applyAlignment="1">
      <alignment horizontal="center"/>
    </xf>
    <xf numFmtId="167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0" fontId="8" fillId="0" borderId="2" xfId="0" applyFont="1" applyBorder="1"/>
    <xf numFmtId="164" fontId="8" fillId="3" borderId="5" xfId="0" applyNumberFormat="1" applyFont="1" applyFill="1" applyBorder="1" applyAlignment="1">
      <alignment horizontal="right"/>
    </xf>
    <xf numFmtId="165" fontId="8" fillId="3" borderId="5" xfId="0" applyNumberFormat="1" applyFont="1" applyFill="1" applyBorder="1" applyAlignment="1">
      <alignment horizontal="right"/>
    </xf>
    <xf numFmtId="164" fontId="7" fillId="3" borderId="2" xfId="0" applyNumberFormat="1" applyFont="1" applyFill="1" applyBorder="1" applyAlignment="1">
      <alignment horizontal="right"/>
    </xf>
    <xf numFmtId="0" fontId="19" fillId="0" borderId="2" xfId="0" applyFont="1" applyBorder="1"/>
    <xf numFmtId="164" fontId="8" fillId="0" borderId="2" xfId="0" applyNumberFormat="1" applyFont="1" applyBorder="1" applyAlignment="1">
      <alignment horizontal="right"/>
    </xf>
    <xf numFmtId="164" fontId="7" fillId="7" borderId="2" xfId="0" applyNumberFormat="1" applyFont="1" applyFill="1" applyBorder="1" applyAlignment="1">
      <alignment horizontal="right"/>
    </xf>
    <xf numFmtId="164" fontId="8" fillId="3" borderId="2" xfId="0" applyNumberFormat="1" applyFont="1" applyFill="1" applyBorder="1" applyAlignment="1">
      <alignment horizontal="right"/>
    </xf>
    <xf numFmtId="165" fontId="8" fillId="7" borderId="5" xfId="0" applyNumberFormat="1" applyFont="1" applyFill="1" applyBorder="1" applyAlignment="1">
      <alignment horizontal="right"/>
    </xf>
    <xf numFmtId="167" fontId="8" fillId="3" borderId="5" xfId="0" applyNumberFormat="1" applyFont="1" applyFill="1" applyBorder="1" applyAlignment="1">
      <alignment horizontal="right"/>
    </xf>
    <xf numFmtId="170" fontId="8" fillId="3" borderId="5" xfId="0" applyNumberFormat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167" fontId="8" fillId="8" borderId="5" xfId="0" applyNumberFormat="1" applyFont="1" applyFill="1" applyBorder="1" applyAlignment="1">
      <alignment horizontal="right"/>
    </xf>
    <xf numFmtId="167" fontId="8" fillId="7" borderId="5" xfId="0" applyNumberFormat="1" applyFont="1" applyFill="1" applyBorder="1" applyAlignment="1">
      <alignment horizontal="right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Revenue Schedule&apos;!A1" TargetMode="External"/><Relationship Id="rId3" Type="http://schemas.openxmlformats.org/officeDocument/2006/relationships/hyperlink" Target="#&apos;Staffing &amp; Personnel&apos;!A1" TargetMode="External"/><Relationship Id="rId4" Type="http://schemas.openxmlformats.org/officeDocument/2006/relationships/hyperlink" Target="#&apos;Operating Expenses&apos;!A1" TargetMode="External"/><Relationship Id="rId5" Type="http://schemas.openxmlformats.org/officeDocument/2006/relationships/hyperlink" Target="#&apos;Capital &amp; Debt&apos;!A1" TargetMode="External"/><Relationship Id="rId6" Type="http://schemas.openxmlformats.org/officeDocument/2006/relationships/hyperlink" Target="#&apos;Financial Model&apos;!A1" TargetMode="External"/><Relationship Id="rId7" Type="http://schemas.openxmlformats.org/officeDocument/2006/relationships/hyperlink" Target="#&apos;Summary&apos;!A1" TargetMode="External"/><Relationship Id="rId8" Type="http://schemas.openxmlformats.org/officeDocument/2006/relationships/hyperlink" Target="#&apos;Decision Histo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5" customWidth="1"/>
  </cols>
  <sheetData>
    <row r="1" ht="32" customHeight="1" spans="1:2" x14ac:dyDescent="0.25">
      <c r="A1" s="18" t="s">
        <v>23</v>
      </c>
      <c r="B1" s="18"/>
    </row>
    <row r="2" spans="1:5" x14ac:dyDescent="0.25">
      <c r="A2" s="19" t="s">
        <v>24</v>
      </c>
      <c r="B2" s="20" t="s">
        <v>25</v>
      </c>
      <c r="D2" s="21" t="s">
        <v>24</v>
      </c>
      <c r="E2" s="20" t="s">
        <v>26</v>
      </c>
    </row>
    <row r="3" ht="24" customHeight="1" spans="1:2" x14ac:dyDescent="0.25">
      <c r="A3" s="8" t="s">
        <v>27</v>
      </c>
      <c r="B3" s="8"/>
    </row>
    <row r="4" spans="1:2" x14ac:dyDescent="0.25">
      <c r="A4" s="22" t="s">
        <v>28</v>
      </c>
      <c r="B4" s="23" t="s">
        <v>3</v>
      </c>
    </row>
    <row r="5" spans="1:2" x14ac:dyDescent="0.25">
      <c r="A5" s="22" t="s">
        <v>29</v>
      </c>
      <c r="B5" s="23" t="s">
        <v>30</v>
      </c>
    </row>
    <row r="6" spans="1:2" x14ac:dyDescent="0.25">
      <c r="A6" s="22" t="s">
        <v>31</v>
      </c>
      <c r="B6" s="23" t="s">
        <v>32</v>
      </c>
    </row>
    <row r="7" spans="1:2" x14ac:dyDescent="0.25">
      <c r="A7" s="22" t="s">
        <v>33</v>
      </c>
      <c r="B7" s="23" t="s">
        <v>34</v>
      </c>
    </row>
    <row r="8" spans="1:2" x14ac:dyDescent="0.25">
      <c r="A8" s="22" t="s">
        <v>35</v>
      </c>
      <c r="B8" s="23" t="s">
        <v>36</v>
      </c>
    </row>
    <row r="9" spans="1:2" x14ac:dyDescent="0.25">
      <c r="A9" s="22" t="s">
        <v>37</v>
      </c>
      <c r="B9" s="23" t="s">
        <v>38</v>
      </c>
    </row>
    <row r="10" spans="1:2" x14ac:dyDescent="0.25">
      <c r="A10" s="22" t="s">
        <v>39</v>
      </c>
      <c r="B10" s="23">
        <v>2026</v>
      </c>
    </row>
    <row r="11" spans="1:2" x14ac:dyDescent="0.25">
      <c r="A11" s="22" t="s">
        <v>40</v>
      </c>
      <c r="B11" s="23">
        <v>0</v>
      </c>
    </row>
    <row r="12" spans="1:2" x14ac:dyDescent="0.25">
      <c r="A12" s="22" t="s">
        <v>41</v>
      </c>
      <c r="B12" s="23">
        <v>25</v>
      </c>
    </row>
    <row r="13" spans="1:2" x14ac:dyDescent="0.25">
      <c r="A13" s="22" t="s">
        <v>42</v>
      </c>
      <c r="B13" s="23" t="s">
        <v>43</v>
      </c>
    </row>
    <row r="14" spans="1:2" x14ac:dyDescent="0.25">
      <c r="A14" s="22" t="s">
        <v>44</v>
      </c>
      <c r="B14" s="23" t="s">
        <v>24</v>
      </c>
    </row>
    <row r="15" spans="1:2" x14ac:dyDescent="0.25">
      <c r="A15" s="22" t="s">
        <v>45</v>
      </c>
      <c r="B15" s="23">
        <v>10</v>
      </c>
    </row>
    <row r="16" spans="1:2" x14ac:dyDescent="0.25">
      <c r="A16" s="22" t="s">
        <v>46</v>
      </c>
      <c r="B16" s="23" t="s">
        <v>47</v>
      </c>
    </row>
    <row r="17" spans="1:2" x14ac:dyDescent="0.25">
      <c r="A17" s="22" t="s">
        <v>48</v>
      </c>
      <c r="B17" s="23" t="s">
        <v>49</v>
      </c>
    </row>
    <row r="18" spans="1:2" x14ac:dyDescent="0.25">
      <c r="A18" s="22" t="s">
        <v>50</v>
      </c>
      <c r="B18" s="23" t="s">
        <v>51</v>
      </c>
    </row>
    <row r="19" spans="1:2" x14ac:dyDescent="0.25">
      <c r="A19" s="22" t="s">
        <v>52</v>
      </c>
      <c r="B19" s="23" t="s">
        <v>53</v>
      </c>
    </row>
    <row r="20" spans="1:2" x14ac:dyDescent="0.25">
      <c r="A20" s="22" t="s">
        <v>54</v>
      </c>
      <c r="B20" s="23" t="s">
        <v>55</v>
      </c>
    </row>
    <row r="22" ht="24" customHeight="1" spans="1:2" x14ac:dyDescent="0.25">
      <c r="A22" s="8" t="s">
        <v>56</v>
      </c>
      <c r="B22" s="8"/>
    </row>
    <row r="23" spans="1:2" x14ac:dyDescent="0.25">
      <c r="A23" s="22" t="s">
        <v>57</v>
      </c>
      <c r="B23" s="24">
        <v>12</v>
      </c>
    </row>
    <row r="24" spans="1:2" x14ac:dyDescent="0.25">
      <c r="A24" s="22" t="s">
        <v>58</v>
      </c>
      <c r="B24" s="24">
        <v>18</v>
      </c>
    </row>
    <row r="25" spans="1:2" x14ac:dyDescent="0.25">
      <c r="A25" s="22" t="s">
        <v>59</v>
      </c>
      <c r="B25" s="24">
        <v>22</v>
      </c>
    </row>
    <row r="26" spans="1:2" x14ac:dyDescent="0.25">
      <c r="A26" s="22" t="s">
        <v>60</v>
      </c>
      <c r="B26" s="24">
        <v>25</v>
      </c>
    </row>
    <row r="27" spans="1:2" x14ac:dyDescent="0.25">
      <c r="A27" s="22" t="s">
        <v>61</v>
      </c>
      <c r="B27" s="24">
        <v>25</v>
      </c>
    </row>
    <row r="29" ht="24" customHeight="1" spans="1:2" x14ac:dyDescent="0.25">
      <c r="A29" s="8" t="s">
        <v>62</v>
      </c>
      <c r="B29" s="8"/>
    </row>
    <row r="30" spans="1:2" x14ac:dyDescent="0.25">
      <c r="A30" s="22" t="s">
        <v>63</v>
      </c>
      <c r="B30" s="25">
        <v>0.03</v>
      </c>
    </row>
    <row r="31" spans="1:2" x14ac:dyDescent="0.25">
      <c r="A31" s="22" t="s">
        <v>64</v>
      </c>
      <c r="B31" s="25">
        <v>0.025</v>
      </c>
    </row>
    <row r="32" spans="1:2" x14ac:dyDescent="0.25">
      <c r="A32" s="22" t="s">
        <v>65</v>
      </c>
      <c r="B32" s="26">
        <v>0.8333333333333334</v>
      </c>
    </row>
    <row r="33" spans="1:2" x14ac:dyDescent="0.25">
      <c r="A33" s="22" t="s">
        <v>66</v>
      </c>
      <c r="B33" s="27" t="s">
        <v>67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24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spans="1:6" x14ac:dyDescent="0.25">
      <c r="A2" s="22" t="s">
        <v>73</v>
      </c>
      <c r="B2" s="29">
        <f>Assumptions!B23</f>
        <v>12</v>
      </c>
      <c r="C2" s="29">
        <f>Assumptions!B24</f>
        <v>18</v>
      </c>
      <c r="D2" s="29">
        <f>Assumptions!B25</f>
        <v>22</v>
      </c>
      <c r="E2" s="29">
        <f>Assumptions!B26</f>
        <v>25</v>
      </c>
      <c r="F2" s="29">
        <f>Assumptions!B27</f>
        <v>25</v>
      </c>
    </row>
    <row r="3" ht="24" customHeight="1" spans="1:6" x14ac:dyDescent="0.25">
      <c r="A3" s="8" t="s">
        <v>74</v>
      </c>
      <c r="B3" s="8"/>
      <c r="C3" s="8"/>
      <c r="D3" s="8"/>
      <c r="E3" s="8"/>
      <c r="F3" s="8"/>
    </row>
    <row r="4" spans="1:6" x14ac:dyDescent="0.25">
      <c r="A4" s="22" t="s">
        <v>75</v>
      </c>
      <c r="B4" s="30">
        <f>12000*Assumptions!B23</f>
        <v>144000</v>
      </c>
      <c r="C4" s="30">
        <f>12360*Assumptions!B24</f>
        <v>222480</v>
      </c>
      <c r="D4" s="30">
        <f>12731*Assumptions!B25</f>
        <v>280082</v>
      </c>
      <c r="E4" s="30">
        <f>13113*Assumptions!B26</f>
        <v>327825</v>
      </c>
      <c r="F4" s="30">
        <f>13506*Assumptions!B27</f>
        <v>337650</v>
      </c>
    </row>
    <row r="5" spans="1:6" x14ac:dyDescent="0.25">
      <c r="A5" s="22" t="s">
        <v>76</v>
      </c>
      <c r="B5" s="30">
        <f>250*Assumptions!B23</f>
        <v>3000</v>
      </c>
      <c r="C5" s="30">
        <f>250*Assumptions!B24</f>
        <v>4500</v>
      </c>
      <c r="D5" s="30">
        <f>250*Assumptions!B25</f>
        <v>5500</v>
      </c>
      <c r="E5" s="30">
        <f>250*Assumptions!B26</f>
        <v>6250</v>
      </c>
      <c r="F5" s="30">
        <f>250*Assumptions!B27</f>
        <v>6250</v>
      </c>
    </row>
    <row r="6" ht="24" customHeight="1" spans="1:6" x14ac:dyDescent="0.25">
      <c r="A6" s="8" t="s">
        <v>77</v>
      </c>
      <c r="B6" s="31">
        <f>SUM(B4:B5)</f>
        <v>147000</v>
      </c>
      <c r="C6" s="31">
        <f>SUM(C4:C5)</f>
        <v>226980</v>
      </c>
      <c r="D6" s="31">
        <f>SUM(D4:D5)</f>
        <v>285582</v>
      </c>
      <c r="E6" s="31">
        <f>SUM(E4:E5)</f>
        <v>334075</v>
      </c>
      <c r="F6" s="31">
        <f>SUM(F4:F5)</f>
        <v>343900</v>
      </c>
    </row>
    <row r="7" ht="24" customHeight="1" spans="1:6" x14ac:dyDescent="0.25">
      <c r="A7" s="8" t="s">
        <v>78</v>
      </c>
      <c r="B7" s="8"/>
      <c r="C7" s="8"/>
      <c r="D7" s="8"/>
      <c r="E7" s="8"/>
      <c r="F7" s="8"/>
    </row>
    <row r="8" spans="1:6" x14ac:dyDescent="0.25">
      <c r="A8" s="22" t="s">
        <v>79</v>
      </c>
      <c r="B8" s="30">
        <f>-B4*0.1</f>
        <v>-14400</v>
      </c>
      <c r="C8" s="30">
        <f>-C4*0.1</f>
        <v>-22248</v>
      </c>
      <c r="D8" s="30">
        <f>-D4*0.1</f>
        <v>-28008.2</v>
      </c>
      <c r="E8" s="30">
        <f>-E4*0.1</f>
        <v>-32782.5</v>
      </c>
      <c r="F8" s="30">
        <f>-F4*0.1</f>
        <v>-33765</v>
      </c>
    </row>
    <row r="9" ht="24" customHeight="1" spans="1:6" x14ac:dyDescent="0.25">
      <c r="A9" s="8" t="s">
        <v>80</v>
      </c>
      <c r="B9" s="31">
        <f>SUM(B8:B8)</f>
        <v>-14400</v>
      </c>
      <c r="C9" s="31">
        <f>SUM(C8:C8)</f>
        <v>-22248</v>
      </c>
      <c r="D9" s="31">
        <f>SUM(D8:D8)</f>
        <v>-28008</v>
      </c>
      <c r="E9" s="31">
        <f>SUM(E8:E8)</f>
        <v>-32782</v>
      </c>
      <c r="F9" s="31">
        <f>SUM(F8:F8)</f>
        <v>-33765</v>
      </c>
    </row>
    <row r="10" ht="24" customHeight="1" spans="1:6" x14ac:dyDescent="0.25">
      <c r="A10" s="8" t="s">
        <v>81</v>
      </c>
      <c r="B10" s="8"/>
      <c r="C10" s="8"/>
      <c r="D10" s="8"/>
      <c r="E10" s="8"/>
      <c r="F10" s="8"/>
    </row>
    <row r="11" spans="1:6" x14ac:dyDescent="0.25">
      <c r="A11" s="22" t="s">
        <v>82</v>
      </c>
      <c r="B11" s="30">
        <f>7000*Assumptions!B23</f>
        <v>84000</v>
      </c>
      <c r="C11" s="30">
        <f>7210*Assumptions!B24</f>
        <v>129780</v>
      </c>
      <c r="D11" s="30">
        <f>7426*Assumptions!B25</f>
        <v>163372</v>
      </c>
      <c r="E11" s="30">
        <f>7649*Assumptions!B26</f>
        <v>191225</v>
      </c>
      <c r="F11" s="30">
        <f>7878*Assumptions!B27</f>
        <v>196950</v>
      </c>
    </row>
    <row r="12" ht="24" customHeight="1" spans="1:6" x14ac:dyDescent="0.25">
      <c r="A12" s="8" t="s">
        <v>83</v>
      </c>
      <c r="B12" s="31">
        <f>SUM(B11:B11)</f>
        <v>84000</v>
      </c>
      <c r="C12" s="31">
        <f>SUM(C11:C11)</f>
        <v>129780</v>
      </c>
      <c r="D12" s="31">
        <f>SUM(D11:D11)</f>
        <v>163372</v>
      </c>
      <c r="E12" s="31">
        <f>SUM(E11:E11)</f>
        <v>191225</v>
      </c>
      <c r="F12" s="31">
        <f>SUM(F11:F11)</f>
        <v>196950</v>
      </c>
    </row>
    <row r="13" ht="24" customHeight="1" spans="1:6" x14ac:dyDescent="0.25">
      <c r="A13" s="8" t="s">
        <v>84</v>
      </c>
      <c r="B13" s="8"/>
      <c r="C13" s="8"/>
      <c r="D13" s="8"/>
      <c r="E13" s="8"/>
      <c r="F13" s="8"/>
    </row>
    <row r="14" spans="1:6" x14ac:dyDescent="0.25">
      <c r="A14" s="22" t="s">
        <v>85</v>
      </c>
      <c r="B14" s="30">
        <v>5000</v>
      </c>
      <c r="C14" s="30">
        <v>6000</v>
      </c>
      <c r="D14" s="30">
        <v>7000</v>
      </c>
      <c r="E14" s="30">
        <v>8000</v>
      </c>
      <c r="F14" s="30">
        <v>9000</v>
      </c>
    </row>
    <row r="15" ht="24" customHeight="1" spans="1:6" x14ac:dyDescent="0.25">
      <c r="A15" s="8" t="s">
        <v>86</v>
      </c>
      <c r="B15" s="31">
        <f>SUM(B14:B14)</f>
        <v>5000</v>
      </c>
      <c r="C15" s="31">
        <f>SUM(C14:C14)</f>
        <v>6000</v>
      </c>
      <c r="D15" s="31">
        <f>SUM(D14:D14)</f>
        <v>7000</v>
      </c>
      <c r="E15" s="31">
        <f>SUM(E14:E14)</f>
        <v>8000</v>
      </c>
      <c r="F15" s="31">
        <f>SUM(F14:F14)</f>
        <v>9000</v>
      </c>
    </row>
    <row r="17" ht="24" customHeight="1" spans="1:6" x14ac:dyDescent="0.25">
      <c r="A17" s="8" t="s">
        <v>87</v>
      </c>
      <c r="B17" s="31">
        <f>B6+B9+B12+B15</f>
        <v>221600</v>
      </c>
      <c r="C17" s="31">
        <f>C6+C9+C12+C15</f>
        <v>340512</v>
      </c>
      <c r="D17" s="31">
        <f>D6+D9+D12+D15</f>
        <v>427946</v>
      </c>
      <c r="E17" s="31">
        <f>E6+E9+E12+E15</f>
        <v>500518</v>
      </c>
      <c r="F17" s="31">
        <f>F6+F9+F12+F15</f>
        <v>516085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Microschool&amp;R&amp;8&amp;IRevenue Schedule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8" t="s">
        <v>88</v>
      </c>
      <c r="B1" s="18"/>
      <c r="C1" s="18"/>
      <c r="D1" s="18"/>
      <c r="E1" s="18"/>
      <c r="F1" s="18"/>
      <c r="G1" s="18"/>
      <c r="H1" s="18"/>
    </row>
    <row r="3" ht="28" customHeight="1" spans="1:8" x14ac:dyDescent="0.25">
      <c r="A3" s="28" t="s">
        <v>89</v>
      </c>
      <c r="B3" s="28" t="s">
        <v>90</v>
      </c>
      <c r="C3" s="28" t="s">
        <v>91</v>
      </c>
      <c r="D3" s="28" t="s">
        <v>92</v>
      </c>
      <c r="E3" s="28" t="s">
        <v>93</v>
      </c>
      <c r="F3" s="28" t="s">
        <v>94</v>
      </c>
      <c r="G3" s="28" t="s">
        <v>95</v>
      </c>
      <c r="H3" s="28" t="s">
        <v>96</v>
      </c>
    </row>
    <row r="4" spans="1:8" x14ac:dyDescent="0.25">
      <c r="A4" s="22" t="s">
        <v>97</v>
      </c>
      <c r="B4" s="22" t="s">
        <v>98</v>
      </c>
      <c r="C4" s="22" t="s">
        <v>99</v>
      </c>
      <c r="D4" s="26">
        <v>1</v>
      </c>
      <c r="E4" s="32">
        <v>55000</v>
      </c>
      <c r="F4" s="25">
        <v>0.2</v>
      </c>
      <c r="G4" s="25">
        <v>0.0765</v>
      </c>
      <c r="H4" s="33">
        <v>70207.5</v>
      </c>
    </row>
    <row r="5" spans="1:8" x14ac:dyDescent="0.25">
      <c r="A5" s="22" t="s">
        <v>100</v>
      </c>
      <c r="B5" s="22" t="s">
        <v>101</v>
      </c>
      <c r="C5" s="22" t="s">
        <v>99</v>
      </c>
      <c r="D5" s="26">
        <v>1</v>
      </c>
      <c r="E5" s="32">
        <v>45000</v>
      </c>
      <c r="F5" s="25">
        <v>0.2</v>
      </c>
      <c r="G5" s="25">
        <v>0.0765</v>
      </c>
      <c r="H5" s="33">
        <v>57442.5</v>
      </c>
    </row>
    <row r="6" spans="1:8" x14ac:dyDescent="0.25">
      <c r="A6" s="22" t="s">
        <v>102</v>
      </c>
      <c r="B6" s="22" t="s">
        <v>101</v>
      </c>
      <c r="C6" s="22" t="s">
        <v>103</v>
      </c>
      <c r="D6" s="26">
        <v>0.5</v>
      </c>
      <c r="E6" s="32">
        <v>28000</v>
      </c>
      <c r="F6" s="25">
        <v>0</v>
      </c>
      <c r="G6" s="25">
        <v>0.0765</v>
      </c>
      <c r="H6" s="33">
        <v>15071</v>
      </c>
    </row>
    <row r="8" ht="24" customHeight="1" spans="1:8" x14ac:dyDescent="0.25">
      <c r="A8" s="8" t="s">
        <v>104</v>
      </c>
      <c r="B8" s="8"/>
      <c r="C8" s="8"/>
      <c r="D8" s="8"/>
      <c r="E8" s="8"/>
      <c r="F8" s="8"/>
      <c r="G8" s="8"/>
      <c r="H8" s="8"/>
    </row>
    <row r="9" spans="1:2" x14ac:dyDescent="0.25">
      <c r="A9" s="22" t="s">
        <v>105</v>
      </c>
      <c r="B9" s="34">
        <v>3</v>
      </c>
    </row>
    <row r="10" spans="1:2" x14ac:dyDescent="0.25">
      <c r="A10" s="22" t="s">
        <v>106</v>
      </c>
      <c r="B10" s="34">
        <v>2.5</v>
      </c>
    </row>
    <row r="11" spans="1:2" x14ac:dyDescent="0.25">
      <c r="A11" s="22" t="s">
        <v>107</v>
      </c>
      <c r="B11" s="35">
        <v>114000</v>
      </c>
    </row>
    <row r="12" spans="1:2" x14ac:dyDescent="0.25">
      <c r="A12" s="22" t="s">
        <v>108</v>
      </c>
      <c r="B12" s="35">
        <v>20000</v>
      </c>
    </row>
    <row r="13" spans="1:2" x14ac:dyDescent="0.25">
      <c r="A13" s="22" t="s">
        <v>109</v>
      </c>
      <c r="B13" s="35">
        <v>8721</v>
      </c>
    </row>
    <row r="14" spans="1:2" x14ac:dyDescent="0.25">
      <c r="A14" s="22" t="s">
        <v>110</v>
      </c>
      <c r="B14" s="35">
        <v>0</v>
      </c>
    </row>
    <row r="15" spans="1:2" x14ac:dyDescent="0.25">
      <c r="A15" s="34" t="s">
        <v>111</v>
      </c>
      <c r="B15" s="36">
        <v>142721</v>
      </c>
    </row>
    <row r="17" ht="24" customHeight="1" spans="1:6" x14ac:dyDescent="0.25">
      <c r="A17" s="8" t="s">
        <v>112</v>
      </c>
      <c r="B17" s="8"/>
      <c r="C17" s="8"/>
      <c r="D17" s="8"/>
      <c r="E17" s="8"/>
      <c r="F17" s="8"/>
    </row>
    <row r="18" ht="28" customHeight="1" spans="1:6" x14ac:dyDescent="0.25">
      <c r="A18" s="28" t="s">
        <v>24</v>
      </c>
      <c r="B18" s="28" t="s">
        <v>68</v>
      </c>
      <c r="C18" s="28" t="s">
        <v>69</v>
      </c>
      <c r="D18" s="28" t="s">
        <v>70</v>
      </c>
      <c r="E18" s="28" t="s">
        <v>71</v>
      </c>
      <c r="F18" s="28" t="s">
        <v>72</v>
      </c>
    </row>
    <row r="19" spans="1:6" x14ac:dyDescent="0.25">
      <c r="A19" s="22" t="s">
        <v>113</v>
      </c>
      <c r="B19" s="30">
        <v>142721</v>
      </c>
      <c r="C19" s="30">
        <v>142721</v>
      </c>
      <c r="D19" s="30">
        <v>142721</v>
      </c>
      <c r="E19" s="30">
        <v>142721</v>
      </c>
      <c r="F19" s="30">
        <v>142721</v>
      </c>
    </row>
    <row r="20" spans="1:6" x14ac:dyDescent="0.25">
      <c r="A20" s="22" t="s">
        <v>114</v>
      </c>
      <c r="B20" s="37">
        <f>(1+Assumptions!B30)^0</f>
        <v>1</v>
      </c>
      <c r="C20" s="37">
        <f>(1+Assumptions!B30)^1</f>
        <v>1.03</v>
      </c>
      <c r="D20" s="37">
        <f>(1+Assumptions!B30)^2</f>
        <v>1.0609</v>
      </c>
      <c r="E20" s="37">
        <f>(1+Assumptions!B30)^3</f>
        <v>1.092727</v>
      </c>
      <c r="F20" s="37">
        <f>(1+Assumptions!B30)^4</f>
        <v>1.1255088100000001</v>
      </c>
    </row>
    <row r="21" spans="1:6" x14ac:dyDescent="0.25">
      <c r="A21" s="22" t="s">
        <v>115</v>
      </c>
      <c r="B21" s="38">
        <f>Assumptions!B32</f>
        <v>0.8333333333333334</v>
      </c>
      <c r="C21" s="38">
        <v>1</v>
      </c>
      <c r="D21" s="38">
        <v>1</v>
      </c>
      <c r="E21" s="38">
        <v>1</v>
      </c>
      <c r="F21" s="38">
        <v>1</v>
      </c>
    </row>
    <row r="22" ht="24" customHeight="1" spans="1:6" x14ac:dyDescent="0.25">
      <c r="A22" s="8" t="s">
        <v>116</v>
      </c>
      <c r="B22" s="31">
        <f>B19*B20*B21</f>
        <v>118934</v>
      </c>
      <c r="C22" s="31">
        <f>C19*C20*C21</f>
        <v>147003</v>
      </c>
      <c r="D22" s="31">
        <f>D19*D20*D21</f>
        <v>151413</v>
      </c>
      <c r="E22" s="31">
        <f>E19*E20*E21</f>
        <v>155955</v>
      </c>
      <c r="F22" s="31">
        <f>F19*F20*F21</f>
        <v>160634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Microschool&amp;R&amp;8&amp;IStaffing &amp; 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24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spans="1:6" x14ac:dyDescent="0.25">
      <c r="A2" s="22" t="s">
        <v>73</v>
      </c>
      <c r="B2" s="29">
        <f>Assumptions!B23</f>
        <v>12</v>
      </c>
      <c r="C2" s="29">
        <f>Assumptions!B24</f>
        <v>18</v>
      </c>
      <c r="D2" s="29">
        <f>Assumptions!B25</f>
        <v>22</v>
      </c>
      <c r="E2" s="29">
        <f>Assumptions!B26</f>
        <v>25</v>
      </c>
      <c r="F2" s="29">
        <f>Assumptions!B27</f>
        <v>25</v>
      </c>
    </row>
    <row r="3" ht="24" customHeight="1" spans="1:6" x14ac:dyDescent="0.25">
      <c r="A3" s="8" t="s">
        <v>117</v>
      </c>
      <c r="B3" s="8"/>
      <c r="C3" s="8"/>
      <c r="D3" s="8"/>
      <c r="E3" s="8"/>
      <c r="F3" s="8"/>
    </row>
    <row r="4" spans="1:6" x14ac:dyDescent="0.25">
      <c r="A4" s="22" t="s">
        <v>118</v>
      </c>
      <c r="B4" s="30">
        <f>500*Assumptions!B23</f>
        <v>6000</v>
      </c>
      <c r="C4" s="30">
        <f>515*Assumptions!B24</f>
        <v>9270</v>
      </c>
      <c r="D4" s="30">
        <f>530*Assumptions!B25</f>
        <v>11660</v>
      </c>
      <c r="E4" s="30">
        <f>546*Assumptions!B26</f>
        <v>13650</v>
      </c>
      <c r="F4" s="30">
        <f>562*Assumptions!B27</f>
        <v>14050</v>
      </c>
    </row>
    <row r="5" ht="24" customHeight="1" spans="1:6" x14ac:dyDescent="0.25">
      <c r="A5" s="8" t="s">
        <v>119</v>
      </c>
      <c r="B5" s="31">
        <f>SUM(B4:B4)</f>
        <v>6000</v>
      </c>
      <c r="C5" s="31">
        <f>SUM(C4:C4)</f>
        <v>9270</v>
      </c>
      <c r="D5" s="31">
        <f>SUM(D4:D4)</f>
        <v>11660</v>
      </c>
      <c r="E5" s="31">
        <f>SUM(E4:E4)</f>
        <v>13650</v>
      </c>
      <c r="F5" s="31">
        <f>SUM(F4:F4)</f>
        <v>14050</v>
      </c>
    </row>
    <row r="6" ht="24" customHeight="1" spans="1:6" x14ac:dyDescent="0.25">
      <c r="A6" s="8" t="s">
        <v>120</v>
      </c>
      <c r="B6" s="8"/>
      <c r="C6" s="8"/>
      <c r="D6" s="8"/>
      <c r="E6" s="8"/>
      <c r="F6" s="8"/>
    </row>
    <row r="7" spans="1:6" x14ac:dyDescent="0.25">
      <c r="A7" s="22" t="s">
        <v>121</v>
      </c>
      <c r="B7" s="30">
        <f>300*Assumptions!B23</f>
        <v>3600</v>
      </c>
      <c r="C7" s="30">
        <f>309*Assumptions!B24</f>
        <v>5562</v>
      </c>
      <c r="D7" s="30">
        <f>318*Assumptions!B25</f>
        <v>6996</v>
      </c>
      <c r="E7" s="30">
        <f>328*Assumptions!B26</f>
        <v>8200</v>
      </c>
      <c r="F7" s="30">
        <f>338*Assumptions!B27</f>
        <v>8450</v>
      </c>
    </row>
    <row r="8" ht="24" customHeight="1" spans="1:6" x14ac:dyDescent="0.25">
      <c r="A8" s="8" t="s">
        <v>122</v>
      </c>
      <c r="B8" s="31">
        <f>SUM(B7:B7)</f>
        <v>3600</v>
      </c>
      <c r="C8" s="31">
        <f>SUM(C7:C7)</f>
        <v>5562</v>
      </c>
      <c r="D8" s="31">
        <f>SUM(D7:D7)</f>
        <v>6996</v>
      </c>
      <c r="E8" s="31">
        <f>SUM(E7:E7)</f>
        <v>8200</v>
      </c>
      <c r="F8" s="31">
        <f>SUM(F7:F7)</f>
        <v>8450</v>
      </c>
    </row>
    <row r="9" ht="24" customHeight="1" spans="1:6" x14ac:dyDescent="0.25">
      <c r="A9" s="8" t="s">
        <v>123</v>
      </c>
      <c r="B9" s="8"/>
      <c r="C9" s="8"/>
      <c r="D9" s="8"/>
      <c r="E9" s="8"/>
      <c r="F9" s="8"/>
    </row>
    <row r="10" spans="1:6" x14ac:dyDescent="0.25">
      <c r="A10" s="22" t="s">
        <v>124</v>
      </c>
      <c r="B10" s="30">
        <f>2500*12</f>
        <v>30000</v>
      </c>
      <c r="C10" s="30">
        <f>2575*12</f>
        <v>30900</v>
      </c>
      <c r="D10" s="30">
        <f>2652*12</f>
        <v>31824</v>
      </c>
      <c r="E10" s="30">
        <f>2732*12</f>
        <v>32784</v>
      </c>
      <c r="F10" s="30">
        <f>2814*12</f>
        <v>33768</v>
      </c>
    </row>
    <row r="11" spans="1:6" x14ac:dyDescent="0.25">
      <c r="A11" s="22" t="s">
        <v>125</v>
      </c>
      <c r="B11" s="30">
        <f>300*12</f>
        <v>3600</v>
      </c>
      <c r="C11" s="30">
        <f>308*12</f>
        <v>3696</v>
      </c>
      <c r="D11" s="30">
        <f>316*12</f>
        <v>3792</v>
      </c>
      <c r="E11" s="30">
        <f>324*12</f>
        <v>3888</v>
      </c>
      <c r="F11" s="30">
        <f>332*12</f>
        <v>3984</v>
      </c>
    </row>
    <row r="12" spans="1:6" x14ac:dyDescent="0.25">
      <c r="A12" s="22" t="s">
        <v>126</v>
      </c>
      <c r="B12" s="30">
        <v>2400</v>
      </c>
      <c r="C12" s="30">
        <v>2460</v>
      </c>
      <c r="D12" s="30">
        <v>2522</v>
      </c>
      <c r="E12" s="30">
        <v>2585</v>
      </c>
      <c r="F12" s="30">
        <v>2650</v>
      </c>
    </row>
    <row r="13" ht="24" customHeight="1" spans="1:6" x14ac:dyDescent="0.25">
      <c r="A13" s="8" t="s">
        <v>127</v>
      </c>
      <c r="B13" s="31">
        <f>SUM(B10:B12)</f>
        <v>36000</v>
      </c>
      <c r="C13" s="31">
        <f>SUM(C10:C12)</f>
        <v>37056</v>
      </c>
      <c r="D13" s="31">
        <f>SUM(D10:D12)</f>
        <v>38138</v>
      </c>
      <c r="E13" s="31">
        <f>SUM(E10:E12)</f>
        <v>39257</v>
      </c>
      <c r="F13" s="31">
        <f>SUM(F10:F12)</f>
        <v>40402</v>
      </c>
    </row>
    <row r="14" ht="24" customHeight="1" spans="1:6" x14ac:dyDescent="0.25">
      <c r="A14" s="8" t="s">
        <v>128</v>
      </c>
      <c r="B14" s="8"/>
      <c r="C14" s="8"/>
      <c r="D14" s="8"/>
      <c r="E14" s="8"/>
      <c r="F14" s="8"/>
    </row>
    <row r="15" spans="1:6" x14ac:dyDescent="0.25">
      <c r="A15" s="22" t="s">
        <v>129</v>
      </c>
      <c r="B15" s="30">
        <v>3000</v>
      </c>
      <c r="C15" s="30">
        <v>3075</v>
      </c>
      <c r="D15" s="30">
        <v>3152</v>
      </c>
      <c r="E15" s="30">
        <v>3231</v>
      </c>
      <c r="F15" s="30">
        <v>3312</v>
      </c>
    </row>
    <row r="16" ht="24" customHeight="1" spans="1:6" x14ac:dyDescent="0.25">
      <c r="A16" s="8" t="s">
        <v>130</v>
      </c>
      <c r="B16" s="31">
        <f>SUM(B15:B15)</f>
        <v>3000</v>
      </c>
      <c r="C16" s="31">
        <f>SUM(C15:C15)</f>
        <v>3075</v>
      </c>
      <c r="D16" s="31">
        <f>SUM(D15:D15)</f>
        <v>3152</v>
      </c>
      <c r="E16" s="31">
        <f>SUM(E15:E15)</f>
        <v>3231</v>
      </c>
      <c r="F16" s="31">
        <f>SUM(F15:F15)</f>
        <v>3312</v>
      </c>
    </row>
    <row r="18" ht="24" customHeight="1" spans="1:6" x14ac:dyDescent="0.25">
      <c r="A18" s="8" t="s">
        <v>131</v>
      </c>
      <c r="B18" s="31">
        <f>B5+B8+B13+B16</f>
        <v>48600</v>
      </c>
      <c r="C18" s="31">
        <f>C5+C8+C13+C16</f>
        <v>54963</v>
      </c>
      <c r="D18" s="31">
        <f>D5+D8+D13+D16</f>
        <v>59946</v>
      </c>
      <c r="E18" s="31">
        <f>E5+E8+E13+E16</f>
        <v>64338</v>
      </c>
      <c r="F18" s="31">
        <f>F5+F8+F13+F16</f>
        <v>66214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8" t="s">
        <v>24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ht="24" customHeight="1" spans="1:6" x14ac:dyDescent="0.25">
      <c r="A2" s="8" t="s">
        <v>132</v>
      </c>
      <c r="B2" s="8"/>
      <c r="C2" s="8"/>
      <c r="D2" s="8"/>
      <c r="E2" s="8"/>
      <c r="F2" s="8"/>
    </row>
    <row r="3" spans="1:6" x14ac:dyDescent="0.25">
      <c r="A3" s="22" t="s">
        <v>133</v>
      </c>
      <c r="B3" s="30">
        <v>6959.808550594178</v>
      </c>
      <c r="C3" s="30">
        <v>6959.808550594178</v>
      </c>
      <c r="D3" s="30">
        <v>6959.808550594178</v>
      </c>
      <c r="E3" s="30">
        <v>6959.808550594178</v>
      </c>
      <c r="F3" s="30">
        <v>6959.808550594178</v>
      </c>
    </row>
    <row r="4" ht="24" customHeight="1" spans="1:6" x14ac:dyDescent="0.25">
      <c r="A4" s="8" t="s">
        <v>134</v>
      </c>
      <c r="B4" s="31">
        <f>SUM(B3:B3)</f>
        <v>6960</v>
      </c>
      <c r="C4" s="31">
        <f>SUM(C3:C3)</f>
        <v>6960</v>
      </c>
      <c r="D4" s="31">
        <f>SUM(D3:D3)</f>
        <v>6960</v>
      </c>
      <c r="E4" s="31">
        <f>SUM(E3:E3)</f>
        <v>6960</v>
      </c>
      <c r="F4" s="31">
        <f>SUM(F3:F3)</f>
        <v>6960</v>
      </c>
    </row>
  </sheetData>
  <pageMargins left="0.25" right="0.25" top="0.5" bottom="0.5" header="0.3" footer="0.3"/>
  <pageSetup paperSize="1" orientation="landscape" horizontalDpi="4294967295" verticalDpi="4294967295" scale="100" fitToWidth="1" fitToHeight="0"/>
  <headerFooter>
    <oddHeader>&amp;L&amp;10&amp;BBright Horizons Microschool&amp;R&amp;8&amp;ICapital &amp; Debt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8" t="s">
        <v>1</v>
      </c>
      <c r="B1" s="28" t="s">
        <v>68</v>
      </c>
      <c r="C1" s="28" t="s">
        <v>69</v>
      </c>
      <c r="D1" s="28" t="s">
        <v>70</v>
      </c>
      <c r="E1" s="28" t="s">
        <v>71</v>
      </c>
      <c r="F1" s="28" t="s">
        <v>72</v>
      </c>
    </row>
    <row r="2" spans="1:6" x14ac:dyDescent="0.25">
      <c r="A2" s="22" t="s">
        <v>135</v>
      </c>
      <c r="B2" s="30">
        <f>'Revenue Schedule'!B17</f>
        <v>221600</v>
      </c>
      <c r="C2" s="30">
        <f>'Revenue Schedule'!C17</f>
        <v>340512</v>
      </c>
      <c r="D2" s="30">
        <f>'Revenue Schedule'!D17</f>
        <v>427946</v>
      </c>
      <c r="E2" s="30">
        <f>'Revenue Schedule'!E17</f>
        <v>500518</v>
      </c>
      <c r="F2" s="30">
        <f>'Revenue Schedule'!F17</f>
        <v>516085</v>
      </c>
    </row>
    <row r="3" spans="1:6" x14ac:dyDescent="0.25">
      <c r="A3" s="22" t="s">
        <v>136</v>
      </c>
      <c r="B3" s="30">
        <f>'Staffing &amp; Personnel'!B22</f>
        <v>118934</v>
      </c>
      <c r="C3" s="30">
        <f>'Staffing &amp; Personnel'!C22</f>
        <v>147003</v>
      </c>
      <c r="D3" s="30">
        <f>'Staffing &amp; Personnel'!D22</f>
        <v>151413</v>
      </c>
      <c r="E3" s="30">
        <f>'Staffing &amp; Personnel'!E22</f>
        <v>155955</v>
      </c>
      <c r="F3" s="30">
        <f>'Staffing &amp; Personnel'!F22</f>
        <v>160634</v>
      </c>
    </row>
    <row r="4" spans="1:6" x14ac:dyDescent="0.25">
      <c r="A4" s="22" t="s">
        <v>17</v>
      </c>
      <c r="B4" s="30">
        <f>'Operating Expenses'!B18</f>
        <v>48600</v>
      </c>
      <c r="C4" s="30">
        <f>'Operating Expenses'!C18</f>
        <v>54963</v>
      </c>
      <c r="D4" s="30">
        <f>'Operating Expenses'!D18</f>
        <v>59946</v>
      </c>
      <c r="E4" s="30">
        <f>'Operating Expenses'!E18</f>
        <v>64338</v>
      </c>
      <c r="F4" s="30">
        <f>'Operating Expenses'!F18</f>
        <v>66214</v>
      </c>
    </row>
    <row r="5" spans="1:6" x14ac:dyDescent="0.25">
      <c r="A5" s="22" t="s">
        <v>18</v>
      </c>
      <c r="B5" s="30">
        <f>'Capital &amp; Debt'!B4</f>
        <v>6960</v>
      </c>
      <c r="C5" s="30">
        <f>'Capital &amp; Debt'!C4</f>
        <v>6960</v>
      </c>
      <c r="D5" s="30">
        <f>'Capital &amp; Debt'!D4</f>
        <v>6960</v>
      </c>
      <c r="E5" s="30">
        <f>'Capital &amp; Debt'!E4</f>
        <v>6960</v>
      </c>
      <c r="F5" s="30">
        <f>'Capital &amp; Debt'!F4</f>
        <v>6960</v>
      </c>
    </row>
    <row r="6" ht="24" customHeight="1" spans="1:6" x14ac:dyDescent="0.25">
      <c r="A6" s="8" t="s">
        <v>137</v>
      </c>
      <c r="B6" s="31">
        <f>B3+B4+B5</f>
        <v>174494</v>
      </c>
      <c r="C6" s="31">
        <f>C3+C4+C5</f>
        <v>208926</v>
      </c>
      <c r="D6" s="31">
        <f>D3+D4+D5</f>
        <v>218319</v>
      </c>
      <c r="E6" s="31">
        <f>E3+E4+E5</f>
        <v>227253</v>
      </c>
      <c r="F6" s="31">
        <f>F3+F4+F5</f>
        <v>233808</v>
      </c>
    </row>
    <row r="7" ht="24" customHeight="1" spans="1:6" x14ac:dyDescent="0.25">
      <c r="A7" s="8" t="s">
        <v>138</v>
      </c>
      <c r="B7" s="31">
        <f>B2-B6</f>
        <v>47106</v>
      </c>
      <c r="C7" s="31">
        <f>C2-C6</f>
        <v>131586</v>
      </c>
      <c r="D7" s="31">
        <f>D2-D6</f>
        <v>209627</v>
      </c>
      <c r="E7" s="31">
        <f>E2-E6</f>
        <v>273265</v>
      </c>
      <c r="F7" s="31">
        <f>F2-F6</f>
        <v>282277</v>
      </c>
    </row>
    <row r="8" spans="1:6" x14ac:dyDescent="0.25">
      <c r="A8" s="22" t="s">
        <v>139</v>
      </c>
      <c r="B8" s="30">
        <f>B7</f>
        <v>47106</v>
      </c>
      <c r="C8" s="30">
        <f>B8+C7</f>
        <v>178692</v>
      </c>
      <c r="D8" s="30">
        <f>C8+D7</f>
        <v>388319</v>
      </c>
      <c r="E8" s="30">
        <f>D8+E7</f>
        <v>661584</v>
      </c>
      <c r="F8" s="30">
        <f>E8+F7</f>
        <v>943861</v>
      </c>
    </row>
    <row r="9" spans="1:6" x14ac:dyDescent="0.25">
      <c r="A9" s="22" t="s">
        <v>11</v>
      </c>
      <c r="B9" s="39">
        <f>IF(B6=0,0,IF(B8&gt;0,B8/(B6/12),0))</f>
        <v>3.2394924753859735</v>
      </c>
      <c r="C9" s="39">
        <f>IF(C6=0,0,IF(C8&gt;0,C8/(C6/12),0))</f>
        <v>10.263461704144051</v>
      </c>
      <c r="D9" s="39">
        <f>IF(D6=0,0,IF(D8&gt;0,D8/(D6/12),0))</f>
        <v>21.34412488148077</v>
      </c>
      <c r="E9" s="39">
        <f>IF(E6=0,0,IF(E8&gt;0,E8/(E6/12),0))</f>
        <v>34.93466752914153</v>
      </c>
      <c r="F9" s="39">
        <f>IF(F6=0,0,IF(F8&gt;0,F8/(F6/12),0))</f>
        <v>48.44287620611784</v>
      </c>
    </row>
    <row r="10" spans="1:6" x14ac:dyDescent="0.25">
      <c r="A10" s="34" t="s">
        <v>140</v>
      </c>
      <c r="B10" s="40" t="s">
        <v>141</v>
      </c>
      <c r="C10" s="41" t="s">
        <v>24</v>
      </c>
      <c r="D10" s="41" t="s">
        <v>24</v>
      </c>
      <c r="E10" s="41" t="s">
        <v>24</v>
      </c>
      <c r="F10" s="41" t="s">
        <v>24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Microschool&amp;R&amp;8&amp;IFinancial Model</oddHeader>
    <oddFooter>&amp;L&amp;8Built by SchoolStack Budget  •  budget.schoolstack.ai&amp;C&amp;8Page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36" customHeight="1" spans="1:6" x14ac:dyDescent="0.25">
      <c r="A1" s="42" t="s">
        <v>142</v>
      </c>
      <c r="B1" s="42"/>
      <c r="C1" s="42"/>
      <c r="D1" s="42"/>
      <c r="E1" s="42"/>
      <c r="F1" s="42"/>
    </row>
    <row r="2" spans="1:1" x14ac:dyDescent="0.25">
      <c r="A2" s="43" t="s">
        <v>143</v>
      </c>
    </row>
    <row r="4" ht="24" customHeight="1" spans="1:6" x14ac:dyDescent="0.25">
      <c r="A4" s="8" t="s">
        <v>27</v>
      </c>
      <c r="B4" s="8"/>
      <c r="C4" s="8"/>
      <c r="D4" s="8"/>
      <c r="E4" s="8"/>
      <c r="F4" s="8"/>
    </row>
    <row r="5" spans="1:2" x14ac:dyDescent="0.25">
      <c r="A5" s="22" t="s">
        <v>28</v>
      </c>
      <c r="B5" s="34" t="s">
        <v>3</v>
      </c>
    </row>
    <row r="6" spans="1:2" x14ac:dyDescent="0.25">
      <c r="A6" s="22" t="s">
        <v>31</v>
      </c>
      <c r="B6" s="34" t="s">
        <v>32</v>
      </c>
    </row>
    <row r="7" spans="1:2" x14ac:dyDescent="0.25">
      <c r="A7" s="22" t="s">
        <v>33</v>
      </c>
      <c r="B7" s="34" t="s">
        <v>34</v>
      </c>
    </row>
    <row r="8" spans="1:2" x14ac:dyDescent="0.25">
      <c r="A8" s="22" t="s">
        <v>35</v>
      </c>
      <c r="B8" s="34" t="s">
        <v>36</v>
      </c>
    </row>
    <row r="9" spans="1:2" x14ac:dyDescent="0.25">
      <c r="A9" s="22" t="s">
        <v>37</v>
      </c>
      <c r="B9" s="34" t="s">
        <v>38</v>
      </c>
    </row>
    <row r="10" spans="1:2" x14ac:dyDescent="0.25">
      <c r="A10" s="22" t="s">
        <v>29</v>
      </c>
      <c r="B10" s="34" t="s">
        <v>30</v>
      </c>
    </row>
    <row r="11" spans="1:2" x14ac:dyDescent="0.25">
      <c r="A11" s="22" t="s">
        <v>42</v>
      </c>
      <c r="B11" s="34" t="s">
        <v>43</v>
      </c>
    </row>
    <row r="12" spans="1:2" x14ac:dyDescent="0.25">
      <c r="A12" s="22" t="s">
        <v>44</v>
      </c>
      <c r="B12" s="34" t="s">
        <v>24</v>
      </c>
    </row>
    <row r="13" spans="1:2" x14ac:dyDescent="0.25">
      <c r="A13" s="22" t="s">
        <v>41</v>
      </c>
      <c r="B13" s="34" t="s">
        <v>144</v>
      </c>
    </row>
    <row r="15" ht="24" customHeight="1" spans="1:6" x14ac:dyDescent="0.25">
      <c r="A15" s="8" t="s">
        <v>145</v>
      </c>
      <c r="B15" s="8"/>
      <c r="C15" s="8"/>
      <c r="D15" s="8"/>
      <c r="E15" s="8"/>
      <c r="F15" s="8"/>
    </row>
    <row r="16" ht="28" customHeight="1" spans="1:6" x14ac:dyDescent="0.25">
      <c r="A16" s="28" t="s">
        <v>24</v>
      </c>
      <c r="B16" s="28" t="s">
        <v>68</v>
      </c>
      <c r="C16" s="28" t="s">
        <v>69</v>
      </c>
      <c r="D16" s="28" t="s">
        <v>70</v>
      </c>
      <c r="E16" s="28" t="s">
        <v>71</v>
      </c>
      <c r="F16" s="28" t="s">
        <v>72</v>
      </c>
    </row>
    <row r="17" spans="1:6" x14ac:dyDescent="0.25">
      <c r="A17" s="22" t="s">
        <v>73</v>
      </c>
      <c r="B17" s="29">
        <f>'Revenue Schedule'!B2</f>
        <v>12</v>
      </c>
      <c r="C17" s="29">
        <f>'Revenue Schedule'!C2</f>
        <v>18</v>
      </c>
      <c r="D17" s="29">
        <f>'Revenue Schedule'!D2</f>
        <v>22</v>
      </c>
      <c r="E17" s="29">
        <f>'Revenue Schedule'!E2</f>
        <v>25</v>
      </c>
      <c r="F17" s="29">
        <f>'Revenue Schedule'!F2</f>
        <v>25</v>
      </c>
    </row>
    <row r="18" spans="1:6" x14ac:dyDescent="0.25">
      <c r="A18" s="22" t="s">
        <v>146</v>
      </c>
      <c r="B18" s="9" t="s">
        <v>147</v>
      </c>
      <c r="C18" s="44">
        <f>IF(B17=0,0,(C17-B17)/B17)</f>
        <v>0.5</v>
      </c>
      <c r="D18" s="44">
        <f>IF(C17=0,0,(D17-C17)/C17)</f>
        <v>0.2222222222222222</v>
      </c>
      <c r="E18" s="44">
        <f>IF(D17=0,0,(E17-D17)/D17)</f>
        <v>0.13636363636363635</v>
      </c>
      <c r="F18" s="44" t="str">
        <f>IF(E17=0,0,(F17-E17)/E17)</f>
        <v>0</v>
      </c>
    </row>
    <row r="20" ht="28" customHeight="1" spans="1:6" x14ac:dyDescent="0.25">
      <c r="A20" s="28" t="s">
        <v>24</v>
      </c>
      <c r="B20" s="28" t="s">
        <v>68</v>
      </c>
      <c r="C20" s="28" t="s">
        <v>69</v>
      </c>
      <c r="D20" s="28" t="s">
        <v>70</v>
      </c>
      <c r="E20" s="28" t="s">
        <v>71</v>
      </c>
      <c r="F20" s="28" t="s">
        <v>72</v>
      </c>
    </row>
    <row r="21" spans="1:6" x14ac:dyDescent="0.25">
      <c r="A21" s="22" t="s">
        <v>135</v>
      </c>
      <c r="B21" s="30">
        <f>'Financial Model'!B2</f>
        <v>221600</v>
      </c>
      <c r="C21" s="30">
        <f>'Financial Model'!C2</f>
        <v>340512</v>
      </c>
      <c r="D21" s="30">
        <f>'Financial Model'!D2</f>
        <v>427946</v>
      </c>
      <c r="E21" s="30">
        <f>'Financial Model'!E2</f>
        <v>500518</v>
      </c>
      <c r="F21" s="30">
        <f>'Financial Model'!F2</f>
        <v>516085</v>
      </c>
    </row>
    <row r="22" spans="1:6" x14ac:dyDescent="0.25">
      <c r="A22" s="22" t="s">
        <v>136</v>
      </c>
      <c r="B22" s="30">
        <f>'Financial Model'!B3</f>
        <v>118934</v>
      </c>
      <c r="C22" s="30">
        <f>'Financial Model'!C3</f>
        <v>147003</v>
      </c>
      <c r="D22" s="30">
        <f>'Financial Model'!D3</f>
        <v>151413</v>
      </c>
      <c r="E22" s="30">
        <f>'Financial Model'!E3</f>
        <v>155955</v>
      </c>
      <c r="F22" s="30">
        <f>'Financial Model'!F3</f>
        <v>160634</v>
      </c>
    </row>
    <row r="23" spans="1:6" x14ac:dyDescent="0.25">
      <c r="A23" s="22" t="s">
        <v>17</v>
      </c>
      <c r="B23" s="30">
        <f>'Financial Model'!B4</f>
        <v>48600</v>
      </c>
      <c r="C23" s="30">
        <f>'Financial Model'!C4</f>
        <v>54963</v>
      </c>
      <c r="D23" s="30">
        <f>'Financial Model'!D4</f>
        <v>59946</v>
      </c>
      <c r="E23" s="30">
        <f>'Financial Model'!E4</f>
        <v>64338</v>
      </c>
      <c r="F23" s="30">
        <f>'Financial Model'!F4</f>
        <v>66214</v>
      </c>
    </row>
    <row r="24" ht="24" customHeight="1" spans="1:6" x14ac:dyDescent="0.25">
      <c r="A24" s="8" t="s">
        <v>137</v>
      </c>
      <c r="B24" s="31">
        <f>'Financial Model'!B6</f>
        <v>174494</v>
      </c>
      <c r="C24" s="31">
        <f>'Financial Model'!C6</f>
        <v>208926</v>
      </c>
      <c r="D24" s="31">
        <f>'Financial Model'!D6</f>
        <v>218319</v>
      </c>
      <c r="E24" s="31">
        <f>'Financial Model'!E6</f>
        <v>227253</v>
      </c>
      <c r="F24" s="31">
        <f>'Financial Model'!F6</f>
        <v>233808</v>
      </c>
    </row>
    <row r="25" spans="1:6" x14ac:dyDescent="0.25">
      <c r="A25" s="34" t="s">
        <v>138</v>
      </c>
      <c r="B25" s="45">
        <f>'Financial Model'!B7</f>
        <v>47106</v>
      </c>
      <c r="C25" s="45">
        <f>'Financial Model'!C7</f>
        <v>131586</v>
      </c>
      <c r="D25" s="45">
        <f>'Financial Model'!D7</f>
        <v>209627</v>
      </c>
      <c r="E25" s="45">
        <f>'Financial Model'!E7</f>
        <v>273265</v>
      </c>
      <c r="F25" s="45">
        <f>'Financial Model'!F7</f>
        <v>282277</v>
      </c>
    </row>
    <row r="26" spans="1:6" x14ac:dyDescent="0.25">
      <c r="A26" s="22" t="s">
        <v>139</v>
      </c>
      <c r="B26" s="30">
        <f>'Financial Model'!B8</f>
        <v>47106</v>
      </c>
      <c r="C26" s="30">
        <f>'Financial Model'!C8</f>
        <v>178692</v>
      </c>
      <c r="D26" s="30">
        <f>'Financial Model'!D8</f>
        <v>388319</v>
      </c>
      <c r="E26" s="30">
        <f>'Financial Model'!E8</f>
        <v>661584</v>
      </c>
      <c r="F26" s="30">
        <f>'Financial Model'!F8</f>
        <v>943861</v>
      </c>
    </row>
    <row r="27" spans="1:6" x14ac:dyDescent="0.25">
      <c r="A27" s="34" t="s">
        <v>11</v>
      </c>
      <c r="B27" s="13">
        <f>'Financial Model'!B9</f>
        <v>3.2394924753859735</v>
      </c>
      <c r="C27" s="13">
        <f>'Financial Model'!C9</f>
        <v>10.263461704144051</v>
      </c>
      <c r="D27" s="13">
        <f>'Financial Model'!D9</f>
        <v>21.34412488148077</v>
      </c>
      <c r="E27" s="13">
        <f>'Financial Model'!E9</f>
        <v>34.93466752914153</v>
      </c>
      <c r="F27" s="13">
        <f>'Financial Model'!F9</f>
        <v>48.44287620611784</v>
      </c>
    </row>
    <row r="29" ht="24" customHeight="1" spans="1:6" x14ac:dyDescent="0.25">
      <c r="A29" s="8" t="s">
        <v>148</v>
      </c>
      <c r="B29" s="8"/>
      <c r="C29" s="8"/>
      <c r="D29" s="8"/>
      <c r="E29" s="8"/>
      <c r="F29" s="8"/>
    </row>
    <row r="30" spans="1:6" x14ac:dyDescent="0.25">
      <c r="A30" s="22" t="s">
        <v>149</v>
      </c>
      <c r="B30" s="30">
        <f>IF('Revenue Schedule'!B2=0,0,B21/'Revenue Schedule'!B2)</f>
        <v>18466.666666666668</v>
      </c>
      <c r="C30" s="30">
        <f>IF('Revenue Schedule'!C2=0,0,C21/'Revenue Schedule'!C2)</f>
        <v>18917.333333333332</v>
      </c>
      <c r="D30" s="30">
        <f>IF('Revenue Schedule'!D2=0,0,D21/'Revenue Schedule'!D2)</f>
        <v>19452.090909090908</v>
      </c>
      <c r="E30" s="30">
        <f>IF('Revenue Schedule'!E2=0,0,E21/'Revenue Schedule'!E2)</f>
        <v>20020.72</v>
      </c>
      <c r="F30" s="30">
        <f>IF('Revenue Schedule'!F2=0,0,F21/'Revenue Schedule'!F2)</f>
        <v>20643.4</v>
      </c>
    </row>
    <row r="31" spans="1:6" x14ac:dyDescent="0.25">
      <c r="A31" s="22" t="s">
        <v>150</v>
      </c>
      <c r="B31" s="44">
        <f>IF(B21=0,0,'Financial Model'!B3/B21)</f>
        <v>0.5367057761732852</v>
      </c>
      <c r="C31" s="44">
        <f>IF(C21=0,0,'Financial Model'!C3/C21)</f>
        <v>0.43171165773893433</v>
      </c>
      <c r="D31" s="44">
        <f>IF(D21=0,0,'Financial Model'!D3/D21)</f>
        <v>0.3538133315885649</v>
      </c>
      <c r="E31" s="44">
        <f>IF(E21=0,0,'Financial Model'!E3/E21)</f>
        <v>0.31158719566529075</v>
      </c>
      <c r="F31" s="44">
        <f>IF(F21=0,0,'Financial Model'!F3/F21)</f>
        <v>0.3112549289361249</v>
      </c>
    </row>
    <row r="32" spans="1:6" x14ac:dyDescent="0.25">
      <c r="A32" s="22" t="s">
        <v>151</v>
      </c>
      <c r="B32" s="44">
        <f>IF(B21=0,0,'Financial Model'!B4/B21)</f>
        <v>0.21931407942238268</v>
      </c>
      <c r="C32" s="44">
        <f>IF(C21=0,0,'Financial Model'!C4/C21)</f>
        <v>0.16141281364533408</v>
      </c>
      <c r="D32" s="44">
        <f>IF(D21=0,0,'Financial Model'!D4/D21)</f>
        <v>0.14007842110920538</v>
      </c>
      <c r="E32" s="44">
        <f>IF(E21=0,0,'Financial Model'!E4/E21)</f>
        <v>0.12854282962850486</v>
      </c>
      <c r="F32" s="44">
        <f>IF(F21=0,0,'Financial Model'!F4/F21)</f>
        <v>0.12830057064243294</v>
      </c>
    </row>
    <row r="33" spans="1:6" x14ac:dyDescent="0.25">
      <c r="A33" s="34" t="s">
        <v>152</v>
      </c>
      <c r="B33" s="12">
        <f>IF(B21=0,0,B25/B21)</f>
        <v>0.21257220216606498</v>
      </c>
      <c r="C33" s="12">
        <f>IF(C21=0,0,C25/C21)</f>
        <v>0.38643572032703694</v>
      </c>
      <c r="D33" s="12">
        <f>IF(D21=0,0,D25/D21)</f>
        <v>0.4898445130927734</v>
      </c>
      <c r="E33" s="12">
        <f>IF(E21=0,0,E25/E21)</f>
        <v>0.5459643809013862</v>
      </c>
      <c r="F33" s="12">
        <f>IF(F21=0,0,F25/F21)</f>
        <v>0.5469583498842245</v>
      </c>
    </row>
    <row r="35" ht="24" customHeight="1" spans="1:6" x14ac:dyDescent="0.25">
      <c r="A35" s="8" t="s">
        <v>153</v>
      </c>
      <c r="B35" s="8"/>
      <c r="C35" s="8"/>
      <c r="D35" s="8"/>
      <c r="E35" s="8"/>
      <c r="F35" s="8"/>
    </row>
    <row r="36" spans="1:6" x14ac:dyDescent="0.25">
      <c r="A36" s="22" t="s">
        <v>154</v>
      </c>
      <c r="B36" s="44">
        <v>0.5983754512635379</v>
      </c>
      <c r="C36" s="44">
        <v>0.6012475331265859</v>
      </c>
      <c r="D36" s="44">
        <v>0.6018841638357006</v>
      </c>
      <c r="E36" s="44">
        <v>0.6019619693617106</v>
      </c>
      <c r="F36" s="44">
        <v>0.6009378300086227</v>
      </c>
    </row>
    <row r="37" spans="1:6" x14ac:dyDescent="0.25">
      <c r="A37" s="22" t="s">
        <v>155</v>
      </c>
      <c r="B37" s="44">
        <v>0.37906137184115524</v>
      </c>
      <c r="C37" s="44">
        <v>0.3811319424866084</v>
      </c>
      <c r="D37" s="44">
        <v>0.3817586245734857</v>
      </c>
      <c r="E37" s="44">
        <v>0.38205457351641053</v>
      </c>
      <c r="F37" s="44">
        <v>0.3816231822277338</v>
      </c>
    </row>
    <row r="38" spans="1:6" x14ac:dyDescent="0.25">
      <c r="A38" s="22" t="s">
        <v>156</v>
      </c>
      <c r="B38" s="44">
        <v>0.02256317689530686</v>
      </c>
      <c r="C38" s="44">
        <v>0.017620524386805753</v>
      </c>
      <c r="D38" s="44">
        <v>0.016357211590813603</v>
      </c>
      <c r="E38" s="44">
        <v>0.015983457121878854</v>
      </c>
      <c r="F38" s="44">
        <v>0.017438987763643585</v>
      </c>
    </row>
  </sheetData>
  <mergeCells count="1">
    <mergeCell ref="A1:F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Microschool&amp;R&amp;8&amp;ISummary</oddHeader>
    <oddFooter>&amp;L&amp;8Built by SchoolStack Budget  •  budget.schoolstack.ai&amp;C&amp;8Page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A1:H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4" width="14" customWidth="1"/>
    <col min="5" max="5" width="30" customWidth="1"/>
    <col min="6" max="6" width="18" customWidth="1"/>
    <col min="7" max="7" width="38" customWidth="1"/>
    <col min="8" max="8" width="50" customWidth="1"/>
  </cols>
  <sheetData>
    <row r="1" ht="24" customHeight="1" spans="2:8" x14ac:dyDescent="0.25">
      <c r="B1" s="18" t="s">
        <v>21</v>
      </c>
      <c r="C1" s="18"/>
      <c r="D1" s="18"/>
      <c r="E1" s="18"/>
      <c r="F1" s="18"/>
      <c r="G1" s="18"/>
      <c r="H1" s="18"/>
    </row>
    <row r="2" ht="44" customHeight="1" spans="2:8" x14ac:dyDescent="0.25">
      <c r="B2" s="46" t="s">
        <v>157</v>
      </c>
      <c r="C2" s="46"/>
      <c r="D2" s="46"/>
      <c r="E2" s="46"/>
      <c r="F2" s="46"/>
      <c r="G2" s="46"/>
      <c r="H2" s="46"/>
    </row>
    <row r="4" ht="28" customHeight="1" spans="2:8" x14ac:dyDescent="0.25">
      <c r="B4" s="47" t="s">
        <v>158</v>
      </c>
      <c r="C4" s="47" t="s">
        <v>91</v>
      </c>
      <c r="D4" s="47" t="s">
        <v>159</v>
      </c>
      <c r="E4" s="47" t="s">
        <v>160</v>
      </c>
      <c r="F4" s="47" t="s">
        <v>161</v>
      </c>
      <c r="G4" s="47" t="s">
        <v>162</v>
      </c>
      <c r="H4" s="47" t="s">
        <v>163</v>
      </c>
    </row>
    <row r="5" ht="64" customHeight="1" spans="1:8" x14ac:dyDescent="0.25">
      <c r="A5" s="48"/>
      <c r="B5" s="49" t="s">
        <v>164</v>
      </c>
      <c r="C5" s="50" t="s">
        <v>165</v>
      </c>
      <c r="D5" s="51" t="s">
        <v>166</v>
      </c>
      <c r="E5" s="50" t="s">
        <v>167</v>
      </c>
      <c r="F5" s="52" t="s">
        <v>168</v>
      </c>
      <c r="G5" s="50" t="s">
        <v>169</v>
      </c>
      <c r="H5" s="50" t="s">
        <v>170</v>
      </c>
    </row>
    <row r="6" ht="32" customHeight="1" spans="1:8" x14ac:dyDescent="0.25">
      <c r="A6" s="48"/>
      <c r="B6" s="49" t="s">
        <v>171</v>
      </c>
      <c r="C6" s="50" t="s">
        <v>172</v>
      </c>
      <c r="D6" s="51" t="s">
        <v>166</v>
      </c>
      <c r="E6" s="50" t="s">
        <v>173</v>
      </c>
      <c r="F6" s="52" t="s">
        <v>174</v>
      </c>
      <c r="G6" s="50" t="s">
        <v>175</v>
      </c>
      <c r="H6" s="50" t="s">
        <v>176</v>
      </c>
    </row>
    <row r="7" ht="64" customHeight="1" spans="1:8" x14ac:dyDescent="0.25">
      <c r="A7" s="53"/>
      <c r="B7" s="49" t="s">
        <v>177</v>
      </c>
      <c r="C7" s="50" t="s">
        <v>178</v>
      </c>
      <c r="D7" s="54" t="s">
        <v>179</v>
      </c>
      <c r="E7" s="50" t="s">
        <v>180</v>
      </c>
      <c r="F7" s="52" t="s">
        <v>181</v>
      </c>
      <c r="G7" s="50" t="s">
        <v>182</v>
      </c>
      <c r="H7" s="50" t="s">
        <v>183</v>
      </c>
    </row>
    <row r="8" ht="32" customHeight="1" spans="1:8" x14ac:dyDescent="0.25">
      <c r="A8" s="55"/>
      <c r="B8" s="49" t="s">
        <v>184</v>
      </c>
      <c r="C8" s="50" t="s">
        <v>172</v>
      </c>
      <c r="D8" s="56" t="s">
        <v>185</v>
      </c>
      <c r="E8" s="50" t="s">
        <v>180</v>
      </c>
      <c r="F8" s="52" t="s">
        <v>186</v>
      </c>
      <c r="G8" s="50" t="s">
        <v>187</v>
      </c>
      <c r="H8" s="50" t="s">
        <v>188</v>
      </c>
    </row>
    <row r="9" ht="32" customHeight="1" spans="1:8" x14ac:dyDescent="0.25">
      <c r="A9" s="55"/>
      <c r="B9" s="49" t="s">
        <v>189</v>
      </c>
      <c r="C9" s="50" t="s">
        <v>178</v>
      </c>
      <c r="D9" s="56" t="s">
        <v>185</v>
      </c>
      <c r="E9" s="50" t="s">
        <v>180</v>
      </c>
      <c r="F9" s="52" t="s">
        <v>190</v>
      </c>
      <c r="G9" s="50" t="s">
        <v>191</v>
      </c>
      <c r="H9" s="50" t="s">
        <v>192</v>
      </c>
    </row>
    <row r="11" spans="2:8" x14ac:dyDescent="0.25">
      <c r="B11" s="57" t="s">
        <v>193</v>
      </c>
      <c r="C11" s="57"/>
      <c r="D11" s="57"/>
      <c r="E11" s="57"/>
      <c r="F11" s="57"/>
      <c r="G11" s="57"/>
      <c r="H11" s="57"/>
    </row>
  </sheetData>
  <mergeCells count="3">
    <mergeCell ref="B1:H1"/>
    <mergeCell ref="B2:H2"/>
    <mergeCell ref="B11:H11"/>
  </mergeCells>
  <pageMargins left="0.5" right="0.5" top="0.75" bottom="0.75" header="0.3" footer="0.3"/>
  <pageSetup paperSize="1" orientation="landscape" fitToWidth="1" fitToHeight="0"/>
  <headerFooter>
    <oddHeader>&amp;L&amp;10&amp;BBright Horizons Microschool&amp;R&amp;8&amp;IDecision History</oddHeader>
    <oddFooter>&amp;L&amp;8Built by SchoolStack Budget  •  budget.schoolstack.ai&amp;C&amp;8Page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C34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2:3" x14ac:dyDescent="0.25">
      <c r="B15" s="8" t="s">
        <v>7</v>
      </c>
      <c r="C15" s="8"/>
    </row>
    <row r="16" spans="2:3" x14ac:dyDescent="0.25">
      <c r="B16" s="9" t="s">
        <v>8</v>
      </c>
      <c r="C16" s="10">
        <v>516085</v>
      </c>
    </row>
    <row r="17" spans="2:3" x14ac:dyDescent="0.25">
      <c r="B17" s="9" t="s">
        <v>9</v>
      </c>
      <c r="C17" s="11">
        <v>282277</v>
      </c>
    </row>
    <row r="18" spans="2:3" x14ac:dyDescent="0.25">
      <c r="B18" s="9" t="s">
        <v>10</v>
      </c>
      <c r="C18" s="12">
        <v>0.5469583498842245</v>
      </c>
    </row>
    <row r="19" spans="2:3" x14ac:dyDescent="0.25">
      <c r="B19" s="9" t="s">
        <v>11</v>
      </c>
      <c r="C19" s="13">
        <v>48.44287620611784</v>
      </c>
    </row>
    <row r="20" spans="2:3" x14ac:dyDescent="0.25">
      <c r="B20" s="9" t="s">
        <v>12</v>
      </c>
      <c r="C20" s="14">
        <v>25</v>
      </c>
    </row>
    <row r="23" ht="24" customHeight="1" spans="2:3" x14ac:dyDescent="0.25">
      <c r="B23" s="8" t="s">
        <v>13</v>
      </c>
      <c r="C23" s="8"/>
    </row>
    <row r="24" spans="2:3" x14ac:dyDescent="0.25">
      <c r="B24" s="15" t="s">
        <v>14</v>
      </c>
      <c r="C24" s="16"/>
    </row>
    <row r="25" spans="2:3" x14ac:dyDescent="0.25">
      <c r="B25" s="15" t="s">
        <v>15</v>
      </c>
      <c r="C25" s="16"/>
    </row>
    <row r="26" spans="2:3" x14ac:dyDescent="0.25">
      <c r="B26" s="15" t="s">
        <v>16</v>
      </c>
      <c r="C26" s="16"/>
    </row>
    <row r="27" spans="2:3" x14ac:dyDescent="0.25">
      <c r="B27" s="15" t="s">
        <v>17</v>
      </c>
      <c r="C27" s="16"/>
    </row>
    <row r="28" spans="2:3" x14ac:dyDescent="0.25">
      <c r="B28" s="15" t="s">
        <v>18</v>
      </c>
      <c r="C28" s="16"/>
    </row>
    <row r="29" spans="2:3" x14ac:dyDescent="0.25">
      <c r="B29" s="15" t="s">
        <v>19</v>
      </c>
      <c r="C29" s="16"/>
    </row>
    <row r="30" spans="2:3" x14ac:dyDescent="0.25">
      <c r="B30" s="15" t="s">
        <v>20</v>
      </c>
      <c r="C30" s="16"/>
    </row>
    <row r="31" spans="2:3" x14ac:dyDescent="0.25">
      <c r="B31" s="15" t="s">
        <v>21</v>
      </c>
      <c r="C31" s="16"/>
    </row>
    <row r="34" spans="2:3" x14ac:dyDescent="0.25">
      <c r="B34" s="17" t="s">
        <v>22</v>
      </c>
      <c r="C34" s="17"/>
    </row>
  </sheetData>
  <mergeCells count="5">
    <mergeCell ref="B3:C3"/>
    <mergeCell ref="B4:C4"/>
    <mergeCell ref="B9:C9"/>
    <mergeCell ref="B10:C10"/>
    <mergeCell ref="B34:C34"/>
  </mergeCells>
  <hyperlinks>
    <hyperlink ref="B24" r:id="rId1" location="#'Assumptions'!A1"/>
    <hyperlink ref="B25" r:id="rId2" location="#'Revenue Schedule'!A1"/>
    <hyperlink ref="B26" r:id="rId3" location="#'Staffing &amp; Personnel'!A1"/>
    <hyperlink ref="B27" r:id="rId4" location="#'Operating Expenses'!A1"/>
    <hyperlink ref="B28" r:id="rId5" location="#'Capital &amp; Debt'!A1"/>
    <hyperlink ref="B29" r:id="rId6" location="#'Financial Model'!A1"/>
    <hyperlink ref="B30" r:id="rId7" location="#'Summary'!A1"/>
    <hyperlink ref="B31" r:id="rId8" location="#'Decision History'!A1"/>
  </hyperlinks>
  <pageMargins left="0.75" right="0.75" top="1" bottom="1" header="0.3" footer="0.3"/>
  <pageSetup paperSize="1" orientation="portrait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I4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9" x14ac:dyDescent="0.25">
      <c r="B2" s="42" t="s">
        <v>194</v>
      </c>
      <c r="C2" s="42"/>
      <c r="D2" s="42"/>
      <c r="E2" s="42"/>
      <c r="F2" s="42"/>
      <c r="G2" s="42"/>
      <c r="H2" s="42"/>
      <c r="I2" s="42"/>
    </row>
    <row r="3" spans="2:9" x14ac:dyDescent="0.25">
      <c r="B3" s="57" t="s">
        <v>195</v>
      </c>
      <c r="C3" s="57"/>
      <c r="D3" s="57"/>
      <c r="E3" s="57"/>
      <c r="F3" s="57"/>
      <c r="G3" s="57"/>
      <c r="H3" s="57"/>
      <c r="I3" s="57"/>
    </row>
    <row r="4" spans="2:6" x14ac:dyDescent="0.25">
      <c r="B4" s="58" t="s">
        <v>196</v>
      </c>
      <c r="D4" s="59" t="s">
        <v>197</v>
      </c>
      <c r="F4" s="60" t="s">
        <v>198</v>
      </c>
    </row>
    <row r="6" ht="24" customHeight="1" spans="2:8" x14ac:dyDescent="0.25">
      <c r="B6" s="8" t="s">
        <v>199</v>
      </c>
      <c r="C6" s="61" t="s">
        <v>68</v>
      </c>
      <c r="D6" s="61" t="s">
        <v>69</v>
      </c>
      <c r="E6" s="61" t="s">
        <v>70</v>
      </c>
      <c r="F6" s="61" t="s">
        <v>71</v>
      </c>
      <c r="G6" s="61" t="s">
        <v>72</v>
      </c>
      <c r="H6" s="61" t="s">
        <v>200</v>
      </c>
    </row>
    <row r="7" spans="2:7" x14ac:dyDescent="0.25">
      <c r="B7" s="9" t="s">
        <v>201</v>
      </c>
      <c r="C7" s="62">
        <v>12</v>
      </c>
      <c r="D7" s="62">
        <v>18</v>
      </c>
      <c r="E7" s="62">
        <v>22</v>
      </c>
      <c r="F7" s="62">
        <v>25</v>
      </c>
      <c r="G7" s="62">
        <v>25</v>
      </c>
    </row>
    <row r="8" spans="2:7" x14ac:dyDescent="0.25">
      <c r="B8" s="9" t="s">
        <v>202</v>
      </c>
      <c r="C8" s="63">
        <v>221600</v>
      </c>
      <c r="D8" s="63">
        <v>340512</v>
      </c>
      <c r="E8" s="63">
        <v>427946</v>
      </c>
      <c r="F8" s="63">
        <v>500518</v>
      </c>
      <c r="G8" s="63">
        <v>516085</v>
      </c>
    </row>
    <row r="9" spans="2:7" x14ac:dyDescent="0.25">
      <c r="B9" s="9" t="s">
        <v>203</v>
      </c>
      <c r="C9" s="63">
        <v>118934</v>
      </c>
      <c r="D9" s="63">
        <v>147003</v>
      </c>
      <c r="E9" s="63">
        <v>151413</v>
      </c>
      <c r="F9" s="63">
        <v>155955</v>
      </c>
      <c r="G9" s="63">
        <v>160634</v>
      </c>
    </row>
    <row r="10" spans="2:7" x14ac:dyDescent="0.25">
      <c r="B10" s="9" t="s">
        <v>17</v>
      </c>
      <c r="C10" s="63">
        <v>48600</v>
      </c>
      <c r="D10" s="63">
        <v>54963</v>
      </c>
      <c r="E10" s="63">
        <v>59946</v>
      </c>
      <c r="F10" s="63">
        <v>64338</v>
      </c>
      <c r="G10" s="63">
        <v>66214</v>
      </c>
    </row>
    <row r="11" spans="2:7" x14ac:dyDescent="0.25">
      <c r="B11" s="9" t="s">
        <v>204</v>
      </c>
      <c r="C11" s="63">
        <v>6959.808550594178</v>
      </c>
      <c r="D11" s="63">
        <v>6959.808550594178</v>
      </c>
      <c r="E11" s="63">
        <v>6959.808550594178</v>
      </c>
      <c r="F11" s="63">
        <v>6959.808550594178</v>
      </c>
      <c r="G11" s="63">
        <v>6959.808550594178</v>
      </c>
    </row>
    <row r="12" spans="2:7" x14ac:dyDescent="0.25">
      <c r="B12" s="64" t="s">
        <v>205</v>
      </c>
      <c r="C12" s="65">
        <v>47106</v>
      </c>
      <c r="D12" s="65">
        <v>131586</v>
      </c>
      <c r="E12" s="65">
        <v>209627</v>
      </c>
      <c r="F12" s="65">
        <v>273265</v>
      </c>
      <c r="G12" s="65">
        <v>282277</v>
      </c>
    </row>
    <row r="13" spans="2:7" x14ac:dyDescent="0.25">
      <c r="B13" s="64" t="s">
        <v>206</v>
      </c>
      <c r="C13" s="65">
        <v>47106</v>
      </c>
      <c r="D13" s="65">
        <v>178692</v>
      </c>
      <c r="E13" s="65">
        <v>388319</v>
      </c>
      <c r="F13" s="65">
        <v>661584</v>
      </c>
      <c r="G13" s="65">
        <v>943861</v>
      </c>
    </row>
    <row r="14" spans="2:7" x14ac:dyDescent="0.25">
      <c r="B14" s="64" t="s">
        <v>207</v>
      </c>
      <c r="C14" s="66">
        <v>0.21257220216606498</v>
      </c>
      <c r="D14" s="66">
        <v>0.38643572032703694</v>
      </c>
      <c r="E14" s="66">
        <v>0.4898445130927734</v>
      </c>
      <c r="F14" s="66">
        <v>0.5459643809013862</v>
      </c>
      <c r="G14" s="66">
        <v>0.5469583498842245</v>
      </c>
    </row>
    <row r="15" spans="2:8" x14ac:dyDescent="0.25">
      <c r="B15" s="64" t="s">
        <v>149</v>
      </c>
      <c r="C15" s="67">
        <v>18466.666666666668</v>
      </c>
      <c r="D15" s="67">
        <v>18917.333333333332</v>
      </c>
      <c r="E15" s="67">
        <v>19452.090909090908</v>
      </c>
      <c r="F15" s="67">
        <v>20020.72</v>
      </c>
      <c r="G15" s="67">
        <v>20643.4</v>
      </c>
      <c r="H15" s="68" t="s">
        <v>208</v>
      </c>
    </row>
    <row r="16" spans="2:7" x14ac:dyDescent="0.25">
      <c r="B16" s="64" t="s">
        <v>209</v>
      </c>
      <c r="C16" s="69">
        <v>14541.150712549514</v>
      </c>
      <c r="D16" s="69">
        <v>11606.989363921899</v>
      </c>
      <c r="E16" s="69">
        <v>9923.582206845189</v>
      </c>
      <c r="F16" s="69">
        <v>9090.112342023767</v>
      </c>
      <c r="G16" s="69">
        <v>9352.312342023766</v>
      </c>
    </row>
    <row r="17" spans="2:7" x14ac:dyDescent="0.25">
      <c r="B17" s="9" t="s">
        <v>210</v>
      </c>
      <c r="C17" s="63">
        <v>500</v>
      </c>
      <c r="D17" s="63">
        <v>515</v>
      </c>
      <c r="E17" s="63">
        <v>530</v>
      </c>
      <c r="F17" s="63">
        <v>546</v>
      </c>
      <c r="G17" s="63">
        <v>562</v>
      </c>
    </row>
    <row r="18" spans="2:8" x14ac:dyDescent="0.25">
      <c r="B18" s="9" t="s">
        <v>211</v>
      </c>
      <c r="C18" s="70">
        <v>3000</v>
      </c>
      <c r="D18" s="70">
        <v>2058.6666666666665</v>
      </c>
      <c r="E18" s="67">
        <v>1733.6818181818182</v>
      </c>
      <c r="F18" s="67">
        <v>1570.1924</v>
      </c>
      <c r="G18" s="67">
        <v>1615.9705720000002</v>
      </c>
      <c r="H18" s="68" t="s">
        <v>212</v>
      </c>
    </row>
    <row r="19" spans="2:7" x14ac:dyDescent="0.25">
      <c r="B19" s="64" t="s">
        <v>213</v>
      </c>
      <c r="C19" s="71">
        <v>3925.5</v>
      </c>
      <c r="D19" s="71">
        <v>7310.333333333333</v>
      </c>
      <c r="E19" s="71">
        <v>9528.5</v>
      </c>
      <c r="F19" s="71">
        <v>10930.6</v>
      </c>
      <c r="G19" s="71">
        <v>11291.08</v>
      </c>
    </row>
    <row r="20" spans="2:8" x14ac:dyDescent="0.25">
      <c r="B20" s="64" t="s">
        <v>214</v>
      </c>
      <c r="C20" s="66">
        <v>0.5367057761732852</v>
      </c>
      <c r="D20" s="66">
        <v>0.43171165773893433</v>
      </c>
      <c r="E20" s="66">
        <v>0.3538133315885649</v>
      </c>
      <c r="F20" s="66">
        <v>0.31158719566529075</v>
      </c>
      <c r="G20" s="66">
        <v>0.3112549289361249</v>
      </c>
      <c r="H20" s="68" t="s">
        <v>215</v>
      </c>
    </row>
    <row r="21" spans="2:8" x14ac:dyDescent="0.25">
      <c r="B21" s="64" t="s">
        <v>216</v>
      </c>
      <c r="C21" s="72">
        <v>0.1624548736462094</v>
      </c>
      <c r="D21" s="66">
        <v>0.10882435861291231</v>
      </c>
      <c r="E21" s="66">
        <v>0.08912573081650489</v>
      </c>
      <c r="F21" s="66">
        <v>0.07842836821053388</v>
      </c>
      <c r="G21" s="66">
        <v>0.07828025286532257</v>
      </c>
      <c r="H21" s="68" t="s">
        <v>217</v>
      </c>
    </row>
    <row r="22" spans="2:8" x14ac:dyDescent="0.25">
      <c r="B22" s="64" t="s">
        <v>218</v>
      </c>
      <c r="C22" s="66">
        <v>0.24398014440433213</v>
      </c>
      <c r="D22" s="66">
        <v>0.4068755286157316</v>
      </c>
      <c r="E22" s="66">
        <v>0.5061082473022297</v>
      </c>
      <c r="F22" s="66">
        <v>0.5598699747062044</v>
      </c>
      <c r="G22" s="66">
        <v>0.5604445004214422</v>
      </c>
      <c r="H22" s="68" t="s">
        <v>219</v>
      </c>
    </row>
    <row r="23" spans="2:8" x14ac:dyDescent="0.25">
      <c r="B23" s="64" t="s">
        <v>220</v>
      </c>
      <c r="C23" s="73">
        <v>3</v>
      </c>
      <c r="D23" s="73">
        <v>3</v>
      </c>
      <c r="E23" s="73">
        <v>3</v>
      </c>
      <c r="F23" s="73">
        <v>3</v>
      </c>
      <c r="G23" s="73">
        <v>3</v>
      </c>
      <c r="H23" s="68" t="s">
        <v>221</v>
      </c>
    </row>
    <row r="24" spans="2:8" x14ac:dyDescent="0.25">
      <c r="B24" s="64" t="s">
        <v>222</v>
      </c>
      <c r="C24" s="74">
        <v>7.768317132140687</v>
      </c>
      <c r="D24" s="74">
        <v>19.906582055072757</v>
      </c>
      <c r="E24" s="74">
        <v>31.11967785112557</v>
      </c>
      <c r="F24" s="74">
        <v>40.26332017079355</v>
      </c>
      <c r="G24" s="74">
        <v>41.558183374930195</v>
      </c>
      <c r="H24" s="68" t="s">
        <v>223</v>
      </c>
    </row>
    <row r="25" spans="2:8" x14ac:dyDescent="0.25">
      <c r="B25" s="64" t="s">
        <v>224</v>
      </c>
      <c r="C25" s="40" t="str">
        <f>IF('Financial Model'!B8&gt;=0,"✓ Break-even","")</f>
        <v>✓ Break-even</v>
      </c>
      <c r="D25" s="75" t="str">
        <f>IF(AND('Financial Model'!C8&gt;=0,'Financial Model'!B8&lt;0),"✓ Break-even","")</f>
        <v>0</v>
      </c>
      <c r="E25" s="75" t="str">
        <f>IF(AND('Financial Model'!D8&gt;=0,'Financial Model'!C8&lt;0),"✓ Break-even","")</f>
        <v>0</v>
      </c>
      <c r="F25" s="75" t="str">
        <f>IF(AND('Financial Model'!E8&gt;=0,'Financial Model'!D8&lt;0),"✓ Break-even","")</f>
        <v>0</v>
      </c>
      <c r="G25" s="75" t="str">
        <f>IF(AND('Financial Model'!F8&gt;=0,'Financial Model'!E8&lt;0),"✓ Break-even","")</f>
        <v>0</v>
      </c>
      <c r="H25" s="68" t="s">
        <v>68</v>
      </c>
    </row>
    <row r="26" spans="2:8" x14ac:dyDescent="0.25">
      <c r="B26" s="64" t="s">
        <v>225</v>
      </c>
      <c r="C26" s="76">
        <v>3</v>
      </c>
      <c r="D26" s="76">
        <v>10</v>
      </c>
      <c r="E26" s="77">
        <v>21</v>
      </c>
      <c r="F26" s="73">
        <v>35</v>
      </c>
      <c r="G26" s="73">
        <v>48</v>
      </c>
      <c r="H26" s="68" t="s">
        <v>226</v>
      </c>
    </row>
    <row r="27" spans="2:8" x14ac:dyDescent="0.25">
      <c r="B27" s="64" t="s">
        <v>227</v>
      </c>
      <c r="C27" s="73">
        <v>99</v>
      </c>
      <c r="D27" s="73">
        <v>312</v>
      </c>
      <c r="E27" s="73">
        <v>649</v>
      </c>
      <c r="F27" s="73">
        <v>1063</v>
      </c>
      <c r="G27" s="73">
        <v>1473</v>
      </c>
      <c r="H27" s="68" t="s">
        <v>228</v>
      </c>
    </row>
    <row r="29" ht="24" customHeight="1" spans="2:9" x14ac:dyDescent="0.25">
      <c r="B29" s="8" t="s">
        <v>229</v>
      </c>
      <c r="C29" s="8" t="s">
        <v>230</v>
      </c>
      <c r="D29" s="8" t="s">
        <v>231</v>
      </c>
      <c r="E29" s="8"/>
      <c r="F29" s="8" t="s">
        <v>232</v>
      </c>
      <c r="G29" s="8"/>
      <c r="H29" s="8"/>
      <c r="I29" s="8"/>
    </row>
    <row r="30" ht="45" customHeight="1" spans="2:9" x14ac:dyDescent="0.25">
      <c r="B30" s="78" t="s">
        <v>233</v>
      </c>
      <c r="C30" s="40" t="s">
        <v>234</v>
      </c>
      <c r="D30" s="79" t="s">
        <v>235</v>
      </c>
      <c r="E30" s="79"/>
      <c r="F30" s="80" t="s">
        <v>236</v>
      </c>
      <c r="G30" s="80"/>
      <c r="H30" s="80"/>
      <c r="I30" s="80"/>
    </row>
    <row r="31" ht="45" customHeight="1" spans="2:9" x14ac:dyDescent="0.25">
      <c r="B31" s="78" t="s">
        <v>237</v>
      </c>
      <c r="C31" s="40" t="s">
        <v>234</v>
      </c>
      <c r="D31" s="79" t="s">
        <v>238</v>
      </c>
      <c r="E31" s="79"/>
      <c r="F31" s="80" t="s">
        <v>239</v>
      </c>
      <c r="G31" s="80"/>
      <c r="H31" s="80"/>
      <c r="I31" s="80"/>
    </row>
    <row r="32" ht="45" customHeight="1" spans="2:9" x14ac:dyDescent="0.25">
      <c r="B32" s="78" t="s">
        <v>240</v>
      </c>
      <c r="C32" s="40" t="s">
        <v>234</v>
      </c>
      <c r="D32" s="79" t="s">
        <v>241</v>
      </c>
      <c r="E32" s="79"/>
      <c r="F32" s="80" t="s">
        <v>242</v>
      </c>
      <c r="G32" s="80"/>
      <c r="H32" s="80"/>
      <c r="I32" s="80"/>
    </row>
    <row r="33" ht="45" customHeight="1" spans="2:9" x14ac:dyDescent="0.25">
      <c r="B33" s="78" t="s">
        <v>243</v>
      </c>
      <c r="C33" s="40" t="s">
        <v>234</v>
      </c>
      <c r="D33" s="79" t="s">
        <v>244</v>
      </c>
      <c r="E33" s="79"/>
      <c r="F33" s="80" t="s">
        <v>245</v>
      </c>
      <c r="G33" s="80"/>
      <c r="H33" s="80"/>
      <c r="I33" s="80"/>
    </row>
    <row r="34" ht="45" customHeight="1" spans="2:9" x14ac:dyDescent="0.25">
      <c r="B34" s="78" t="s">
        <v>246</v>
      </c>
      <c r="C34" s="40" t="s">
        <v>234</v>
      </c>
      <c r="D34" s="79" t="s">
        <v>247</v>
      </c>
      <c r="E34" s="79"/>
      <c r="F34" s="80" t="s">
        <v>248</v>
      </c>
      <c r="G34" s="80"/>
      <c r="H34" s="80"/>
      <c r="I34" s="80"/>
    </row>
    <row r="35" ht="45" customHeight="1" spans="2:9" x14ac:dyDescent="0.25">
      <c r="B35" s="78" t="s">
        <v>249</v>
      </c>
      <c r="C35" s="40" t="s">
        <v>234</v>
      </c>
      <c r="D35" s="79" t="s">
        <v>250</v>
      </c>
      <c r="E35" s="79"/>
      <c r="F35" s="80" t="s">
        <v>251</v>
      </c>
      <c r="G35" s="80"/>
      <c r="H35" s="80"/>
      <c r="I35" s="80"/>
    </row>
    <row r="36" ht="45" customHeight="1" spans="2:9" x14ac:dyDescent="0.25">
      <c r="B36" s="78" t="s">
        <v>252</v>
      </c>
      <c r="C36" s="40" t="s">
        <v>234</v>
      </c>
      <c r="D36" s="79" t="s">
        <v>253</v>
      </c>
      <c r="E36" s="79"/>
      <c r="F36" s="80" t="s">
        <v>254</v>
      </c>
      <c r="G36" s="80"/>
      <c r="H36" s="80"/>
      <c r="I36" s="80"/>
    </row>
    <row r="38" spans="2:6" x14ac:dyDescent="0.25">
      <c r="B38" s="78" t="s">
        <v>20</v>
      </c>
      <c r="C38" s="64" t="s">
        <v>255</v>
      </c>
      <c r="D38" s="64"/>
      <c r="E38" s="64"/>
      <c r="F38" s="64"/>
    </row>
    <row r="40" spans="2:9" x14ac:dyDescent="0.25">
      <c r="B40" s="81" t="s">
        <v>256</v>
      </c>
      <c r="C40" s="81"/>
      <c r="D40" s="81"/>
      <c r="E40" s="81"/>
      <c r="F40" s="81"/>
      <c r="G40" s="81"/>
      <c r="H40" s="81"/>
      <c r="I40" s="81"/>
    </row>
  </sheetData>
  <mergeCells count="20">
    <mergeCell ref="B2:I2"/>
    <mergeCell ref="B3:I3"/>
    <mergeCell ref="D29:E29"/>
    <mergeCell ref="F29:I29"/>
    <mergeCell ref="D30:E30"/>
    <mergeCell ref="F30:I30"/>
    <mergeCell ref="D31:E31"/>
    <mergeCell ref="F31:I31"/>
    <mergeCell ref="D32:E32"/>
    <mergeCell ref="F32:I32"/>
    <mergeCell ref="D33:E33"/>
    <mergeCell ref="F33:I33"/>
    <mergeCell ref="D34:E34"/>
    <mergeCell ref="F34:I34"/>
    <mergeCell ref="D35:E35"/>
    <mergeCell ref="F35:I35"/>
    <mergeCell ref="D36:E36"/>
    <mergeCell ref="F36:I36"/>
    <mergeCell ref="C38:F38"/>
    <mergeCell ref="B40:I40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conditionalFormatting sqref="C24:G24">
    <cfRule type="expression" dxfId="21" priority="1">
      <formula>C24&gt;=1.25</formula>
    </cfRule>
    <cfRule type="expression" dxfId="22" priority="2">
      <formula>C24&gt;=1.15</formula>
    </cfRule>
    <cfRule type="expression" dxfId="23" priority="3">
      <formula>C24&lt;1.15</formula>
    </cfRule>
  </conditionalFormatting>
  <pageMargins left="0.5" right="0.5" top="0.75" bottom="0.75" header="0.3" footer="0.3"/>
  <pageSetup paperSize="1" orientation="landscape" fitToWidth="1" fitToHeight="0"/>
  <headerFooter>
    <oddHeader>&amp;L&amp;10&amp;BBright Horizons Microschool&amp;R&amp;8&amp;IFinancial Health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Revenue Schedule</vt:lpstr>
      <vt:lpstr>Staffing &amp; Personnel</vt:lpstr>
      <vt:lpstr>Operating Expenses</vt:lpstr>
      <vt:lpstr>Capital &amp; Debt</vt:lpstr>
      <vt:lpstr>Financial Model</vt:lpstr>
      <vt:lpstr>Summary</vt:lpstr>
      <vt:lpstr>Decision History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2026-05-07T12:41:26Z</dcterms:created>
  <dcterms:modified xsi:type="dcterms:W3CDTF">2026-05-07T12:41:26Z</dcterms:modified>
</cp:coreProperties>
</file>