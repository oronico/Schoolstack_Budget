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<sst xmlns="http://schemas.openxmlformats.org/spreadsheetml/2006/main" count="365" uniqueCount="256">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</sst>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6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5" fillId="0" borderId="2" xfId="0" applyFont="1" applyBorder="1"/>
    <xf numFmtId="0" fontId="4" fillId="0" borderId="2" xfId="0" applyFont="1" applyBorder="1"/>
    <xf numFmtId="0" fontId="15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4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1" ht="24" customHeight="1" spans="1:6" x14ac:dyDescent="0.25">
      <c r="A51" s="12" t="s">
        <v>160</v>
      </c>
      <c r="B51" s="12"/>
      <c r="C51" s="12"/>
      <c r="D51" s="12"/>
      <c r="E51" s="12"/>
      <c r="F51" s="12"/>
    </row>
    <row r="52" spans="1:6" x14ac:dyDescent="0.25">
      <c r="A52" s="26" t="s">
        <v>161</v>
      </c>
      <c r="B52" s="30">
        <f>B41-B42-B43</f>
        <v>25233</v>
      </c>
      <c r="C52" s="30">
        <f>C41-C42-C43</f>
        <v>136259</v>
      </c>
      <c r="D52" s="30">
        <f>D41-D42-D43</f>
        <v>211269</v>
      </c>
      <c r="E52" s="30">
        <f>E41-E42-E43</f>
        <v>271364</v>
      </c>
      <c r="F52" s="30">
        <f>F41-F42-F43</f>
        <v>277205</v>
      </c>
    </row>
    <row r="53" spans="1:6" x14ac:dyDescent="0.25">
      <c r="A53" s="13" t="s">
        <v>162</v>
      </c>
      <c r="B53" s="21">
        <f>B44</f>
        <v>6960</v>
      </c>
      <c r="C53" s="21">
        <f>C44</f>
        <v>6960</v>
      </c>
      <c r="D53" s="21">
        <f>D44</f>
        <v>6960</v>
      </c>
      <c r="E53" s="21">
        <f>E44</f>
        <v>6960</v>
      </c>
      <c r="F53" s="21">
        <f>F44</f>
        <v>6960</v>
      </c>
    </row>
    <row r="54" spans="1:6" x14ac:dyDescent="0.25">
      <c r="A54" s="26" t="s">
        <v>163</v>
      </c>
      <c r="B54" s="34">
        <f>IF(B53=0,"N/A",B52/B53)</f>
        <v>3.63</v>
      </c>
      <c r="C54" s="34">
        <f>IF(C53=0,"N/A",C52/C53)</f>
        <v>19.58</v>
      </c>
      <c r="D54" s="34">
        <f>IF(D53=0,"N/A",D52/D53)</f>
        <v>30.35</v>
      </c>
      <c r="E54" s="34">
        <f>IF(E53=0,"N/A",E52/E53)</f>
        <v>38.99</v>
      </c>
      <c r="F54" s="34">
        <f>IF(F53=0,"N/A",F52/F53)</f>
        <v>39.83</v>
      </c>
    </row>
    <row r="55" spans="1:6" x14ac:dyDescent="0.25">
      <c r="A55" s="13" t="s">
        <v>128</v>
      </c>
      <c r="B55" s="21" t="str">
        <f>Assumptions!B54</f>
        <v>0</v>
      </c>
      <c r="C55" s="21">
        <f>B56</f>
        <v>18273</v>
      </c>
      <c r="D55" s="21">
        <f>C56</f>
        <v>147572</v>
      </c>
      <c r="E55" s="21">
        <f>D56</f>
        <v>351881</v>
      </c>
      <c r="F55" s="21">
        <f>E56</f>
        <v>616285</v>
      </c>
    </row>
    <row r="56" spans="1:6" x14ac:dyDescent="0.25">
      <c r="A56" s="26" t="s">
        <v>164</v>
      </c>
      <c r="B56" s="30">
        <f>B55+B47</f>
        <v>18273</v>
      </c>
      <c r="C56" s="30">
        <f>C55+C47</f>
        <v>147572</v>
      </c>
      <c r="D56" s="30">
        <f>D55+D47</f>
        <v>351881</v>
      </c>
      <c r="E56" s="30">
        <f>E55+E47</f>
        <v>616285</v>
      </c>
      <c r="F56" s="30">
        <f>F55+F47</f>
        <v>886530</v>
      </c>
    </row>
    <row r="57" spans="1:6" x14ac:dyDescent="0.25">
      <c r="A57" s="13" t="s">
        <v>165</v>
      </c>
      <c r="B57" s="35">
        <f>IF(B45=0,"",B56/B45*365)</f>
        <v>40</v>
      </c>
      <c r="C57" s="35">
        <f>IF(C45=0,"",C56/C45*365)</f>
        <v>258</v>
      </c>
      <c r="D57" s="35">
        <f>IF(D45=0,"",D56/D45*365)</f>
        <v>589</v>
      </c>
      <c r="E57" s="35">
        <f>IF(E45=0,"",E56/E45*365)</f>
        <v>991</v>
      </c>
      <c r="F57" s="35">
        <f>IF(F45=0,"",F56/F45*365)</f>
        <v>1387</v>
      </c>
    </row>
    <row r="58" spans="1:6" x14ac:dyDescent="0.25">
      <c r="A58" s="13" t="s">
        <v>166</v>
      </c>
      <c r="B58" s="36">
        <f>IF(B45=0,"",B56/(B45/12))</f>
        <v>1.3</v>
      </c>
      <c r="C58" s="36">
        <f>IF(C45=0,"",C56/(C45/12))</f>
        <v>8.5</v>
      </c>
      <c r="D58" s="36">
        <f>IF(D45=0,"",D56/(D45/12))</f>
        <v>19.4</v>
      </c>
      <c r="E58" s="36">
        <f>IF(E45=0,"",E56/(E45/12))</f>
        <v>32.6</v>
      </c>
      <c r="F58" s="36">
        <f>IF(F45=0,"",F56/(F45/12))</f>
        <v>45.6</v>
      </c>
    </row>
    <row r="59" spans="1:6" x14ac:dyDescent="0.25">
      <c r="A59" s="13" t="s">
        <v>167</v>
      </c>
      <c r="B59" s="33">
        <f>IF(Assumptions!B12=0,"",B3/Assumptions!B12)</f>
        <v>0.48</v>
      </c>
      <c r="C59" s="33">
        <f>IF(Assumptions!B12=0,"",C3/Assumptions!B12)</f>
        <v>0.72</v>
      </c>
      <c r="D59" s="33">
        <f>IF(Assumptions!B12=0,"",D3/Assumptions!B12)</f>
        <v>0.88</v>
      </c>
      <c r="E59" s="33">
        <f>IF(Assumptions!B12=0,"",E3/Assumptions!B12)</f>
        <v>1</v>
      </c>
      <c r="F59" s="33">
        <f>IF(Assumptions!B12=0,"",F3/Assumptions!B12)</f>
        <v>1</v>
      </c>
    </row>
    <row r="61" ht="24" customHeight="1" spans="1:6" x14ac:dyDescent="0.25">
      <c r="A61" s="12" t="s">
        <v>168</v>
      </c>
      <c r="B61" s="12"/>
      <c r="C61" s="12"/>
      <c r="D61" s="12"/>
      <c r="E61" s="12"/>
      <c r="F61" s="12"/>
    </row>
    <row r="62" spans="1:6" x14ac:dyDescent="0.25">
      <c r="A62" s="13" t="s">
        <v>169</v>
      </c>
      <c r="B62" s="13" t="str">
        <f>IF(B53=0,"N/A",IF(B54&gt;=1.2,"PASS","FAIL"))</f>
        <v>PASS</v>
      </c>
      <c r="C62" s="13" t="str">
        <f>IF(C53=0,"N/A",IF(C54&gt;=1.2,"PASS","FAIL"))</f>
        <v>PASS</v>
      </c>
      <c r="D62" s="13" t="str">
        <f>IF(D53=0,"N/A",IF(D54&gt;=1.2,"PASS","FAIL"))</f>
        <v>PASS</v>
      </c>
      <c r="E62" s="13" t="str">
        <f>IF(E53=0,"N/A",IF(E54&gt;=1.2,"PASS","FAIL"))</f>
        <v>PASS</v>
      </c>
      <c r="F62" s="13" t="str">
        <f>IF(F53=0,"N/A",IF(F54&gt;=1.2,"PASS","FAIL"))</f>
        <v>PASS</v>
      </c>
    </row>
    <row r="63" spans="1:6" x14ac:dyDescent="0.25">
      <c r="A63" s="13" t="s">
        <v>170</v>
      </c>
      <c r="B63" s="13" t="str">
        <f>IF(B47&gt;0,"PASS","FAIL")</f>
        <v>PASS</v>
      </c>
      <c r="C63" s="13" t="str">
        <f>IF(C47&gt;0,"PASS","FAIL")</f>
        <v>PASS</v>
      </c>
      <c r="D63" s="13" t="str">
        <f>IF(D47&gt;0,"PASS","FAIL")</f>
        <v>PASS</v>
      </c>
      <c r="E63" s="13" t="str">
        <f>IF(E47&gt;0,"PASS","FAIL")</f>
        <v>PASS</v>
      </c>
      <c r="F63" s="13" t="str">
        <f>IF(F47&gt;0,"PASS","FAIL")</f>
        <v>PASS</v>
      </c>
    </row>
    <row r="64" spans="1:6" x14ac:dyDescent="0.25">
      <c r="A64" s="13" t="s">
        <v>171</v>
      </c>
      <c r="B64" s="13" t="str">
        <f>IF(Assumptions!B12=0,"N/A",IF(B3/Assumptions!B12&gt;=0.7,"PASS","FAIL"))</f>
        <v>FAIL</v>
      </c>
      <c r="C64" s="13" t="str">
        <f>IF(Assumptions!B12=0,"N/A",IF(C3/Assumptions!B12&gt;=0.7,"PASS","FAIL"))</f>
        <v>PASS</v>
      </c>
      <c r="D64" s="13" t="str">
        <f>IF(Assumptions!B12=0,"N/A",IF(D3/Assumptions!B12&gt;=0.7,"PASS","FAIL"))</f>
        <v>PASS</v>
      </c>
      <c r="E64" s="13" t="str">
        <f>IF(Assumptions!B12=0,"N/A",IF(E3/Assumptions!B12&gt;=0.7,"PASS","FAIL"))</f>
        <v>PASS</v>
      </c>
      <c r="F64" s="13" t="str">
        <f>IF(Assumptions!B12=0,"N/A",IF(F3/Assumptions!B12&gt;=0.7,"PASS","FAIL"))</f>
        <v>PASS</v>
      </c>
    </row>
    <row r="65" spans="1:6" x14ac:dyDescent="0.25">
      <c r="A65" s="13" t="s">
        <v>172</v>
      </c>
      <c r="B65" s="13" t="str">
        <f>IF(B45=0,"N/A",IF(B56/(B45/12)&gt;=2,"PASS","FAIL"))</f>
        <v>FAIL</v>
      </c>
      <c r="C65" s="13" t="str">
        <f>IF(C45=0,"N/A",IF(C56/(C45/12)&gt;=2,"PASS","FAIL"))</f>
        <v>PASS</v>
      </c>
      <c r="D65" s="13" t="str">
        <f>IF(D45=0,"N/A",IF(D56/(D45/12)&gt;=2,"PASS","FAIL"))</f>
        <v>PASS</v>
      </c>
      <c r="E65" s="13" t="str">
        <f>IF(E45=0,"N/A",IF(E56/(E45/12)&gt;=2,"PASS","FAIL"))</f>
        <v>PASS</v>
      </c>
      <c r="F65" s="13" t="str">
        <f>IF(F45=0,"N/A",IF(F56/(F45/12)&gt;=2,"PASS","FAIL"))</f>
        <v>PASS</v>
      </c>
    </row>
    <row r="67" ht="24" customHeight="1" spans="1:6" x14ac:dyDescent="0.25">
      <c r="A67" s="12" t="s">
        <v>173</v>
      </c>
      <c r="B67" s="12"/>
      <c r="C67" s="12"/>
      <c r="D67" s="12"/>
      <c r="E67" s="12"/>
      <c r="F67" s="12"/>
    </row>
    <row r="68" spans="1:6" x14ac:dyDescent="0.25">
      <c r="A68" s="13" t="s">
        <v>174</v>
      </c>
      <c r="B68" s="21">
        <f>IF(B3=0,"",B11/B3)</f>
        <v>15389</v>
      </c>
      <c r="C68" s="21">
        <f>IF(C3=0,"",C11/C3)</f>
        <v>18786</v>
      </c>
      <c r="D68" s="21">
        <f>IF(D3=0,"",D11/D3)</f>
        <v>19203</v>
      </c>
      <c r="E68" s="21">
        <f>IF(E3=0,"",E11/E3)</f>
        <v>19653</v>
      </c>
      <c r="F68" s="21">
        <f>IF(F3=0,"",F11/F3)</f>
        <v>20145</v>
      </c>
    </row>
    <row r="69" spans="1:6" x14ac:dyDescent="0.25">
      <c r="A69" s="13" t="s">
        <v>175</v>
      </c>
      <c r="B69" s="21">
        <f>IF(B3=0,"",B45/B3)</f>
        <v>13866</v>
      </c>
      <c r="C69" s="21">
        <f>IF(C3=0,"",C45/C3)</f>
        <v>11603</v>
      </c>
      <c r="D69" s="21">
        <f>IF(D3=0,"",D45/D3)</f>
        <v>9916</v>
      </c>
      <c r="E69" s="21">
        <f>IF(E3=0,"",E45/E3)</f>
        <v>9077</v>
      </c>
      <c r="F69" s="21">
        <f>IF(F3=0,"",F45/F3)</f>
        <v>9335</v>
      </c>
    </row>
    <row r="70" spans="1:6" x14ac:dyDescent="0.25">
      <c r="A70" s="13" t="s">
        <v>176</v>
      </c>
      <c r="B70" s="21">
        <f>B42+B44</f>
        <v>125894</v>
      </c>
      <c r="C70" s="21">
        <f>C42+C44</f>
        <v>153963</v>
      </c>
      <c r="D70" s="21">
        <f>D42+D44</f>
        <v>158373</v>
      </c>
      <c r="E70" s="21">
        <f>E42+E44</f>
        <v>162915</v>
      </c>
      <c r="F70" s="21">
        <f>F42+F44</f>
        <v>167594</v>
      </c>
    </row>
    <row r="71" spans="1:6" x14ac:dyDescent="0.25">
      <c r="A71" s="13" t="s">
        <v>177</v>
      </c>
      <c r="B71" s="21">
        <f>IF(B3=0,"",B43/B3)</f>
        <v>3375</v>
      </c>
      <c r="C71" s="21">
        <f>IF(C3=0,"",C43/C3)</f>
        <v>3049</v>
      </c>
      <c r="D71" s="21">
        <f>IF(D3=0,"",D43/D3)</f>
        <v>2717</v>
      </c>
      <c r="E71" s="21">
        <f>IF(E3=0,"",E43/E3)</f>
        <v>2560</v>
      </c>
      <c r="F71" s="21">
        <f>IF(F3=0,"",F43/F3)</f>
        <v>2631</v>
      </c>
    </row>
    <row r="72" spans="1:6" x14ac:dyDescent="0.25">
      <c r="A72" s="13" t="s">
        <v>178</v>
      </c>
      <c r="B72" s="21">
        <f>IF(B3=0,"",B68-B71)</f>
        <v>12014</v>
      </c>
      <c r="C72" s="21">
        <f>IF(C3=0,"",C68-C71)</f>
        <v>15737</v>
      </c>
      <c r="D72" s="21">
        <f>IF(D3=0,"",D68-D71)</f>
        <v>16486</v>
      </c>
      <c r="E72" s="21">
        <f>IF(E3=0,"",E68-E71)</f>
        <v>17093</v>
      </c>
      <c r="F72" s="21">
        <f>IF(F3=0,"",F68-F71)</f>
        <v>17514</v>
      </c>
    </row>
    <row r="73" spans="1:6" x14ac:dyDescent="0.25">
      <c r="A73" s="37" t="s">
        <v>179</v>
      </c>
      <c r="B73" s="38">
        <f>IF(B72&lt;=0,"N/A",ROUNDUP(B70/B72,0))</f>
        <v>11</v>
      </c>
      <c r="C73" s="38">
        <f>IF(C72&lt;=0,"N/A",ROUNDUP(C70/C72,0))</f>
        <v>10</v>
      </c>
      <c r="D73" s="38">
        <f>IF(D72&lt;=0,"N/A",ROUNDUP(D70/D72,0))</f>
        <v>10</v>
      </c>
      <c r="E73" s="38">
        <f>IF(E72&lt;=0,"N/A",ROUNDUP(E70/E72,0))</f>
        <v>10</v>
      </c>
      <c r="F73" s="38">
        <f>IF(F72&lt;=0,"N/A",ROUNDUP(F70/F72,0))</f>
        <v>10</v>
      </c>
    </row>
    <row r="75" spans="1:6" x14ac:dyDescent="0.25">
      <c r="A75" s="24" t="s">
        <v>129</v>
      </c>
      <c r="B75" s="24"/>
      <c r="C75" s="24"/>
      <c r="D75" s="24"/>
      <c r="E75" s="24"/>
      <c r="F75" s="24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181</v>
      </c>
      <c r="D2" s="25" t="s">
        <v>182</v>
      </c>
      <c r="E2" s="25" t="s">
        <v>183</v>
      </c>
      <c r="F2" s="25" t="s">
        <v>184</v>
      </c>
      <c r="G2" s="25" t="s">
        <v>185</v>
      </c>
      <c r="H2" s="25" t="s">
        <v>186</v>
      </c>
      <c r="I2" s="25" t="s">
        <v>187</v>
      </c>
      <c r="J2" s="25" t="s">
        <v>188</v>
      </c>
      <c r="K2" s="25" t="s">
        <v>189</v>
      </c>
      <c r="L2" s="25" t="s">
        <v>190</v>
      </c>
      <c r="M2" s="25" t="s">
        <v>191</v>
      </c>
      <c r="N2" s="25" t="s">
        <v>192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193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194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195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196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197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198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199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200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201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202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203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204</v>
      </c>
      <c r="B43" s="30">
        <f>M39</f>
        <v>55210</v>
      </c>
    </row>
    <row r="44" spans="1:2" x14ac:dyDescent="0.25">
      <c r="A44" s="13" t="s">
        <v>205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206</v>
      </c>
      <c r="C2" s="1"/>
      <c r="D2" s="1"/>
      <c r="E2" s="1"/>
      <c r="F2" s="1"/>
      <c r="G2" s="1"/>
    </row>
    <row r="3" spans="2:7" x14ac:dyDescent="0.25">
      <c r="B3" s="39" t="s">
        <v>207</v>
      </c>
      <c r="C3" s="39"/>
      <c r="D3" s="39"/>
      <c r="E3" s="39"/>
      <c r="F3" s="39"/>
      <c r="G3" s="39"/>
    </row>
    <row r="5" ht="24" customHeight="1" spans="2:7" x14ac:dyDescent="0.25">
      <c r="B5" s="12" t="s">
        <v>208</v>
      </c>
      <c r="C5" s="16" t="s">
        <v>209</v>
      </c>
      <c r="D5" s="16" t="s">
        <v>210</v>
      </c>
      <c r="E5" s="16" t="s">
        <v>211</v>
      </c>
      <c r="F5" s="16" t="s">
        <v>212</v>
      </c>
      <c r="G5" s="16" t="s">
        <v>213</v>
      </c>
    </row>
    <row r="6" spans="2:7" x14ac:dyDescent="0.25">
      <c r="B6" s="13" t="s">
        <v>214</v>
      </c>
      <c r="C6" s="40">
        <v>12</v>
      </c>
      <c r="D6" s="40">
        <v>18</v>
      </c>
      <c r="E6" s="40">
        <v>22</v>
      </c>
      <c r="F6" s="40">
        <v>25</v>
      </c>
      <c r="G6" s="40">
        <v>25</v>
      </c>
    </row>
    <row r="7" spans="2:7" x14ac:dyDescent="0.25">
      <c r="B7" s="13" t="s">
        <v>215</v>
      </c>
      <c r="C7" s="41">
        <v>221600</v>
      </c>
      <c r="D7" s="41">
        <v>338147.49999999994</v>
      </c>
      <c r="E7" s="41">
        <v>422456.3124999999</v>
      </c>
      <c r="F7" s="41">
        <v>491331.3476562498</v>
      </c>
      <c r="G7" s="41">
        <v>503614.631347656</v>
      </c>
    </row>
    <row r="8" spans="2:7" x14ac:dyDescent="0.25">
      <c r="B8" s="13" t="s">
        <v>216</v>
      </c>
      <c r="C8" s="41">
        <v>118934.16666666667</v>
      </c>
      <c r="D8" s="41">
        <v>147002.63</v>
      </c>
      <c r="E8" s="41">
        <v>151412.7089</v>
      </c>
      <c r="F8" s="41">
        <v>155955.090167</v>
      </c>
      <c r="G8" s="41">
        <v>160633.74287201</v>
      </c>
    </row>
    <row r="9" spans="2:7" x14ac:dyDescent="0.25">
      <c r="B9" s="13" t="s">
        <v>217</v>
      </c>
      <c r="C9" s="41">
        <v>48600</v>
      </c>
      <c r="D9" s="41">
        <v>54885</v>
      </c>
      <c r="E9" s="41">
        <v>59773.625</v>
      </c>
      <c r="F9" s="41">
        <v>64011.63812499999</v>
      </c>
      <c r="G9" s="41">
        <v>65775.83812812499</v>
      </c>
    </row>
    <row r="10" spans="2:7" x14ac:dyDescent="0.25">
      <c r="B10" s="13" t="s">
        <v>162</v>
      </c>
      <c r="C10" s="41">
        <v>6959.808550594178</v>
      </c>
      <c r="D10" s="41">
        <v>6959.808550594178</v>
      </c>
      <c r="E10" s="41">
        <v>6959.808550594178</v>
      </c>
      <c r="F10" s="41">
        <v>6959.808550594178</v>
      </c>
      <c r="G10" s="41">
        <v>6959.808550594178</v>
      </c>
    </row>
    <row r="11" spans="2:7" x14ac:dyDescent="0.25">
      <c r="B11" s="26" t="s">
        <v>218</v>
      </c>
      <c r="C11" s="42">
        <v>47106.02478273915</v>
      </c>
      <c r="D11" s="42">
        <v>129300.06144940577</v>
      </c>
      <c r="E11" s="42">
        <v>204310.17004940574</v>
      </c>
      <c r="F11" s="42">
        <v>264404.8108136556</v>
      </c>
      <c r="G11" s="42">
        <v>270245.2417969268</v>
      </c>
    </row>
    <row r="12" spans="2:7" x14ac:dyDescent="0.25">
      <c r="B12" s="26" t="s">
        <v>164</v>
      </c>
      <c r="C12" s="42">
        <v>47106.02478273915</v>
      </c>
      <c r="D12" s="42">
        <v>176406.0862321449</v>
      </c>
      <c r="E12" s="42">
        <v>380716.2562815506</v>
      </c>
      <c r="F12" s="42">
        <v>645121.0670952062</v>
      </c>
      <c r="G12" s="42">
        <v>915366.3088921331</v>
      </c>
    </row>
    <row r="13" spans="2:7" x14ac:dyDescent="0.25">
      <c r="B13" s="26" t="s">
        <v>219</v>
      </c>
      <c r="C13" s="43">
        <v>0.21257231400153045</v>
      </c>
      <c r="D13" s="43">
        <v>0.3823776944954666</v>
      </c>
      <c r="E13" s="43">
        <v>0.4836243748858784</v>
      </c>
      <c r="F13" s="43">
        <v>0.5381395102814428</v>
      </c>
      <c r="G13" s="43">
        <v>0.5366111804054611</v>
      </c>
    </row>
    <row r="14" spans="2:7" x14ac:dyDescent="0.25">
      <c r="B14" s="26" t="s">
        <v>220</v>
      </c>
      <c r="C14" s="41">
        <v>18466.666666666668</v>
      </c>
      <c r="D14" s="41">
        <v>18785.97222222222</v>
      </c>
      <c r="E14" s="41">
        <v>19202.559659090904</v>
      </c>
      <c r="F14" s="41">
        <v>19653.253906249993</v>
      </c>
      <c r="G14" s="41">
        <v>20144.58525390624</v>
      </c>
    </row>
    <row r="15" spans="2:7" x14ac:dyDescent="0.25">
      <c r="B15" s="26" t="s">
        <v>221</v>
      </c>
      <c r="C15" s="43">
        <v>0.5367065282791817</v>
      </c>
      <c r="D15" s="43">
        <v>0.4347293119127009</v>
      </c>
      <c r="E15" s="43">
        <v>0.3584103359800075</v>
      </c>
      <c r="F15" s="43">
        <v>0.31741327092386307</v>
      </c>
      <c r="G15" s="43">
        <v>0.31896162834300396</v>
      </c>
    </row>
    <row r="16" spans="2:7" x14ac:dyDescent="0.25">
      <c r="B16" s="26" t="s">
        <v>222</v>
      </c>
      <c r="C16" s="43">
        <v>0.0657942238267148</v>
      </c>
      <c r="D16" s="43">
        <v>0.04869324776909486</v>
      </c>
      <c r="E16" s="43">
        <v>0.0424471997918128</v>
      </c>
      <c r="F16" s="43">
        <v>0.03908460457307385</v>
      </c>
      <c r="G16" s="43">
        <v>0.03918224414098794</v>
      </c>
    </row>
    <row r="17" spans="2:7" x14ac:dyDescent="0.25">
      <c r="B17" s="26" t="s">
        <v>223</v>
      </c>
      <c r="C17" s="43">
        <v>0.2439793922984356</v>
      </c>
      <c r="D17" s="43">
        <v>0.40295986219031626</v>
      </c>
      <c r="E17" s="43">
        <v>0.5000989980472832</v>
      </c>
      <c r="F17" s="43">
        <v>0.5523047138325573</v>
      </c>
      <c r="G17" s="43">
        <v>0.5504308911870363</v>
      </c>
    </row>
    <row r="18" spans="2:7" x14ac:dyDescent="0.25">
      <c r="B18" s="26" t="s">
        <v>224</v>
      </c>
      <c r="C18" s="44">
        <v>7.768293185121821</v>
      </c>
      <c r="D18" s="44">
        <v>19.57810606562835</v>
      </c>
      <c r="E18" s="44">
        <v>30.35571698045677</v>
      </c>
      <c r="F18" s="44">
        <v>38.99024195731399</v>
      </c>
      <c r="G18" s="44">
        <v>39.82940742297506</v>
      </c>
    </row>
    <row r="19" spans="2:7" x14ac:dyDescent="0.25">
      <c r="B19" s="26" t="s">
        <v>225</v>
      </c>
      <c r="C19" s="45" t="s">
        <v>209</v>
      </c>
      <c r="D19" s="45"/>
      <c r="E19" s="45"/>
      <c r="F19" s="45"/>
      <c r="G19" s="45"/>
    </row>
    <row r="20" spans="2:7" x14ac:dyDescent="0.25">
      <c r="B20" s="26" t="s">
        <v>226</v>
      </c>
      <c r="C20" s="45" t="s">
        <v>227</v>
      </c>
      <c r="D20" s="45"/>
      <c r="E20" s="45"/>
      <c r="F20" s="45"/>
      <c r="G20" s="45"/>
    </row>
    <row r="22" ht="24" customHeight="1" spans="2:7" x14ac:dyDescent="0.25">
      <c r="B22" s="12" t="s">
        <v>228</v>
      </c>
      <c r="C22" s="12" t="s">
        <v>229</v>
      </c>
      <c r="D22" s="12" t="s">
        <v>230</v>
      </c>
      <c r="E22" s="12"/>
      <c r="F22" s="12" t="s">
        <v>231</v>
      </c>
      <c r="G22" s="12"/>
    </row>
    <row r="23" ht="45" customHeight="1" spans="2:7" x14ac:dyDescent="0.25">
      <c r="B23" s="46" t="s">
        <v>232</v>
      </c>
      <c r="C23" s="47" t="s">
        <v>233</v>
      </c>
      <c r="D23" s="48" t="s">
        <v>234</v>
      </c>
      <c r="E23" s="48"/>
      <c r="F23" s="49" t="s">
        <v>235</v>
      </c>
      <c r="G23" s="49"/>
    </row>
    <row r="24" ht="45" customHeight="1" spans="2:7" x14ac:dyDescent="0.25">
      <c r="B24" s="46" t="s">
        <v>236</v>
      </c>
      <c r="C24" s="47" t="s">
        <v>233</v>
      </c>
      <c r="D24" s="48" t="s">
        <v>237</v>
      </c>
      <c r="E24" s="48"/>
      <c r="F24" s="49" t="s">
        <v>238</v>
      </c>
      <c r="G24" s="49"/>
    </row>
    <row r="25" ht="45" customHeight="1" spans="2:7" x14ac:dyDescent="0.25">
      <c r="B25" s="46" t="s">
        <v>239</v>
      </c>
      <c r="C25" s="47" t="s">
        <v>233</v>
      </c>
      <c r="D25" s="48" t="s">
        <v>240</v>
      </c>
      <c r="E25" s="48"/>
      <c r="F25" s="49" t="s">
        <v>241</v>
      </c>
      <c r="G25" s="49"/>
    </row>
    <row r="26" ht="45" customHeight="1" spans="2:7" x14ac:dyDescent="0.25">
      <c r="B26" s="46" t="s">
        <v>242</v>
      </c>
      <c r="C26" s="47" t="s">
        <v>233</v>
      </c>
      <c r="D26" s="48" t="s">
        <v>243</v>
      </c>
      <c r="E26" s="48"/>
      <c r="F26" s="49" t="s">
        <v>244</v>
      </c>
      <c r="G26" s="49"/>
    </row>
    <row r="27" ht="45" customHeight="1" spans="2:7" x14ac:dyDescent="0.25">
      <c r="B27" s="46" t="s">
        <v>245</v>
      </c>
      <c r="C27" s="47" t="s">
        <v>233</v>
      </c>
      <c r="D27" s="48" t="s">
        <v>246</v>
      </c>
      <c r="E27" s="48"/>
      <c r="F27" s="49" t="s">
        <v>247</v>
      </c>
      <c r="G27" s="49"/>
    </row>
    <row r="28" ht="45" customHeight="1" spans="2:7" x14ac:dyDescent="0.25">
      <c r="B28" s="46" t="s">
        <v>248</v>
      </c>
      <c r="C28" s="47" t="s">
        <v>233</v>
      </c>
      <c r="D28" s="48" t="s">
        <v>249</v>
      </c>
      <c r="E28" s="48"/>
      <c r="F28" s="49" t="s">
        <v>250</v>
      </c>
      <c r="G28" s="49"/>
    </row>
    <row r="29" ht="45" customHeight="1" spans="2:7" x14ac:dyDescent="0.25">
      <c r="B29" s="46" t="s">
        <v>251</v>
      </c>
      <c r="C29" s="47" t="s">
        <v>233</v>
      </c>
      <c r="D29" s="48" t="s">
        <v>252</v>
      </c>
      <c r="E29" s="48"/>
      <c r="F29" s="49" t="s">
        <v>253</v>
      </c>
      <c r="G29" s="49"/>
    </row>
    <row r="31" spans="2:5" x14ac:dyDescent="0.25">
      <c r="B31" s="46" t="s">
        <v>254</v>
      </c>
      <c r="C31" s="26" t="s">
        <v>255</v>
      </c>
      <c r="D31" s="26"/>
      <c r="E31" s="26"/>
    </row>
    <row r="33" spans="2:7" x14ac:dyDescent="0.25">
      <c r="B33" s="50" t="s">
        <v>129</v>
      </c>
      <c r="C33" s="50"/>
      <c r="D33" s="50"/>
      <c r="E33" s="50"/>
      <c r="F33" s="50"/>
      <c r="G33" s="5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2026-03-26T11:50:31Z</dcterms:created>
  <dcterms:modified xsi:type="dcterms:W3CDTF">2026-03-26T11:50:31Z</dcterms:modified>
</cp:coreProperties>
</file>