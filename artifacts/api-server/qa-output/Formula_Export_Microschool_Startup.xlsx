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'Assumptions'!$A1:$J54</definedName>
    <definedName name="_xlnm.Print_Titles" localSheetId="0">'Assumptions'!$1:$3</definedName>
    <definedName name="_xlnm.Print_Area" localSheetId="1">'5-Year Model'!$A1:$F73</definedName>
    <definedName name="_xlnm.Print_Titles" localSheetId="1">'5-Year Model'!$1:$2</definedName>
    <definedName name="_xlnm.Print_Area" localSheetId="2">'Year 1 Pro Forma'!$A1:$N45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<sst xmlns="http://schemas.openxmlformats.org/spreadsheetml/2006/main" count="257" uniqueCount="173">
  <si>
    <t>Bright Horizons Microschool —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</si>
  <si>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</si>
  <si>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</si>
  <si>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</si>
  <si>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</si>
  <si>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</si>
  <si>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</si>
  <si>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</si>
  <si>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</si>
  <si>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</si>
  <si>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</si>
  <si>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</si>
  <si>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</si>
  <si>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</si>
  <si>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</si>
  <si>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</si>
  <si>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</si>
  <si>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</si>
  <si>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</si>
  <si>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</si>
  <si>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</si>
  <si>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</si>
  <si>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</si>
  <si>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</si>
  <si>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</si>
  <si>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</si>
  <si>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</si>
  <si>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</si>
  <si>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</si>
  <si>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</si>
  <si>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</si>
  <si>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</si>
  <si>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</si>
  <si>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</si>
  <si>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</si>
  <si>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</si>
  <si>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</si>
  <si>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</si>
  <si>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</si>
  <si>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</si>
  <si>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</si>
  <si>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</si>
  <si>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</si>
  <si>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</si>
  <si>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</si>
  <si>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Grants &amp; Contributions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</si>
  <si>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</si>
  <si>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</si>
  <si>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</si>
  <si>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</si>
  <si>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</si>
  <si>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</si>
  <si>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</si>
  <si>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</si>
  <si>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</si>
  <si>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</si>
  <si>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</si>
  <si>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</si>
  <si>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</si>
  <si>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</si>
  <si>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</si>
  <si>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</si>
  <si>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</si>
  <si>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</si>
  <si>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</si>
  <si>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</si>
  <si>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</si>
  <si>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</si>
  <si>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</si>
  <si>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</si>
  <si>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</si>
  <si>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</si>
  <si>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</si>
  <si>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</si>
  <si>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</si>
  <si>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</si>
  <si>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</si>
  <si>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</si>
  <si>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</si>
  <si>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</si>
  <si>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</si>
  <si>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</si>
  <si>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</si>
  <si>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</si>
  <si>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</si>
  <si>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</si>
  <si>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</si>
  <si>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</si>
  <si>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</si>
  <si>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</si>
  <si>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</si>
  <si>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</si>
  <si>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</si>
  <si>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</si>
  <si>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</si>
  <si>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</si>
  <si>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</si>
  <si>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—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</si>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</sst>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i/>
      <color rgb="FF9CA3AF"/>
      <sz val="9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4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4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6" ht="24" customHeight="1" spans="1:9" x14ac:dyDescent="0.25">
      <c r="A26" s="3" t="s">
        <v>47</v>
      </c>
      <c r="B26" s="3" t="s">
        <v>48</v>
      </c>
      <c r="C26" s="3" t="s">
        <v>49</v>
      </c>
      <c r="D26" s="3" t="s">
        <v>50</v>
      </c>
      <c r="E26" s="3" t="s">
        <v>51</v>
      </c>
      <c r="F26" s="3" t="s">
        <v>52</v>
      </c>
      <c r="G26" s="3" t="s">
        <v>53</v>
      </c>
      <c r="H26" s="3" t="s">
        <v>54</v>
      </c>
      <c r="I26" s="3" t="s">
        <v>55</v>
      </c>
    </row>
    <row r="27" spans="1:9" x14ac:dyDescent="0.25">
      <c r="A27" s="4" t="s">
        <v>56</v>
      </c>
      <c r="B27" s="4" t="s">
        <v>57</v>
      </c>
      <c r="C27" s="4" t="s">
        <v>58</v>
      </c>
      <c r="D27" s="11">
        <v>1</v>
      </c>
      <c r="E27" s="9">
        <v>55000</v>
      </c>
      <c r="F27" s="10">
        <v>0.2</v>
      </c>
      <c r="G27" s="10">
        <v>0.0765</v>
      </c>
      <c r="H27" s="4" t="s">
        <v>59</v>
      </c>
      <c r="I27" s="4" t="s">
        <v>40</v>
      </c>
    </row>
    <row r="28" spans="1:9" x14ac:dyDescent="0.25">
      <c r="A28" s="4" t="s">
        <v>60</v>
      </c>
      <c r="B28" s="4" t="s">
        <v>61</v>
      </c>
      <c r="C28" s="4" t="s">
        <v>58</v>
      </c>
      <c r="D28" s="11">
        <v>1</v>
      </c>
      <c r="E28" s="9">
        <v>45000</v>
      </c>
      <c r="F28" s="10">
        <v>0.2</v>
      </c>
      <c r="G28" s="10">
        <v>0.0765</v>
      </c>
      <c r="H28" s="4" t="s">
        <v>59</v>
      </c>
      <c r="I28" s="4" t="s">
        <v>40</v>
      </c>
    </row>
    <row r="29" spans="1:9" x14ac:dyDescent="0.25">
      <c r="A29" s="4" t="s">
        <v>62</v>
      </c>
      <c r="B29" s="4" t="s">
        <v>61</v>
      </c>
      <c r="C29" s="4" t="s">
        <v>63</v>
      </c>
      <c r="D29" s="11">
        <v>0.5</v>
      </c>
      <c r="E29" s="9">
        <v>28000</v>
      </c>
      <c r="F29" s="10">
        <v>0</v>
      </c>
      <c r="G29" s="10">
        <v>0.0765</v>
      </c>
      <c r="H29" s="4" t="s">
        <v>64</v>
      </c>
      <c r="I29" s="4" t="s">
        <v>40</v>
      </c>
    </row>
    <row r="31" ht="24" customHeight="1" spans="1:4" x14ac:dyDescent="0.25">
      <c r="A31" s="3" t="s">
        <v>65</v>
      </c>
      <c r="B31" s="3" t="s">
        <v>66</v>
      </c>
      <c r="C31" s="3" t="s">
        <v>67</v>
      </c>
      <c r="D31" s="3"/>
    </row>
    <row r="32" spans="1:2" x14ac:dyDescent="0.25">
      <c r="A32" s="4" t="s">
        <v>68</v>
      </c>
      <c r="B32" s="5" t="s">
        <v>69</v>
      </c>
    </row>
    <row r="33" spans="1:3" x14ac:dyDescent="0.25">
      <c r="A33" s="4" t="s">
        <v>70</v>
      </c>
      <c r="B33" s="9">
        <v>2500</v>
      </c>
      <c r="C33" s="4" t="s">
        <v>71</v>
      </c>
    </row>
    <row r="34" spans="1:2" x14ac:dyDescent="0.25">
      <c r="A34" s="4" t="s">
        <v>72</v>
      </c>
      <c r="B34" s="10">
        <v>0.03</v>
      </c>
    </row>
    <row r="36" ht="24" customHeight="1" spans="1:7" x14ac:dyDescent="0.25">
      <c r="A36" s="3" t="s">
        <v>73</v>
      </c>
      <c r="B36" s="3" t="s">
        <v>30</v>
      </c>
      <c r="C36" s="3" t="s">
        <v>31</v>
      </c>
      <c r="D36" s="3" t="s">
        <v>32</v>
      </c>
      <c r="E36" s="3" t="s">
        <v>33</v>
      </c>
      <c r="F36" s="3" t="s">
        <v>36</v>
      </c>
      <c r="G36" s="3"/>
    </row>
    <row r="37" spans="1:6" x14ac:dyDescent="0.25">
      <c r="A37" s="4" t="s">
        <v>69</v>
      </c>
      <c r="B37" s="4" t="s">
        <v>74</v>
      </c>
      <c r="C37" s="4" t="s">
        <v>71</v>
      </c>
      <c r="D37" s="9">
        <v>2500</v>
      </c>
      <c r="E37" s="10">
        <v>0.03</v>
      </c>
      <c r="F37" s="4" t="s">
        <v>40</v>
      </c>
    </row>
    <row r="38" spans="1:6" x14ac:dyDescent="0.25">
      <c r="A38" s="4" t="s">
        <v>75</v>
      </c>
      <c r="B38" s="4" t="s">
        <v>74</v>
      </c>
      <c r="C38" s="4" t="s">
        <v>71</v>
      </c>
      <c r="D38" s="9">
        <v>300</v>
      </c>
      <c r="E38" s="10">
        <v>0</v>
      </c>
      <c r="F38" s="4" t="s">
        <v>40</v>
      </c>
    </row>
    <row r="39" spans="1:6" x14ac:dyDescent="0.25">
      <c r="A39" s="4" t="s">
        <v>76</v>
      </c>
      <c r="B39" s="4" t="s">
        <v>74</v>
      </c>
      <c r="C39" s="4" t="s">
        <v>46</v>
      </c>
      <c r="D39" s="9">
        <v>2400</v>
      </c>
      <c r="E39" s="10">
        <v>0</v>
      </c>
      <c r="F39" s="4" t="s">
        <v>40</v>
      </c>
    </row>
    <row r="40" spans="1:6" x14ac:dyDescent="0.25">
      <c r="A40" s="4" t="s">
        <v>77</v>
      </c>
      <c r="B40" s="4" t="s">
        <v>78</v>
      </c>
      <c r="C40" s="4" t="s">
        <v>39</v>
      </c>
      <c r="D40" s="9">
        <v>500</v>
      </c>
      <c r="E40" s="10">
        <v>0</v>
      </c>
      <c r="F40" s="4" t="s">
        <v>40</v>
      </c>
    </row>
    <row r="41" spans="1:6" x14ac:dyDescent="0.25">
      <c r="A41" s="4" t="s">
        <v>79</v>
      </c>
      <c r="B41" s="4" t="s">
        <v>79</v>
      </c>
      <c r="C41" s="4" t="s">
        <v>39</v>
      </c>
      <c r="D41" s="9">
        <v>300</v>
      </c>
      <c r="E41" s="10">
        <v>0</v>
      </c>
      <c r="F41" s="4" t="s">
        <v>40</v>
      </c>
    </row>
    <row r="42" spans="1:6" x14ac:dyDescent="0.25">
      <c r="A42" s="4" t="s">
        <v>80</v>
      </c>
      <c r="B42" s="4" t="s">
        <v>81</v>
      </c>
      <c r="C42" s="4" t="s">
        <v>46</v>
      </c>
      <c r="D42" s="9">
        <v>3000</v>
      </c>
      <c r="E42" s="10">
        <v>0</v>
      </c>
      <c r="F42" s="4" t="s">
        <v>40</v>
      </c>
    </row>
    <row r="44" ht="24" customHeight="1" spans="1:8" x14ac:dyDescent="0.25">
      <c r="A44" s="3" t="s">
        <v>82</v>
      </c>
      <c r="B44" s="3" t="s">
        <v>83</v>
      </c>
      <c r="C44" s="3" t="s">
        <v>32</v>
      </c>
      <c r="D44" s="3" t="s">
        <v>84</v>
      </c>
      <c r="E44" s="3" t="s">
        <v>85</v>
      </c>
      <c r="F44" s="3" t="s">
        <v>86</v>
      </c>
      <c r="G44" s="3" t="s">
        <v>87</v>
      </c>
      <c r="H44" s="3" t="s">
        <v>36</v>
      </c>
    </row>
    <row r="46" ht="24" customHeight="1" spans="1:3" x14ac:dyDescent="0.25">
      <c r="A46" s="3" t="s">
        <v>88</v>
      </c>
      <c r="B46" s="3"/>
      <c r="C46" s="3"/>
    </row>
    <row r="47" spans="1:2" x14ac:dyDescent="0.25">
      <c r="A47" s="4" t="s">
        <v>89</v>
      </c>
      <c r="B47" s="10">
        <v>0.03</v>
      </c>
    </row>
    <row r="48" spans="1:2" x14ac:dyDescent="0.25">
      <c r="A48" s="4" t="s">
        <v>90</v>
      </c>
      <c r="B48" s="10">
        <v>0.025</v>
      </c>
    </row>
    <row r="49" spans="1:3" x14ac:dyDescent="0.25">
      <c r="A49" s="4" t="s">
        <v>91</v>
      </c>
      <c r="B49" s="11">
        <v>0.8333333333333334</v>
      </c>
      <c r="C49" s="12" t="s">
        <v>92</v>
      </c>
    </row>
    <row r="50" spans="1:2" x14ac:dyDescent="0.25">
      <c r="A50" s="4" t="s">
        <v>93</v>
      </c>
      <c r="B50" s="10">
        <v>0.03</v>
      </c>
    </row>
    <row r="51" spans="1:2" x14ac:dyDescent="0.25">
      <c r="A51" s="4" t="s">
        <v>94</v>
      </c>
      <c r="B51" s="10">
        <v>0</v>
      </c>
    </row>
    <row r="52" spans="1:2" x14ac:dyDescent="0.25">
      <c r="A52" s="4" t="s">
        <v>95</v>
      </c>
      <c r="B52" s="9">
        <v>0</v>
      </c>
    </row>
    <row r="54" spans="1:7" x14ac:dyDescent="0.25">
      <c r="A54" s="13" t="s">
        <v>96</v>
      </c>
      <c r="B54" s="13"/>
      <c r="C54" s="13"/>
      <c r="D54" s="13"/>
      <c r="E54" s="13"/>
      <c r="F54" s="13"/>
      <c r="G54" s="13"/>
    </row>
  </sheetData>
  <mergeCells count="4">
    <mergeCell ref="A1:G1"/>
    <mergeCell ref="B5:D5"/>
    <mergeCell ref="B10:D10"/>
    <mergeCell ref="A54:G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97</v>
      </c>
      <c r="B1" s="1"/>
      <c r="C1" s="1"/>
      <c r="D1" s="1"/>
      <c r="E1" s="1"/>
      <c r="F1" s="1"/>
    </row>
    <row r="2" ht="28" customHeight="1" spans="1:6" x14ac:dyDescent="0.25">
      <c r="A2" s="14" t="s">
        <v>40</v>
      </c>
      <c r="B2" s="14" t="s">
        <v>23</v>
      </c>
      <c r="C2" s="14" t="s">
        <v>24</v>
      </c>
      <c r="D2" s="14" t="s">
        <v>25</v>
      </c>
      <c r="E2" s="14" t="s">
        <v>26</v>
      </c>
      <c r="F2" s="14" t="s">
        <v>27</v>
      </c>
    </row>
    <row r="3" spans="1:6" x14ac:dyDescent="0.25">
      <c r="A3" s="15" t="s">
        <v>28</v>
      </c>
      <c r="B3" s="16">
        <f>Assumptions!B17</f>
        <v>12</v>
      </c>
      <c r="C3" s="16">
        <f>Assumptions!C17</f>
        <v>18</v>
      </c>
      <c r="D3" s="16">
        <f>Assumptions!D17</f>
        <v>22</v>
      </c>
      <c r="E3" s="16">
        <f>Assumptions!E17</f>
        <v>25</v>
      </c>
      <c r="F3" s="16">
        <f>Assumptions!F17</f>
        <v>25</v>
      </c>
    </row>
    <row r="5" ht="24" customHeight="1" spans="1:6" x14ac:dyDescent="0.25">
      <c r="A5" s="3" t="s">
        <v>98</v>
      </c>
      <c r="B5" s="3"/>
      <c r="C5" s="3"/>
      <c r="D5" s="3"/>
      <c r="E5" s="3"/>
      <c r="F5" s="3"/>
    </row>
    <row r="6" spans="1:6" x14ac:dyDescent="0.25">
      <c r="A6" s="4" t="s">
        <v>37</v>
      </c>
      <c r="B6" s="17">
        <v>120000</v>
      </c>
      <c r="C6" s="17">
        <v>221400</v>
      </c>
      <c r="D6" s="17">
        <v>277365</v>
      </c>
      <c r="E6" s="17">
        <v>323067</v>
      </c>
      <c r="F6" s="17">
        <v>331144</v>
      </c>
    </row>
    <row r="7" spans="1:6" x14ac:dyDescent="0.25">
      <c r="A7" s="4" t="s">
        <v>41</v>
      </c>
      <c r="B7" s="17">
        <v>2500</v>
      </c>
      <c r="C7" s="17">
        <v>4613</v>
      </c>
      <c r="D7" s="17">
        <v>5778</v>
      </c>
      <c r="E7" s="17">
        <v>6731</v>
      </c>
      <c r="F7" s="17">
        <v>6899</v>
      </c>
    </row>
    <row r="8" spans="1:6" x14ac:dyDescent="0.25">
      <c r="A8" s="4" t="s">
        <v>42</v>
      </c>
      <c r="B8" s="17">
        <v>70000</v>
      </c>
      <c r="C8" s="17">
        <v>129150</v>
      </c>
      <c r="D8" s="17">
        <v>161796</v>
      </c>
      <c r="E8" s="17">
        <v>188456</v>
      </c>
      <c r="F8" s="17">
        <v>193167</v>
      </c>
    </row>
    <row r="9" spans="1:6" x14ac:dyDescent="0.25">
      <c r="A9" s="4" t="s">
        <v>44</v>
      </c>
      <c r="B9" s="17">
        <v>4167</v>
      </c>
      <c r="C9" s="17">
        <v>5125</v>
      </c>
      <c r="D9" s="17">
        <v>5253</v>
      </c>
      <c r="E9" s="17">
        <v>5384</v>
      </c>
      <c r="F9" s="17">
        <v>5519</v>
      </c>
    </row>
    <row r="10" ht="24" customHeight="1" spans="1:6" x14ac:dyDescent="0.25">
      <c r="A10" s="3" t="s">
        <v>99</v>
      </c>
      <c r="B10" s="18">
        <f>SUM(B6:B9)</f>
        <v>196667</v>
      </c>
      <c r="C10" s="18">
        <f>SUM(C6:C9)</f>
        <v>360287</v>
      </c>
      <c r="D10" s="18">
        <f>SUM(D6:D9)</f>
        <v>450193</v>
      </c>
      <c r="E10" s="18">
        <f>SUM(E6:E9)</f>
        <v>523638</v>
      </c>
      <c r="F10" s="18">
        <f>SUM(F6:F9)</f>
        <v>536729</v>
      </c>
    </row>
    <row r="12" ht="24" customHeight="1" spans="1:6" x14ac:dyDescent="0.25">
      <c r="A12" s="3" t="s">
        <v>100</v>
      </c>
      <c r="B12" s="3"/>
      <c r="C12" s="3"/>
      <c r="D12" s="3"/>
      <c r="E12" s="3"/>
      <c r="F12" s="3"/>
    </row>
    <row r="13" spans="1:6" x14ac:dyDescent="0.25">
      <c r="A13" s="4" t="s">
        <v>101</v>
      </c>
      <c r="B13" s="17">
        <v>58506</v>
      </c>
      <c r="C13" s="17">
        <v>72314</v>
      </c>
      <c r="D13" s="17">
        <v>74483</v>
      </c>
      <c r="E13" s="17">
        <v>76718</v>
      </c>
      <c r="F13" s="17">
        <v>79019</v>
      </c>
    </row>
    <row r="14" spans="1:6" x14ac:dyDescent="0.25">
      <c r="A14" s="4" t="s">
        <v>102</v>
      </c>
      <c r="B14" s="17">
        <v>47869</v>
      </c>
      <c r="C14" s="17">
        <v>59166</v>
      </c>
      <c r="D14" s="17">
        <v>60941</v>
      </c>
      <c r="E14" s="17">
        <v>62769</v>
      </c>
      <c r="F14" s="17">
        <v>64652</v>
      </c>
    </row>
    <row r="15" spans="1:6" x14ac:dyDescent="0.25">
      <c r="A15" s="4" t="s">
        <v>103</v>
      </c>
      <c r="B15" s="17">
        <v>12559</v>
      </c>
      <c r="C15" s="17">
        <v>15523</v>
      </c>
      <c r="D15" s="17">
        <v>15989</v>
      </c>
      <c r="E15" s="17">
        <v>16468</v>
      </c>
      <c r="F15" s="17">
        <v>16963</v>
      </c>
    </row>
    <row r="16" ht="24" customHeight="1" spans="1:6" x14ac:dyDescent="0.25">
      <c r="A16" s="3" t="s">
        <v>104</v>
      </c>
      <c r="B16" s="18">
        <f>SUM(B13:B15)</f>
        <v>118934</v>
      </c>
      <c r="C16" s="18">
        <f>SUM(C13:C15)</f>
        <v>147003</v>
      </c>
      <c r="D16" s="18">
        <f>SUM(D13:D15)</f>
        <v>151413</v>
      </c>
      <c r="E16" s="18">
        <f>SUM(E13:E15)</f>
        <v>155955</v>
      </c>
      <c r="F16" s="18">
        <f>SUM(F13:F15)</f>
        <v>160634</v>
      </c>
    </row>
    <row r="18" ht="24" customHeight="1" spans="1:6" x14ac:dyDescent="0.25">
      <c r="A18" s="3" t="s">
        <v>73</v>
      </c>
      <c r="B18" s="3"/>
      <c r="C18" s="3"/>
      <c r="D18" s="3"/>
      <c r="E18" s="3"/>
      <c r="F18" s="3"/>
    </row>
    <row r="19" spans="1:6" x14ac:dyDescent="0.25">
      <c r="A19" s="4" t="s">
        <v>78</v>
      </c>
      <c r="B19" s="4"/>
      <c r="C19" s="4"/>
      <c r="D19" s="4"/>
      <c r="E19" s="4"/>
      <c r="F19" s="4"/>
    </row>
    <row r="20" spans="1:6" x14ac:dyDescent="0.25">
      <c r="A20" s="4" t="s">
        <v>105</v>
      </c>
      <c r="B20" s="17">
        <v>5000</v>
      </c>
      <c r="C20" s="17">
        <v>9225</v>
      </c>
      <c r="D20" s="17">
        <v>11557</v>
      </c>
      <c r="E20" s="17">
        <v>13461</v>
      </c>
      <c r="F20" s="17">
        <v>13798</v>
      </c>
    </row>
    <row r="21" spans="1:6" x14ac:dyDescent="0.25">
      <c r="A21" s="19" t="s">
        <v>106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4" t="s">
        <v>79</v>
      </c>
      <c r="B22" s="4"/>
      <c r="C22" s="4"/>
      <c r="D22" s="4"/>
      <c r="E22" s="4"/>
      <c r="F22" s="4"/>
    </row>
    <row r="23" spans="1:6" x14ac:dyDescent="0.25">
      <c r="A23" s="4" t="s">
        <v>107</v>
      </c>
      <c r="B23" s="17">
        <v>3000</v>
      </c>
      <c r="C23" s="17">
        <v>5535</v>
      </c>
      <c r="D23" s="17">
        <v>6934</v>
      </c>
      <c r="E23" s="17">
        <v>8077</v>
      </c>
      <c r="F23" s="17">
        <v>8279</v>
      </c>
    </row>
    <row r="24" spans="1:6" x14ac:dyDescent="0.25">
      <c r="A24" s="19" t="s">
        <v>108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4" t="s">
        <v>74</v>
      </c>
      <c r="B25" s="4"/>
      <c r="C25" s="4"/>
      <c r="D25" s="4"/>
      <c r="E25" s="4"/>
      <c r="F25" s="4"/>
    </row>
    <row r="26" spans="1:6" x14ac:dyDescent="0.25">
      <c r="A26" s="4" t="s">
        <v>109</v>
      </c>
      <c r="B26" s="17">
        <v>25000</v>
      </c>
      <c r="C26" s="17">
        <v>30900</v>
      </c>
      <c r="D26" s="17">
        <v>31827</v>
      </c>
      <c r="E26" s="17">
        <v>32782</v>
      </c>
      <c r="F26" s="17">
        <v>33765</v>
      </c>
    </row>
    <row r="27" spans="1:6" x14ac:dyDescent="0.25">
      <c r="A27" s="4" t="s">
        <v>110</v>
      </c>
      <c r="B27" s="17">
        <v>3000</v>
      </c>
      <c r="C27" s="17">
        <v>3690</v>
      </c>
      <c r="D27" s="17">
        <v>3782</v>
      </c>
      <c r="E27" s="17">
        <v>3877</v>
      </c>
      <c r="F27" s="17">
        <v>3974</v>
      </c>
    </row>
    <row r="28" spans="1:6" x14ac:dyDescent="0.25">
      <c r="A28" s="4" t="s">
        <v>111</v>
      </c>
      <c r="B28" s="17">
        <v>2000</v>
      </c>
      <c r="C28" s="17">
        <v>2460</v>
      </c>
      <c r="D28" s="17">
        <v>2522</v>
      </c>
      <c r="E28" s="17">
        <v>2585</v>
      </c>
      <c r="F28" s="17">
        <v>2649</v>
      </c>
    </row>
    <row r="29" spans="1:6" x14ac:dyDescent="0.25">
      <c r="A29" s="19" t="s">
        <v>112</v>
      </c>
      <c r="B29" s="20">
        <v>30000</v>
      </c>
      <c r="C29" s="20">
        <v>37050</v>
      </c>
      <c r="D29" s="20">
        <v>38131</v>
      </c>
      <c r="E29" s="20">
        <v>39244</v>
      </c>
      <c r="F29" s="20">
        <v>40388</v>
      </c>
    </row>
    <row r="30" spans="1:6" x14ac:dyDescent="0.25">
      <c r="A30" s="4" t="s">
        <v>81</v>
      </c>
      <c r="B30" s="4"/>
      <c r="C30" s="4"/>
      <c r="D30" s="4"/>
      <c r="E30" s="4"/>
      <c r="F30" s="4"/>
    </row>
    <row r="31" spans="1:6" x14ac:dyDescent="0.25">
      <c r="A31" s="4" t="s">
        <v>113</v>
      </c>
      <c r="B31" s="17">
        <v>2500</v>
      </c>
      <c r="C31" s="17">
        <v>3075</v>
      </c>
      <c r="D31" s="17">
        <v>3152</v>
      </c>
      <c r="E31" s="17">
        <v>3231</v>
      </c>
      <c r="F31" s="17">
        <v>3311</v>
      </c>
    </row>
    <row r="32" spans="1:6" x14ac:dyDescent="0.25">
      <c r="A32" s="19" t="s">
        <v>114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ht="24" customHeight="1" spans="1:6" x14ac:dyDescent="0.25">
      <c r="A33" s="3" t="s">
        <v>115</v>
      </c>
      <c r="B33" s="18">
        <f>B21+B24+B29+B32</f>
        <v>40500</v>
      </c>
      <c r="C33" s="18">
        <f>C21+C24+C29+C32</f>
        <v>54885</v>
      </c>
      <c r="D33" s="18">
        <f>D21+D24+D29+D32</f>
        <v>59774</v>
      </c>
      <c r="E33" s="18">
        <f>E21+E24+E29+E32</f>
        <v>64012</v>
      </c>
      <c r="F33" s="18">
        <f>F21+F24+F29+F32</f>
        <v>65776</v>
      </c>
    </row>
    <row r="35" ht="24" customHeight="1" spans="1:6" x14ac:dyDescent="0.25">
      <c r="A35" s="3" t="s">
        <v>116</v>
      </c>
      <c r="B35" s="3"/>
      <c r="C35" s="3"/>
      <c r="D35" s="3"/>
      <c r="E35" s="3"/>
      <c r="F35" s="3"/>
    </row>
    <row r="36" ht="24" customHeight="1" spans="1:6" x14ac:dyDescent="0.25">
      <c r="A36" s="3" t="s">
        <v>117</v>
      </c>
      <c r="B36" s="18">
        <v>0</v>
      </c>
      <c r="C36" s="18">
        <v>0</v>
      </c>
      <c r="D36" s="18">
        <v>0</v>
      </c>
      <c r="E36" s="18">
        <v>0</v>
      </c>
      <c r="F36" s="18">
        <v>0</v>
      </c>
    </row>
    <row r="38" ht="24" customHeight="1" spans="1:6" x14ac:dyDescent="0.25">
      <c r="A38" s="3" t="s">
        <v>118</v>
      </c>
      <c r="B38" s="3"/>
      <c r="C38" s="3"/>
      <c r="D38" s="3"/>
      <c r="E38" s="3"/>
      <c r="F38" s="3"/>
    </row>
    <row r="39" spans="1:6" x14ac:dyDescent="0.25">
      <c r="A39" s="15" t="s">
        <v>119</v>
      </c>
      <c r="B39" s="20">
        <f>B10</f>
        <v>196667</v>
      </c>
      <c r="C39" s="20">
        <f>C10</f>
        <v>360287</v>
      </c>
      <c r="D39" s="20">
        <f>D10</f>
        <v>450193</v>
      </c>
      <c r="E39" s="20">
        <f>E10</f>
        <v>523638</v>
      </c>
      <c r="F39" s="20">
        <f>F10</f>
        <v>536729</v>
      </c>
    </row>
    <row r="40" spans="1:6" x14ac:dyDescent="0.25">
      <c r="A40" s="4" t="s">
        <v>120</v>
      </c>
      <c r="B40" s="17">
        <f>B16</f>
        <v>118934</v>
      </c>
      <c r="C40" s="17">
        <f>C16</f>
        <v>147003</v>
      </c>
      <c r="D40" s="17">
        <f>D16</f>
        <v>151413</v>
      </c>
      <c r="E40" s="17">
        <f>E16</f>
        <v>155955</v>
      </c>
      <c r="F40" s="17">
        <f>F16</f>
        <v>160634</v>
      </c>
    </row>
    <row r="41" spans="1:6" x14ac:dyDescent="0.25">
      <c r="A41" s="4" t="s">
        <v>121</v>
      </c>
      <c r="B41" s="17">
        <f>B33</f>
        <v>40500</v>
      </c>
      <c r="C41" s="17">
        <f>C33</f>
        <v>54885</v>
      </c>
      <c r="D41" s="17">
        <f>D33</f>
        <v>59774</v>
      </c>
      <c r="E41" s="17">
        <f>E33</f>
        <v>64012</v>
      </c>
      <c r="F41" s="17">
        <f>F33</f>
        <v>65776</v>
      </c>
    </row>
    <row r="42" spans="1:6" x14ac:dyDescent="0.25">
      <c r="A42" s="4" t="s">
        <v>122</v>
      </c>
      <c r="B42" s="17" t="str">
        <f>B36</f>
        <v>0</v>
      </c>
      <c r="C42" s="17" t="str">
        <f>C36</f>
        <v>0</v>
      </c>
      <c r="D42" s="17" t="str">
        <f>D36</f>
        <v>0</v>
      </c>
      <c r="E42" s="17" t="str">
        <f>E36</f>
        <v>0</v>
      </c>
      <c r="F42" s="17" t="str">
        <f>F36</f>
        <v>0</v>
      </c>
    </row>
    <row r="43" spans="1:6" x14ac:dyDescent="0.25">
      <c r="A43" s="15" t="s">
        <v>123</v>
      </c>
      <c r="B43" s="20">
        <f>B40+B41+B42</f>
        <v>159434</v>
      </c>
      <c r="C43" s="20">
        <f>C40+C41+C42</f>
        <v>201888</v>
      </c>
      <c r="D43" s="20">
        <f>D40+D41+D42</f>
        <v>211187</v>
      </c>
      <c r="E43" s="20">
        <f>E40+E41+E42</f>
        <v>219967</v>
      </c>
      <c r="F43" s="20">
        <f>F40+F41+F42</f>
        <v>226410</v>
      </c>
    </row>
    <row r="44" spans="1:1" x14ac:dyDescent="0.25">
      <c r="A44" t="s">
        <v>40</v>
      </c>
    </row>
    <row r="45" spans="1:6" x14ac:dyDescent="0.25">
      <c r="A45" s="21" t="s">
        <v>124</v>
      </c>
      <c r="B45" s="22">
        <f>B39-B43</f>
        <v>37233</v>
      </c>
      <c r="C45" s="22">
        <f>C39-C43</f>
        <v>158399</v>
      </c>
      <c r="D45" s="22">
        <f>D39-D43</f>
        <v>239006</v>
      </c>
      <c r="E45" s="22">
        <f>E39-E43</f>
        <v>303671</v>
      </c>
      <c r="F45" s="22">
        <f>F39-F43</f>
        <v>310319</v>
      </c>
    </row>
    <row r="46" spans="1:6" x14ac:dyDescent="0.25">
      <c r="A46" s="4" t="s">
        <v>125</v>
      </c>
      <c r="B46" s="23">
        <f>IF(B39=0,"",B45/B39)</f>
        <v>0.19</v>
      </c>
      <c r="C46" s="23">
        <f>IF(C39=0,"",C45/C39)</f>
        <v>0.44</v>
      </c>
      <c r="D46" s="23">
        <f>IF(D39=0,"",D45/D39)</f>
        <v>0.53</v>
      </c>
      <c r="E46" s="23">
        <f>IF(E39=0,"",E45/E39)</f>
        <v>0.58</v>
      </c>
      <c r="F46" s="23">
        <f>IF(F39=0,"",F45/F39)</f>
        <v>0.58</v>
      </c>
    </row>
    <row r="47" spans="1:6" x14ac:dyDescent="0.25">
      <c r="A47" s="4" t="s">
        <v>126</v>
      </c>
      <c r="B47" s="17">
        <f>B45</f>
        <v>37233</v>
      </c>
      <c r="C47" s="17">
        <f>B47+C45</f>
        <v>195632</v>
      </c>
      <c r="D47" s="17">
        <f>C47+D45</f>
        <v>434638</v>
      </c>
      <c r="E47" s="17">
        <f>D47+E45</f>
        <v>738309</v>
      </c>
      <c r="F47" s="17">
        <f>E47+F45</f>
        <v>1048628</v>
      </c>
    </row>
    <row r="49" ht="24" customHeight="1" spans="1:6" x14ac:dyDescent="0.25">
      <c r="A49" s="3" t="s">
        <v>127</v>
      </c>
      <c r="B49" s="3"/>
      <c r="C49" s="3"/>
      <c r="D49" s="3"/>
      <c r="E49" s="3"/>
      <c r="F49" s="3"/>
    </row>
    <row r="50" spans="1:6" x14ac:dyDescent="0.25">
      <c r="A50" s="15" t="s">
        <v>128</v>
      </c>
      <c r="B50" s="20">
        <f>B39-B40-B41</f>
        <v>37233</v>
      </c>
      <c r="C50" s="20">
        <f>C39-C40-C41</f>
        <v>158399</v>
      </c>
      <c r="D50" s="20">
        <f>D39-D40-D41</f>
        <v>239006</v>
      </c>
      <c r="E50" s="20">
        <f>E39-E40-E41</f>
        <v>303671</v>
      </c>
      <c r="F50" s="20">
        <f>F39-F40-F41</f>
        <v>310319</v>
      </c>
    </row>
    <row r="51" spans="1:6" x14ac:dyDescent="0.25">
      <c r="A51" s="4" t="s">
        <v>129</v>
      </c>
      <c r="B51" s="17" t="str">
        <f>B42</f>
        <v>0</v>
      </c>
      <c r="C51" s="17" t="str">
        <f>C42</f>
        <v>0</v>
      </c>
      <c r="D51" s="17" t="str">
        <f>D42</f>
        <v>0</v>
      </c>
      <c r="E51" s="17" t="str">
        <f>E42</f>
        <v>0</v>
      </c>
      <c r="F51" s="17" t="str">
        <f>F42</f>
        <v>0</v>
      </c>
    </row>
    <row r="52" spans="1:6" x14ac:dyDescent="0.25">
      <c r="A52" s="15" t="s">
        <v>130</v>
      </c>
      <c r="B52" s="24" t="str">
        <f>IF(B51=0,"N/A",B50/B51)</f>
        <v>N/A</v>
      </c>
      <c r="C52" s="24" t="str">
        <f>IF(C51=0,"N/A",C50/C51)</f>
        <v>N/A</v>
      </c>
      <c r="D52" s="24" t="str">
        <f>IF(D51=0,"N/A",D50/D51)</f>
        <v>N/A</v>
      </c>
      <c r="E52" s="24" t="str">
        <f>IF(E51=0,"N/A",E50/E51)</f>
        <v>N/A</v>
      </c>
      <c r="F52" s="24" t="str">
        <f>IF(F51=0,"N/A",F50/F51)</f>
        <v>N/A</v>
      </c>
    </row>
    <row r="53" spans="1:6" x14ac:dyDescent="0.25">
      <c r="A53" s="4" t="s">
        <v>95</v>
      </c>
      <c r="B53" s="17" t="str">
        <f>Assumptions!B52</f>
        <v>0</v>
      </c>
      <c r="C53" s="17">
        <f>B54</f>
        <v>37233</v>
      </c>
      <c r="D53" s="17">
        <f>C54</f>
        <v>195632</v>
      </c>
      <c r="E53" s="17">
        <f>D54</f>
        <v>434638</v>
      </c>
      <c r="F53" s="17">
        <f>E54</f>
        <v>738309</v>
      </c>
    </row>
    <row r="54" spans="1:6" x14ac:dyDescent="0.25">
      <c r="A54" s="15" t="s">
        <v>131</v>
      </c>
      <c r="B54" s="20">
        <f>B53+B45</f>
        <v>37233</v>
      </c>
      <c r="C54" s="20">
        <f>C53+C45</f>
        <v>195632</v>
      </c>
      <c r="D54" s="20">
        <f>D53+D45</f>
        <v>434638</v>
      </c>
      <c r="E54" s="20">
        <f>E53+E45</f>
        <v>738309</v>
      </c>
      <c r="F54" s="20">
        <f>F53+F45</f>
        <v>1048628</v>
      </c>
    </row>
    <row r="55" spans="1:6" x14ac:dyDescent="0.25">
      <c r="A55" s="4" t="s">
        <v>132</v>
      </c>
      <c r="B55" s="25">
        <f>IF(B43=0,"",B54/B43*365)</f>
        <v>85</v>
      </c>
      <c r="C55" s="25">
        <f>IF(C43=0,"",C54/C43*365)</f>
        <v>354</v>
      </c>
      <c r="D55" s="25">
        <f>IF(D43=0,"",D54/D43*365)</f>
        <v>751</v>
      </c>
      <c r="E55" s="25">
        <f>IF(E43=0,"",E54/E43*365)</f>
        <v>1225</v>
      </c>
      <c r="F55" s="25">
        <f>IF(F43=0,"",F54/F43*365)</f>
        <v>1691</v>
      </c>
    </row>
    <row r="56" spans="1:6" x14ac:dyDescent="0.25">
      <c r="A56" s="4" t="s">
        <v>133</v>
      </c>
      <c r="B56" s="26">
        <f>IF(B43=0,"",B54/(B43/12))</f>
        <v>2.8</v>
      </c>
      <c r="C56" s="26">
        <f>IF(C43=0,"",C54/(C43/12))</f>
        <v>11.6</v>
      </c>
      <c r="D56" s="26">
        <f>IF(D43=0,"",D54/(D43/12))</f>
        <v>24.7</v>
      </c>
      <c r="E56" s="26">
        <f>IF(E43=0,"",E54/(E43/12))</f>
        <v>40.3</v>
      </c>
      <c r="F56" s="26">
        <f>IF(F43=0,"",F54/(F43/12))</f>
        <v>55.6</v>
      </c>
    </row>
    <row r="57" spans="1:6" x14ac:dyDescent="0.25">
      <c r="A57" s="4" t="s">
        <v>134</v>
      </c>
      <c r="B57" s="23">
        <f>IF(Assumptions!B12=0,"",B3/Assumptions!B12)</f>
        <v>0.48</v>
      </c>
      <c r="C57" s="23">
        <f>IF(Assumptions!B12=0,"",C3/Assumptions!B12)</f>
        <v>0.72</v>
      </c>
      <c r="D57" s="23">
        <f>IF(Assumptions!B12=0,"",D3/Assumptions!B12)</f>
        <v>0.88</v>
      </c>
      <c r="E57" s="23">
        <f>IF(Assumptions!B12=0,"",E3/Assumptions!B12)</f>
        <v>1</v>
      </c>
      <c r="F57" s="23">
        <f>IF(Assumptions!B12=0,"",F3/Assumptions!B12)</f>
        <v>1</v>
      </c>
    </row>
    <row r="59" ht="24" customHeight="1" spans="1:6" x14ac:dyDescent="0.25">
      <c r="A59" s="3" t="s">
        <v>135</v>
      </c>
      <c r="B59" s="3"/>
      <c r="C59" s="3"/>
      <c r="D59" s="3"/>
      <c r="E59" s="3"/>
      <c r="F59" s="3"/>
    </row>
    <row r="60" spans="1:6" x14ac:dyDescent="0.25">
      <c r="A60" s="4" t="s">
        <v>136</v>
      </c>
      <c r="B60" s="4" t="str">
        <f>IF(B51=0,"N/A",IF(B52&gt;=1.2,"PASS","FAIL"))</f>
        <v>N/A</v>
      </c>
      <c r="C60" s="4" t="str">
        <f>IF(C51=0,"N/A",IF(C52&gt;=1.2,"PASS","FAIL"))</f>
        <v>N/A</v>
      </c>
      <c r="D60" s="4" t="str">
        <f>IF(D51=0,"N/A",IF(D52&gt;=1.2,"PASS","FAIL"))</f>
        <v>N/A</v>
      </c>
      <c r="E60" s="4" t="str">
        <f>IF(E51=0,"N/A",IF(E52&gt;=1.2,"PASS","FAIL"))</f>
        <v>N/A</v>
      </c>
      <c r="F60" s="4" t="str">
        <f>IF(F51=0,"N/A",IF(F52&gt;=1.2,"PASS","FAIL"))</f>
        <v>N/A</v>
      </c>
    </row>
    <row r="61" spans="1:6" x14ac:dyDescent="0.25">
      <c r="A61" s="4" t="s">
        <v>137</v>
      </c>
      <c r="B61" s="4" t="str">
        <f>IF(B45&gt;0,"PASS","FAIL")</f>
        <v>PASS</v>
      </c>
      <c r="C61" s="4" t="str">
        <f>IF(C45&gt;0,"PASS","FAIL")</f>
        <v>PASS</v>
      </c>
      <c r="D61" s="4" t="str">
        <f>IF(D45&gt;0,"PASS","FAIL")</f>
        <v>PASS</v>
      </c>
      <c r="E61" s="4" t="str">
        <f>IF(E45&gt;0,"PASS","FAIL")</f>
        <v>PASS</v>
      </c>
      <c r="F61" s="4" t="str">
        <f>IF(F45&gt;0,"PASS","FAIL")</f>
        <v>PASS</v>
      </c>
    </row>
    <row r="62" spans="1:6" x14ac:dyDescent="0.25">
      <c r="A62" s="4" t="s">
        <v>138</v>
      </c>
      <c r="B62" s="4" t="str">
        <f>IF(Assumptions!B12=0,"N/A",IF(B3/Assumptions!B12&gt;=0.7,"PASS","FAIL"))</f>
        <v>FAIL</v>
      </c>
      <c r="C62" s="4" t="str">
        <f>IF(Assumptions!B12=0,"N/A",IF(C3/Assumptions!B12&gt;=0.7,"PASS","FAIL"))</f>
        <v>PASS</v>
      </c>
      <c r="D62" s="4" t="str">
        <f>IF(Assumptions!B12=0,"N/A",IF(D3/Assumptions!B12&gt;=0.7,"PASS","FAIL"))</f>
        <v>PASS</v>
      </c>
      <c r="E62" s="4" t="str">
        <f>IF(Assumptions!B12=0,"N/A",IF(E3/Assumptions!B12&gt;=0.7,"PASS","FAIL"))</f>
        <v>PASS</v>
      </c>
      <c r="F62" s="4" t="str">
        <f>IF(Assumptions!B12=0,"N/A",IF(F3/Assumptions!B12&gt;=0.7,"PASS","FAIL"))</f>
        <v>PASS</v>
      </c>
    </row>
    <row r="63" spans="1:6" x14ac:dyDescent="0.25">
      <c r="A63" s="4" t="s">
        <v>139</v>
      </c>
      <c r="B63" s="4" t="str">
        <f>IF(B43=0,"N/A",IF(B54/(B43/12)&gt;=2,"PASS","FAIL"))</f>
        <v>PASS</v>
      </c>
      <c r="C63" s="4" t="str">
        <f>IF(C43=0,"N/A",IF(C54/(C43/12)&gt;=2,"PASS","FAIL"))</f>
        <v>PASS</v>
      </c>
      <c r="D63" s="4" t="str">
        <f>IF(D43=0,"N/A",IF(D54/(D43/12)&gt;=2,"PASS","FAIL"))</f>
        <v>PASS</v>
      </c>
      <c r="E63" s="4" t="str">
        <f>IF(E43=0,"N/A",IF(E54/(E43/12)&gt;=2,"PASS","FAIL"))</f>
        <v>PASS</v>
      </c>
      <c r="F63" s="4" t="str">
        <f>IF(F43=0,"N/A",IF(F54/(F43/12)&gt;=2,"PASS","FAIL"))</f>
        <v>PASS</v>
      </c>
    </row>
    <row r="65" ht="24" customHeight="1" spans="1:6" x14ac:dyDescent="0.25">
      <c r="A65" s="3" t="s">
        <v>140</v>
      </c>
      <c r="B65" s="3"/>
      <c r="C65" s="3"/>
      <c r="D65" s="3"/>
      <c r="E65" s="3"/>
      <c r="F65" s="3"/>
    </row>
    <row r="66" spans="1:6" x14ac:dyDescent="0.25">
      <c r="A66" s="4" t="s">
        <v>141</v>
      </c>
      <c r="B66" s="17">
        <f>IF(B3=0,"",B10/B3)</f>
        <v>16389</v>
      </c>
      <c r="C66" s="17">
        <f>IF(C3=0,"",C10/C3)</f>
        <v>20016</v>
      </c>
      <c r="D66" s="17">
        <f>IF(D3=0,"",D10/D3)</f>
        <v>20463</v>
      </c>
      <c r="E66" s="17">
        <f>IF(E3=0,"",E10/E3)</f>
        <v>20946</v>
      </c>
      <c r="F66" s="17">
        <f>IF(F3=0,"",F10/F3)</f>
        <v>21469</v>
      </c>
    </row>
    <row r="67" spans="1:6" x14ac:dyDescent="0.25">
      <c r="A67" s="4" t="s">
        <v>142</v>
      </c>
      <c r="B67" s="17">
        <f>IF(B3=0,"",B43/B3)</f>
        <v>13286</v>
      </c>
      <c r="C67" s="17">
        <f>IF(C3=0,"",C43/C3)</f>
        <v>11216</v>
      </c>
      <c r="D67" s="17">
        <f>IF(D3=0,"",D43/D3)</f>
        <v>9599</v>
      </c>
      <c r="E67" s="17">
        <f>IF(E3=0,"",E43/E3)</f>
        <v>8799</v>
      </c>
      <c r="F67" s="17">
        <f>IF(F3=0,"",F43/F3)</f>
        <v>9056</v>
      </c>
    </row>
    <row r="68" spans="1:6" x14ac:dyDescent="0.25">
      <c r="A68" s="4" t="s">
        <v>143</v>
      </c>
      <c r="B68" s="17">
        <f>B40+B42</f>
        <v>118934</v>
      </c>
      <c r="C68" s="17">
        <f>C40+C42</f>
        <v>147003</v>
      </c>
      <c r="D68" s="17">
        <f>D40+D42</f>
        <v>151413</v>
      </c>
      <c r="E68" s="17">
        <f>E40+E42</f>
        <v>155955</v>
      </c>
      <c r="F68" s="17">
        <f>F40+F42</f>
        <v>160634</v>
      </c>
    </row>
    <row r="69" spans="1:6" x14ac:dyDescent="0.25">
      <c r="A69" s="4" t="s">
        <v>144</v>
      </c>
      <c r="B69" s="17">
        <f>IF(B3=0,"",B41/B3)</f>
        <v>3375</v>
      </c>
      <c r="C69" s="17">
        <f>IF(C3=0,"",C41/C3)</f>
        <v>3049</v>
      </c>
      <c r="D69" s="17">
        <f>IF(D3=0,"",D41/D3)</f>
        <v>2717</v>
      </c>
      <c r="E69" s="17">
        <f>IF(E3=0,"",E41/E3)</f>
        <v>2560</v>
      </c>
      <c r="F69" s="17">
        <f>IF(F3=0,"",F41/F3)</f>
        <v>2631</v>
      </c>
    </row>
    <row r="70" spans="1:6" x14ac:dyDescent="0.25">
      <c r="A70" s="4" t="s">
        <v>145</v>
      </c>
      <c r="B70" s="17">
        <f>IF(B3=0,"",B66-B69)</f>
        <v>13014</v>
      </c>
      <c r="C70" s="17">
        <f>IF(C3=0,"",C66-C69)</f>
        <v>16967</v>
      </c>
      <c r="D70" s="17">
        <f>IF(D3=0,"",D66-D69)</f>
        <v>17746</v>
      </c>
      <c r="E70" s="17">
        <f>IF(E3=0,"",E66-E69)</f>
        <v>18385</v>
      </c>
      <c r="F70" s="17">
        <f>IF(F3=0,"",F66-F69)</f>
        <v>18838</v>
      </c>
    </row>
    <row r="71" spans="1:6" x14ac:dyDescent="0.25">
      <c r="A71" s="27" t="s">
        <v>146</v>
      </c>
      <c r="B71" s="28">
        <f>IF(B70&lt;=0,"N/A",ROUNDUP(B68/B70,0))</f>
        <v>10</v>
      </c>
      <c r="C71" s="28">
        <f>IF(C70&lt;=0,"N/A",ROUNDUP(C68/C70,0))</f>
        <v>9</v>
      </c>
      <c r="D71" s="28">
        <f>IF(D70&lt;=0,"N/A",ROUNDUP(D68/D70,0))</f>
        <v>9</v>
      </c>
      <c r="E71" s="28">
        <f>IF(E70&lt;=0,"N/A",ROUNDUP(E68/E70,0))</f>
        <v>9</v>
      </c>
      <c r="F71" s="28">
        <f>IF(F70&lt;=0,"N/A",ROUNDUP(F68/F70,0))</f>
        <v>9</v>
      </c>
    </row>
    <row r="73" spans="1:6" x14ac:dyDescent="0.25">
      <c r="A73" s="13" t="s">
        <v>96</v>
      </c>
      <c r="B73" s="13"/>
      <c r="C73" s="13"/>
      <c r="D73" s="13"/>
      <c r="E73" s="13"/>
      <c r="F73" s="13"/>
    </row>
  </sheetData>
  <mergeCells count="2">
    <mergeCell ref="A1:F1"/>
    <mergeCell ref="A73:F73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4" t="s">
        <v>40</v>
      </c>
      <c r="B2" s="14" t="s">
        <v>16</v>
      </c>
      <c r="C2" s="14" t="s">
        <v>148</v>
      </c>
      <c r="D2" s="14" t="s">
        <v>149</v>
      </c>
      <c r="E2" s="14" t="s">
        <v>150</v>
      </c>
      <c r="F2" s="14" t="s">
        <v>151</v>
      </c>
      <c r="G2" s="14" t="s">
        <v>152</v>
      </c>
      <c r="H2" s="14" t="s">
        <v>153</v>
      </c>
      <c r="I2" s="14" t="s">
        <v>154</v>
      </c>
      <c r="J2" s="14" t="s">
        <v>155</v>
      </c>
      <c r="K2" s="14" t="s">
        <v>156</v>
      </c>
      <c r="L2" s="14" t="s">
        <v>157</v>
      </c>
      <c r="M2" s="14" t="s">
        <v>158</v>
      </c>
      <c r="N2" s="14" t="s">
        <v>159</v>
      </c>
    </row>
    <row r="3" ht="24" customHeight="1" spans="1:14" x14ac:dyDescent="0.25">
      <c r="A3" s="3" t="s">
        <v>98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7">
        <v>14400</v>
      </c>
      <c r="C4" s="17">
        <v>14400</v>
      </c>
      <c r="D4" s="17">
        <v>14400</v>
      </c>
      <c r="E4" s="17">
        <v>14400</v>
      </c>
      <c r="F4" s="17">
        <v>14400</v>
      </c>
      <c r="G4" s="17">
        <v>14400</v>
      </c>
      <c r="H4" s="17">
        <v>14400</v>
      </c>
      <c r="I4" s="17">
        <v>14400</v>
      </c>
      <c r="J4" s="17">
        <v>14400</v>
      </c>
      <c r="K4" s="17">
        <v>14400</v>
      </c>
      <c r="L4" s="17">
        <v>0</v>
      </c>
      <c r="M4" s="17">
        <v>0</v>
      </c>
      <c r="N4" s="17">
        <f>SUM(B4:M4)</f>
        <v>120000</v>
      </c>
    </row>
    <row r="5" spans="1:14" x14ac:dyDescent="0.25">
      <c r="A5" s="4" t="s">
        <v>41</v>
      </c>
      <c r="B5" s="17">
        <v>300</v>
      </c>
      <c r="C5" s="17">
        <v>300</v>
      </c>
      <c r="D5" s="17">
        <v>300</v>
      </c>
      <c r="E5" s="17">
        <v>300</v>
      </c>
      <c r="F5" s="17">
        <v>300</v>
      </c>
      <c r="G5" s="17">
        <v>300</v>
      </c>
      <c r="H5" s="17">
        <v>300</v>
      </c>
      <c r="I5" s="17">
        <v>300</v>
      </c>
      <c r="J5" s="17">
        <v>300</v>
      </c>
      <c r="K5" s="17">
        <v>300</v>
      </c>
      <c r="L5" s="17">
        <v>0</v>
      </c>
      <c r="M5" s="17">
        <v>0</v>
      </c>
      <c r="N5" s="17">
        <f>SUM(B5:M5)</f>
        <v>2500</v>
      </c>
    </row>
    <row r="6" spans="1:14" x14ac:dyDescent="0.25">
      <c r="A6" s="4" t="s">
        <v>42</v>
      </c>
      <c r="B6" s="17">
        <v>8400</v>
      </c>
      <c r="C6" s="17">
        <v>8400</v>
      </c>
      <c r="D6" s="17">
        <v>8400</v>
      </c>
      <c r="E6" s="17">
        <v>8400</v>
      </c>
      <c r="F6" s="17">
        <v>8400</v>
      </c>
      <c r="G6" s="17">
        <v>8400</v>
      </c>
      <c r="H6" s="17">
        <v>8400</v>
      </c>
      <c r="I6" s="17">
        <v>8400</v>
      </c>
      <c r="J6" s="17">
        <v>8400</v>
      </c>
      <c r="K6" s="17">
        <v>8400</v>
      </c>
      <c r="L6" s="17">
        <v>0</v>
      </c>
      <c r="M6" s="17">
        <v>0</v>
      </c>
      <c r="N6" s="17">
        <f>SUM(B6:M6)</f>
        <v>70000</v>
      </c>
    </row>
    <row r="7" spans="1:14" x14ac:dyDescent="0.25">
      <c r="A7" s="4" t="s">
        <v>44</v>
      </c>
      <c r="B7" s="17">
        <v>500</v>
      </c>
      <c r="C7" s="17">
        <v>500</v>
      </c>
      <c r="D7" s="17">
        <v>500</v>
      </c>
      <c r="E7" s="17">
        <v>500</v>
      </c>
      <c r="F7" s="17">
        <v>500</v>
      </c>
      <c r="G7" s="17">
        <v>500</v>
      </c>
      <c r="H7" s="17">
        <v>500</v>
      </c>
      <c r="I7" s="17">
        <v>500</v>
      </c>
      <c r="J7" s="17">
        <v>500</v>
      </c>
      <c r="K7" s="17">
        <v>500</v>
      </c>
      <c r="L7" s="17">
        <v>0</v>
      </c>
      <c r="M7" s="17">
        <v>0</v>
      </c>
      <c r="N7" s="17">
        <f>SUM(B7:M7)</f>
        <v>4167</v>
      </c>
    </row>
    <row r="8" ht="24" customHeight="1" spans="1:14" x14ac:dyDescent="0.25">
      <c r="A8" s="3" t="s">
        <v>99</v>
      </c>
      <c r="B8" s="18">
        <f>SUM(B4:B7)</f>
        <v>155900</v>
      </c>
      <c r="C8" s="18">
        <f>SUM(C4:C7)</f>
        <v>8900</v>
      </c>
      <c r="D8" s="18">
        <f>SUM(D4:D7)</f>
        <v>8900</v>
      </c>
      <c r="E8" s="18">
        <f>SUM(E4:E7)</f>
        <v>8900</v>
      </c>
      <c r="F8" s="18">
        <f>SUM(F4:F7)</f>
        <v>8900</v>
      </c>
      <c r="G8" s="18">
        <f>SUM(G4:G7)</f>
        <v>8900</v>
      </c>
      <c r="H8" s="18">
        <f>SUM(H4:H7)</f>
        <v>8900</v>
      </c>
      <c r="I8" s="18">
        <f>SUM(I4:I7)</f>
        <v>8900</v>
      </c>
      <c r="J8" s="18">
        <f>SUM(J4:J7)</f>
        <v>8900</v>
      </c>
      <c r="K8" s="18">
        <f>SUM(K4:K7)</f>
        <v>8900</v>
      </c>
      <c r="L8" s="18" t="str">
        <f>SUM(L4:L7)</f>
        <v>0</v>
      </c>
      <c r="M8" s="18" t="str">
        <f>SUM(M4:M7)</f>
        <v>0</v>
      </c>
      <c r="N8" s="18">
        <f>SUM(B8:M8)</f>
        <v>236000</v>
      </c>
    </row>
    <row r="9" spans="1:1" x14ac:dyDescent="0.25">
      <c r="A9" t="s">
        <v>40</v>
      </c>
    </row>
    <row r="10" ht="24" customHeight="1" spans="1:14" x14ac:dyDescent="0.25">
      <c r="A10" s="3" t="s">
        <v>100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4" t="s">
        <v>56</v>
      </c>
      <c r="B11" s="17">
        <v>5851</v>
      </c>
      <c r="C11" s="17">
        <v>5851</v>
      </c>
      <c r="D11" s="17">
        <v>5851</v>
      </c>
      <c r="E11" s="17">
        <v>5851</v>
      </c>
      <c r="F11" s="17">
        <v>5851</v>
      </c>
      <c r="G11" s="17">
        <v>5851</v>
      </c>
      <c r="H11" s="17">
        <v>5851</v>
      </c>
      <c r="I11" s="17">
        <v>5851</v>
      </c>
      <c r="J11" s="17">
        <v>5851</v>
      </c>
      <c r="K11" s="17">
        <v>5851</v>
      </c>
      <c r="L11" s="17">
        <v>0</v>
      </c>
      <c r="M11" s="17">
        <v>0</v>
      </c>
      <c r="N11" s="17">
        <f>SUM(B11:M11)</f>
        <v>58506</v>
      </c>
    </row>
    <row r="12" spans="1:14" x14ac:dyDescent="0.25">
      <c r="A12" s="4" t="s">
        <v>60</v>
      </c>
      <c r="B12" s="17">
        <v>4787</v>
      </c>
      <c r="C12" s="17">
        <v>4787</v>
      </c>
      <c r="D12" s="17">
        <v>4787</v>
      </c>
      <c r="E12" s="17">
        <v>4787</v>
      </c>
      <c r="F12" s="17">
        <v>4787</v>
      </c>
      <c r="G12" s="17">
        <v>4787</v>
      </c>
      <c r="H12" s="17">
        <v>4787</v>
      </c>
      <c r="I12" s="17">
        <v>4787</v>
      </c>
      <c r="J12" s="17">
        <v>4787</v>
      </c>
      <c r="K12" s="17">
        <v>4787</v>
      </c>
      <c r="L12" s="17">
        <v>0</v>
      </c>
      <c r="M12" s="17">
        <v>0</v>
      </c>
      <c r="N12" s="17">
        <f>SUM(B12:M12)</f>
        <v>47869</v>
      </c>
    </row>
    <row r="13" spans="1:14" x14ac:dyDescent="0.25">
      <c r="A13" s="4" t="s">
        <v>62</v>
      </c>
      <c r="B13" s="17">
        <v>1256</v>
      </c>
      <c r="C13" s="17">
        <v>1256</v>
      </c>
      <c r="D13" s="17">
        <v>1256</v>
      </c>
      <c r="E13" s="17">
        <v>1256</v>
      </c>
      <c r="F13" s="17">
        <v>1256</v>
      </c>
      <c r="G13" s="17">
        <v>1256</v>
      </c>
      <c r="H13" s="17">
        <v>1256</v>
      </c>
      <c r="I13" s="17">
        <v>1256</v>
      </c>
      <c r="J13" s="17">
        <v>1256</v>
      </c>
      <c r="K13" s="17">
        <v>1256</v>
      </c>
      <c r="L13" s="17">
        <v>0</v>
      </c>
      <c r="M13" s="17">
        <v>0</v>
      </c>
      <c r="N13" s="17">
        <f>SUM(B13:M13)</f>
        <v>12559</v>
      </c>
    </row>
    <row r="14" ht="24" customHeight="1" spans="1:14" x14ac:dyDescent="0.25">
      <c r="A14" s="3" t="s">
        <v>104</v>
      </c>
      <c r="B14" s="18">
        <f>SUM(B11:B13)</f>
        <v>11893</v>
      </c>
      <c r="C14" s="18">
        <f>SUM(C11:C13)</f>
        <v>11893</v>
      </c>
      <c r="D14" s="18">
        <f>SUM(D11:D13)</f>
        <v>11893</v>
      </c>
      <c r="E14" s="18">
        <f>SUM(E11:E13)</f>
        <v>11893</v>
      </c>
      <c r="F14" s="18">
        <f>SUM(F11:F13)</f>
        <v>11893</v>
      </c>
      <c r="G14" s="18">
        <f>SUM(G11:G13)</f>
        <v>11893</v>
      </c>
      <c r="H14" s="18">
        <f>SUM(H11:H13)</f>
        <v>11893</v>
      </c>
      <c r="I14" s="18">
        <f>SUM(I11:I13)</f>
        <v>11893</v>
      </c>
      <c r="J14" s="18">
        <f>SUM(J11:J13)</f>
        <v>11893</v>
      </c>
      <c r="K14" s="18">
        <f>SUM(K11:K13)</f>
        <v>11893</v>
      </c>
      <c r="L14" s="18" t="str">
        <f>SUM(L11:L13)</f>
        <v>0</v>
      </c>
      <c r="M14" s="18" t="str">
        <f>SUM(M11:M13)</f>
        <v>0</v>
      </c>
      <c r="N14" s="18">
        <f>SUM(B14:M14)</f>
        <v>118934</v>
      </c>
    </row>
    <row r="15" spans="1:1" x14ac:dyDescent="0.25">
      <c r="A15" t="s">
        <v>40</v>
      </c>
    </row>
    <row r="16" ht="24" customHeight="1" spans="1:14" x14ac:dyDescent="0.25">
      <c r="A16" s="3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4" t="s">
        <v>78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25">
      <c r="A18" s="4" t="s">
        <v>160</v>
      </c>
      <c r="B18" s="17">
        <v>500</v>
      </c>
      <c r="C18" s="17">
        <v>500</v>
      </c>
      <c r="D18" s="17">
        <v>500</v>
      </c>
      <c r="E18" s="17">
        <v>500</v>
      </c>
      <c r="F18" s="17">
        <v>500</v>
      </c>
      <c r="G18" s="17">
        <v>500</v>
      </c>
      <c r="H18" s="17">
        <v>500</v>
      </c>
      <c r="I18" s="17">
        <v>500</v>
      </c>
      <c r="J18" s="17">
        <v>500</v>
      </c>
      <c r="K18" s="17">
        <v>500</v>
      </c>
      <c r="L18" s="17">
        <v>0</v>
      </c>
      <c r="M18" s="17">
        <v>0</v>
      </c>
      <c r="N18" s="17">
        <f>SUM(B18:M18)</f>
        <v>5000</v>
      </c>
    </row>
    <row r="19" spans="1:14" x14ac:dyDescent="0.25">
      <c r="A19" s="19" t="s">
        <v>106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4" t="s">
        <v>79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25">
      <c r="A21" s="4" t="s">
        <v>161</v>
      </c>
      <c r="B21" s="17">
        <v>300</v>
      </c>
      <c r="C21" s="17">
        <v>300</v>
      </c>
      <c r="D21" s="17">
        <v>300</v>
      </c>
      <c r="E21" s="17">
        <v>300</v>
      </c>
      <c r="F21" s="17">
        <v>300</v>
      </c>
      <c r="G21" s="17">
        <v>300</v>
      </c>
      <c r="H21" s="17">
        <v>300</v>
      </c>
      <c r="I21" s="17">
        <v>300</v>
      </c>
      <c r="J21" s="17">
        <v>300</v>
      </c>
      <c r="K21" s="17">
        <v>300</v>
      </c>
      <c r="L21" s="17">
        <v>0</v>
      </c>
      <c r="M21" s="17">
        <v>0</v>
      </c>
      <c r="N21" s="17">
        <f>SUM(B21:M21)</f>
        <v>3000</v>
      </c>
    </row>
    <row r="22" spans="1:14" x14ac:dyDescent="0.25">
      <c r="A22" s="19" t="s">
        <v>108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4" t="s">
        <v>74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162</v>
      </c>
      <c r="B24" s="17">
        <v>2500</v>
      </c>
      <c r="C24" s="17">
        <v>2500</v>
      </c>
      <c r="D24" s="17">
        <v>2500</v>
      </c>
      <c r="E24" s="17">
        <v>2500</v>
      </c>
      <c r="F24" s="17">
        <v>2500</v>
      </c>
      <c r="G24" s="17">
        <v>2500</v>
      </c>
      <c r="H24" s="17">
        <v>2500</v>
      </c>
      <c r="I24" s="17">
        <v>2500</v>
      </c>
      <c r="J24" s="17">
        <v>2500</v>
      </c>
      <c r="K24" s="17">
        <v>2500</v>
      </c>
      <c r="L24" s="17">
        <v>0</v>
      </c>
      <c r="M24" s="17">
        <v>0</v>
      </c>
      <c r="N24" s="17">
        <f>SUM(B24:M24)</f>
        <v>25000</v>
      </c>
    </row>
    <row r="25" spans="1:14" x14ac:dyDescent="0.25">
      <c r="A25" s="4" t="s">
        <v>163</v>
      </c>
      <c r="B25" s="17">
        <v>300</v>
      </c>
      <c r="C25" s="17">
        <v>300</v>
      </c>
      <c r="D25" s="17">
        <v>300</v>
      </c>
      <c r="E25" s="17">
        <v>300</v>
      </c>
      <c r="F25" s="17">
        <v>300</v>
      </c>
      <c r="G25" s="17">
        <v>300</v>
      </c>
      <c r="H25" s="17">
        <v>300</v>
      </c>
      <c r="I25" s="17">
        <v>300</v>
      </c>
      <c r="J25" s="17">
        <v>300</v>
      </c>
      <c r="K25" s="17">
        <v>300</v>
      </c>
      <c r="L25" s="17">
        <v>0</v>
      </c>
      <c r="M25" s="17">
        <v>0</v>
      </c>
      <c r="N25" s="17">
        <f>SUM(B25:M25)</f>
        <v>3000</v>
      </c>
    </row>
    <row r="26" spans="1:14" x14ac:dyDescent="0.25">
      <c r="A26" s="4" t="s">
        <v>164</v>
      </c>
      <c r="B26" s="17">
        <v>200</v>
      </c>
      <c r="C26" s="17">
        <v>200</v>
      </c>
      <c r="D26" s="17">
        <v>200</v>
      </c>
      <c r="E26" s="17">
        <v>200</v>
      </c>
      <c r="F26" s="17">
        <v>200</v>
      </c>
      <c r="G26" s="17">
        <v>200</v>
      </c>
      <c r="H26" s="17">
        <v>200</v>
      </c>
      <c r="I26" s="17">
        <v>200</v>
      </c>
      <c r="J26" s="17">
        <v>200</v>
      </c>
      <c r="K26" s="17">
        <v>200</v>
      </c>
      <c r="L26" s="17">
        <v>0</v>
      </c>
      <c r="M26" s="17">
        <v>0</v>
      </c>
      <c r="N26" s="17">
        <f>SUM(B26:M26)</f>
        <v>2000</v>
      </c>
    </row>
    <row r="27" spans="1:14" x14ac:dyDescent="0.25">
      <c r="A27" s="19" t="s">
        <v>112</v>
      </c>
      <c r="B27" s="20">
        <v>3000</v>
      </c>
      <c r="C27" s="20">
        <v>3000</v>
      </c>
      <c r="D27" s="20">
        <v>3000</v>
      </c>
      <c r="E27" s="20">
        <v>3000</v>
      </c>
      <c r="F27" s="20">
        <v>3000</v>
      </c>
      <c r="G27" s="20">
        <v>3000</v>
      </c>
      <c r="H27" s="20">
        <v>3000</v>
      </c>
      <c r="I27" s="20">
        <v>3000</v>
      </c>
      <c r="J27" s="20">
        <v>3000</v>
      </c>
      <c r="K27" s="20">
        <v>3000</v>
      </c>
      <c r="L27" s="20">
        <v>0</v>
      </c>
      <c r="M27" s="20">
        <v>0</v>
      </c>
      <c r="N27" s="20">
        <f>SUM(B27:M27)</f>
        <v>30000</v>
      </c>
    </row>
    <row r="28" spans="1:14" x14ac:dyDescent="0.25">
      <c r="A28" s="4" t="s">
        <v>81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165</v>
      </c>
      <c r="B29" s="17">
        <v>250</v>
      </c>
      <c r="C29" s="17">
        <v>250</v>
      </c>
      <c r="D29" s="17">
        <v>250</v>
      </c>
      <c r="E29" s="17">
        <v>250</v>
      </c>
      <c r="F29" s="17">
        <v>250</v>
      </c>
      <c r="G29" s="17">
        <v>250</v>
      </c>
      <c r="H29" s="17">
        <v>250</v>
      </c>
      <c r="I29" s="17">
        <v>250</v>
      </c>
      <c r="J29" s="17">
        <v>250</v>
      </c>
      <c r="K29" s="17">
        <v>250</v>
      </c>
      <c r="L29" s="17">
        <v>0</v>
      </c>
      <c r="M29" s="17">
        <v>0</v>
      </c>
      <c r="N29" s="17">
        <f>SUM(B29:M29)</f>
        <v>2500</v>
      </c>
    </row>
    <row r="30" spans="1:14" x14ac:dyDescent="0.25">
      <c r="A30" s="19" t="s">
        <v>114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ht="24" customHeight="1" spans="1:14" x14ac:dyDescent="0.25">
      <c r="A31" s="3" t="s">
        <v>115</v>
      </c>
      <c r="B31" s="18">
        <f>B19+B22+B27+B30</f>
        <v>4050</v>
      </c>
      <c r="C31" s="18">
        <f>C19+C22+C27+C30</f>
        <v>4050</v>
      </c>
      <c r="D31" s="18">
        <f>D19+D22+D27+D30</f>
        <v>4050</v>
      </c>
      <c r="E31" s="18">
        <f>E19+E22+E27+E30</f>
        <v>4050</v>
      </c>
      <c r="F31" s="18">
        <f>F19+F22+F27+F30</f>
        <v>4050</v>
      </c>
      <c r="G31" s="18">
        <f>G19+G22+G27+G30</f>
        <v>4050</v>
      </c>
      <c r="H31" s="18">
        <f>H19+H22+H27+H30</f>
        <v>4050</v>
      </c>
      <c r="I31" s="18">
        <f>I19+I22+I27+I30</f>
        <v>4050</v>
      </c>
      <c r="J31" s="18">
        <f>J19+J22+J27+J30</f>
        <v>4050</v>
      </c>
      <c r="K31" s="18">
        <f>K19+K22+K27+K30</f>
        <v>4050</v>
      </c>
      <c r="L31" s="18" t="str">
        <f>L19+L22+L27+L30</f>
        <v>0</v>
      </c>
      <c r="M31" s="18" t="str">
        <f>M19+M22+M27+M30</f>
        <v>0</v>
      </c>
      <c r="N31" s="18">
        <f>SUM(B31:M31)</f>
        <v>40500</v>
      </c>
    </row>
    <row r="32" spans="1:1" x14ac:dyDescent="0.25">
      <c r="A32" t="s">
        <v>40</v>
      </c>
    </row>
    <row r="33" spans="1:14" x14ac:dyDescent="0.25">
      <c r="A33" s="15" t="s">
        <v>166</v>
      </c>
      <c r="B33" s="17">
        <v>0</v>
      </c>
      <c r="C33" s="17">
        <v>0</v>
      </c>
      <c r="D33" s="17">
        <v>0</v>
      </c>
      <c r="E33" s="17">
        <v>0</v>
      </c>
      <c r="F33" s="17">
        <v>0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 t="str">
        <f>SUM(B33:M33)</f>
        <v>0</v>
      </c>
    </row>
    <row r="34" spans="1:1" x14ac:dyDescent="0.25">
      <c r="A34" t="s">
        <v>40</v>
      </c>
    </row>
    <row r="35" ht="24" customHeight="1" spans="1:14" x14ac:dyDescent="0.25">
      <c r="A35" s="3" t="s">
        <v>167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15" t="s">
        <v>123</v>
      </c>
      <c r="B36" s="20">
        <f>B14+B31+B33</f>
        <v>15943</v>
      </c>
      <c r="C36" s="20">
        <f>C14+C31+C33</f>
        <v>15943</v>
      </c>
      <c r="D36" s="20">
        <f>D14+D31+D33</f>
        <v>15943</v>
      </c>
      <c r="E36" s="20">
        <f>E14+E31+E33</f>
        <v>15943</v>
      </c>
      <c r="F36" s="20">
        <f>F14+F31+F33</f>
        <v>15943</v>
      </c>
      <c r="G36" s="20">
        <f>G14+G31+G33</f>
        <v>15943</v>
      </c>
      <c r="H36" s="20">
        <f>H14+H31+H33</f>
        <v>15943</v>
      </c>
      <c r="I36" s="20">
        <f>I14+I31+I33</f>
        <v>15943</v>
      </c>
      <c r="J36" s="20">
        <f>J14+J31+J33</f>
        <v>15943</v>
      </c>
      <c r="K36" s="20">
        <f>K14+K31+K33</f>
        <v>15943</v>
      </c>
      <c r="L36" s="20" t="str">
        <f>L14+L31+L33</f>
        <v>0</v>
      </c>
      <c r="M36" s="20" t="str">
        <f>M14+M31+M33</f>
        <v>0</v>
      </c>
      <c r="N36" s="20">
        <f>SUM(B36:M36)</f>
        <v>159430</v>
      </c>
    </row>
    <row r="37" spans="1:14" x14ac:dyDescent="0.25">
      <c r="A37" s="15" t="s">
        <v>168</v>
      </c>
      <c r="B37" s="20">
        <f>B8-B36</f>
        <v>139957</v>
      </c>
      <c r="C37" s="20">
        <f>C8-C36</f>
        <v>-7043</v>
      </c>
      <c r="D37" s="20">
        <f>D8-D36</f>
        <v>-7043</v>
      </c>
      <c r="E37" s="20">
        <f>E8-E36</f>
        <v>-7043</v>
      </c>
      <c r="F37" s="20">
        <f>F8-F36</f>
        <v>-7043</v>
      </c>
      <c r="G37" s="20">
        <f>G8-G36</f>
        <v>-7043</v>
      </c>
      <c r="H37" s="20">
        <f>H8-H36</f>
        <v>-7043</v>
      </c>
      <c r="I37" s="20">
        <f>I8-I36</f>
        <v>-7043</v>
      </c>
      <c r="J37" s="20">
        <f>J8-J36</f>
        <v>-7043</v>
      </c>
      <c r="K37" s="20">
        <f>K8-K36</f>
        <v>-7043</v>
      </c>
      <c r="L37" s="20" t="str">
        <f>L8-L36</f>
        <v>0</v>
      </c>
      <c r="M37" s="20" t="str">
        <f>M8-M36</f>
        <v>0</v>
      </c>
      <c r="N37" s="20">
        <f>SUM(B37:M37)</f>
        <v>76570</v>
      </c>
    </row>
    <row r="38" spans="1:14" x14ac:dyDescent="0.25">
      <c r="A38" s="15" t="s">
        <v>169</v>
      </c>
      <c r="B38" s="20">
        <f>0+B37</f>
        <v>139957</v>
      </c>
      <c r="C38" s="20">
        <f>B38+C37</f>
        <v>132914</v>
      </c>
      <c r="D38" s="20">
        <f>C38+D37</f>
        <v>125871</v>
      </c>
      <c r="E38" s="20">
        <f>D38+E37</f>
        <v>118828</v>
      </c>
      <c r="F38" s="20">
        <f>E38+F37</f>
        <v>111785</v>
      </c>
      <c r="G38" s="20">
        <f>F38+G37</f>
        <v>104742</v>
      </c>
      <c r="H38" s="20">
        <f>G38+H37</f>
        <v>97699</v>
      </c>
      <c r="I38" s="20">
        <f>H38+I37</f>
        <v>90656</v>
      </c>
      <c r="J38" s="20">
        <f>I38+J37</f>
        <v>83613</v>
      </c>
      <c r="K38" s="20">
        <f>J38+K37</f>
        <v>76570</v>
      </c>
      <c r="L38" s="20">
        <f>K38+L37</f>
        <v>76570</v>
      </c>
      <c r="M38" s="20">
        <f>L38+M37</f>
        <v>76570</v>
      </c>
      <c r="N38" s="20">
        <f>M38</f>
        <v>76570</v>
      </c>
    </row>
    <row r="40" ht="24" customHeight="1" spans="1:3" x14ac:dyDescent="0.25">
      <c r="A40" s="3" t="s">
        <v>170</v>
      </c>
      <c r="B40" s="3"/>
      <c r="C40" s="3"/>
    </row>
    <row r="41" spans="1:2" x14ac:dyDescent="0.25">
      <c r="A41" s="4" t="s">
        <v>95</v>
      </c>
      <c r="B41" s="17">
        <v>0</v>
      </c>
    </row>
    <row r="42" spans="1:2" x14ac:dyDescent="0.25">
      <c r="A42" s="4" t="s">
        <v>171</v>
      </c>
      <c r="B42" s="20">
        <f>M38</f>
        <v>76570</v>
      </c>
    </row>
    <row r="43" spans="1:2" x14ac:dyDescent="0.25">
      <c r="A43" s="4" t="s">
        <v>172</v>
      </c>
      <c r="B43" s="17">
        <f>MIN(B38:M38)</f>
        <v>76570</v>
      </c>
    </row>
    <row r="45" spans="1:14" x14ac:dyDescent="0.25">
      <c r="A45" s="13" t="s">
        <v>96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</sheetData>
  <mergeCells count="2">
    <mergeCell ref="A1:N1"/>
    <mergeCell ref="A45:N45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2026-03-16T23:04:49Z</dcterms:created>
  <dcterms:modified xsi:type="dcterms:W3CDTF">2026-03-16T23:04:49Z</dcterms:modified>
</cp:coreProperties>
</file>