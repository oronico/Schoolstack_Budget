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<sst xmlns="http://schemas.openxmlformats.org/spreadsheetml/2006/main" count="390" uniqueCount="276">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</sst>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209</v>
      </c>
      <c r="C2" s="1"/>
      <c r="D2" s="1"/>
      <c r="E2" s="1"/>
      <c r="F2" s="1"/>
      <c r="G2" s="1"/>
      <c r="H2" s="1"/>
    </row>
    <row r="3" spans="2:8" x14ac:dyDescent="0.25">
      <c r="B3" s="42" t="s">
        <v>210</v>
      </c>
      <c r="C3" s="42"/>
      <c r="D3" s="42"/>
      <c r="E3" s="42"/>
      <c r="F3" s="42"/>
      <c r="G3" s="42"/>
      <c r="H3" s="42"/>
    </row>
    <row r="4" spans="2:6" x14ac:dyDescent="0.25">
      <c r="B4" s="43" t="s">
        <v>211</v>
      </c>
      <c r="D4" s="44" t="s">
        <v>212</v>
      </c>
      <c r="F4" s="45" t="s">
        <v>213</v>
      </c>
    </row>
    <row r="6" ht="24" customHeight="1" spans="2:8" x14ac:dyDescent="0.25">
      <c r="B6" s="12" t="s">
        <v>214</v>
      </c>
      <c r="C6" s="16" t="s">
        <v>215</v>
      </c>
      <c r="D6" s="16" t="s">
        <v>216</v>
      </c>
      <c r="E6" s="16" t="s">
        <v>217</v>
      </c>
      <c r="F6" s="16" t="s">
        <v>218</v>
      </c>
      <c r="G6" s="16" t="s">
        <v>219</v>
      </c>
      <c r="H6" s="16" t="s">
        <v>220</v>
      </c>
    </row>
    <row r="7" spans="2:7" x14ac:dyDescent="0.25">
      <c r="B7" s="13" t="s">
        <v>221</v>
      </c>
      <c r="C7" s="46">
        <v>12</v>
      </c>
      <c r="D7" s="46">
        <v>18</v>
      </c>
      <c r="E7" s="46">
        <v>22</v>
      </c>
      <c r="F7" s="46">
        <v>25</v>
      </c>
      <c r="G7" s="46">
        <v>25</v>
      </c>
    </row>
    <row r="8" spans="2:7" x14ac:dyDescent="0.25">
      <c r="B8" s="13" t="s">
        <v>222</v>
      </c>
      <c r="C8" s="47">
        <v>221600</v>
      </c>
      <c r="D8" s="47">
        <v>337593.99999999994</v>
      </c>
      <c r="E8" s="47">
        <v>421052.1521874999</v>
      </c>
      <c r="F8" s="47">
        <v>488847.26385986316</v>
      </c>
      <c r="G8" s="47">
        <v>500176.9311411085</v>
      </c>
    </row>
    <row r="9" spans="2:7" x14ac:dyDescent="0.25">
      <c r="B9" s="13" t="s">
        <v>223</v>
      </c>
      <c r="C9" s="47">
        <v>118934.16666666667</v>
      </c>
      <c r="D9" s="47">
        <v>147002.63</v>
      </c>
      <c r="E9" s="47">
        <v>151412.7089</v>
      </c>
      <c r="F9" s="47">
        <v>155955.090167</v>
      </c>
      <c r="G9" s="47">
        <v>160633.74287201</v>
      </c>
    </row>
    <row r="10" spans="2:7" x14ac:dyDescent="0.25">
      <c r="B10" s="13" t="s">
        <v>224</v>
      </c>
      <c r="C10" s="47">
        <v>37600</v>
      </c>
      <c r="D10" s="47">
        <v>48735</v>
      </c>
      <c r="E10" s="47">
        <v>53469.875</v>
      </c>
      <c r="F10" s="47">
        <v>57550.29437499999</v>
      </c>
      <c r="G10" s="47">
        <v>59152.96078437499</v>
      </c>
    </row>
    <row r="11" spans="2:7" x14ac:dyDescent="0.25">
      <c r="B11" s="13" t="s">
        <v>165</v>
      </c>
      <c r="C11" s="47">
        <v>6959.808550594178</v>
      </c>
      <c r="D11" s="47">
        <v>6959.808550594178</v>
      </c>
      <c r="E11" s="47">
        <v>6959.808550594178</v>
      </c>
      <c r="F11" s="47">
        <v>6959.808550594178</v>
      </c>
      <c r="G11" s="47">
        <v>6959.808550594178</v>
      </c>
    </row>
    <row r="12" spans="2:7" x14ac:dyDescent="0.25">
      <c r="B12" s="27" t="s">
        <v>225</v>
      </c>
      <c r="C12" s="48">
        <v>58106.02478273915</v>
      </c>
      <c r="D12" s="48">
        <v>134896.56144940577</v>
      </c>
      <c r="E12" s="48">
        <v>209209.75973690578</v>
      </c>
      <c r="F12" s="48">
        <v>268382.070767269</v>
      </c>
      <c r="G12" s="48">
        <v>273430.41893412935</v>
      </c>
    </row>
    <row r="13" spans="2:7" x14ac:dyDescent="0.25">
      <c r="B13" s="27" t="s">
        <v>167</v>
      </c>
      <c r="C13" s="48">
        <v>58106.02478273915</v>
      </c>
      <c r="D13" s="48">
        <v>193002.5862321449</v>
      </c>
      <c r="E13" s="48">
        <v>402212.34596905066</v>
      </c>
      <c r="F13" s="48">
        <v>670594.4167363197</v>
      </c>
      <c r="G13" s="48">
        <v>944024.8356704491</v>
      </c>
    </row>
    <row r="14" spans="2:7" x14ac:dyDescent="0.25">
      <c r="B14" s="27" t="s">
        <v>226</v>
      </c>
      <c r="C14" s="49">
        <v>0.26221130317120556</v>
      </c>
      <c r="D14" s="49">
        <v>0.39958222435649265</v>
      </c>
      <c r="E14" s="49">
        <v>0.4968737450930829</v>
      </c>
      <c r="F14" s="49">
        <v>0.5490100704423817</v>
      </c>
      <c r="G14" s="49">
        <v>0.5466673928969945</v>
      </c>
    </row>
    <row r="15" spans="2:8" x14ac:dyDescent="0.25">
      <c r="B15" s="27" t="s">
        <v>227</v>
      </c>
      <c r="C15" s="50">
        <v>18466.666666666668</v>
      </c>
      <c r="D15" s="50">
        <v>18755.22222222222</v>
      </c>
      <c r="E15" s="50">
        <v>19138.734190340907</v>
      </c>
      <c r="F15" s="50">
        <v>19553.890554394526</v>
      </c>
      <c r="G15" s="50">
        <v>20007.07724564434</v>
      </c>
      <c r="H15" s="51" t="s">
        <v>228</v>
      </c>
    </row>
    <row r="16" spans="2:7" x14ac:dyDescent="0.25">
      <c r="B16" s="27" t="s">
        <v>229</v>
      </c>
      <c r="C16" s="52">
        <v>13624.497934771738</v>
      </c>
      <c r="D16" s="52">
        <v>11260.968808366342</v>
      </c>
      <c r="E16" s="52">
        <v>9629.199656845189</v>
      </c>
      <c r="F16" s="52">
        <v>8818.607723703766</v>
      </c>
      <c r="G16" s="52">
        <v>9069.860488279168</v>
      </c>
    </row>
    <row r="17" spans="2:7" x14ac:dyDescent="0.25">
      <c r="B17" s="13" t="s">
        <v>230</v>
      </c>
      <c r="C17" s="47">
        <v>500</v>
      </c>
      <c r="D17" s="47">
        <v>512.5</v>
      </c>
      <c r="E17" s="47">
        <v>525.3125</v>
      </c>
      <c r="F17" s="47">
        <v>538.4453124999998</v>
      </c>
      <c r="G17" s="47">
        <v>551.9064453124997</v>
      </c>
    </row>
    <row r="18" spans="2:8" x14ac:dyDescent="0.25">
      <c r="B18" s="13" t="s">
        <v>231</v>
      </c>
      <c r="C18" s="53">
        <v>2083.3333333333335</v>
      </c>
      <c r="D18" s="50">
        <v>1716.6666666666667</v>
      </c>
      <c r="E18" s="50">
        <v>1446.6818181818182</v>
      </c>
      <c r="F18" s="50">
        <v>1311.2723999999998</v>
      </c>
      <c r="G18" s="50">
        <v>1350.610572</v>
      </c>
      <c r="H18" s="51" t="s">
        <v>232</v>
      </c>
    </row>
    <row r="19" spans="2:7" x14ac:dyDescent="0.25">
      <c r="B19" s="27" t="s">
        <v>233</v>
      </c>
      <c r="C19" s="54">
        <v>4842.168731894929</v>
      </c>
      <c r="D19" s="54">
        <v>7494.253413855876</v>
      </c>
      <c r="E19" s="54">
        <v>9509.534533495716</v>
      </c>
      <c r="F19" s="54">
        <v>10735.28283069076</v>
      </c>
      <c r="G19" s="54">
        <v>10937.216757365175</v>
      </c>
    </row>
    <row r="20" spans="2:8" x14ac:dyDescent="0.25">
      <c r="B20" s="27" t="s">
        <v>234</v>
      </c>
      <c r="C20" s="49">
        <v>0.5367065282791817</v>
      </c>
      <c r="D20" s="49">
        <v>0.43544206946805936</v>
      </c>
      <c r="E20" s="49">
        <v>0.3596055930681337</v>
      </c>
      <c r="F20" s="49">
        <v>0.31902621063193126</v>
      </c>
      <c r="G20" s="49">
        <v>0.3211538415127196</v>
      </c>
      <c r="H20" s="51" t="s">
        <v>235</v>
      </c>
    </row>
    <row r="21" spans="2:8" x14ac:dyDescent="0.25">
      <c r="B21" s="27" t="s">
        <v>236</v>
      </c>
      <c r="C21" s="49">
        <v>0.11281588447653429</v>
      </c>
      <c r="D21" s="49">
        <v>0.09153006273808185</v>
      </c>
      <c r="E21" s="49">
        <v>0.07558921106245059</v>
      </c>
      <c r="F21" s="49">
        <v>0.06705941185220071</v>
      </c>
      <c r="G21" s="49">
        <v>0.06750664054611155</v>
      </c>
      <c r="H21" s="51" t="s">
        <v>237</v>
      </c>
    </row>
    <row r="22" spans="2:8" x14ac:dyDescent="0.25">
      <c r="B22" s="27" t="s">
        <v>238</v>
      </c>
      <c r="C22" s="49">
        <v>0.2936183814681107</v>
      </c>
      <c r="D22" s="49">
        <v>0.4201981374076552</v>
      </c>
      <c r="E22" s="49">
        <v>0.5134033092205568</v>
      </c>
      <c r="F22" s="49">
        <v>0.5632472546615191</v>
      </c>
      <c r="G22" s="49">
        <v>0.5605820861130851</v>
      </c>
      <c r="H22" s="51" t="s">
        <v>239</v>
      </c>
    </row>
    <row r="23" spans="2:8" x14ac:dyDescent="0.25">
      <c r="B23" s="27" t="s">
        <v>240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1" t="s">
        <v>241</v>
      </c>
    </row>
    <row r="24" spans="2:8" x14ac:dyDescent="0.25">
      <c r="B24" s="27" t="s">
        <v>242</v>
      </c>
      <c r="C24" s="56">
        <v>9.348796430295266</v>
      </c>
      <c r="D24" s="56">
        <v>20.382223012138642</v>
      </c>
      <c r="E24" s="56">
        <v>31.059700380557874</v>
      </c>
      <c r="F24" s="56">
        <v>39.561703072185296</v>
      </c>
      <c r="G24" s="56">
        <v>40.287060404956954</v>
      </c>
      <c r="H24" s="51" t="s">
        <v>243</v>
      </c>
    </row>
    <row r="25" spans="2:8" x14ac:dyDescent="0.25">
      <c r="B25" s="27" t="s">
        <v>244</v>
      </c>
      <c r="C25" s="35" t="str">
        <f>IF('5-Year Model'!B50&gt;=0,"✓ Break-even","")</f>
        <v>✓ Break-even</v>
      </c>
      <c r="D25" s="57" t="str">
        <f>IF(AND('5-Year Model'!C50&gt;=0,'5-Year Model'!B50&lt;0),"✓ Break-even","")</f>
        <v>0</v>
      </c>
      <c r="E25" s="57" t="str">
        <f>IF(AND('5-Year Model'!D50&gt;=0,'5-Year Model'!C50&lt;0),"✓ Break-even","")</f>
        <v>0</v>
      </c>
      <c r="F25" s="57" t="str">
        <f>IF(AND('5-Year Model'!E50&gt;=0,'5-Year Model'!D50&lt;0),"✓ Break-even","")</f>
        <v>0</v>
      </c>
      <c r="G25" s="57" t="str">
        <f>IF(AND('5-Year Model'!F50&gt;=0,'5-Year Model'!E50&lt;0),"✓ Break-even","")</f>
        <v>0</v>
      </c>
      <c r="H25" s="51" t="s">
        <v>215</v>
      </c>
    </row>
    <row r="26" spans="2:8" x14ac:dyDescent="0.25">
      <c r="B26" s="27" t="s">
        <v>245</v>
      </c>
      <c r="C26" s="58">
        <v>4</v>
      </c>
      <c r="D26" s="58">
        <v>11</v>
      </c>
      <c r="E26" s="59">
        <v>23</v>
      </c>
      <c r="F26" s="55">
        <v>37</v>
      </c>
      <c r="G26" s="55">
        <v>50</v>
      </c>
      <c r="H26" s="51" t="s">
        <v>246</v>
      </c>
    </row>
    <row r="27" spans="2:8" x14ac:dyDescent="0.25">
      <c r="B27" s="27" t="s">
        <v>168</v>
      </c>
      <c r="C27" s="55">
        <v>130</v>
      </c>
      <c r="D27" s="55">
        <v>348</v>
      </c>
      <c r="E27" s="55">
        <v>693</v>
      </c>
      <c r="F27" s="55">
        <v>1110</v>
      </c>
      <c r="G27" s="55">
        <v>1520</v>
      </c>
      <c r="H27" s="51" t="s">
        <v>247</v>
      </c>
    </row>
    <row r="29" ht="24" customHeight="1" spans="2:8" x14ac:dyDescent="0.25">
      <c r="B29" s="12" t="s">
        <v>248</v>
      </c>
      <c r="C29" s="12" t="s">
        <v>249</v>
      </c>
      <c r="D29" s="12" t="s">
        <v>250</v>
      </c>
      <c r="E29" s="12"/>
      <c r="F29" s="12" t="s">
        <v>251</v>
      </c>
      <c r="G29" s="12"/>
      <c r="H29" s="12"/>
    </row>
    <row r="30" ht="45" customHeight="1" spans="2:8" x14ac:dyDescent="0.25">
      <c r="B30" s="60" t="s">
        <v>252</v>
      </c>
      <c r="C30" s="35" t="s">
        <v>253</v>
      </c>
      <c r="D30" s="61" t="s">
        <v>254</v>
      </c>
      <c r="E30" s="61"/>
      <c r="F30" s="62" t="s">
        <v>255</v>
      </c>
      <c r="G30" s="62"/>
      <c r="H30" s="62"/>
    </row>
    <row r="31" ht="45" customHeight="1" spans="2:8" x14ac:dyDescent="0.25">
      <c r="B31" s="60" t="s">
        <v>256</v>
      </c>
      <c r="C31" s="35" t="s">
        <v>253</v>
      </c>
      <c r="D31" s="61" t="s">
        <v>257</v>
      </c>
      <c r="E31" s="61"/>
      <c r="F31" s="62" t="s">
        <v>258</v>
      </c>
      <c r="G31" s="62"/>
      <c r="H31" s="62"/>
    </row>
    <row r="32" ht="45" customHeight="1" spans="2:8" x14ac:dyDescent="0.25">
      <c r="B32" s="60" t="s">
        <v>259</v>
      </c>
      <c r="C32" s="35" t="s">
        <v>253</v>
      </c>
      <c r="D32" s="61" t="s">
        <v>260</v>
      </c>
      <c r="E32" s="61"/>
      <c r="F32" s="62" t="s">
        <v>261</v>
      </c>
      <c r="G32" s="62"/>
      <c r="H32" s="62"/>
    </row>
    <row r="33" ht="45" customHeight="1" spans="2:8" x14ac:dyDescent="0.25">
      <c r="B33" s="60" t="s">
        <v>262</v>
      </c>
      <c r="C33" s="35" t="s">
        <v>253</v>
      </c>
      <c r="D33" s="61" t="s">
        <v>263</v>
      </c>
      <c r="E33" s="61"/>
      <c r="F33" s="62" t="s">
        <v>264</v>
      </c>
      <c r="G33" s="62"/>
      <c r="H33" s="62"/>
    </row>
    <row r="34" ht="45" customHeight="1" spans="2:8" x14ac:dyDescent="0.25">
      <c r="B34" s="60" t="s">
        <v>265</v>
      </c>
      <c r="C34" s="35" t="s">
        <v>253</v>
      </c>
      <c r="D34" s="61" t="s">
        <v>266</v>
      </c>
      <c r="E34" s="61"/>
      <c r="F34" s="62" t="s">
        <v>267</v>
      </c>
      <c r="G34" s="62"/>
      <c r="H34" s="62"/>
    </row>
    <row r="35" ht="45" customHeight="1" spans="2:8" x14ac:dyDescent="0.25">
      <c r="B35" s="60" t="s">
        <v>268</v>
      </c>
      <c r="C35" s="35" t="s">
        <v>253</v>
      </c>
      <c r="D35" s="61" t="s">
        <v>269</v>
      </c>
      <c r="E35" s="61"/>
      <c r="F35" s="62" t="s">
        <v>270</v>
      </c>
      <c r="G35" s="62"/>
      <c r="H35" s="62"/>
    </row>
    <row r="36" ht="45" customHeight="1" spans="2:8" x14ac:dyDescent="0.25">
      <c r="B36" s="60" t="s">
        <v>271</v>
      </c>
      <c r="C36" s="35" t="s">
        <v>253</v>
      </c>
      <c r="D36" s="61" t="s">
        <v>272</v>
      </c>
      <c r="E36" s="61"/>
      <c r="F36" s="62" t="s">
        <v>273</v>
      </c>
      <c r="G36" s="62"/>
      <c r="H36" s="62"/>
    </row>
    <row r="38" spans="2:6" x14ac:dyDescent="0.25">
      <c r="B38" s="60" t="s">
        <v>274</v>
      </c>
      <c r="C38" s="27" t="s">
        <v>275</v>
      </c>
      <c r="D38" s="27"/>
      <c r="E38" s="27"/>
      <c r="F38" s="27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2026-04-29T01:01:47Z</dcterms:created>
  <dcterms:modified xsi:type="dcterms:W3CDTF">2026-04-29T01:01:47Z</dcterms:modified>
</cp:coreProperties>
</file>