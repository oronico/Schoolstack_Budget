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<sst xmlns="http://schemas.openxmlformats.org/spreadsheetml/2006/main" count="389" uniqueCount="275">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</sst>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7" x14ac:dyDescent="0.25">
      <c r="B16" s="26" t="s">
        <v>228</v>
      </c>
      <c r="C16" s="51">
        <v>14541.164601438404</v>
      </c>
      <c r="D16" s="51">
        <v>11602.63547503301</v>
      </c>
      <c r="E16" s="51">
        <v>9915.73374775428</v>
      </c>
      <c r="F16" s="51">
        <v>9077.061473703767</v>
      </c>
      <c r="G16" s="51">
        <v>9334.775582029166</v>
      </c>
    </row>
    <row r="17" spans="2:7" x14ac:dyDescent="0.25">
      <c r="B17" s="13" t="s">
        <v>229</v>
      </c>
      <c r="C17" s="46">
        <v>500</v>
      </c>
      <c r="D17" s="46">
        <v>512.5</v>
      </c>
      <c r="E17" s="46">
        <v>525.3125</v>
      </c>
      <c r="F17" s="46">
        <v>538.4453124999998</v>
      </c>
      <c r="G17" s="46">
        <v>551.9064453124997</v>
      </c>
    </row>
    <row r="18" spans="2:8" x14ac:dyDescent="0.25">
      <c r="B18" s="13" t="s">
        <v>230</v>
      </c>
      <c r="C18" s="52">
        <v>3000</v>
      </c>
      <c r="D18" s="52">
        <v>2058.3333333333335</v>
      </c>
      <c r="E18" s="49">
        <v>1733.215909090909</v>
      </c>
      <c r="F18" s="49">
        <v>1569.72615</v>
      </c>
      <c r="G18" s="49">
        <v>1615.5256657500001</v>
      </c>
      <c r="H18" s="50" t="s">
        <v>231</v>
      </c>
    </row>
    <row r="19" spans="2:7" x14ac:dyDescent="0.25">
      <c r="B19" s="26" t="s">
        <v>232</v>
      </c>
      <c r="C19" s="53">
        <v>3925.5020652282624</v>
      </c>
      <c r="D19" s="53">
        <v>7183.336747189209</v>
      </c>
      <c r="E19" s="53">
        <v>9286.825911336624</v>
      </c>
      <c r="F19" s="53">
        <v>10576.192432546224</v>
      </c>
      <c r="G19" s="53">
        <v>10809.809671877074</v>
      </c>
    </row>
    <row r="20" spans="2:8" x14ac:dyDescent="0.25">
      <c r="B20" s="26" t="s">
        <v>233</v>
      </c>
      <c r="C20" s="48">
        <v>0.5367065282791817</v>
      </c>
      <c r="D20" s="48">
        <v>0.4347293119127009</v>
      </c>
      <c r="E20" s="48">
        <v>0.3584103359800075</v>
      </c>
      <c r="F20" s="48">
        <v>0.31741327092386307</v>
      </c>
      <c r="G20" s="48">
        <v>0.31896162834300396</v>
      </c>
      <c r="H20" s="50" t="s">
        <v>234</v>
      </c>
    </row>
    <row r="21" spans="2:8" x14ac:dyDescent="0.25">
      <c r="B21" s="26" t="s">
        <v>235</v>
      </c>
      <c r="C21" s="54">
        <v>0.1624548736462094</v>
      </c>
      <c r="D21" s="48">
        <v>0.10956757036500346</v>
      </c>
      <c r="E21" s="48">
        <v>0.09025962891725049</v>
      </c>
      <c r="F21" s="48">
        <v>0.07987105633946989</v>
      </c>
      <c r="G21" s="48">
        <v>0.08019652156585022</v>
      </c>
      <c r="H21" s="50" t="s">
        <v>236</v>
      </c>
    </row>
    <row r="22" spans="2:8" x14ac:dyDescent="0.25">
      <c r="B22" s="26" t="s">
        <v>237</v>
      </c>
      <c r="C22" s="48">
        <v>0.2439793922984356</v>
      </c>
      <c r="D22" s="48">
        <v>0.40295986219031626</v>
      </c>
      <c r="E22" s="48">
        <v>0.5000989980472832</v>
      </c>
      <c r="F22" s="48">
        <v>0.5523047138325573</v>
      </c>
      <c r="G22" s="48">
        <v>0.5504308911870363</v>
      </c>
      <c r="H22" s="50" t="s">
        <v>238</v>
      </c>
    </row>
    <row r="23" spans="2:8" x14ac:dyDescent="0.25">
      <c r="B23" s="26" t="s">
        <v>239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0" t="s">
        <v>240</v>
      </c>
    </row>
    <row r="24" spans="2:8" x14ac:dyDescent="0.25">
      <c r="B24" s="26" t="s">
        <v>241</v>
      </c>
      <c r="C24" s="56">
        <v>7.768293185121821</v>
      </c>
      <c r="D24" s="56">
        <v>19.57810606562835</v>
      </c>
      <c r="E24" s="56">
        <v>30.35571698045677</v>
      </c>
      <c r="F24" s="56">
        <v>38.99024195731399</v>
      </c>
      <c r="G24" s="56">
        <v>39.82940742297506</v>
      </c>
      <c r="H24" s="50" t="s">
        <v>242</v>
      </c>
    </row>
    <row r="25" spans="2:8" x14ac:dyDescent="0.25">
      <c r="B25" s="26" t="s">
        <v>243</v>
      </c>
      <c r="C25" s="34" t="str">
        <f>IF('5-Year Model'!B49&gt;=0,"✓ Break-even","")</f>
        <v>✓ Break-even</v>
      </c>
      <c r="D25" s="57" t="str">
        <f>IF(AND('5-Year Model'!C49&gt;=0,'5-Year Model'!B49&lt;0),"✓ Break-even","")</f>
        <v>0</v>
      </c>
      <c r="E25" s="57" t="str">
        <f>IF(AND('5-Year Model'!D49&gt;=0,'5-Year Model'!C49&lt;0),"✓ Break-even","")</f>
        <v>0</v>
      </c>
      <c r="F25" s="57" t="str">
        <f>IF(AND('5-Year Model'!E49&gt;=0,'5-Year Model'!D49&lt;0),"✓ Break-even","")</f>
        <v>0</v>
      </c>
      <c r="G25" s="57" t="str">
        <f>IF(AND('5-Year Model'!F49&gt;=0,'5-Year Model'!E49&lt;0),"✓ Break-even","")</f>
        <v>0</v>
      </c>
      <c r="H25" s="50" t="s">
        <v>214</v>
      </c>
    </row>
    <row r="26" spans="2:8" x14ac:dyDescent="0.25">
      <c r="B26" s="26" t="s">
        <v>244</v>
      </c>
      <c r="C26" s="58">
        <v>3</v>
      </c>
      <c r="D26" s="58">
        <v>10</v>
      </c>
      <c r="E26" s="59">
        <v>21</v>
      </c>
      <c r="F26" s="55">
        <v>34</v>
      </c>
      <c r="G26" s="55">
        <v>47</v>
      </c>
      <c r="H26" s="50" t="s">
        <v>245</v>
      </c>
    </row>
    <row r="27" spans="2:8" x14ac:dyDescent="0.25">
      <c r="B27" s="26" t="s">
        <v>167</v>
      </c>
      <c r="C27" s="55">
        <v>99</v>
      </c>
      <c r="D27" s="55">
        <v>308</v>
      </c>
      <c r="E27" s="55">
        <v>637</v>
      </c>
      <c r="F27" s="55">
        <v>1038</v>
      </c>
      <c r="G27" s="55">
        <v>1432</v>
      </c>
      <c r="H27" s="50" t="s">
        <v>246</v>
      </c>
    </row>
    <row r="29" ht="24" customHeight="1" spans="2:8" x14ac:dyDescent="0.25">
      <c r="B29" s="12" t="s">
        <v>247</v>
      </c>
      <c r="C29" s="12" t="s">
        <v>248</v>
      </c>
      <c r="D29" s="12" t="s">
        <v>249</v>
      </c>
      <c r="E29" s="12"/>
      <c r="F29" s="12" t="s">
        <v>250</v>
      </c>
      <c r="G29" s="12"/>
      <c r="H29" s="12"/>
    </row>
    <row r="30" ht="45" customHeight="1" spans="2:8" x14ac:dyDescent="0.25">
      <c r="B30" s="60" t="s">
        <v>251</v>
      </c>
      <c r="C30" s="34" t="s">
        <v>252</v>
      </c>
      <c r="D30" s="61" t="s">
        <v>253</v>
      </c>
      <c r="E30" s="61"/>
      <c r="F30" s="62" t="s">
        <v>254</v>
      </c>
      <c r="G30" s="62"/>
      <c r="H30" s="62"/>
    </row>
    <row r="31" ht="45" customHeight="1" spans="2:8" x14ac:dyDescent="0.25">
      <c r="B31" s="60" t="s">
        <v>255</v>
      </c>
      <c r="C31" s="34" t="s">
        <v>252</v>
      </c>
      <c r="D31" s="61" t="s">
        <v>256</v>
      </c>
      <c r="E31" s="61"/>
      <c r="F31" s="62" t="s">
        <v>257</v>
      </c>
      <c r="G31" s="62"/>
      <c r="H31" s="62"/>
    </row>
    <row r="32" ht="45" customHeight="1" spans="2:8" x14ac:dyDescent="0.25">
      <c r="B32" s="60" t="s">
        <v>258</v>
      </c>
      <c r="C32" s="34" t="s">
        <v>252</v>
      </c>
      <c r="D32" s="61" t="s">
        <v>259</v>
      </c>
      <c r="E32" s="61"/>
      <c r="F32" s="62" t="s">
        <v>260</v>
      </c>
      <c r="G32" s="62"/>
      <c r="H32" s="62"/>
    </row>
    <row r="33" ht="45" customHeight="1" spans="2:8" x14ac:dyDescent="0.25">
      <c r="B33" s="60" t="s">
        <v>261</v>
      </c>
      <c r="C33" s="34" t="s">
        <v>252</v>
      </c>
      <c r="D33" s="61" t="s">
        <v>262</v>
      </c>
      <c r="E33" s="61"/>
      <c r="F33" s="62" t="s">
        <v>263</v>
      </c>
      <c r="G33" s="62"/>
      <c r="H33" s="62"/>
    </row>
    <row r="34" ht="45" customHeight="1" spans="2:8" x14ac:dyDescent="0.25">
      <c r="B34" s="60" t="s">
        <v>264</v>
      </c>
      <c r="C34" s="34" t="s">
        <v>252</v>
      </c>
      <c r="D34" s="61" t="s">
        <v>265</v>
      </c>
      <c r="E34" s="61"/>
      <c r="F34" s="62" t="s">
        <v>266</v>
      </c>
      <c r="G34" s="62"/>
      <c r="H34" s="62"/>
    </row>
    <row r="35" ht="45" customHeight="1" spans="2:8" x14ac:dyDescent="0.25">
      <c r="B35" s="60" t="s">
        <v>267</v>
      </c>
      <c r="C35" s="34" t="s">
        <v>252</v>
      </c>
      <c r="D35" s="61" t="s">
        <v>268</v>
      </c>
      <c r="E35" s="61"/>
      <c r="F35" s="62" t="s">
        <v>269</v>
      </c>
      <c r="G35" s="62"/>
      <c r="H35" s="62"/>
    </row>
    <row r="36" ht="45" customHeight="1" spans="2:8" x14ac:dyDescent="0.25">
      <c r="B36" s="60" t="s">
        <v>270</v>
      </c>
      <c r="C36" s="34" t="s">
        <v>252</v>
      </c>
      <c r="D36" s="61" t="s">
        <v>271</v>
      </c>
      <c r="E36" s="61"/>
      <c r="F36" s="62" t="s">
        <v>272</v>
      </c>
      <c r="G36" s="62"/>
      <c r="H36" s="62"/>
    </row>
    <row r="38" spans="2:6" x14ac:dyDescent="0.25">
      <c r="B38" s="60" t="s">
        <v>273</v>
      </c>
      <c r="C38" s="26" t="s">
        <v>274</v>
      </c>
      <c r="D38" s="26"/>
      <c r="E38" s="26"/>
      <c r="F38" s="26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