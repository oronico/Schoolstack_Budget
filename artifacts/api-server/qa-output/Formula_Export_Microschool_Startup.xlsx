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Assumptions" state="visible" r:id="rId5"/>
    <sheet sheetId="3" name="5-Year Model" state="visible" r:id="rId6"/>
    <sheet sheetId="4" name="Year 1 Pro Forma" state="visible" r:id="rId7"/>
    <sheet sheetId="5" name="Financial Health" state="visible" r:id="rId8"/>
  </sheets>
  <definedNames>
    <definedName name="_xlnm.Print_Area" localSheetId="0">'Instructions'!$A1:$B37</definedName>
    <definedName name="_xlnm.Print_Titles" localSheetId="0">'Instructions'!$1:$2</definedName>
    <definedName name="_xlnm.Print_Area" localSheetId="1">'Assumptions'!$A1:$J56</definedName>
    <definedName name="_xlnm.Print_Titles" localSheetId="1">'Assumptions'!$1:$3</definedName>
    <definedName name="_xlnm.Print_Area" localSheetId="2">'5-Year Model'!$A1:$F76</definedName>
    <definedName name="_xlnm.Print_Titles" localSheetId="2">'5-Year Model'!$1:$2</definedName>
    <definedName name="_xlnm.Print_Area" localSheetId="3">'Year 1 Pro Forma'!$A1:$N46</definedName>
    <definedName name="_xlnm.Print_Titles" localSheetId="3">'Year 1 Pro Forma'!$1:$2</definedName>
    <definedName name="_xlnm.Print_Area" localSheetId="4">'Financial Health'!$A1:$H35</definedName>
    <definedName name="_xlnm.Print_Titles" localSheetId="4">'Financial Health'!$1:$2</definedName>
  </definedNames>
  <calcPr calcId="171027" fullCalcOnLoad="1"/>
</workbook>
</file>

<file path=xl/sharedStrings.xml><?xml version="1.0" encoding="utf-8"?>
<sst xmlns="http://schemas.openxmlformats.org/spreadsheetml/2006/main" count="382" uniqueCount="269">
  <si>
    <t>How to Use This Workbook</t>
  </si>
  <si>
    <t>Bright Horizons Microschool</t>
  </si>
  <si>
    <t>Generated March 26, 2026 · llc_single</t>
  </si>
  <si>
    <t>Cell Color Legend</t>
  </si>
  <si>
    <t xml:space="preserve">  Blue cells are editable inputs — change these to update your model.</t>
  </si>
  <si>
    <t xml:space="preserve">  White cells contain formulas — do not edit (they recalculate automatically).</t>
  </si>
  <si>
    <t xml:space="preserve">  Green cells are key outputs and summary metrics.</t>
  </si>
  <si>
    <t/>
  </si>
  <si>
    <t>Navigation</t>
  </si>
  <si>
    <t>The Assumptions tab is the central control panel — all other tabs reference it.</t>
  </si>
  <si>
    <t>Structure</t>
  </si>
  <si>
    <t>5-Year Model: Detailed revenue, expense, and cash projections</t>
  </si>
  <si>
    <t>Pro Forma: Consolidated income statement</t>
  </si>
  <si>
    <t>Actuals vs Projections: Variance tracking</t>
  </si>
  <si>
    <t>Financial Health: Key metrics dashboard</t>
  </si>
  <si>
    <t>Debt Service Convention</t>
  </si>
  <si>
    <t>operating expense on the Operating Statement. This is a standard</t>
  </si>
  <si>
    <t>simplification used in school financial underwriting that ensures internal</t>
  </si>
  <si>
    <t>consistency across all tabs.</t>
  </si>
  <si>
    <t>Tips</t>
  </si>
  <si>
    <t>Check the Financial Health dashboard for an at-a-glance assessment.</t>
  </si>
  <si>
    <t>Review key metrics: net margin, cash runway, and DSCR.</t>
  </si>
  <si>
    <t>Next Steps</t>
  </si>
  <si>
    <t>2. Verify enrollment and revenue projections match your plan.</t>
  </si>
  <si>
    <t>3. Check the Financial Health dashboard for risk signals.</t>
  </si>
  <si>
    <t>4. Share this workbook with your lender or financial advisor.</t>
  </si>
  <si>
    <t>5. Update inputs as your school's plan evolves.</t>
  </si>
  <si>
    <t>Disclaimer</t>
  </si>
  <si>
    <t>a loan commitment, or a guarantee of funding. All projections are based on</t>
  </si>
  <si>
    <t>user-provided assumptions and should be independently verified.</t>
  </si>
  <si>
    <t>Bright Horizons Microschool - Financial Model Assumptions</t>
  </si>
  <si>
    <t>Editable assumption — change this value</t>
  </si>
  <si>
    <t>Calculated — driven by formula</t>
  </si>
  <si>
    <t>SCHOOL PROFILE</t>
  </si>
  <si>
    <t>School Name</t>
  </si>
  <si>
    <t>State</t>
  </si>
  <si>
    <t>AZ</t>
  </si>
  <si>
    <t>School Type</t>
  </si>
  <si>
    <t>Microschool</t>
  </si>
  <si>
    <t>Legal Entity</t>
  </si>
  <si>
    <t>LLC (Single Member)</t>
  </si>
  <si>
    <t>EIN</t>
  </si>
  <si>
    <t>88-1234567</t>
  </si>
  <si>
    <t>Website</t>
  </si>
  <si>
    <t>N/A</t>
  </si>
  <si>
    <t>Fiscal Year Start</t>
  </si>
  <si>
    <t>July</t>
  </si>
  <si>
    <t>Maximum Capacity</t>
  </si>
  <si>
    <t>School Stage</t>
  </si>
  <si>
    <t>New School</t>
  </si>
  <si>
    <t>Location</t>
  </si>
  <si>
    <t>123 Main St, Scottsdale, AZ, 85251</t>
  </si>
  <si>
    <t>ENROLLMENT</t>
  </si>
  <si>
    <t>2026-27</t>
  </si>
  <si>
    <t>2027-28</t>
  </si>
  <si>
    <t>2028-29</t>
  </si>
  <si>
    <t>2029-30</t>
  </si>
  <si>
    <t>2030-31</t>
  </si>
  <si>
    <t>Students Enrolled</t>
  </si>
  <si>
    <t>REVENUE SOURCES</t>
  </si>
  <si>
    <t>Category</t>
  </si>
  <si>
    <t>Driver</t>
  </si>
  <si>
    <t>Yr 1 Amount</t>
  </si>
  <si>
    <t>Escalation %</t>
  </si>
  <si>
    <t>Billing Mo.</t>
  </si>
  <si>
    <t>Collection %</t>
  </si>
  <si>
    <t>Note</t>
  </si>
  <si>
    <t>Tuition</t>
  </si>
  <si>
    <t>Tuition &amp; Fees</t>
  </si>
  <si>
    <t>Per Student</t>
  </si>
  <si>
    <t>Registration Fee</t>
  </si>
  <si>
    <t>AZ ESA Funds</t>
  </si>
  <si>
    <t>School Choice</t>
  </si>
  <si>
    <t>Annual Fundraising</t>
  </si>
  <si>
    <t>Philanthropy</t>
  </si>
  <si>
    <t>Annual Fixed</t>
  </si>
  <si>
    <t>Scholarship Discount</t>
  </si>
  <si>
    <t>Tuition Offsets</t>
  </si>
  <si>
    <t>% of Base</t>
  </si>
  <si>
    <t>STAFFING ROSTER</t>
  </si>
  <si>
    <t>Function</t>
  </si>
  <si>
    <t>Type</t>
  </si>
  <si>
    <t>FTE</t>
  </si>
  <si>
    <t>Annual Rate</t>
  </si>
  <si>
    <t>Benefits %</t>
  </si>
  <si>
    <t>Payroll Tax %</t>
  </si>
  <si>
    <t>Benefits Elig.</t>
  </si>
  <si>
    <t>Notes</t>
  </si>
  <si>
    <t>Founder / Head of School</t>
  </si>
  <si>
    <t>School Leadership</t>
  </si>
  <si>
    <t>FT</t>
  </si>
  <si>
    <t>Yes</t>
  </si>
  <si>
    <t>Lead Teacher</t>
  </si>
  <si>
    <t>Instructional</t>
  </si>
  <si>
    <t>Teaching Assistant</t>
  </si>
  <si>
    <t>PT</t>
  </si>
  <si>
    <t>No</t>
  </si>
  <si>
    <t>FACILITIES &amp; OCCUPANCY</t>
  </si>
  <si>
    <t>Amount</t>
  </si>
  <si>
    <t>Frequency</t>
  </si>
  <si>
    <t>Ownership Type</t>
  </si>
  <si>
    <t>Rent</t>
  </si>
  <si>
    <t>Monthly Rent</t>
  </si>
  <si>
    <t>Monthly</t>
  </si>
  <si>
    <t>Annual Rent Escalation</t>
  </si>
  <si>
    <t>OPERATING EXPENSES</t>
  </si>
  <si>
    <t>Occupancy / Facility</t>
  </si>
  <si>
    <t>Utilities</t>
  </si>
  <si>
    <t>Insurance</t>
  </si>
  <si>
    <t>Curriculum &amp; Materials</t>
  </si>
  <si>
    <t>Instructional / Program</t>
  </si>
  <si>
    <t>Technology</t>
  </si>
  <si>
    <t>Marketing</t>
  </si>
  <si>
    <t>Administrative / General</t>
  </si>
  <si>
    <t>CAPITAL &amp; DEBT</t>
  </si>
  <si>
    <t>Is Loan?</t>
  </si>
  <si>
    <t>Principal</t>
  </si>
  <si>
    <t>Interest Rate</t>
  </si>
  <si>
    <t>Term (Yrs)</t>
  </si>
  <si>
    <t>Annual Payment</t>
  </si>
  <si>
    <t>Equipment Loan</t>
  </si>
  <si>
    <t>GROWTH &amp; TIMING ASSUMPTIONS</t>
  </si>
  <si>
    <t>Annual Salary Escalation</t>
  </si>
  <si>
    <t>General Cost Inflation</t>
  </si>
  <si>
    <t>Year 1 Proration Factor</t>
  </si>
  <si>
    <t>(10 of 12 months)</t>
  </si>
  <si>
    <t>Tuition Escalation Rate</t>
  </si>
  <si>
    <t>Management Fee %</t>
  </si>
  <si>
    <t>Starting Cash</t>
  </si>
  <si>
    <t>Built by SchoolStack Budget  •  budget.schoolstack.ai</t>
  </si>
  <si>
    <t>Bright Horizons Microschool - 5-Year Financial Model</t>
  </si>
  <si>
    <t>REVENUE</t>
  </si>
  <si>
    <t>TOTAL REVENUE</t>
  </si>
  <si>
    <t>PERSONNEL</t>
  </si>
  <si>
    <t>Founder / Head of School (School Leadership)</t>
  </si>
  <si>
    <t>Lead Teacher (Instructional)</t>
  </si>
  <si>
    <t>Teaching Assistant (Instructional)</t>
  </si>
  <si>
    <t>TOTAL PERSONNEL</t>
  </si>
  <si>
    <t xml:space="preserve">  Curriculum &amp; Materials (Per Student)</t>
  </si>
  <si>
    <t>Total Instructional / Program</t>
  </si>
  <si>
    <t xml:space="preserve">  Technology (Per Student)</t>
  </si>
  <si>
    <t>Total Technology</t>
  </si>
  <si>
    <t xml:space="preserve">  Rent (Monthly)</t>
  </si>
  <si>
    <t xml:space="preserve">  Utilities (Monthly)</t>
  </si>
  <si>
    <t xml:space="preserve">  Insurance (Annual Fixed)</t>
  </si>
  <si>
    <t>Total Occupancy / Facility</t>
  </si>
  <si>
    <t xml:space="preserve">  Marketing (Annual Fixed)</t>
  </si>
  <si>
    <t>Total Administrative / General</t>
  </si>
  <si>
    <t>TOTAL OPERATING EXPENSES</t>
  </si>
  <si>
    <t>CAPITAL &amp; DEBT SERVICE</t>
  </si>
  <si>
    <t>TOTAL CAPITAL &amp; DEBT SERVICE</t>
  </si>
  <si>
    <t>INCOME STATEMENT SUMMARY</t>
  </si>
  <si>
    <t>Total Revenue</t>
  </si>
  <si>
    <t>Total Personnel</t>
  </si>
  <si>
    <t>Total Operating Expenses</t>
  </si>
  <si>
    <t>Total Capital &amp; Debt Service</t>
  </si>
  <si>
    <t>Total Expenses</t>
  </si>
  <si>
    <t>Profit / (Loss)</t>
  </si>
  <si>
    <t>Profit Margin %</t>
  </si>
  <si>
    <t>Cumulative Profit</t>
  </si>
  <si>
    <t>Break-even</t>
  </si>
  <si>
    <t>✓ Break-even</t>
  </si>
  <si>
    <t>CASH FLOW &amp; DEBT COVERAGE</t>
  </si>
  <si>
    <t>CFADS (Cash Flow Available for Debt Service)</t>
  </si>
  <si>
    <t>Debt Service</t>
  </si>
  <si>
    <t>DSCR (Debt Service Coverage Ratio)</t>
  </si>
  <si>
    <t>Ending Cash</t>
  </si>
  <si>
    <t>Days Cash on Hand</t>
  </si>
  <si>
    <t>Months of Runway</t>
  </si>
  <si>
    <t>Capacity Utilization %</t>
  </si>
  <si>
    <t>COVENANT &amp; HEALTH CHECKS</t>
  </si>
  <si>
    <t>DSCR ≥ 1.20x</t>
  </si>
  <si>
    <t>Positive Net Income</t>
  </si>
  <si>
    <t>Enrollment ≥ 70% Capacity</t>
  </si>
  <si>
    <t>Cash Reserve ≥ 2 Months</t>
  </si>
  <si>
    <t>BREAK-EVEN ANALYSIS</t>
  </si>
  <si>
    <t>Revenue Per Student</t>
  </si>
  <si>
    <t>Cost Per Student</t>
  </si>
  <si>
    <t>Fixed Costs (Personnel + Debt)</t>
  </si>
  <si>
    <t>Variable Cost Per Student</t>
  </si>
  <si>
    <t>Contribution Margin Per Student</t>
  </si>
  <si>
    <t>Break-Even Enrollment</t>
  </si>
  <si>
    <t>Bright Horizons Microschool - 2026-27 Pro Forma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</si>
  <si>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</si>
  <si>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</si>
  <si>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</si>
  <si>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</si>
  <si>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</si>
  <si>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</si>
  <si>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</si>
  <si>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</si>
  <si>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</si>
  <si>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</si>
  <si>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</si>
  <si>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2026-27 Total</t>
  </si>
  <si>
    <t xml:space="preserve">  Curriculum &amp; Materials</t>
  </si>
  <si>
    <t xml:space="preserve">  Technology</t>
  </si>
  <si>
    <t xml:space="preserve">  Rent</t>
  </si>
  <si>
    <t xml:space="preserve">  Utilities</t>
  </si>
  <si>
    <t xml:space="preserve">  Insurance</t>
  </si>
  <si>
    <t xml:space="preserve">  Marketing</t>
  </si>
  <si>
    <t>Capital &amp; Debt Service</t>
  </si>
  <si>
    <t>MONTHLY CASH FLOW</t>
  </si>
  <si>
    <t>Net Cash Flow</t>
  </si>
  <si>
    <t>Cumulative Cash</t>
  </si>
  <si>
    <t>CASH FLOW METRICS</t>
  </si>
  <si>
    <t>Ending Cash (Month 12)</t>
  </si>
  <si>
    <t>Minimum Cash Month</t>
  </si>
  <si>
    <t>Bright Horizons Microschool — Financial Health Dashboard</t>
  </si>
  <si>
    <t>Generated March 26, 2026</t>
  </si>
  <si>
    <t>● Green = healthy</t>
  </si>
  <si>
    <t>◐ Yellow = monitor</t>
  </si>
  <si>
    <t>○ Red = action needed</t>
  </si>
  <si>
    <t>Metric</t>
  </si>
  <si>
    <t>Year 1</t>
  </si>
  <si>
    <t>Year 2</t>
  </si>
  <si>
    <t>Year 3</t>
  </si>
  <si>
    <t>Year 4</t>
  </si>
  <si>
    <t>Year 5</t>
  </si>
  <si>
    <t>Benchmark</t>
  </si>
  <si>
    <t>Enrollment</t>
  </si>
  <si>
    <t>Revenue</t>
  </si>
  <si>
    <t>Personnel</t>
  </si>
  <si>
    <t>Operating Expenses</t>
  </si>
  <si>
    <t>Net Income</t>
  </si>
  <si>
    <t>Net Margin</t>
  </si>
  <si>
    <t>Revenue per Student</t>
  </si>
  <si>
    <t>≥ $10,000</t>
  </si>
  <si>
    <t>Payroll %</t>
  </si>
  <si>
    <t>≤ 55%</t>
  </si>
  <si>
    <t>Facility %</t>
  </si>
  <si>
    <t>≤ 15%</t>
  </si>
  <si>
    <t>Operating Margin</t>
  </si>
  <si>
    <t>≥ 10%</t>
  </si>
  <si>
    <t>Revenue Sources</t>
  </si>
  <si>
    <t>≥ 3 sources</t>
  </si>
  <si>
    <t>DSCR</t>
  </si>
  <si>
    <t>≥ 1.25x</t>
  </si>
  <si>
    <t>Break-even Year</t>
  </si>
  <si>
    <t>Cash Runway (Months)</t>
  </si>
  <si>
    <t>≥ 24 months</t>
  </si>
  <si>
    <t>FINANCIAL HEALTH SIGNALS</t>
  </si>
  <si>
    <t>Status</t>
  </si>
  <si>
    <t>Assessment</t>
  </si>
  <si>
    <t>Watch Item</t>
  </si>
  <si>
    <t>Viability</t>
  </si>
  <si>
    <t>● Healthy</t>
  </si>
  <si>
    <t>The model reaches profit early and sustains strong margins through Year 5.</t>
  </si>
  <si>
    <t>Monitor enrollment actuals vs. projections in Year 1.</t>
  </si>
  <si>
    <t>Liquidity</t>
  </si>
  <si>
    <t>Cash stays positive throughout the projection and reserves exceed 3 months of expenses.</t>
  </si>
  <si>
    <t>Maintain reserves as a buffer against seasonal revenue dips.</t>
  </si>
  <si>
    <t>Staffing Burden</t>
  </si>
  <si>
    <t>Staffing at 32% of revenue leaves room for facilities, programs, and reserves.</t>
  </si>
  <si>
    <t>As you add staff, ensure staffing stays below 60% of revenue.</t>
  </si>
  <si>
    <t>Facility Burden</t>
  </si>
  <si>
    <t>Facility costs at 8% of revenue are well-managed and leave budget for programs.</t>
  </si>
  <si>
    <t>Watch for rent escalation clauses that could push this higher over time.</t>
  </si>
  <si>
    <t>Debt Affordability</t>
  </si>
  <si>
    <t>DSCR of 39.83x provides comfortable coverage of debt payments with room to spare.</t>
  </si>
  <si>
    <t>Maintain this ratio as you take on any additional debt.</t>
  </si>
  <si>
    <t>Revenue Concentration</t>
  </si>
  <si>
    <t>Revenue is anchored to enrollment-driven income — the strongest foundation for a school model. A focused revenue stream is a strength when backed by dependable demand.</t>
  </si>
  <si>
    <t>Continue to pressure-test enrollment assumptions: recruitment pipeline, waitlist depth, retention rates, and collection reliability.</t>
  </si>
  <si>
    <t>Reserve Strength</t>
  </si>
  <si>
    <t>47.1 months of reserves by Year 5 — a strong buffer for unexpected costs.</t>
  </si>
  <si>
    <t>Continue growing reserves toward 6 months for best-in-class financial health.</t>
  </si>
  <si>
    <t>Summary</t>
  </si>
  <si>
    <t>7 Healthy  |  0 Watch  |  0 Needs 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</si>
</sst>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0x"/>
    <numFmt numFmtId="168" formatCode="0.0"/>
  </numFmts>
  <fonts count="18" x14ac:knownFonts="1">
    <font>
      <color theme="1"/>
      <family val="2"/>
      <scheme val="minor"/>
      <sz val="11"/>
      <name val="Calibri"/>
    </font>
    <font>
      <b/>
      <color rgb="FF1E293B"/>
      <sz val="16"/>
      <name val="Calibri"/>
    </font>
    <font>
      <color rgb="FF1E293B"/>
      <sz val="12"/>
      <name val="Calibri"/>
    </font>
    <font>
      <i/>
      <color rgb="FF6B7280"/>
      <sz val="10"/>
      <name val="Calibri"/>
    </font>
    <font>
      <b/>
      <color rgb="FF1E293B"/>
      <sz val="11"/>
      <name val="Calibri"/>
    </font>
    <font>
      <color rgb="FF1E3A5F"/>
      <sz val="11"/>
      <name val="Calibri"/>
    </font>
    <font>
      <sz val="11"/>
      <name val="Calibri"/>
    </font>
    <font>
      <b/>
      <color rgb="FF1E293B"/>
      <sz val="14"/>
      <name val="Calibri"/>
    </font>
    <font>
      <i/>
      <color rgb="FF666666"/>
      <sz val="11"/>
      <name val="Calibri"/>
    </font>
    <font>
      <i/>
      <color rgb="FF888888"/>
      <sz val="11"/>
      <name val="Calibri"/>
    </font>
    <font>
      <i/>
      <color rgb="FF9CA3AF"/>
      <sz val="11"/>
      <name val="Calibri"/>
    </font>
    <font>
      <b/>
      <color rgb="FFFFFFFF"/>
      <sz val="11"/>
      <name val="Calibri"/>
    </font>
    <font>
      <b/>
      <sz val="11"/>
      <name val="Calibri"/>
    </font>
    <font>
      <b/>
      <color rgb="FF1E293B"/>
      <sz val="12"/>
      <name val="Calibri"/>
    </font>
    <font>
      <b/>
      <color rgb="FF16A34A"/>
      <sz val="11"/>
      <name val="Calibri"/>
    </font>
    <font>
      <i/>
      <color rgb="FF6B7280"/>
      <sz val="11"/>
      <name val="Calibri"/>
    </font>
    <font>
      <b/>
      <color rgb="FFD97706"/>
      <sz val="11"/>
      <name val="Calibri"/>
    </font>
    <font>
      <b/>
      <color rgb="FFDC2626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E8EDF2"/>
      </patternFill>
    </fill>
    <fill>
      <patternFill patternType="solid">
        <fgColor rgb="FF1E293B"/>
      </patternFill>
    </fill>
    <fill>
      <patternFill patternType="solid">
        <fgColor rgb="FFFFF8E1"/>
      </patternFill>
    </fill>
    <fill>
      <patternFill patternType="solid">
        <fgColor rgb="FFFCE4EC"/>
      </patternFill>
    </fill>
  </fills>
  <borders count="4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6" fillId="3" borderId="0" xfId="0" applyFont="1" applyFill="1"/>
    <xf numFmtId="0" fontId="7" fillId="0" borderId="0" xfId="0" applyFont="1" applyAlignment="1">
      <alignment horizontal="left" vertical="center"/>
    </xf>
    <xf numFmtId="0" fontId="0" fillId="2" borderId="0" xfId="0" applyFill="1"/>
    <xf numFmtId="0" fontId="8" fillId="0" borderId="0" xfId="0" applyFont="1"/>
    <xf numFmtId="0" fontId="0" fillId="4" borderId="1" xfId="0" applyFill="1" applyBorder="1"/>
    <xf numFmtId="0" fontId="4" fillId="5" borderId="2" xfId="0" applyFont="1" applyFill="1" applyBorder="1"/>
    <xf numFmtId="0" fontId="6" fillId="0" borderId="2" xfId="0" applyFont="1" applyBorder="1"/>
    <xf numFmtId="0" fontId="5" fillId="2" borderId="2" xfId="0" applyFont="1" applyFill="1" applyBorder="1"/>
    <xf numFmtId="164" fontId="5" fillId="2" borderId="2" xfId="0" applyNumberFormat="1" applyFont="1" applyFill="1" applyBorder="1"/>
    <xf numFmtId="0" fontId="4" fillId="5" borderId="2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165" fontId="5" fillId="2" borderId="2" xfId="0" applyNumberFormat="1" applyFont="1" applyFill="1" applyBorder="1"/>
    <xf numFmtId="166" fontId="5" fillId="2" borderId="2" xfId="0" applyNumberFormat="1" applyFont="1" applyFill="1" applyBorder="1"/>
    <xf numFmtId="2" fontId="5" fillId="2" borderId="2" xfId="0" applyNumberFormat="1" applyFont="1" applyFill="1" applyBorder="1"/>
    <xf numFmtId="165" fontId="6" fillId="0" borderId="2" xfId="0" applyNumberFormat="1" applyFont="1" applyBorder="1"/>
    <xf numFmtId="10" fontId="5" fillId="2" borderId="2" xfId="0" applyNumberFormat="1" applyFont="1" applyFill="1" applyBorder="1"/>
    <xf numFmtId="0" fontId="9" fillId="0" borderId="0" xfId="0" applyFont="1"/>
    <xf numFmtId="0" fontId="10" fillId="0" borderId="0" xfId="0" applyFont="1"/>
    <xf numFmtId="0" fontId="11" fillId="6" borderId="2" xfId="0" applyFont="1" applyFill="1" applyBorder="1" applyAlignment="1">
      <alignment horizontal="center" vertical="center"/>
    </xf>
    <xf numFmtId="0" fontId="12" fillId="0" borderId="2" xfId="0" applyFont="1" applyBorder="1"/>
    <xf numFmtId="164" fontId="12" fillId="0" borderId="2" xfId="0" applyNumberFormat="1" applyFont="1" applyBorder="1"/>
    <xf numFmtId="165" fontId="12" fillId="5" borderId="3" xfId="0" applyNumberFormat="1" applyFont="1" applyFill="1" applyBorder="1"/>
    <xf numFmtId="0" fontId="12" fillId="0" borderId="0" xfId="0" applyFont="1"/>
    <xf numFmtId="165" fontId="12" fillId="0" borderId="2" xfId="0" applyNumberFormat="1" applyFont="1" applyBorder="1"/>
    <xf numFmtId="0" fontId="13" fillId="0" borderId="0" xfId="0" applyFont="1"/>
    <xf numFmtId="165" fontId="12" fillId="0" borderId="3" xfId="0" applyNumberFormat="1" applyFont="1" applyBorder="1"/>
    <xf numFmtId="166" fontId="6" fillId="0" borderId="2" xfId="0" applyNumberFormat="1" applyFont="1" applyBorder="1"/>
    <xf numFmtId="0" fontId="1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7" fontId="12" fillId="0" borderId="2" xfId="0" applyNumberFormat="1" applyFont="1" applyBorder="1"/>
    <xf numFmtId="164" fontId="6" fillId="0" borderId="2" xfId="0" applyNumberFormat="1" applyFont="1" applyBorder="1"/>
    <xf numFmtId="168" fontId="6" fillId="0" borderId="2" xfId="0" applyNumberFormat="1" applyFont="1" applyBorder="1"/>
    <xf numFmtId="0" fontId="13" fillId="0" borderId="2" xfId="0" applyFont="1" applyBorder="1"/>
    <xf numFmtId="164" fontId="12" fillId="0" borderId="3" xfId="0" applyNumberFormat="1" applyFont="1" applyBorder="1"/>
    <xf numFmtId="0" fontId="15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164" fontId="6" fillId="0" borderId="2" xfId="0" applyNumberFormat="1" applyFont="1" applyBorder="1" applyAlignment="1">
      <alignment horizontal="right"/>
    </xf>
    <xf numFmtId="165" fontId="6" fillId="0" borderId="2" xfId="0" applyNumberFormat="1" applyFont="1" applyBorder="1" applyAlignment="1">
      <alignment horizontal="right"/>
    </xf>
    <xf numFmtId="165" fontId="12" fillId="3" borderId="3" xfId="0" applyNumberFormat="1" applyFont="1" applyFill="1" applyBorder="1" applyAlignment="1">
      <alignment horizontal="right"/>
    </xf>
    <xf numFmtId="166" fontId="12" fillId="3" borderId="3" xfId="0" applyNumberFormat="1" applyFont="1" applyFill="1" applyBorder="1" applyAlignment="1">
      <alignment horizontal="right"/>
    </xf>
    <xf numFmtId="165" fontId="6" fillId="3" borderId="2" xfId="0" applyNumberFormat="1" applyFont="1" applyFill="1" applyBorder="1" applyAlignment="1">
      <alignment horizontal="right"/>
    </xf>
    <xf numFmtId="0" fontId="15" fillId="0" borderId="2" xfId="0" applyFont="1" applyBorder="1"/>
    <xf numFmtId="166" fontId="12" fillId="7" borderId="3" xfId="0" applyNumberFormat="1" applyFont="1" applyFill="1" applyBorder="1" applyAlignment="1">
      <alignment horizontal="right"/>
    </xf>
    <xf numFmtId="164" fontId="12" fillId="3" borderId="3" xfId="0" applyNumberFormat="1" applyFont="1" applyFill="1" applyBorder="1" applyAlignment="1">
      <alignment horizontal="right"/>
    </xf>
    <xf numFmtId="167" fontId="12" fillId="3" borderId="3" xfId="0" applyNumberFormat="1" applyFont="1" applyFill="1" applyBorder="1" applyAlignment="1">
      <alignment horizontal="right"/>
    </xf>
    <xf numFmtId="0" fontId="6" fillId="0" borderId="2" xfId="0" applyFont="1" applyBorder="1" applyAlignment="1">
      <alignment horizontal="center"/>
    </xf>
    <xf numFmtId="164" fontId="12" fillId="8" borderId="3" xfId="0" applyNumberFormat="1" applyFont="1" applyFill="1" applyBorder="1" applyAlignment="1">
      <alignment horizontal="right"/>
    </xf>
    <xf numFmtId="164" fontId="12" fillId="7" borderId="3" xfId="0" applyNumberFormat="1" applyFont="1" applyFill="1" applyBorder="1" applyAlignment="1">
      <alignment horizontal="right"/>
    </xf>
    <xf numFmtId="0" fontId="4" fillId="0" borderId="2" xfId="0" applyFont="1" applyBorder="1"/>
    <xf numFmtId="0" fontId="6" fillId="0" borderId="2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24"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B37"/>
  <sheetFormatPr defaultRowHeight="15" outlineLevelRow="0" outlineLevelCol="0" x14ac:dyDescent="55"/>
  <cols>
    <col min="1" max="1" width="4" customWidth="1"/>
    <col min="2" max="2" width="8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3" t="s">
        <v>2</v>
      </c>
    </row>
    <row r="6" spans="2:2" x14ac:dyDescent="0.25">
      <c r="B6" s="4" t="s">
        <v>3</v>
      </c>
    </row>
    <row r="7" spans="2:2" x14ac:dyDescent="0.25">
      <c r="B7" s="5" t="s">
        <v>4</v>
      </c>
    </row>
    <row r="8" spans="2:2" x14ac:dyDescent="0.25">
      <c r="B8" s="6" t="s">
        <v>5</v>
      </c>
    </row>
    <row r="9" spans="2:2" x14ac:dyDescent="0.25">
      <c r="B9" s="7" t="s">
        <v>6</v>
      </c>
    </row>
    <row r="10" spans="2:2" x14ac:dyDescent="0.25">
      <c r="B10" s="6" t="s">
        <v>7</v>
      </c>
    </row>
    <row r="11" spans="2:2" x14ac:dyDescent="0.25">
      <c r="B11" s="4" t="s">
        <v>8</v>
      </c>
    </row>
    <row r="12" spans="2:2" x14ac:dyDescent="0.25">
      <c r="B12" s="6" t="s">
        <v>9</v>
      </c>
    </row>
    <row r="13" spans="2:2" x14ac:dyDescent="0.25">
      <c r="B13" s="6" t="s">
        <v>7</v>
      </c>
    </row>
    <row r="14" spans="2:2" x14ac:dyDescent="0.25">
      <c r="B14" s="4" t="s">
        <v>10</v>
      </c>
    </row>
    <row r="15" spans="2:2" x14ac:dyDescent="0.25">
      <c r="B15" s="6" t="s">
        <v>11</v>
      </c>
    </row>
    <row r="16" spans="2:2" x14ac:dyDescent="0.25">
      <c r="B16" s="6" t="s">
        <v>12</v>
      </c>
    </row>
    <row r="17" spans="2:2" x14ac:dyDescent="0.25">
      <c r="B17" s="6" t="s">
        <v>13</v>
      </c>
    </row>
    <row r="18" spans="2:2" x14ac:dyDescent="0.25">
      <c r="B18" s="6" t="s">
        <v>14</v>
      </c>
    </row>
    <row r="19" spans="2:2" x14ac:dyDescent="0.25">
      <c r="B19" s="6" t="s">
        <v>7</v>
      </c>
    </row>
    <row r="20" spans="2:2" x14ac:dyDescent="0.25">
      <c r="B20" s="4" t="s">
        <v>15</v>
      </c>
    </row>
    <row r="21" spans="2:2" x14ac:dyDescent="0.25">
      <c r="B21" s="6" t="s">
        <v>16</v>
      </c>
    </row>
    <row r="22" spans="2:2" x14ac:dyDescent="0.25">
      <c r="B22" s="6" t="s">
        <v>17</v>
      </c>
    </row>
    <row r="23" spans="2:2" x14ac:dyDescent="0.25">
      <c r="B23" s="6" t="s">
        <v>18</v>
      </c>
    </row>
    <row r="24" spans="2:2" x14ac:dyDescent="0.25">
      <c r="B24" s="6" t="s">
        <v>7</v>
      </c>
    </row>
    <row r="25" spans="2:2" x14ac:dyDescent="0.25">
      <c r="B25" s="4" t="s">
        <v>19</v>
      </c>
    </row>
    <row r="26" spans="2:2" x14ac:dyDescent="0.25">
      <c r="B26" s="6" t="s">
        <v>20</v>
      </c>
    </row>
    <row r="27" spans="2:2" x14ac:dyDescent="0.25">
      <c r="B27" s="6" t="s">
        <v>21</v>
      </c>
    </row>
    <row r="28" spans="2:2" x14ac:dyDescent="0.25">
      <c r="B28" s="6" t="s">
        <v>7</v>
      </c>
    </row>
    <row r="29" spans="2:2" x14ac:dyDescent="0.25">
      <c r="B29" s="4" t="s">
        <v>22</v>
      </c>
    </row>
    <row r="30" spans="2:2" x14ac:dyDescent="0.25">
      <c r="B30" s="6" t="s">
        <v>23</v>
      </c>
    </row>
    <row r="31" spans="2:2" x14ac:dyDescent="0.25">
      <c r="B31" s="6" t="s">
        <v>24</v>
      </c>
    </row>
    <row r="32" spans="2:2" x14ac:dyDescent="0.25">
      <c r="B32" s="6" t="s">
        <v>25</v>
      </c>
    </row>
    <row r="33" spans="2:2" x14ac:dyDescent="0.25">
      <c r="B33" s="6" t="s">
        <v>26</v>
      </c>
    </row>
    <row r="34" spans="2:2" x14ac:dyDescent="0.25">
      <c r="B34" s="6" t="s">
        <v>7</v>
      </c>
    </row>
    <row r="35" spans="2:2" x14ac:dyDescent="0.25">
      <c r="B35" s="4" t="s">
        <v>27</v>
      </c>
    </row>
    <row r="36" spans="2:2" x14ac:dyDescent="0.25">
      <c r="B36" s="6" t="s">
        <v>28</v>
      </c>
    </row>
    <row r="37" spans="2:2" x14ac:dyDescent="0.25">
      <c r="B37" s="6" t="s">
        <v>29</v>
      </c>
    </row>
  </sheetData>
  <pageMargins left="0.25" right="0.25" top="0.5" bottom="0.5" header="0.3" footer="0.3"/>
  <pageSetup paperSize="1" orientation="portrait" fitToWidth="1" fitToHeight="0"/>
  <headerFooter>
    <oddHeader>&amp;L&amp;10&amp;BBright Horizons Microschool&amp;R&amp;8&amp;IInstructions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6"/>
  <sheetViews>
    <sheetView workbookViewId="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38" customWidth="1"/>
    <col min="2" max="2" width="18" customWidth="1"/>
    <col min="3" max="10" width="16" customWidth="1"/>
    <col min="11" max="11" width="18" customWidth="1"/>
  </cols>
  <sheetData>
    <row r="1" ht="32" customHeight="1" spans="1:7" x14ac:dyDescent="0.25">
      <c r="A1" s="8" t="s">
        <v>30</v>
      </c>
      <c r="B1" s="8"/>
      <c r="C1" s="8"/>
      <c r="D1" s="8"/>
      <c r="E1" s="8"/>
      <c r="F1" s="8"/>
      <c r="G1" s="8"/>
    </row>
    <row r="2" spans="1:5" x14ac:dyDescent="0.25">
      <c r="A2" s="9" t="s">
        <v>7</v>
      </c>
      <c r="B2" s="10" t="s">
        <v>31</v>
      </c>
      <c r="D2" s="11" t="s">
        <v>7</v>
      </c>
      <c r="E2" s="10" t="s">
        <v>32</v>
      </c>
    </row>
    <row r="4" ht="24" customHeight="1" spans="1:7" x14ac:dyDescent="0.25">
      <c r="A4" s="12" t="s">
        <v>33</v>
      </c>
      <c r="B4" s="12"/>
      <c r="C4" s="12"/>
      <c r="D4" s="12"/>
      <c r="E4" s="12"/>
      <c r="F4" s="12"/>
      <c r="G4" s="12"/>
    </row>
    <row r="5" spans="1:4" x14ac:dyDescent="0.25">
      <c r="A5" s="13" t="s">
        <v>34</v>
      </c>
      <c r="B5" s="14" t="s">
        <v>1</v>
      </c>
      <c r="C5" s="14"/>
      <c r="D5" s="14"/>
    </row>
    <row r="6" spans="1:2" x14ac:dyDescent="0.25">
      <c r="A6" s="13" t="s">
        <v>35</v>
      </c>
      <c r="B6" s="14" t="s">
        <v>36</v>
      </c>
    </row>
    <row r="7" spans="1:2" x14ac:dyDescent="0.25">
      <c r="A7" s="13" t="s">
        <v>37</v>
      </c>
      <c r="B7" s="14" t="s">
        <v>38</v>
      </c>
    </row>
    <row r="8" spans="1:2" x14ac:dyDescent="0.25">
      <c r="A8" s="13" t="s">
        <v>39</v>
      </c>
      <c r="B8" s="14" t="s">
        <v>40</v>
      </c>
    </row>
    <row r="9" spans="1:2" x14ac:dyDescent="0.25">
      <c r="A9" s="13" t="s">
        <v>41</v>
      </c>
      <c r="B9" s="14" t="s">
        <v>42</v>
      </c>
    </row>
    <row r="10" spans="1:4" x14ac:dyDescent="0.25">
      <c r="A10" s="13" t="s">
        <v>43</v>
      </c>
      <c r="B10" s="14" t="s">
        <v>44</v>
      </c>
      <c r="C10" s="14"/>
      <c r="D10" s="14"/>
    </row>
    <row r="11" spans="1:2" x14ac:dyDescent="0.25">
      <c r="A11" s="13" t="s">
        <v>45</v>
      </c>
      <c r="B11" s="14" t="s">
        <v>46</v>
      </c>
    </row>
    <row r="12" spans="1:2" x14ac:dyDescent="0.25">
      <c r="A12" s="13" t="s">
        <v>47</v>
      </c>
      <c r="B12" s="15">
        <v>25</v>
      </c>
    </row>
    <row r="13" spans="1:2" x14ac:dyDescent="0.25">
      <c r="A13" s="13" t="s">
        <v>48</v>
      </c>
      <c r="B13" s="13" t="s">
        <v>49</v>
      </c>
    </row>
    <row r="14" spans="1:2" x14ac:dyDescent="0.25">
      <c r="A14" s="13" t="s">
        <v>50</v>
      </c>
      <c r="B14" s="13" t="s">
        <v>51</v>
      </c>
    </row>
    <row r="16" ht="24" customHeight="1" spans="1:7" x14ac:dyDescent="0.25">
      <c r="A16" s="12" t="s">
        <v>52</v>
      </c>
      <c r="B16" s="16" t="s">
        <v>53</v>
      </c>
      <c r="C16" s="16" t="s">
        <v>54</v>
      </c>
      <c r="D16" s="16" t="s">
        <v>55</v>
      </c>
      <c r="E16" s="16" t="s">
        <v>56</v>
      </c>
      <c r="F16" s="16" t="s">
        <v>57</v>
      </c>
      <c r="G16" s="12"/>
    </row>
    <row r="17" spans="1:6" x14ac:dyDescent="0.25">
      <c r="A17" s="13" t="s">
        <v>58</v>
      </c>
      <c r="B17" s="17">
        <v>12</v>
      </c>
      <c r="C17" s="17">
        <v>18</v>
      </c>
      <c r="D17" s="17">
        <v>22</v>
      </c>
      <c r="E17" s="17">
        <v>25</v>
      </c>
      <c r="F17" s="17">
        <v>25</v>
      </c>
    </row>
    <row r="19" ht="24" customHeight="1" spans="1:10" x14ac:dyDescent="0.25">
      <c r="A19" s="12" t="s">
        <v>59</v>
      </c>
      <c r="B19" s="12" t="s">
        <v>60</v>
      </c>
      <c r="C19" s="12" t="s">
        <v>61</v>
      </c>
      <c r="D19" s="12" t="s">
        <v>62</v>
      </c>
      <c r="E19" s="12" t="s">
        <v>63</v>
      </c>
      <c r="F19" s="12" t="s">
        <v>64</v>
      </c>
      <c r="G19" s="12" t="s">
        <v>65</v>
      </c>
      <c r="H19" s="12" t="s">
        <v>66</v>
      </c>
      <c r="I19" s="12"/>
      <c r="J19" s="12"/>
    </row>
    <row r="20" spans="1:8" x14ac:dyDescent="0.25">
      <c r="A20" s="13" t="s">
        <v>67</v>
      </c>
      <c r="B20" s="13" t="s">
        <v>68</v>
      </c>
      <c r="C20" s="13" t="s">
        <v>69</v>
      </c>
      <c r="D20" s="18">
        <v>12000</v>
      </c>
      <c r="E20" s="19">
        <v>0</v>
      </c>
      <c r="F20" s="15">
        <v>10</v>
      </c>
      <c r="G20" s="19">
        <v>1</v>
      </c>
      <c r="H20" s="13" t="s">
        <v>7</v>
      </c>
    </row>
    <row r="21" spans="1:8" x14ac:dyDescent="0.25">
      <c r="A21" s="13" t="s">
        <v>70</v>
      </c>
      <c r="B21" s="13" t="s">
        <v>68</v>
      </c>
      <c r="C21" s="13" t="s">
        <v>69</v>
      </c>
      <c r="D21" s="18">
        <v>250</v>
      </c>
      <c r="E21" s="19">
        <v>0</v>
      </c>
      <c r="F21" s="15">
        <v>12</v>
      </c>
      <c r="G21" s="19">
        <v>1</v>
      </c>
      <c r="H21" s="13" t="s">
        <v>7</v>
      </c>
    </row>
    <row r="22" spans="1:8" x14ac:dyDescent="0.25">
      <c r="A22" s="13" t="s">
        <v>71</v>
      </c>
      <c r="B22" s="13" t="s">
        <v>72</v>
      </c>
      <c r="C22" s="13" t="s">
        <v>69</v>
      </c>
      <c r="D22" s="18">
        <v>7000</v>
      </c>
      <c r="E22" s="19">
        <v>0</v>
      </c>
      <c r="F22" s="15">
        <v>12</v>
      </c>
      <c r="G22" s="19">
        <v>1</v>
      </c>
      <c r="H22" s="13" t="s">
        <v>7</v>
      </c>
    </row>
    <row r="23" spans="1:8" x14ac:dyDescent="0.25">
      <c r="A23" s="13" t="s">
        <v>73</v>
      </c>
      <c r="B23" s="13" t="s">
        <v>74</v>
      </c>
      <c r="C23" s="13" t="s">
        <v>75</v>
      </c>
      <c r="D23" s="18">
        <v>5000</v>
      </c>
      <c r="E23" s="19">
        <v>0</v>
      </c>
      <c r="F23" s="15">
        <v>12</v>
      </c>
      <c r="G23" s="19">
        <v>1</v>
      </c>
      <c r="H23" s="13" t="s">
        <v>7</v>
      </c>
    </row>
    <row r="24" spans="1:8" x14ac:dyDescent="0.25">
      <c r="A24" s="13" t="s">
        <v>76</v>
      </c>
      <c r="B24" s="13" t="s">
        <v>77</v>
      </c>
      <c r="C24" s="13" t="s">
        <v>78</v>
      </c>
      <c r="D24" s="18">
        <v>10</v>
      </c>
      <c r="E24" s="19">
        <v>0</v>
      </c>
      <c r="F24" s="15">
        <v>12</v>
      </c>
      <c r="G24" s="19">
        <v>1</v>
      </c>
      <c r="H24" s="13" t="s">
        <v>7</v>
      </c>
    </row>
    <row r="27" ht="24" customHeight="1" spans="1:9" x14ac:dyDescent="0.25">
      <c r="A27" s="12" t="s">
        <v>79</v>
      </c>
      <c r="B27" s="12" t="s">
        <v>80</v>
      </c>
      <c r="C27" s="12" t="s">
        <v>81</v>
      </c>
      <c r="D27" s="12" t="s">
        <v>82</v>
      </c>
      <c r="E27" s="12" t="s">
        <v>83</v>
      </c>
      <c r="F27" s="12" t="s">
        <v>84</v>
      </c>
      <c r="G27" s="12" t="s">
        <v>85</v>
      </c>
      <c r="H27" s="12" t="s">
        <v>86</v>
      </c>
      <c r="I27" s="12" t="s">
        <v>87</v>
      </c>
    </row>
    <row r="28" spans="1:9" x14ac:dyDescent="0.25">
      <c r="A28" s="13" t="s">
        <v>88</v>
      </c>
      <c r="B28" s="13" t="s">
        <v>89</v>
      </c>
      <c r="C28" s="13" t="s">
        <v>90</v>
      </c>
      <c r="D28" s="20">
        <v>1</v>
      </c>
      <c r="E28" s="18">
        <v>55000</v>
      </c>
      <c r="F28" s="19">
        <v>0.2</v>
      </c>
      <c r="G28" s="19">
        <v>0.0765</v>
      </c>
      <c r="H28" s="13" t="s">
        <v>91</v>
      </c>
      <c r="I28" s="13" t="s">
        <v>7</v>
      </c>
    </row>
    <row r="29" spans="1:9" x14ac:dyDescent="0.25">
      <c r="A29" s="13" t="s">
        <v>92</v>
      </c>
      <c r="B29" s="13" t="s">
        <v>93</v>
      </c>
      <c r="C29" s="13" t="s">
        <v>90</v>
      </c>
      <c r="D29" s="20">
        <v>1</v>
      </c>
      <c r="E29" s="18">
        <v>45000</v>
      </c>
      <c r="F29" s="19">
        <v>0.2</v>
      </c>
      <c r="G29" s="19">
        <v>0.0765</v>
      </c>
      <c r="H29" s="13" t="s">
        <v>91</v>
      </c>
      <c r="I29" s="13" t="s">
        <v>7</v>
      </c>
    </row>
    <row r="30" spans="1:9" x14ac:dyDescent="0.25">
      <c r="A30" s="13" t="s">
        <v>94</v>
      </c>
      <c r="B30" s="13" t="s">
        <v>93</v>
      </c>
      <c r="C30" s="13" t="s">
        <v>95</v>
      </c>
      <c r="D30" s="20">
        <v>0.5</v>
      </c>
      <c r="E30" s="18">
        <v>28000</v>
      </c>
      <c r="F30" s="19">
        <v>0</v>
      </c>
      <c r="G30" s="19">
        <v>0.0765</v>
      </c>
      <c r="H30" s="13" t="s">
        <v>96</v>
      </c>
      <c r="I30" s="13" t="s">
        <v>7</v>
      </c>
    </row>
    <row r="32" ht="24" customHeight="1" spans="1:4" x14ac:dyDescent="0.25">
      <c r="A32" s="12" t="s">
        <v>97</v>
      </c>
      <c r="B32" s="12" t="s">
        <v>98</v>
      </c>
      <c r="C32" s="12" t="s">
        <v>99</v>
      </c>
      <c r="D32" s="12"/>
    </row>
    <row r="33" spans="1:2" x14ac:dyDescent="0.25">
      <c r="A33" s="13" t="s">
        <v>100</v>
      </c>
      <c r="B33" s="14" t="s">
        <v>101</v>
      </c>
    </row>
    <row r="34" spans="1:3" x14ac:dyDescent="0.25">
      <c r="A34" s="13" t="s">
        <v>102</v>
      </c>
      <c r="B34" s="18">
        <v>2500</v>
      </c>
      <c r="C34" s="13" t="s">
        <v>103</v>
      </c>
    </row>
    <row r="35" spans="1:2" x14ac:dyDescent="0.25">
      <c r="A35" s="13" t="s">
        <v>104</v>
      </c>
      <c r="B35" s="19">
        <v>0.03</v>
      </c>
    </row>
    <row r="37" ht="24" customHeight="1" spans="1:7" x14ac:dyDescent="0.25">
      <c r="A37" s="12" t="s">
        <v>105</v>
      </c>
      <c r="B37" s="12" t="s">
        <v>60</v>
      </c>
      <c r="C37" s="12" t="s">
        <v>61</v>
      </c>
      <c r="D37" s="12" t="s">
        <v>62</v>
      </c>
      <c r="E37" s="12" t="s">
        <v>63</v>
      </c>
      <c r="F37" s="12" t="s">
        <v>66</v>
      </c>
      <c r="G37" s="12"/>
    </row>
    <row r="38" spans="1:6" x14ac:dyDescent="0.25">
      <c r="A38" s="13" t="s">
        <v>101</v>
      </c>
      <c r="B38" s="13" t="s">
        <v>106</v>
      </c>
      <c r="C38" s="13" t="s">
        <v>103</v>
      </c>
      <c r="D38" s="18">
        <v>2500</v>
      </c>
      <c r="E38" s="19">
        <v>0.03</v>
      </c>
      <c r="F38" s="13" t="s">
        <v>7</v>
      </c>
    </row>
    <row r="39" spans="1:6" x14ac:dyDescent="0.25">
      <c r="A39" s="13" t="s">
        <v>107</v>
      </c>
      <c r="B39" s="13" t="s">
        <v>106</v>
      </c>
      <c r="C39" s="13" t="s">
        <v>103</v>
      </c>
      <c r="D39" s="18">
        <v>300</v>
      </c>
      <c r="E39" s="19">
        <v>0</v>
      </c>
      <c r="F39" s="13" t="s">
        <v>7</v>
      </c>
    </row>
    <row r="40" spans="1:6" x14ac:dyDescent="0.25">
      <c r="A40" s="13" t="s">
        <v>108</v>
      </c>
      <c r="B40" s="13" t="s">
        <v>106</v>
      </c>
      <c r="C40" s="13" t="s">
        <v>75</v>
      </c>
      <c r="D40" s="18">
        <v>2400</v>
      </c>
      <c r="E40" s="19">
        <v>0</v>
      </c>
      <c r="F40" s="13" t="s">
        <v>7</v>
      </c>
    </row>
    <row r="41" spans="1:6" x14ac:dyDescent="0.25">
      <c r="A41" s="13" t="s">
        <v>109</v>
      </c>
      <c r="B41" s="13" t="s">
        <v>110</v>
      </c>
      <c r="C41" s="13" t="s">
        <v>69</v>
      </c>
      <c r="D41" s="18">
        <v>500</v>
      </c>
      <c r="E41" s="19">
        <v>0</v>
      </c>
      <c r="F41" s="13" t="s">
        <v>7</v>
      </c>
    </row>
    <row r="42" spans="1:6" x14ac:dyDescent="0.25">
      <c r="A42" s="13" t="s">
        <v>111</v>
      </c>
      <c r="B42" s="13" t="s">
        <v>111</v>
      </c>
      <c r="C42" s="13" t="s">
        <v>69</v>
      </c>
      <c r="D42" s="18">
        <v>300</v>
      </c>
      <c r="E42" s="19">
        <v>0</v>
      </c>
      <c r="F42" s="13" t="s">
        <v>7</v>
      </c>
    </row>
    <row r="43" spans="1:6" x14ac:dyDescent="0.25">
      <c r="A43" s="13" t="s">
        <v>112</v>
      </c>
      <c r="B43" s="13" t="s">
        <v>113</v>
      </c>
      <c r="C43" s="13" t="s">
        <v>75</v>
      </c>
      <c r="D43" s="18">
        <v>3000</v>
      </c>
      <c r="E43" s="19">
        <v>0</v>
      </c>
      <c r="F43" s="13" t="s">
        <v>7</v>
      </c>
    </row>
    <row r="45" ht="24" customHeight="1" spans="1:8" x14ac:dyDescent="0.25">
      <c r="A45" s="12" t="s">
        <v>114</v>
      </c>
      <c r="B45" s="12" t="s">
        <v>115</v>
      </c>
      <c r="C45" s="12" t="s">
        <v>62</v>
      </c>
      <c r="D45" s="12" t="s">
        <v>116</v>
      </c>
      <c r="E45" s="12" t="s">
        <v>117</v>
      </c>
      <c r="F45" s="12" t="s">
        <v>118</v>
      </c>
      <c r="G45" s="12" t="s">
        <v>119</v>
      </c>
      <c r="H45" s="12" t="s">
        <v>66</v>
      </c>
    </row>
    <row r="46" spans="1:8" x14ac:dyDescent="0.25">
      <c r="A46" s="13" t="s">
        <v>120</v>
      </c>
      <c r="B46" s="13" t="s">
        <v>91</v>
      </c>
      <c r="C46" s="21">
        <v>0</v>
      </c>
      <c r="D46" s="18">
        <v>30000</v>
      </c>
      <c r="E46" s="22">
        <v>0.06</v>
      </c>
      <c r="F46" s="15">
        <v>5</v>
      </c>
      <c r="G46" s="21">
        <v>6960</v>
      </c>
      <c r="H46" s="13" t="s">
        <v>7</v>
      </c>
    </row>
    <row r="48" ht="24" customHeight="1" spans="1:3" x14ac:dyDescent="0.25">
      <c r="A48" s="12" t="s">
        <v>121</v>
      </c>
      <c r="B48" s="12"/>
      <c r="C48" s="12"/>
    </row>
    <row r="49" spans="1:2" x14ac:dyDescent="0.25">
      <c r="A49" s="13" t="s">
        <v>122</v>
      </c>
      <c r="B49" s="19">
        <v>0.03</v>
      </c>
    </row>
    <row r="50" spans="1:2" x14ac:dyDescent="0.25">
      <c r="A50" s="13" t="s">
        <v>123</v>
      </c>
      <c r="B50" s="19">
        <v>0.025</v>
      </c>
    </row>
    <row r="51" spans="1:3" x14ac:dyDescent="0.25">
      <c r="A51" s="13" t="s">
        <v>124</v>
      </c>
      <c r="B51" s="20">
        <v>0.8333333333333334</v>
      </c>
      <c r="C51" s="23" t="s">
        <v>125</v>
      </c>
    </row>
    <row r="52" spans="1:2" x14ac:dyDescent="0.25">
      <c r="A52" s="13" t="s">
        <v>126</v>
      </c>
      <c r="B52" s="19">
        <v>0.03</v>
      </c>
    </row>
    <row r="53" spans="1:2" x14ac:dyDescent="0.25">
      <c r="A53" s="13" t="s">
        <v>127</v>
      </c>
      <c r="B53" s="19">
        <v>0</v>
      </c>
    </row>
    <row r="54" spans="1:2" x14ac:dyDescent="0.25">
      <c r="A54" s="13" t="s">
        <v>128</v>
      </c>
      <c r="B54" s="18">
        <v>0</v>
      </c>
    </row>
    <row r="56" spans="1:7" x14ac:dyDescent="0.25">
      <c r="A56" s="24" t="s">
        <v>129</v>
      </c>
      <c r="B56" s="24"/>
      <c r="C56" s="24"/>
      <c r="D56" s="24"/>
      <c r="E56" s="24"/>
      <c r="F56" s="24"/>
      <c r="G56" s="24"/>
    </row>
  </sheetData>
  <mergeCells count="4">
    <mergeCell ref="A1:G1"/>
    <mergeCell ref="B5:D5"/>
    <mergeCell ref="B10:D10"/>
    <mergeCell ref="A56:G56"/>
  </mergeCells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&amp;L&amp;10&amp;BBright Horizons Microschool&amp;R&amp;8&amp;IAssumptions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6"/>
  <sheetViews>
    <sheetView workbookViewId="0">
      <pane xSplit="1" ySplit="2" topLeftCell="B3" activePane="bottomRight" state="frozen"/>
      <selection pane="bottomRight" activeCell="B3" sqref="B3"/>
    </sheetView>
  </sheetViews>
  <sheetFormatPr defaultRowHeight="15" outlineLevelRow="0" outlineLevelCol="0" x14ac:dyDescent="55"/>
  <cols>
    <col min="1" max="1" width="38" customWidth="1"/>
    <col min="2" max="6" width="16" customWidth="1"/>
  </cols>
  <sheetData>
    <row r="1" ht="32" customHeight="1" spans="1:6" x14ac:dyDescent="0.25">
      <c r="A1" s="8" t="s">
        <v>130</v>
      </c>
      <c r="B1" s="8"/>
      <c r="C1" s="8"/>
      <c r="D1" s="8"/>
      <c r="E1" s="8"/>
      <c r="F1" s="8"/>
    </row>
    <row r="2" ht="28" customHeight="1" spans="1:6" x14ac:dyDescent="0.25">
      <c r="A2" s="25" t="s">
        <v>7</v>
      </c>
      <c r="B2" s="25" t="s">
        <v>53</v>
      </c>
      <c r="C2" s="25" t="s">
        <v>54</v>
      </c>
      <c r="D2" s="25" t="s">
        <v>55</v>
      </c>
      <c r="E2" s="25" t="s">
        <v>56</v>
      </c>
      <c r="F2" s="25" t="s">
        <v>57</v>
      </c>
    </row>
    <row r="3" spans="1:6" x14ac:dyDescent="0.25">
      <c r="A3" s="26" t="s">
        <v>58</v>
      </c>
      <c r="B3" s="27">
        <f>Assumptions!B17</f>
        <v>12</v>
      </c>
      <c r="C3" s="27">
        <f>Assumptions!C17</f>
        <v>18</v>
      </c>
      <c r="D3" s="27">
        <f>Assumptions!D17</f>
        <v>22</v>
      </c>
      <c r="E3" s="27">
        <f>Assumptions!E17</f>
        <v>25</v>
      </c>
      <c r="F3" s="27">
        <f>Assumptions!F17</f>
        <v>25</v>
      </c>
    </row>
    <row r="5" ht="24" customHeight="1" spans="1:6" x14ac:dyDescent="0.25">
      <c r="A5" s="12" t="s">
        <v>131</v>
      </c>
      <c r="B5" s="12"/>
      <c r="C5" s="12"/>
      <c r="D5" s="12"/>
      <c r="E5" s="12"/>
      <c r="F5" s="12"/>
    </row>
    <row r="6" spans="1:6" x14ac:dyDescent="0.25">
      <c r="A6" s="13" t="s">
        <v>67</v>
      </c>
      <c r="B6" s="21">
        <v>120000</v>
      </c>
      <c r="C6" s="21">
        <v>221400</v>
      </c>
      <c r="D6" s="21">
        <v>277365</v>
      </c>
      <c r="E6" s="21">
        <v>323067</v>
      </c>
      <c r="F6" s="21">
        <v>331144</v>
      </c>
    </row>
    <row r="7" spans="1:6" x14ac:dyDescent="0.25">
      <c r="A7" s="13" t="s">
        <v>70</v>
      </c>
      <c r="B7" s="21">
        <v>2500</v>
      </c>
      <c r="C7" s="21">
        <v>4613</v>
      </c>
      <c r="D7" s="21">
        <v>5778</v>
      </c>
      <c r="E7" s="21">
        <v>6731</v>
      </c>
      <c r="F7" s="21">
        <v>6899</v>
      </c>
    </row>
    <row r="8" spans="1:6" x14ac:dyDescent="0.25">
      <c r="A8" s="13" t="s">
        <v>71</v>
      </c>
      <c r="B8" s="21">
        <v>70000</v>
      </c>
      <c r="C8" s="21">
        <v>129150</v>
      </c>
      <c r="D8" s="21">
        <v>161796</v>
      </c>
      <c r="E8" s="21">
        <v>188456</v>
      </c>
      <c r="F8" s="21">
        <v>193167</v>
      </c>
    </row>
    <row r="9" spans="1:6" x14ac:dyDescent="0.25">
      <c r="A9" s="13" t="s">
        <v>73</v>
      </c>
      <c r="B9" s="21">
        <v>4167</v>
      </c>
      <c r="C9" s="21">
        <v>5125</v>
      </c>
      <c r="D9" s="21">
        <v>5253</v>
      </c>
      <c r="E9" s="21">
        <v>5384</v>
      </c>
      <c r="F9" s="21">
        <v>5519</v>
      </c>
    </row>
    <row r="10" spans="1:6" x14ac:dyDescent="0.25">
      <c r="A10" s="13" t="s">
        <v>76</v>
      </c>
      <c r="B10" s="21">
        <v>-12000</v>
      </c>
      <c r="C10" s="21">
        <v>-22140</v>
      </c>
      <c r="D10" s="21">
        <v>-27736</v>
      </c>
      <c r="E10" s="21">
        <v>-32307</v>
      </c>
      <c r="F10" s="21">
        <v>-33114</v>
      </c>
    </row>
    <row r="11" ht="24" customHeight="1" spans="1:6" x14ac:dyDescent="0.25">
      <c r="A11" s="12" t="s">
        <v>132</v>
      </c>
      <c r="B11" s="28">
        <f>SUM(B6:B10)</f>
        <v>184667</v>
      </c>
      <c r="C11" s="28">
        <f>SUM(C6:C10)</f>
        <v>338147</v>
      </c>
      <c r="D11" s="28">
        <f>SUM(D6:D10)</f>
        <v>422456</v>
      </c>
      <c r="E11" s="28">
        <f>SUM(E6:E10)</f>
        <v>491331</v>
      </c>
      <c r="F11" s="28">
        <f>SUM(F6:F10)</f>
        <v>503615</v>
      </c>
    </row>
    <row r="13" ht="24" customHeight="1" spans="1:6" x14ac:dyDescent="0.25">
      <c r="A13" s="12" t="s">
        <v>133</v>
      </c>
      <c r="B13" s="12"/>
      <c r="C13" s="12"/>
      <c r="D13" s="12"/>
      <c r="E13" s="12"/>
      <c r="F13" s="12"/>
    </row>
    <row r="14" spans="1:6" x14ac:dyDescent="0.25">
      <c r="A14" s="13" t="s">
        <v>134</v>
      </c>
      <c r="B14" s="21">
        <v>58506</v>
      </c>
      <c r="C14" s="21">
        <v>72314</v>
      </c>
      <c r="D14" s="21">
        <v>74483</v>
      </c>
      <c r="E14" s="21">
        <v>76718</v>
      </c>
      <c r="F14" s="21">
        <v>79019</v>
      </c>
    </row>
    <row r="15" spans="1:6" x14ac:dyDescent="0.25">
      <c r="A15" s="13" t="s">
        <v>135</v>
      </c>
      <c r="B15" s="21">
        <v>47869</v>
      </c>
      <c r="C15" s="21">
        <v>59166</v>
      </c>
      <c r="D15" s="21">
        <v>60941</v>
      </c>
      <c r="E15" s="21">
        <v>62769</v>
      </c>
      <c r="F15" s="21">
        <v>64652</v>
      </c>
    </row>
    <row r="16" spans="1:6" x14ac:dyDescent="0.25">
      <c r="A16" s="13" t="s">
        <v>136</v>
      </c>
      <c r="B16" s="21">
        <v>12559</v>
      </c>
      <c r="C16" s="21">
        <v>15523</v>
      </c>
      <c r="D16" s="21">
        <v>15989</v>
      </c>
      <c r="E16" s="21">
        <v>16468</v>
      </c>
      <c r="F16" s="21">
        <v>16963</v>
      </c>
    </row>
    <row r="17" ht="24" customHeight="1" spans="1:6" x14ac:dyDescent="0.25">
      <c r="A17" s="12" t="s">
        <v>137</v>
      </c>
      <c r="B17" s="28">
        <f>SUM(B14:B16)</f>
        <v>118934</v>
      </c>
      <c r="C17" s="28">
        <f>SUM(C14:C16)</f>
        <v>147003</v>
      </c>
      <c r="D17" s="28">
        <f>SUM(D14:D16)</f>
        <v>151413</v>
      </c>
      <c r="E17" s="28">
        <f>SUM(E14:E16)</f>
        <v>155955</v>
      </c>
      <c r="F17" s="28">
        <f>SUM(F14:F16)</f>
        <v>160634</v>
      </c>
    </row>
    <row r="19" ht="24" customHeight="1" spans="1:6" x14ac:dyDescent="0.25">
      <c r="A19" s="12" t="s">
        <v>105</v>
      </c>
      <c r="B19" s="12"/>
      <c r="C19" s="12"/>
      <c r="D19" s="12"/>
      <c r="E19" s="12"/>
      <c r="F19" s="12"/>
    </row>
    <row r="20" spans="1:6" x14ac:dyDescent="0.25">
      <c r="A20" s="13" t="s">
        <v>110</v>
      </c>
      <c r="B20" s="13"/>
      <c r="C20" s="13"/>
      <c r="D20" s="13"/>
      <c r="E20" s="13"/>
      <c r="F20" s="13"/>
    </row>
    <row r="21" spans="1:6" x14ac:dyDescent="0.25">
      <c r="A21" s="13" t="s">
        <v>138</v>
      </c>
      <c r="B21" s="21">
        <v>5000</v>
      </c>
      <c r="C21" s="21">
        <v>9225</v>
      </c>
      <c r="D21" s="21">
        <v>11557</v>
      </c>
      <c r="E21" s="21">
        <v>13461</v>
      </c>
      <c r="F21" s="21">
        <v>13798</v>
      </c>
    </row>
    <row r="22" spans="1:6" x14ac:dyDescent="0.25">
      <c r="A22" s="29" t="s">
        <v>139</v>
      </c>
      <c r="B22" s="30">
        <v>5000</v>
      </c>
      <c r="C22" s="30">
        <v>9225</v>
      </c>
      <c r="D22" s="30">
        <v>11557</v>
      </c>
      <c r="E22" s="30">
        <v>13461</v>
      </c>
      <c r="F22" s="30">
        <v>13798</v>
      </c>
    </row>
    <row r="23" spans="1:6" x14ac:dyDescent="0.25">
      <c r="A23" s="13" t="s">
        <v>111</v>
      </c>
      <c r="B23" s="13"/>
      <c r="C23" s="13"/>
      <c r="D23" s="13"/>
      <c r="E23" s="13"/>
      <c r="F23" s="13"/>
    </row>
    <row r="24" spans="1:6" x14ac:dyDescent="0.25">
      <c r="A24" s="13" t="s">
        <v>140</v>
      </c>
      <c r="B24" s="21">
        <v>3000</v>
      </c>
      <c r="C24" s="21">
        <v>5535</v>
      </c>
      <c r="D24" s="21">
        <v>6934</v>
      </c>
      <c r="E24" s="21">
        <v>8077</v>
      </c>
      <c r="F24" s="21">
        <v>8279</v>
      </c>
    </row>
    <row r="25" spans="1:6" x14ac:dyDescent="0.25">
      <c r="A25" s="29" t="s">
        <v>141</v>
      </c>
      <c r="B25" s="30">
        <v>3000</v>
      </c>
      <c r="C25" s="30">
        <v>5535</v>
      </c>
      <c r="D25" s="30">
        <v>6934</v>
      </c>
      <c r="E25" s="30">
        <v>8077</v>
      </c>
      <c r="F25" s="30">
        <v>8279</v>
      </c>
    </row>
    <row r="26" spans="1:6" x14ac:dyDescent="0.25">
      <c r="A26" s="13" t="s">
        <v>106</v>
      </c>
      <c r="B26" s="13"/>
      <c r="C26" s="13"/>
      <c r="D26" s="13"/>
      <c r="E26" s="13"/>
      <c r="F26" s="13"/>
    </row>
    <row r="27" spans="1:6" x14ac:dyDescent="0.25">
      <c r="A27" s="13" t="s">
        <v>142</v>
      </c>
      <c r="B27" s="21">
        <v>25000</v>
      </c>
      <c r="C27" s="21">
        <v>30900</v>
      </c>
      <c r="D27" s="21">
        <v>31827</v>
      </c>
      <c r="E27" s="21">
        <v>32782</v>
      </c>
      <c r="F27" s="21">
        <v>33765</v>
      </c>
    </row>
    <row r="28" spans="1:6" x14ac:dyDescent="0.25">
      <c r="A28" s="13" t="s">
        <v>143</v>
      </c>
      <c r="B28" s="21">
        <v>3000</v>
      </c>
      <c r="C28" s="21">
        <v>3690</v>
      </c>
      <c r="D28" s="21">
        <v>3782</v>
      </c>
      <c r="E28" s="21">
        <v>3877</v>
      </c>
      <c r="F28" s="21">
        <v>3974</v>
      </c>
    </row>
    <row r="29" spans="1:6" x14ac:dyDescent="0.25">
      <c r="A29" s="13" t="s">
        <v>144</v>
      </c>
      <c r="B29" s="21">
        <v>2000</v>
      </c>
      <c r="C29" s="21">
        <v>2460</v>
      </c>
      <c r="D29" s="21">
        <v>2522</v>
      </c>
      <c r="E29" s="21">
        <v>2585</v>
      </c>
      <c r="F29" s="21">
        <v>2649</v>
      </c>
    </row>
    <row r="30" spans="1:6" x14ac:dyDescent="0.25">
      <c r="A30" s="29" t="s">
        <v>145</v>
      </c>
      <c r="B30" s="30">
        <v>30000</v>
      </c>
      <c r="C30" s="30">
        <v>37050</v>
      </c>
      <c r="D30" s="30">
        <v>38131</v>
      </c>
      <c r="E30" s="30">
        <v>39244</v>
      </c>
      <c r="F30" s="30">
        <v>40388</v>
      </c>
    </row>
    <row r="31" spans="1:6" x14ac:dyDescent="0.25">
      <c r="A31" s="13" t="s">
        <v>113</v>
      </c>
      <c r="B31" s="13"/>
      <c r="C31" s="13"/>
      <c r="D31" s="13"/>
      <c r="E31" s="13"/>
      <c r="F31" s="13"/>
    </row>
    <row r="32" spans="1:6" x14ac:dyDescent="0.25">
      <c r="A32" s="13" t="s">
        <v>146</v>
      </c>
      <c r="B32" s="21">
        <v>2500</v>
      </c>
      <c r="C32" s="21">
        <v>3075</v>
      </c>
      <c r="D32" s="21">
        <v>3152</v>
      </c>
      <c r="E32" s="21">
        <v>3231</v>
      </c>
      <c r="F32" s="21">
        <v>3311</v>
      </c>
    </row>
    <row r="33" spans="1:6" x14ac:dyDescent="0.25">
      <c r="A33" s="29" t="s">
        <v>147</v>
      </c>
      <c r="B33" s="30">
        <v>2500</v>
      </c>
      <c r="C33" s="30">
        <v>3075</v>
      </c>
      <c r="D33" s="30">
        <v>3152</v>
      </c>
      <c r="E33" s="30">
        <v>3231</v>
      </c>
      <c r="F33" s="30">
        <v>3311</v>
      </c>
    </row>
    <row r="34" ht="24" customHeight="1" spans="1:6" x14ac:dyDescent="0.25">
      <c r="A34" s="12" t="s">
        <v>148</v>
      </c>
      <c r="B34" s="28">
        <f>B22+B25+B30+B33</f>
        <v>40500</v>
      </c>
      <c r="C34" s="28">
        <f>C22+C25+C30+C33</f>
        <v>54885</v>
      </c>
      <c r="D34" s="28">
        <f>D22+D25+D30+D33</f>
        <v>59774</v>
      </c>
      <c r="E34" s="28">
        <f>E22+E25+E30+E33</f>
        <v>64012</v>
      </c>
      <c r="F34" s="28">
        <f>F22+F25+F30+F33</f>
        <v>65776</v>
      </c>
    </row>
    <row r="36" ht="24" customHeight="1" spans="1:6" x14ac:dyDescent="0.25">
      <c r="A36" s="12" t="s">
        <v>149</v>
      </c>
      <c r="B36" s="12"/>
      <c r="C36" s="12"/>
      <c r="D36" s="12"/>
      <c r="E36" s="12"/>
      <c r="F36" s="12"/>
    </row>
    <row r="37" spans="1:6" x14ac:dyDescent="0.25">
      <c r="A37" s="13" t="s">
        <v>120</v>
      </c>
      <c r="B37" s="21">
        <v>6960</v>
      </c>
      <c r="C37" s="21">
        <v>6960</v>
      </c>
      <c r="D37" s="21">
        <v>6960</v>
      </c>
      <c r="E37" s="21">
        <v>6960</v>
      </c>
      <c r="F37" s="21">
        <v>6960</v>
      </c>
    </row>
    <row r="38" ht="24" customHeight="1" spans="1:6" x14ac:dyDescent="0.25">
      <c r="A38" s="12" t="s">
        <v>150</v>
      </c>
      <c r="B38" s="28">
        <f>SUM(B37:B37)</f>
        <v>6960</v>
      </c>
      <c r="C38" s="28">
        <f>SUM(C37:C37)</f>
        <v>6960</v>
      </c>
      <c r="D38" s="28">
        <f>SUM(D37:D37)</f>
        <v>6960</v>
      </c>
      <c r="E38" s="28">
        <f>SUM(E37:E37)</f>
        <v>6960</v>
      </c>
      <c r="F38" s="28">
        <f>SUM(F37:F37)</f>
        <v>6960</v>
      </c>
    </row>
    <row r="40" ht="24" customHeight="1" spans="1:6" x14ac:dyDescent="0.25">
      <c r="A40" s="12" t="s">
        <v>151</v>
      </c>
      <c r="B40" s="12"/>
      <c r="C40" s="12"/>
      <c r="D40" s="12"/>
      <c r="E40" s="12"/>
      <c r="F40" s="12"/>
    </row>
    <row r="41" spans="1:6" x14ac:dyDescent="0.25">
      <c r="A41" s="26" t="s">
        <v>152</v>
      </c>
      <c r="B41" s="30">
        <f>B11</f>
        <v>184667</v>
      </c>
      <c r="C41" s="30">
        <f>C11</f>
        <v>338147</v>
      </c>
      <c r="D41" s="30">
        <f>D11</f>
        <v>422456</v>
      </c>
      <c r="E41" s="30">
        <f>E11</f>
        <v>491331</v>
      </c>
      <c r="F41" s="30">
        <f>F11</f>
        <v>503615</v>
      </c>
    </row>
    <row r="42" spans="1:6" x14ac:dyDescent="0.25">
      <c r="A42" s="13" t="s">
        <v>153</v>
      </c>
      <c r="B42" s="21">
        <f>B17</f>
        <v>118934</v>
      </c>
      <c r="C42" s="21">
        <f>C17</f>
        <v>147003</v>
      </c>
      <c r="D42" s="21">
        <f>D17</f>
        <v>151413</v>
      </c>
      <c r="E42" s="21">
        <f>E17</f>
        <v>155955</v>
      </c>
      <c r="F42" s="21">
        <f>F17</f>
        <v>160634</v>
      </c>
    </row>
    <row r="43" spans="1:6" x14ac:dyDescent="0.25">
      <c r="A43" s="13" t="s">
        <v>154</v>
      </c>
      <c r="B43" s="21">
        <f>B34</f>
        <v>40500</v>
      </c>
      <c r="C43" s="21">
        <f>C34</f>
        <v>54885</v>
      </c>
      <c r="D43" s="21">
        <f>D34</f>
        <v>59774</v>
      </c>
      <c r="E43" s="21">
        <f>E34</f>
        <v>64012</v>
      </c>
      <c r="F43" s="21">
        <f>F34</f>
        <v>65776</v>
      </c>
    </row>
    <row r="44" spans="1:6" x14ac:dyDescent="0.25">
      <c r="A44" s="13" t="s">
        <v>155</v>
      </c>
      <c r="B44" s="21">
        <f>B38</f>
        <v>6960</v>
      </c>
      <c r="C44" s="21">
        <f>C38</f>
        <v>6960</v>
      </c>
      <c r="D44" s="21">
        <f>D38</f>
        <v>6960</v>
      </c>
      <c r="E44" s="21">
        <f>E38</f>
        <v>6960</v>
      </c>
      <c r="F44" s="21">
        <f>F38</f>
        <v>6960</v>
      </c>
    </row>
    <row r="45" spans="1:6" x14ac:dyDescent="0.25">
      <c r="A45" s="26" t="s">
        <v>156</v>
      </c>
      <c r="B45" s="30">
        <f>B42+B43+B44</f>
        <v>166394</v>
      </c>
      <c r="C45" s="30">
        <f>C42+C43+C44</f>
        <v>208848</v>
      </c>
      <c r="D45" s="30">
        <f>D42+D43+D44</f>
        <v>218147</v>
      </c>
      <c r="E45" s="30">
        <f>E42+E43+E44</f>
        <v>226927</v>
      </c>
      <c r="F45" s="30">
        <f>F42+F43+F44</f>
        <v>233370</v>
      </c>
    </row>
    <row r="46" spans="1:1" x14ac:dyDescent="0.25">
      <c r="A46" t="s">
        <v>7</v>
      </c>
    </row>
    <row r="47" spans="1:6" x14ac:dyDescent="0.25">
      <c r="A47" s="31" t="s">
        <v>157</v>
      </c>
      <c r="B47" s="32">
        <f>B41-B45</f>
        <v>18273</v>
      </c>
      <c r="C47" s="32">
        <f>C41-C45</f>
        <v>129299</v>
      </c>
      <c r="D47" s="32">
        <f>D41-D45</f>
        <v>204309</v>
      </c>
      <c r="E47" s="32">
        <f>E41-E45</f>
        <v>264404</v>
      </c>
      <c r="F47" s="32">
        <f>F41-F45</f>
        <v>270245</v>
      </c>
    </row>
    <row r="48" spans="1:6" x14ac:dyDescent="0.25">
      <c r="A48" s="13" t="s">
        <v>158</v>
      </c>
      <c r="B48" s="33">
        <f>IF(B41=0,"",B47/B41)</f>
        <v>0.1</v>
      </c>
      <c r="C48" s="33">
        <f>IF(C41=0,"",C47/C41)</f>
        <v>0.38</v>
      </c>
      <c r="D48" s="33">
        <f>IF(D41=0,"",D47/D41)</f>
        <v>0.48</v>
      </c>
      <c r="E48" s="33">
        <f>IF(E41=0,"",E47/E41)</f>
        <v>0.54</v>
      </c>
      <c r="F48" s="33">
        <f>IF(F41=0,"",F47/F41)</f>
        <v>0.54</v>
      </c>
    </row>
    <row r="49" spans="1:6" x14ac:dyDescent="0.25">
      <c r="A49" s="13" t="s">
        <v>159</v>
      </c>
      <c r="B49" s="21">
        <f>B47</f>
        <v>18273</v>
      </c>
      <c r="C49" s="21">
        <f>B49+C47</f>
        <v>147572</v>
      </c>
      <c r="D49" s="21">
        <f>C49+D47</f>
        <v>351881</v>
      </c>
      <c r="E49" s="21">
        <f>D49+E47</f>
        <v>616285</v>
      </c>
      <c r="F49" s="21">
        <f>E49+F47</f>
        <v>886530</v>
      </c>
    </row>
    <row r="50" spans="1:6" x14ac:dyDescent="0.25">
      <c r="A50" s="29" t="s">
        <v>160</v>
      </c>
      <c r="B50" s="34" t="s">
        <v>161</v>
      </c>
      <c r="C50" s="35" t="s">
        <v>7</v>
      </c>
      <c r="D50" s="35" t="s">
        <v>7</v>
      </c>
      <c r="E50" s="35" t="s">
        <v>7</v>
      </c>
      <c r="F50" s="35" t="s">
        <v>7</v>
      </c>
    </row>
    <row r="52" ht="24" customHeight="1" spans="1:6" x14ac:dyDescent="0.25">
      <c r="A52" s="12" t="s">
        <v>162</v>
      </c>
      <c r="B52" s="12"/>
      <c r="C52" s="12"/>
      <c r="D52" s="12"/>
      <c r="E52" s="12"/>
      <c r="F52" s="12"/>
    </row>
    <row r="53" spans="1:6" x14ac:dyDescent="0.25">
      <c r="A53" s="26" t="s">
        <v>163</v>
      </c>
      <c r="B53" s="30">
        <f>B41-B42-B43</f>
        <v>25233</v>
      </c>
      <c r="C53" s="30">
        <f>C41-C42-C43</f>
        <v>136259</v>
      </c>
      <c r="D53" s="30">
        <f>D41-D42-D43</f>
        <v>211269</v>
      </c>
      <c r="E53" s="30">
        <f>E41-E42-E43</f>
        <v>271364</v>
      </c>
      <c r="F53" s="30">
        <f>F41-F42-F43</f>
        <v>277205</v>
      </c>
    </row>
    <row r="54" spans="1:6" x14ac:dyDescent="0.25">
      <c r="A54" s="13" t="s">
        <v>164</v>
      </c>
      <c r="B54" s="21">
        <f>B44</f>
        <v>6960</v>
      </c>
      <c r="C54" s="21">
        <f>C44</f>
        <v>6960</v>
      </c>
      <c r="D54" s="21">
        <f>D44</f>
        <v>6960</v>
      </c>
      <c r="E54" s="21">
        <f>E44</f>
        <v>6960</v>
      </c>
      <c r="F54" s="21">
        <f>F44</f>
        <v>6960</v>
      </c>
    </row>
    <row r="55" spans="1:6" x14ac:dyDescent="0.25">
      <c r="A55" s="26" t="s">
        <v>165</v>
      </c>
      <c r="B55" s="36">
        <f>IF(B54=0,"N/A",B53/B54)</f>
        <v>3.63</v>
      </c>
      <c r="C55" s="36">
        <f>IF(C54=0,"N/A",C53/C54)</f>
        <v>19.58</v>
      </c>
      <c r="D55" s="36">
        <f>IF(D54=0,"N/A",D53/D54)</f>
        <v>30.35</v>
      </c>
      <c r="E55" s="36">
        <f>IF(E54=0,"N/A",E53/E54)</f>
        <v>38.99</v>
      </c>
      <c r="F55" s="36">
        <f>IF(F54=0,"N/A",F53/F54)</f>
        <v>39.83</v>
      </c>
    </row>
    <row r="56" spans="1:6" x14ac:dyDescent="0.25">
      <c r="A56" s="13" t="s">
        <v>128</v>
      </c>
      <c r="B56" s="21" t="str">
        <f>Assumptions!B54</f>
        <v>0</v>
      </c>
      <c r="C56" s="21">
        <f>B57</f>
        <v>18273</v>
      </c>
      <c r="D56" s="21">
        <f>C57</f>
        <v>147572</v>
      </c>
      <c r="E56" s="21">
        <f>D57</f>
        <v>351881</v>
      </c>
      <c r="F56" s="21">
        <f>E57</f>
        <v>616285</v>
      </c>
    </row>
    <row r="57" spans="1:6" x14ac:dyDescent="0.25">
      <c r="A57" s="26" t="s">
        <v>166</v>
      </c>
      <c r="B57" s="30">
        <f>B56+B47</f>
        <v>18273</v>
      </c>
      <c r="C57" s="30">
        <f>C56+C47</f>
        <v>147572</v>
      </c>
      <c r="D57" s="30">
        <f>D56+D47</f>
        <v>351881</v>
      </c>
      <c r="E57" s="30">
        <f>E56+E47</f>
        <v>616285</v>
      </c>
      <c r="F57" s="30">
        <f>F56+F47</f>
        <v>886530</v>
      </c>
    </row>
    <row r="58" spans="1:6" x14ac:dyDescent="0.25">
      <c r="A58" s="13" t="s">
        <v>167</v>
      </c>
      <c r="B58" s="37">
        <f>IF(B45=0,"",B57/B45*365)</f>
        <v>40</v>
      </c>
      <c r="C58" s="37">
        <f>IF(C45=0,"",C57/C45*365)</f>
        <v>258</v>
      </c>
      <c r="D58" s="37">
        <f>IF(D45=0,"",D57/D45*365)</f>
        <v>589</v>
      </c>
      <c r="E58" s="37">
        <f>IF(E45=0,"",E57/E45*365)</f>
        <v>991</v>
      </c>
      <c r="F58" s="37">
        <f>IF(F45=0,"",F57/F45*365)</f>
        <v>1387</v>
      </c>
    </row>
    <row r="59" spans="1:6" x14ac:dyDescent="0.25">
      <c r="A59" s="13" t="s">
        <v>168</v>
      </c>
      <c r="B59" s="38">
        <f>IF(B45=0,"",B57/(B45/12))</f>
        <v>1.3</v>
      </c>
      <c r="C59" s="38">
        <f>IF(C45=0,"",C57/(C45/12))</f>
        <v>8.5</v>
      </c>
      <c r="D59" s="38">
        <f>IF(D45=0,"",D57/(D45/12))</f>
        <v>19.4</v>
      </c>
      <c r="E59" s="38">
        <f>IF(E45=0,"",E57/(E45/12))</f>
        <v>32.6</v>
      </c>
      <c r="F59" s="38">
        <f>IF(F45=0,"",F57/(F45/12))</f>
        <v>45.6</v>
      </c>
    </row>
    <row r="60" spans="1:6" x14ac:dyDescent="0.25">
      <c r="A60" s="13" t="s">
        <v>169</v>
      </c>
      <c r="B60" s="33">
        <f>IF(Assumptions!B12=0,"",B3/Assumptions!B12)</f>
        <v>0.48</v>
      </c>
      <c r="C60" s="33">
        <f>IF(Assumptions!B12=0,"",C3/Assumptions!B12)</f>
        <v>0.72</v>
      </c>
      <c r="D60" s="33">
        <f>IF(Assumptions!B12=0,"",D3/Assumptions!B12)</f>
        <v>0.88</v>
      </c>
      <c r="E60" s="33">
        <f>IF(Assumptions!B12=0,"",E3/Assumptions!B12)</f>
        <v>1</v>
      </c>
      <c r="F60" s="33">
        <f>IF(Assumptions!B12=0,"",F3/Assumptions!B12)</f>
        <v>1</v>
      </c>
    </row>
    <row r="62" ht="24" customHeight="1" spans="1:6" x14ac:dyDescent="0.25">
      <c r="A62" s="12" t="s">
        <v>170</v>
      </c>
      <c r="B62" s="12"/>
      <c r="C62" s="12"/>
      <c r="D62" s="12"/>
      <c r="E62" s="12"/>
      <c r="F62" s="12"/>
    </row>
    <row r="63" spans="1:6" x14ac:dyDescent="0.25">
      <c r="A63" s="13" t="s">
        <v>171</v>
      </c>
      <c r="B63" s="13" t="str">
        <f>IF(B54=0,"N/A",IF(B55&gt;=1.2,"PASS","FAIL"))</f>
        <v>PASS</v>
      </c>
      <c r="C63" s="13" t="str">
        <f>IF(C54=0,"N/A",IF(C55&gt;=1.2,"PASS","FAIL"))</f>
        <v>PASS</v>
      </c>
      <c r="D63" s="13" t="str">
        <f>IF(D54=0,"N/A",IF(D55&gt;=1.2,"PASS","FAIL"))</f>
        <v>PASS</v>
      </c>
      <c r="E63" s="13" t="str">
        <f>IF(E54=0,"N/A",IF(E55&gt;=1.2,"PASS","FAIL"))</f>
        <v>PASS</v>
      </c>
      <c r="F63" s="13" t="str">
        <f>IF(F54=0,"N/A",IF(F55&gt;=1.2,"PASS","FAIL"))</f>
        <v>PASS</v>
      </c>
    </row>
    <row r="64" spans="1:6" x14ac:dyDescent="0.25">
      <c r="A64" s="13" t="s">
        <v>172</v>
      </c>
      <c r="B64" s="13" t="str">
        <f>IF(B47&gt;0,"PASS","FAIL")</f>
        <v>PASS</v>
      </c>
      <c r="C64" s="13" t="str">
        <f>IF(C47&gt;0,"PASS","FAIL")</f>
        <v>PASS</v>
      </c>
      <c r="D64" s="13" t="str">
        <f>IF(D47&gt;0,"PASS","FAIL")</f>
        <v>PASS</v>
      </c>
      <c r="E64" s="13" t="str">
        <f>IF(E47&gt;0,"PASS","FAIL")</f>
        <v>PASS</v>
      </c>
      <c r="F64" s="13" t="str">
        <f>IF(F47&gt;0,"PASS","FAIL")</f>
        <v>PASS</v>
      </c>
    </row>
    <row r="65" spans="1:6" x14ac:dyDescent="0.25">
      <c r="A65" s="13" t="s">
        <v>173</v>
      </c>
      <c r="B65" s="13" t="str">
        <f>IF(Assumptions!B12=0,"N/A",IF(B3/Assumptions!B12&gt;=0.7,"PASS","FAIL"))</f>
        <v>FAIL</v>
      </c>
      <c r="C65" s="13" t="str">
        <f>IF(Assumptions!B12=0,"N/A",IF(C3/Assumptions!B12&gt;=0.7,"PASS","FAIL"))</f>
        <v>PASS</v>
      </c>
      <c r="D65" s="13" t="str">
        <f>IF(Assumptions!B12=0,"N/A",IF(D3/Assumptions!B12&gt;=0.7,"PASS","FAIL"))</f>
        <v>PASS</v>
      </c>
      <c r="E65" s="13" t="str">
        <f>IF(Assumptions!B12=0,"N/A",IF(E3/Assumptions!B12&gt;=0.7,"PASS","FAIL"))</f>
        <v>PASS</v>
      </c>
      <c r="F65" s="13" t="str">
        <f>IF(Assumptions!B12=0,"N/A",IF(F3/Assumptions!B12&gt;=0.7,"PASS","FAIL"))</f>
        <v>PASS</v>
      </c>
    </row>
    <row r="66" spans="1:6" x14ac:dyDescent="0.25">
      <c r="A66" s="13" t="s">
        <v>174</v>
      </c>
      <c r="B66" s="13" t="str">
        <f>IF(B45=0,"N/A",IF(B57/(B45/12)&gt;=2,"PASS","FAIL"))</f>
        <v>FAIL</v>
      </c>
      <c r="C66" s="13" t="str">
        <f>IF(C45=0,"N/A",IF(C57/(C45/12)&gt;=2,"PASS","FAIL"))</f>
        <v>PASS</v>
      </c>
      <c r="D66" s="13" t="str">
        <f>IF(D45=0,"N/A",IF(D57/(D45/12)&gt;=2,"PASS","FAIL"))</f>
        <v>PASS</v>
      </c>
      <c r="E66" s="13" t="str">
        <f>IF(E45=0,"N/A",IF(E57/(E45/12)&gt;=2,"PASS","FAIL"))</f>
        <v>PASS</v>
      </c>
      <c r="F66" s="13" t="str">
        <f>IF(F45=0,"N/A",IF(F57/(F45/12)&gt;=2,"PASS","FAIL"))</f>
        <v>PASS</v>
      </c>
    </row>
    <row r="68" ht="24" customHeight="1" spans="1:6" x14ac:dyDescent="0.25">
      <c r="A68" s="12" t="s">
        <v>175</v>
      </c>
      <c r="B68" s="12"/>
      <c r="C68" s="12"/>
      <c r="D68" s="12"/>
      <c r="E68" s="12"/>
      <c r="F68" s="12"/>
    </row>
    <row r="69" spans="1:6" x14ac:dyDescent="0.25">
      <c r="A69" s="13" t="s">
        <v>176</v>
      </c>
      <c r="B69" s="21">
        <f>IF(B3=0,"",B11/B3)</f>
        <v>15389</v>
      </c>
      <c r="C69" s="21">
        <f>IF(C3=0,"",C11/C3)</f>
        <v>18786</v>
      </c>
      <c r="D69" s="21">
        <f>IF(D3=0,"",D11/D3)</f>
        <v>19203</v>
      </c>
      <c r="E69" s="21">
        <f>IF(E3=0,"",E11/E3)</f>
        <v>19653</v>
      </c>
      <c r="F69" s="21">
        <f>IF(F3=0,"",F11/F3)</f>
        <v>20145</v>
      </c>
    </row>
    <row r="70" spans="1:6" x14ac:dyDescent="0.25">
      <c r="A70" s="13" t="s">
        <v>177</v>
      </c>
      <c r="B70" s="21">
        <f>IF(B3=0,"",B45/B3)</f>
        <v>13866</v>
      </c>
      <c r="C70" s="21">
        <f>IF(C3=0,"",C45/C3)</f>
        <v>11603</v>
      </c>
      <c r="D70" s="21">
        <f>IF(D3=0,"",D45/D3)</f>
        <v>9916</v>
      </c>
      <c r="E70" s="21">
        <f>IF(E3=0,"",E45/E3)</f>
        <v>9077</v>
      </c>
      <c r="F70" s="21">
        <f>IF(F3=0,"",F45/F3)</f>
        <v>9335</v>
      </c>
    </row>
    <row r="71" spans="1:6" x14ac:dyDescent="0.25">
      <c r="A71" s="13" t="s">
        <v>178</v>
      </c>
      <c r="B71" s="21">
        <f>B42+B44</f>
        <v>125894</v>
      </c>
      <c r="C71" s="21">
        <f>C42+C44</f>
        <v>153963</v>
      </c>
      <c r="D71" s="21">
        <f>D42+D44</f>
        <v>158373</v>
      </c>
      <c r="E71" s="21">
        <f>E42+E44</f>
        <v>162915</v>
      </c>
      <c r="F71" s="21">
        <f>F42+F44</f>
        <v>167594</v>
      </c>
    </row>
    <row r="72" spans="1:6" x14ac:dyDescent="0.25">
      <c r="A72" s="13" t="s">
        <v>179</v>
      </c>
      <c r="B72" s="21">
        <f>IF(B3=0,"",B43/B3)</f>
        <v>3375</v>
      </c>
      <c r="C72" s="21">
        <f>IF(C3=0,"",C43/C3)</f>
        <v>3049</v>
      </c>
      <c r="D72" s="21">
        <f>IF(D3=0,"",D43/D3)</f>
        <v>2717</v>
      </c>
      <c r="E72" s="21">
        <f>IF(E3=0,"",E43/E3)</f>
        <v>2560</v>
      </c>
      <c r="F72" s="21">
        <f>IF(F3=0,"",F43/F3)</f>
        <v>2631</v>
      </c>
    </row>
    <row r="73" spans="1:6" x14ac:dyDescent="0.25">
      <c r="A73" s="13" t="s">
        <v>180</v>
      </c>
      <c r="B73" s="21">
        <f>IF(B3=0,"",B69-B72)</f>
        <v>12014</v>
      </c>
      <c r="C73" s="21">
        <f>IF(C3=0,"",C69-C72)</f>
        <v>15737</v>
      </c>
      <c r="D73" s="21">
        <f>IF(D3=0,"",D69-D72)</f>
        <v>16486</v>
      </c>
      <c r="E73" s="21">
        <f>IF(E3=0,"",E69-E72)</f>
        <v>17093</v>
      </c>
      <c r="F73" s="21">
        <f>IF(F3=0,"",F69-F72)</f>
        <v>17514</v>
      </c>
    </row>
    <row r="74" spans="1:6" x14ac:dyDescent="0.25">
      <c r="A74" s="39" t="s">
        <v>181</v>
      </c>
      <c r="B74" s="40">
        <f>IF(B73&lt;=0,"N/A",ROUNDUP(B71/B73,0))</f>
        <v>11</v>
      </c>
      <c r="C74" s="40">
        <f>IF(C73&lt;=0,"N/A",ROUNDUP(C71/C73,0))</f>
        <v>10</v>
      </c>
      <c r="D74" s="40">
        <f>IF(D73&lt;=0,"N/A",ROUNDUP(D71/D73,0))</f>
        <v>10</v>
      </c>
      <c r="E74" s="40">
        <f>IF(E73&lt;=0,"N/A",ROUNDUP(E71/E73,0))</f>
        <v>10</v>
      </c>
      <c r="F74" s="40">
        <f>IF(F73&lt;=0,"N/A",ROUNDUP(F71/F73,0))</f>
        <v>10</v>
      </c>
    </row>
    <row r="76" spans="1:6" x14ac:dyDescent="0.25">
      <c r="A76" s="24" t="s">
        <v>129</v>
      </c>
      <c r="B76" s="24"/>
      <c r="C76" s="24"/>
      <c r="D76" s="24"/>
      <c r="E76" s="24"/>
      <c r="F76" s="24"/>
    </row>
  </sheetData>
  <mergeCells count="2">
    <mergeCell ref="A1:F1"/>
    <mergeCell ref="A76:F76"/>
  </mergeCells>
  <pageMargins left="0.25" right="0.25" top="0.5" bottom="0.5" header="0.3" footer="0.3"/>
  <pageSetup paperSize="1" orientation="portrait" horizontalDpi="4294967295" verticalDpi="4294967295" scale="100" fitToWidth="1" fitToHeight="0"/>
  <headerFooter>
    <oddHeader>&amp;L&amp;10&amp;BBright Horizons Microschool&amp;R&amp;8&amp;I5-Year Model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6"/>
  <sheetViews>
    <sheetView workbookViewId="0">
      <pane xSplit="1" ySplit="2" topLeftCell="B3" activePane="bottomRight" state="frozen"/>
      <selection pane="bottomRight" activeCell="B3" sqref="B3"/>
    </sheetView>
  </sheetViews>
  <sheetFormatPr defaultRowHeight="15" outlineLevelRow="0" outlineLevelCol="0" x14ac:dyDescent="55"/>
  <cols>
    <col min="1" max="1" width="36" customWidth="1"/>
    <col min="2" max="13" width="14" customWidth="1"/>
    <col min="14" max="14" width="16" customWidth="1"/>
  </cols>
  <sheetData>
    <row r="1" ht="32" customHeight="1" spans="1:14" x14ac:dyDescent="0.25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28" customHeight="1" spans="1:14" x14ac:dyDescent="0.25">
      <c r="A2" s="25" t="s">
        <v>7</v>
      </c>
      <c r="B2" s="25" t="s">
        <v>46</v>
      </c>
      <c r="C2" s="25" t="s">
        <v>183</v>
      </c>
      <c r="D2" s="25" t="s">
        <v>184</v>
      </c>
      <c r="E2" s="25" t="s">
        <v>185</v>
      </c>
      <c r="F2" s="25" t="s">
        <v>186</v>
      </c>
      <c r="G2" s="25" t="s">
        <v>187</v>
      </c>
      <c r="H2" s="25" t="s">
        <v>188</v>
      </c>
      <c r="I2" s="25" t="s">
        <v>189</v>
      </c>
      <c r="J2" s="25" t="s">
        <v>190</v>
      </c>
      <c r="K2" s="25" t="s">
        <v>191</v>
      </c>
      <c r="L2" s="25" t="s">
        <v>192</v>
      </c>
      <c r="M2" s="25" t="s">
        <v>193</v>
      </c>
      <c r="N2" s="25" t="s">
        <v>194</v>
      </c>
    </row>
    <row r="3" ht="24" customHeight="1" spans="1:14" x14ac:dyDescent="0.25">
      <c r="A3" s="12" t="s">
        <v>131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x14ac:dyDescent="0.25">
      <c r="A4" s="13" t="s">
        <v>67</v>
      </c>
      <c r="B4" s="21">
        <v>14400</v>
      </c>
      <c r="C4" s="21">
        <v>14400</v>
      </c>
      <c r="D4" s="21">
        <v>14400</v>
      </c>
      <c r="E4" s="21">
        <v>14400</v>
      </c>
      <c r="F4" s="21">
        <v>14400</v>
      </c>
      <c r="G4" s="21">
        <v>14400</v>
      </c>
      <c r="H4" s="21">
        <v>14400</v>
      </c>
      <c r="I4" s="21">
        <v>14400</v>
      </c>
      <c r="J4" s="21">
        <v>14400</v>
      </c>
      <c r="K4" s="21">
        <v>14400</v>
      </c>
      <c r="L4" s="21">
        <v>0</v>
      </c>
      <c r="M4" s="21">
        <v>0</v>
      </c>
      <c r="N4" s="21">
        <f>SUM(B4:M4)</f>
        <v>120000</v>
      </c>
    </row>
    <row r="5" spans="1:14" x14ac:dyDescent="0.25">
      <c r="A5" s="13" t="s">
        <v>70</v>
      </c>
      <c r="B5" s="21">
        <v>300</v>
      </c>
      <c r="C5" s="21">
        <v>300</v>
      </c>
      <c r="D5" s="21">
        <v>300</v>
      </c>
      <c r="E5" s="21">
        <v>300</v>
      </c>
      <c r="F5" s="21">
        <v>300</v>
      </c>
      <c r="G5" s="21">
        <v>300</v>
      </c>
      <c r="H5" s="21">
        <v>300</v>
      </c>
      <c r="I5" s="21">
        <v>300</v>
      </c>
      <c r="J5" s="21">
        <v>300</v>
      </c>
      <c r="K5" s="21">
        <v>300</v>
      </c>
      <c r="L5" s="21">
        <v>0</v>
      </c>
      <c r="M5" s="21">
        <v>0</v>
      </c>
      <c r="N5" s="21">
        <f>SUM(B5:M5)</f>
        <v>2500</v>
      </c>
    </row>
    <row r="6" spans="1:14" x14ac:dyDescent="0.25">
      <c r="A6" s="13" t="s">
        <v>71</v>
      </c>
      <c r="B6" s="21">
        <v>8400</v>
      </c>
      <c r="C6" s="21">
        <v>8400</v>
      </c>
      <c r="D6" s="21">
        <v>8400</v>
      </c>
      <c r="E6" s="21">
        <v>8400</v>
      </c>
      <c r="F6" s="21">
        <v>8400</v>
      </c>
      <c r="G6" s="21">
        <v>8400</v>
      </c>
      <c r="H6" s="21">
        <v>8400</v>
      </c>
      <c r="I6" s="21">
        <v>8400</v>
      </c>
      <c r="J6" s="21">
        <v>8400</v>
      </c>
      <c r="K6" s="21">
        <v>8400</v>
      </c>
      <c r="L6" s="21">
        <v>0</v>
      </c>
      <c r="M6" s="21">
        <v>0</v>
      </c>
      <c r="N6" s="21">
        <f>SUM(B6:M6)</f>
        <v>70000</v>
      </c>
    </row>
    <row r="7" spans="1:14" x14ac:dyDescent="0.25">
      <c r="A7" s="13" t="s">
        <v>73</v>
      </c>
      <c r="B7" s="21">
        <v>500</v>
      </c>
      <c r="C7" s="21">
        <v>500</v>
      </c>
      <c r="D7" s="21">
        <v>500</v>
      </c>
      <c r="E7" s="21">
        <v>500</v>
      </c>
      <c r="F7" s="21">
        <v>500</v>
      </c>
      <c r="G7" s="21">
        <v>500</v>
      </c>
      <c r="H7" s="21">
        <v>500</v>
      </c>
      <c r="I7" s="21">
        <v>500</v>
      </c>
      <c r="J7" s="21">
        <v>500</v>
      </c>
      <c r="K7" s="21">
        <v>500</v>
      </c>
      <c r="L7" s="21">
        <v>0</v>
      </c>
      <c r="M7" s="21">
        <v>0</v>
      </c>
      <c r="N7" s="21">
        <f>SUM(B7:M7)</f>
        <v>4167</v>
      </c>
    </row>
    <row r="8" spans="1:14" x14ac:dyDescent="0.25">
      <c r="A8" s="13" t="s">
        <v>76</v>
      </c>
      <c r="B8" s="21">
        <v>0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 t="str">
        <f>SUM(B8:M8)</f>
        <v>0</v>
      </c>
    </row>
    <row r="9" ht="24" customHeight="1" spans="1:14" x14ac:dyDescent="0.25">
      <c r="A9" s="12" t="s">
        <v>132</v>
      </c>
      <c r="B9" s="28">
        <f>SUM(B4:B8)</f>
        <v>155900</v>
      </c>
      <c r="C9" s="28">
        <f>SUM(C4:C8)</f>
        <v>7460</v>
      </c>
      <c r="D9" s="28">
        <f>SUM(D4:D8)</f>
        <v>7460</v>
      </c>
      <c r="E9" s="28">
        <f>SUM(E4:E8)</f>
        <v>7460</v>
      </c>
      <c r="F9" s="28">
        <f>SUM(F4:F8)</f>
        <v>7460</v>
      </c>
      <c r="G9" s="28">
        <f>SUM(G4:G8)</f>
        <v>7460</v>
      </c>
      <c r="H9" s="28">
        <f>SUM(H4:H8)</f>
        <v>7460</v>
      </c>
      <c r="I9" s="28">
        <f>SUM(I4:I8)</f>
        <v>7460</v>
      </c>
      <c r="J9" s="28">
        <f>SUM(J4:J8)</f>
        <v>7460</v>
      </c>
      <c r="K9" s="28">
        <f>SUM(K4:K8)</f>
        <v>7460</v>
      </c>
      <c r="L9" s="28">
        <f>SUM(L4:L8)</f>
        <v>-1440</v>
      </c>
      <c r="M9" s="28" t="str">
        <f>SUM(M4:M8)</f>
        <v>0</v>
      </c>
      <c r="N9" s="28">
        <f>SUM(B9:M9)</f>
        <v>221600</v>
      </c>
    </row>
    <row r="10" spans="1:1" x14ac:dyDescent="0.25">
      <c r="A10" t="s">
        <v>7</v>
      </c>
    </row>
    <row r="11" ht="24" customHeight="1" spans="1:14" x14ac:dyDescent="0.25">
      <c r="A11" s="12" t="s">
        <v>133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x14ac:dyDescent="0.25">
      <c r="A12" s="13" t="s">
        <v>88</v>
      </c>
      <c r="B12" s="21">
        <v>5851</v>
      </c>
      <c r="C12" s="21">
        <v>5851</v>
      </c>
      <c r="D12" s="21">
        <v>5851</v>
      </c>
      <c r="E12" s="21">
        <v>5851</v>
      </c>
      <c r="F12" s="21">
        <v>5851</v>
      </c>
      <c r="G12" s="21">
        <v>5851</v>
      </c>
      <c r="H12" s="21">
        <v>5851</v>
      </c>
      <c r="I12" s="21">
        <v>5851</v>
      </c>
      <c r="J12" s="21">
        <v>5851</v>
      </c>
      <c r="K12" s="21">
        <v>5851</v>
      </c>
      <c r="L12" s="21">
        <v>0</v>
      </c>
      <c r="M12" s="21">
        <v>0</v>
      </c>
      <c r="N12" s="21">
        <f>SUM(B12:M12)</f>
        <v>58506</v>
      </c>
    </row>
    <row r="13" spans="1:14" x14ac:dyDescent="0.25">
      <c r="A13" s="13" t="s">
        <v>92</v>
      </c>
      <c r="B13" s="21">
        <v>4787</v>
      </c>
      <c r="C13" s="21">
        <v>4787</v>
      </c>
      <c r="D13" s="21">
        <v>4787</v>
      </c>
      <c r="E13" s="21">
        <v>4787</v>
      </c>
      <c r="F13" s="21">
        <v>4787</v>
      </c>
      <c r="G13" s="21">
        <v>4787</v>
      </c>
      <c r="H13" s="21">
        <v>4787</v>
      </c>
      <c r="I13" s="21">
        <v>4787</v>
      </c>
      <c r="J13" s="21">
        <v>4787</v>
      </c>
      <c r="K13" s="21">
        <v>4787</v>
      </c>
      <c r="L13" s="21">
        <v>0</v>
      </c>
      <c r="M13" s="21">
        <v>0</v>
      </c>
      <c r="N13" s="21">
        <f>SUM(B13:M13)</f>
        <v>47869</v>
      </c>
    </row>
    <row r="14" spans="1:14" x14ac:dyDescent="0.25">
      <c r="A14" s="13" t="s">
        <v>94</v>
      </c>
      <c r="B14" s="21">
        <v>1256</v>
      </c>
      <c r="C14" s="21">
        <v>1256</v>
      </c>
      <c r="D14" s="21">
        <v>1256</v>
      </c>
      <c r="E14" s="21">
        <v>1256</v>
      </c>
      <c r="F14" s="21">
        <v>1256</v>
      </c>
      <c r="G14" s="21">
        <v>1256</v>
      </c>
      <c r="H14" s="21">
        <v>1256</v>
      </c>
      <c r="I14" s="21">
        <v>1256</v>
      </c>
      <c r="J14" s="21">
        <v>1256</v>
      </c>
      <c r="K14" s="21">
        <v>1256</v>
      </c>
      <c r="L14" s="21">
        <v>0</v>
      </c>
      <c r="M14" s="21">
        <v>0</v>
      </c>
      <c r="N14" s="21">
        <f>SUM(B14:M14)</f>
        <v>12559</v>
      </c>
    </row>
    <row r="15" ht="24" customHeight="1" spans="1:14" x14ac:dyDescent="0.25">
      <c r="A15" s="12" t="s">
        <v>137</v>
      </c>
      <c r="B15" s="28">
        <f>SUM(B12:B14)</f>
        <v>11893</v>
      </c>
      <c r="C15" s="28">
        <f>SUM(C12:C14)</f>
        <v>11893</v>
      </c>
      <c r="D15" s="28">
        <f>SUM(D12:D14)</f>
        <v>11893</v>
      </c>
      <c r="E15" s="28">
        <f>SUM(E12:E14)</f>
        <v>11893</v>
      </c>
      <c r="F15" s="28">
        <f>SUM(F12:F14)</f>
        <v>11893</v>
      </c>
      <c r="G15" s="28">
        <f>SUM(G12:G14)</f>
        <v>11893</v>
      </c>
      <c r="H15" s="28">
        <f>SUM(H12:H14)</f>
        <v>11893</v>
      </c>
      <c r="I15" s="28">
        <f>SUM(I12:I14)</f>
        <v>11893</v>
      </c>
      <c r="J15" s="28">
        <f>SUM(J12:J14)</f>
        <v>11893</v>
      </c>
      <c r="K15" s="28">
        <f>SUM(K12:K14)</f>
        <v>11893</v>
      </c>
      <c r="L15" s="28" t="str">
        <f>SUM(L12:L14)</f>
        <v>0</v>
      </c>
      <c r="M15" s="28" t="str">
        <f>SUM(M12:M14)</f>
        <v>0</v>
      </c>
      <c r="N15" s="28">
        <f>SUM(B15:M15)</f>
        <v>118934</v>
      </c>
    </row>
    <row r="16" spans="1:1" x14ac:dyDescent="0.25">
      <c r="A16" t="s">
        <v>7</v>
      </c>
    </row>
    <row r="17" ht="24" customHeight="1" spans="1:14" x14ac:dyDescent="0.25">
      <c r="A17" s="12" t="s">
        <v>105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x14ac:dyDescent="0.25">
      <c r="A18" s="13" t="s">
        <v>110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x14ac:dyDescent="0.25">
      <c r="A19" s="13" t="s">
        <v>195</v>
      </c>
      <c r="B19" s="21">
        <v>500</v>
      </c>
      <c r="C19" s="21">
        <v>500</v>
      </c>
      <c r="D19" s="21">
        <v>500</v>
      </c>
      <c r="E19" s="21">
        <v>500</v>
      </c>
      <c r="F19" s="21">
        <v>500</v>
      </c>
      <c r="G19" s="21">
        <v>500</v>
      </c>
      <c r="H19" s="21">
        <v>500</v>
      </c>
      <c r="I19" s="21">
        <v>500</v>
      </c>
      <c r="J19" s="21">
        <v>500</v>
      </c>
      <c r="K19" s="21">
        <v>500</v>
      </c>
      <c r="L19" s="21">
        <v>0</v>
      </c>
      <c r="M19" s="21">
        <v>0</v>
      </c>
      <c r="N19" s="21">
        <f>SUM(B19:M19)</f>
        <v>5000</v>
      </c>
    </row>
    <row r="20" spans="1:14" x14ac:dyDescent="0.25">
      <c r="A20" s="29" t="s">
        <v>139</v>
      </c>
      <c r="B20" s="30">
        <v>500</v>
      </c>
      <c r="C20" s="30">
        <v>500</v>
      </c>
      <c r="D20" s="30">
        <v>500</v>
      </c>
      <c r="E20" s="30">
        <v>500</v>
      </c>
      <c r="F20" s="30">
        <v>500</v>
      </c>
      <c r="G20" s="30">
        <v>500</v>
      </c>
      <c r="H20" s="30">
        <v>500</v>
      </c>
      <c r="I20" s="30">
        <v>500</v>
      </c>
      <c r="J20" s="30">
        <v>500</v>
      </c>
      <c r="K20" s="30">
        <v>500</v>
      </c>
      <c r="L20" s="30">
        <v>0</v>
      </c>
      <c r="M20" s="30">
        <v>0</v>
      </c>
      <c r="N20" s="30">
        <f>SUM(B20:M20)</f>
        <v>5000</v>
      </c>
    </row>
    <row r="21" spans="1:14" x14ac:dyDescent="0.25">
      <c r="A21" s="13" t="s">
        <v>111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x14ac:dyDescent="0.25">
      <c r="A22" s="13" t="s">
        <v>196</v>
      </c>
      <c r="B22" s="21">
        <v>300</v>
      </c>
      <c r="C22" s="21">
        <v>300</v>
      </c>
      <c r="D22" s="21">
        <v>300</v>
      </c>
      <c r="E22" s="21">
        <v>300</v>
      </c>
      <c r="F22" s="21">
        <v>300</v>
      </c>
      <c r="G22" s="21">
        <v>300</v>
      </c>
      <c r="H22" s="21">
        <v>300</v>
      </c>
      <c r="I22" s="21">
        <v>300</v>
      </c>
      <c r="J22" s="21">
        <v>300</v>
      </c>
      <c r="K22" s="21">
        <v>300</v>
      </c>
      <c r="L22" s="21">
        <v>0</v>
      </c>
      <c r="M22" s="21">
        <v>0</v>
      </c>
      <c r="N22" s="21">
        <f>SUM(B22:M22)</f>
        <v>3000</v>
      </c>
    </row>
    <row r="23" spans="1:14" x14ac:dyDescent="0.25">
      <c r="A23" s="29" t="s">
        <v>141</v>
      </c>
      <c r="B23" s="30">
        <v>300</v>
      </c>
      <c r="C23" s="30">
        <v>300</v>
      </c>
      <c r="D23" s="30">
        <v>300</v>
      </c>
      <c r="E23" s="30">
        <v>300</v>
      </c>
      <c r="F23" s="30">
        <v>300</v>
      </c>
      <c r="G23" s="30">
        <v>300</v>
      </c>
      <c r="H23" s="30">
        <v>300</v>
      </c>
      <c r="I23" s="30">
        <v>300</v>
      </c>
      <c r="J23" s="30">
        <v>300</v>
      </c>
      <c r="K23" s="30">
        <v>300</v>
      </c>
      <c r="L23" s="30">
        <v>0</v>
      </c>
      <c r="M23" s="30">
        <v>0</v>
      </c>
      <c r="N23" s="30">
        <f>SUM(B23:M23)</f>
        <v>3000</v>
      </c>
    </row>
    <row r="24" spans="1:14" x14ac:dyDescent="0.25">
      <c r="A24" s="13" t="s">
        <v>106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x14ac:dyDescent="0.25">
      <c r="A25" s="13" t="s">
        <v>197</v>
      </c>
      <c r="B25" s="21">
        <v>2500</v>
      </c>
      <c r="C25" s="21">
        <v>2500</v>
      </c>
      <c r="D25" s="21">
        <v>2500</v>
      </c>
      <c r="E25" s="21">
        <v>2500</v>
      </c>
      <c r="F25" s="21">
        <v>2500</v>
      </c>
      <c r="G25" s="21">
        <v>2500</v>
      </c>
      <c r="H25" s="21">
        <v>2500</v>
      </c>
      <c r="I25" s="21">
        <v>2500</v>
      </c>
      <c r="J25" s="21">
        <v>2500</v>
      </c>
      <c r="K25" s="21">
        <v>2500</v>
      </c>
      <c r="L25" s="21">
        <v>0</v>
      </c>
      <c r="M25" s="21">
        <v>0</v>
      </c>
      <c r="N25" s="21">
        <f>SUM(B25:M25)</f>
        <v>25000</v>
      </c>
    </row>
    <row r="26" spans="1:14" x14ac:dyDescent="0.25">
      <c r="A26" s="13" t="s">
        <v>198</v>
      </c>
      <c r="B26" s="21">
        <v>300</v>
      </c>
      <c r="C26" s="21">
        <v>300</v>
      </c>
      <c r="D26" s="21">
        <v>300</v>
      </c>
      <c r="E26" s="21">
        <v>300</v>
      </c>
      <c r="F26" s="21">
        <v>300</v>
      </c>
      <c r="G26" s="21">
        <v>300</v>
      </c>
      <c r="H26" s="21">
        <v>300</v>
      </c>
      <c r="I26" s="21">
        <v>300</v>
      </c>
      <c r="J26" s="21">
        <v>300</v>
      </c>
      <c r="K26" s="21">
        <v>300</v>
      </c>
      <c r="L26" s="21">
        <v>0</v>
      </c>
      <c r="M26" s="21">
        <v>0</v>
      </c>
      <c r="N26" s="21">
        <f>SUM(B26:M26)</f>
        <v>3000</v>
      </c>
    </row>
    <row r="27" spans="1:14" x14ac:dyDescent="0.25">
      <c r="A27" s="13" t="s">
        <v>199</v>
      </c>
      <c r="B27" s="21">
        <v>200</v>
      </c>
      <c r="C27" s="21">
        <v>200</v>
      </c>
      <c r="D27" s="21">
        <v>200</v>
      </c>
      <c r="E27" s="21">
        <v>200</v>
      </c>
      <c r="F27" s="21">
        <v>200</v>
      </c>
      <c r="G27" s="21">
        <v>200</v>
      </c>
      <c r="H27" s="21">
        <v>200</v>
      </c>
      <c r="I27" s="21">
        <v>200</v>
      </c>
      <c r="J27" s="21">
        <v>200</v>
      </c>
      <c r="K27" s="21">
        <v>200</v>
      </c>
      <c r="L27" s="21">
        <v>0</v>
      </c>
      <c r="M27" s="21">
        <v>0</v>
      </c>
      <c r="N27" s="21">
        <f>SUM(B27:M27)</f>
        <v>2000</v>
      </c>
    </row>
    <row r="28" spans="1:14" x14ac:dyDescent="0.25">
      <c r="A28" s="29" t="s">
        <v>145</v>
      </c>
      <c r="B28" s="30">
        <v>3000</v>
      </c>
      <c r="C28" s="30">
        <v>3000</v>
      </c>
      <c r="D28" s="30">
        <v>3000</v>
      </c>
      <c r="E28" s="30">
        <v>3000</v>
      </c>
      <c r="F28" s="30">
        <v>3000</v>
      </c>
      <c r="G28" s="30">
        <v>3000</v>
      </c>
      <c r="H28" s="30">
        <v>3000</v>
      </c>
      <c r="I28" s="30">
        <v>3000</v>
      </c>
      <c r="J28" s="30">
        <v>3000</v>
      </c>
      <c r="K28" s="30">
        <v>3000</v>
      </c>
      <c r="L28" s="30">
        <v>0</v>
      </c>
      <c r="M28" s="30">
        <v>0</v>
      </c>
      <c r="N28" s="30">
        <f>SUM(B28:M28)</f>
        <v>30000</v>
      </c>
    </row>
    <row r="29" spans="1:14" x14ac:dyDescent="0.25">
      <c r="A29" s="13" t="s">
        <v>113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x14ac:dyDescent="0.25">
      <c r="A30" s="13" t="s">
        <v>200</v>
      </c>
      <c r="B30" s="21">
        <v>250</v>
      </c>
      <c r="C30" s="21">
        <v>250</v>
      </c>
      <c r="D30" s="21">
        <v>250</v>
      </c>
      <c r="E30" s="21">
        <v>250</v>
      </c>
      <c r="F30" s="21">
        <v>250</v>
      </c>
      <c r="G30" s="21">
        <v>250</v>
      </c>
      <c r="H30" s="21">
        <v>250</v>
      </c>
      <c r="I30" s="21">
        <v>250</v>
      </c>
      <c r="J30" s="21">
        <v>250</v>
      </c>
      <c r="K30" s="21">
        <v>250</v>
      </c>
      <c r="L30" s="21">
        <v>0</v>
      </c>
      <c r="M30" s="21">
        <v>0</v>
      </c>
      <c r="N30" s="21">
        <f>SUM(B30:M30)</f>
        <v>2500</v>
      </c>
    </row>
    <row r="31" spans="1:14" x14ac:dyDescent="0.25">
      <c r="A31" s="29" t="s">
        <v>147</v>
      </c>
      <c r="B31" s="30">
        <v>250</v>
      </c>
      <c r="C31" s="30">
        <v>250</v>
      </c>
      <c r="D31" s="30">
        <v>250</v>
      </c>
      <c r="E31" s="30">
        <v>250</v>
      </c>
      <c r="F31" s="30">
        <v>250</v>
      </c>
      <c r="G31" s="30">
        <v>250</v>
      </c>
      <c r="H31" s="30">
        <v>250</v>
      </c>
      <c r="I31" s="30">
        <v>250</v>
      </c>
      <c r="J31" s="30">
        <v>250</v>
      </c>
      <c r="K31" s="30">
        <v>250</v>
      </c>
      <c r="L31" s="30">
        <v>0</v>
      </c>
      <c r="M31" s="30">
        <v>0</v>
      </c>
      <c r="N31" s="30">
        <f>SUM(B31:M31)</f>
        <v>2500</v>
      </c>
    </row>
    <row r="32" ht="24" customHeight="1" spans="1:14" x14ac:dyDescent="0.25">
      <c r="A32" s="12" t="s">
        <v>148</v>
      </c>
      <c r="B32" s="28">
        <f>B20+B23+B28+B31</f>
        <v>4050</v>
      </c>
      <c r="C32" s="28">
        <f>C20+C23+C28+C31</f>
        <v>4050</v>
      </c>
      <c r="D32" s="28">
        <f>D20+D23+D28+D31</f>
        <v>4050</v>
      </c>
      <c r="E32" s="28">
        <f>E20+E23+E28+E31</f>
        <v>4050</v>
      </c>
      <c r="F32" s="28">
        <f>F20+F23+F28+F31</f>
        <v>4050</v>
      </c>
      <c r="G32" s="28">
        <f>G20+G23+G28+G31</f>
        <v>4050</v>
      </c>
      <c r="H32" s="28">
        <f>H20+H23+H28+H31</f>
        <v>4050</v>
      </c>
      <c r="I32" s="28">
        <f>I20+I23+I28+I31</f>
        <v>4050</v>
      </c>
      <c r="J32" s="28">
        <f>J20+J23+J28+J31</f>
        <v>4050</v>
      </c>
      <c r="K32" s="28">
        <f>K20+K23+K28+K31</f>
        <v>4050</v>
      </c>
      <c r="L32" s="28" t="str">
        <f>L20+L23+L28+L31</f>
        <v>0</v>
      </c>
      <c r="M32" s="28" t="str">
        <f>M20+M23+M28+M31</f>
        <v>0</v>
      </c>
      <c r="N32" s="28">
        <f>SUM(B32:M32)</f>
        <v>40500</v>
      </c>
    </row>
    <row r="33" spans="1:1" x14ac:dyDescent="0.25">
      <c r="A33" t="s">
        <v>7</v>
      </c>
    </row>
    <row r="34" spans="1:14" x14ac:dyDescent="0.25">
      <c r="A34" s="26" t="s">
        <v>201</v>
      </c>
      <c r="B34" s="21">
        <v>580</v>
      </c>
      <c r="C34" s="21">
        <v>580</v>
      </c>
      <c r="D34" s="21">
        <v>580</v>
      </c>
      <c r="E34" s="21">
        <v>580</v>
      </c>
      <c r="F34" s="21">
        <v>580</v>
      </c>
      <c r="G34" s="21">
        <v>580</v>
      </c>
      <c r="H34" s="21">
        <v>580</v>
      </c>
      <c r="I34" s="21">
        <v>580</v>
      </c>
      <c r="J34" s="21">
        <v>580</v>
      </c>
      <c r="K34" s="21">
        <v>580</v>
      </c>
      <c r="L34" s="21">
        <v>580</v>
      </c>
      <c r="M34" s="21">
        <v>580</v>
      </c>
      <c r="N34" s="21">
        <f>SUM(B34:M34)</f>
        <v>6960</v>
      </c>
    </row>
    <row r="35" spans="1:1" x14ac:dyDescent="0.25">
      <c r="A35" t="s">
        <v>7</v>
      </c>
    </row>
    <row r="36" ht="24" customHeight="1" spans="1:14" x14ac:dyDescent="0.25">
      <c r="A36" s="12" t="s">
        <v>202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x14ac:dyDescent="0.25">
      <c r="A37" s="26" t="s">
        <v>156</v>
      </c>
      <c r="B37" s="30">
        <f>B15+B32+B34</f>
        <v>16523</v>
      </c>
      <c r="C37" s="30">
        <f>C15+C32+C34</f>
        <v>16523</v>
      </c>
      <c r="D37" s="30">
        <f>D15+D32+D34</f>
        <v>16523</v>
      </c>
      <c r="E37" s="30">
        <f>E15+E32+E34</f>
        <v>16523</v>
      </c>
      <c r="F37" s="30">
        <f>F15+F32+F34</f>
        <v>16523</v>
      </c>
      <c r="G37" s="30">
        <f>G15+G32+G34</f>
        <v>16523</v>
      </c>
      <c r="H37" s="30">
        <f>H15+H32+H34</f>
        <v>16523</v>
      </c>
      <c r="I37" s="30">
        <f>I15+I32+I34</f>
        <v>16523</v>
      </c>
      <c r="J37" s="30">
        <f>J15+J32+J34</f>
        <v>16523</v>
      </c>
      <c r="K37" s="30">
        <f>K15+K32+K34</f>
        <v>16523</v>
      </c>
      <c r="L37" s="30">
        <f>L15+L32+L34</f>
        <v>580</v>
      </c>
      <c r="M37" s="30">
        <f>M15+M32+M34</f>
        <v>580</v>
      </c>
      <c r="N37" s="30">
        <f>SUM(B37:M37)</f>
        <v>166390</v>
      </c>
    </row>
    <row r="38" spans="1:14" x14ac:dyDescent="0.25">
      <c r="A38" s="26" t="s">
        <v>203</v>
      </c>
      <c r="B38" s="30">
        <f>B9-B37</f>
        <v>139377</v>
      </c>
      <c r="C38" s="30">
        <f>C9-C37</f>
        <v>-9063</v>
      </c>
      <c r="D38" s="30">
        <f>D9-D37</f>
        <v>-9063</v>
      </c>
      <c r="E38" s="30">
        <f>E9-E37</f>
        <v>-9063</v>
      </c>
      <c r="F38" s="30">
        <f>F9-F37</f>
        <v>-9063</v>
      </c>
      <c r="G38" s="30">
        <f>G9-G37</f>
        <v>-9063</v>
      </c>
      <c r="H38" s="30">
        <f>H9-H37</f>
        <v>-9063</v>
      </c>
      <c r="I38" s="30">
        <f>I9-I37</f>
        <v>-9063</v>
      </c>
      <c r="J38" s="30">
        <f>J9-J37</f>
        <v>-9063</v>
      </c>
      <c r="K38" s="30">
        <f>K9-K37</f>
        <v>-9063</v>
      </c>
      <c r="L38" s="30">
        <f>L9-L37</f>
        <v>-2020</v>
      </c>
      <c r="M38" s="30">
        <f>M9-M37</f>
        <v>-580</v>
      </c>
      <c r="N38" s="30">
        <f>SUM(B38:M38)</f>
        <v>55210</v>
      </c>
    </row>
    <row r="39" spans="1:14" x14ac:dyDescent="0.25">
      <c r="A39" s="26" t="s">
        <v>204</v>
      </c>
      <c r="B39" s="30">
        <f>0+B38</f>
        <v>139377</v>
      </c>
      <c r="C39" s="30">
        <f>B39+C38</f>
        <v>130314</v>
      </c>
      <c r="D39" s="30">
        <f>C39+D38</f>
        <v>121251</v>
      </c>
      <c r="E39" s="30">
        <f>D39+E38</f>
        <v>112188</v>
      </c>
      <c r="F39" s="30">
        <f>E39+F38</f>
        <v>103125</v>
      </c>
      <c r="G39" s="30">
        <f>F39+G38</f>
        <v>94062</v>
      </c>
      <c r="H39" s="30">
        <f>G39+H38</f>
        <v>84999</v>
      </c>
      <c r="I39" s="30">
        <f>H39+I38</f>
        <v>75936</v>
      </c>
      <c r="J39" s="30">
        <f>I39+J38</f>
        <v>66873</v>
      </c>
      <c r="K39" s="30">
        <f>J39+K38</f>
        <v>57810</v>
      </c>
      <c r="L39" s="30">
        <f>K39+L38</f>
        <v>55790</v>
      </c>
      <c r="M39" s="30">
        <f>L39+M38</f>
        <v>55210</v>
      </c>
      <c r="N39" s="30">
        <f>M39</f>
        <v>55210</v>
      </c>
    </row>
    <row r="41" ht="24" customHeight="1" spans="1:3" x14ac:dyDescent="0.25">
      <c r="A41" s="12" t="s">
        <v>205</v>
      </c>
      <c r="B41" s="12"/>
      <c r="C41" s="12"/>
    </row>
    <row r="42" spans="1:2" x14ac:dyDescent="0.25">
      <c r="A42" s="13" t="s">
        <v>128</v>
      </c>
      <c r="B42" s="21">
        <v>0</v>
      </c>
    </row>
    <row r="43" spans="1:2" x14ac:dyDescent="0.25">
      <c r="A43" s="13" t="s">
        <v>206</v>
      </c>
      <c r="B43" s="30">
        <f>M39</f>
        <v>55210</v>
      </c>
    </row>
    <row r="44" spans="1:2" x14ac:dyDescent="0.25">
      <c r="A44" s="13" t="s">
        <v>207</v>
      </c>
      <c r="B44" s="21">
        <f>MIN(B39:M39)</f>
        <v>55210</v>
      </c>
    </row>
    <row r="46" spans="1:14" x14ac:dyDescent="0.25">
      <c r="A46" s="24" t="s">
        <v>129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</sheetData>
  <mergeCells count="2">
    <mergeCell ref="A1:N1"/>
    <mergeCell ref="A46:N46"/>
  </mergeCells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&amp;L&amp;10&amp;BBright Horizons Microschool&amp;R&amp;8&amp;IYear 1 Pro Forma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H35"/>
  <sheetFormatPr defaultRowHeight="15" outlineLevelRow="0" outlineLevelCol="0" x14ac:dyDescent="55"/>
  <cols>
    <col min="1" max="1" width="4" customWidth="1"/>
    <col min="2" max="2" width="28" customWidth="1"/>
    <col min="3" max="7" width="16" customWidth="1"/>
    <col min="8" max="8" width="20" customWidth="1"/>
    <col min="9" max="9" width="40" customWidth="1"/>
  </cols>
  <sheetData>
    <row r="2" ht="30" customHeight="1" spans="2:8" x14ac:dyDescent="0.25">
      <c r="B2" s="1" t="s">
        <v>208</v>
      </c>
      <c r="C2" s="1"/>
      <c r="D2" s="1"/>
      <c r="E2" s="1"/>
      <c r="F2" s="1"/>
      <c r="G2" s="1"/>
      <c r="H2" s="1"/>
    </row>
    <row r="3" spans="2:8" x14ac:dyDescent="0.25">
      <c r="B3" s="41" t="s">
        <v>209</v>
      </c>
      <c r="C3" s="41"/>
      <c r="D3" s="41"/>
      <c r="E3" s="41"/>
      <c r="F3" s="41"/>
      <c r="G3" s="41"/>
      <c r="H3" s="41"/>
    </row>
    <row r="4" spans="2:6" x14ac:dyDescent="0.25">
      <c r="B4" s="42" t="s">
        <v>210</v>
      </c>
      <c r="D4" s="43" t="s">
        <v>211</v>
      </c>
      <c r="F4" s="44" t="s">
        <v>212</v>
      </c>
    </row>
    <row r="6" ht="24" customHeight="1" spans="2:8" x14ac:dyDescent="0.25">
      <c r="B6" s="12" t="s">
        <v>213</v>
      </c>
      <c r="C6" s="16" t="s">
        <v>214</v>
      </c>
      <c r="D6" s="16" t="s">
        <v>215</v>
      </c>
      <c r="E6" s="16" t="s">
        <v>216</v>
      </c>
      <c r="F6" s="16" t="s">
        <v>217</v>
      </c>
      <c r="G6" s="16" t="s">
        <v>218</v>
      </c>
      <c r="H6" s="16" t="s">
        <v>219</v>
      </c>
    </row>
    <row r="7" spans="2:7" x14ac:dyDescent="0.25">
      <c r="B7" s="13" t="s">
        <v>220</v>
      </c>
      <c r="C7" s="45">
        <v>12</v>
      </c>
      <c r="D7" s="45">
        <v>18</v>
      </c>
      <c r="E7" s="45">
        <v>22</v>
      </c>
      <c r="F7" s="45">
        <v>25</v>
      </c>
      <c r="G7" s="45">
        <v>25</v>
      </c>
    </row>
    <row r="8" spans="2:7" x14ac:dyDescent="0.25">
      <c r="B8" s="13" t="s">
        <v>221</v>
      </c>
      <c r="C8" s="46">
        <v>221600</v>
      </c>
      <c r="D8" s="46">
        <v>338147.49999999994</v>
      </c>
      <c r="E8" s="46">
        <v>422456.3124999999</v>
      </c>
      <c r="F8" s="46">
        <v>491331.3476562498</v>
      </c>
      <c r="G8" s="46">
        <v>503614.631347656</v>
      </c>
    </row>
    <row r="9" spans="2:7" x14ac:dyDescent="0.25">
      <c r="B9" s="13" t="s">
        <v>222</v>
      </c>
      <c r="C9" s="46">
        <v>118934.16666666667</v>
      </c>
      <c r="D9" s="46">
        <v>147002.63</v>
      </c>
      <c r="E9" s="46">
        <v>151412.7089</v>
      </c>
      <c r="F9" s="46">
        <v>155955.090167</v>
      </c>
      <c r="G9" s="46">
        <v>160633.74287201</v>
      </c>
    </row>
    <row r="10" spans="2:7" x14ac:dyDescent="0.25">
      <c r="B10" s="13" t="s">
        <v>223</v>
      </c>
      <c r="C10" s="46">
        <v>48600</v>
      </c>
      <c r="D10" s="46">
        <v>54885</v>
      </c>
      <c r="E10" s="46">
        <v>59773.625</v>
      </c>
      <c r="F10" s="46">
        <v>64011.63812499999</v>
      </c>
      <c r="G10" s="46">
        <v>65775.83812812499</v>
      </c>
    </row>
    <row r="11" spans="2:7" x14ac:dyDescent="0.25">
      <c r="B11" s="13" t="s">
        <v>164</v>
      </c>
      <c r="C11" s="46">
        <v>6959.808550594178</v>
      </c>
      <c r="D11" s="46">
        <v>6959.808550594178</v>
      </c>
      <c r="E11" s="46">
        <v>6959.808550594178</v>
      </c>
      <c r="F11" s="46">
        <v>6959.808550594178</v>
      </c>
      <c r="G11" s="46">
        <v>6959.808550594178</v>
      </c>
    </row>
    <row r="12" spans="2:7" x14ac:dyDescent="0.25">
      <c r="B12" s="26" t="s">
        <v>224</v>
      </c>
      <c r="C12" s="47">
        <v>47106.02478273915</v>
      </c>
      <c r="D12" s="47">
        <v>129300.06144940577</v>
      </c>
      <c r="E12" s="47">
        <v>204310.17004940574</v>
      </c>
      <c r="F12" s="47">
        <v>264404.8108136556</v>
      </c>
      <c r="G12" s="47">
        <v>270245.2417969268</v>
      </c>
    </row>
    <row r="13" spans="2:7" x14ac:dyDescent="0.25">
      <c r="B13" s="26" t="s">
        <v>166</v>
      </c>
      <c r="C13" s="47">
        <v>47106.02478273915</v>
      </c>
      <c r="D13" s="47">
        <v>176406.0862321449</v>
      </c>
      <c r="E13" s="47">
        <v>380716.2562815506</v>
      </c>
      <c r="F13" s="47">
        <v>645121.0670952062</v>
      </c>
      <c r="G13" s="47">
        <v>915366.3088921331</v>
      </c>
    </row>
    <row r="14" spans="2:7" x14ac:dyDescent="0.25">
      <c r="B14" s="26" t="s">
        <v>225</v>
      </c>
      <c r="C14" s="48">
        <v>0.21257231400153045</v>
      </c>
      <c r="D14" s="48">
        <v>0.3823776944954666</v>
      </c>
      <c r="E14" s="48">
        <v>0.4836243748858784</v>
      </c>
      <c r="F14" s="48">
        <v>0.5381395102814428</v>
      </c>
      <c r="G14" s="48">
        <v>0.5366111804054611</v>
      </c>
    </row>
    <row r="15" spans="2:8" x14ac:dyDescent="0.25">
      <c r="B15" s="26" t="s">
        <v>226</v>
      </c>
      <c r="C15" s="49">
        <v>18466.666666666668</v>
      </c>
      <c r="D15" s="49">
        <v>18785.97222222222</v>
      </c>
      <c r="E15" s="49">
        <v>19202.559659090904</v>
      </c>
      <c r="F15" s="49">
        <v>19653.253906249993</v>
      </c>
      <c r="G15" s="49">
        <v>20144.58525390624</v>
      </c>
      <c r="H15" s="50" t="s">
        <v>227</v>
      </c>
    </row>
    <row r="16" spans="2:8" x14ac:dyDescent="0.25">
      <c r="B16" s="26" t="s">
        <v>228</v>
      </c>
      <c r="C16" s="48">
        <v>0.5367065282791817</v>
      </c>
      <c r="D16" s="48">
        <v>0.4347293119127009</v>
      </c>
      <c r="E16" s="48">
        <v>0.3584103359800075</v>
      </c>
      <c r="F16" s="48">
        <v>0.31741327092386307</v>
      </c>
      <c r="G16" s="48">
        <v>0.31896162834300396</v>
      </c>
      <c r="H16" s="50" t="s">
        <v>229</v>
      </c>
    </row>
    <row r="17" spans="2:8" x14ac:dyDescent="0.25">
      <c r="B17" s="26" t="s">
        <v>230</v>
      </c>
      <c r="C17" s="51">
        <v>0.1624548736462094</v>
      </c>
      <c r="D17" s="48">
        <v>0.10956757036500346</v>
      </c>
      <c r="E17" s="48">
        <v>0.09025962891725049</v>
      </c>
      <c r="F17" s="48">
        <v>0.07987105633946989</v>
      </c>
      <c r="G17" s="48">
        <v>0.08019652156585022</v>
      </c>
      <c r="H17" s="50" t="s">
        <v>231</v>
      </c>
    </row>
    <row r="18" spans="2:8" x14ac:dyDescent="0.25">
      <c r="B18" s="26" t="s">
        <v>232</v>
      </c>
      <c r="C18" s="48">
        <v>0.2439793922984356</v>
      </c>
      <c r="D18" s="48">
        <v>0.40295986219031626</v>
      </c>
      <c r="E18" s="48">
        <v>0.5000989980472832</v>
      </c>
      <c r="F18" s="48">
        <v>0.5523047138325573</v>
      </c>
      <c r="G18" s="48">
        <v>0.5504308911870363</v>
      </c>
      <c r="H18" s="50" t="s">
        <v>233</v>
      </c>
    </row>
    <row r="19" spans="2:8" x14ac:dyDescent="0.25">
      <c r="B19" s="26" t="s">
        <v>234</v>
      </c>
      <c r="C19" s="52">
        <v>3</v>
      </c>
      <c r="D19" s="52">
        <v>3</v>
      </c>
      <c r="E19" s="52">
        <v>3</v>
      </c>
      <c r="F19" s="52">
        <v>3</v>
      </c>
      <c r="G19" s="52">
        <v>3</v>
      </c>
      <c r="H19" s="50" t="s">
        <v>235</v>
      </c>
    </row>
    <row r="20" spans="2:8" x14ac:dyDescent="0.25">
      <c r="B20" s="26" t="s">
        <v>236</v>
      </c>
      <c r="C20" s="53">
        <v>7.768293185121821</v>
      </c>
      <c r="D20" s="53">
        <v>19.57810606562835</v>
      </c>
      <c r="E20" s="53">
        <v>30.35571698045677</v>
      </c>
      <c r="F20" s="53">
        <v>38.99024195731399</v>
      </c>
      <c r="G20" s="53">
        <v>39.82940742297506</v>
      </c>
      <c r="H20" s="50" t="s">
        <v>237</v>
      </c>
    </row>
    <row r="21" spans="2:8" x14ac:dyDescent="0.25">
      <c r="B21" s="26" t="s">
        <v>238</v>
      </c>
      <c r="C21" s="34" t="str">
        <f>IF('5-Year Model'!B49&gt;=0,"✓ Break-even","")</f>
        <v>✓ Break-even</v>
      </c>
      <c r="D21" s="54" t="str">
        <f>IF(AND('5-Year Model'!C49&gt;=0,'5-Year Model'!B49&lt;0),"✓ Break-even","")</f>
        <v>0</v>
      </c>
      <c r="E21" s="54" t="str">
        <f>IF(AND('5-Year Model'!D49&gt;=0,'5-Year Model'!C49&lt;0),"✓ Break-even","")</f>
        <v>0</v>
      </c>
      <c r="F21" s="54" t="str">
        <f>IF(AND('5-Year Model'!E49&gt;=0,'5-Year Model'!D49&lt;0),"✓ Break-even","")</f>
        <v>0</v>
      </c>
      <c r="G21" s="54" t="str">
        <f>IF(AND('5-Year Model'!F49&gt;=0,'5-Year Model'!E49&lt;0),"✓ Break-even","")</f>
        <v>0</v>
      </c>
      <c r="H21" s="50" t="s">
        <v>214</v>
      </c>
    </row>
    <row r="22" spans="2:8" x14ac:dyDescent="0.25">
      <c r="B22" s="26" t="s">
        <v>239</v>
      </c>
      <c r="C22" s="55">
        <v>3</v>
      </c>
      <c r="D22" s="55">
        <v>10</v>
      </c>
      <c r="E22" s="56">
        <v>21</v>
      </c>
      <c r="F22" s="52">
        <v>34</v>
      </c>
      <c r="G22" s="52">
        <v>47</v>
      </c>
      <c r="H22" s="50" t="s">
        <v>240</v>
      </c>
    </row>
    <row r="24" ht="24" customHeight="1" spans="2:8" x14ac:dyDescent="0.25">
      <c r="B24" s="12" t="s">
        <v>241</v>
      </c>
      <c r="C24" s="12" t="s">
        <v>242</v>
      </c>
      <c r="D24" s="12" t="s">
        <v>243</v>
      </c>
      <c r="E24" s="12"/>
      <c r="F24" s="12" t="s">
        <v>244</v>
      </c>
      <c r="G24" s="12"/>
      <c r="H24" s="12"/>
    </row>
    <row r="25" ht="45" customHeight="1" spans="2:8" x14ac:dyDescent="0.25">
      <c r="B25" s="57" t="s">
        <v>245</v>
      </c>
      <c r="C25" s="34" t="s">
        <v>246</v>
      </c>
      <c r="D25" s="58" t="s">
        <v>247</v>
      </c>
      <c r="E25" s="58"/>
      <c r="F25" s="59" t="s">
        <v>248</v>
      </c>
      <c r="G25" s="59"/>
      <c r="H25" s="59"/>
    </row>
    <row r="26" ht="45" customHeight="1" spans="2:8" x14ac:dyDescent="0.25">
      <c r="B26" s="57" t="s">
        <v>249</v>
      </c>
      <c r="C26" s="34" t="s">
        <v>246</v>
      </c>
      <c r="D26" s="58" t="s">
        <v>250</v>
      </c>
      <c r="E26" s="58"/>
      <c r="F26" s="59" t="s">
        <v>251</v>
      </c>
      <c r="G26" s="59"/>
      <c r="H26" s="59"/>
    </row>
    <row r="27" ht="45" customHeight="1" spans="2:8" x14ac:dyDescent="0.25">
      <c r="B27" s="57" t="s">
        <v>252</v>
      </c>
      <c r="C27" s="34" t="s">
        <v>246</v>
      </c>
      <c r="D27" s="58" t="s">
        <v>253</v>
      </c>
      <c r="E27" s="58"/>
      <c r="F27" s="59" t="s">
        <v>254</v>
      </c>
      <c r="G27" s="59"/>
      <c r="H27" s="59"/>
    </row>
    <row r="28" ht="45" customHeight="1" spans="2:8" x14ac:dyDescent="0.25">
      <c r="B28" s="57" t="s">
        <v>255</v>
      </c>
      <c r="C28" s="34" t="s">
        <v>246</v>
      </c>
      <c r="D28" s="58" t="s">
        <v>256</v>
      </c>
      <c r="E28" s="58"/>
      <c r="F28" s="59" t="s">
        <v>257</v>
      </c>
      <c r="G28" s="59"/>
      <c r="H28" s="59"/>
    </row>
    <row r="29" ht="45" customHeight="1" spans="2:8" x14ac:dyDescent="0.25">
      <c r="B29" s="57" t="s">
        <v>258</v>
      </c>
      <c r="C29" s="34" t="s">
        <v>246</v>
      </c>
      <c r="D29" s="58" t="s">
        <v>259</v>
      </c>
      <c r="E29" s="58"/>
      <c r="F29" s="59" t="s">
        <v>260</v>
      </c>
      <c r="G29" s="59"/>
      <c r="H29" s="59"/>
    </row>
    <row r="30" ht="45" customHeight="1" spans="2:8" x14ac:dyDescent="0.25">
      <c r="B30" s="57" t="s">
        <v>261</v>
      </c>
      <c r="C30" s="34" t="s">
        <v>246</v>
      </c>
      <c r="D30" s="58" t="s">
        <v>262</v>
      </c>
      <c r="E30" s="58"/>
      <c r="F30" s="59" t="s">
        <v>263</v>
      </c>
      <c r="G30" s="59"/>
      <c r="H30" s="59"/>
    </row>
    <row r="31" ht="45" customHeight="1" spans="2:8" x14ac:dyDescent="0.25">
      <c r="B31" s="57" t="s">
        <v>264</v>
      </c>
      <c r="C31" s="34" t="s">
        <v>246</v>
      </c>
      <c r="D31" s="58" t="s">
        <v>265</v>
      </c>
      <c r="E31" s="58"/>
      <c r="F31" s="59" t="s">
        <v>266</v>
      </c>
      <c r="G31" s="59"/>
      <c r="H31" s="59"/>
    </row>
    <row r="33" spans="2:6" x14ac:dyDescent="0.25">
      <c r="B33" s="57" t="s">
        <v>267</v>
      </c>
      <c r="C33" s="26" t="s">
        <v>268</v>
      </c>
      <c r="D33" s="26"/>
      <c r="E33" s="26"/>
      <c r="F33" s="26"/>
    </row>
    <row r="35" spans="2:8" x14ac:dyDescent="0.25">
      <c r="B35" s="60" t="s">
        <v>129</v>
      </c>
      <c r="C35" s="60"/>
      <c r="D35" s="60"/>
      <c r="E35" s="60"/>
      <c r="F35" s="60"/>
      <c r="G35" s="60"/>
      <c r="H35" s="60"/>
    </row>
  </sheetData>
  <mergeCells count="20">
    <mergeCell ref="B2:H2"/>
    <mergeCell ref="B3:H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C33:F33"/>
    <mergeCell ref="B35:H35"/>
  </mergeCells>
  <conditionalFormatting sqref="C12:G12">
    <cfRule type="expression" dxfId="0" priority="1">
      <formula>C12&gt;=0</formula>
    </cfRule>
    <cfRule type="expression" dxfId="1" priority="2">
      <formula>C12&gt;=-1</formula>
    </cfRule>
    <cfRule type="expression" dxfId="2" priority="3">
      <formula>C12&lt;-1</formula>
    </cfRule>
  </conditionalFormatting>
  <conditionalFormatting sqref="C13:G13">
    <cfRule type="expression" dxfId="3" priority="1">
      <formula>C13&gt;=0</formula>
    </cfRule>
    <cfRule type="expression" dxfId="4" priority="2">
      <formula>C13&gt;=-1</formula>
    </cfRule>
    <cfRule type="expression" dxfId="5" priority="3">
      <formula>C13&lt;-1</formula>
    </cfRule>
  </conditionalFormatting>
  <conditionalFormatting sqref="C14:G14">
    <cfRule type="expression" dxfId="6" priority="1">
      <formula>C14&gt;=0.05</formula>
    </cfRule>
    <cfRule type="expression" dxfId="7" priority="2">
      <formula>C14&gt;=0</formula>
    </cfRule>
    <cfRule type="expression" dxfId="8" priority="3">
      <formula>C14&lt;0</formula>
    </cfRule>
  </conditionalFormatting>
  <conditionalFormatting sqref="C15:G15">
    <cfRule type="expression" dxfId="9" priority="1">
      <formula>C15&gt;=10000</formula>
    </cfRule>
    <cfRule type="expression" dxfId="10" priority="2">
      <formula>C15&gt;=7000</formula>
    </cfRule>
    <cfRule type="expression" dxfId="11" priority="3">
      <formula>C15&lt;7000</formula>
    </cfRule>
  </conditionalFormatting>
  <conditionalFormatting sqref="C16:G16">
    <cfRule type="expression" dxfId="12" priority="1">
      <formula>C16&lt;=0.55</formula>
    </cfRule>
    <cfRule type="expression" dxfId="13" priority="2">
      <formula>C16&lt;=0.65</formula>
    </cfRule>
    <cfRule type="expression" dxfId="14" priority="3">
      <formula>C16&gt;0.65</formula>
    </cfRule>
  </conditionalFormatting>
  <conditionalFormatting sqref="C17:G17">
    <cfRule type="expression" dxfId="15" priority="1">
      <formula>C17&lt;=0.15</formula>
    </cfRule>
    <cfRule type="expression" dxfId="16" priority="2">
      <formula>C17&lt;=0.22</formula>
    </cfRule>
    <cfRule type="expression" dxfId="17" priority="3">
      <formula>C17&gt;0.22</formula>
    </cfRule>
  </conditionalFormatting>
  <conditionalFormatting sqref="C18:G18">
    <cfRule type="expression" dxfId="18" priority="1">
      <formula>C18&gt;=0.10</formula>
    </cfRule>
    <cfRule type="expression" dxfId="19" priority="2">
      <formula>C18&gt;=0</formula>
    </cfRule>
    <cfRule type="expression" dxfId="20" priority="3">
      <formula>C18&lt;0</formula>
    </cfRule>
  </conditionalFormatting>
  <conditionalFormatting sqref="C20:G20">
    <cfRule type="expression" dxfId="21" priority="1">
      <formula>C20&gt;=1.25</formula>
    </cfRule>
    <cfRule type="expression" dxfId="22" priority="2">
      <formula>C20&gt;=1</formula>
    </cfRule>
    <cfRule type="expression" dxfId="23" priority="3">
      <formula>C20&lt;1</formula>
    </cfRule>
  </conditionalFormatting>
  <pageMargins left="0.25" right="0.25" top="0.5" bottom="0.5" header="0.3" footer="0.3"/>
  <pageSetup paperSize="1" orientation="landscape" fitToWidth="1" fitToHeight="0"/>
  <headerFooter>
    <oddHeader>&amp;L&amp;10&amp;BBright Horizons Microschool&amp;R&amp;8&amp;IFinancial Health</oddHeader>
    <oddFooter>&amp;L&amp;8Built by SchoolStack Budget  •  budget.schoolstack.ai&amp;C&amp;8Page &amp;P of &amp;N&amp;R&amp;8&amp;D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Assumptions</vt:lpstr>
      <vt:lpstr>5-Year Model</vt:lpstr>
      <vt:lpstr>Year 1 Pro Forma</vt:lpstr>
      <vt:lpstr>Financial Health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 - Formula Model</dc:creator>
  <dc:title/>
  <dc:subject/>
  <dc:description/>
  <cp:keywords/>
  <cp:category/>
  <cp:lastModifiedBy>Unknown</cp:lastModifiedBy>
  <dcterms:created xsi:type="dcterms:W3CDTF">2026-03-26T23:37:41Z</dcterms:created>
  <dcterms:modified xsi:type="dcterms:W3CDTF">2026-03-26T23:37:41Z</dcterms:modified>
</cp:coreProperties>
</file>