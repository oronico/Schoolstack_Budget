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<sst xmlns="http://schemas.openxmlformats.org/spreadsheetml/2006/main" count="259" uniqueCount="206">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</sst>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8" t="s">
        <v>125</v>
      </c>
      <c r="C19" s="32">
        <f>C16</f>
        <v>-308167.18888889</v>
      </c>
      <c r="D19" s="32">
        <f>C19+D16</f>
        <v>-407960.05885556</v>
      </c>
      <c r="E19" s="32">
        <f>D19+E16</f>
        <v>-418870.87280833</v>
      </c>
      <c r="F19" s="32">
        <f>E19+F16</f>
        <v>-1051097.96923163</v>
      </c>
      <c r="G19" s="32">
        <f>F19+G16</f>
        <v>-3236549.64156936</v>
      </c>
    </row>
    <row r="20" spans="2:7" x14ac:dyDescent="0.25">
      <c r="B20" s="28" t="s">
        <v>126</v>
      </c>
      <c r="C20" s="33" t="s">
        <v>7</v>
      </c>
      <c r="D20" s="33" t="s">
        <v>7</v>
      </c>
      <c r="E20" s="33" t="s">
        <v>7</v>
      </c>
      <c r="F20" s="33" t="s">
        <v>7</v>
      </c>
      <c r="G20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127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128</v>
      </c>
      <c r="C4" s="27">
        <f>'5-Year P&amp;L'!C16</f>
        <v>-308167.18888889</v>
      </c>
      <c r="D4" s="27">
        <f>'5-Year P&amp;L'!D16</f>
        <v>-99792.86996667</v>
      </c>
      <c r="E4" s="27">
        <f>'5-Year P&amp;L'!E16</f>
        <v>-10910.81395278</v>
      </c>
      <c r="F4" s="27">
        <f>'5-Year P&amp;L'!F16</f>
        <v>-632227.09642329</v>
      </c>
      <c r="G4" s="27">
        <f>'5-Year P&amp;L'!G16</f>
        <v>-2185451.67233774</v>
      </c>
    </row>
    <row r="6" spans="2:7" x14ac:dyDescent="0.25">
      <c r="B6" s="25" t="s">
        <v>129</v>
      </c>
      <c r="C6" s="27">
        <f>Assumptions!D58</f>
        <v>115000</v>
      </c>
      <c r="D6" s="27">
        <f>Assumptions!D58</f>
        <v>115000</v>
      </c>
      <c r="E6" s="27">
        <f>Assumptions!D58</f>
        <v>115000</v>
      </c>
      <c r="F6" s="27">
        <f>Assumptions!D58</f>
        <v>115000</v>
      </c>
      <c r="G6" s="27">
        <f>Assumptions!D58</f>
        <v>115000</v>
      </c>
    </row>
    <row r="7" spans="2:7" x14ac:dyDescent="0.25">
      <c r="B7" s="25" t="s">
        <v>130</v>
      </c>
      <c r="C7" s="27">
        <f>IF(Assumptions!D59&gt;0,PMT(Assumptions!D60/12,Assumptions!D61*12,-Assumptions!D59)*12,0)</f>
        <v>49824.60522118</v>
      </c>
      <c r="D7" s="27">
        <f>IF(Assumptions!D59&gt;0,PMT(Assumptions!D60/12,Assumptions!D61*12,-Assumptions!D59)*12,0)</f>
        <v>49824.60522118</v>
      </c>
      <c r="E7" s="27">
        <f>IF(Assumptions!D59&gt;0,PMT(Assumptions!D60/12,Assumptions!D61*12,-Assumptions!D59)*12,0)</f>
        <v>49824.60522118</v>
      </c>
      <c r="F7" s="27">
        <f>IF(Assumptions!D59&gt;0,PMT(Assumptions!D60/12,Assumptions!D61*12,-Assumptions!D59)*12,0)</f>
        <v>49824.60522118</v>
      </c>
      <c r="G7" s="27">
        <f>IF(Assumptions!D59&gt;0,PMT(Assumptions!D60/12,Assumptions!D61*12,-Assumptions!D59)*12,0)</f>
        <v>49824.60522118</v>
      </c>
    </row>
    <row r="8" spans="2:7" x14ac:dyDescent="0.25">
      <c r="B8" s="28" t="s">
        <v>131</v>
      </c>
      <c r="C8" s="29">
        <f>C6+C7</f>
        <v>164824.60522118</v>
      </c>
      <c r="D8" s="29">
        <f>D6+D7</f>
        <v>164824.60522118</v>
      </c>
      <c r="E8" s="29">
        <f>E6+E7</f>
        <v>164824.60522118</v>
      </c>
      <c r="F8" s="29">
        <f>F6+F7</f>
        <v>164824.60522118</v>
      </c>
      <c r="G8" s="29">
        <f>G6+G7</f>
        <v>164824.60522118</v>
      </c>
    </row>
    <row r="10" spans="2:7" x14ac:dyDescent="0.25">
      <c r="B10" s="28" t="s">
        <v>132</v>
      </c>
      <c r="C10" s="34">
        <f>IF(C8&gt;0,C4/C8,IF(C4&gt;0,99.9,0))</f>
        <v>-1.86966739</v>
      </c>
      <c r="D10" s="34">
        <f>IF(D8&gt;0,D4/D8,IF(D4&gt;0,99.9,0))</f>
        <v>-0.60544886</v>
      </c>
      <c r="E10" s="34">
        <f>IF(E8&gt;0,E4/E8,IF(E4&gt;0,99.9,0))</f>
        <v>-0.06619651</v>
      </c>
      <c r="F10" s="34">
        <f>IF(F8&gt;0,F4/F8,IF(F4&gt;0,99.9,0))</f>
        <v>-3.83575678</v>
      </c>
      <c r="G10" s="34">
        <f>IF(G8&gt;0,G4/G8,IF(G4&gt;0,99.9,0))</f>
        <v>-13.25925622</v>
      </c>
    </row>
    <row r="12" spans="2:7" x14ac:dyDescent="0.25">
      <c r="B12" s="25" t="s">
        <v>133</v>
      </c>
      <c r="C12" s="27">
        <f>C4-C8</f>
        <v>-472991.79411007</v>
      </c>
      <c r="D12" s="27">
        <f>D4-D8</f>
        <v>-264617.47518785</v>
      </c>
      <c r="E12" s="27">
        <f>E4-E8</f>
        <v>-175735.41917396</v>
      </c>
      <c r="F12" s="27">
        <f>F4-F8</f>
        <v>-797051.70164447</v>
      </c>
      <c r="G12" s="27">
        <f>G4-G8</f>
        <v>-2350276.27755892</v>
      </c>
    </row>
    <row r="14" spans="2:7" x14ac:dyDescent="0.25">
      <c r="B14" s="28" t="s">
        <v>134</v>
      </c>
      <c r="C14" s="35">
        <f>Assumptions!D57+C12</f>
        <v>-472991.79411007</v>
      </c>
      <c r="D14" s="35">
        <f>C14+D12</f>
        <v>-737609.26929791</v>
      </c>
      <c r="E14" s="35">
        <f>D14+E12</f>
        <v>-913344.68847187</v>
      </c>
      <c r="F14" s="35">
        <f>E14+F12</f>
        <v>-1710396.39011634</v>
      </c>
      <c r="G14" s="35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136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137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138</v>
      </c>
      <c r="C6" s="36">
        <f>C4+C5</f>
        <v>17</v>
      </c>
      <c r="D6" s="36">
        <f>D4+D5</f>
        <v>24</v>
      </c>
      <c r="E6" s="36">
        <f>E4+E5</f>
        <v>32</v>
      </c>
      <c r="F6" s="36">
        <f>F4+F5</f>
        <v>39</v>
      </c>
      <c r="G6" s="36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139</v>
      </c>
      <c r="C1" s="13"/>
    </row>
    <row r="3" spans="2:3" x14ac:dyDescent="0.25">
      <c r="B3" s="25" t="s">
        <v>140</v>
      </c>
      <c r="C3" s="27">
        <f>Assumptions!D59</f>
        <v>500000</v>
      </c>
    </row>
    <row r="4" spans="2:3" x14ac:dyDescent="0.25">
      <c r="B4" s="25" t="s">
        <v>141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142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143</v>
      </c>
      <c r="C8" s="34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145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146</v>
      </c>
      <c r="C9" s="27">
        <f>Drivers!G10</f>
        <v>5244248.9932</v>
      </c>
    </row>
    <row r="10" spans="2:3" x14ac:dyDescent="0.25">
      <c r="B10" s="25" t="s">
        <v>147</v>
      </c>
      <c r="C10" s="35">
        <f>'5-Year P&amp;L'!G16</f>
        <v>-2185451.67233774</v>
      </c>
    </row>
    <row r="12" spans="2:3" x14ac:dyDescent="0.25">
      <c r="B12" s="12" t="s">
        <v>148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7" t="s">
        <v>150</v>
      </c>
      <c r="D4" s="38" t="s">
        <v>151</v>
      </c>
      <c r="F4" s="39" t="s">
        <v>152</v>
      </c>
    </row>
    <row r="6" ht="24" customHeight="1" spans="2:8" x14ac:dyDescent="0.25">
      <c r="B6" s="40" t="s">
        <v>153</v>
      </c>
      <c r="C6" s="41" t="s">
        <v>96</v>
      </c>
      <c r="D6" s="41" t="s">
        <v>97</v>
      </c>
      <c r="E6" s="41" t="s">
        <v>98</v>
      </c>
      <c r="F6" s="41" t="s">
        <v>99</v>
      </c>
      <c r="G6" s="41" t="s">
        <v>100</v>
      </c>
      <c r="H6" s="41" t="s">
        <v>154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155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156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157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158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159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160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161</v>
      </c>
      <c r="C14" s="42">
        <v>-0.3059455330595525</v>
      </c>
      <c r="D14" s="42">
        <v>-0.10427042130500674</v>
      </c>
      <c r="E14" s="42">
        <v>-0.046066008479458874</v>
      </c>
      <c r="F14" s="42">
        <v>-0.16504185604249857</v>
      </c>
      <c r="G14" s="42">
        <v>-0.44816260261601254</v>
      </c>
    </row>
    <row r="15" spans="2:8" x14ac:dyDescent="0.25">
      <c r="B15" s="28" t="s">
        <v>162</v>
      </c>
      <c r="C15" s="43">
        <v>12883.333333333334</v>
      </c>
      <c r="D15" s="43">
        <v>12689</v>
      </c>
      <c r="E15" s="43">
        <v>12716.203333333333</v>
      </c>
      <c r="F15" s="43">
        <v>12878.376766666668</v>
      </c>
      <c r="G15" s="43">
        <v>13110.622483</v>
      </c>
      <c r="H15" s="44" t="s">
        <v>163</v>
      </c>
    </row>
    <row r="16" spans="2:8" x14ac:dyDescent="0.25">
      <c r="B16" s="28" t="s">
        <v>164</v>
      </c>
      <c r="C16" s="42">
        <v>0.7763047793589191</v>
      </c>
      <c r="D16" s="42">
        <v>0.6515878070113221</v>
      </c>
      <c r="E16" s="45">
        <v>0.5752710583855843</v>
      </c>
      <c r="F16" s="45">
        <v>0.5597527709991174</v>
      </c>
      <c r="G16" s="45">
        <v>0.5557873295275215</v>
      </c>
      <c r="H16" s="44" t="s">
        <v>165</v>
      </c>
    </row>
    <row r="17" spans="2:8" x14ac:dyDescent="0.25">
      <c r="B17" s="28" t="s">
        <v>166</v>
      </c>
      <c r="C17" s="45">
        <v>0.18240620957309184</v>
      </c>
      <c r="D17" s="46">
        <v>0.11445346362991568</v>
      </c>
      <c r="E17" s="46">
        <v>0.07842325054569485</v>
      </c>
      <c r="F17" s="46">
        <v>0.06380700913541373</v>
      </c>
      <c r="G17" s="46">
        <v>0.06052219961934512</v>
      </c>
      <c r="H17" s="44" t="s">
        <v>167</v>
      </c>
    </row>
    <row r="18" spans="2:8" x14ac:dyDescent="0.25">
      <c r="B18" s="28" t="s">
        <v>124</v>
      </c>
      <c r="C18" s="42">
        <v>-0.19933194624119585</v>
      </c>
      <c r="D18" s="42">
        <v>-0.039322590419523434</v>
      </c>
      <c r="E18" s="42">
        <v>-0.0028600816524580494</v>
      </c>
      <c r="F18" s="42">
        <v>-0.13091237772754036</v>
      </c>
      <c r="G18" s="42">
        <v>-0.4167330108031714</v>
      </c>
      <c r="H18" s="44" t="s">
        <v>168</v>
      </c>
    </row>
    <row r="19" spans="2:8" x14ac:dyDescent="0.25">
      <c r="B19" s="28" t="s">
        <v>169</v>
      </c>
      <c r="C19" s="47">
        <v>3</v>
      </c>
      <c r="D19" s="47">
        <v>3</v>
      </c>
      <c r="E19" s="47">
        <v>3</v>
      </c>
      <c r="F19" s="47">
        <v>3</v>
      </c>
      <c r="G19" s="47">
        <v>3</v>
      </c>
      <c r="H19" s="44" t="s">
        <v>170</v>
      </c>
    </row>
    <row r="20" spans="2:8" x14ac:dyDescent="0.25">
      <c r="B20" s="28" t="s">
        <v>171</v>
      </c>
      <c r="C20" s="48">
        <v>-1.8696673865856184</v>
      </c>
      <c r="D20" s="48">
        <v>-0.6054488638559378</v>
      </c>
      <c r="E20" s="48">
        <v>-0.06619651197184098</v>
      </c>
      <c r="F20" s="48">
        <v>-3.8357567765741165</v>
      </c>
      <c r="G20" s="48">
        <v>-13.259256222122064</v>
      </c>
      <c r="H20" s="44" t="s">
        <v>172</v>
      </c>
    </row>
    <row r="21" spans="2:8" x14ac:dyDescent="0.25">
      <c r="B21" s="28" t="s">
        <v>173</v>
      </c>
      <c r="C21" s="49" t="str">
        <f>IF('5-Year P&amp;L'!C19&gt;=0,"✓ Break-even","")</f>
        <v>0</v>
      </c>
      <c r="D21" s="49" t="str">
        <f>IF(AND('5-Year P&amp;L'!D19&gt;=0,'5-Year P&amp;L'!C19&lt;0),"✓ Break-even","")</f>
        <v>0</v>
      </c>
      <c r="E21" s="49" t="str">
        <f>IF(AND('5-Year P&amp;L'!E19&gt;=0,'5-Year P&amp;L'!D19&lt;0),"✓ Break-even","")</f>
        <v>0</v>
      </c>
      <c r="F21" s="49" t="str">
        <f>IF(AND('5-Year P&amp;L'!F19&gt;=0,'5-Year P&amp;L'!E19&lt;0),"✓ Break-even","")</f>
        <v>0</v>
      </c>
      <c r="G21" s="49" t="str">
        <f>IF(AND('5-Year P&amp;L'!G19&gt;=0,'5-Year P&amp;L'!F19&lt;0),"✓ Break-even","")</f>
        <v>0</v>
      </c>
      <c r="H21" s="44" t="s">
        <v>96</v>
      </c>
    </row>
    <row r="22" spans="2:8" x14ac:dyDescent="0.25">
      <c r="B22" s="28" t="s">
        <v>174</v>
      </c>
      <c r="C22" s="50">
        <v>-3</v>
      </c>
      <c r="D22" s="50">
        <v>-3</v>
      </c>
      <c r="E22" s="50">
        <v>-3</v>
      </c>
      <c r="F22" s="50">
        <v>-4</v>
      </c>
      <c r="G22" s="50">
        <v>-6</v>
      </c>
      <c r="H22" s="44" t="s">
        <v>175</v>
      </c>
    </row>
    <row r="24" ht="24" customHeight="1" spans="2:8" x14ac:dyDescent="0.25">
      <c r="B24" s="40" t="s">
        <v>176</v>
      </c>
      <c r="C24" s="40" t="s">
        <v>177</v>
      </c>
      <c r="D24" s="40" t="s">
        <v>178</v>
      </c>
      <c r="E24" s="40"/>
      <c r="F24" s="40" t="s">
        <v>179</v>
      </c>
      <c r="G24" s="40"/>
      <c r="H24" s="40"/>
    </row>
    <row r="25" ht="45" customHeight="1" spans="2:8" x14ac:dyDescent="0.25">
      <c r="B25" s="51" t="s">
        <v>180</v>
      </c>
      <c r="C25" s="52" t="s">
        <v>181</v>
      </c>
      <c r="D25" s="53" t="s">
        <v>182</v>
      </c>
      <c r="E25" s="53"/>
      <c r="F25" s="54" t="s">
        <v>183</v>
      </c>
      <c r="G25" s="54"/>
      <c r="H25" s="54"/>
    </row>
    <row r="26" ht="45" customHeight="1" spans="2:8" x14ac:dyDescent="0.25">
      <c r="B26" s="51" t="s">
        <v>184</v>
      </c>
      <c r="C26" s="52" t="s">
        <v>181</v>
      </c>
      <c r="D26" s="53" t="s">
        <v>185</v>
      </c>
      <c r="E26" s="53"/>
      <c r="F26" s="54" t="s">
        <v>186</v>
      </c>
      <c r="G26" s="54"/>
      <c r="H26" s="54"/>
    </row>
    <row r="27" ht="45" customHeight="1" spans="2:8" x14ac:dyDescent="0.25">
      <c r="B27" s="51" t="s">
        <v>187</v>
      </c>
      <c r="C27" s="55" t="s">
        <v>188</v>
      </c>
      <c r="D27" s="53" t="s">
        <v>189</v>
      </c>
      <c r="E27" s="53"/>
      <c r="F27" s="54" t="s">
        <v>190</v>
      </c>
      <c r="G27" s="54"/>
      <c r="H27" s="54"/>
    </row>
    <row r="28" ht="45" customHeight="1" spans="2:8" x14ac:dyDescent="0.25">
      <c r="B28" s="51" t="s">
        <v>191</v>
      </c>
      <c r="C28" s="56" t="s">
        <v>192</v>
      </c>
      <c r="D28" s="53" t="s">
        <v>193</v>
      </c>
      <c r="E28" s="53"/>
      <c r="F28" s="54" t="s">
        <v>194</v>
      </c>
      <c r="G28" s="54"/>
      <c r="H28" s="54"/>
    </row>
    <row r="29" ht="45" customHeight="1" spans="2:8" x14ac:dyDescent="0.25">
      <c r="B29" s="51" t="s">
        <v>195</v>
      </c>
      <c r="C29" s="52" t="s">
        <v>181</v>
      </c>
      <c r="D29" s="53" t="s">
        <v>196</v>
      </c>
      <c r="E29" s="53"/>
      <c r="F29" s="54" t="s">
        <v>197</v>
      </c>
      <c r="G29" s="54"/>
      <c r="H29" s="54"/>
    </row>
    <row r="30" ht="45" customHeight="1" spans="2:8" x14ac:dyDescent="0.25">
      <c r="B30" s="51" t="s">
        <v>198</v>
      </c>
      <c r="C30" s="56" t="s">
        <v>192</v>
      </c>
      <c r="D30" s="53" t="s">
        <v>199</v>
      </c>
      <c r="E30" s="53"/>
      <c r="F30" s="54" t="s">
        <v>200</v>
      </c>
      <c r="G30" s="54"/>
      <c r="H30" s="54"/>
    </row>
    <row r="31" ht="45" customHeight="1" spans="2:8" x14ac:dyDescent="0.25">
      <c r="B31" s="51" t="s">
        <v>201</v>
      </c>
      <c r="C31" s="52" t="s">
        <v>181</v>
      </c>
      <c r="D31" s="53" t="s">
        <v>202</v>
      </c>
      <c r="E31" s="53"/>
      <c r="F31" s="54" t="s">
        <v>203</v>
      </c>
      <c r="G31" s="54"/>
      <c r="H31" s="54"/>
    </row>
    <row r="33" spans="2:6" x14ac:dyDescent="0.25">
      <c r="B33" s="51" t="s">
        <v>39</v>
      </c>
      <c r="C33" s="28" t="s">
        <v>204</v>
      </c>
      <c r="D33" s="28"/>
      <c r="E33" s="28"/>
      <c r="F33" s="28"/>
    </row>
    <row r="35" spans="2:8" x14ac:dyDescent="0.25">
      <c r="B35" s="57" t="s">
        <v>205</v>
      </c>
      <c r="C35" s="57"/>
      <c r="D35" s="57"/>
      <c r="E35" s="57"/>
      <c r="F35" s="57"/>
      <c r="G35" s="57"/>
      <c r="H35" s="5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2026-03-26T12:50:33Z</dcterms:created>
  <dcterms:modified xsi:type="dcterms:W3CDTF">2026-03-26T12:50:33Z</dcterms:modified>
</cp:coreProperties>
</file>