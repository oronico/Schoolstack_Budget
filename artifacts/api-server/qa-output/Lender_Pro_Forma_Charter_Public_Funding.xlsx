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<sst xmlns="http://schemas.openxmlformats.org/spreadsheetml/2006/main" count="279" uniqueCount="223">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</sst>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8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168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169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170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171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5">
        <v>-0.3059455330595525</v>
      </c>
      <c r="D14" s="45">
        <v>-0.10427042130500674</v>
      </c>
      <c r="E14" s="45">
        <v>-0.046066008479458874</v>
      </c>
      <c r="F14" s="45">
        <v>-0.16504185604249857</v>
      </c>
      <c r="G14" s="45">
        <v>-0.44816260261601254</v>
      </c>
    </row>
    <row r="15" spans="2:8" x14ac:dyDescent="0.25">
      <c r="B15" s="28" t="s">
        <v>172</v>
      </c>
      <c r="C15" s="46">
        <v>12883.333333333334</v>
      </c>
      <c r="D15" s="46">
        <v>12689</v>
      </c>
      <c r="E15" s="46">
        <v>12716.203333333333</v>
      </c>
      <c r="F15" s="46">
        <v>12878.376766666668</v>
      </c>
      <c r="G15" s="46">
        <v>13110.622483</v>
      </c>
      <c r="H15" s="47" t="s">
        <v>173</v>
      </c>
    </row>
    <row r="16" spans="2:7" x14ac:dyDescent="0.25">
      <c r="B16" s="28" t="s">
        <v>174</v>
      </c>
      <c r="C16" s="32">
        <v>16824.9316175839</v>
      </c>
      <c r="D16" s="32">
        <v>14012.08737593923</v>
      </c>
      <c r="E16" s="32">
        <v>13301.98806391319</v>
      </c>
      <c r="F16" s="32">
        <v>15003.847971051926</v>
      </c>
      <c r="G16" s="32">
        <v>18986.313176897285</v>
      </c>
    </row>
    <row r="17" spans="2:7" x14ac:dyDescent="0.25">
      <c r="B17" s="25" t="s">
        <v>175</v>
      </c>
      <c r="C17" s="27">
        <v>700</v>
      </c>
      <c r="D17" s="27">
        <v>1201.6666666666667</v>
      </c>
      <c r="E17" s="27">
        <v>2062.8611111111118</v>
      </c>
      <c r="F17" s="27">
        <v>3541.244907407408</v>
      </c>
      <c r="G17" s="27">
        <v>6079.137091049384</v>
      </c>
    </row>
    <row r="18" spans="2:8" x14ac:dyDescent="0.25">
      <c r="B18" s="25" t="s">
        <v>176</v>
      </c>
      <c r="C18" s="48">
        <v>2350</v>
      </c>
      <c r="D18" s="46">
        <v>1452.3</v>
      </c>
      <c r="E18" s="46">
        <v>997.246</v>
      </c>
      <c r="F18" s="46">
        <v>821.7307040000001</v>
      </c>
      <c r="G18" s="46">
        <v>793.4837110500001</v>
      </c>
      <c r="H18" s="47" t="s">
        <v>177</v>
      </c>
    </row>
    <row r="19" spans="2:7" x14ac:dyDescent="0.25">
      <c r="B19" s="28" t="s">
        <v>178</v>
      </c>
      <c r="C19" s="36">
        <v>-3941.5982842505687</v>
      </c>
      <c r="D19" s="36">
        <v>-1323.0873759392305</v>
      </c>
      <c r="E19" s="36">
        <v>-585.7847305798565</v>
      </c>
      <c r="F19" s="36">
        <v>-2125.4712043852587</v>
      </c>
      <c r="G19" s="36">
        <v>-5875.690693897288</v>
      </c>
    </row>
    <row r="20" spans="2:8" x14ac:dyDescent="0.25">
      <c r="B20" s="28" t="s">
        <v>179</v>
      </c>
      <c r="C20" s="45">
        <v>0.7763047793589191</v>
      </c>
      <c r="D20" s="45">
        <v>0.6515878070113221</v>
      </c>
      <c r="E20" s="49">
        <v>0.5752710583855843</v>
      </c>
      <c r="F20" s="49">
        <v>0.5597527709991174</v>
      </c>
      <c r="G20" s="49">
        <v>0.5557873295275215</v>
      </c>
      <c r="H20" s="47" t="s">
        <v>180</v>
      </c>
    </row>
    <row r="21" spans="2:8" x14ac:dyDescent="0.25">
      <c r="B21" s="28" t="s">
        <v>181</v>
      </c>
      <c r="C21" s="49">
        <v>0.18240620957309184</v>
      </c>
      <c r="D21" s="50">
        <v>0.11445346362991568</v>
      </c>
      <c r="E21" s="50">
        <v>0.07842325054569485</v>
      </c>
      <c r="F21" s="50">
        <v>0.06380700913541373</v>
      </c>
      <c r="G21" s="50">
        <v>0.06052219961934512</v>
      </c>
      <c r="H21" s="47" t="s">
        <v>182</v>
      </c>
    </row>
    <row r="22" spans="2:8" x14ac:dyDescent="0.25">
      <c r="B22" s="28" t="s">
        <v>124</v>
      </c>
      <c r="C22" s="45">
        <v>-0.19933194624119585</v>
      </c>
      <c r="D22" s="45">
        <v>-0.039322590419523434</v>
      </c>
      <c r="E22" s="45">
        <v>-0.0028600816524580494</v>
      </c>
      <c r="F22" s="45">
        <v>-0.13091237772754036</v>
      </c>
      <c r="G22" s="45">
        <v>-0.4167330108031714</v>
      </c>
      <c r="H22" s="47" t="s">
        <v>183</v>
      </c>
    </row>
    <row r="23" spans="2:8" x14ac:dyDescent="0.25">
      <c r="B23" s="28" t="s">
        <v>184</v>
      </c>
      <c r="C23" s="51">
        <v>3</v>
      </c>
      <c r="D23" s="51">
        <v>3</v>
      </c>
      <c r="E23" s="51">
        <v>3</v>
      </c>
      <c r="F23" s="51">
        <v>3</v>
      </c>
      <c r="G23" s="51">
        <v>3</v>
      </c>
      <c r="H23" s="47" t="s">
        <v>185</v>
      </c>
    </row>
    <row r="24" spans="2:8" x14ac:dyDescent="0.25">
      <c r="B24" s="28" t="s">
        <v>186</v>
      </c>
      <c r="C24" s="52">
        <v>-1.8696673865856184</v>
      </c>
      <c r="D24" s="52">
        <v>-0.6054488638559378</v>
      </c>
      <c r="E24" s="52">
        <v>-0.06619651197184098</v>
      </c>
      <c r="F24" s="52">
        <v>-3.8357567765741165</v>
      </c>
      <c r="G24" s="52">
        <v>-13.259256222122064</v>
      </c>
      <c r="H24" s="47" t="s">
        <v>187</v>
      </c>
    </row>
    <row r="25" spans="2:8" x14ac:dyDescent="0.25">
      <c r="B25" s="28" t="s">
        <v>188</v>
      </c>
      <c r="C25" s="53" t="str">
        <f>IF('5-Year P&amp;L'!C24&gt;=0,"✓ Break-even","")</f>
        <v>0</v>
      </c>
      <c r="D25" s="53" t="str">
        <f>IF(AND('5-Year P&amp;L'!D24&gt;=0,'5-Year P&amp;L'!C24&lt;0),"✓ Break-even","")</f>
        <v>0</v>
      </c>
      <c r="E25" s="53" t="str">
        <f>IF(AND('5-Year P&amp;L'!E24&gt;=0,'5-Year P&amp;L'!D24&lt;0),"✓ Break-even","")</f>
        <v>0</v>
      </c>
      <c r="F25" s="53" t="str">
        <f>IF(AND('5-Year P&amp;L'!F24&gt;=0,'5-Year P&amp;L'!E24&lt;0),"✓ Break-even","")</f>
        <v>0</v>
      </c>
      <c r="G25" s="53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4">
        <v>-3</v>
      </c>
      <c r="D26" s="54">
        <v>-3</v>
      </c>
      <c r="E26" s="54">
        <v>-3</v>
      </c>
      <c r="F26" s="54">
        <v>-4</v>
      </c>
      <c r="G26" s="54">
        <v>-6</v>
      </c>
      <c r="H26" s="47" t="s">
        <v>190</v>
      </c>
    </row>
    <row r="27" spans="2:8" x14ac:dyDescent="0.25">
      <c r="B27" s="28" t="s">
        <v>191</v>
      </c>
      <c r="C27" s="54">
        <v>0</v>
      </c>
      <c r="D27" s="54">
        <v>0</v>
      </c>
      <c r="E27" s="54">
        <v>0</v>
      </c>
      <c r="F27" s="54">
        <v>0</v>
      </c>
      <c r="G27" s="54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5" t="s">
        <v>197</v>
      </c>
      <c r="C30" s="56" t="s">
        <v>198</v>
      </c>
      <c r="D30" s="57" t="s">
        <v>199</v>
      </c>
      <c r="E30" s="57"/>
      <c r="F30" s="58" t="s">
        <v>200</v>
      </c>
      <c r="G30" s="58"/>
      <c r="H30" s="58"/>
    </row>
    <row r="31" ht="45" customHeight="1" spans="2:8" x14ac:dyDescent="0.25">
      <c r="B31" s="55" t="s">
        <v>201</v>
      </c>
      <c r="C31" s="56" t="s">
        <v>198</v>
      </c>
      <c r="D31" s="57" t="s">
        <v>202</v>
      </c>
      <c r="E31" s="57"/>
      <c r="F31" s="58" t="s">
        <v>203</v>
      </c>
      <c r="G31" s="58"/>
      <c r="H31" s="58"/>
    </row>
    <row r="32" ht="45" customHeight="1" spans="2:8" x14ac:dyDescent="0.25">
      <c r="B32" s="55" t="s">
        <v>204</v>
      </c>
      <c r="C32" s="59" t="s">
        <v>205</v>
      </c>
      <c r="D32" s="57" t="s">
        <v>206</v>
      </c>
      <c r="E32" s="57"/>
      <c r="F32" s="58" t="s">
        <v>207</v>
      </c>
      <c r="G32" s="58"/>
      <c r="H32" s="58"/>
    </row>
    <row r="33" ht="45" customHeight="1" spans="2:8" x14ac:dyDescent="0.25">
      <c r="B33" s="55" t="s">
        <v>208</v>
      </c>
      <c r="C33" s="60" t="s">
        <v>209</v>
      </c>
      <c r="D33" s="57" t="s">
        <v>210</v>
      </c>
      <c r="E33" s="57"/>
      <c r="F33" s="58" t="s">
        <v>211</v>
      </c>
      <c r="G33" s="58"/>
      <c r="H33" s="58"/>
    </row>
    <row r="34" ht="45" customHeight="1" spans="2:8" x14ac:dyDescent="0.25">
      <c r="B34" s="55" t="s">
        <v>212</v>
      </c>
      <c r="C34" s="56" t="s">
        <v>198</v>
      </c>
      <c r="D34" s="57" t="s">
        <v>213</v>
      </c>
      <c r="E34" s="57"/>
      <c r="F34" s="58" t="s">
        <v>214</v>
      </c>
      <c r="G34" s="58"/>
      <c r="H34" s="58"/>
    </row>
    <row r="35" ht="45" customHeight="1" spans="2:8" x14ac:dyDescent="0.25">
      <c r="B35" s="55" t="s">
        <v>215</v>
      </c>
      <c r="C35" s="60" t="s">
        <v>209</v>
      </c>
      <c r="D35" s="57" t="s">
        <v>216</v>
      </c>
      <c r="E35" s="57"/>
      <c r="F35" s="58" t="s">
        <v>217</v>
      </c>
      <c r="G35" s="58"/>
      <c r="H35" s="58"/>
    </row>
    <row r="36" ht="45" customHeight="1" spans="2:8" x14ac:dyDescent="0.25">
      <c r="B36" s="55" t="s">
        <v>218</v>
      </c>
      <c r="C36" s="56" t="s">
        <v>198</v>
      </c>
      <c r="D36" s="57" t="s">
        <v>219</v>
      </c>
      <c r="E36" s="57"/>
      <c r="F36" s="58" t="s">
        <v>220</v>
      </c>
      <c r="G36" s="58"/>
      <c r="H36" s="58"/>
    </row>
    <row r="38" spans="2:6" x14ac:dyDescent="0.25">
      <c r="B38" s="55" t="s">
        <v>39</v>
      </c>
      <c r="C38" s="28" t="s">
        <v>221</v>
      </c>
      <c r="D38" s="28"/>
      <c r="E38" s="28"/>
      <c r="F38" s="28"/>
    </row>
    <row r="40" spans="2:8" x14ac:dyDescent="0.25">
      <c r="B40" s="61" t="s">
        <v>222</v>
      </c>
      <c r="C40" s="61"/>
      <c r="D40" s="61"/>
      <c r="E40" s="61"/>
      <c r="F40" s="61"/>
      <c r="G40" s="61"/>
      <c r="H40" s="6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