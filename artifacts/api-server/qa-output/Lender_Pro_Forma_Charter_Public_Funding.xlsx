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<sst xmlns="http://schemas.openxmlformats.org/spreadsheetml/2006/main" count="282" uniqueCount="226">
  <si>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</si>
  <si>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Civic Scholars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</si>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</sst>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0.95</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f>'Cash Flow &amp; DSCR'!C9</f>
        <v>164824.60522118</v>
      </c>
      <c r="D19" s="27">
        <f>'Cash Flow &amp; DSCR'!D9</f>
        <v>164824.60522118</v>
      </c>
      <c r="E19" s="27">
        <f>'Cash Flow &amp; DSCR'!E9</f>
        <v>164824.60522118</v>
      </c>
      <c r="F19" s="27">
        <f>'Cash Flow &amp; DSCR'!F9</f>
        <v>164824.60522118</v>
      </c>
      <c r="G19" s="27">
        <f>'Cash Flow &amp; DSCR'!G9</f>
        <v>164824.60522118</v>
      </c>
    </row>
    <row r="21" spans="2:7" x14ac:dyDescent="0.25">
      <c r="B21" s="28" t="s">
        <v>126</v>
      </c>
      <c r="C21" s="30">
        <f>C16-C19</f>
        <v>-472991.79411007</v>
      </c>
      <c r="D21" s="30">
        <f>D16-D19</f>
        <v>-264617.47518785</v>
      </c>
      <c r="E21" s="30">
        <f>E16-E19</f>
        <v>-175735.41917396</v>
      </c>
      <c r="F21" s="30">
        <f>F16-F19</f>
        <v>-797051.70164447</v>
      </c>
      <c r="G21" s="30">
        <f>G16-G19</f>
        <v>-2350276.27755892</v>
      </c>
    </row>
    <row r="22" spans="2:7" x14ac:dyDescent="0.25">
      <c r="B22" s="25" t="s">
        <v>127</v>
      </c>
      <c r="C22" s="31">
        <f>IF(C10&gt;0,C21/C10,0)</f>
        <v>-0.30594553</v>
      </c>
      <c r="D22" s="31">
        <f>IF(D10&gt;0,D21/D10,0)</f>
        <v>-0.10427042</v>
      </c>
      <c r="E22" s="31">
        <f>IF(E10&gt;0,E21/E10,0)</f>
        <v>-0.04606601</v>
      </c>
      <c r="F22" s="31">
        <f>IF(F10&gt;0,F21/F10,0)</f>
        <v>-0.16504186</v>
      </c>
      <c r="G22" s="31">
        <f>IF(G10&gt;0,G21/G10,0)</f>
        <v>-0.4481626</v>
      </c>
    </row>
    <row r="24" spans="2:7" x14ac:dyDescent="0.25">
      <c r="B24" s="28" t="s">
        <v>128</v>
      </c>
      <c r="C24" s="32">
        <f>C21</f>
        <v>-472991.79411007</v>
      </c>
      <c r="D24" s="32">
        <f>C24+D21</f>
        <v>-737609.26929791</v>
      </c>
      <c r="E24" s="32">
        <f>D24+E21</f>
        <v>-913344.68847187</v>
      </c>
      <c r="F24" s="32">
        <f>E24+F21</f>
        <v>-1710396.39011634</v>
      </c>
      <c r="G24" s="32">
        <f>F24+G21</f>
        <v>-4060672.66767526</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-472991.79411007</v>
      </c>
      <c r="E4" s="32">
        <f>D16</f>
        <v>-737609.26929791</v>
      </c>
      <c r="F4" s="32">
        <f>E16</f>
        <v>-913344.68847187</v>
      </c>
      <c r="G4" s="32">
        <f>F16</f>
        <v>-1710396.39011634</v>
      </c>
    </row>
    <row r="5" spans="2:7" x14ac:dyDescent="0.25">
      <c r="B5" s="25" t="s">
        <v>132</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133</v>
      </c>
      <c r="C7" s="27">
        <f>Assumptions!D58</f>
        <v>115000</v>
      </c>
      <c r="D7" s="27">
        <f>Assumptions!D58</f>
        <v>115000</v>
      </c>
      <c r="E7" s="27">
        <f>Assumptions!D58</f>
        <v>115000</v>
      </c>
      <c r="F7" s="27">
        <f>Assumptions!D58</f>
        <v>115000</v>
      </c>
      <c r="G7" s="27">
        <f>Assumptions!D58</f>
        <v>115000</v>
      </c>
    </row>
    <row r="8" spans="2:7" x14ac:dyDescent="0.25">
      <c r="B8" s="25" t="s">
        <v>134</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135</v>
      </c>
      <c r="C9" s="29">
        <f>C7+C8</f>
        <v>164824.60522118</v>
      </c>
      <c r="D9" s="29">
        <f>D7+D8</f>
        <v>164824.60522118</v>
      </c>
      <c r="E9" s="29">
        <f>E7+E8</f>
        <v>164824.60522118</v>
      </c>
      <c r="F9" s="29">
        <f>F7+F8</f>
        <v>164824.60522118</v>
      </c>
      <c r="G9" s="29">
        <f>G7+G8</f>
        <v>164824.60522118</v>
      </c>
    </row>
    <row r="11" spans="2:7" x14ac:dyDescent="0.25">
      <c r="B11" s="28" t="s">
        <v>136</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137</v>
      </c>
      <c r="C13" s="27">
        <f>C5-C9</f>
        <v>-472991.79411007</v>
      </c>
      <c r="D13" s="27">
        <f>D5-D9</f>
        <v>-264617.47518785</v>
      </c>
      <c r="E13" s="27">
        <f>E5-E9</f>
        <v>-175735.41917396</v>
      </c>
      <c r="F13" s="27">
        <f>F5-F9</f>
        <v>-797051.70164447</v>
      </c>
      <c r="G13" s="27">
        <f>G5-G9</f>
        <v>-2350276.27755892</v>
      </c>
    </row>
    <row r="14" spans="2:7" x14ac:dyDescent="0.25">
      <c r="B14" s="28" t="s">
        <v>138</v>
      </c>
      <c r="C14" s="32">
        <f>C5-C9</f>
        <v>-472991.79411007</v>
      </c>
      <c r="D14" s="32">
        <f>D5-D9</f>
        <v>-264617.47518785</v>
      </c>
      <c r="E14" s="32">
        <f>E5-E9</f>
        <v>-175735.41917396</v>
      </c>
      <c r="F14" s="32">
        <f>F5-F9</f>
        <v>-797051.70164447</v>
      </c>
      <c r="G14" s="32">
        <f>G5-G9</f>
        <v>-2350276.27755892</v>
      </c>
    </row>
    <row r="16" spans="2:7" x14ac:dyDescent="0.25">
      <c r="B16" s="28" t="s">
        <v>139</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17</v>
      </c>
      <c r="E4" s="26">
        <f>Drivers!E12</f>
        <v>25</v>
      </c>
      <c r="F4" s="26">
        <f>Drivers!F12</f>
        <v>32</v>
      </c>
      <c r="G4" s="26">
        <f>Drivers!G12</f>
        <v>34</v>
      </c>
    </row>
    <row r="5" spans="2:7" x14ac:dyDescent="0.25">
      <c r="B5" s="25" t="s">
        <v>142</v>
      </c>
      <c r="C5" s="26">
        <f>Assumptions!D35</f>
        <v>7</v>
      </c>
      <c r="D5" s="26">
        <f>Assumptions!D36</f>
        <v>7</v>
      </c>
      <c r="E5" s="26">
        <f>Assumptions!D37</f>
        <v>7</v>
      </c>
      <c r="F5" s="26">
        <f>Assumptions!D38</f>
        <v>7</v>
      </c>
      <c r="G5" s="26">
        <f>Assumptions!D39</f>
        <v>7</v>
      </c>
    </row>
    <row r="6" spans="2:7" x14ac:dyDescent="0.25">
      <c r="B6" s="28" t="s">
        <v>143</v>
      </c>
      <c r="C6" s="35">
        <f>C4+C5</f>
        <v>17</v>
      </c>
      <c r="D6" s="35">
        <f>D4+D5</f>
        <v>24</v>
      </c>
      <c r="E6" s="35">
        <f>E4+E5</f>
        <v>32</v>
      </c>
      <c r="F6" s="35">
        <f>F4+F5</f>
        <v>39</v>
      </c>
      <c r="G6" s="35">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500000</v>
      </c>
    </row>
    <row r="4" spans="2:3" x14ac:dyDescent="0.25">
      <c r="B4" s="25" t="s">
        <v>146</v>
      </c>
      <c r="C4" s="31">
        <f>Assumptions!D60</f>
        <v>0.0575</v>
      </c>
    </row>
    <row r="5" spans="2:3" x14ac:dyDescent="0.25">
      <c r="B5" s="25" t="s">
        <v>94</v>
      </c>
      <c r="C5" s="26">
        <f>Assumptions!D61</f>
        <v>15</v>
      </c>
    </row>
    <row r="6" spans="2:3" x14ac:dyDescent="0.25">
      <c r="B6" s="25" t="s">
        <v>147</v>
      </c>
      <c r="C6" s="32">
        <f>IF(Assumptions!D59&gt;0,PMT(Assumptions!D60/12,Assumptions!D61*12,-Assumptions!D59)*12,0)</f>
        <v>49824.60522118</v>
      </c>
    </row>
    <row r="8" spans="2:3" x14ac:dyDescent="0.25">
      <c r="B8" s="25" t="s">
        <v>148</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150</v>
      </c>
      <c r="C6" s="25">
        <f>Assumptions!D8</f>
        <v>2026</v>
      </c>
    </row>
    <row r="8" spans="2:3" x14ac:dyDescent="0.25">
      <c r="B8" s="25" t="s">
        <v>57</v>
      </c>
      <c r="C8" s="26">
        <f>Assumptions!D16</f>
        <v>400</v>
      </c>
    </row>
    <row r="9" spans="2:3" x14ac:dyDescent="0.25">
      <c r="B9" s="25" t="s">
        <v>151</v>
      </c>
      <c r="C9" s="27">
        <f>Drivers!G10</f>
        <v>5244248.9932</v>
      </c>
    </row>
    <row r="10" spans="2:3" x14ac:dyDescent="0.25">
      <c r="B10" s="25" t="s">
        <v>152</v>
      </c>
      <c r="C10" s="36">
        <f>'5-Year P&amp;L'!G16</f>
        <v>-2185451.67233774</v>
      </c>
    </row>
    <row r="12" ht="24" customHeight="1" spans="2:3" x14ac:dyDescent="0.25">
      <c r="B12" s="37" t="s">
        <v>153</v>
      </c>
      <c r="C12" s="23"/>
    </row>
    <row r="13" spans="2:3" x14ac:dyDescent="0.25">
      <c r="B13" s="25" t="s">
        <v>154</v>
      </c>
      <c r="C13" s="38">
        <f>IF(Drivers!G10&gt;0,'5-Year P&amp;L'!G21/Drivers!G10,0)</f>
        <v>-0.4481626</v>
      </c>
    </row>
    <row r="14" spans="2:3" x14ac:dyDescent="0.25">
      <c r="B14" s="25" t="s">
        <v>155</v>
      </c>
      <c r="C14" s="31">
        <f>IF(Drivers!G10&gt;0,Drivers!G16/Drivers!G10,0)</f>
        <v>0.55578733</v>
      </c>
    </row>
    <row r="15" spans="2:3" x14ac:dyDescent="0.25">
      <c r="B15" s="25" t="s">
        <v>156</v>
      </c>
      <c r="C15" s="27">
        <f>IF(Assumptions!D16&gt;0,Drivers!G10/Assumptions!D16,0)</f>
        <v>13111</v>
      </c>
    </row>
    <row r="16" spans="2:3" x14ac:dyDescent="0.25">
      <c r="B16" s="25" t="s">
        <v>157</v>
      </c>
      <c r="C16" s="27">
        <f>IF(Assumptions!D16&gt;0,('5-Year P&amp;L'!G12+'5-Year P&amp;L'!G13)/Assumptions!D16,0)</f>
        <v>18574</v>
      </c>
    </row>
    <row r="17" spans="2:3" x14ac:dyDescent="0.25">
      <c r="B17" s="25" t="s">
        <v>158</v>
      </c>
      <c r="C17" s="34">
        <f>'Cash Flow &amp; DSCR'!C11</f>
        <v>-1.86966739</v>
      </c>
    </row>
    <row r="18" spans="2:3" x14ac:dyDescent="0.25">
      <c r="B18" s="25" t="s">
        <v>159</v>
      </c>
      <c r="C18" s="34">
        <f>'Cash Flow &amp; DSCR'!G11</f>
        <v>-13.25925622</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120</v>
      </c>
      <c r="D7" s="26">
        <v>200</v>
      </c>
      <c r="E7" s="26">
        <v>300</v>
      </c>
      <c r="F7" s="26">
        <v>375</v>
      </c>
      <c r="G7" s="26">
        <v>400</v>
      </c>
    </row>
    <row r="8" spans="2:7" x14ac:dyDescent="0.25">
      <c r="B8" s="25" t="s">
        <v>171</v>
      </c>
      <c r="C8" s="27">
        <v>1546000</v>
      </c>
      <c r="D8" s="27">
        <v>2537800</v>
      </c>
      <c r="E8" s="27">
        <v>3814861</v>
      </c>
      <c r="F8" s="27">
        <v>4829391.287500001</v>
      </c>
      <c r="G8" s="27">
        <v>5244248.993199999</v>
      </c>
    </row>
    <row r="9" spans="2:7" x14ac:dyDescent="0.25">
      <c r="B9" s="25" t="s">
        <v>172</v>
      </c>
      <c r="C9" s="27">
        <v>1200167.1888888888</v>
      </c>
      <c r="D9" s="27">
        <v>1653599.5366333332</v>
      </c>
      <c r="E9" s="27">
        <v>2194579.1250638887</v>
      </c>
      <c r="F9" s="27">
        <v>2703265.15541712</v>
      </c>
      <c r="G9" s="27">
        <v>2914687.143308021</v>
      </c>
    </row>
    <row r="10" spans="2:7" x14ac:dyDescent="0.25">
      <c r="B10" s="25" t="s">
        <v>173</v>
      </c>
      <c r="C10" s="27">
        <v>654000</v>
      </c>
      <c r="D10" s="27">
        <v>983993.3333333334</v>
      </c>
      <c r="E10" s="27">
        <v>1631192.688888889</v>
      </c>
      <c r="F10" s="27">
        <v>2758353.228506173</v>
      </c>
      <c r="G10" s="27">
        <v>4515013.522229714</v>
      </c>
    </row>
    <row r="11" spans="2:7" x14ac:dyDescent="0.25">
      <c r="B11" s="25" t="s">
        <v>174</v>
      </c>
      <c r="C11" s="27">
        <v>164824.60522117943</v>
      </c>
      <c r="D11" s="27">
        <v>164824.60522117943</v>
      </c>
      <c r="E11" s="27">
        <v>164824.60522117943</v>
      </c>
      <c r="F11" s="27">
        <v>164824.60522117943</v>
      </c>
      <c r="G11" s="27">
        <v>164824.60522117943</v>
      </c>
    </row>
    <row r="12" spans="2:7" x14ac:dyDescent="0.25">
      <c r="B12" s="28" t="s">
        <v>126</v>
      </c>
      <c r="C12" s="30">
        <v>-472991.79411006824</v>
      </c>
      <c r="D12" s="30">
        <v>-264617.4751878461</v>
      </c>
      <c r="E12" s="30">
        <v>-175735.41917395697</v>
      </c>
      <c r="F12" s="30">
        <v>-797051.701644472</v>
      </c>
      <c r="G12" s="30">
        <v>-2350276.2775589153</v>
      </c>
    </row>
    <row r="13" spans="2:7" x14ac:dyDescent="0.25">
      <c r="B13" s="28" t="s">
        <v>139</v>
      </c>
      <c r="C13" s="30">
        <v>-472991.79411006824</v>
      </c>
      <c r="D13" s="30">
        <v>-737609.2692979143</v>
      </c>
      <c r="E13" s="30">
        <v>-913344.6884718713</v>
      </c>
      <c r="F13" s="30">
        <v>-1710396.3901163433</v>
      </c>
      <c r="G13" s="30">
        <v>-4060672.6676752586</v>
      </c>
    </row>
    <row r="14" spans="2:7" x14ac:dyDescent="0.25">
      <c r="B14" s="28" t="s">
        <v>127</v>
      </c>
      <c r="C14" s="47">
        <v>-0.3059455330595525</v>
      </c>
      <c r="D14" s="47">
        <v>-0.10427042130500674</v>
      </c>
      <c r="E14" s="47">
        <v>-0.046066008479458874</v>
      </c>
      <c r="F14" s="47">
        <v>-0.16504185604249857</v>
      </c>
      <c r="G14" s="47">
        <v>-0.44816260261601254</v>
      </c>
    </row>
    <row r="15" spans="2:8" x14ac:dyDescent="0.25">
      <c r="B15" s="28" t="s">
        <v>175</v>
      </c>
      <c r="C15" s="48">
        <v>12883.333333333334</v>
      </c>
      <c r="D15" s="48">
        <v>12689</v>
      </c>
      <c r="E15" s="48">
        <v>12716.203333333333</v>
      </c>
      <c r="F15" s="48">
        <v>12878.376766666668</v>
      </c>
      <c r="G15" s="48">
        <v>13110.622483</v>
      </c>
      <c r="H15" s="49" t="s">
        <v>176</v>
      </c>
    </row>
    <row r="16" spans="2:7" x14ac:dyDescent="0.25">
      <c r="B16" s="28" t="s">
        <v>177</v>
      </c>
      <c r="C16" s="32">
        <v>16824.9316175839</v>
      </c>
      <c r="D16" s="32">
        <v>14012.08737593923</v>
      </c>
      <c r="E16" s="32">
        <v>13301.98806391319</v>
      </c>
      <c r="F16" s="32">
        <v>15003.847971051926</v>
      </c>
      <c r="G16" s="32">
        <v>18986.313176897285</v>
      </c>
    </row>
    <row r="17" spans="2:7" x14ac:dyDescent="0.25">
      <c r="B17" s="25" t="s">
        <v>178</v>
      </c>
      <c r="C17" s="27">
        <v>700</v>
      </c>
      <c r="D17" s="27">
        <v>1201.6666666666667</v>
      </c>
      <c r="E17" s="27">
        <v>2062.8611111111118</v>
      </c>
      <c r="F17" s="27">
        <v>3541.244907407408</v>
      </c>
      <c r="G17" s="27">
        <v>6079.137091049384</v>
      </c>
    </row>
    <row r="18" spans="2:8" x14ac:dyDescent="0.25">
      <c r="B18" s="25" t="s">
        <v>179</v>
      </c>
      <c r="C18" s="50">
        <v>2350</v>
      </c>
      <c r="D18" s="48">
        <v>1452.3</v>
      </c>
      <c r="E18" s="48">
        <v>997.246</v>
      </c>
      <c r="F18" s="48">
        <v>821.7307040000001</v>
      </c>
      <c r="G18" s="48">
        <v>793.4837110500001</v>
      </c>
      <c r="H18" s="49" t="s">
        <v>180</v>
      </c>
    </row>
    <row r="19" spans="2:7" x14ac:dyDescent="0.25">
      <c r="B19" s="28" t="s">
        <v>181</v>
      </c>
      <c r="C19" s="36">
        <v>-3941.5982842505687</v>
      </c>
      <c r="D19" s="36">
        <v>-1323.0873759392305</v>
      </c>
      <c r="E19" s="36">
        <v>-585.7847305798565</v>
      </c>
      <c r="F19" s="36">
        <v>-2125.4712043852587</v>
      </c>
      <c r="G19" s="36">
        <v>-5875.690693897288</v>
      </c>
    </row>
    <row r="20" spans="2:8" x14ac:dyDescent="0.25">
      <c r="B20" s="28" t="s">
        <v>182</v>
      </c>
      <c r="C20" s="47">
        <v>0.7763047793589191</v>
      </c>
      <c r="D20" s="47">
        <v>0.6515878070113221</v>
      </c>
      <c r="E20" s="51">
        <v>0.5752710583855843</v>
      </c>
      <c r="F20" s="51">
        <v>0.5597527709991174</v>
      </c>
      <c r="G20" s="51">
        <v>0.5557873295275215</v>
      </c>
      <c r="H20" s="49" t="s">
        <v>183</v>
      </c>
    </row>
    <row r="21" spans="2:8" x14ac:dyDescent="0.25">
      <c r="B21" s="28" t="s">
        <v>184</v>
      </c>
      <c r="C21" s="51">
        <v>0.18240620957309184</v>
      </c>
      <c r="D21" s="52">
        <v>0.11445346362991568</v>
      </c>
      <c r="E21" s="52">
        <v>0.07842325054569485</v>
      </c>
      <c r="F21" s="52">
        <v>0.06380700913541373</v>
      </c>
      <c r="G21" s="52">
        <v>0.06052219961934512</v>
      </c>
      <c r="H21" s="49" t="s">
        <v>185</v>
      </c>
    </row>
    <row r="22" spans="2:8" x14ac:dyDescent="0.25">
      <c r="B22" s="28" t="s">
        <v>124</v>
      </c>
      <c r="C22" s="47">
        <v>-0.19933194624119585</v>
      </c>
      <c r="D22" s="47">
        <v>-0.039322590419523434</v>
      </c>
      <c r="E22" s="47">
        <v>-0.0028600816524580494</v>
      </c>
      <c r="F22" s="47">
        <v>-0.13091237772754036</v>
      </c>
      <c r="G22" s="47">
        <v>-0.4167330108031714</v>
      </c>
      <c r="H22" s="49" t="s">
        <v>186</v>
      </c>
    </row>
    <row r="23" spans="2:8" x14ac:dyDescent="0.25">
      <c r="B23" s="28" t="s">
        <v>187</v>
      </c>
      <c r="C23" s="53">
        <v>3</v>
      </c>
      <c r="D23" s="53">
        <v>3</v>
      </c>
      <c r="E23" s="53">
        <v>3</v>
      </c>
      <c r="F23" s="53">
        <v>3</v>
      </c>
      <c r="G23" s="53">
        <v>3</v>
      </c>
      <c r="H23" s="49" t="s">
        <v>188</v>
      </c>
    </row>
    <row r="24" spans="2:8" x14ac:dyDescent="0.25">
      <c r="B24" s="28" t="s">
        <v>189</v>
      </c>
      <c r="C24" s="54">
        <v>-1.8696673865856184</v>
      </c>
      <c r="D24" s="54">
        <v>-0.6054488638559378</v>
      </c>
      <c r="E24" s="54">
        <v>-0.06619651197184098</v>
      </c>
      <c r="F24" s="54">
        <v>-3.8357567765741165</v>
      </c>
      <c r="G24" s="54">
        <v>-13.259256222122064</v>
      </c>
      <c r="H24" s="49" t="s">
        <v>190</v>
      </c>
    </row>
    <row r="25" spans="2:8" x14ac:dyDescent="0.25">
      <c r="B25" s="28" t="s">
        <v>191</v>
      </c>
      <c r="C25" s="55" t="str">
        <f>IF('5-Year P&amp;L'!C24&gt;=0,"✓ Break-even","")</f>
        <v>0</v>
      </c>
      <c r="D25" s="55" t="str">
        <f>IF(AND('5-Year P&amp;L'!D24&gt;=0,'5-Year P&amp;L'!C24&lt;0),"✓ Break-even","")</f>
        <v>0</v>
      </c>
      <c r="E25" s="55" t="str">
        <f>IF(AND('5-Year P&amp;L'!E24&gt;=0,'5-Year P&amp;L'!D24&lt;0),"✓ Break-even","")</f>
        <v>0</v>
      </c>
      <c r="F25" s="55" t="str">
        <f>IF(AND('5-Year P&amp;L'!F24&gt;=0,'5-Year P&amp;L'!E24&lt;0),"✓ Break-even","")</f>
        <v>0</v>
      </c>
      <c r="G25" s="55" t="str">
        <f>IF(AND('5-Year P&amp;L'!G24&gt;=0,'5-Year P&amp;L'!F24&lt;0),"✓ Break-even","")</f>
        <v>0</v>
      </c>
      <c r="H25" s="49" t="s">
        <v>96</v>
      </c>
    </row>
    <row r="26" spans="2:8" x14ac:dyDescent="0.25">
      <c r="B26" s="28" t="s">
        <v>192</v>
      </c>
      <c r="C26" s="56">
        <v>-3</v>
      </c>
      <c r="D26" s="56">
        <v>-3</v>
      </c>
      <c r="E26" s="56">
        <v>-3</v>
      </c>
      <c r="F26" s="56">
        <v>-4</v>
      </c>
      <c r="G26" s="56">
        <v>-6</v>
      </c>
      <c r="H26" s="49" t="s">
        <v>193</v>
      </c>
    </row>
    <row r="27" spans="2:8" x14ac:dyDescent="0.25">
      <c r="B27" s="28" t="s">
        <v>194</v>
      </c>
      <c r="C27" s="56">
        <v>0</v>
      </c>
      <c r="D27" s="56">
        <v>0</v>
      </c>
      <c r="E27" s="56">
        <v>0</v>
      </c>
      <c r="F27" s="56">
        <v>0</v>
      </c>
      <c r="G27" s="56">
        <v>0</v>
      </c>
      <c r="H27" s="49" t="s">
        <v>195</v>
      </c>
    </row>
    <row r="29" ht="24" customHeight="1" spans="2:8" x14ac:dyDescent="0.25">
      <c r="B29" s="45" t="s">
        <v>196</v>
      </c>
      <c r="C29" s="45" t="s">
        <v>197</v>
      </c>
      <c r="D29" s="45" t="s">
        <v>198</v>
      </c>
      <c r="E29" s="45"/>
      <c r="F29" s="45" t="s">
        <v>199</v>
      </c>
      <c r="G29" s="45"/>
      <c r="H29" s="45"/>
    </row>
    <row r="30" ht="45" customHeight="1" spans="2:8" x14ac:dyDescent="0.25">
      <c r="B30" s="57" t="s">
        <v>200</v>
      </c>
      <c r="C30" s="58" t="s">
        <v>201</v>
      </c>
      <c r="D30" s="59" t="s">
        <v>202</v>
      </c>
      <c r="E30" s="59"/>
      <c r="F30" s="60" t="s">
        <v>203</v>
      </c>
      <c r="G30" s="60"/>
      <c r="H30" s="60"/>
    </row>
    <row r="31" ht="45" customHeight="1" spans="2:8" x14ac:dyDescent="0.25">
      <c r="B31" s="57" t="s">
        <v>204</v>
      </c>
      <c r="C31" s="58" t="s">
        <v>201</v>
      </c>
      <c r="D31" s="59" t="s">
        <v>205</v>
      </c>
      <c r="E31" s="59"/>
      <c r="F31" s="60" t="s">
        <v>206</v>
      </c>
      <c r="G31" s="60"/>
      <c r="H31" s="60"/>
    </row>
    <row r="32" ht="45" customHeight="1" spans="2:8" x14ac:dyDescent="0.25">
      <c r="B32" s="57" t="s">
        <v>207</v>
      </c>
      <c r="C32" s="61" t="s">
        <v>208</v>
      </c>
      <c r="D32" s="59" t="s">
        <v>209</v>
      </c>
      <c r="E32" s="59"/>
      <c r="F32" s="60" t="s">
        <v>210</v>
      </c>
      <c r="G32" s="60"/>
      <c r="H32" s="60"/>
    </row>
    <row r="33" ht="45" customHeight="1" spans="2:8" x14ac:dyDescent="0.25">
      <c r="B33" s="57" t="s">
        <v>211</v>
      </c>
      <c r="C33" s="62" t="s">
        <v>212</v>
      </c>
      <c r="D33" s="59" t="s">
        <v>213</v>
      </c>
      <c r="E33" s="59"/>
      <c r="F33" s="60" t="s">
        <v>214</v>
      </c>
      <c r="G33" s="60"/>
      <c r="H33" s="60"/>
    </row>
    <row r="34" ht="45" customHeight="1" spans="2:8" x14ac:dyDescent="0.25">
      <c r="B34" s="57" t="s">
        <v>215</v>
      </c>
      <c r="C34" s="58" t="s">
        <v>201</v>
      </c>
      <c r="D34" s="59" t="s">
        <v>216</v>
      </c>
      <c r="E34" s="59"/>
      <c r="F34" s="60" t="s">
        <v>217</v>
      </c>
      <c r="G34" s="60"/>
      <c r="H34" s="60"/>
    </row>
    <row r="35" ht="45" customHeight="1" spans="2:8" x14ac:dyDescent="0.25">
      <c r="B35" s="57" t="s">
        <v>218</v>
      </c>
      <c r="C35" s="62" t="s">
        <v>212</v>
      </c>
      <c r="D35" s="59" t="s">
        <v>219</v>
      </c>
      <c r="E35" s="59"/>
      <c r="F35" s="60" t="s">
        <v>220</v>
      </c>
      <c r="G35" s="60"/>
      <c r="H35" s="60"/>
    </row>
    <row r="36" ht="45" customHeight="1" spans="2:8" x14ac:dyDescent="0.25">
      <c r="B36" s="57" t="s">
        <v>221</v>
      </c>
      <c r="C36" s="58" t="s">
        <v>201</v>
      </c>
      <c r="D36" s="59" t="s">
        <v>222</v>
      </c>
      <c r="E36" s="59"/>
      <c r="F36" s="60" t="s">
        <v>223</v>
      </c>
      <c r="G36" s="60"/>
      <c r="H36" s="60"/>
    </row>
    <row r="38" spans="2:6" x14ac:dyDescent="0.25">
      <c r="B38" s="57" t="s">
        <v>39</v>
      </c>
      <c r="C38" s="28" t="s">
        <v>224</v>
      </c>
      <c r="D38" s="28"/>
      <c r="E38" s="28"/>
      <c r="F38" s="28"/>
    </row>
    <row r="40" spans="2:8" x14ac:dyDescent="0.25">
      <c r="B40" s="63" t="s">
        <v>225</v>
      </c>
      <c r="C40" s="63"/>
      <c r="D40" s="63"/>
      <c r="E40" s="63"/>
      <c r="F40" s="63"/>
      <c r="G40" s="63"/>
      <c r="H40" s="6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2026-05-01T17:42:47Z</dcterms:created>
  <dcterms:modified xsi:type="dcterms:W3CDTF">2026-05-01T17:42:47Z</dcterms:modified>
</cp:coreProperties>
</file>