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<sst xmlns="http://schemas.openxmlformats.org/spreadsheetml/2006/main" count="459" uniqueCount="261">
  <si>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</si>
  <si>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</si>
  <si>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</si>
  <si>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</si>
  <si>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</si>
  <si>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</si>
  <si>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</si>
  <si>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</si>
  <si>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</si>
  <si>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</si>
  <si>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</si>
  <si>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</si>
  <si>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</si>
  <si>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</si>
  <si>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</si>
  <si>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</si>
  <si>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</si>
  <si>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</si>
  <si>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</si>
  <si>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</si>
  <si>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</si>
  <si>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</si>
  <si>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</si>
  <si>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</si>
  <si>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</si>
  <si>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</si>
  <si>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</si>
  <si>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</si>
  <si>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</si>
  <si>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</si>
  <si>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</si>
  <si>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</si>
  <si>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</si>
  <si>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</si>
  <si>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</si>
  <si>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</si>
  <si>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</si>
  <si>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</si>
  <si>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</si>
  <si>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</si>
  <si>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</si>
  <si>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</si>
  <si>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</si>
  <si>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</si>
  <si>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</si>
  <si>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</si>
  <si>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</si>
  <si>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</si>
  <si>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</si>
  <si>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</si>
  <si>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</si>
  <si>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</si>
  <si>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</si>
  <si>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</si>
  <si>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</si>
  <si>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</si>
  <si>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</si>
  <si>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</si>
  <si>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</si>
  <si>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</si>
  <si>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</si>
  <si>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</si>
  <si>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</si>
  <si>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</si>
  <si>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</si>
  <si>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</si>
  <si>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</si>
  <si>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</si>
  <si>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</si>
  <si>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</si>
  <si>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</si>
  <si>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</si>
  <si>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</si>
  <si>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</si>
  <si>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</si>
  <si>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</si>
  <si>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</si>
  <si>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</si>
  <si>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</si>
  <si>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</si>
  <si>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</si>
  <si>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</si>
  <si>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</si>
  <si>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</si>
  <si>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</si>
  <si>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</si>
  <si>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</si>
  <si>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</si>
  <si>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</si>
  <si>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</si>
  <si>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</si>
  <si>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</si>
  <si>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</si>
  <si>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</si>
  <si>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</si>
  <si>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</si>
  <si>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</si>
  <si>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</si>
  <si>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</si>
  <si>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</si>
  <si>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</si>
  <si>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</si>
  <si>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</si>
  <si>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</si>
  <si>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</si>
  <si>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</si>
  <si>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</si>
  <si>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</si>
  <si>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</si>
  <si>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</si>
  <si>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</si>
  <si>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</si>
  <si>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</si>
  <si>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</si>
  <si>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</si>
  <si>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</si>
  <si>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</si>
  <si>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</si>
  <si>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</si>
  <si>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</si>
  <si>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</si>
  <si>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</si>
  <si>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</si>
  <si>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</si>
  <si>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</si>
  <si>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</si>
  <si>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</si>
  <si>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</si>
  <si>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</si>
  <si>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</si>
  <si>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</si>
  <si>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</si>
  <si>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</si>
  <si>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</si>
  <si>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</si>
  <si>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</si>
  <si>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</si>
  <si>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</si>
  <si>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</si>
  <si>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</si>
  <si>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</si>
  <si>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</si>
  <si>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</si>
  <si>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</si>
  <si>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</si>
  <si>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</si>
  <si>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</si>
  <si>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</si>
  <si>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</si>
  <si>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</si>
  <si>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</si>
  <si>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</si>
  <si>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</si>
  <si>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</si>
  <si>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</si>
  <si>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</si>
  <si>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</si>
  <si>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</si>
  <si>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</si>
  <si>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</si>
  <si>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</si>
  <si>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</si>
  <si>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</si>
  <si>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</si>
  <si>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</si>
  <si>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</si>
  <si>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</si>
  <si>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</si>
  <si>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</si>
  <si>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</si>
  <si>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</si>
  <si>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</si>
  <si>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</si>
  <si>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</si>
  <si>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</si>
  <si>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</si>
  <si>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</si>
  <si>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</si>
  <si>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</si>
  <si>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</si>
  <si>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</si>
  <si>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</si>
  <si>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</si>
  <si>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</si>
  <si>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</si>
  <si>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</si>
  <si>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</si>
  <si>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</si>
  <si>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</si>
  <si>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+1y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</si>
  <si>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</si>
  <si>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</si>
  <si>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</si>
  <si>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</si>
  <si>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0y</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</si>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</sst>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0" fontId="4" fillId="7" borderId="0" xfId="0" applyFont="1" applyFill="1"/>
    <xf numFmtId="165" fontId="16" fillId="3"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7"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8" fillId="0" borderId="0" xfId="0" applyFont="1" applyAlignment="1">
      <alignment vertical="top" wrapText="1" indent="1"/>
    </xf>
    <xf numFmtId="0" fontId="16" fillId="0" borderId="4" xfId="0" applyFont="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19" fillId="0" borderId="0" xfId="0" applyFont="1"/>
    <xf numFmtId="0" fontId="20" fillId="0" borderId="0" xfId="0" applyFont="1"/>
    <xf numFmtId="0" fontId="21"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19" fillId="0" borderId="4" xfId="0" applyFont="1" applyBorder="1" applyAlignment="1">
      <alignment horizontal="center"/>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1</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v>28186</v>
      </c>
      <c r="D19" s="27">
        <v>26908</v>
      </c>
      <c r="E19" s="27">
        <v>25555</v>
      </c>
      <c r="F19" s="27">
        <v>24122</v>
      </c>
      <c r="G19" s="27">
        <v>22605</v>
      </c>
    </row>
    <row r="20" spans="2:7" x14ac:dyDescent="0.25">
      <c r="B20" s="25" t="s">
        <v>126</v>
      </c>
      <c r="C20" s="27">
        <f>'Cash Flow &amp; DSCR'!C9-C19</f>
        <v>136638.97628843</v>
      </c>
      <c r="D20" s="27">
        <f>'Cash Flow &amp; DSCR'!D9-D19</f>
        <v>137916.5377976</v>
      </c>
      <c r="E20" s="27">
        <f>'Cash Flow &amp; DSCR'!E9-E19</f>
        <v>139269.52632273</v>
      </c>
      <c r="F20" s="27">
        <f>'Cash Flow &amp; DSCR'!F9-F19</f>
        <v>140702.39506211</v>
      </c>
      <c r="G20" s="27">
        <f>'Cash Flow &amp; DSCR'!G9-G19</f>
        <v>142219.86013011</v>
      </c>
    </row>
    <row r="22" spans="2:7" x14ac:dyDescent="0.25">
      <c r="B22" s="28" t="s">
        <v>127</v>
      </c>
      <c r="C22" s="30">
        <f>C16-C19-C20</f>
        <v>-472991.79411007</v>
      </c>
      <c r="D22" s="30">
        <f>D16-D19-D20</f>
        <v>-264617.47518785</v>
      </c>
      <c r="E22" s="30">
        <f>E16-E19-E20</f>
        <v>-175735.41917396</v>
      </c>
      <c r="F22" s="30">
        <f>F16-F19-F20</f>
        <v>-797051.70164447</v>
      </c>
      <c r="G22" s="30">
        <f>G16-G19-G20</f>
        <v>-2350276.27755892</v>
      </c>
    </row>
    <row r="23" spans="2:7" x14ac:dyDescent="0.25">
      <c r="B23" s="25" t="s">
        <v>128</v>
      </c>
      <c r="C23" s="31">
        <f>IF(C10&gt;0,C22/C10,0)</f>
        <v>-0.30594553</v>
      </c>
      <c r="D23" s="31">
        <f>IF(D10&gt;0,D22/D10,0)</f>
        <v>-0.10427042</v>
      </c>
      <c r="E23" s="31">
        <f>IF(E10&gt;0,E22/E10,0)</f>
        <v>-0.04606601</v>
      </c>
      <c r="F23" s="31">
        <f>IF(F10&gt;0,F22/F10,0)</f>
        <v>-0.16504186</v>
      </c>
      <c r="G23" s="31">
        <f>IF(G10&gt;0,G22/G10,0)</f>
        <v>-0.4481626</v>
      </c>
    </row>
    <row r="25" spans="2:7" x14ac:dyDescent="0.25">
      <c r="B25" s="28" t="s">
        <v>129</v>
      </c>
      <c r="C25" s="32">
        <f>C22</f>
        <v>-472991.79411007</v>
      </c>
      <c r="D25" s="32">
        <f>C25+D22</f>
        <v>-737609.26929791</v>
      </c>
      <c r="E25" s="32">
        <f>D25+E22</f>
        <v>-913344.68847187</v>
      </c>
      <c r="F25" s="32">
        <f>E25+F22</f>
        <v>-1710396.39011634</v>
      </c>
      <c r="G25" s="32">
        <f>F25+G22</f>
        <v>-4060672.66767526</v>
      </c>
    </row>
    <row r="26" spans="2:7" x14ac:dyDescent="0.25">
      <c r="B26" s="28" t="s">
        <v>130</v>
      </c>
      <c r="C26" s="33" t="s">
        <v>7</v>
      </c>
      <c r="D26" s="33" t="s">
        <v>7</v>
      </c>
      <c r="E26" s="33" t="s">
        <v>7</v>
      </c>
      <c r="F26" s="33" t="s">
        <v>7</v>
      </c>
      <c r="G26"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t="str">
        <f>Assumptions!D57</f>
        <v>0</v>
      </c>
      <c r="D4" s="32">
        <f>C16</f>
        <v>-472991.79411007</v>
      </c>
      <c r="E4" s="32">
        <f>D16</f>
        <v>-737609.26929791</v>
      </c>
      <c r="F4" s="32">
        <f>E16</f>
        <v>-913344.68847187</v>
      </c>
      <c r="G4" s="32">
        <f>F16</f>
        <v>-1710396.39011634</v>
      </c>
    </row>
    <row r="5" spans="2:7" x14ac:dyDescent="0.25">
      <c r="B5" s="25" t="s">
        <v>133</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134</v>
      </c>
      <c r="C7" s="27">
        <f>Assumptions!D58</f>
        <v>115000</v>
      </c>
      <c r="D7" s="27">
        <f>Assumptions!D58</f>
        <v>115000</v>
      </c>
      <c r="E7" s="27">
        <f>Assumptions!D58</f>
        <v>115000</v>
      </c>
      <c r="F7" s="27">
        <f>Assumptions!D58</f>
        <v>115000</v>
      </c>
      <c r="G7" s="27">
        <f>Assumptions!D58</f>
        <v>115000</v>
      </c>
    </row>
    <row r="8" spans="2:7" x14ac:dyDescent="0.25">
      <c r="B8" s="25" t="s">
        <v>135</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136</v>
      </c>
      <c r="C9" s="29">
        <f>C7+C8</f>
        <v>164824.60522118</v>
      </c>
      <c r="D9" s="29">
        <f>D7+D8</f>
        <v>164824.60522118</v>
      </c>
      <c r="E9" s="29">
        <f>E7+E8</f>
        <v>164824.60522118</v>
      </c>
      <c r="F9" s="29">
        <f>F7+F8</f>
        <v>164824.60522118</v>
      </c>
      <c r="G9" s="29">
        <f>G7+G8</f>
        <v>164824.60522118</v>
      </c>
    </row>
    <row r="11" spans="2:7" x14ac:dyDescent="0.25">
      <c r="B11" s="28" t="s">
        <v>137</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138</v>
      </c>
      <c r="C13" s="27">
        <f>C5-C9</f>
        <v>-472991.79411007</v>
      </c>
      <c r="D13" s="27">
        <f>D5-D9</f>
        <v>-264617.47518785</v>
      </c>
      <c r="E13" s="27">
        <f>E5-E9</f>
        <v>-175735.41917396</v>
      </c>
      <c r="F13" s="27">
        <f>F5-F9</f>
        <v>-797051.70164447</v>
      </c>
      <c r="G13" s="27">
        <f>G5-G9</f>
        <v>-2350276.27755892</v>
      </c>
    </row>
    <row r="14" spans="2:7" x14ac:dyDescent="0.25">
      <c r="B14" s="28" t="s">
        <v>139</v>
      </c>
      <c r="C14" s="32">
        <f>C5-C9</f>
        <v>-472991.79411007</v>
      </c>
      <c r="D14" s="32">
        <f>D5-D9</f>
        <v>-264617.47518785</v>
      </c>
      <c r="E14" s="32">
        <f>E5-E9</f>
        <v>-175735.41917396</v>
      </c>
      <c r="F14" s="32">
        <f>F5-F9</f>
        <v>-797051.70164447</v>
      </c>
      <c r="G14" s="32">
        <f>G5-G9</f>
        <v>-2350276.27755892</v>
      </c>
    </row>
    <row r="16" spans="2:7" x14ac:dyDescent="0.25">
      <c r="B16" s="28" t="s">
        <v>140</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141</v>
      </c>
      <c r="C1" s="13"/>
      <c r="D1" s="13"/>
      <c r="E1" s="13"/>
      <c r="F1" s="13"/>
      <c r="G1" s="13"/>
    </row>
    <row r="2" spans="2:7" x14ac:dyDescent="0.25">
      <c r="B2" s="3" t="s">
        <v>142</v>
      </c>
      <c r="C2" s="3"/>
      <c r="D2" s="3"/>
      <c r="E2" s="3"/>
      <c r="F2" s="3"/>
      <c r="G2" s="3"/>
    </row>
    <row r="4" ht="24" customHeight="1" spans="2:7" x14ac:dyDescent="0.25">
      <c r="B4" s="23"/>
      <c r="C4" s="24" t="s">
        <v>96</v>
      </c>
      <c r="D4" s="24" t="s">
        <v>97</v>
      </c>
      <c r="E4" s="24" t="s">
        <v>98</v>
      </c>
      <c r="F4" s="24" t="s">
        <v>99</v>
      </c>
      <c r="G4" s="24" t="s">
        <v>100</v>
      </c>
    </row>
    <row r="5" spans="2:7" x14ac:dyDescent="0.25">
      <c r="B5" s="35" t="s">
        <v>143</v>
      </c>
      <c r="C5" s="35"/>
      <c r="D5" s="35"/>
      <c r="E5" s="35"/>
      <c r="F5" s="35"/>
      <c r="G5" s="35"/>
    </row>
    <row r="6" spans="2:7" x14ac:dyDescent="0.25">
      <c r="B6" s="25" t="s">
        <v>144</v>
      </c>
      <c r="C6" s="27">
        <v>0</v>
      </c>
      <c r="D6" s="27">
        <v>0</v>
      </c>
      <c r="E6" s="27">
        <v>0</v>
      </c>
      <c r="F6" s="27">
        <v>0</v>
      </c>
      <c r="G6" s="27">
        <v>0</v>
      </c>
    </row>
    <row r="7" spans="2:7" x14ac:dyDescent="0.25">
      <c r="B7" s="25" t="s">
        <v>145</v>
      </c>
      <c r="C7" s="27">
        <v>0</v>
      </c>
      <c r="D7" s="27">
        <v>0</v>
      </c>
      <c r="E7" s="27">
        <v>0</v>
      </c>
      <c r="F7" s="27">
        <v>0</v>
      </c>
      <c r="G7" s="27">
        <v>0</v>
      </c>
    </row>
    <row r="8" spans="2:7" x14ac:dyDescent="0.25">
      <c r="B8" s="28" t="s">
        <v>146</v>
      </c>
      <c r="C8" s="36" t="str">
        <f>C6-C7</f>
        <v>0</v>
      </c>
      <c r="D8" s="36" t="str">
        <f>D6-D7</f>
        <v>0</v>
      </c>
      <c r="E8" s="36" t="str">
        <f>E6-E7</f>
        <v>0</v>
      </c>
      <c r="F8" s="36" t="str">
        <f>F6-F7</f>
        <v>0</v>
      </c>
      <c r="G8" s="36" t="str">
        <f>G6-G7</f>
        <v>0</v>
      </c>
    </row>
    <row r="9" spans="2:7" x14ac:dyDescent="0.25">
      <c r="B9" s="28" t="s">
        <v>147</v>
      </c>
      <c r="C9" s="29" t="str">
        <f>C7*30/365</f>
        <v>0</v>
      </c>
      <c r="D9" s="29" t="str">
        <f>D7*30/365</f>
        <v>0</v>
      </c>
      <c r="E9" s="29" t="str">
        <f>E7*30/365</f>
        <v>0</v>
      </c>
      <c r="F9" s="29" t="str">
        <f>F7*30/365</f>
        <v>0</v>
      </c>
      <c r="G9" s="29" t="str">
        <f>G7*30/365</f>
        <v>0</v>
      </c>
    </row>
    <row r="11" spans="2:7" x14ac:dyDescent="0.25">
      <c r="B11" s="35" t="s">
        <v>148</v>
      </c>
      <c r="C11" s="35"/>
      <c r="D11" s="35"/>
      <c r="E11" s="35"/>
      <c r="F11" s="35"/>
      <c r="G11" s="35"/>
    </row>
    <row r="12" spans="2:7" x14ac:dyDescent="0.25">
      <c r="B12" s="25" t="s">
        <v>149</v>
      </c>
      <c r="C12" s="27">
        <v>-472991.79411006824</v>
      </c>
      <c r="D12" s="27">
        <v>-737609.2692979143</v>
      </c>
      <c r="E12" s="27">
        <v>-913344.6884718713</v>
      </c>
      <c r="F12" s="27">
        <v>-1710396.3901163433</v>
      </c>
      <c r="G12" s="27">
        <v>-4060672.6676752586</v>
      </c>
    </row>
    <row r="13" spans="2:7" x14ac:dyDescent="0.25">
      <c r="B13" s="25" t="s">
        <v>150</v>
      </c>
      <c r="C13" s="27">
        <v>0</v>
      </c>
      <c r="D13" s="27">
        <v>0</v>
      </c>
      <c r="E13" s="27">
        <v>0</v>
      </c>
      <c r="F13" s="27">
        <v>0</v>
      </c>
      <c r="G13" s="27">
        <v>0</v>
      </c>
    </row>
    <row r="14" spans="2:7" x14ac:dyDescent="0.25">
      <c r="B14" s="28" t="s">
        <v>151</v>
      </c>
      <c r="C14" s="30">
        <f>C12-C13</f>
        <v>-472991.79411007</v>
      </c>
      <c r="D14" s="30">
        <f>D12-D13</f>
        <v>-737609.26929791</v>
      </c>
      <c r="E14" s="30">
        <f>E12-E13</f>
        <v>-913344.68847187</v>
      </c>
      <c r="F14" s="30">
        <f>F12-F13</f>
        <v>-1710396.39011634</v>
      </c>
      <c r="G14" s="30">
        <f>G12-G13</f>
        <v>-4060672.66767526</v>
      </c>
    </row>
    <row r="16" spans="2:7" x14ac:dyDescent="0.25">
      <c r="B16" s="37" t="s">
        <v>152</v>
      </c>
      <c r="C16" s="37"/>
      <c r="D16" s="37"/>
      <c r="E16" s="37"/>
      <c r="F16" s="37"/>
      <c r="G16" s="37"/>
    </row>
    <row r="17" spans="2:7" x14ac:dyDescent="0.25">
      <c r="B17" s="37"/>
      <c r="C17" s="37"/>
      <c r="D17" s="37"/>
      <c r="E17" s="37"/>
      <c r="F17" s="37"/>
      <c r="G17" s="37"/>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153</v>
      </c>
      <c r="C1" s="13"/>
      <c r="D1" s="13"/>
      <c r="E1" s="13"/>
      <c r="F1" s="13"/>
      <c r="G1" s="13"/>
    </row>
    <row r="3" ht="24" customHeight="1" spans="2:7" x14ac:dyDescent="0.25">
      <c r="B3" s="23"/>
      <c r="C3" s="24" t="s">
        <v>96</v>
      </c>
      <c r="D3" s="24" t="s">
        <v>97</v>
      </c>
      <c r="E3" s="24" t="s">
        <v>98</v>
      </c>
      <c r="F3" s="24" t="s">
        <v>99</v>
      </c>
      <c r="G3" s="24" t="s">
        <v>100</v>
      </c>
    </row>
    <row r="4" spans="2:7" x14ac:dyDescent="0.25">
      <c r="B4" s="25" t="s">
        <v>154</v>
      </c>
      <c r="C4" s="26">
        <f>Drivers!C12</f>
        <v>10</v>
      </c>
      <c r="D4" s="26">
        <f>Drivers!D12</f>
        <v>17</v>
      </c>
      <c r="E4" s="26">
        <f>Drivers!E12</f>
        <v>25</v>
      </c>
      <c r="F4" s="26">
        <f>Drivers!F12</f>
        <v>32</v>
      </c>
      <c r="G4" s="26">
        <f>Drivers!G12</f>
        <v>34</v>
      </c>
    </row>
    <row r="5" spans="2:7" x14ac:dyDescent="0.25">
      <c r="B5" s="25" t="s">
        <v>155</v>
      </c>
      <c r="C5" s="26">
        <f>Assumptions!D35</f>
        <v>7</v>
      </c>
      <c r="D5" s="26">
        <f>Assumptions!D36</f>
        <v>7</v>
      </c>
      <c r="E5" s="26">
        <f>Assumptions!D37</f>
        <v>7</v>
      </c>
      <c r="F5" s="26">
        <f>Assumptions!D38</f>
        <v>7</v>
      </c>
      <c r="G5" s="26">
        <f>Assumptions!D39</f>
        <v>7</v>
      </c>
    </row>
    <row r="6" spans="2:7" x14ac:dyDescent="0.25">
      <c r="B6" s="28" t="s">
        <v>156</v>
      </c>
      <c r="C6" s="38">
        <f>C4+C5</f>
        <v>17</v>
      </c>
      <c r="D6" s="38">
        <f>D4+D5</f>
        <v>24</v>
      </c>
      <c r="E6" s="38">
        <f>E4+E5</f>
        <v>32</v>
      </c>
      <c r="F6" s="38">
        <f>F4+F5</f>
        <v>39</v>
      </c>
      <c r="G6" s="38">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157</v>
      </c>
      <c r="C1" s="13"/>
    </row>
    <row r="3" spans="2:3" x14ac:dyDescent="0.25">
      <c r="B3" s="25" t="s">
        <v>158</v>
      </c>
      <c r="C3" s="27">
        <f>Assumptions!D59</f>
        <v>500000</v>
      </c>
    </row>
    <row r="4" spans="2:3" x14ac:dyDescent="0.25">
      <c r="B4" s="25" t="s">
        <v>159</v>
      </c>
      <c r="C4" s="31">
        <f>Assumptions!D60</f>
        <v>0.0575</v>
      </c>
    </row>
    <row r="5" spans="2:3" x14ac:dyDescent="0.25">
      <c r="B5" s="25" t="s">
        <v>94</v>
      </c>
      <c r="C5" s="26">
        <f>Assumptions!D61</f>
        <v>15</v>
      </c>
    </row>
    <row r="6" spans="2:3" x14ac:dyDescent="0.25">
      <c r="B6" s="25" t="s">
        <v>160</v>
      </c>
      <c r="C6" s="32">
        <f>IF(Assumptions!D59&gt;0,PMT(Assumptions!D60/12,Assumptions!D61*12,-Assumptions!D59)*12,0)</f>
        <v>49824.60522118</v>
      </c>
    </row>
    <row r="8" spans="2:3" x14ac:dyDescent="0.25">
      <c r="B8" s="25" t="s">
        <v>161</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162</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163</v>
      </c>
      <c r="C6" s="25">
        <f>Assumptions!D8</f>
        <v>2026</v>
      </c>
    </row>
    <row r="8" spans="2:3" x14ac:dyDescent="0.25">
      <c r="B8" s="25" t="s">
        <v>57</v>
      </c>
      <c r="C8" s="26">
        <f>Assumptions!D16</f>
        <v>400</v>
      </c>
    </row>
    <row r="9" spans="2:3" x14ac:dyDescent="0.25">
      <c r="B9" s="25" t="s">
        <v>164</v>
      </c>
      <c r="C9" s="27">
        <f>Drivers!G10</f>
        <v>5244248.9932</v>
      </c>
    </row>
    <row r="10" spans="2:3" x14ac:dyDescent="0.25">
      <c r="B10" s="25" t="s">
        <v>165</v>
      </c>
      <c r="C10" s="39">
        <f>'5-Year P&amp;L'!G16</f>
        <v>-2185451.67233774</v>
      </c>
    </row>
    <row r="12" ht="24" customHeight="1" spans="2:3" x14ac:dyDescent="0.25">
      <c r="B12" s="40" t="s">
        <v>166</v>
      </c>
      <c r="C12" s="23"/>
    </row>
    <row r="13" spans="2:3" x14ac:dyDescent="0.25">
      <c r="B13" s="25" t="s">
        <v>167</v>
      </c>
      <c r="C13" s="41">
        <f>IF(Drivers!G10&gt;0,'5-Year P&amp;L'!G21/Drivers!G10,0)</f>
        <v>-0.4481626</v>
      </c>
    </row>
    <row r="14" spans="2:3" x14ac:dyDescent="0.25">
      <c r="B14" s="25" t="s">
        <v>168</v>
      </c>
      <c r="C14" s="31">
        <f>IF(Drivers!G10&gt;0,Drivers!G16/Drivers!G10,0)</f>
        <v>0.55578733</v>
      </c>
    </row>
    <row r="15" spans="2:3" x14ac:dyDescent="0.25">
      <c r="B15" s="25" t="s">
        <v>169</v>
      </c>
      <c r="C15" s="27">
        <f>IF(Assumptions!D16&gt;0,Drivers!G10/Assumptions!D16,0)</f>
        <v>13111</v>
      </c>
    </row>
    <row r="16" spans="2:3" x14ac:dyDescent="0.25">
      <c r="B16" s="25" t="s">
        <v>170</v>
      </c>
      <c r="C16" s="27">
        <f>IF(Assumptions!D16&gt;0,('5-Year P&amp;L'!G12+'5-Year P&amp;L'!G13)/Assumptions!D16,0)</f>
        <v>18574</v>
      </c>
    </row>
    <row r="17" spans="2:3" x14ac:dyDescent="0.25">
      <c r="B17" s="25" t="s">
        <v>171</v>
      </c>
      <c r="C17" s="34">
        <f>'Cash Flow &amp; DSCR'!C11</f>
        <v>-1.86966739</v>
      </c>
    </row>
    <row r="18" spans="2:3" x14ac:dyDescent="0.25">
      <c r="B18" s="25" t="s">
        <v>172</v>
      </c>
      <c r="C18" s="34">
        <f>'Cash Flow &amp; DSCR'!G11</f>
        <v>-13.25925622</v>
      </c>
    </row>
    <row r="19" spans="2:3" x14ac:dyDescent="0.25">
      <c r="B19" s="25" t="s">
        <v>173</v>
      </c>
      <c r="C19" s="42">
        <v>0</v>
      </c>
    </row>
    <row r="21" spans="2:3" x14ac:dyDescent="0.25">
      <c r="B21" s="12" t="s">
        <v>174</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3" t="s">
        <v>175</v>
      </c>
      <c r="B1" s="43"/>
      <c r="C1" s="43"/>
      <c r="D1" s="43"/>
      <c r="E1" s="43"/>
      <c r="F1" s="43"/>
      <c r="G1" s="43"/>
      <c r="H1" s="43"/>
    </row>
    <row r="2" ht="28" customHeight="1" spans="1:8" x14ac:dyDescent="0.25">
      <c r="A2" s="44" t="s">
        <v>176</v>
      </c>
      <c r="B2" s="44"/>
      <c r="C2" s="44"/>
      <c r="D2" s="44"/>
      <c r="E2" s="44"/>
      <c r="F2" s="44"/>
      <c r="G2" s="44"/>
      <c r="H2" s="44"/>
    </row>
    <row r="4" ht="18" customHeight="1" spans="1:8" x14ac:dyDescent="0.25">
      <c r="A4" s="45" t="s">
        <v>177</v>
      </c>
      <c r="B4" s="45" t="s">
        <v>178</v>
      </c>
      <c r="C4" s="46" t="s">
        <v>96</v>
      </c>
      <c r="D4" s="46" t="s">
        <v>97</v>
      </c>
      <c r="E4" s="46" t="s">
        <v>98</v>
      </c>
      <c r="F4" s="46" t="s">
        <v>99</v>
      </c>
      <c r="G4" s="46" t="s">
        <v>100</v>
      </c>
      <c r="H4" s="46" t="s">
        <v>179</v>
      </c>
    </row>
    <row r="5" ht="18" customHeight="1" spans="1:8" x14ac:dyDescent="0.25">
      <c r="A5" s="47" t="s">
        <v>180</v>
      </c>
      <c r="B5" s="47"/>
      <c r="C5" s="47"/>
      <c r="D5" s="47"/>
      <c r="E5" s="47"/>
      <c r="F5" s="47"/>
      <c r="G5" s="47"/>
      <c r="H5" s="47"/>
    </row>
    <row r="6" ht="24" customHeight="1" spans="1:8" x14ac:dyDescent="0.25">
      <c r="A6" s="48" t="s">
        <v>181</v>
      </c>
      <c r="B6" s="48"/>
      <c r="C6" s="48"/>
      <c r="D6" s="48"/>
      <c r="E6" s="48"/>
      <c r="F6" s="48"/>
      <c r="G6" s="48"/>
      <c r="H6" s="48"/>
    </row>
    <row r="7" spans="1:8" x14ac:dyDescent="0.25">
      <c r="A7" s="25" t="s">
        <v>7</v>
      </c>
      <c r="B7" s="25" t="s">
        <v>127</v>
      </c>
      <c r="C7" s="27">
        <v>-418531.68855451304</v>
      </c>
      <c r="D7" s="27">
        <v>66514.89477882069</v>
      </c>
      <c r="E7" s="27">
        <v>708232.4947788208</v>
      </c>
      <c r="F7" s="27">
        <v>1202306.8627788206</v>
      </c>
      <c r="G7" s="27">
        <v>1446208.9918188206</v>
      </c>
      <c r="H7" s="49" t="s">
        <v>182</v>
      </c>
    </row>
    <row r="8" spans="1:8" x14ac:dyDescent="0.25">
      <c r="A8" s="25" t="s">
        <v>7</v>
      </c>
      <c r="B8" s="25" t="s">
        <v>183</v>
      </c>
      <c r="C8" s="26">
        <v>-7.4</v>
      </c>
      <c r="D8" s="26">
        <v>2.33</v>
      </c>
      <c r="E8" s="26">
        <v>15.21</v>
      </c>
      <c r="F8" s="26">
        <v>25.13</v>
      </c>
      <c r="G8" s="26">
        <v>30.03</v>
      </c>
      <c r="H8" s="49" t="s">
        <v>182</v>
      </c>
    </row>
    <row r="9" spans="1:8" x14ac:dyDescent="0.25">
      <c r="A9" s="25" t="s">
        <v>7</v>
      </c>
      <c r="B9" s="25" t="s">
        <v>140</v>
      </c>
      <c r="C9" s="27">
        <v>-368531.68855451304</v>
      </c>
      <c r="D9" s="27">
        <v>-302016.79377569235</v>
      </c>
      <c r="E9" s="27">
        <v>406215.70100312843</v>
      </c>
      <c r="F9" s="27">
        <v>1608522.563781949</v>
      </c>
      <c r="G9" s="27">
        <v>3054731.55560077</v>
      </c>
      <c r="H9" s="49" t="s">
        <v>182</v>
      </c>
    </row>
    <row r="10" spans="1:8" x14ac:dyDescent="0.25">
      <c r="A10" s="25" t="s">
        <v>7</v>
      </c>
      <c r="B10" s="25" t="s">
        <v>184</v>
      </c>
      <c r="C10" s="26">
        <v>156</v>
      </c>
      <c r="D10" s="26">
        <v>190</v>
      </c>
      <c r="E10" s="26">
        <v>225</v>
      </c>
      <c r="F10" s="26">
        <v>251</v>
      </c>
      <c r="G10" s="26">
        <v>254</v>
      </c>
      <c r="H10" s="49" t="s">
        <v>182</v>
      </c>
    </row>
    <row r="11" spans="1:8" x14ac:dyDescent="0.25">
      <c r="A11" s="50" t="s">
        <v>7</v>
      </c>
      <c r="B11" s="25" t="s">
        <v>185</v>
      </c>
      <c r="C11" s="26">
        <v>3</v>
      </c>
      <c r="D11" s="50" t="s">
        <v>7</v>
      </c>
      <c r="E11" s="50" t="s">
        <v>7</v>
      </c>
      <c r="F11" s="50" t="s">
        <v>7</v>
      </c>
      <c r="G11" s="50" t="s">
        <v>7</v>
      </c>
      <c r="H11" s="51" t="s">
        <v>182</v>
      </c>
    </row>
    <row r="12" spans="1:8" x14ac:dyDescent="0.25">
      <c r="A12" s="50" t="s">
        <v>7</v>
      </c>
      <c r="B12" s="25" t="s">
        <v>186</v>
      </c>
      <c r="C12" s="52" t="s">
        <v>97</v>
      </c>
      <c r="D12" s="50" t="s">
        <v>7</v>
      </c>
      <c r="E12" s="50" t="s">
        <v>7</v>
      </c>
      <c r="F12" s="50" t="s">
        <v>7</v>
      </c>
      <c r="G12" s="50" t="s">
        <v>7</v>
      </c>
      <c r="H12" s="49" t="s">
        <v>182</v>
      </c>
    </row>
    <row r="14" ht="18" customHeight="1" spans="1:8" x14ac:dyDescent="0.25">
      <c r="A14" s="47" t="s">
        <v>187</v>
      </c>
      <c r="B14" s="47"/>
      <c r="C14" s="47"/>
      <c r="D14" s="47"/>
      <c r="E14" s="47"/>
      <c r="F14" s="47"/>
      <c r="G14" s="47"/>
      <c r="H14" s="47"/>
    </row>
    <row r="15" ht="24" customHeight="1" spans="1:8" x14ac:dyDescent="0.25">
      <c r="A15" s="48" t="s">
        <v>188</v>
      </c>
      <c r="B15" s="48"/>
      <c r="C15" s="48"/>
      <c r="D15" s="48"/>
      <c r="E15" s="48"/>
      <c r="F15" s="48"/>
      <c r="G15" s="48"/>
      <c r="H15" s="48"/>
    </row>
    <row r="16" spans="1:8" x14ac:dyDescent="0.25">
      <c r="A16" s="25" t="s">
        <v>7</v>
      </c>
      <c r="B16" s="25" t="s">
        <v>127</v>
      </c>
      <c r="C16" s="27">
        <v>-481140.85522117955</v>
      </c>
      <c r="D16" s="27">
        <v>-50167.105221179314</v>
      </c>
      <c r="E16" s="27">
        <v>528349.4947788208</v>
      </c>
      <c r="F16" s="27">
        <v>984852.8627788206</v>
      </c>
      <c r="G16" s="27">
        <v>1192844.9918188206</v>
      </c>
      <c r="H16" s="32">
        <v>-62609.16666666651</v>
      </c>
    </row>
    <row r="17" spans="1:8" x14ac:dyDescent="0.25">
      <c r="A17" s="25" t="s">
        <v>7</v>
      </c>
      <c r="B17" s="25" t="s">
        <v>183</v>
      </c>
      <c r="C17" s="26">
        <v>-8.66</v>
      </c>
      <c r="D17" s="26">
        <v>-0.01</v>
      </c>
      <c r="E17" s="26">
        <v>11.6</v>
      </c>
      <c r="F17" s="26">
        <v>20.77</v>
      </c>
      <c r="G17" s="26">
        <v>24.94</v>
      </c>
      <c r="H17" s="51">
        <v>-1.2599999999999998</v>
      </c>
    </row>
    <row r="18" spans="1:8" x14ac:dyDescent="0.25">
      <c r="A18" s="25" t="s">
        <v>7</v>
      </c>
      <c r="B18" s="25" t="s">
        <v>140</v>
      </c>
      <c r="C18" s="27">
        <v>-431140.85522117955</v>
      </c>
      <c r="D18" s="27">
        <v>-481307.96044235886</v>
      </c>
      <c r="E18" s="27">
        <v>47041.53433646192</v>
      </c>
      <c r="F18" s="27">
        <v>1031894.3971152825</v>
      </c>
      <c r="G18" s="27">
        <v>2224739.388934103</v>
      </c>
      <c r="H18" s="32">
        <v>-62609.16666666651</v>
      </c>
    </row>
    <row r="19" spans="1:8" x14ac:dyDescent="0.25">
      <c r="A19" s="25" t="s">
        <v>7</v>
      </c>
      <c r="B19" s="25" t="s">
        <v>184</v>
      </c>
      <c r="C19" s="26">
        <v>151</v>
      </c>
      <c r="D19" s="26">
        <v>182</v>
      </c>
      <c r="E19" s="26">
        <v>213</v>
      </c>
      <c r="F19" s="26">
        <v>236</v>
      </c>
      <c r="G19" s="26">
        <v>240</v>
      </c>
      <c r="H19" s="51">
        <v>-5</v>
      </c>
    </row>
    <row r="20" spans="1:8" x14ac:dyDescent="0.25">
      <c r="A20" s="50" t="s">
        <v>7</v>
      </c>
      <c r="B20" s="25" t="s">
        <v>185</v>
      </c>
      <c r="C20" s="26">
        <v>3</v>
      </c>
      <c r="D20" s="50" t="s">
        <v>7</v>
      </c>
      <c r="E20" s="50" t="s">
        <v>7</v>
      </c>
      <c r="F20" s="50" t="s">
        <v>7</v>
      </c>
      <c r="G20" s="50" t="s">
        <v>7</v>
      </c>
      <c r="H20" s="51">
        <v>0</v>
      </c>
    </row>
    <row r="21" spans="1:8" x14ac:dyDescent="0.25">
      <c r="A21" s="50" t="s">
        <v>7</v>
      </c>
      <c r="B21" s="25" t="s">
        <v>186</v>
      </c>
      <c r="C21" s="52" t="s">
        <v>98</v>
      </c>
      <c r="D21" s="50" t="s">
        <v>7</v>
      </c>
      <c r="E21" s="50" t="s">
        <v>7</v>
      </c>
      <c r="F21" s="50" t="s">
        <v>7</v>
      </c>
      <c r="G21" s="50" t="s">
        <v>7</v>
      </c>
      <c r="H21" s="49" t="s">
        <v>189</v>
      </c>
    </row>
    <row r="23" ht="18" customHeight="1" spans="1:8" x14ac:dyDescent="0.25">
      <c r="A23" s="47" t="s">
        <v>190</v>
      </c>
      <c r="B23" s="47"/>
      <c r="C23" s="47"/>
      <c r="D23" s="47"/>
      <c r="E23" s="47"/>
      <c r="F23" s="47"/>
      <c r="G23" s="47"/>
      <c r="H23" s="47"/>
    </row>
    <row r="24" ht="24" customHeight="1" spans="1:8" x14ac:dyDescent="0.25">
      <c r="A24" s="48" t="s">
        <v>191</v>
      </c>
      <c r="B24" s="48"/>
      <c r="C24" s="48"/>
      <c r="D24" s="48"/>
      <c r="E24" s="48"/>
      <c r="F24" s="48"/>
      <c r="G24" s="48"/>
      <c r="H24" s="48"/>
    </row>
    <row r="25" spans="1:8" x14ac:dyDescent="0.25">
      <c r="A25" s="25" t="s">
        <v>7</v>
      </c>
      <c r="B25" s="25" t="s">
        <v>127</v>
      </c>
      <c r="C25" s="27">
        <v>-543750.0218878458</v>
      </c>
      <c r="D25" s="27">
        <v>-166849.1052211793</v>
      </c>
      <c r="E25" s="27">
        <v>348466.4947788208</v>
      </c>
      <c r="F25" s="27">
        <v>722439.8627788206</v>
      </c>
      <c r="G25" s="27">
        <v>904211.9918188206</v>
      </c>
      <c r="H25" s="32">
        <v>-125218.33333333279</v>
      </c>
    </row>
    <row r="26" spans="1:8" x14ac:dyDescent="0.25">
      <c r="A26" s="25" t="s">
        <v>7</v>
      </c>
      <c r="B26" s="25" t="s">
        <v>183</v>
      </c>
      <c r="C26" s="26">
        <v>-9.91</v>
      </c>
      <c r="D26" s="26">
        <v>-2.35</v>
      </c>
      <c r="E26" s="26">
        <v>7.99</v>
      </c>
      <c r="F26" s="26">
        <v>15.5</v>
      </c>
      <c r="G26" s="26">
        <v>19.15</v>
      </c>
      <c r="H26" s="51">
        <v>-2.51</v>
      </c>
    </row>
    <row r="27" spans="1:8" x14ac:dyDescent="0.25">
      <c r="A27" s="25" t="s">
        <v>7</v>
      </c>
      <c r="B27" s="25" t="s">
        <v>140</v>
      </c>
      <c r="C27" s="27">
        <v>-493750.0218878458</v>
      </c>
      <c r="D27" s="27">
        <v>-660599.1271090251</v>
      </c>
      <c r="E27" s="27">
        <v>-312132.63233020436</v>
      </c>
      <c r="F27" s="27">
        <v>410307.2304486162</v>
      </c>
      <c r="G27" s="27">
        <v>1314519.2222674368</v>
      </c>
      <c r="H27" s="32">
        <v>-125218.33333333279</v>
      </c>
    </row>
    <row r="28" spans="1:8" x14ac:dyDescent="0.25">
      <c r="A28" s="25" t="s">
        <v>7</v>
      </c>
      <c r="B28" s="25" t="s">
        <v>184</v>
      </c>
      <c r="C28" s="26">
        <v>145</v>
      </c>
      <c r="D28" s="26">
        <v>173</v>
      </c>
      <c r="E28" s="26">
        <v>201</v>
      </c>
      <c r="F28" s="26">
        <v>225</v>
      </c>
      <c r="G28" s="26">
        <v>229</v>
      </c>
      <c r="H28" s="51">
        <v>-11</v>
      </c>
    </row>
    <row r="29" spans="1:8" x14ac:dyDescent="0.25">
      <c r="A29" s="50" t="s">
        <v>7</v>
      </c>
      <c r="B29" s="25" t="s">
        <v>185</v>
      </c>
      <c r="C29" s="26">
        <v>3</v>
      </c>
      <c r="D29" s="50" t="s">
        <v>7</v>
      </c>
      <c r="E29" s="50" t="s">
        <v>7</v>
      </c>
      <c r="F29" s="50" t="s">
        <v>7</v>
      </c>
      <c r="G29" s="50" t="s">
        <v>7</v>
      </c>
      <c r="H29" s="51">
        <v>0</v>
      </c>
    </row>
    <row r="30" spans="1:8" x14ac:dyDescent="0.25">
      <c r="A30" s="50" t="s">
        <v>7</v>
      </c>
      <c r="B30" s="25" t="s">
        <v>186</v>
      </c>
      <c r="C30" s="52" t="s">
        <v>98</v>
      </c>
      <c r="D30" s="50" t="s">
        <v>7</v>
      </c>
      <c r="E30" s="50" t="s">
        <v>7</v>
      </c>
      <c r="F30" s="50" t="s">
        <v>7</v>
      </c>
      <c r="G30" s="50" t="s">
        <v>7</v>
      </c>
      <c r="H30" s="49" t="s">
        <v>189</v>
      </c>
    </row>
    <row r="32" ht="18" customHeight="1" spans="1:8" x14ac:dyDescent="0.25">
      <c r="A32" s="47" t="s">
        <v>192</v>
      </c>
      <c r="B32" s="47"/>
      <c r="C32" s="47"/>
      <c r="D32" s="47"/>
      <c r="E32" s="47"/>
      <c r="F32" s="47"/>
      <c r="G32" s="47"/>
      <c r="H32" s="47"/>
    </row>
    <row r="33" ht="24" customHeight="1" spans="1:8" x14ac:dyDescent="0.25">
      <c r="A33" s="48" t="s">
        <v>193</v>
      </c>
      <c r="B33" s="48"/>
      <c r="C33" s="48"/>
      <c r="D33" s="48"/>
      <c r="E33" s="48"/>
      <c r="F33" s="48"/>
      <c r="G33" s="48"/>
      <c r="H33" s="48"/>
    </row>
    <row r="34" spans="1:8" x14ac:dyDescent="0.25">
      <c r="A34" s="25" t="s">
        <v>7</v>
      </c>
      <c r="B34" s="25" t="s">
        <v>127</v>
      </c>
      <c r="C34" s="27">
        <v>-706031.6885545129</v>
      </c>
      <c r="D34" s="27">
        <v>66514.89477882069</v>
      </c>
      <c r="E34" s="27">
        <v>708232.4947788208</v>
      </c>
      <c r="F34" s="27">
        <v>1202306.8627788206</v>
      </c>
      <c r="G34" s="27">
        <v>1446208.9918188206</v>
      </c>
      <c r="H34" s="32">
        <v>-287499.9999999999</v>
      </c>
    </row>
    <row r="35" spans="1:8" x14ac:dyDescent="0.25">
      <c r="A35" s="25" t="s">
        <v>7</v>
      </c>
      <c r="B35" s="25" t="s">
        <v>183</v>
      </c>
      <c r="C35" s="26">
        <v>-13.17</v>
      </c>
      <c r="D35" s="26">
        <v>2.33</v>
      </c>
      <c r="E35" s="26">
        <v>15.21</v>
      </c>
      <c r="F35" s="26">
        <v>25.13</v>
      </c>
      <c r="G35" s="26">
        <v>30.03</v>
      </c>
      <c r="H35" s="51">
        <v>-5.77</v>
      </c>
    </row>
    <row r="36" spans="1:8" x14ac:dyDescent="0.25">
      <c r="A36" s="25" t="s">
        <v>7</v>
      </c>
      <c r="B36" s="25" t="s">
        <v>140</v>
      </c>
      <c r="C36" s="27">
        <v>-656031.6885545129</v>
      </c>
      <c r="D36" s="27">
        <v>-589516.7937756922</v>
      </c>
      <c r="E36" s="27">
        <v>118715.70100312855</v>
      </c>
      <c r="F36" s="27">
        <v>1321022.5637819492</v>
      </c>
      <c r="G36" s="27">
        <v>2767231.55560077</v>
      </c>
      <c r="H36" s="32">
        <v>-287499.9999999999</v>
      </c>
    </row>
    <row r="37" spans="1:8" x14ac:dyDescent="0.25">
      <c r="A37" s="25" t="s">
        <v>7</v>
      </c>
      <c r="B37" s="25" t="s">
        <v>184</v>
      </c>
      <c r="C37" s="26">
        <v>216</v>
      </c>
      <c r="D37" s="26">
        <v>190</v>
      </c>
      <c r="E37" s="26">
        <v>225</v>
      </c>
      <c r="F37" s="26">
        <v>251</v>
      </c>
      <c r="G37" s="26">
        <v>254</v>
      </c>
      <c r="H37" s="51">
        <v>60</v>
      </c>
    </row>
    <row r="38" spans="1:8" x14ac:dyDescent="0.25">
      <c r="A38" s="50" t="s">
        <v>7</v>
      </c>
      <c r="B38" s="25" t="s">
        <v>185</v>
      </c>
      <c r="C38" s="26">
        <v>2</v>
      </c>
      <c r="D38" s="50" t="s">
        <v>7</v>
      </c>
      <c r="E38" s="50" t="s">
        <v>7</v>
      </c>
      <c r="F38" s="50" t="s">
        <v>7</v>
      </c>
      <c r="G38" s="50" t="s">
        <v>7</v>
      </c>
      <c r="H38" s="51">
        <v>-1</v>
      </c>
    </row>
    <row r="39" spans="1:8" x14ac:dyDescent="0.25">
      <c r="A39" s="50" t="s">
        <v>7</v>
      </c>
      <c r="B39" s="25" t="s">
        <v>186</v>
      </c>
      <c r="C39" s="52" t="s">
        <v>97</v>
      </c>
      <c r="D39" s="50" t="s">
        <v>7</v>
      </c>
      <c r="E39" s="50" t="s">
        <v>7</v>
      </c>
      <c r="F39" s="50" t="s">
        <v>7</v>
      </c>
      <c r="G39" s="50" t="s">
        <v>7</v>
      </c>
      <c r="H39" s="49" t="s">
        <v>194</v>
      </c>
    </row>
    <row r="41" ht="18" customHeight="1" spans="1:8" x14ac:dyDescent="0.25">
      <c r="A41" s="47" t="s">
        <v>195</v>
      </c>
      <c r="B41" s="47"/>
      <c r="C41" s="47"/>
      <c r="D41" s="47"/>
      <c r="E41" s="47"/>
      <c r="F41" s="47"/>
      <c r="G41" s="47"/>
      <c r="H41" s="47"/>
    </row>
    <row r="42" ht="24" customHeight="1" spans="1:8" x14ac:dyDescent="0.25">
      <c r="A42" s="48" t="s">
        <v>196</v>
      </c>
      <c r="B42" s="48"/>
      <c r="C42" s="48"/>
      <c r="D42" s="48"/>
      <c r="E42" s="48"/>
      <c r="F42" s="48"/>
      <c r="G42" s="48"/>
      <c r="H42" s="48"/>
    </row>
    <row r="43" spans="1:8" x14ac:dyDescent="0.25">
      <c r="A43" s="25" t="s">
        <v>7</v>
      </c>
      <c r="B43" s="25" t="s">
        <v>127</v>
      </c>
      <c r="C43" s="27">
        <v>-477281.68855451304</v>
      </c>
      <c r="D43" s="27">
        <v>-6100.105221179314</v>
      </c>
      <c r="E43" s="27">
        <v>633440.8947788207</v>
      </c>
      <c r="F43" s="27">
        <v>1125269.3547788206</v>
      </c>
      <c r="G43" s="27">
        <v>1366860.7660788205</v>
      </c>
      <c r="H43" s="32">
        <v>-58750</v>
      </c>
    </row>
    <row r="44" spans="1:8" x14ac:dyDescent="0.25">
      <c r="A44" s="25" t="s">
        <v>7</v>
      </c>
      <c r="B44" s="25" t="s">
        <v>183</v>
      </c>
      <c r="C44" s="26">
        <v>-8.58</v>
      </c>
      <c r="D44" s="26">
        <v>0.88</v>
      </c>
      <c r="E44" s="26">
        <v>13.71</v>
      </c>
      <c r="F44" s="26">
        <v>23.58</v>
      </c>
      <c r="G44" s="26">
        <v>28.43</v>
      </c>
      <c r="H44" s="51">
        <v>-1.1799999999999997</v>
      </c>
    </row>
    <row r="45" spans="1:8" x14ac:dyDescent="0.25">
      <c r="A45" s="25" t="s">
        <v>7</v>
      </c>
      <c r="B45" s="25" t="s">
        <v>140</v>
      </c>
      <c r="C45" s="27">
        <v>-427281.68855451304</v>
      </c>
      <c r="D45" s="27">
        <v>-433381.79377569235</v>
      </c>
      <c r="E45" s="27">
        <v>200059.10100312834</v>
      </c>
      <c r="F45" s="27">
        <v>1325328.455781949</v>
      </c>
      <c r="G45" s="27">
        <v>2692189.221860769</v>
      </c>
      <c r="H45" s="32">
        <v>-58750</v>
      </c>
    </row>
    <row r="46" spans="1:8" x14ac:dyDescent="0.25">
      <c r="A46" s="25" t="s">
        <v>7</v>
      </c>
      <c r="B46" s="25" t="s">
        <v>184</v>
      </c>
      <c r="C46" s="26">
        <v>163</v>
      </c>
      <c r="D46" s="26">
        <v>197</v>
      </c>
      <c r="E46" s="26">
        <v>232</v>
      </c>
      <c r="F46" s="26">
        <v>259</v>
      </c>
      <c r="G46" s="26">
        <v>262</v>
      </c>
      <c r="H46" s="51">
        <v>7</v>
      </c>
    </row>
    <row r="47" spans="1:8" x14ac:dyDescent="0.25">
      <c r="A47" s="50" t="s">
        <v>7</v>
      </c>
      <c r="B47" s="25" t="s">
        <v>185</v>
      </c>
      <c r="C47" s="26">
        <v>3</v>
      </c>
      <c r="D47" s="50" t="s">
        <v>7</v>
      </c>
      <c r="E47" s="50" t="s">
        <v>7</v>
      </c>
      <c r="F47" s="50" t="s">
        <v>7</v>
      </c>
      <c r="G47" s="50" t="s">
        <v>7</v>
      </c>
      <c r="H47" s="51">
        <v>0</v>
      </c>
    </row>
    <row r="48" spans="1:8" x14ac:dyDescent="0.25">
      <c r="A48" s="50" t="s">
        <v>7</v>
      </c>
      <c r="B48" s="25" t="s">
        <v>186</v>
      </c>
      <c r="C48" s="52" t="s">
        <v>98</v>
      </c>
      <c r="D48" s="50" t="s">
        <v>7</v>
      </c>
      <c r="E48" s="50" t="s">
        <v>7</v>
      </c>
      <c r="F48" s="50" t="s">
        <v>7</v>
      </c>
      <c r="G48" s="50" t="s">
        <v>7</v>
      </c>
      <c r="H48" s="49" t="s">
        <v>189</v>
      </c>
    </row>
    <row r="50" ht="18" customHeight="1" spans="1:8" x14ac:dyDescent="0.25">
      <c r="A50" s="47" t="s">
        <v>197</v>
      </c>
      <c r="B50" s="47"/>
      <c r="C50" s="47"/>
      <c r="D50" s="47"/>
      <c r="E50" s="47"/>
      <c r="F50" s="47"/>
      <c r="G50" s="47"/>
      <c r="H50" s="47"/>
    </row>
    <row r="51" ht="24" customHeight="1" spans="1:8" x14ac:dyDescent="0.25">
      <c r="A51" s="48" t="s">
        <v>198</v>
      </c>
      <c r="B51" s="48"/>
      <c r="C51" s="48"/>
      <c r="D51" s="48"/>
      <c r="E51" s="48"/>
      <c r="F51" s="48"/>
      <c r="G51" s="48"/>
      <c r="H51" s="48"/>
    </row>
    <row r="52" spans="1:8" x14ac:dyDescent="0.25">
      <c r="A52" s="25" t="s">
        <v>7</v>
      </c>
      <c r="B52" s="25" t="s">
        <v>127</v>
      </c>
      <c r="C52" s="27">
        <v>-398184.18855451304</v>
      </c>
      <c r="D52" s="27">
        <v>52949.894778820686</v>
      </c>
      <c r="E52" s="27">
        <v>653972.4947788208</v>
      </c>
      <c r="F52" s="27">
        <v>1148046.8627788206</v>
      </c>
      <c r="G52" s="27">
        <v>1391948.9918188206</v>
      </c>
      <c r="H52" s="32">
        <v>20347.5</v>
      </c>
    </row>
    <row r="53" spans="1:8" x14ac:dyDescent="0.25">
      <c r="A53" s="25" t="s">
        <v>7</v>
      </c>
      <c r="B53" s="25" t="s">
        <v>183</v>
      </c>
      <c r="C53" s="26">
        <v>-6.99</v>
      </c>
      <c r="D53" s="26">
        <v>2.06</v>
      </c>
      <c r="E53" s="26">
        <v>14.13</v>
      </c>
      <c r="F53" s="26">
        <v>24.04</v>
      </c>
      <c r="G53" s="26">
        <v>28.94</v>
      </c>
      <c r="H53" s="51">
        <v>0.41000000000000014</v>
      </c>
    </row>
    <row r="54" spans="1:8" x14ac:dyDescent="0.25">
      <c r="A54" s="25" t="s">
        <v>7</v>
      </c>
      <c r="B54" s="25" t="s">
        <v>140</v>
      </c>
      <c r="C54" s="27">
        <v>-368531.68855451304</v>
      </c>
      <c r="D54" s="27">
        <v>-302016.79377569235</v>
      </c>
      <c r="E54" s="27">
        <v>406215.70100312843</v>
      </c>
      <c r="F54" s="27">
        <v>1608522.563781949</v>
      </c>
      <c r="G54" s="27">
        <v>3054731.55560077</v>
      </c>
      <c r="H54" s="32">
        <v>0</v>
      </c>
    </row>
    <row r="55" spans="1:8" x14ac:dyDescent="0.25">
      <c r="A55" s="25" t="s">
        <v>7</v>
      </c>
      <c r="B55" s="25" t="s">
        <v>184</v>
      </c>
      <c r="C55" s="26">
        <v>156</v>
      </c>
      <c r="D55" s="26">
        <v>190</v>
      </c>
      <c r="E55" s="26">
        <v>225</v>
      </c>
      <c r="F55" s="26">
        <v>251</v>
      </c>
      <c r="G55" s="26">
        <v>254</v>
      </c>
      <c r="H55" s="51">
        <v>0</v>
      </c>
    </row>
    <row r="56" spans="1:8" x14ac:dyDescent="0.25">
      <c r="A56" s="50" t="s">
        <v>7</v>
      </c>
      <c r="B56" s="25" t="s">
        <v>185</v>
      </c>
      <c r="C56" s="26">
        <v>3</v>
      </c>
      <c r="D56" s="50" t="s">
        <v>7</v>
      </c>
      <c r="E56" s="50" t="s">
        <v>7</v>
      </c>
      <c r="F56" s="50" t="s">
        <v>7</v>
      </c>
      <c r="G56" s="50" t="s">
        <v>7</v>
      </c>
      <c r="H56" s="51">
        <v>0</v>
      </c>
    </row>
    <row r="57" spans="1:8" x14ac:dyDescent="0.25">
      <c r="A57" s="50" t="s">
        <v>7</v>
      </c>
      <c r="B57" s="25" t="s">
        <v>186</v>
      </c>
      <c r="C57" s="52" t="s">
        <v>97</v>
      </c>
      <c r="D57" s="50" t="s">
        <v>7</v>
      </c>
      <c r="E57" s="50" t="s">
        <v>7</v>
      </c>
      <c r="F57" s="50" t="s">
        <v>7</v>
      </c>
      <c r="G57" s="50" t="s">
        <v>7</v>
      </c>
      <c r="H57" s="49" t="s">
        <v>194</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3" t="s">
        <v>200</v>
      </c>
      <c r="C2" s="53"/>
      <c r="D2" s="53"/>
      <c r="E2" s="53"/>
      <c r="F2" s="53"/>
      <c r="G2" s="53"/>
      <c r="H2" s="53"/>
    </row>
    <row r="4" ht="30" customHeight="1" spans="2:8" x14ac:dyDescent="0.25">
      <c r="B4" s="37" t="s">
        <v>201</v>
      </c>
      <c r="C4" s="37"/>
      <c r="D4" s="37"/>
      <c r="E4" s="37"/>
      <c r="F4" s="37"/>
      <c r="G4" s="37"/>
      <c r="H4" s="3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4" t="s">
        <v>203</v>
      </c>
      <c r="D4" s="55" t="s">
        <v>204</v>
      </c>
      <c r="F4" s="56" t="s">
        <v>205</v>
      </c>
    </row>
    <row r="6" ht="24" customHeight="1" spans="2:8" x14ac:dyDescent="0.25">
      <c r="B6" s="57" t="s">
        <v>178</v>
      </c>
      <c r="C6" s="58" t="s">
        <v>96</v>
      </c>
      <c r="D6" s="58" t="s">
        <v>97</v>
      </c>
      <c r="E6" s="58" t="s">
        <v>98</v>
      </c>
      <c r="F6" s="58" t="s">
        <v>99</v>
      </c>
      <c r="G6" s="58" t="s">
        <v>100</v>
      </c>
      <c r="H6" s="58" t="s">
        <v>206</v>
      </c>
    </row>
    <row r="7" spans="2:7" x14ac:dyDescent="0.25">
      <c r="B7" s="25" t="s">
        <v>101</v>
      </c>
      <c r="C7" s="26">
        <v>120</v>
      </c>
      <c r="D7" s="26">
        <v>200</v>
      </c>
      <c r="E7" s="26">
        <v>300</v>
      </c>
      <c r="F7" s="26">
        <v>375</v>
      </c>
      <c r="G7" s="26">
        <v>400</v>
      </c>
    </row>
    <row r="8" spans="2:7" x14ac:dyDescent="0.25">
      <c r="B8" s="25" t="s">
        <v>207</v>
      </c>
      <c r="C8" s="27">
        <v>1546000</v>
      </c>
      <c r="D8" s="27">
        <v>2537800</v>
      </c>
      <c r="E8" s="27">
        <v>3814861</v>
      </c>
      <c r="F8" s="27">
        <v>4829391.287500001</v>
      </c>
      <c r="G8" s="27">
        <v>5244248.993199999</v>
      </c>
    </row>
    <row r="9" spans="2:7" x14ac:dyDescent="0.25">
      <c r="B9" s="25" t="s">
        <v>208</v>
      </c>
      <c r="C9" s="27">
        <v>1200167.1888888888</v>
      </c>
      <c r="D9" s="27">
        <v>1653599.5366333332</v>
      </c>
      <c r="E9" s="27">
        <v>2194579.1250638887</v>
      </c>
      <c r="F9" s="27">
        <v>2703265.15541712</v>
      </c>
      <c r="G9" s="27">
        <v>2914687.143308021</v>
      </c>
    </row>
    <row r="10" spans="2:7" x14ac:dyDescent="0.25">
      <c r="B10" s="25" t="s">
        <v>209</v>
      </c>
      <c r="C10" s="27">
        <v>654000</v>
      </c>
      <c r="D10" s="27">
        <v>983993.3333333334</v>
      </c>
      <c r="E10" s="27">
        <v>1631192.688888889</v>
      </c>
      <c r="F10" s="27">
        <v>2758353.228506173</v>
      </c>
      <c r="G10" s="27">
        <v>4515013.522229714</v>
      </c>
    </row>
    <row r="11" spans="2:7" x14ac:dyDescent="0.25">
      <c r="B11" s="25" t="s">
        <v>210</v>
      </c>
      <c r="C11" s="27">
        <v>164824.60522117943</v>
      </c>
      <c r="D11" s="27">
        <v>164824.60522117943</v>
      </c>
      <c r="E11" s="27">
        <v>164824.60522117943</v>
      </c>
      <c r="F11" s="27">
        <v>164824.60522117943</v>
      </c>
      <c r="G11" s="27">
        <v>164824.60522117943</v>
      </c>
    </row>
    <row r="12" spans="2:7" x14ac:dyDescent="0.25">
      <c r="B12" s="28" t="s">
        <v>127</v>
      </c>
      <c r="C12" s="30">
        <v>-472991.79411006824</v>
      </c>
      <c r="D12" s="30">
        <v>-264617.4751878461</v>
      </c>
      <c r="E12" s="30">
        <v>-175735.41917395697</v>
      </c>
      <c r="F12" s="30">
        <v>-797051.701644472</v>
      </c>
      <c r="G12" s="30">
        <v>-2350276.2775589153</v>
      </c>
    </row>
    <row r="13" spans="2:7" x14ac:dyDescent="0.25">
      <c r="B13" s="28" t="s">
        <v>140</v>
      </c>
      <c r="C13" s="30">
        <v>-472991.79411006824</v>
      </c>
      <c r="D13" s="30">
        <v>-737609.2692979143</v>
      </c>
      <c r="E13" s="30">
        <v>-913344.6884718713</v>
      </c>
      <c r="F13" s="30">
        <v>-1710396.3901163433</v>
      </c>
      <c r="G13" s="30">
        <v>-4060672.6676752586</v>
      </c>
    </row>
    <row r="14" spans="2:7" x14ac:dyDescent="0.25">
      <c r="B14" s="28" t="s">
        <v>128</v>
      </c>
      <c r="C14" s="59">
        <v>-0.3059455330595525</v>
      </c>
      <c r="D14" s="59">
        <v>-0.10427042130500674</v>
      </c>
      <c r="E14" s="59">
        <v>-0.046066008479458874</v>
      </c>
      <c r="F14" s="59">
        <v>-0.16504185604249857</v>
      </c>
      <c r="G14" s="59">
        <v>-0.44816260261601254</v>
      </c>
    </row>
    <row r="15" spans="2:8" x14ac:dyDescent="0.25">
      <c r="B15" s="28" t="s">
        <v>211</v>
      </c>
      <c r="C15" s="60">
        <v>12883.333333333334</v>
      </c>
      <c r="D15" s="60">
        <v>12689</v>
      </c>
      <c r="E15" s="60">
        <v>12716.203333333333</v>
      </c>
      <c r="F15" s="60">
        <v>12878.376766666668</v>
      </c>
      <c r="G15" s="60">
        <v>13110.622483</v>
      </c>
      <c r="H15" s="61" t="s">
        <v>212</v>
      </c>
    </row>
    <row r="16" spans="2:7" x14ac:dyDescent="0.25">
      <c r="B16" s="28" t="s">
        <v>213</v>
      </c>
      <c r="C16" s="32">
        <v>16824.9316175839</v>
      </c>
      <c r="D16" s="32">
        <v>14012.08737593923</v>
      </c>
      <c r="E16" s="32">
        <v>13301.98806391319</v>
      </c>
      <c r="F16" s="32">
        <v>15003.847971051926</v>
      </c>
      <c r="G16" s="32">
        <v>18986.313176897285</v>
      </c>
    </row>
    <row r="17" spans="2:7" x14ac:dyDescent="0.25">
      <c r="B17" s="25" t="s">
        <v>214</v>
      </c>
      <c r="C17" s="27">
        <v>700</v>
      </c>
      <c r="D17" s="27">
        <v>1201.6666666666667</v>
      </c>
      <c r="E17" s="27">
        <v>2062.8611111111118</v>
      </c>
      <c r="F17" s="27">
        <v>3541.244907407408</v>
      </c>
      <c r="G17" s="27">
        <v>6079.137091049384</v>
      </c>
    </row>
    <row r="18" spans="2:8" x14ac:dyDescent="0.25">
      <c r="B18" s="25" t="s">
        <v>215</v>
      </c>
      <c r="C18" s="62">
        <v>2350</v>
      </c>
      <c r="D18" s="60">
        <v>1452.3</v>
      </c>
      <c r="E18" s="60">
        <v>997.246</v>
      </c>
      <c r="F18" s="60">
        <v>821.7307040000001</v>
      </c>
      <c r="G18" s="60">
        <v>793.4837110500001</v>
      </c>
      <c r="H18" s="61" t="s">
        <v>216</v>
      </c>
    </row>
    <row r="19" spans="2:7" x14ac:dyDescent="0.25">
      <c r="B19" s="28" t="s">
        <v>217</v>
      </c>
      <c r="C19" s="39">
        <v>-3941.5982842505687</v>
      </c>
      <c r="D19" s="39">
        <v>-1323.0873759392305</v>
      </c>
      <c r="E19" s="39">
        <v>-585.7847305798565</v>
      </c>
      <c r="F19" s="39">
        <v>-2125.4712043852587</v>
      </c>
      <c r="G19" s="39">
        <v>-5875.690693897288</v>
      </c>
    </row>
    <row r="20" spans="2:8" x14ac:dyDescent="0.25">
      <c r="B20" s="28" t="s">
        <v>218</v>
      </c>
      <c r="C20" s="59">
        <v>0.7763047793589191</v>
      </c>
      <c r="D20" s="59">
        <v>0.6515878070113221</v>
      </c>
      <c r="E20" s="63">
        <v>0.5752710583855843</v>
      </c>
      <c r="F20" s="63">
        <v>0.5597527709991174</v>
      </c>
      <c r="G20" s="63">
        <v>0.5557873295275215</v>
      </c>
      <c r="H20" s="61" t="s">
        <v>219</v>
      </c>
    </row>
    <row r="21" spans="2:8" x14ac:dyDescent="0.25">
      <c r="B21" s="28" t="s">
        <v>220</v>
      </c>
      <c r="C21" s="63">
        <v>0.18240620957309184</v>
      </c>
      <c r="D21" s="64">
        <v>0.11445346362991568</v>
      </c>
      <c r="E21" s="64">
        <v>0.07842325054569485</v>
      </c>
      <c r="F21" s="64">
        <v>0.06380700913541373</v>
      </c>
      <c r="G21" s="64">
        <v>0.06052219961934512</v>
      </c>
      <c r="H21" s="61" t="s">
        <v>221</v>
      </c>
    </row>
    <row r="22" spans="2:8" x14ac:dyDescent="0.25">
      <c r="B22" s="28" t="s">
        <v>124</v>
      </c>
      <c r="C22" s="59">
        <v>-0.19933194624119585</v>
      </c>
      <c r="D22" s="59">
        <v>-0.039322590419523434</v>
      </c>
      <c r="E22" s="59">
        <v>-0.0028600816524580494</v>
      </c>
      <c r="F22" s="59">
        <v>-0.13091237772754036</v>
      </c>
      <c r="G22" s="59">
        <v>-0.4167330108031714</v>
      </c>
      <c r="H22" s="61" t="s">
        <v>222</v>
      </c>
    </row>
    <row r="23" spans="2:8" x14ac:dyDescent="0.25">
      <c r="B23" s="28" t="s">
        <v>223</v>
      </c>
      <c r="C23" s="65">
        <v>3</v>
      </c>
      <c r="D23" s="65">
        <v>3</v>
      </c>
      <c r="E23" s="65">
        <v>3</v>
      </c>
      <c r="F23" s="65">
        <v>3</v>
      </c>
      <c r="G23" s="65">
        <v>3</v>
      </c>
      <c r="H23" s="61" t="s">
        <v>224</v>
      </c>
    </row>
    <row r="24" spans="2:8" x14ac:dyDescent="0.25">
      <c r="B24" s="28" t="s">
        <v>183</v>
      </c>
      <c r="C24" s="66">
        <v>-1.8696673865856184</v>
      </c>
      <c r="D24" s="66">
        <v>-0.6054488638559378</v>
      </c>
      <c r="E24" s="66">
        <v>-0.06619651197184098</v>
      </c>
      <c r="F24" s="66">
        <v>-3.8357567765741165</v>
      </c>
      <c r="G24" s="66">
        <v>-13.259256222122064</v>
      </c>
      <c r="H24" s="61" t="s">
        <v>225</v>
      </c>
    </row>
    <row r="25" spans="2:8" x14ac:dyDescent="0.25">
      <c r="B25" s="28" t="s">
        <v>226</v>
      </c>
      <c r="C25" s="67" t="str">
        <f>IF('5-Year P&amp;L'!C24&gt;=0,"✓ Break-even","")</f>
        <v>0</v>
      </c>
      <c r="D25" s="67" t="str">
        <f>IF(AND('5-Year P&amp;L'!D24&gt;=0,'5-Year P&amp;L'!C24&lt;0),"✓ Break-even","")</f>
        <v>0</v>
      </c>
      <c r="E25" s="67" t="str">
        <f>IF(AND('5-Year P&amp;L'!E24&gt;=0,'5-Year P&amp;L'!D24&lt;0),"✓ Break-even","")</f>
        <v>0</v>
      </c>
      <c r="F25" s="67" t="str">
        <f>IF(AND('5-Year P&amp;L'!F24&gt;=0,'5-Year P&amp;L'!E24&lt;0),"✓ Break-even","")</f>
        <v>0</v>
      </c>
      <c r="G25" s="67" t="str">
        <f>IF(AND('5-Year P&amp;L'!G24&gt;=0,'5-Year P&amp;L'!F24&lt;0),"✓ Break-even","")</f>
        <v>0</v>
      </c>
      <c r="H25" s="61" t="s">
        <v>96</v>
      </c>
    </row>
    <row r="26" spans="2:8" x14ac:dyDescent="0.25">
      <c r="B26" s="28" t="s">
        <v>227</v>
      </c>
      <c r="C26" s="68">
        <v>-3</v>
      </c>
      <c r="D26" s="68">
        <v>-3</v>
      </c>
      <c r="E26" s="68">
        <v>-3</v>
      </c>
      <c r="F26" s="68">
        <v>-4</v>
      </c>
      <c r="G26" s="68">
        <v>-6</v>
      </c>
      <c r="H26" s="61" t="s">
        <v>228</v>
      </c>
    </row>
    <row r="27" spans="2:8" x14ac:dyDescent="0.25">
      <c r="B27" s="28" t="s">
        <v>229</v>
      </c>
      <c r="C27" s="68">
        <v>0</v>
      </c>
      <c r="D27" s="68">
        <v>0</v>
      </c>
      <c r="E27" s="68">
        <v>0</v>
      </c>
      <c r="F27" s="68">
        <v>0</v>
      </c>
      <c r="G27" s="68">
        <v>0</v>
      </c>
      <c r="H27" s="61" t="s">
        <v>230</v>
      </c>
    </row>
    <row r="29" ht="24" customHeight="1" spans="2:9" x14ac:dyDescent="0.25">
      <c r="B29" s="57" t="s">
        <v>231</v>
      </c>
      <c r="C29" s="57" t="s">
        <v>232</v>
      </c>
      <c r="D29" s="57" t="s">
        <v>233</v>
      </c>
      <c r="E29" s="57"/>
      <c r="F29" s="57" t="s">
        <v>234</v>
      </c>
      <c r="G29" s="57"/>
      <c r="H29" s="57"/>
      <c r="I29" s="57"/>
    </row>
    <row r="30" ht="45" customHeight="1" spans="2:9" x14ac:dyDescent="0.25">
      <c r="B30" s="69" t="s">
        <v>235</v>
      </c>
      <c r="C30" s="70" t="s">
        <v>236</v>
      </c>
      <c r="D30" s="71" t="s">
        <v>237</v>
      </c>
      <c r="E30" s="71"/>
      <c r="F30" s="72" t="s">
        <v>238</v>
      </c>
      <c r="G30" s="72"/>
      <c r="H30" s="72"/>
      <c r="I30" s="72"/>
    </row>
    <row r="31" ht="45" customHeight="1" spans="2:9" x14ac:dyDescent="0.25">
      <c r="B31" s="69" t="s">
        <v>239</v>
      </c>
      <c r="C31" s="70" t="s">
        <v>236</v>
      </c>
      <c r="D31" s="71" t="s">
        <v>240</v>
      </c>
      <c r="E31" s="71"/>
      <c r="F31" s="72" t="s">
        <v>241</v>
      </c>
      <c r="G31" s="72"/>
      <c r="H31" s="72"/>
      <c r="I31" s="72"/>
    </row>
    <row r="32" ht="45" customHeight="1" spans="2:9" x14ac:dyDescent="0.25">
      <c r="B32" s="69" t="s">
        <v>242</v>
      </c>
      <c r="C32" s="73" t="s">
        <v>243</v>
      </c>
      <c r="D32" s="71" t="s">
        <v>244</v>
      </c>
      <c r="E32" s="71"/>
      <c r="F32" s="72" t="s">
        <v>245</v>
      </c>
      <c r="G32" s="72"/>
      <c r="H32" s="72"/>
      <c r="I32" s="72"/>
    </row>
    <row r="33" ht="45" customHeight="1" spans="2:9" x14ac:dyDescent="0.25">
      <c r="B33" s="69" t="s">
        <v>246</v>
      </c>
      <c r="C33" s="74" t="s">
        <v>247</v>
      </c>
      <c r="D33" s="71" t="s">
        <v>248</v>
      </c>
      <c r="E33" s="71"/>
      <c r="F33" s="72" t="s">
        <v>249</v>
      </c>
      <c r="G33" s="72"/>
      <c r="H33" s="72"/>
      <c r="I33" s="72"/>
    </row>
    <row r="34" ht="45" customHeight="1" spans="2:9" x14ac:dyDescent="0.25">
      <c r="B34" s="69" t="s">
        <v>250</v>
      </c>
      <c r="C34" s="70" t="s">
        <v>236</v>
      </c>
      <c r="D34" s="71" t="s">
        <v>251</v>
      </c>
      <c r="E34" s="71"/>
      <c r="F34" s="72" t="s">
        <v>252</v>
      </c>
      <c r="G34" s="72"/>
      <c r="H34" s="72"/>
      <c r="I34" s="72"/>
    </row>
    <row r="35" ht="45" customHeight="1" spans="2:9" x14ac:dyDescent="0.25">
      <c r="B35" s="69" t="s">
        <v>253</v>
      </c>
      <c r="C35" s="74" t="s">
        <v>247</v>
      </c>
      <c r="D35" s="71" t="s">
        <v>254</v>
      </c>
      <c r="E35" s="71"/>
      <c r="F35" s="72" t="s">
        <v>255</v>
      </c>
      <c r="G35" s="72"/>
      <c r="H35" s="72"/>
      <c r="I35" s="72"/>
    </row>
    <row r="36" ht="45" customHeight="1" spans="2:9" x14ac:dyDescent="0.25">
      <c r="B36" s="69" t="s">
        <v>256</v>
      </c>
      <c r="C36" s="70" t="s">
        <v>236</v>
      </c>
      <c r="D36" s="71" t="s">
        <v>257</v>
      </c>
      <c r="E36" s="71"/>
      <c r="F36" s="72" t="s">
        <v>258</v>
      </c>
      <c r="G36" s="72"/>
      <c r="H36" s="72"/>
      <c r="I36" s="72"/>
    </row>
    <row r="38" spans="2:6" x14ac:dyDescent="0.25">
      <c r="B38" s="69" t="s">
        <v>39</v>
      </c>
      <c r="C38" s="28" t="s">
        <v>259</v>
      </c>
      <c r="D38" s="28"/>
      <c r="E38" s="28"/>
      <c r="F38" s="28"/>
    </row>
    <row r="40" spans="2:9" x14ac:dyDescent="0.25">
      <c r="B40" s="75" t="s">
        <v>260</v>
      </c>
      <c r="C40" s="75"/>
      <c r="D40" s="75"/>
      <c r="E40" s="75"/>
      <c r="F40" s="75"/>
      <c r="G40" s="75"/>
      <c r="H40" s="75"/>
      <c r="I40" s="75"/>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