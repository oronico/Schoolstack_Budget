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Personnel'!$A1:$H26</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<sst xmlns="http://schemas.openxmlformats.org/spreadsheetml/2006/main" count="329" uniqueCount="230">
  <si>
    <t>SchoolStack Budget</t>
  </si>
  <si>
    <t>5-Year Financial Model</t>
  </si>
  <si>
    <t>Prepared for</t>
  </si>
  <si>
    <t>Heritage Academy Charter</t>
  </si>
  <si>
    <t>Charter School  •  501(c)(3) Nonprofit  •  AZ</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</si>
  <si>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</si>
  <si>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</si>
  <si>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</si>
  <si>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</si>
  <si>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</si>
  <si>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</si>
  <si>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</si>
  <si>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</si>
  <si>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</si>
  <si>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</si>
  <si>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</si>
  <si>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</si>
  <si>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</si>
  <si>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</si>
  <si>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</si>
  <si>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</si>
  <si>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</si>
  <si>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</si>
  <si>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</si>
  <si>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</si>
  <si>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</si>
  <si>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</si>
  <si>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</si>
  <si>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</si>
  <si>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</si>
  <si>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</si>
  <si>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</si>
  <si>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</si>
  <si>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</si>
  <si>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</si>
  <si>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</si>
  <si>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</si>
  <si>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</si>
  <si>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</si>
  <si>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</si>
  <si>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</si>
  <si>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</si>
  <si>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</si>
  <si>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</si>
  <si>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</si>
  <si>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</si>
  <si>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</si>
  <si>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</si>
  <si>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</si>
  <si>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</si>
  <si>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</si>
  <si>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</si>
  <si>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</si>
  <si>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</si>
  <si>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</si>
  <si>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</si>
  <si>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</si>
  <si>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</si>
  <si>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</si>
  <si>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</si>
  <si>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</si>
  <si>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</si>
  <si>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</si>
  <si>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</si>
  <si>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</si>
  <si>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</si>
  <si>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</si>
  <si>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</si>
  <si>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</si>
  <si>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</si>
  <si>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</si>
  <si>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</si>
  <si>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</si>
  <si>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</si>
  <si>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</si>
  <si>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</si>
  <si>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</si>
  <si>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</si>
  <si>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</si>
  <si>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</si>
  <si>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</si>
  <si>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</si>
  <si>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</si>
  <si>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</si>
  <si>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</si>
  <si>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</si>
  <si>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</si>
  <si>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</si>
  <si>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</si>
  <si>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</si>
  <si>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</si>
  <si>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</si>
  <si>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</si>
  <si>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</si>
  <si>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</si>
  <si>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</si>
  <si>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</si>
  <si>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</si>
  <si>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</si>
  <si>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</si>
  <si>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</si>
  <si>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</si>
  <si>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</si>
  <si>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</si>
  <si>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</si>
  <si>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</si>
  <si>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</si>
  <si>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</si>
  <si>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</si>
  <si>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</si>
  <si>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</si>
  <si>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</si>
  <si>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</si>
  <si>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</si>
  <si>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</si>
  <si>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</si>
  <si>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</si>
  <si>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</si>
  <si>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</si>
  <si>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</si>
  <si>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</si>
  <si>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</si>
  <si>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</si>
  <si>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</si>
  <si>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</si>
  <si>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</si>
  <si>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</si>
  <si>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</si>
  <si>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</si>
  <si>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</si>
  <si>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</si>
  <si>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</si>
  <si>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</si>
  <si>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</si>
  <si>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</si>
  <si>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</si>
  <si>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</si>
  <si>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</si>
  <si>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</si>
  <si>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</si>
  <si>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</si>
  <si>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</si>
  <si>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</si>
  <si>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</si>
  <si>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</si>
  <si>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</si>
  <si>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</si>
  <si>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</si>
  <si>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</si>
  <si>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</si>
  <si>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</si>
  <si>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</si>
  <si>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</si>
  <si>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</si>
  <si>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</si>
  <si>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</si>
  <si>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</si>
  <si>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</si>
  <si>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</si>
  <si>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</si>
  <si>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</si>
  <si>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</si>
  <si>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</si>
  <si>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</si>
  <si>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</si>
  <si>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</si>
  <si>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</si>
  <si>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</si>
  <si>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7,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</si>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</sst>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0">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20" fillId="8" borderId="2" xfId="0" applyNumberFormat="1" applyFont="1" applyFill="1" applyBorder="1"/>
    <xf numFmtId="165" fontId="20" fillId="8"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9" fillId="0" borderId="0" xfId="0" applyFont="1"/>
    <xf numFmtId="0" fontId="19"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121</v>
      </c>
      <c r="B3" s="8"/>
      <c r="C3" s="8"/>
      <c r="D3" s="8"/>
      <c r="E3" s="8"/>
      <c r="F3" s="8"/>
    </row>
    <row r="4" spans="1:6" x14ac:dyDescent="0.25">
      <c r="A4" s="22" t="s">
        <v>122</v>
      </c>
      <c r="B4" s="30">
        <f>650*Assumptions!B23</f>
        <v>78000</v>
      </c>
      <c r="C4" s="30">
        <f>670*Assumptions!B24</f>
        <v>134000</v>
      </c>
      <c r="D4" s="30">
        <f>690*Assumptions!B25</f>
        <v>207000</v>
      </c>
      <c r="E4" s="30">
        <f>710*Assumptions!B26</f>
        <v>284000</v>
      </c>
      <c r="F4" s="30">
        <f>732*Assumptions!B27</f>
        <v>366000</v>
      </c>
    </row>
    <row r="5" ht="24" customHeight="1" spans="1:6" x14ac:dyDescent="0.25">
      <c r="A5" s="8" t="s">
        <v>123</v>
      </c>
      <c r="B5" s="31">
        <f>SUM(B4:B4)</f>
        <v>78000</v>
      </c>
      <c r="C5" s="31">
        <f>SUM(C4:C4)</f>
        <v>134000</v>
      </c>
      <c r="D5" s="31">
        <f>SUM(D4:D4)</f>
        <v>207000</v>
      </c>
      <c r="E5" s="31">
        <f>SUM(E4:E4)</f>
        <v>284000</v>
      </c>
      <c r="F5" s="31">
        <f>SUM(F4:F4)</f>
        <v>366000</v>
      </c>
    </row>
    <row r="6" ht="24" customHeight="1" spans="1:6" x14ac:dyDescent="0.25">
      <c r="A6" s="8" t="s">
        <v>124</v>
      </c>
      <c r="B6" s="8"/>
      <c r="C6" s="8"/>
      <c r="D6" s="8"/>
      <c r="E6" s="8"/>
      <c r="F6" s="8"/>
    </row>
    <row r="7" spans="1:6" x14ac:dyDescent="0.25">
      <c r="A7" s="22" t="s">
        <v>125</v>
      </c>
      <c r="B7" s="30">
        <f>450*Assumptions!B23</f>
        <v>54000</v>
      </c>
      <c r="C7" s="30">
        <f>464*Assumptions!B24</f>
        <v>92800</v>
      </c>
      <c r="D7" s="30">
        <f>478*Assumptions!B25</f>
        <v>143400</v>
      </c>
      <c r="E7" s="30">
        <f>492*Assumptions!B26</f>
        <v>196800</v>
      </c>
      <c r="F7" s="30">
        <f>507*Assumptions!B27</f>
        <v>253500</v>
      </c>
    </row>
    <row r="8" ht="24" customHeight="1" spans="1:6" x14ac:dyDescent="0.25">
      <c r="A8" s="8" t="s">
        <v>126</v>
      </c>
      <c r="B8" s="31">
        <f>SUM(B7:B7)</f>
        <v>54000</v>
      </c>
      <c r="C8" s="31">
        <f>SUM(C7:C7)</f>
        <v>92800</v>
      </c>
      <c r="D8" s="31">
        <f>SUM(D7:D7)</f>
        <v>143400</v>
      </c>
      <c r="E8" s="31">
        <f>SUM(E7:E7)</f>
        <v>196800</v>
      </c>
      <c r="F8" s="31">
        <f>SUM(F7:F7)</f>
        <v>253500</v>
      </c>
    </row>
    <row r="9" ht="24" customHeight="1" spans="1:6" x14ac:dyDescent="0.25">
      <c r="A9" s="8" t="s">
        <v>127</v>
      </c>
      <c r="B9" s="8"/>
      <c r="C9" s="8"/>
      <c r="D9" s="8"/>
      <c r="E9" s="8"/>
      <c r="F9" s="8"/>
    </row>
    <row r="10" spans="1:6" x14ac:dyDescent="0.25">
      <c r="A10" s="22" t="s">
        <v>128</v>
      </c>
      <c r="B10" s="30">
        <f>22000*12</f>
        <v>264000</v>
      </c>
      <c r="C10" s="30">
        <f>22660*12</f>
        <v>271920</v>
      </c>
      <c r="D10" s="30">
        <f>23340*12</f>
        <v>280080</v>
      </c>
      <c r="E10" s="30">
        <f>24040*12</f>
        <v>288480</v>
      </c>
      <c r="F10" s="30">
        <f>24761*12</f>
        <v>297132</v>
      </c>
    </row>
    <row r="11" spans="1:6" x14ac:dyDescent="0.25">
      <c r="A11" s="22" t="s">
        <v>129</v>
      </c>
      <c r="B11" s="30">
        <f>3000*12</f>
        <v>36000</v>
      </c>
      <c r="C11" s="30">
        <f>3090*12</f>
        <v>37080</v>
      </c>
      <c r="D11" s="30">
        <f>3183*12</f>
        <v>38196</v>
      </c>
      <c r="E11" s="30">
        <f>3278*12</f>
        <v>39336</v>
      </c>
      <c r="F11" s="30">
        <f>3377*12</f>
        <v>40524</v>
      </c>
    </row>
    <row r="12" spans="1:6" x14ac:dyDescent="0.25">
      <c r="A12" s="22" t="s">
        <v>130</v>
      </c>
      <c r="B12" s="30">
        <v>22000</v>
      </c>
      <c r="C12" s="30">
        <v>22660</v>
      </c>
      <c r="D12" s="30">
        <v>23340</v>
      </c>
      <c r="E12" s="30">
        <v>24040</v>
      </c>
      <c r="F12" s="30">
        <v>24761</v>
      </c>
    </row>
    <row r="13" ht="24" customHeight="1" spans="1:6" x14ac:dyDescent="0.25">
      <c r="A13" s="8" t="s">
        <v>131</v>
      </c>
      <c r="B13" s="31">
        <f>SUM(B10:B12)</f>
        <v>322000</v>
      </c>
      <c r="C13" s="31">
        <f>SUM(C10:C12)</f>
        <v>331660</v>
      </c>
      <c r="D13" s="31">
        <f>SUM(D10:D12)</f>
        <v>341616</v>
      </c>
      <c r="E13" s="31">
        <f>SUM(E10:E12)</f>
        <v>351856</v>
      </c>
      <c r="F13" s="31">
        <f>SUM(F10:F12)</f>
        <v>362417</v>
      </c>
    </row>
    <row r="14" ht="24" customHeight="1" spans="1:6" x14ac:dyDescent="0.25">
      <c r="A14" s="8" t="s">
        <v>132</v>
      </c>
      <c r="B14" s="8"/>
      <c r="C14" s="8"/>
      <c r="D14" s="8"/>
      <c r="E14" s="8"/>
      <c r="F14" s="8"/>
    </row>
    <row r="15" spans="1:6" x14ac:dyDescent="0.25">
      <c r="A15" s="22" t="s">
        <v>133</v>
      </c>
      <c r="B15" s="30">
        <v>30000</v>
      </c>
      <c r="C15" s="30">
        <v>30900</v>
      </c>
      <c r="D15" s="30">
        <v>31827</v>
      </c>
      <c r="E15" s="30">
        <v>32782</v>
      </c>
      <c r="F15" s="30">
        <v>33765</v>
      </c>
    </row>
    <row r="16" spans="1:6" x14ac:dyDescent="0.25">
      <c r="A16" s="22" t="s">
        <v>134</v>
      </c>
      <c r="B16" s="30">
        <v>12000</v>
      </c>
      <c r="C16" s="30">
        <v>12360</v>
      </c>
      <c r="D16" s="30">
        <v>12731</v>
      </c>
      <c r="E16" s="30">
        <v>13113</v>
      </c>
      <c r="F16" s="30">
        <v>13506</v>
      </c>
    </row>
    <row r="17" spans="1:6" x14ac:dyDescent="0.25">
      <c r="A17" s="22" t="s">
        <v>135</v>
      </c>
      <c r="B17" s="30">
        <v>18000</v>
      </c>
      <c r="C17" s="30">
        <v>18540</v>
      </c>
      <c r="D17" s="30">
        <v>19096</v>
      </c>
      <c r="E17" s="30">
        <v>19669</v>
      </c>
      <c r="F17" s="30">
        <v>20259</v>
      </c>
    </row>
    <row r="18" spans="1:6" x14ac:dyDescent="0.25">
      <c r="A18" s="22" t="s">
        <v>136</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137</v>
      </c>
      <c r="B19" s="31">
        <f>SUM(B15:B18)</f>
        <v>150000</v>
      </c>
      <c r="C19" s="31">
        <f>SUM(C15:C18)</f>
        <v>216400</v>
      </c>
      <c r="D19" s="31">
        <f>SUM(D15:D18)</f>
        <v>302454</v>
      </c>
      <c r="E19" s="31">
        <f>SUM(E15:E18)</f>
        <v>393564</v>
      </c>
      <c r="F19" s="31">
        <f>SUM(F15:F18)</f>
        <v>490030</v>
      </c>
    </row>
    <row r="21" ht="24" customHeight="1" spans="1:6" x14ac:dyDescent="0.25">
      <c r="A21" s="8" t="s">
        <v>138</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46628.6108154935</v>
      </c>
      <c r="C3" s="30">
        <v>46628.6108154935</v>
      </c>
      <c r="D3" s="30">
        <v>46628.6108154935</v>
      </c>
      <c r="E3" s="30">
        <v>46628.6108154935</v>
      </c>
      <c r="F3" s="30">
        <v>46628.6108154935</v>
      </c>
    </row>
    <row r="4" spans="1:6" x14ac:dyDescent="0.25">
      <c r="A4" s="22" t="s">
        <v>141</v>
      </c>
      <c r="B4" s="30">
        <v>60000</v>
      </c>
      <c r="C4" s="30">
        <v>20000</v>
      </c>
      <c r="D4" s="30">
        <v>25000</v>
      </c>
      <c r="E4" s="30">
        <v>10000</v>
      </c>
      <c r="F4" s="30">
        <v>10000</v>
      </c>
    </row>
    <row r="5" ht="24" customHeight="1" spans="1:6" x14ac:dyDescent="0.25">
      <c r="A5" s="8" t="s">
        <v>142</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143</v>
      </c>
      <c r="B2" s="30">
        <f>'Revenue Schedule'!B16</f>
        <v>1465000</v>
      </c>
      <c r="C2" s="30">
        <f>'Revenue Schedule'!C16</f>
        <v>2328800</v>
      </c>
      <c r="D2" s="30">
        <f>'Revenue Schedule'!D16</f>
        <v>3452300</v>
      </c>
      <c r="E2" s="30">
        <f>'Revenue Schedule'!E16</f>
        <v>4623000</v>
      </c>
      <c r="F2" s="30">
        <f>'Revenue Schedule'!F16</f>
        <v>5891500</v>
      </c>
    </row>
    <row r="3" spans="1:6" x14ac:dyDescent="0.25">
      <c r="A3" s="22" t="s">
        <v>144</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145</v>
      </c>
      <c r="B6" s="31">
        <f>B3+B4+B5</f>
        <v>1491164</v>
      </c>
      <c r="C6" s="31">
        <f>C3+C4+C5</f>
        <v>1778131</v>
      </c>
      <c r="D6" s="31">
        <f>D3+D4+D5</f>
        <v>2002741</v>
      </c>
      <c r="E6" s="31">
        <f>E3+E4+E5</f>
        <v>2219491</v>
      </c>
      <c r="F6" s="31">
        <f>F3+F4+F5</f>
        <v>2465218</v>
      </c>
    </row>
    <row r="7" ht="24" customHeight="1" spans="1:6" x14ac:dyDescent="0.25">
      <c r="A7" s="8" t="s">
        <v>146</v>
      </c>
      <c r="B7" s="31">
        <f>B2-B6</f>
        <v>-26164</v>
      </c>
      <c r="C7" s="31">
        <f>C2-C6</f>
        <v>550669</v>
      </c>
      <c r="D7" s="31">
        <f>D2-D6</f>
        <v>1449559</v>
      </c>
      <c r="E7" s="31">
        <f>E2-E6</f>
        <v>2403509</v>
      </c>
      <c r="F7" s="31">
        <f>F2-F6</f>
        <v>3426282</v>
      </c>
    </row>
    <row r="8" spans="1:6" x14ac:dyDescent="0.25">
      <c r="A8" s="22" t="s">
        <v>147</v>
      </c>
      <c r="B8" s="30">
        <f>B7</f>
        <v>-26164</v>
      </c>
      <c r="C8" s="30">
        <f>B8+C7</f>
        <v>524505</v>
      </c>
      <c r="D8" s="30">
        <f>C8+D7</f>
        <v>1974064</v>
      </c>
      <c r="E8" s="30">
        <f>D8+E7</f>
        <v>4377573</v>
      </c>
      <c r="F8" s="30">
        <f>E8+F7</f>
        <v>7803855</v>
      </c>
    </row>
    <row r="9" spans="1:6" x14ac:dyDescent="0.25">
      <c r="A9" s="22" t="s">
        <v>11</v>
      </c>
      <c r="B9" s="39" t="str">
        <f>IF(B6=0,0,IF(B8&gt;0,B8/(B6/12),0))</f>
        <v>0</v>
      </c>
      <c r="C9" s="39">
        <f>IF(C6=0,0,IF(C8&gt;0,C8/(C6/12),0))</f>
        <v>3.5397054547724545</v>
      </c>
      <c r="D9" s="39">
        <f>IF(D6=0,0,IF(D8&gt;0,D8/(D6/12),0))</f>
        <v>11.828173488234373</v>
      </c>
      <c r="E9" s="39">
        <f>IF(E6=0,0,IF(E8&gt;0,E8/(E6/12),0))</f>
        <v>23.66798333491778</v>
      </c>
      <c r="F9" s="39">
        <f>IF(F6=0,0,IF(F8&gt;0,F8/(F6/12),0))</f>
        <v>37.98700966811049</v>
      </c>
    </row>
    <row r="10" spans="1:6" x14ac:dyDescent="0.25">
      <c r="A10" s="34" t="s">
        <v>148</v>
      </c>
      <c r="B10" s="40" t="s">
        <v>24</v>
      </c>
      <c r="C10" s="41" t="s">
        <v>149</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150</v>
      </c>
      <c r="B1" s="42"/>
      <c r="C1" s="42"/>
      <c r="D1" s="42"/>
      <c r="E1" s="42"/>
      <c r="F1" s="42"/>
    </row>
    <row r="2" spans="1:1" x14ac:dyDescent="0.25">
      <c r="A2" s="43" t="s">
        <v>151</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152</v>
      </c>
    </row>
    <row r="15" ht="24" customHeight="1" spans="1:6" x14ac:dyDescent="0.25">
      <c r="A15" s="8" t="s">
        <v>153</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154</v>
      </c>
      <c r="B18" s="9" t="s">
        <v>155</v>
      </c>
      <c r="C18" s="44">
        <f>IF(B17=0,0,(C17-B17)/B17)</f>
        <v>0.6666666666666666</v>
      </c>
      <c r="D18" s="44">
        <f>IF(C17=0,0,(D17-C17)/C17)</f>
        <v>0.5</v>
      </c>
      <c r="E18" s="44">
        <f>IF(D17=0,0,(E17-D17)/D17)</f>
        <v>0.3333333333333333</v>
      </c>
      <c r="F18" s="44">
        <f>IF(E17=0,0,(F17-E17)/E17)</f>
        <v>0.25</v>
      </c>
    </row>
    <row r="20" ht="28" customHeight="1" spans="1:6" x14ac:dyDescent="0.25">
      <c r="A20" s="28" t="s">
        <v>24</v>
      </c>
      <c r="B20" s="28" t="s">
        <v>68</v>
      </c>
      <c r="C20" s="28" t="s">
        <v>69</v>
      </c>
      <c r="D20" s="28" t="s">
        <v>70</v>
      </c>
      <c r="E20" s="28" t="s">
        <v>71</v>
      </c>
      <c r="F20" s="28" t="s">
        <v>72</v>
      </c>
    </row>
    <row r="21" spans="1:6" x14ac:dyDescent="0.25">
      <c r="A21" s="22" t="s">
        <v>143</v>
      </c>
      <c r="B21" s="30">
        <f>'Financial Model'!B2</f>
        <v>1465000</v>
      </c>
      <c r="C21" s="30">
        <f>'Financial Model'!C2</f>
        <v>2328800</v>
      </c>
      <c r="D21" s="30">
        <f>'Financial Model'!D2</f>
        <v>3452300</v>
      </c>
      <c r="E21" s="30">
        <f>'Financial Model'!E2</f>
        <v>4623000</v>
      </c>
      <c r="F21" s="30">
        <f>'Financial Model'!F2</f>
        <v>5891500</v>
      </c>
    </row>
    <row r="22" spans="1:6" x14ac:dyDescent="0.25">
      <c r="A22" s="22" t="s">
        <v>144</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145</v>
      </c>
      <c r="B24" s="31">
        <f>'Financial Model'!B6</f>
        <v>1491164</v>
      </c>
      <c r="C24" s="31">
        <f>'Financial Model'!C6</f>
        <v>1778131</v>
      </c>
      <c r="D24" s="31">
        <f>'Financial Model'!D6</f>
        <v>2002741</v>
      </c>
      <c r="E24" s="31">
        <f>'Financial Model'!E6</f>
        <v>2219491</v>
      </c>
      <c r="F24" s="31">
        <f>'Financial Model'!F6</f>
        <v>2465218</v>
      </c>
    </row>
    <row r="25" spans="1:6" x14ac:dyDescent="0.25">
      <c r="A25" s="34" t="s">
        <v>146</v>
      </c>
      <c r="B25" s="45">
        <f>'Financial Model'!B7</f>
        <v>-26164</v>
      </c>
      <c r="C25" s="46">
        <f>'Financial Model'!C7</f>
        <v>550669</v>
      </c>
      <c r="D25" s="46">
        <f>'Financial Model'!D7</f>
        <v>1449559</v>
      </c>
      <c r="E25" s="46">
        <f>'Financial Model'!E7</f>
        <v>2403509</v>
      </c>
      <c r="F25" s="46">
        <f>'Financial Model'!F7</f>
        <v>3426282</v>
      </c>
    </row>
    <row r="26" spans="1:6" x14ac:dyDescent="0.25">
      <c r="A26" s="22" t="s">
        <v>147</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7"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156</v>
      </c>
      <c r="B29" s="8"/>
      <c r="C29" s="8"/>
      <c r="D29" s="8"/>
      <c r="E29" s="8"/>
      <c r="F29" s="8"/>
    </row>
    <row r="30" spans="1:6" x14ac:dyDescent="0.25">
      <c r="A30" s="22" t="s">
        <v>157</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158</v>
      </c>
      <c r="B31" s="44">
        <f>IF(B21=0,0,'Financial Model'!B3/B21)</f>
        <v>0.5327883959044368</v>
      </c>
      <c r="C31" s="44">
        <f>IF(C21=0,0,'Financial Model'!C3/C21)</f>
        <v>0.4021994160082446</v>
      </c>
      <c r="D31" s="44">
        <f>IF(D21=0,0,'Financial Model'!D3/D21)</f>
        <v>0.2713095617414477</v>
      </c>
      <c r="E31" s="44">
        <f>IF(E21=0,0,'Financial Model'!E3/E21)</f>
        <v>0.20260480207657366</v>
      </c>
      <c r="F31" s="44">
        <f>IF(F21=0,0,'Financial Model'!F3/F21)</f>
        <v>0.15898192310956463</v>
      </c>
    </row>
    <row r="32" spans="1:6" x14ac:dyDescent="0.25">
      <c r="A32" s="22" t="s">
        <v>159</v>
      </c>
      <c r="B32" s="44">
        <f>IF(B21=0,0,'Financial Model'!B4/B21)</f>
        <v>0.41228668941979524</v>
      </c>
      <c r="C32" s="44">
        <f>IF(C21=0,0,'Financial Model'!C4/C21)</f>
        <v>0.3327293026451391</v>
      </c>
      <c r="D32" s="44">
        <f>IF(D21=0,0,'Financial Model'!D4/D21)</f>
        <v>0.2880601338238276</v>
      </c>
      <c r="E32" s="44">
        <f>IF(E21=0,0,'Financial Model'!E4/E21)</f>
        <v>0.26524334847501624</v>
      </c>
      <c r="F32" s="44">
        <f>IF(F21=0,0,'Financial Model'!F4/F21)</f>
        <v>0.24984248493592465</v>
      </c>
    </row>
    <row r="33" spans="1:6" x14ac:dyDescent="0.25">
      <c r="A33" s="34" t="s">
        <v>160</v>
      </c>
      <c r="B33" s="48">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161</v>
      </c>
      <c r="B35" s="8"/>
      <c r="C35" s="8"/>
      <c r="D35" s="8"/>
      <c r="E35" s="8"/>
      <c r="F35" s="8"/>
    </row>
    <row r="36" spans="1:6" x14ac:dyDescent="0.25">
      <c r="A36" s="22" t="s">
        <v>162</v>
      </c>
      <c r="B36" s="44">
        <v>0.032764505119453925</v>
      </c>
      <c r="C36" s="44">
        <v>0.03538302988663689</v>
      </c>
      <c r="D36" s="44">
        <v>0.03684500188280277</v>
      </c>
      <c r="E36" s="44">
        <v>0.03781094527363184</v>
      </c>
      <c r="F36" s="44">
        <v>0.03819061359585844</v>
      </c>
    </row>
    <row r="37" spans="1:6" x14ac:dyDescent="0.25">
      <c r="A37" s="22" t="s">
        <v>163</v>
      </c>
      <c r="B37" s="44">
        <v>0.8477815699658703</v>
      </c>
      <c r="C37" s="44">
        <v>0.9066472002748196</v>
      </c>
      <c r="D37" s="44">
        <v>0.9356371114908901</v>
      </c>
      <c r="E37" s="44">
        <v>0.9502920181700195</v>
      </c>
      <c r="F37" s="44">
        <v>0.9507765424764492</v>
      </c>
    </row>
    <row r="38" spans="1:6" x14ac:dyDescent="0.25">
      <c r="A38" s="22" t="s">
        <v>164</v>
      </c>
      <c r="B38" s="44">
        <v>0.11945392491467577</v>
      </c>
      <c r="C38" s="44">
        <v>0.057969769838543454</v>
      </c>
      <c r="D38" s="44">
        <v>0.0275178866263071</v>
      </c>
      <c r="E38" s="44">
        <v>0.01189703655634869</v>
      </c>
      <c r="F38" s="44">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165</v>
      </c>
      <c r="C2" s="49"/>
      <c r="D2" s="49"/>
      <c r="E2" s="49"/>
      <c r="F2" s="49"/>
      <c r="G2" s="49"/>
      <c r="H2" s="49"/>
    </row>
    <row r="4" ht="30" customHeight="1" spans="2:8" x14ac:dyDescent="0.25">
      <c r="B4" s="50" t="s">
        <v>166</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2" t="s">
        <v>167</v>
      </c>
      <c r="C2" s="42"/>
      <c r="D2" s="42"/>
      <c r="E2" s="42"/>
      <c r="F2" s="42"/>
      <c r="G2" s="42"/>
      <c r="H2" s="42"/>
      <c r="I2" s="42"/>
    </row>
    <row r="3" spans="2:9" x14ac:dyDescent="0.25">
      <c r="B3" s="51" t="s">
        <v>168</v>
      </c>
      <c r="C3" s="51"/>
      <c r="D3" s="51"/>
      <c r="E3" s="51"/>
      <c r="F3" s="51"/>
      <c r="G3" s="51"/>
      <c r="H3" s="51"/>
      <c r="I3" s="51"/>
    </row>
    <row r="4" spans="2:6" x14ac:dyDescent="0.25">
      <c r="B4" s="52" t="s">
        <v>169</v>
      </c>
      <c r="D4" s="53" t="s">
        <v>170</v>
      </c>
      <c r="F4" s="54" t="s">
        <v>171</v>
      </c>
    </row>
    <row r="6" ht="24" customHeight="1" spans="2:8" x14ac:dyDescent="0.25">
      <c r="B6" s="8" t="s">
        <v>172</v>
      </c>
      <c r="C6" s="55" t="s">
        <v>68</v>
      </c>
      <c r="D6" s="55" t="s">
        <v>69</v>
      </c>
      <c r="E6" s="55" t="s">
        <v>70</v>
      </c>
      <c r="F6" s="55" t="s">
        <v>71</v>
      </c>
      <c r="G6" s="55" t="s">
        <v>72</v>
      </c>
      <c r="H6" s="55" t="s">
        <v>173</v>
      </c>
    </row>
    <row r="7" spans="2:7" x14ac:dyDescent="0.25">
      <c r="B7" s="9" t="s">
        <v>174</v>
      </c>
      <c r="C7" s="56">
        <v>120</v>
      </c>
      <c r="D7" s="56">
        <v>200</v>
      </c>
      <c r="E7" s="56">
        <v>300</v>
      </c>
      <c r="F7" s="56">
        <v>400</v>
      </c>
      <c r="G7" s="56">
        <v>500</v>
      </c>
    </row>
    <row r="8" spans="2:7" x14ac:dyDescent="0.25">
      <c r="B8" s="9" t="s">
        <v>175</v>
      </c>
      <c r="C8" s="57">
        <v>1465000</v>
      </c>
      <c r="D8" s="57">
        <v>2328800</v>
      </c>
      <c r="E8" s="57">
        <v>3452300</v>
      </c>
      <c r="F8" s="57">
        <v>4623000</v>
      </c>
      <c r="G8" s="57">
        <v>5891500</v>
      </c>
    </row>
    <row r="9" spans="2:7" x14ac:dyDescent="0.25">
      <c r="B9" s="9" t="s">
        <v>176</v>
      </c>
      <c r="C9" s="57">
        <v>780535</v>
      </c>
      <c r="D9" s="57">
        <v>936642</v>
      </c>
      <c r="E9" s="57">
        <v>936642</v>
      </c>
      <c r="F9" s="57">
        <v>936642</v>
      </c>
      <c r="G9" s="57">
        <v>936642</v>
      </c>
    </row>
    <row r="10" spans="2:7" x14ac:dyDescent="0.25">
      <c r="B10" s="9" t="s">
        <v>17</v>
      </c>
      <c r="C10" s="57">
        <v>604000</v>
      </c>
      <c r="D10" s="57">
        <v>774860</v>
      </c>
      <c r="E10" s="57">
        <v>994470</v>
      </c>
      <c r="F10" s="57">
        <v>1226220</v>
      </c>
      <c r="G10" s="57">
        <v>1471947</v>
      </c>
    </row>
    <row r="11" spans="2:7" x14ac:dyDescent="0.25">
      <c r="B11" s="9" t="s">
        <v>177</v>
      </c>
      <c r="C11" s="57">
        <v>46628.6108154935</v>
      </c>
      <c r="D11" s="57">
        <v>46628.6108154935</v>
      </c>
      <c r="E11" s="57">
        <v>46628.6108154935</v>
      </c>
      <c r="F11" s="57">
        <v>46628.6108154935</v>
      </c>
      <c r="G11" s="57">
        <v>46628.6108154935</v>
      </c>
    </row>
    <row r="12" spans="2:7" x14ac:dyDescent="0.25">
      <c r="B12" s="58" t="s">
        <v>146</v>
      </c>
      <c r="C12" s="59">
        <v>-26164</v>
      </c>
      <c r="D12" s="60">
        <v>550669</v>
      </c>
      <c r="E12" s="60">
        <v>1449559</v>
      </c>
      <c r="F12" s="60">
        <v>2403509</v>
      </c>
      <c r="G12" s="60">
        <v>3426282</v>
      </c>
    </row>
    <row r="13" spans="2:7" x14ac:dyDescent="0.25">
      <c r="B13" s="58" t="s">
        <v>178</v>
      </c>
      <c r="C13" s="59">
        <v>-26164</v>
      </c>
      <c r="D13" s="60">
        <v>524505</v>
      </c>
      <c r="E13" s="60">
        <v>1974064</v>
      </c>
      <c r="F13" s="60">
        <v>4377573</v>
      </c>
      <c r="G13" s="60">
        <v>7803855</v>
      </c>
    </row>
    <row r="14" spans="2:7" x14ac:dyDescent="0.25">
      <c r="B14" s="58" t="s">
        <v>179</v>
      </c>
      <c r="C14" s="61">
        <v>-0.01785938566552901</v>
      </c>
      <c r="D14" s="62">
        <v>0.23646040879422878</v>
      </c>
      <c r="E14" s="62">
        <v>0.41988210758045363</v>
      </c>
      <c r="F14" s="62">
        <v>0.5199024443002379</v>
      </c>
      <c r="G14" s="62">
        <v>0.5815636085886446</v>
      </c>
    </row>
    <row r="15" spans="2:8" x14ac:dyDescent="0.25">
      <c r="B15" s="58" t="s">
        <v>157</v>
      </c>
      <c r="C15" s="63">
        <v>12208.333333333334</v>
      </c>
      <c r="D15" s="63">
        <v>11644</v>
      </c>
      <c r="E15" s="63">
        <v>11507.666666666666</v>
      </c>
      <c r="F15" s="63">
        <v>11557.5</v>
      </c>
      <c r="G15" s="63">
        <v>11783</v>
      </c>
      <c r="H15" s="64" t="s">
        <v>180</v>
      </c>
    </row>
    <row r="16" spans="2:7" x14ac:dyDescent="0.25">
      <c r="B16" s="58" t="s">
        <v>181</v>
      </c>
      <c r="C16" s="65">
        <v>11926.363423462444</v>
      </c>
      <c r="D16" s="65">
        <v>8790.653054077467</v>
      </c>
      <c r="E16" s="65">
        <v>6592.468702718311</v>
      </c>
      <c r="F16" s="65">
        <v>5523.726527038733</v>
      </c>
      <c r="G16" s="65">
        <v>4910.435221630987</v>
      </c>
    </row>
    <row r="17" spans="2:7" x14ac:dyDescent="0.25">
      <c r="B17" s="9" t="s">
        <v>182</v>
      </c>
      <c r="C17" s="57">
        <v>650</v>
      </c>
      <c r="D17" s="57">
        <v>670</v>
      </c>
      <c r="E17" s="57">
        <v>690</v>
      </c>
      <c r="F17" s="57">
        <v>710</v>
      </c>
      <c r="G17" s="57">
        <v>732</v>
      </c>
    </row>
    <row r="18" spans="2:8" x14ac:dyDescent="0.25">
      <c r="B18" s="9" t="s">
        <v>183</v>
      </c>
      <c r="C18" s="66">
        <v>2683.3333333333335</v>
      </c>
      <c r="D18" s="63">
        <v>1658.3</v>
      </c>
      <c r="E18" s="63">
        <v>1138.712</v>
      </c>
      <c r="F18" s="63">
        <v>879.6398199999999</v>
      </c>
      <c r="G18" s="63">
        <v>724.8386516800001</v>
      </c>
      <c r="H18" s="64" t="s">
        <v>184</v>
      </c>
    </row>
    <row r="19" spans="2:7" x14ac:dyDescent="0.25">
      <c r="B19" s="58" t="s">
        <v>185</v>
      </c>
      <c r="C19" s="67">
        <v>-218.03333333333333</v>
      </c>
      <c r="D19" s="68">
        <v>2753.345</v>
      </c>
      <c r="E19" s="68">
        <v>4831.863333333334</v>
      </c>
      <c r="F19" s="68">
        <v>6008.7725</v>
      </c>
      <c r="G19" s="68">
        <v>6852.564</v>
      </c>
    </row>
    <row r="20" spans="2:8" x14ac:dyDescent="0.25">
      <c r="B20" s="58" t="s">
        <v>186</v>
      </c>
      <c r="C20" s="62">
        <v>0.5327883959044368</v>
      </c>
      <c r="D20" s="62">
        <v>0.4021994160082446</v>
      </c>
      <c r="E20" s="62">
        <v>0.2713095617414477</v>
      </c>
      <c r="F20" s="62">
        <v>0.20260480207657366</v>
      </c>
      <c r="G20" s="62">
        <v>0.15898192310956463</v>
      </c>
      <c r="H20" s="64" t="s">
        <v>187</v>
      </c>
    </row>
    <row r="21" spans="2:8" x14ac:dyDescent="0.25">
      <c r="B21" s="58" t="s">
        <v>188</v>
      </c>
      <c r="C21" s="69">
        <v>0.2197952218430034</v>
      </c>
      <c r="D21" s="62">
        <v>0.1424166952937135</v>
      </c>
      <c r="E21" s="62">
        <v>0.0989524664716276</v>
      </c>
      <c r="F21" s="62">
        <v>0.07610986978152713</v>
      </c>
      <c r="G21" s="62">
        <v>0.06151562859034203</v>
      </c>
      <c r="H21" s="64" t="s">
        <v>189</v>
      </c>
    </row>
    <row r="22" spans="2:8" x14ac:dyDescent="0.25">
      <c r="B22" s="58" t="s">
        <v>190</v>
      </c>
      <c r="C22" s="69">
        <v>0.05492491467576792</v>
      </c>
      <c r="D22" s="62">
        <v>0.2650712813466163</v>
      </c>
      <c r="E22" s="62">
        <v>0.4406303044347247</v>
      </c>
      <c r="F22" s="62">
        <v>0.5321518494484101</v>
      </c>
      <c r="G22" s="62">
        <v>0.5911755919545107</v>
      </c>
      <c r="H22" s="64" t="s">
        <v>191</v>
      </c>
    </row>
    <row r="23" spans="2:8" x14ac:dyDescent="0.25">
      <c r="B23" s="58" t="s">
        <v>192</v>
      </c>
      <c r="C23" s="70">
        <v>3</v>
      </c>
      <c r="D23" s="70">
        <v>3</v>
      </c>
      <c r="E23" s="70">
        <v>3</v>
      </c>
      <c r="F23" s="70">
        <v>3</v>
      </c>
      <c r="G23" s="70">
        <v>3</v>
      </c>
      <c r="H23" s="64" t="s">
        <v>193</v>
      </c>
    </row>
    <row r="24" spans="2:8" x14ac:dyDescent="0.25">
      <c r="B24" s="58" t="s">
        <v>194</v>
      </c>
      <c r="C24" s="71">
        <v>1.7256572433263127</v>
      </c>
      <c r="D24" s="71">
        <v>13.238610140941356</v>
      </c>
      <c r="E24" s="71">
        <v>32.62348959996355</v>
      </c>
      <c r="F24" s="71">
        <v>52.76026793366443</v>
      </c>
      <c r="G24" s="71">
        <v>74.69471938123272</v>
      </c>
      <c r="H24" s="64" t="s">
        <v>195</v>
      </c>
    </row>
    <row r="25" spans="2:8" x14ac:dyDescent="0.25">
      <c r="B25" s="58" t="s">
        <v>196</v>
      </c>
      <c r="C25" s="72" t="str">
        <f>IF('Financial Model'!B8&gt;=0,"✓ Break-even","")</f>
        <v>0</v>
      </c>
      <c r="D25" s="41" t="str">
        <f>IF(AND('Financial Model'!C8&gt;=0,'Financial Model'!B8&lt;0),"✓ Break-even","")</f>
        <v>✓ Break-even</v>
      </c>
      <c r="E25" s="72" t="str">
        <f>IF(AND('Financial Model'!D8&gt;=0,'Financial Model'!C8&lt;0),"✓ Break-even","")</f>
        <v>0</v>
      </c>
      <c r="F25" s="72" t="str">
        <f>IF(AND('Financial Model'!E8&gt;=0,'Financial Model'!D8&lt;0),"✓ Break-even","")</f>
        <v>0</v>
      </c>
      <c r="G25" s="72" t="str">
        <f>IF(AND('Financial Model'!F8&gt;=0,'Financial Model'!E8&lt;0),"✓ Break-even","")</f>
        <v>0</v>
      </c>
      <c r="H25" s="64" t="s">
        <v>68</v>
      </c>
    </row>
    <row r="26" spans="2:8" x14ac:dyDescent="0.25">
      <c r="B26" s="58" t="s">
        <v>197</v>
      </c>
      <c r="C26" s="73">
        <v>0</v>
      </c>
      <c r="D26" s="73">
        <v>4</v>
      </c>
      <c r="E26" s="74">
        <v>12</v>
      </c>
      <c r="F26" s="70">
        <v>24</v>
      </c>
      <c r="G26" s="70">
        <v>38</v>
      </c>
      <c r="H26" s="64" t="s">
        <v>198</v>
      </c>
    </row>
    <row r="27" spans="2:8" x14ac:dyDescent="0.25">
      <c r="B27" s="58" t="s">
        <v>199</v>
      </c>
      <c r="C27" s="73">
        <v>0</v>
      </c>
      <c r="D27" s="70">
        <v>109</v>
      </c>
      <c r="E27" s="70">
        <v>364</v>
      </c>
      <c r="F27" s="70">
        <v>723</v>
      </c>
      <c r="G27" s="70">
        <v>1160</v>
      </c>
      <c r="H27" s="64" t="s">
        <v>200</v>
      </c>
    </row>
    <row r="29" ht="24" customHeight="1" spans="2:9" x14ac:dyDescent="0.25">
      <c r="B29" s="8" t="s">
        <v>201</v>
      </c>
      <c r="C29" s="8" t="s">
        <v>202</v>
      </c>
      <c r="D29" s="8" t="s">
        <v>203</v>
      </c>
      <c r="E29" s="8"/>
      <c r="F29" s="8" t="s">
        <v>204</v>
      </c>
      <c r="G29" s="8"/>
      <c r="H29" s="8"/>
      <c r="I29" s="8"/>
    </row>
    <row r="30" ht="45" customHeight="1" spans="2:9" x14ac:dyDescent="0.25">
      <c r="B30" s="75" t="s">
        <v>205</v>
      </c>
      <c r="C30" s="41" t="s">
        <v>206</v>
      </c>
      <c r="D30" s="76" t="s">
        <v>207</v>
      </c>
      <c r="E30" s="76"/>
      <c r="F30" s="77" t="s">
        <v>208</v>
      </c>
      <c r="G30" s="77"/>
      <c r="H30" s="77"/>
      <c r="I30" s="77"/>
    </row>
    <row r="31" ht="45" customHeight="1" spans="2:9" x14ac:dyDescent="0.25">
      <c r="B31" s="75" t="s">
        <v>209</v>
      </c>
      <c r="C31" s="78" t="s">
        <v>210</v>
      </c>
      <c r="D31" s="76" t="s">
        <v>211</v>
      </c>
      <c r="E31" s="76"/>
      <c r="F31" s="77" t="s">
        <v>212</v>
      </c>
      <c r="G31" s="77"/>
      <c r="H31" s="77"/>
      <c r="I31" s="77"/>
    </row>
    <row r="32" ht="45" customHeight="1" spans="2:9" x14ac:dyDescent="0.25">
      <c r="B32" s="75" t="s">
        <v>213</v>
      </c>
      <c r="C32" s="41" t="s">
        <v>206</v>
      </c>
      <c r="D32" s="76" t="s">
        <v>214</v>
      </c>
      <c r="E32" s="76"/>
      <c r="F32" s="77" t="s">
        <v>215</v>
      </c>
      <c r="G32" s="77"/>
      <c r="H32" s="77"/>
      <c r="I32" s="77"/>
    </row>
    <row r="33" ht="45" customHeight="1" spans="2:9" x14ac:dyDescent="0.25">
      <c r="B33" s="75" t="s">
        <v>216</v>
      </c>
      <c r="C33" s="41" t="s">
        <v>206</v>
      </c>
      <c r="D33" s="76" t="s">
        <v>217</v>
      </c>
      <c r="E33" s="76"/>
      <c r="F33" s="77" t="s">
        <v>218</v>
      </c>
      <c r="G33" s="77"/>
      <c r="H33" s="77"/>
      <c r="I33" s="77"/>
    </row>
    <row r="34" ht="45" customHeight="1" spans="2:9" x14ac:dyDescent="0.25">
      <c r="B34" s="75" t="s">
        <v>219</v>
      </c>
      <c r="C34" s="41" t="s">
        <v>206</v>
      </c>
      <c r="D34" s="76" t="s">
        <v>220</v>
      </c>
      <c r="E34" s="76"/>
      <c r="F34" s="77" t="s">
        <v>221</v>
      </c>
      <c r="G34" s="77"/>
      <c r="H34" s="77"/>
      <c r="I34" s="77"/>
    </row>
    <row r="35" ht="45" customHeight="1" spans="2:9" x14ac:dyDescent="0.25">
      <c r="B35" s="75" t="s">
        <v>222</v>
      </c>
      <c r="C35" s="41" t="s">
        <v>206</v>
      </c>
      <c r="D35" s="76" t="s">
        <v>223</v>
      </c>
      <c r="E35" s="76"/>
      <c r="F35" s="77" t="s">
        <v>224</v>
      </c>
      <c r="G35" s="77"/>
      <c r="H35" s="77"/>
      <c r="I35" s="77"/>
    </row>
    <row r="36" ht="45" customHeight="1" spans="2:9" x14ac:dyDescent="0.25">
      <c r="B36" s="75" t="s">
        <v>225</v>
      </c>
      <c r="C36" s="41" t="s">
        <v>206</v>
      </c>
      <c r="D36" s="76" t="s">
        <v>226</v>
      </c>
      <c r="E36" s="76"/>
      <c r="F36" s="77" t="s">
        <v>227</v>
      </c>
      <c r="G36" s="77"/>
      <c r="H36" s="77"/>
      <c r="I36" s="77"/>
    </row>
    <row r="38" spans="2:6" x14ac:dyDescent="0.25">
      <c r="B38" s="75" t="s">
        <v>20</v>
      </c>
      <c r="C38" s="58" t="s">
        <v>228</v>
      </c>
      <c r="D38" s="58"/>
      <c r="E38" s="58"/>
      <c r="F38" s="58"/>
    </row>
    <row r="40" spans="2:9" x14ac:dyDescent="0.25">
      <c r="B40" s="79" t="s">
        <v>229</v>
      </c>
      <c r="C40" s="79"/>
      <c r="D40" s="79"/>
      <c r="E40" s="79"/>
      <c r="F40" s="79"/>
      <c r="G40" s="79"/>
      <c r="H40" s="79"/>
      <c r="I40" s="79"/>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2026-05-07T12:20:25Z</dcterms:created>
  <dcterms:modified xsi:type="dcterms:W3CDTF">2026-05-07T12:20:25Z</dcterms:modified>
</cp:coreProperties>
</file>