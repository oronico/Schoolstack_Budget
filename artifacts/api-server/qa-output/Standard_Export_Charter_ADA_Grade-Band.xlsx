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8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</sheets>
  <definedNames>
    <definedName name="_xlnm.Print_Area" localSheetId="1">'Assumptions'!$A1:$B32</definedName>
    <definedName name="_xlnm.Print_Titles" localSheetId="1">'Assumptions'!$1:$1</definedName>
    <definedName name="_xlnm.Print_Area" localSheetId="2">'Revenue Schedule'!$A1:$F16</definedName>
    <definedName name="_xlnm.Print_Titles" localSheetId="2">'Revenue Schedule'!$1:$1</definedName>
    <definedName name="_xlnm.Print_Area" localSheetId="3">'Staffing &amp; Personnel'!$A1:$H26</definedName>
    <definedName name="_xlnm.Print_Titles" localSheetId="3">'Staffing &amp; Personnel'!$1:$1</definedName>
    <definedName name="_xlnm.Print_Area" localSheetId="4">'Operating Expenses'!$A1:$F21</definedName>
    <definedName name="_xlnm.Print_Titles" localSheetId="4">'Operating Expenses'!$1:$1</definedName>
    <definedName name="_xlnm.Print_Area" localSheetId="5">'Capital &amp; Debt'!$A1:$F5</definedName>
    <definedName name="_xlnm.Print_Titles" localSheetId="5">'Capital &amp; Debt'!$1:$1</definedName>
    <definedName name="_xlnm.Print_Area" localSheetId="6">'Financial Model'!$A1:$F9</definedName>
    <definedName name="_xlnm.Print_Titles" localSheetId="6">'Financial Model'!$1:$1</definedName>
    <definedName name="_xlnm.Print_Area" localSheetId="7">'Summary'!$A1:$F37</definedName>
    <definedName name="_xlnm.Print_Titles" localSheetId="7">'Summary'!$1:$1</definedName>
  </definedNames>
  <calcPr calcId="171027" fullCalcOnLoad="1"/>
</workbook>
</file>

<file path=xl/sharedStrings.xml><?xml version="1.0" encoding="utf-8"?>
<sst xmlns="http://schemas.openxmlformats.org/spreadsheetml/2006/main" count="233" uniqueCount="159">
  <si>
    <t>SchoolStack Budget</t>
  </si>
  <si>
    <t>5-Year Financial Model</t>
  </si>
  <si>
    <t>Prepared for</t>
  </si>
  <si>
    <t>Heritage Academy Charter</t>
  </si>
  <si>
    <t>Charter School  •  501(c)(3) Nonprofit  •  AZ</t>
  </si>
  <si>
    <t>Date Prepared</t>
  </si>
  <si>
    <t>March 17,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</si>
  <si>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</si>
  <si>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</si>
  <si>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</si>
  <si>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</si>
  <si>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</si>
  <si>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</si>
  <si>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</si>
  <si>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</si>
  <si>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</si>
  <si>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</si>
  <si>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</si>
  <si>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</si>
  <si>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</si>
  <si>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</si>
  <si>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Generated by SchoolStack Budget  •  budget.schoolstack.ai</t>
  </si>
  <si>
    <t>SchoolStack Budget - Assumptions</t>
  </si>
  <si>
    <t>SCHOOL INFORMATION</t>
  </si>
  <si>
    <t>School Name</t>
  </si>
  <si>
    <t>State</t>
  </si>
  <si>
    <t>AZ</t>
  </si>
  <si>
    <t>School Type</t>
  </si>
  <si>
    <t>Charter School</t>
  </si>
  <si>
    <t>Entity Type</t>
  </si>
  <si>
    <t>501(c)(3) Nonprofit</t>
  </si>
  <si>
    <t>EIN</t>
  </si>
  <si>
    <t>86-4441234</t>
  </si>
  <si>
    <t>School Stage</t>
  </si>
  <si>
    <t>New School</t>
  </si>
  <si>
    <t>Opening Year</t>
  </si>
  <si>
    <t>Current Students</t>
  </si>
  <si>
    <t>Max Student Capacity</t>
  </si>
  <si>
    <t>Fiscal Year Start</t>
  </si>
  <si>
    <t>July</t>
  </si>
  <si>
    <t>Year 1 Operating Months</t>
  </si>
  <si>
    <t>Location Secured</t>
  </si>
  <si>
    <t>Yes</t>
  </si>
  <si>
    <t>Facility Address</t>
  </si>
  <si>
    <t>1200 N Central Ave, Phoenix, AZ, 85004</t>
  </si>
  <si>
    <t>Facility Ownership</t>
  </si>
  <si>
    <t>Rented / Leased</t>
  </si>
  <si>
    <t>Monthly Rent</t>
  </si>
  <si>
    <t>$22,000</t>
  </si>
  <si>
    <t>Annual Rent Escalation</t>
  </si>
  <si>
    <t>3%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</si>
  <si>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</si>
  <si>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</si>
  <si>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</si>
  <si>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</si>
  <si>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</si>
  <si>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</si>
  <si>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</si>
  <si>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</si>
  <si>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</si>
  <si>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</si>
  <si>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</si>
  <si>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</si>
  <si>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</si>
  <si>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</si>
  <si>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</si>
  <si>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</si>
  <si>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</si>
  <si>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</si>
  <si>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</si>
  <si>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PUBLIC FUNDING</t>
  </si>
  <si>
    <t>State Per-Pupil Funding</t>
  </si>
  <si>
    <t>Federal Title I</t>
  </si>
  <si>
    <t>IDEA Special Ed</t>
  </si>
  <si>
    <t>Total PUBLIC FUNDING</t>
  </si>
  <si>
    <t>PHILANTHROPY</t>
  </si>
  <si>
    <t>CSP Startup Grant</t>
  </si>
  <si>
    <t>Annual Fundraising</t>
  </si>
  <si>
    <t>Total PHILANTHROPY</t>
  </si>
  <si>
    <t>OTHER REVENUE</t>
  </si>
  <si>
    <t>Before/After Care</t>
  </si>
  <si>
    <t>Total OTHER REVENUE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</si>
  <si>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</si>
  <si>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</si>
  <si>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</si>
  <si>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</si>
  <si>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</si>
  <si>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</si>
  <si>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</si>
  <si>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</si>
  <si>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</si>
  <si>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</si>
  <si>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Head of School</t>
  </si>
  <si>
    <t>School Leadership</t>
  </si>
  <si>
    <t>Full-Time</t>
  </si>
  <si>
    <t>Assistant Principal</t>
  </si>
  <si>
    <t>Lead Teachers</t>
  </si>
  <si>
    <t>Instructional</t>
  </si>
  <si>
    <t>SPED Teacher</t>
  </si>
  <si>
    <t>Instructional Aides</t>
  </si>
  <si>
    <t>Business Manager</t>
  </si>
  <si>
    <t>Operations</t>
  </si>
  <si>
    <t>Front Office</t>
  </si>
  <si>
    <t>Administrative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</si>
  <si>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</si>
  <si>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</si>
  <si>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</si>
  <si>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</si>
  <si>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</si>
  <si>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</si>
  <si>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</si>
  <si>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</si>
  <si>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</si>
  <si>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</si>
  <si>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</si>
  <si>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</si>
  <si>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</si>
  <si>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</si>
  <si>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Curriculum</t>
  </si>
  <si>
    <t>Total INSTRUCTIONAL</t>
  </si>
  <si>
    <t>TECHNOLOGY</t>
  </si>
  <si>
    <t>Devices &amp; Software</t>
  </si>
  <si>
    <t>Total TECHNOLOGY</t>
  </si>
  <si>
    <t>OCCUPANCY / FACILITY</t>
  </si>
  <si>
    <t>Facility Lease</t>
  </si>
  <si>
    <t>Utilities</t>
  </si>
  <si>
    <t>Property Insurance</t>
  </si>
  <si>
    <t>Total OCCUPANCY</t>
  </si>
  <si>
    <t>ADMINISTRATIVE / GENERAL</t>
  </si>
  <si>
    <t>Marketing</t>
  </si>
  <si>
    <t>Professional Development</t>
  </si>
  <si>
    <t>Legal &amp; Audit</t>
  </si>
  <si>
    <t>Food Service</t>
  </si>
  <si>
    <t>Total ADMINISTRATIVE</t>
  </si>
  <si>
    <t>TOTAL OPERATING EXPENSES</t>
  </si>
  <si>
    <t>CAPITAL EXPENDITURES &amp; DEBT SERVICE</t>
  </si>
  <si>
    <t>Startup Loan</t>
  </si>
  <si>
    <t>FF&amp;E</t>
  </si>
  <si>
    <t>TOTAL CAPITAL &amp; DEBT</t>
  </si>
  <si>
    <t>Total Revenue</t>
  </si>
  <si>
    <t>Personnel Costs</t>
  </si>
  <si>
    <t>Total Expenses</t>
  </si>
  <si>
    <t>Net Income</t>
  </si>
  <si>
    <t>Cumulative Net Income</t>
  </si>
  <si>
    <t>Financial Model Summary</t>
  </si>
  <si>
    <t>Prepared by SchoolStack Budget</t>
  </si>
  <si>
    <t>600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</si>
  <si>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</si>
  <si>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</si>
  <si>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</si>
  <si>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</si>
  <si>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</si>
  <si>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</si>
  <si>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</si>
  <si>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Net Margin %</t>
  </si>
  <si>
    <t>REVENUE MIX TREND</t>
  </si>
  <si>
    <t>Tuition &amp; Fees %</t>
  </si>
  <si>
    <t>Public Funding %</t>
  </si>
  <si>
    <t>Philanthropy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</si>
</sst>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</numFmts>
  <fonts count="18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2" xfId="0" applyFont="1" applyBorder="1"/>
    <xf numFmtId="0" fontId="0" fillId="0" borderId="2" xfId="0" applyBorder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8" fillId="0" borderId="0" xfId="0" applyFont="1"/>
    <xf numFmtId="167" fontId="8" fillId="0" borderId="0" xfId="0" applyNumberFormat="1" applyFont="1"/>
    <xf numFmtId="165" fontId="8" fillId="0" borderId="0" xfId="0" applyNumberFormat="1" applyFont="1"/>
    <xf numFmtId="2" fontId="8" fillId="0" borderId="0" xfId="0" applyNumberFormat="1" applyFont="1"/>
    <xf numFmtId="0" fontId="13" fillId="4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14" fillId="0" borderId="0" xfId="0" applyFont="1"/>
    <xf numFmtId="0" fontId="15" fillId="0" borderId="0" xfId="0" applyFont="1"/>
    <xf numFmtId="165" fontId="7" fillId="0" borderId="2" xfId="0" applyNumberFormat="1" applyFont="1" applyBorder="1"/>
    <xf numFmtId="164" fontId="16" fillId="5" borderId="3" xfId="0" applyNumberFormat="1" applyFont="1" applyFill="1" applyBorder="1"/>
    <xf numFmtId="164" fontId="9" fillId="3" borderId="3" xfId="0" applyNumberFormat="1" applyFont="1" applyFill="1" applyBorder="1"/>
    <xf numFmtId="166" fontId="17" fillId="6" borderId="2" xfId="0" applyNumberFormat="1" applyFont="1" applyFill="1" applyBorder="1"/>
    <xf numFmtId="165" fontId="17" fillId="6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8" t="s">
        <v>22</v>
      </c>
      <c r="B1" s="18"/>
    </row>
    <row r="3" ht="24" customHeight="1" spans="1:2" x14ac:dyDescent="0.25">
      <c r="A3" s="8" t="s">
        <v>23</v>
      </c>
      <c r="B3" s="8"/>
    </row>
    <row r="4" spans="1:2" x14ac:dyDescent="0.25">
      <c r="A4" s="19" t="s">
        <v>24</v>
      </c>
      <c r="B4" s="20" t="s">
        <v>3</v>
      </c>
    </row>
    <row r="5" spans="1:2" x14ac:dyDescent="0.25">
      <c r="A5" s="19" t="s">
        <v>25</v>
      </c>
      <c r="B5" s="20" t="s">
        <v>26</v>
      </c>
    </row>
    <row r="6" spans="1:2" x14ac:dyDescent="0.25">
      <c r="A6" s="19" t="s">
        <v>27</v>
      </c>
      <c r="B6" s="20" t="s">
        <v>28</v>
      </c>
    </row>
    <row r="7" spans="1:2" x14ac:dyDescent="0.25">
      <c r="A7" s="19" t="s">
        <v>29</v>
      </c>
      <c r="B7" s="20" t="s">
        <v>30</v>
      </c>
    </row>
    <row r="8" spans="1:2" x14ac:dyDescent="0.25">
      <c r="A8" s="19" t="s">
        <v>31</v>
      </c>
      <c r="B8" s="20" t="s">
        <v>32</v>
      </c>
    </row>
    <row r="9" spans="1:2" x14ac:dyDescent="0.25">
      <c r="A9" s="19" t="s">
        <v>33</v>
      </c>
      <c r="B9" s="20" t="s">
        <v>34</v>
      </c>
    </row>
    <row r="10" spans="1:2" x14ac:dyDescent="0.25">
      <c r="A10" s="19" t="s">
        <v>35</v>
      </c>
      <c r="B10" s="20">
        <v>2026</v>
      </c>
    </row>
    <row r="11" spans="1:2" x14ac:dyDescent="0.25">
      <c r="A11" s="19" t="s">
        <v>36</v>
      </c>
      <c r="B11" s="20">
        <v>0</v>
      </c>
    </row>
    <row r="12" spans="1:2" x14ac:dyDescent="0.25">
      <c r="A12" s="19" t="s">
        <v>37</v>
      </c>
      <c r="B12" s="20">
        <v>600</v>
      </c>
    </row>
    <row r="13" spans="1:2" x14ac:dyDescent="0.25">
      <c r="A13" s="19" t="s">
        <v>38</v>
      </c>
      <c r="B13" s="20" t="s">
        <v>39</v>
      </c>
    </row>
    <row r="14" spans="1:2" x14ac:dyDescent="0.25">
      <c r="A14" s="19" t="s">
        <v>40</v>
      </c>
      <c r="B14" s="20">
        <v>10</v>
      </c>
    </row>
    <row r="15" spans="1:2" x14ac:dyDescent="0.25">
      <c r="A15" s="19" t="s">
        <v>41</v>
      </c>
      <c r="B15" s="20" t="s">
        <v>42</v>
      </c>
    </row>
    <row r="16" spans="1:2" x14ac:dyDescent="0.25">
      <c r="A16" s="19" t="s">
        <v>43</v>
      </c>
      <c r="B16" s="20" t="s">
        <v>44</v>
      </c>
    </row>
    <row r="17" spans="1:2" x14ac:dyDescent="0.25">
      <c r="A17" s="19" t="s">
        <v>45</v>
      </c>
      <c r="B17" s="20" t="s">
        <v>46</v>
      </c>
    </row>
    <row r="18" spans="1:2" x14ac:dyDescent="0.25">
      <c r="A18" s="19" t="s">
        <v>47</v>
      </c>
      <c r="B18" s="20" t="s">
        <v>48</v>
      </c>
    </row>
    <row r="19" spans="1:2" x14ac:dyDescent="0.25">
      <c r="A19" s="19" t="s">
        <v>49</v>
      </c>
      <c r="B19" s="20" t="s">
        <v>50</v>
      </c>
    </row>
    <row r="21" ht="24" customHeight="1" spans="1:2" x14ac:dyDescent="0.25">
      <c r="A21" s="8" t="s">
        <v>51</v>
      </c>
      <c r="B21" s="8"/>
    </row>
    <row r="22" spans="1:2" x14ac:dyDescent="0.25">
      <c r="A22" s="19" t="s">
        <v>52</v>
      </c>
      <c r="B22" s="21">
        <v>120</v>
      </c>
    </row>
    <row r="23" spans="1:2" x14ac:dyDescent="0.25">
      <c r="A23" s="19" t="s">
        <v>53</v>
      </c>
      <c r="B23" s="21">
        <v>200</v>
      </c>
    </row>
    <row r="24" spans="1:2" x14ac:dyDescent="0.25">
      <c r="A24" s="19" t="s">
        <v>54</v>
      </c>
      <c r="B24" s="21">
        <v>300</v>
      </c>
    </row>
    <row r="25" spans="1:2" x14ac:dyDescent="0.25">
      <c r="A25" s="19" t="s">
        <v>55</v>
      </c>
      <c r="B25" s="21">
        <v>400</v>
      </c>
    </row>
    <row r="26" spans="1:2" x14ac:dyDescent="0.25">
      <c r="A26" s="19" t="s">
        <v>56</v>
      </c>
      <c r="B26" s="21">
        <v>500</v>
      </c>
    </row>
    <row r="28" ht="24" customHeight="1" spans="1:2" x14ac:dyDescent="0.25">
      <c r="A28" s="8" t="s">
        <v>57</v>
      </c>
      <c r="B28" s="8"/>
    </row>
    <row r="29" spans="1:2" x14ac:dyDescent="0.25">
      <c r="A29" s="19" t="s">
        <v>58</v>
      </c>
      <c r="B29" s="22">
        <v>0</v>
      </c>
    </row>
    <row r="30" spans="1:2" x14ac:dyDescent="0.25">
      <c r="A30" s="19" t="s">
        <v>59</v>
      </c>
      <c r="B30" s="22">
        <v>0</v>
      </c>
    </row>
    <row r="31" spans="1:2" x14ac:dyDescent="0.25">
      <c r="A31" s="19" t="s">
        <v>60</v>
      </c>
      <c r="B31" s="23">
        <v>0.8333333333333334</v>
      </c>
    </row>
    <row r="32" spans="1:2" x14ac:dyDescent="0.25">
      <c r="A32" s="19" t="s">
        <v>61</v>
      </c>
      <c r="B32" s="20" t="s">
        <v>62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4" t="s">
        <v>63</v>
      </c>
      <c r="B1" s="24" t="s">
        <v>64</v>
      </c>
      <c r="C1" s="24" t="s">
        <v>65</v>
      </c>
      <c r="D1" s="24" t="s">
        <v>66</v>
      </c>
      <c r="E1" s="24" t="s">
        <v>67</v>
      </c>
      <c r="F1" s="24" t="s">
        <v>68</v>
      </c>
    </row>
    <row r="2" spans="1:6" x14ac:dyDescent="0.25">
      <c r="A2" s="19" t="s">
        <v>69</v>
      </c>
      <c r="B2" s="25">
        <f>Assumptions!B22</f>
        <v>120</v>
      </c>
      <c r="C2" s="25">
        <f>Assumptions!B23</f>
        <v>200</v>
      </c>
      <c r="D2" s="25">
        <f>Assumptions!B24</f>
        <v>300</v>
      </c>
      <c r="E2" s="25">
        <f>Assumptions!B25</f>
        <v>400</v>
      </c>
      <c r="F2" s="25">
        <f>Assumptions!B26</f>
        <v>500</v>
      </c>
    </row>
    <row r="3" ht="24" customHeight="1" spans="1:6" x14ac:dyDescent="0.25">
      <c r="A3" s="8" t="s">
        <v>70</v>
      </c>
      <c r="B3" s="8"/>
      <c r="C3" s="8"/>
      <c r="D3" s="8"/>
      <c r="E3" s="8"/>
      <c r="F3" s="8"/>
    </row>
    <row r="4" spans="1:6" x14ac:dyDescent="0.25">
      <c r="A4" s="19" t="s">
        <v>71</v>
      </c>
      <c r="B4" s="26">
        <f>8500*Assumptions!B22</f>
        <v>1020000</v>
      </c>
      <c r="C4" s="26">
        <f>8670*Assumptions!B23</f>
        <v>1734000</v>
      </c>
      <c r="D4" s="26">
        <f>8843*Assumptions!B24</f>
        <v>2652900</v>
      </c>
      <c r="E4" s="26">
        <f>9020*Assumptions!B25</f>
        <v>3608000</v>
      </c>
      <c r="F4" s="26">
        <f>9200*Assumptions!B26</f>
        <v>4600000</v>
      </c>
    </row>
    <row r="5" spans="1:6" x14ac:dyDescent="0.25">
      <c r="A5" s="19" t="s">
        <v>72</v>
      </c>
      <c r="B5" s="26">
        <f>750*Assumptions!B22</f>
        <v>90000</v>
      </c>
      <c r="C5" s="26">
        <f>765*Assumptions!B23</f>
        <v>153000</v>
      </c>
      <c r="D5" s="26">
        <f>780*Assumptions!B24</f>
        <v>234000</v>
      </c>
      <c r="E5" s="26">
        <f>796*Assumptions!B25</f>
        <v>318400</v>
      </c>
      <c r="F5" s="26">
        <f>812*Assumptions!B26</f>
        <v>406000</v>
      </c>
    </row>
    <row r="6" spans="1:6" x14ac:dyDescent="0.25">
      <c r="A6" s="19" t="s">
        <v>73</v>
      </c>
      <c r="B6" s="26">
        <f>1100*Assumptions!B22</f>
        <v>132000</v>
      </c>
      <c r="C6" s="26">
        <f>1122*Assumptions!B23</f>
        <v>224400</v>
      </c>
      <c r="D6" s="26">
        <f>1144*Assumptions!B24</f>
        <v>343200</v>
      </c>
      <c r="E6" s="26">
        <f>1167*Assumptions!B25</f>
        <v>466800</v>
      </c>
      <c r="F6" s="26">
        <f>1191*Assumptions!B26</f>
        <v>595500</v>
      </c>
    </row>
    <row r="7" ht="24" customHeight="1" spans="1:6" x14ac:dyDescent="0.25">
      <c r="A7" s="8" t="s">
        <v>74</v>
      </c>
      <c r="B7" s="27">
        <f>SUM(B4:B6)</f>
        <v>1242000</v>
      </c>
      <c r="C7" s="27">
        <f>SUM(C4:C6)</f>
        <v>2111400</v>
      </c>
      <c r="D7" s="27">
        <f>SUM(D4:D6)</f>
        <v>3230100</v>
      </c>
      <c r="E7" s="27">
        <f>SUM(E4:E6)</f>
        <v>4393200</v>
      </c>
      <c r="F7" s="27">
        <f>SUM(F4:F6)</f>
        <v>5601500</v>
      </c>
    </row>
    <row r="8" ht="24" customHeight="1" spans="1:6" x14ac:dyDescent="0.25">
      <c r="A8" s="8" t="s">
        <v>75</v>
      </c>
      <c r="B8" s="8"/>
      <c r="C8" s="8"/>
      <c r="D8" s="8"/>
      <c r="E8" s="8"/>
      <c r="F8" s="8"/>
    </row>
    <row r="9" spans="1:6" x14ac:dyDescent="0.25">
      <c r="A9" s="19" t="s">
        <v>76</v>
      </c>
      <c r="B9" s="26">
        <v>150000</v>
      </c>
      <c r="C9" s="26">
        <v>100000</v>
      </c>
      <c r="D9" s="26">
        <v>50000</v>
      </c>
      <c r="E9" s="26">
        <v>0</v>
      </c>
      <c r="F9" s="26">
        <v>0</v>
      </c>
    </row>
    <row r="10" spans="1:6" x14ac:dyDescent="0.25">
      <c r="A10" s="19" t="s">
        <v>77</v>
      </c>
      <c r="B10" s="26">
        <v>25000</v>
      </c>
      <c r="C10" s="26">
        <v>35000</v>
      </c>
      <c r="D10" s="26">
        <v>45000</v>
      </c>
      <c r="E10" s="26">
        <v>55000</v>
      </c>
      <c r="F10" s="26">
        <v>65000</v>
      </c>
    </row>
    <row r="11" ht="24" customHeight="1" spans="1:6" x14ac:dyDescent="0.25">
      <c r="A11" s="8" t="s">
        <v>78</v>
      </c>
      <c r="B11" s="27" t="str">
        <f>SUM(B9:B10)</f>
        <v>0</v>
      </c>
      <c r="C11" s="27" t="str">
        <f>SUM(C9:C10)</f>
        <v>0</v>
      </c>
      <c r="D11" s="27" t="str">
        <f>SUM(D9:D10)</f>
        <v>0</v>
      </c>
      <c r="E11" s="27" t="str">
        <f>SUM(E9:E10)</f>
        <v>0</v>
      </c>
      <c r="F11" s="27" t="str">
        <f>SUM(F9:F10)</f>
        <v>0</v>
      </c>
    </row>
    <row r="12" ht="24" customHeight="1" spans="1:6" x14ac:dyDescent="0.25">
      <c r="A12" s="8" t="s">
        <v>79</v>
      </c>
      <c r="B12" s="8"/>
      <c r="C12" s="8"/>
      <c r="D12" s="8"/>
      <c r="E12" s="8"/>
      <c r="F12" s="8"/>
    </row>
    <row r="13" spans="1:6" x14ac:dyDescent="0.25">
      <c r="A13" s="19" t="s">
        <v>80</v>
      </c>
      <c r="B13" s="26">
        <f>400*Assumptions!B22</f>
        <v>48000</v>
      </c>
      <c r="C13" s="26">
        <f>412*Assumptions!B23</f>
        <v>82400</v>
      </c>
      <c r="D13" s="26">
        <f>424*Assumptions!B24</f>
        <v>127200</v>
      </c>
      <c r="E13" s="26">
        <f>437*Assumptions!B25</f>
        <v>174800</v>
      </c>
      <c r="F13" s="26">
        <f>450*Assumptions!B26</f>
        <v>225000</v>
      </c>
    </row>
    <row r="14" ht="24" customHeight="1" spans="1:6" x14ac:dyDescent="0.25">
      <c r="A14" s="8" t="s">
        <v>81</v>
      </c>
      <c r="B14" s="27">
        <f>SUM(B13:B13)</f>
        <v>48000</v>
      </c>
      <c r="C14" s="27">
        <f>SUM(C13:C13)</f>
        <v>82400</v>
      </c>
      <c r="D14" s="27">
        <f>SUM(D13:D13)</f>
        <v>127200</v>
      </c>
      <c r="E14" s="27">
        <f>SUM(E13:E13)</f>
        <v>174800</v>
      </c>
      <c r="F14" s="27">
        <f>SUM(F13:F13)</f>
        <v>225000</v>
      </c>
    </row>
    <row r="16" ht="24" customHeight="1" spans="1:6" x14ac:dyDescent="0.25">
      <c r="A16" s="8" t="s">
        <v>82</v>
      </c>
      <c r="B16" s="27">
        <f>B7+B11+B14</f>
        <v>1465000</v>
      </c>
      <c r="C16" s="27">
        <f>C7+C11+C14</f>
        <v>2328800</v>
      </c>
      <c r="D16" s="27">
        <f>D7+D11+D14</f>
        <v>3452300</v>
      </c>
      <c r="E16" s="27">
        <f>E7+E11+E14</f>
        <v>4623000</v>
      </c>
      <c r="F16" s="27">
        <f>F7+F11+F14</f>
        <v>5891500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 Charter&amp;R&amp;8&amp;IRevenue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8" t="s">
        <v>83</v>
      </c>
      <c r="B1" s="18"/>
      <c r="C1" s="18"/>
      <c r="D1" s="18"/>
      <c r="E1" s="18"/>
      <c r="F1" s="18"/>
      <c r="G1" s="18"/>
      <c r="H1" s="18"/>
    </row>
    <row r="3" ht="28" customHeight="1" spans="1:8" x14ac:dyDescent="0.25">
      <c r="A3" s="24" t="s">
        <v>84</v>
      </c>
      <c r="B3" s="24" t="s">
        <v>85</v>
      </c>
      <c r="C3" s="24" t="s">
        <v>86</v>
      </c>
      <c r="D3" s="24" t="s">
        <v>87</v>
      </c>
      <c r="E3" s="24" t="s">
        <v>88</v>
      </c>
      <c r="F3" s="24" t="s">
        <v>89</v>
      </c>
      <c r="G3" s="24" t="s">
        <v>90</v>
      </c>
      <c r="H3" s="24" t="s">
        <v>91</v>
      </c>
    </row>
    <row r="4" spans="1:8" x14ac:dyDescent="0.25">
      <c r="A4" s="19" t="s">
        <v>92</v>
      </c>
      <c r="B4" s="19" t="s">
        <v>93</v>
      </c>
      <c r="C4" s="19" t="s">
        <v>94</v>
      </c>
      <c r="D4" s="28">
        <v>1</v>
      </c>
      <c r="E4" s="29">
        <v>105000</v>
      </c>
      <c r="F4" s="30">
        <v>0.26</v>
      </c>
      <c r="G4" s="30">
        <v>0.0765</v>
      </c>
      <c r="H4" s="31">
        <v>140332.5</v>
      </c>
    </row>
    <row r="5" spans="1:8" x14ac:dyDescent="0.25">
      <c r="A5" s="19" t="s">
        <v>95</v>
      </c>
      <c r="B5" s="19" t="s">
        <v>93</v>
      </c>
      <c r="C5" s="19" t="s">
        <v>94</v>
      </c>
      <c r="D5" s="28">
        <v>1</v>
      </c>
      <c r="E5" s="29">
        <v>82000</v>
      </c>
      <c r="F5" s="30">
        <v>0.26</v>
      </c>
      <c r="G5" s="30">
        <v>0.0765</v>
      </c>
      <c r="H5" s="31">
        <v>109593</v>
      </c>
    </row>
    <row r="6" spans="1:8" x14ac:dyDescent="0.25">
      <c r="A6" s="19" t="s">
        <v>96</v>
      </c>
      <c r="B6" s="19" t="s">
        <v>97</v>
      </c>
      <c r="C6" s="19" t="s">
        <v>94</v>
      </c>
      <c r="D6" s="28">
        <v>5</v>
      </c>
      <c r="E6" s="29">
        <v>50000</v>
      </c>
      <c r="F6" s="30">
        <v>0.26</v>
      </c>
      <c r="G6" s="30">
        <v>0.0765</v>
      </c>
      <c r="H6" s="31">
        <v>334125</v>
      </c>
    </row>
    <row r="7" spans="1:8" x14ac:dyDescent="0.25">
      <c r="A7" s="19" t="s">
        <v>98</v>
      </c>
      <c r="B7" s="19" t="s">
        <v>97</v>
      </c>
      <c r="C7" s="19" t="s">
        <v>94</v>
      </c>
      <c r="D7" s="28">
        <v>1</v>
      </c>
      <c r="E7" s="29">
        <v>53000</v>
      </c>
      <c r="F7" s="30">
        <v>0.26</v>
      </c>
      <c r="G7" s="30">
        <v>0.0765</v>
      </c>
      <c r="H7" s="31">
        <v>70834.5</v>
      </c>
    </row>
    <row r="8" spans="1:8" x14ac:dyDescent="0.25">
      <c r="A8" s="19" t="s">
        <v>99</v>
      </c>
      <c r="B8" s="19" t="s">
        <v>97</v>
      </c>
      <c r="C8" s="19" t="s">
        <v>94</v>
      </c>
      <c r="D8" s="28">
        <v>3</v>
      </c>
      <c r="E8" s="29">
        <v>28000</v>
      </c>
      <c r="F8" s="30">
        <v>0.18</v>
      </c>
      <c r="G8" s="30">
        <v>0.0765</v>
      </c>
      <c r="H8" s="31">
        <v>105546</v>
      </c>
    </row>
    <row r="9" spans="1:8" x14ac:dyDescent="0.25">
      <c r="A9" s="19" t="s">
        <v>100</v>
      </c>
      <c r="B9" s="19" t="s">
        <v>101</v>
      </c>
      <c r="C9" s="19" t="s">
        <v>94</v>
      </c>
      <c r="D9" s="28">
        <v>1</v>
      </c>
      <c r="E9" s="29">
        <v>62000</v>
      </c>
      <c r="F9" s="30">
        <v>0.26</v>
      </c>
      <c r="G9" s="30">
        <v>0.0765</v>
      </c>
      <c r="H9" s="31">
        <v>82863</v>
      </c>
    </row>
    <row r="10" spans="1:8" x14ac:dyDescent="0.25">
      <c r="A10" s="19" t="s">
        <v>102</v>
      </c>
      <c r="B10" s="19" t="s">
        <v>103</v>
      </c>
      <c r="C10" s="19" t="s">
        <v>94</v>
      </c>
      <c r="D10" s="28">
        <v>2</v>
      </c>
      <c r="E10" s="29">
        <v>36000</v>
      </c>
      <c r="F10" s="30">
        <v>0.22</v>
      </c>
      <c r="G10" s="30">
        <v>0.0765</v>
      </c>
      <c r="H10" s="31">
        <v>93348</v>
      </c>
    </row>
    <row r="12" ht="24" customHeight="1" spans="1:8" x14ac:dyDescent="0.25">
      <c r="A12" s="8" t="s">
        <v>104</v>
      </c>
      <c r="B12" s="8"/>
      <c r="C12" s="8"/>
      <c r="D12" s="8"/>
      <c r="E12" s="8"/>
      <c r="F12" s="8"/>
      <c r="G12" s="8"/>
      <c r="H12" s="8"/>
    </row>
    <row r="13" spans="1:2" x14ac:dyDescent="0.25">
      <c r="A13" s="19" t="s">
        <v>105</v>
      </c>
      <c r="B13" s="20">
        <v>7</v>
      </c>
    </row>
    <row r="14" spans="1:2" x14ac:dyDescent="0.25">
      <c r="A14" s="19" t="s">
        <v>106</v>
      </c>
      <c r="B14" s="20">
        <v>14</v>
      </c>
    </row>
    <row r="15" spans="1:2" x14ac:dyDescent="0.25">
      <c r="A15" s="19" t="s">
        <v>107</v>
      </c>
      <c r="B15" s="29">
        <v>708000</v>
      </c>
    </row>
    <row r="16" spans="1:2" x14ac:dyDescent="0.25">
      <c r="A16" s="19" t="s">
        <v>108</v>
      </c>
      <c r="B16" s="29">
        <v>174480</v>
      </c>
    </row>
    <row r="17" spans="1:2" x14ac:dyDescent="0.25">
      <c r="A17" s="19" t="s">
        <v>109</v>
      </c>
      <c r="B17" s="29">
        <v>54162</v>
      </c>
    </row>
    <row r="18" spans="1:2" x14ac:dyDescent="0.25">
      <c r="A18" s="19" t="s">
        <v>110</v>
      </c>
      <c r="B18" s="29">
        <v>0</v>
      </c>
    </row>
    <row r="19" spans="1:2" x14ac:dyDescent="0.25">
      <c r="A19" s="20" t="s">
        <v>111</v>
      </c>
      <c r="B19" s="31">
        <v>936642</v>
      </c>
    </row>
    <row r="21" ht="24" customHeight="1" spans="1:6" x14ac:dyDescent="0.25">
      <c r="A21" s="8" t="s">
        <v>112</v>
      </c>
      <c r="B21" s="8"/>
      <c r="C21" s="8"/>
      <c r="D21" s="8"/>
      <c r="E21" s="8"/>
      <c r="F21" s="8"/>
    </row>
    <row r="22" ht="28" customHeight="1" spans="1:6" x14ac:dyDescent="0.25">
      <c r="A22" s="24" t="s">
        <v>63</v>
      </c>
      <c r="B22" s="24" t="s">
        <v>64</v>
      </c>
      <c r="C22" s="24" t="s">
        <v>65</v>
      </c>
      <c r="D22" s="24" t="s">
        <v>66</v>
      </c>
      <c r="E22" s="24" t="s">
        <v>67</v>
      </c>
      <c r="F22" s="24" t="s">
        <v>68</v>
      </c>
    </row>
    <row r="23" spans="1:6" x14ac:dyDescent="0.25">
      <c r="A23" s="19" t="s">
        <v>113</v>
      </c>
      <c r="B23" s="26">
        <v>936642</v>
      </c>
      <c r="C23" s="26">
        <v>936642</v>
      </c>
      <c r="D23" s="26">
        <v>936642</v>
      </c>
      <c r="E23" s="26">
        <v>936642</v>
      </c>
      <c r="F23" s="26">
        <v>936642</v>
      </c>
    </row>
    <row r="24" spans="1:6" x14ac:dyDescent="0.25">
      <c r="A24" s="19" t="s">
        <v>114</v>
      </c>
      <c r="B24" s="32">
        <f>(1+Assumptions!B29)^0</f>
        <v>1</v>
      </c>
      <c r="C24" s="32">
        <f>(1+Assumptions!B29)^1</f>
        <v>1</v>
      </c>
      <c r="D24" s="32">
        <f>(1+Assumptions!B29)^2</f>
        <v>1</v>
      </c>
      <c r="E24" s="32">
        <f>(1+Assumptions!B29)^3</f>
        <v>1</v>
      </c>
      <c r="F24" s="32">
        <f>(1+Assumptions!B29)^4</f>
        <v>1</v>
      </c>
    </row>
    <row r="25" spans="1:6" x14ac:dyDescent="0.25">
      <c r="A25" s="19" t="s">
        <v>115</v>
      </c>
      <c r="B25" s="33">
        <f>Assumptions!B31</f>
        <v>0.8333333333333334</v>
      </c>
      <c r="C25" s="33">
        <v>1</v>
      </c>
      <c r="D25" s="33">
        <v>1</v>
      </c>
      <c r="E25" s="33">
        <v>1</v>
      </c>
      <c r="F25" s="33">
        <v>1</v>
      </c>
    </row>
    <row r="26" ht="24" customHeight="1" spans="1:6" x14ac:dyDescent="0.25">
      <c r="A26" s="8" t="s">
        <v>116</v>
      </c>
      <c r="B26" s="27">
        <f>B23*B24*B25</f>
        <v>780535</v>
      </c>
      <c r="C26" s="27">
        <f>C23*C24*C25</f>
        <v>936642</v>
      </c>
      <c r="D26" s="27">
        <f>D23*D24*D25</f>
        <v>936642</v>
      </c>
      <c r="E26" s="27">
        <f>E23*E24*E25</f>
        <v>936642</v>
      </c>
      <c r="F26" s="27">
        <f>F23*F24*F25</f>
        <v>936642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4" t="s">
        <v>63</v>
      </c>
      <c r="B1" s="24" t="s">
        <v>64</v>
      </c>
      <c r="C1" s="24" t="s">
        <v>65</v>
      </c>
      <c r="D1" s="24" t="s">
        <v>66</v>
      </c>
      <c r="E1" s="24" t="s">
        <v>67</v>
      </c>
      <c r="F1" s="24" t="s">
        <v>68</v>
      </c>
    </row>
    <row r="2" spans="1:6" x14ac:dyDescent="0.25">
      <c r="A2" s="19" t="s">
        <v>69</v>
      </c>
      <c r="B2" s="25">
        <f>Assumptions!B22</f>
        <v>120</v>
      </c>
      <c r="C2" s="25">
        <f>Assumptions!B23</f>
        <v>200</v>
      </c>
      <c r="D2" s="25">
        <f>Assumptions!B24</f>
        <v>300</v>
      </c>
      <c r="E2" s="25">
        <f>Assumptions!B25</f>
        <v>400</v>
      </c>
      <c r="F2" s="25">
        <f>Assumptions!B26</f>
        <v>500</v>
      </c>
    </row>
    <row r="3" ht="24" customHeight="1" spans="1:6" x14ac:dyDescent="0.25">
      <c r="A3" s="8" t="s">
        <v>117</v>
      </c>
      <c r="B3" s="8"/>
      <c r="C3" s="8"/>
      <c r="D3" s="8"/>
      <c r="E3" s="8"/>
      <c r="F3" s="8"/>
    </row>
    <row r="4" spans="1:6" x14ac:dyDescent="0.25">
      <c r="A4" s="19" t="s">
        <v>118</v>
      </c>
      <c r="B4" s="26">
        <f>650*Assumptions!B22</f>
        <v>78000</v>
      </c>
      <c r="C4" s="26">
        <f>670*Assumptions!B23</f>
        <v>134000</v>
      </c>
      <c r="D4" s="26">
        <f>690*Assumptions!B24</f>
        <v>207000</v>
      </c>
      <c r="E4" s="26">
        <f>710*Assumptions!B25</f>
        <v>284000</v>
      </c>
      <c r="F4" s="26">
        <f>732*Assumptions!B26</f>
        <v>366000</v>
      </c>
    </row>
    <row r="5" ht="24" customHeight="1" spans="1:6" x14ac:dyDescent="0.25">
      <c r="A5" s="8" t="s">
        <v>119</v>
      </c>
      <c r="B5" s="27">
        <f>SUM(B4:B4)</f>
        <v>78000</v>
      </c>
      <c r="C5" s="27">
        <f>SUM(C4:C4)</f>
        <v>134000</v>
      </c>
      <c r="D5" s="27">
        <f>SUM(D4:D4)</f>
        <v>207000</v>
      </c>
      <c r="E5" s="27">
        <f>SUM(E4:E4)</f>
        <v>284000</v>
      </c>
      <c r="F5" s="27">
        <f>SUM(F4:F4)</f>
        <v>366000</v>
      </c>
    </row>
    <row r="6" ht="24" customHeight="1" spans="1:6" x14ac:dyDescent="0.25">
      <c r="A6" s="8" t="s">
        <v>120</v>
      </c>
      <c r="B6" s="8"/>
      <c r="C6" s="8"/>
      <c r="D6" s="8"/>
      <c r="E6" s="8"/>
      <c r="F6" s="8"/>
    </row>
    <row r="7" spans="1:6" x14ac:dyDescent="0.25">
      <c r="A7" s="19" t="s">
        <v>121</v>
      </c>
      <c r="B7" s="26">
        <f>450*Assumptions!B22</f>
        <v>54000</v>
      </c>
      <c r="C7" s="26">
        <f>464*Assumptions!B23</f>
        <v>92800</v>
      </c>
      <c r="D7" s="26">
        <f>478*Assumptions!B24</f>
        <v>143400</v>
      </c>
      <c r="E7" s="26">
        <f>492*Assumptions!B25</f>
        <v>196800</v>
      </c>
      <c r="F7" s="26">
        <f>507*Assumptions!B26</f>
        <v>253500</v>
      </c>
    </row>
    <row r="8" ht="24" customHeight="1" spans="1:6" x14ac:dyDescent="0.25">
      <c r="A8" s="8" t="s">
        <v>122</v>
      </c>
      <c r="B8" s="27">
        <f>SUM(B7:B7)</f>
        <v>54000</v>
      </c>
      <c r="C8" s="27">
        <f>SUM(C7:C7)</f>
        <v>92800</v>
      </c>
      <c r="D8" s="27">
        <f>SUM(D7:D7)</f>
        <v>143400</v>
      </c>
      <c r="E8" s="27">
        <f>SUM(E7:E7)</f>
        <v>196800</v>
      </c>
      <c r="F8" s="27">
        <f>SUM(F7:F7)</f>
        <v>253500</v>
      </c>
    </row>
    <row r="9" ht="24" customHeight="1" spans="1:6" x14ac:dyDescent="0.25">
      <c r="A9" s="8" t="s">
        <v>123</v>
      </c>
      <c r="B9" s="8"/>
      <c r="C9" s="8"/>
      <c r="D9" s="8"/>
      <c r="E9" s="8"/>
      <c r="F9" s="8"/>
    </row>
    <row r="10" spans="1:6" x14ac:dyDescent="0.25">
      <c r="A10" s="19" t="s">
        <v>124</v>
      </c>
      <c r="B10" s="26">
        <f>22000*12</f>
        <v>264000</v>
      </c>
      <c r="C10" s="26">
        <f>22660*12</f>
        <v>271920</v>
      </c>
      <c r="D10" s="26">
        <f>23340*12</f>
        <v>280080</v>
      </c>
      <c r="E10" s="26">
        <f>24040*12</f>
        <v>288480</v>
      </c>
      <c r="F10" s="26">
        <f>24761*12</f>
        <v>297132</v>
      </c>
    </row>
    <row r="11" spans="1:6" x14ac:dyDescent="0.25">
      <c r="A11" s="19" t="s">
        <v>125</v>
      </c>
      <c r="B11" s="26">
        <f>3000*12</f>
        <v>36000</v>
      </c>
      <c r="C11" s="26">
        <f>3090*12</f>
        <v>37080</v>
      </c>
      <c r="D11" s="26">
        <f>3183*12</f>
        <v>38196</v>
      </c>
      <c r="E11" s="26">
        <f>3278*12</f>
        <v>39336</v>
      </c>
      <c r="F11" s="26">
        <f>3377*12</f>
        <v>40524</v>
      </c>
    </row>
    <row r="12" spans="1:6" x14ac:dyDescent="0.25">
      <c r="A12" s="19" t="s">
        <v>126</v>
      </c>
      <c r="B12" s="26">
        <v>22000</v>
      </c>
      <c r="C12" s="26">
        <v>22660</v>
      </c>
      <c r="D12" s="26">
        <v>23340</v>
      </c>
      <c r="E12" s="26">
        <v>24040</v>
      </c>
      <c r="F12" s="26">
        <v>24761</v>
      </c>
    </row>
    <row r="13" ht="24" customHeight="1" spans="1:6" x14ac:dyDescent="0.25">
      <c r="A13" s="8" t="s">
        <v>127</v>
      </c>
      <c r="B13" s="27">
        <f>SUM(B10:B12)</f>
        <v>322000</v>
      </c>
      <c r="C13" s="27">
        <f>SUM(C10:C12)</f>
        <v>331660</v>
      </c>
      <c r="D13" s="27">
        <f>SUM(D10:D12)</f>
        <v>341616</v>
      </c>
      <c r="E13" s="27">
        <f>SUM(E10:E12)</f>
        <v>351856</v>
      </c>
      <c r="F13" s="27">
        <f>SUM(F10:F12)</f>
        <v>362417</v>
      </c>
    </row>
    <row r="14" ht="24" customHeight="1" spans="1:6" x14ac:dyDescent="0.25">
      <c r="A14" s="8" t="s">
        <v>128</v>
      </c>
      <c r="B14" s="8"/>
      <c r="C14" s="8"/>
      <c r="D14" s="8"/>
      <c r="E14" s="8"/>
      <c r="F14" s="8"/>
    </row>
    <row r="15" spans="1:6" x14ac:dyDescent="0.25">
      <c r="A15" s="19" t="s">
        <v>129</v>
      </c>
      <c r="B15" s="26">
        <v>30000</v>
      </c>
      <c r="C15" s="26">
        <v>30900</v>
      </c>
      <c r="D15" s="26">
        <v>31827</v>
      </c>
      <c r="E15" s="26">
        <v>32782</v>
      </c>
      <c r="F15" s="26">
        <v>33765</v>
      </c>
    </row>
    <row r="16" spans="1:6" x14ac:dyDescent="0.25">
      <c r="A16" s="19" t="s">
        <v>130</v>
      </c>
      <c r="B16" s="26">
        <v>12000</v>
      </c>
      <c r="C16" s="26">
        <v>12360</v>
      </c>
      <c r="D16" s="26">
        <v>12731</v>
      </c>
      <c r="E16" s="26">
        <v>13113</v>
      </c>
      <c r="F16" s="26">
        <v>13506</v>
      </c>
    </row>
    <row r="17" spans="1:6" x14ac:dyDescent="0.25">
      <c r="A17" s="19" t="s">
        <v>131</v>
      </c>
      <c r="B17" s="26">
        <v>18000</v>
      </c>
      <c r="C17" s="26">
        <v>18540</v>
      </c>
      <c r="D17" s="26">
        <v>19096</v>
      </c>
      <c r="E17" s="26">
        <v>19669</v>
      </c>
      <c r="F17" s="26">
        <v>20259</v>
      </c>
    </row>
    <row r="18" spans="1:6" x14ac:dyDescent="0.25">
      <c r="A18" s="19" t="s">
        <v>132</v>
      </c>
      <c r="B18" s="26">
        <f>750*Assumptions!B22</f>
        <v>90000</v>
      </c>
      <c r="C18" s="26">
        <f>773*Assumptions!B23</f>
        <v>154600</v>
      </c>
      <c r="D18" s="26">
        <f>796*Assumptions!B24</f>
        <v>238800</v>
      </c>
      <c r="E18" s="26">
        <f>820*Assumptions!B25</f>
        <v>328000</v>
      </c>
      <c r="F18" s="26">
        <f>845*Assumptions!B26</f>
        <v>422500</v>
      </c>
    </row>
    <row r="19" ht="24" customHeight="1" spans="1:6" x14ac:dyDescent="0.25">
      <c r="A19" s="8" t="s">
        <v>133</v>
      </c>
      <c r="B19" s="27">
        <f>SUM(B15:B18)</f>
        <v>150000</v>
      </c>
      <c r="C19" s="27">
        <f>SUM(C15:C18)</f>
        <v>216400</v>
      </c>
      <c r="D19" s="27">
        <f>SUM(D15:D18)</f>
        <v>302454</v>
      </c>
      <c r="E19" s="27">
        <f>SUM(E15:E18)</f>
        <v>393564</v>
      </c>
      <c r="F19" s="27">
        <f>SUM(F15:F18)</f>
        <v>490030</v>
      </c>
    </row>
    <row r="21" ht="24" customHeight="1" spans="1:6" x14ac:dyDescent="0.25">
      <c r="A21" s="8" t="s">
        <v>134</v>
      </c>
      <c r="B21" s="27">
        <f>B5+B8+B13+B19</f>
        <v>604000</v>
      </c>
      <c r="C21" s="27">
        <f>C5+C8+C13+C19</f>
        <v>774860</v>
      </c>
      <c r="D21" s="27">
        <f>D5+D8+D13+D19</f>
        <v>994470</v>
      </c>
      <c r="E21" s="27">
        <f>E5+E8+E13+E19</f>
        <v>1226220</v>
      </c>
      <c r="F21" s="27">
        <f>F5+F8+F13+F19</f>
        <v>1471947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 Charter&amp;R&amp;8&amp;IOperating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4" t="s">
        <v>63</v>
      </c>
      <c r="B1" s="24" t="s">
        <v>64</v>
      </c>
      <c r="C1" s="24" t="s">
        <v>65</v>
      </c>
      <c r="D1" s="24" t="s">
        <v>66</v>
      </c>
      <c r="E1" s="24" t="s">
        <v>67</v>
      </c>
      <c r="F1" s="24" t="s">
        <v>68</v>
      </c>
    </row>
    <row r="2" ht="24" customHeight="1" spans="1:6" x14ac:dyDescent="0.25">
      <c r="A2" s="8" t="s">
        <v>135</v>
      </c>
      <c r="B2" s="8"/>
      <c r="C2" s="8"/>
      <c r="D2" s="8"/>
      <c r="E2" s="8"/>
      <c r="F2" s="8"/>
    </row>
    <row r="3" spans="1:6" x14ac:dyDescent="0.25">
      <c r="A3" s="19" t="s">
        <v>136</v>
      </c>
      <c r="B3" s="26">
        <v>46628.6108154935</v>
      </c>
      <c r="C3" s="26">
        <v>46628.6108154935</v>
      </c>
      <c r="D3" s="26">
        <v>46628.6108154935</v>
      </c>
      <c r="E3" s="26">
        <v>46628.6108154935</v>
      </c>
      <c r="F3" s="26">
        <v>46628.6108154935</v>
      </c>
    </row>
    <row r="4" spans="1:6" x14ac:dyDescent="0.25">
      <c r="A4" s="19" t="s">
        <v>137</v>
      </c>
      <c r="B4" s="26">
        <v>60000</v>
      </c>
      <c r="C4" s="26">
        <v>20000</v>
      </c>
      <c r="D4" s="26">
        <v>25000</v>
      </c>
      <c r="E4" s="26">
        <v>10000</v>
      </c>
      <c r="F4" s="26">
        <v>10000</v>
      </c>
    </row>
    <row r="5" ht="24" customHeight="1" spans="1:6" x14ac:dyDescent="0.25">
      <c r="A5" s="8" t="s">
        <v>138</v>
      </c>
      <c r="B5" s="27">
        <f>SUM(B3:B4)</f>
        <v>106629</v>
      </c>
      <c r="C5" s="27">
        <f>SUM(C3:C4)</f>
        <v>66629</v>
      </c>
      <c r="D5" s="27">
        <f>SUM(D3:D4)</f>
        <v>71629</v>
      </c>
      <c r="E5" s="27">
        <f>SUM(E3:E4)</f>
        <v>56629</v>
      </c>
      <c r="F5" s="27">
        <f>SUM(F3:F4)</f>
        <v>56629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 Charter&amp;R&amp;8&amp;ICapital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4" t="s">
        <v>1</v>
      </c>
      <c r="B1" s="24" t="s">
        <v>64</v>
      </c>
      <c r="C1" s="24" t="s">
        <v>65</v>
      </c>
      <c r="D1" s="24" t="s">
        <v>66</v>
      </c>
      <c r="E1" s="24" t="s">
        <v>67</v>
      </c>
      <c r="F1" s="24" t="s">
        <v>68</v>
      </c>
    </row>
    <row r="2" spans="1:6" x14ac:dyDescent="0.25">
      <c r="A2" s="19" t="s">
        <v>139</v>
      </c>
      <c r="B2" s="26">
        <f>'Revenue Schedule'!B16</f>
        <v>1465000</v>
      </c>
      <c r="C2" s="26">
        <f>'Revenue Schedule'!C16</f>
        <v>2328800</v>
      </c>
      <c r="D2" s="26">
        <f>'Revenue Schedule'!D16</f>
        <v>3452300</v>
      </c>
      <c r="E2" s="26">
        <f>'Revenue Schedule'!E16</f>
        <v>4623000</v>
      </c>
      <c r="F2" s="26">
        <f>'Revenue Schedule'!F16</f>
        <v>5891500</v>
      </c>
    </row>
    <row r="3" spans="1:6" x14ac:dyDescent="0.25">
      <c r="A3" s="19" t="s">
        <v>140</v>
      </c>
      <c r="B3" s="26">
        <f>'Staffing &amp; Personnel'!B26</f>
        <v>780535</v>
      </c>
      <c r="C3" s="26">
        <f>'Staffing &amp; Personnel'!C26</f>
        <v>936642</v>
      </c>
      <c r="D3" s="26">
        <f>'Staffing &amp; Personnel'!D26</f>
        <v>936642</v>
      </c>
      <c r="E3" s="26">
        <f>'Staffing &amp; Personnel'!E26</f>
        <v>936642</v>
      </c>
      <c r="F3" s="26">
        <f>'Staffing &amp; Personnel'!F26</f>
        <v>936642</v>
      </c>
    </row>
    <row r="4" spans="1:6" x14ac:dyDescent="0.25">
      <c r="A4" s="19" t="s">
        <v>17</v>
      </c>
      <c r="B4" s="26">
        <f>'Operating Expenses'!B21</f>
        <v>604000</v>
      </c>
      <c r="C4" s="26">
        <f>'Operating Expenses'!C21</f>
        <v>774860</v>
      </c>
      <c r="D4" s="26">
        <f>'Operating Expenses'!D21</f>
        <v>994470</v>
      </c>
      <c r="E4" s="26">
        <f>'Operating Expenses'!E21</f>
        <v>1226220</v>
      </c>
      <c r="F4" s="26">
        <f>'Operating Expenses'!F21</f>
        <v>1471947</v>
      </c>
    </row>
    <row r="5" spans="1:6" x14ac:dyDescent="0.25">
      <c r="A5" s="19" t="s">
        <v>18</v>
      </c>
      <c r="B5" s="26">
        <f>'Capital &amp; Debt'!B5</f>
        <v>106629</v>
      </c>
      <c r="C5" s="26">
        <f>'Capital &amp; Debt'!C5</f>
        <v>66629</v>
      </c>
      <c r="D5" s="26">
        <f>'Capital &amp; Debt'!D5</f>
        <v>71629</v>
      </c>
      <c r="E5" s="26">
        <f>'Capital &amp; Debt'!E5</f>
        <v>56629</v>
      </c>
      <c r="F5" s="26">
        <f>'Capital &amp; Debt'!F5</f>
        <v>56629</v>
      </c>
    </row>
    <row r="6" ht="24" customHeight="1" spans="1:6" x14ac:dyDescent="0.25">
      <c r="A6" s="8" t="s">
        <v>141</v>
      </c>
      <c r="B6" s="27">
        <f>B3+B4+B5</f>
        <v>1491164</v>
      </c>
      <c r="C6" s="27">
        <f>C3+C4+C5</f>
        <v>1778131</v>
      </c>
      <c r="D6" s="27">
        <f>D3+D4+D5</f>
        <v>2002741</v>
      </c>
      <c r="E6" s="27">
        <f>E3+E4+E5</f>
        <v>2219491</v>
      </c>
      <c r="F6" s="27">
        <f>F3+F4+F5</f>
        <v>2465218</v>
      </c>
    </row>
    <row r="7" ht="24" customHeight="1" spans="1:6" x14ac:dyDescent="0.25">
      <c r="A7" s="8" t="s">
        <v>142</v>
      </c>
      <c r="B7" s="27">
        <f>B2-B6</f>
        <v>-26164</v>
      </c>
      <c r="C7" s="27">
        <f>C2-C6</f>
        <v>550669</v>
      </c>
      <c r="D7" s="27">
        <f>D2-D6</f>
        <v>1449559</v>
      </c>
      <c r="E7" s="27">
        <f>E2-E6</f>
        <v>2403509</v>
      </c>
      <c r="F7" s="27">
        <f>F2-F6</f>
        <v>3426282</v>
      </c>
    </row>
    <row r="8" spans="1:6" x14ac:dyDescent="0.25">
      <c r="A8" s="19" t="s">
        <v>143</v>
      </c>
      <c r="B8" s="26">
        <f>B7</f>
        <v>-26164</v>
      </c>
      <c r="C8" s="26">
        <f>B8+C7</f>
        <v>524505</v>
      </c>
      <c r="D8" s="26">
        <f>C8+D7</f>
        <v>1974064</v>
      </c>
      <c r="E8" s="26">
        <f>D8+E7</f>
        <v>4377573</v>
      </c>
      <c r="F8" s="26">
        <f>E8+F7</f>
        <v>7803855</v>
      </c>
    </row>
    <row r="9" spans="1:6" x14ac:dyDescent="0.25">
      <c r="A9" s="19" t="s">
        <v>11</v>
      </c>
      <c r="B9" s="34" t="str">
        <f>IF(B6=0,0,IF(B8&gt;0,B8/(B6/12),0))</f>
        <v>0</v>
      </c>
      <c r="C9" s="34">
        <f>IF(C6=0,0,IF(C8&gt;0,C8/(C6/12),0))</f>
        <v>3.5397054547724545</v>
      </c>
      <c r="D9" s="34">
        <f>IF(D6=0,0,IF(D8&gt;0,D8/(D6/12),0))</f>
        <v>11.828173488234373</v>
      </c>
      <c r="E9" s="34">
        <f>IF(E6=0,0,IF(E8&gt;0,E8/(E6/12),0))</f>
        <v>23.66798333491778</v>
      </c>
      <c r="F9" s="34">
        <f>IF(F6=0,0,IF(F8&gt;0,F8/(F6/12),0))</f>
        <v>37.98700966811049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35" t="s">
        <v>144</v>
      </c>
      <c r="B1" s="35"/>
      <c r="C1" s="35"/>
      <c r="D1" s="35"/>
      <c r="E1" s="35"/>
      <c r="F1" s="35"/>
    </row>
    <row r="2" spans="1:1" x14ac:dyDescent="0.25">
      <c r="A2" s="36" t="s">
        <v>145</v>
      </c>
    </row>
    <row r="4" ht="24" customHeight="1" spans="1:6" x14ac:dyDescent="0.25">
      <c r="A4" s="8" t="s">
        <v>23</v>
      </c>
      <c r="B4" s="8"/>
      <c r="C4" s="8"/>
      <c r="D4" s="8"/>
      <c r="E4" s="8"/>
      <c r="F4" s="8"/>
    </row>
    <row r="5" spans="1:2" x14ac:dyDescent="0.25">
      <c r="A5" s="19" t="s">
        <v>24</v>
      </c>
      <c r="B5" s="20" t="s">
        <v>3</v>
      </c>
    </row>
    <row r="6" spans="1:2" x14ac:dyDescent="0.25">
      <c r="A6" s="19" t="s">
        <v>27</v>
      </c>
      <c r="B6" s="20" t="s">
        <v>28</v>
      </c>
    </row>
    <row r="7" spans="1:2" x14ac:dyDescent="0.25">
      <c r="A7" s="19" t="s">
        <v>29</v>
      </c>
      <c r="B7" s="20" t="s">
        <v>30</v>
      </c>
    </row>
    <row r="8" spans="1:2" x14ac:dyDescent="0.25">
      <c r="A8" s="19" t="s">
        <v>31</v>
      </c>
      <c r="B8" s="20" t="s">
        <v>32</v>
      </c>
    </row>
    <row r="9" spans="1:2" x14ac:dyDescent="0.25">
      <c r="A9" s="19" t="s">
        <v>33</v>
      </c>
      <c r="B9" s="20" t="s">
        <v>34</v>
      </c>
    </row>
    <row r="10" spans="1:2" x14ac:dyDescent="0.25">
      <c r="A10" s="19" t="s">
        <v>25</v>
      </c>
      <c r="B10" s="20" t="s">
        <v>26</v>
      </c>
    </row>
    <row r="11" spans="1:2" x14ac:dyDescent="0.25">
      <c r="A11" s="19" t="s">
        <v>38</v>
      </c>
      <c r="B11" s="20" t="s">
        <v>39</v>
      </c>
    </row>
    <row r="12" spans="1:2" x14ac:dyDescent="0.25">
      <c r="A12" s="19" t="s">
        <v>37</v>
      </c>
      <c r="B12" s="20" t="s">
        <v>146</v>
      </c>
    </row>
    <row r="14" ht="24" customHeight="1" spans="1:6" x14ac:dyDescent="0.25">
      <c r="A14" s="8" t="s">
        <v>147</v>
      </c>
      <c r="B14" s="8"/>
      <c r="C14" s="8"/>
      <c r="D14" s="8"/>
      <c r="E14" s="8"/>
      <c r="F14" s="8"/>
    </row>
    <row r="15" ht="28" customHeight="1" spans="1:6" x14ac:dyDescent="0.25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67</v>
      </c>
      <c r="F15" s="24" t="s">
        <v>68</v>
      </c>
    </row>
    <row r="16" spans="1:6" x14ac:dyDescent="0.25">
      <c r="A16" s="19" t="s">
        <v>69</v>
      </c>
      <c r="B16" s="25">
        <f>'Revenue Schedule'!B2</f>
        <v>120</v>
      </c>
      <c r="C16" s="25">
        <f>'Revenue Schedule'!C2</f>
        <v>200</v>
      </c>
      <c r="D16" s="25">
        <f>'Revenue Schedule'!D2</f>
        <v>300</v>
      </c>
      <c r="E16" s="25">
        <f>'Revenue Schedule'!E2</f>
        <v>400</v>
      </c>
      <c r="F16" s="25">
        <f>'Revenue Schedule'!F2</f>
        <v>500</v>
      </c>
    </row>
    <row r="17" spans="1:6" x14ac:dyDescent="0.25">
      <c r="A17" s="19" t="s">
        <v>148</v>
      </c>
      <c r="B17" s="9" t="s">
        <v>149</v>
      </c>
      <c r="C17" s="37">
        <f>IF(B16=0,0,(C16-B16)/B16)</f>
        <v>0.6666666666666666</v>
      </c>
      <c r="D17" s="37">
        <f>IF(C16=0,0,(D16-C16)/C16)</f>
        <v>0.5</v>
      </c>
      <c r="E17" s="37">
        <f>IF(D16=0,0,(E16-D16)/D16)</f>
        <v>0.3333333333333333</v>
      </c>
      <c r="F17" s="37">
        <f>IF(E16=0,0,(F16-E16)/E16)</f>
        <v>0.25</v>
      </c>
    </row>
    <row r="19" ht="28" customHeight="1" spans="1:6" x14ac:dyDescent="0.25">
      <c r="A19" s="24" t="s">
        <v>63</v>
      </c>
      <c r="B19" s="24" t="s">
        <v>64</v>
      </c>
      <c r="C19" s="24" t="s">
        <v>65</v>
      </c>
      <c r="D19" s="24" t="s">
        <v>66</v>
      </c>
      <c r="E19" s="24" t="s">
        <v>67</v>
      </c>
      <c r="F19" s="24" t="s">
        <v>68</v>
      </c>
    </row>
    <row r="20" spans="1:6" x14ac:dyDescent="0.25">
      <c r="A20" s="19" t="s">
        <v>139</v>
      </c>
      <c r="B20" s="26">
        <f>'Financial Model'!B2</f>
        <v>1465000</v>
      </c>
      <c r="C20" s="26">
        <f>'Financial Model'!C2</f>
        <v>2328800</v>
      </c>
      <c r="D20" s="26">
        <f>'Financial Model'!D2</f>
        <v>3452300</v>
      </c>
      <c r="E20" s="26">
        <f>'Financial Model'!E2</f>
        <v>4623000</v>
      </c>
      <c r="F20" s="26">
        <f>'Financial Model'!F2</f>
        <v>5891500</v>
      </c>
    </row>
    <row r="21" spans="1:6" x14ac:dyDescent="0.25">
      <c r="A21" s="19" t="s">
        <v>140</v>
      </c>
      <c r="B21" s="26">
        <f>'Financial Model'!B3</f>
        <v>780535</v>
      </c>
      <c r="C21" s="26">
        <f>'Financial Model'!C3</f>
        <v>936642</v>
      </c>
      <c r="D21" s="26">
        <f>'Financial Model'!D3</f>
        <v>936642</v>
      </c>
      <c r="E21" s="26">
        <f>'Financial Model'!E3</f>
        <v>936642</v>
      </c>
      <c r="F21" s="26">
        <f>'Financial Model'!F3</f>
        <v>936642</v>
      </c>
    </row>
    <row r="22" spans="1:6" x14ac:dyDescent="0.25">
      <c r="A22" s="19" t="s">
        <v>17</v>
      </c>
      <c r="B22" s="26">
        <f>'Financial Model'!B4</f>
        <v>604000</v>
      </c>
      <c r="C22" s="26">
        <f>'Financial Model'!C4</f>
        <v>774860</v>
      </c>
      <c r="D22" s="26">
        <f>'Financial Model'!D4</f>
        <v>994470</v>
      </c>
      <c r="E22" s="26">
        <f>'Financial Model'!E4</f>
        <v>1226220</v>
      </c>
      <c r="F22" s="26">
        <f>'Financial Model'!F4</f>
        <v>1471947</v>
      </c>
    </row>
    <row r="23" ht="24" customHeight="1" spans="1:6" x14ac:dyDescent="0.25">
      <c r="A23" s="8" t="s">
        <v>141</v>
      </c>
      <c r="B23" s="27">
        <f>'Financial Model'!B6</f>
        <v>1491164</v>
      </c>
      <c r="C23" s="27">
        <f>'Financial Model'!C6</f>
        <v>1778131</v>
      </c>
      <c r="D23" s="27">
        <f>'Financial Model'!D6</f>
        <v>2002741</v>
      </c>
      <c r="E23" s="27">
        <f>'Financial Model'!E6</f>
        <v>2219491</v>
      </c>
      <c r="F23" s="27">
        <f>'Financial Model'!F6</f>
        <v>2465218</v>
      </c>
    </row>
    <row r="24" spans="1:6" x14ac:dyDescent="0.25">
      <c r="A24" s="20" t="s">
        <v>142</v>
      </c>
      <c r="B24" s="38">
        <f>'Financial Model'!B7</f>
        <v>-26164</v>
      </c>
      <c r="C24" s="39">
        <f>'Financial Model'!C7</f>
        <v>550669</v>
      </c>
      <c r="D24" s="39">
        <f>'Financial Model'!D7</f>
        <v>1449559</v>
      </c>
      <c r="E24" s="39">
        <f>'Financial Model'!E7</f>
        <v>2403509</v>
      </c>
      <c r="F24" s="39">
        <f>'Financial Model'!F7</f>
        <v>3426282</v>
      </c>
    </row>
    <row r="25" spans="1:6" x14ac:dyDescent="0.25">
      <c r="A25" s="19" t="s">
        <v>143</v>
      </c>
      <c r="B25" s="26">
        <f>'Financial Model'!B8</f>
        <v>-26164</v>
      </c>
      <c r="C25" s="26">
        <f>'Financial Model'!C8</f>
        <v>524505</v>
      </c>
      <c r="D25" s="26">
        <f>'Financial Model'!D8</f>
        <v>1974064</v>
      </c>
      <c r="E25" s="26">
        <f>'Financial Model'!E8</f>
        <v>4377573</v>
      </c>
      <c r="F25" s="26">
        <f>'Financial Model'!F8</f>
        <v>7803855</v>
      </c>
    </row>
    <row r="26" spans="1:6" x14ac:dyDescent="0.25">
      <c r="A26" s="20" t="s">
        <v>11</v>
      </c>
      <c r="B26" s="40" t="str">
        <f>'Financial Model'!B9</f>
        <v>0</v>
      </c>
      <c r="C26" s="13">
        <f>'Financial Model'!C9</f>
        <v>3.5397054547724545</v>
      </c>
      <c r="D26" s="13">
        <f>'Financial Model'!D9</f>
        <v>11.828173488234373</v>
      </c>
      <c r="E26" s="13">
        <f>'Financial Model'!E9</f>
        <v>23.66798333491778</v>
      </c>
      <c r="F26" s="13">
        <f>'Financial Model'!F9</f>
        <v>37.98700966811049</v>
      </c>
    </row>
    <row r="28" ht="24" customHeight="1" spans="1:6" x14ac:dyDescent="0.25">
      <c r="A28" s="8" t="s">
        <v>150</v>
      </c>
      <c r="B28" s="8"/>
      <c r="C28" s="8"/>
      <c r="D28" s="8"/>
      <c r="E28" s="8"/>
      <c r="F28" s="8"/>
    </row>
    <row r="29" spans="1:6" x14ac:dyDescent="0.25">
      <c r="A29" s="19" t="s">
        <v>151</v>
      </c>
      <c r="B29" s="26">
        <f>IF('Revenue Schedule'!B2=0,0,B20/'Revenue Schedule'!B2)</f>
        <v>12208.333333333334</v>
      </c>
      <c r="C29" s="26">
        <f>IF('Revenue Schedule'!C2=0,0,C20/'Revenue Schedule'!C2)</f>
        <v>11644</v>
      </c>
      <c r="D29" s="26">
        <f>IF('Revenue Schedule'!D2=0,0,D20/'Revenue Schedule'!D2)</f>
        <v>11507.666666666666</v>
      </c>
      <c r="E29" s="26">
        <f>IF('Revenue Schedule'!E2=0,0,E20/'Revenue Schedule'!E2)</f>
        <v>11557.5</v>
      </c>
      <c r="F29" s="26">
        <f>IF('Revenue Schedule'!F2=0,0,F20/'Revenue Schedule'!F2)</f>
        <v>11783</v>
      </c>
    </row>
    <row r="30" spans="1:6" x14ac:dyDescent="0.25">
      <c r="A30" s="19" t="s">
        <v>152</v>
      </c>
      <c r="B30" s="37">
        <f>IF(B20=0,0,'Financial Model'!B3/B20)</f>
        <v>0.5327883959044368</v>
      </c>
      <c r="C30" s="37">
        <f>IF(C20=0,0,'Financial Model'!C3/C20)</f>
        <v>0.4021994160082446</v>
      </c>
      <c r="D30" s="37">
        <f>IF(D20=0,0,'Financial Model'!D3/D20)</f>
        <v>0.2713095617414477</v>
      </c>
      <c r="E30" s="37">
        <f>IF(E20=0,0,'Financial Model'!E3/E20)</f>
        <v>0.20260480207657366</v>
      </c>
      <c r="F30" s="37">
        <f>IF(F20=0,0,'Financial Model'!F3/F20)</f>
        <v>0.15898192310956463</v>
      </c>
    </row>
    <row r="31" spans="1:6" x14ac:dyDescent="0.25">
      <c r="A31" s="19" t="s">
        <v>153</v>
      </c>
      <c r="B31" s="37">
        <f>IF(B20=0,0,'Financial Model'!B4/B20)</f>
        <v>0.41228668941979524</v>
      </c>
      <c r="C31" s="37">
        <f>IF(C20=0,0,'Financial Model'!C4/C20)</f>
        <v>0.3327293026451391</v>
      </c>
      <c r="D31" s="37">
        <f>IF(D20=0,0,'Financial Model'!D4/D20)</f>
        <v>0.2880601338238276</v>
      </c>
      <c r="E31" s="37">
        <f>IF(E20=0,0,'Financial Model'!E4/E20)</f>
        <v>0.26524334847501624</v>
      </c>
      <c r="F31" s="37">
        <f>IF(F20=0,0,'Financial Model'!F4/F20)</f>
        <v>0.24984248493592465</v>
      </c>
    </row>
    <row r="32" spans="1:6" x14ac:dyDescent="0.25">
      <c r="A32" s="20" t="s">
        <v>154</v>
      </c>
      <c r="B32" s="41">
        <f>IF(B20=0,0,B24/B20)</f>
        <v>-0.01785938566552901</v>
      </c>
      <c r="C32" s="12">
        <f>IF(C20=0,0,C24/C20)</f>
        <v>0.23646040879422878</v>
      </c>
      <c r="D32" s="12">
        <f>IF(D20=0,0,D24/D20)</f>
        <v>0.41988210758045363</v>
      </c>
      <c r="E32" s="12">
        <f>IF(E20=0,0,E24/E20)</f>
        <v>0.5199024443002379</v>
      </c>
      <c r="F32" s="12">
        <f>IF(F20=0,0,F24/F20)</f>
        <v>0.5815636085886446</v>
      </c>
    </row>
    <row r="34" ht="24" customHeight="1" spans="1:6" x14ac:dyDescent="0.25">
      <c r="A34" s="8" t="s">
        <v>155</v>
      </c>
      <c r="B34" s="8"/>
      <c r="C34" s="8"/>
      <c r="D34" s="8"/>
      <c r="E34" s="8"/>
      <c r="F34" s="8"/>
    </row>
    <row r="35" spans="1:6" x14ac:dyDescent="0.25">
      <c r="A35" s="19" t="s">
        <v>156</v>
      </c>
      <c r="B35" s="37">
        <v>0.032764505119453925</v>
      </c>
      <c r="C35" s="37">
        <v>0.03538302988663689</v>
      </c>
      <c r="D35" s="37">
        <v>0.03684500188280277</v>
      </c>
      <c r="E35" s="37">
        <v>0.03781094527363184</v>
      </c>
      <c r="F35" s="37">
        <v>0.03819061359585844</v>
      </c>
    </row>
    <row r="36" spans="1:6" x14ac:dyDescent="0.25">
      <c r="A36" s="19" t="s">
        <v>157</v>
      </c>
      <c r="B36" s="37">
        <v>0.8477815699658703</v>
      </c>
      <c r="C36" s="37">
        <v>0.9066472002748196</v>
      </c>
      <c r="D36" s="37">
        <v>0.9356371114908901</v>
      </c>
      <c r="E36" s="37">
        <v>0.9502920181700195</v>
      </c>
      <c r="F36" s="37">
        <v>0.9507765424764492</v>
      </c>
    </row>
    <row r="37" spans="1:6" x14ac:dyDescent="0.25">
      <c r="A37" s="19" t="s">
        <v>158</v>
      </c>
      <c r="B37" s="37">
        <v>0.11945392491467577</v>
      </c>
      <c r="C37" s="37">
        <v>0.057969769838543454</v>
      </c>
      <c r="D37" s="37">
        <v>0.0275178866263071</v>
      </c>
      <c r="E37" s="37">
        <v>0.01189703655634869</v>
      </c>
      <c r="F37" s="37">
        <v>0.011032843927692439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3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5891500</v>
      </c>
    </row>
    <row r="17" spans="2:3" x14ac:dyDescent="0.25">
      <c r="B17" s="9" t="s">
        <v>9</v>
      </c>
      <c r="C17" s="11">
        <v>3426282</v>
      </c>
    </row>
    <row r="18" spans="2:3" x14ac:dyDescent="0.25">
      <c r="B18" s="9" t="s">
        <v>10</v>
      </c>
      <c r="C18" s="12">
        <v>0.5815636085886446</v>
      </c>
    </row>
    <row r="19" spans="2:3" x14ac:dyDescent="0.25">
      <c r="B19" s="9" t="s">
        <v>11</v>
      </c>
      <c r="C19" s="13">
        <v>37.98700966811049</v>
      </c>
    </row>
    <row r="20" spans="2:3" x14ac:dyDescent="0.25">
      <c r="B20" s="9" t="s">
        <v>12</v>
      </c>
      <c r="C20" s="14">
        <v>500</v>
      </c>
    </row>
    <row r="23" ht="24" customHeight="1" spans="2:3" x14ac:dyDescent="0.25">
      <c r="B23" s="8" t="s">
        <v>13</v>
      </c>
      <c r="C23" s="8"/>
    </row>
    <row r="24" spans="2:3" x14ac:dyDescent="0.25">
      <c r="B24" s="15" t="s">
        <v>14</v>
      </c>
      <c r="C24" s="16"/>
    </row>
    <row r="25" spans="2:3" x14ac:dyDescent="0.25">
      <c r="B25" s="15" t="s">
        <v>15</v>
      </c>
      <c r="C25" s="16"/>
    </row>
    <row r="26" spans="2:3" x14ac:dyDescent="0.25">
      <c r="B26" s="15" t="s">
        <v>16</v>
      </c>
      <c r="C26" s="16"/>
    </row>
    <row r="27" spans="2:3" x14ac:dyDescent="0.25">
      <c r="B27" s="15" t="s">
        <v>17</v>
      </c>
      <c r="C27" s="16"/>
    </row>
    <row r="28" spans="2:3" x14ac:dyDescent="0.25">
      <c r="B28" s="15" t="s">
        <v>18</v>
      </c>
      <c r="C28" s="16"/>
    </row>
    <row r="29" spans="2:3" x14ac:dyDescent="0.25">
      <c r="B29" s="15" t="s">
        <v>19</v>
      </c>
      <c r="C29" s="16"/>
    </row>
    <row r="30" spans="2:3" x14ac:dyDescent="0.25">
      <c r="B30" s="15" t="s">
        <v>20</v>
      </c>
      <c r="C30" s="16"/>
    </row>
    <row r="33" spans="2:3" x14ac:dyDescent="0.25">
      <c r="B33" s="17" t="s">
        <v>21</v>
      </c>
      <c r="C33" s="17"/>
    </row>
  </sheetData>
  <mergeCells count="5">
    <mergeCell ref="B3:C3"/>
    <mergeCell ref="B4:C4"/>
    <mergeCell ref="B9:C9"/>
    <mergeCell ref="B10:C10"/>
    <mergeCell ref="B33:C33"/>
  </mergeCells>
  <hyperlinks>
    <hyperlink ref="B24" r:id="rId1" location="#'Assumptions'!A1"/>
    <hyperlink ref="B25" r:id="rId2" location="#'Revenue Schedule'!A1"/>
    <hyperlink ref="B26" r:id="rId3" location="#'Staffing &amp; Personnel'!A1"/>
    <hyperlink ref="B27" r:id="rId4" location="#'Operating Expenses'!A1"/>
    <hyperlink ref="B28" r:id="rId5" location="#'Capital &amp; Debt'!A1"/>
    <hyperlink ref="B29" r:id="rId6" location="#'Financial Model'!A1"/>
    <hyperlink ref="B30" r:id="rId7" location="#'Summary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2026-03-17T17:40:09Z</dcterms:created>
  <dcterms:modified xsi:type="dcterms:W3CDTF">2026-03-17T17:40:09Z</dcterms:modified>
</cp:coreProperties>
</file>