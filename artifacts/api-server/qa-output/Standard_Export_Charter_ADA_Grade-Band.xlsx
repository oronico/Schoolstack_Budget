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'Assumptions'!$A1:$E33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'Summary'!$A1:$F38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<sst xmlns="http://schemas.openxmlformats.org/spreadsheetml/2006/main" count="325" uniqueCount="227">
  <si>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</si>
  <si>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</si>
  <si>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</si>
  <si>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</si>
  <si>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</si>
  <si>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</si>
  <si>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April 29,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</si>
  <si>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</si>
  <si>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</si>
  <si>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</si>
  <si>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</si>
  <si>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</si>
  <si>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</si>
  <si>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</si>
  <si>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</si>
  <si>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</si>
  <si>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</si>
  <si>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</si>
  <si>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</si>
  <si>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</si>
  <si>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</si>
  <si>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</si>
  <si>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</si>
  <si>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</si>
  <si>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</si>
  <si>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</si>
  <si>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</si>
  <si>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</si>
  <si>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</si>
  <si>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</si>
  <si>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</si>
  <si>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</si>
  <si>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</si>
  <si>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</si>
  <si>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</si>
  <si>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</si>
  <si>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</si>
  <si>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</si>
  <si>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</si>
  <si>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</si>
  <si>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</si>
  <si>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</si>
  <si>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</si>
  <si>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Accounting Basis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</si>
  <si>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</si>
  <si>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</si>
  <si>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</si>
  <si>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</si>
  <si>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</si>
  <si>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</si>
  <si>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</si>
  <si>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</si>
  <si>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</si>
  <si>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</si>
  <si>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</si>
  <si>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</si>
  <si>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</si>
  <si>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</si>
  <si>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</si>
  <si>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</si>
  <si>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</si>
  <si>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</si>
  <si>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</si>
  <si>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</si>
  <si>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</si>
  <si>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</si>
  <si>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</si>
  <si>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</si>
  <si>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</si>
  <si>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</si>
  <si>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</si>
  <si>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</si>
  <si>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</si>
  <si>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</si>
  <si>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</si>
  <si>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</si>
  <si>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</si>
  <si>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</si>
  <si>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</si>
  <si>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</si>
  <si>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</si>
  <si>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</si>
  <si>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</si>
  <si>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</si>
  <si>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</si>
  <si>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</si>
  <si>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</si>
  <si>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</si>
  <si>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</si>
  <si>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</si>
  <si>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</si>
  <si>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</si>
  <si>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</si>
  <si>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</si>
  <si>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</si>
  <si>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</si>
  <si>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</si>
  <si>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</si>
  <si>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</si>
  <si>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</si>
  <si>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</si>
  <si>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</si>
  <si>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</si>
  <si>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</si>
  <si>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</si>
  <si>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</si>
  <si>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</si>
  <si>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</si>
  <si>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</si>
  <si>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</si>
  <si>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</si>
  <si>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</si>
  <si>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</si>
  <si>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</si>
  <si>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</si>
  <si>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</si>
  <si>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</si>
  <si>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</si>
  <si>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</si>
  <si>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</si>
  <si>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</si>
  <si>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</si>
  <si>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</si>
  <si>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</si>
  <si>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</si>
  <si>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</si>
  <si>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</si>
  <si>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</si>
  <si>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</si>
  <si>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</si>
  <si>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</si>
  <si>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</si>
  <si>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</si>
  <si>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</si>
  <si>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</si>
  <si>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</si>
  <si>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</si>
  <si>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</si>
  <si>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</si>
  <si>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</si>
  <si>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</si>
  <si>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</si>
  <si>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</si>
  <si>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</si>
  <si>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</si>
  <si>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</si>
  <si>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</si>
  <si>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</si>
  <si>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</si>
  <si>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</si>
  <si>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</si>
  <si>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</si>
  <si>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</si>
  <si>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</si>
  <si>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</si>
  <si>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</si>
  <si>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</si>
  <si>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</si>
  <si>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</si>
  <si>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</si>
  <si>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</si>
  <si>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</si>
  <si>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</si>
  <si>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</si>
  <si>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</si>
  <si>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</si>
  <si>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</si>
  <si>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</si>
  <si>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</si>
  <si>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</si>
  <si>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</si>
  <si>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</si>
  <si>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</si>
  <si>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</si>
  <si>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</si>
  <si>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</si>
  <si>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</si>
  <si>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</si>
  <si>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</si>
  <si>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</si>
  <si>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</si>
  <si>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</si>
  <si>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</si>
  <si>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</si>
  <si>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</si>
  <si>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</si>
  <si>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</si>
  <si>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</si>
  <si>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</si>
  <si>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</si>
  <si>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</si>
  <si>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</si>
  <si>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</si>
  <si>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</si>
  <si>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</si>
  <si>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</si>
  <si>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</si>
  <si>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</si>
  <si>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</si>
  <si>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</si>
  <si>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</si>
  <si>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</si>
  <si>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</si>
  <si>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</si>
  <si>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</si>
  <si>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</si>
  <si>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</si>
  <si>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</si>
  <si>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1.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</si>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</sst>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 t="s">
        <v>23</v>
      </c>
    </row>
    <row r="15" spans="1:2" x14ac:dyDescent="0.25">
      <c r="A15" s="22" t="s">
        <v>44</v>
      </c>
      <c r="B15" s="23">
        <v>10</v>
      </c>
    </row>
    <row r="16" spans="1:2" x14ac:dyDescent="0.25">
      <c r="A16" s="22" t="s">
        <v>45</v>
      </c>
      <c r="B16" s="23" t="s">
        <v>46</v>
      </c>
    </row>
    <row r="17" spans="1:2" x14ac:dyDescent="0.25">
      <c r="A17" s="22" t="s">
        <v>47</v>
      </c>
      <c r="B17" s="23" t="s">
        <v>48</v>
      </c>
    </row>
    <row r="18" spans="1:2" x14ac:dyDescent="0.25">
      <c r="A18" s="22" t="s">
        <v>49</v>
      </c>
      <c r="B18" s="23" t="s">
        <v>50</v>
      </c>
    </row>
    <row r="19" spans="1:2" x14ac:dyDescent="0.25">
      <c r="A19" s="22" t="s">
        <v>51</v>
      </c>
      <c r="B19" s="23" t="s">
        <v>52</v>
      </c>
    </row>
    <row r="20" spans="1:2" x14ac:dyDescent="0.25">
      <c r="A20" s="22" t="s">
        <v>53</v>
      </c>
      <c r="B20" s="23" t="s">
        <v>54</v>
      </c>
    </row>
    <row r="22" ht="24" customHeight="1" spans="1:2" x14ac:dyDescent="0.25">
      <c r="A22" s="8" t="s">
        <v>55</v>
      </c>
      <c r="B22" s="8"/>
    </row>
    <row r="23" spans="1:2" x14ac:dyDescent="0.25">
      <c r="A23" s="22" t="s">
        <v>56</v>
      </c>
      <c r="B23" s="24">
        <v>120</v>
      </c>
    </row>
    <row r="24" spans="1:2" x14ac:dyDescent="0.25">
      <c r="A24" s="22" t="s">
        <v>57</v>
      </c>
      <c r="B24" s="24">
        <v>200</v>
      </c>
    </row>
    <row r="25" spans="1:2" x14ac:dyDescent="0.25">
      <c r="A25" s="22" t="s">
        <v>58</v>
      </c>
      <c r="B25" s="24">
        <v>300</v>
      </c>
    </row>
    <row r="26" spans="1:2" x14ac:dyDescent="0.25">
      <c r="A26" s="22" t="s">
        <v>59</v>
      </c>
      <c r="B26" s="24">
        <v>400</v>
      </c>
    </row>
    <row r="27" spans="1:2" x14ac:dyDescent="0.25">
      <c r="A27" s="22" t="s">
        <v>60</v>
      </c>
      <c r="B27" s="24">
        <v>500</v>
      </c>
    </row>
    <row r="29" ht="24" customHeight="1" spans="1:2" x14ac:dyDescent="0.25">
      <c r="A29" s="8" t="s">
        <v>61</v>
      </c>
      <c r="B29" s="8"/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5">
        <v>0</v>
      </c>
    </row>
    <row r="32" spans="1:2" x14ac:dyDescent="0.25">
      <c r="A32" s="22" t="s">
        <v>64</v>
      </c>
      <c r="B32" s="26">
        <v>0.8333333333333334</v>
      </c>
    </row>
    <row r="33" spans="1:2" x14ac:dyDescent="0.25">
      <c r="A33" s="22" t="s">
        <v>65</v>
      </c>
      <c r="B33" s="27" t="s">
        <v>66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120</v>
      </c>
      <c r="C2" s="29">
        <f>Assumptions!B24</f>
        <v>200</v>
      </c>
      <c r="D2" s="29">
        <f>Assumptions!B25</f>
        <v>300</v>
      </c>
      <c r="E2" s="29">
        <f>Assumptions!B26</f>
        <v>400</v>
      </c>
      <c r="F2" s="29">
        <f>Assumptions!B27</f>
        <v>500</v>
      </c>
    </row>
    <row r="3" ht="24" customHeight="1" spans="1:6" x14ac:dyDescent="0.25">
      <c r="A3" s="8" t="s">
        <v>73</v>
      </c>
      <c r="B3" s="8"/>
      <c r="C3" s="8"/>
      <c r="D3" s="8"/>
      <c r="E3" s="8"/>
      <c r="F3" s="8"/>
    </row>
    <row r="4" spans="1:6" x14ac:dyDescent="0.25">
      <c r="A4" s="22" t="s">
        <v>74</v>
      </c>
      <c r="B4" s="30">
        <f>8500*Assumptions!B23</f>
        <v>1020000</v>
      </c>
      <c r="C4" s="30">
        <f>8670*Assumptions!B24</f>
        <v>1734000</v>
      </c>
      <c r="D4" s="30">
        <f>8843*Assumptions!B25</f>
        <v>2652900</v>
      </c>
      <c r="E4" s="30">
        <f>9020*Assumptions!B26</f>
        <v>3608000</v>
      </c>
      <c r="F4" s="30">
        <f>9200*Assumptions!B27</f>
        <v>4600000</v>
      </c>
    </row>
    <row r="5" spans="1:6" x14ac:dyDescent="0.25">
      <c r="A5" s="22" t="s">
        <v>75</v>
      </c>
      <c r="B5" s="30">
        <f>750*Assumptions!B23</f>
        <v>90000</v>
      </c>
      <c r="C5" s="30">
        <f>765*Assumptions!B24</f>
        <v>153000</v>
      </c>
      <c r="D5" s="30">
        <f>780*Assumptions!B25</f>
        <v>234000</v>
      </c>
      <c r="E5" s="30">
        <f>796*Assumptions!B26</f>
        <v>318400</v>
      </c>
      <c r="F5" s="30">
        <f>812*Assumptions!B27</f>
        <v>406000</v>
      </c>
    </row>
    <row r="6" spans="1:6" x14ac:dyDescent="0.25">
      <c r="A6" s="22" t="s">
        <v>76</v>
      </c>
      <c r="B6" s="30">
        <f>1100*Assumptions!B23</f>
        <v>132000</v>
      </c>
      <c r="C6" s="30">
        <f>1122*Assumptions!B24</f>
        <v>224400</v>
      </c>
      <c r="D6" s="30">
        <f>1144*Assumptions!B25</f>
        <v>343200</v>
      </c>
      <c r="E6" s="30">
        <f>1167*Assumptions!B26</f>
        <v>466800</v>
      </c>
      <c r="F6" s="30">
        <f>1191*Assumptions!B27</f>
        <v>595500</v>
      </c>
    </row>
    <row r="7" ht="24" customHeight="1" spans="1:6" x14ac:dyDescent="0.25">
      <c r="A7" s="8" t="s">
        <v>77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78</v>
      </c>
      <c r="B8" s="8"/>
      <c r="C8" s="8"/>
      <c r="D8" s="8"/>
      <c r="E8" s="8"/>
      <c r="F8" s="8"/>
    </row>
    <row r="9" spans="1:6" x14ac:dyDescent="0.25">
      <c r="A9" s="22" t="s">
        <v>79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80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81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82</v>
      </c>
      <c r="B12" s="8"/>
      <c r="C12" s="8"/>
      <c r="D12" s="8"/>
      <c r="E12" s="8"/>
      <c r="F12" s="8"/>
    </row>
    <row r="13" spans="1:6" x14ac:dyDescent="0.25">
      <c r="A13" s="22" t="s">
        <v>83</v>
      </c>
      <c r="B13" s="30">
        <f>400*Assumptions!B23</f>
        <v>48000</v>
      </c>
      <c r="C13" s="30">
        <f>412*Assumptions!B24</f>
        <v>82400</v>
      </c>
      <c r="D13" s="30">
        <f>424*Assumptions!B25</f>
        <v>127200</v>
      </c>
      <c r="E13" s="30">
        <f>437*Assumptions!B26</f>
        <v>174800</v>
      </c>
      <c r="F13" s="30">
        <f>450*Assumptions!B27</f>
        <v>225000</v>
      </c>
    </row>
    <row r="14" ht="24" customHeight="1" spans="1:6" x14ac:dyDescent="0.25">
      <c r="A14" s="8" t="s">
        <v>84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85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98</v>
      </c>
      <c r="B5" s="22" t="s">
        <v>96</v>
      </c>
      <c r="C5" s="22" t="s">
        <v>97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99</v>
      </c>
      <c r="B6" s="22" t="s">
        <v>100</v>
      </c>
      <c r="C6" s="22" t="s">
        <v>97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101</v>
      </c>
      <c r="B7" s="22" t="s">
        <v>100</v>
      </c>
      <c r="C7" s="22" t="s">
        <v>97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102</v>
      </c>
      <c r="B8" s="22" t="s">
        <v>100</v>
      </c>
      <c r="C8" s="22" t="s">
        <v>97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103</v>
      </c>
      <c r="B9" s="22" t="s">
        <v>104</v>
      </c>
      <c r="C9" s="22" t="s">
        <v>97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105</v>
      </c>
      <c r="B10" s="22" t="s">
        <v>106</v>
      </c>
      <c r="C10" s="22" t="s">
        <v>97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107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108</v>
      </c>
      <c r="B13" s="34">
        <v>7</v>
      </c>
    </row>
    <row r="14" spans="1:2" x14ac:dyDescent="0.25">
      <c r="A14" s="22" t="s">
        <v>109</v>
      </c>
      <c r="B14" s="34">
        <v>14</v>
      </c>
    </row>
    <row r="15" spans="1:2" x14ac:dyDescent="0.25">
      <c r="A15" s="22" t="s">
        <v>110</v>
      </c>
      <c r="B15" s="35">
        <v>708000</v>
      </c>
    </row>
    <row r="16" spans="1:2" x14ac:dyDescent="0.25">
      <c r="A16" s="22" t="s">
        <v>111</v>
      </c>
      <c r="B16" s="35">
        <v>174480</v>
      </c>
    </row>
    <row r="17" spans="1:2" x14ac:dyDescent="0.25">
      <c r="A17" s="22" t="s">
        <v>112</v>
      </c>
      <c r="B17" s="35">
        <v>54162</v>
      </c>
    </row>
    <row r="18" spans="1:2" x14ac:dyDescent="0.25">
      <c r="A18" s="22" t="s">
        <v>113</v>
      </c>
      <c r="B18" s="35">
        <v>0</v>
      </c>
    </row>
    <row r="19" spans="1:2" x14ac:dyDescent="0.25">
      <c r="A19" s="34" t="s">
        <v>114</v>
      </c>
      <c r="B19" s="36">
        <v>936642</v>
      </c>
    </row>
    <row r="21" ht="24" customHeight="1" spans="1:6" x14ac:dyDescent="0.25">
      <c r="A21" s="8" t="s">
        <v>115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67</v>
      </c>
      <c r="C22" s="28" t="s">
        <v>68</v>
      </c>
      <c r="D22" s="28" t="s">
        <v>69</v>
      </c>
      <c r="E22" s="28" t="s">
        <v>70</v>
      </c>
      <c r="F22" s="28" t="s">
        <v>71</v>
      </c>
    </row>
    <row r="23" spans="1:6" x14ac:dyDescent="0.25">
      <c r="A23" s="22" t="s">
        <v>116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117</v>
      </c>
      <c r="B24" s="37">
        <f>(1+Assumptions!B30)^0</f>
        <v>1</v>
      </c>
      <c r="C24" s="37">
        <f>(1+Assumptions!B30)^1</f>
        <v>1</v>
      </c>
      <c r="D24" s="37">
        <f>(1+Assumptions!B30)^2</f>
        <v>1</v>
      </c>
      <c r="E24" s="37">
        <f>(1+Assumptions!B30)^3</f>
        <v>1</v>
      </c>
      <c r="F24" s="37">
        <f>(1+Assumptions!B30)^4</f>
        <v>1</v>
      </c>
    </row>
    <row r="25" spans="1:6" x14ac:dyDescent="0.25">
      <c r="A25" s="22" t="s">
        <v>118</v>
      </c>
      <c r="B25" s="38">
        <f>Assumptions!B32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119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72</v>
      </c>
      <c r="B2" s="29">
        <f>Assumptions!B23</f>
        <v>120</v>
      </c>
      <c r="C2" s="29">
        <f>Assumptions!B24</f>
        <v>200</v>
      </c>
      <c r="D2" s="29">
        <f>Assumptions!B25</f>
        <v>300</v>
      </c>
      <c r="E2" s="29">
        <f>Assumptions!B26</f>
        <v>400</v>
      </c>
      <c r="F2" s="29">
        <f>Assumptions!B27</f>
        <v>500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22" t="s">
        <v>121</v>
      </c>
      <c r="B4" s="30">
        <f>650*Assumptions!B23</f>
        <v>78000</v>
      </c>
      <c r="C4" s="30">
        <f>670*Assumptions!B24</f>
        <v>134000</v>
      </c>
      <c r="D4" s="30">
        <f>690*Assumptions!B25</f>
        <v>207000</v>
      </c>
      <c r="E4" s="30">
        <f>710*Assumptions!B26</f>
        <v>284000</v>
      </c>
      <c r="F4" s="30">
        <f>732*Assumptions!B27</f>
        <v>366000</v>
      </c>
    </row>
    <row r="5" ht="24" customHeight="1" spans="1:6" x14ac:dyDescent="0.25">
      <c r="A5" s="8" t="s">
        <v>122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22" t="s">
        <v>124</v>
      </c>
      <c r="B7" s="30">
        <f>450*Assumptions!B23</f>
        <v>54000</v>
      </c>
      <c r="C7" s="30">
        <f>464*Assumptions!B24</f>
        <v>92800</v>
      </c>
      <c r="D7" s="30">
        <f>478*Assumptions!B25</f>
        <v>143400</v>
      </c>
      <c r="E7" s="30">
        <f>492*Assumptions!B26</f>
        <v>196800</v>
      </c>
      <c r="F7" s="30">
        <f>507*Assumptions!B27</f>
        <v>253500</v>
      </c>
    </row>
    <row r="8" ht="24" customHeight="1" spans="1:6" x14ac:dyDescent="0.25">
      <c r="A8" s="8" t="s">
        <v>125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22" t="s">
        <v>127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128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129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130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131</v>
      </c>
      <c r="B14" s="8"/>
      <c r="C14" s="8"/>
      <c r="D14" s="8"/>
      <c r="E14" s="8"/>
      <c r="F14" s="8"/>
    </row>
    <row r="15" spans="1:6" x14ac:dyDescent="0.25">
      <c r="A15" s="22" t="s">
        <v>132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133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134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135</v>
      </c>
      <c r="B18" s="30">
        <f>750*Assumptions!B23</f>
        <v>90000</v>
      </c>
      <c r="C18" s="30">
        <f>773*Assumptions!B24</f>
        <v>154600</v>
      </c>
      <c r="D18" s="30">
        <f>796*Assumptions!B25</f>
        <v>238800</v>
      </c>
      <c r="E18" s="30">
        <f>820*Assumptions!B26</f>
        <v>328000</v>
      </c>
      <c r="F18" s="30">
        <f>845*Assumptions!B27</f>
        <v>422500</v>
      </c>
    </row>
    <row r="19" ht="24" customHeight="1" spans="1:6" x14ac:dyDescent="0.25">
      <c r="A19" s="8" t="s">
        <v>136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137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ht="24" customHeight="1" spans="1:6" x14ac:dyDescent="0.25">
      <c r="A2" s="8" t="s">
        <v>138</v>
      </c>
      <c r="B2" s="8"/>
      <c r="C2" s="8"/>
      <c r="D2" s="8"/>
      <c r="E2" s="8"/>
      <c r="F2" s="8"/>
    </row>
    <row r="3" spans="1:6" x14ac:dyDescent="0.25">
      <c r="A3" s="22" t="s">
        <v>139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140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141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67</v>
      </c>
      <c r="C1" s="28" t="s">
        <v>68</v>
      </c>
      <c r="D1" s="28" t="s">
        <v>69</v>
      </c>
      <c r="E1" s="28" t="s">
        <v>70</v>
      </c>
      <c r="F1" s="28" t="s">
        <v>71</v>
      </c>
    </row>
    <row r="2" spans="1:6" x14ac:dyDescent="0.25">
      <c r="A2" s="22" t="s">
        <v>142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143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144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145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146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147</v>
      </c>
      <c r="B10" s="40" t="s">
        <v>23</v>
      </c>
      <c r="C10" s="41" t="s">
        <v>148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149</v>
      </c>
      <c r="B1" s="42"/>
      <c r="C1" s="42"/>
      <c r="D1" s="42"/>
      <c r="E1" s="42"/>
      <c r="F1" s="42"/>
    </row>
    <row r="2" spans="1:1" x14ac:dyDescent="0.25">
      <c r="A2" s="43" t="s">
        <v>150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43</v>
      </c>
      <c r="B12" s="34" t="s">
        <v>23</v>
      </c>
    </row>
    <row r="13" spans="1:2" x14ac:dyDescent="0.25">
      <c r="A13" s="22" t="s">
        <v>40</v>
      </c>
      <c r="B13" s="34" t="s">
        <v>151</v>
      </c>
    </row>
    <row r="15" ht="24" customHeight="1" spans="1:6" x14ac:dyDescent="0.25">
      <c r="A15" s="8" t="s">
        <v>152</v>
      </c>
      <c r="B15" s="8"/>
      <c r="C15" s="8"/>
      <c r="D15" s="8"/>
      <c r="E15" s="8"/>
      <c r="F15" s="8"/>
    </row>
    <row r="16" ht="28" customHeight="1" spans="1:6" x14ac:dyDescent="0.25">
      <c r="A16" s="28" t="s">
        <v>23</v>
      </c>
      <c r="B16" s="28" t="s">
        <v>67</v>
      </c>
      <c r="C16" s="28" t="s">
        <v>68</v>
      </c>
      <c r="D16" s="28" t="s">
        <v>69</v>
      </c>
      <c r="E16" s="28" t="s">
        <v>70</v>
      </c>
      <c r="F16" s="28" t="s">
        <v>71</v>
      </c>
    </row>
    <row r="17" spans="1:6" x14ac:dyDescent="0.25">
      <c r="A17" s="22" t="s">
        <v>72</v>
      </c>
      <c r="B17" s="29">
        <f>'Revenue Schedule'!B2</f>
        <v>120</v>
      </c>
      <c r="C17" s="29">
        <f>'Revenue Schedule'!C2</f>
        <v>200</v>
      </c>
      <c r="D17" s="29">
        <f>'Revenue Schedule'!D2</f>
        <v>300</v>
      </c>
      <c r="E17" s="29">
        <f>'Revenue Schedule'!E2</f>
        <v>400</v>
      </c>
      <c r="F17" s="29">
        <f>'Revenue Schedule'!F2</f>
        <v>500</v>
      </c>
    </row>
    <row r="18" spans="1:6" x14ac:dyDescent="0.25">
      <c r="A18" s="22" t="s">
        <v>153</v>
      </c>
      <c r="B18" s="9" t="s">
        <v>154</v>
      </c>
      <c r="C18" s="44">
        <f>IF(B17=0,0,(C17-B17)/B17)</f>
        <v>0.6666666666666666</v>
      </c>
      <c r="D18" s="44">
        <f>IF(C17=0,0,(D17-C17)/C17)</f>
        <v>0.5</v>
      </c>
      <c r="E18" s="44">
        <f>IF(D17=0,0,(E17-D17)/D17)</f>
        <v>0.3333333333333333</v>
      </c>
      <c r="F18" s="44">
        <f>IF(E17=0,0,(F17-E17)/E17)</f>
        <v>0.25</v>
      </c>
    </row>
    <row r="20" ht="28" customHeight="1" spans="1:6" x14ac:dyDescent="0.25">
      <c r="A20" s="28" t="s">
        <v>23</v>
      </c>
      <c r="B20" s="28" t="s">
        <v>67</v>
      </c>
      <c r="C20" s="28" t="s">
        <v>68</v>
      </c>
      <c r="D20" s="28" t="s">
        <v>69</v>
      </c>
      <c r="E20" s="28" t="s">
        <v>70</v>
      </c>
      <c r="F20" s="28" t="s">
        <v>71</v>
      </c>
    </row>
    <row r="21" spans="1:6" x14ac:dyDescent="0.25">
      <c r="A21" s="22" t="s">
        <v>142</v>
      </c>
      <c r="B21" s="30">
        <f>'Financial Model'!B2</f>
        <v>1465000</v>
      </c>
      <c r="C21" s="30">
        <f>'Financial Model'!C2</f>
        <v>2328800</v>
      </c>
      <c r="D21" s="30">
        <f>'Financial Model'!D2</f>
        <v>3452300</v>
      </c>
      <c r="E21" s="30">
        <f>'Financial Model'!E2</f>
        <v>4623000</v>
      </c>
      <c r="F21" s="30">
        <f>'Financial Model'!F2</f>
        <v>5891500</v>
      </c>
    </row>
    <row r="22" spans="1:6" x14ac:dyDescent="0.25">
      <c r="A22" s="22" t="s">
        <v>143</v>
      </c>
      <c r="B22" s="30">
        <f>'Financial Model'!B3</f>
        <v>780535</v>
      </c>
      <c r="C22" s="30">
        <f>'Financial Model'!C3</f>
        <v>936642</v>
      </c>
      <c r="D22" s="30">
        <f>'Financial Model'!D3</f>
        <v>936642</v>
      </c>
      <c r="E22" s="30">
        <f>'Financial Model'!E3</f>
        <v>936642</v>
      </c>
      <c r="F22" s="30">
        <f>'Financial Model'!F3</f>
        <v>936642</v>
      </c>
    </row>
    <row r="23" spans="1:6" x14ac:dyDescent="0.25">
      <c r="A23" s="22" t="s">
        <v>17</v>
      </c>
      <c r="B23" s="30">
        <f>'Financial Model'!B4</f>
        <v>604000</v>
      </c>
      <c r="C23" s="30">
        <f>'Financial Model'!C4</f>
        <v>774860</v>
      </c>
      <c r="D23" s="30">
        <f>'Financial Model'!D4</f>
        <v>994470</v>
      </c>
      <c r="E23" s="30">
        <f>'Financial Model'!E4</f>
        <v>1226220</v>
      </c>
      <c r="F23" s="30">
        <f>'Financial Model'!F4</f>
        <v>1471947</v>
      </c>
    </row>
    <row r="24" ht="24" customHeight="1" spans="1:6" x14ac:dyDescent="0.25">
      <c r="A24" s="8" t="s">
        <v>144</v>
      </c>
      <c r="B24" s="31">
        <f>'Financial Model'!B6</f>
        <v>1491164</v>
      </c>
      <c r="C24" s="31">
        <f>'Financial Model'!C6</f>
        <v>1778131</v>
      </c>
      <c r="D24" s="31">
        <f>'Financial Model'!D6</f>
        <v>2002741</v>
      </c>
      <c r="E24" s="31">
        <f>'Financial Model'!E6</f>
        <v>2219491</v>
      </c>
      <c r="F24" s="31">
        <f>'Financial Model'!F6</f>
        <v>2465218</v>
      </c>
    </row>
    <row r="25" spans="1:6" x14ac:dyDescent="0.25">
      <c r="A25" s="34" t="s">
        <v>145</v>
      </c>
      <c r="B25" s="45">
        <f>'Financial Model'!B7</f>
        <v>-26164</v>
      </c>
      <c r="C25" s="46">
        <f>'Financial Model'!C7</f>
        <v>550669</v>
      </c>
      <c r="D25" s="46">
        <f>'Financial Model'!D7</f>
        <v>1449559</v>
      </c>
      <c r="E25" s="46">
        <f>'Financial Model'!E7</f>
        <v>2403509</v>
      </c>
      <c r="F25" s="46">
        <f>'Financial Model'!F7</f>
        <v>3426282</v>
      </c>
    </row>
    <row r="26" spans="1:6" x14ac:dyDescent="0.25">
      <c r="A26" s="22" t="s">
        <v>146</v>
      </c>
      <c r="B26" s="30">
        <f>'Financial Model'!B8</f>
        <v>-26164</v>
      </c>
      <c r="C26" s="30">
        <f>'Financial Model'!C8</f>
        <v>524505</v>
      </c>
      <c r="D26" s="30">
        <f>'Financial Model'!D8</f>
        <v>1974064</v>
      </c>
      <c r="E26" s="30">
        <f>'Financial Model'!E8</f>
        <v>4377573</v>
      </c>
      <c r="F26" s="30">
        <f>'Financial Model'!F8</f>
        <v>7803855</v>
      </c>
    </row>
    <row r="27" spans="1:6" x14ac:dyDescent="0.25">
      <c r="A27" s="34" t="s">
        <v>11</v>
      </c>
      <c r="B27" s="47" t="str">
        <f>'Financial Model'!B9</f>
        <v>0</v>
      </c>
      <c r="C27" s="13">
        <f>'Financial Model'!C9</f>
        <v>3.5397054547724545</v>
      </c>
      <c r="D27" s="13">
        <f>'Financial Model'!D9</f>
        <v>11.828173488234373</v>
      </c>
      <c r="E27" s="13">
        <f>'Financial Model'!E9</f>
        <v>23.66798333491778</v>
      </c>
      <c r="F27" s="13">
        <f>'Financial Model'!F9</f>
        <v>37.98700966811049</v>
      </c>
    </row>
    <row r="29" ht="24" customHeight="1" spans="1:6" x14ac:dyDescent="0.25">
      <c r="A29" s="8" t="s">
        <v>155</v>
      </c>
      <c r="B29" s="8"/>
      <c r="C29" s="8"/>
      <c r="D29" s="8"/>
      <c r="E29" s="8"/>
      <c r="F29" s="8"/>
    </row>
    <row r="30" spans="1:6" x14ac:dyDescent="0.25">
      <c r="A30" s="22" t="s">
        <v>156</v>
      </c>
      <c r="B30" s="30">
        <f>IF('Revenue Schedule'!B2=0,0,B21/'Revenue Schedule'!B2)</f>
        <v>12208.333333333334</v>
      </c>
      <c r="C30" s="30">
        <f>IF('Revenue Schedule'!C2=0,0,C21/'Revenue Schedule'!C2)</f>
        <v>11644</v>
      </c>
      <c r="D30" s="30">
        <f>IF('Revenue Schedule'!D2=0,0,D21/'Revenue Schedule'!D2)</f>
        <v>11507.666666666666</v>
      </c>
      <c r="E30" s="30">
        <f>IF('Revenue Schedule'!E2=0,0,E21/'Revenue Schedule'!E2)</f>
        <v>11557.5</v>
      </c>
      <c r="F30" s="30">
        <f>IF('Revenue Schedule'!F2=0,0,F21/'Revenue Schedule'!F2)</f>
        <v>11783</v>
      </c>
    </row>
    <row r="31" spans="1:6" x14ac:dyDescent="0.25">
      <c r="A31" s="22" t="s">
        <v>157</v>
      </c>
      <c r="B31" s="44">
        <f>IF(B21=0,0,'Financial Model'!B3/B21)</f>
        <v>0.5327883959044368</v>
      </c>
      <c r="C31" s="44">
        <f>IF(C21=0,0,'Financial Model'!C3/C21)</f>
        <v>0.4021994160082446</v>
      </c>
      <c r="D31" s="44">
        <f>IF(D21=0,0,'Financial Model'!D3/D21)</f>
        <v>0.2713095617414477</v>
      </c>
      <c r="E31" s="44">
        <f>IF(E21=0,0,'Financial Model'!E3/E21)</f>
        <v>0.20260480207657366</v>
      </c>
      <c r="F31" s="44">
        <f>IF(F21=0,0,'Financial Model'!F3/F21)</f>
        <v>0.15898192310956463</v>
      </c>
    </row>
    <row r="32" spans="1:6" x14ac:dyDescent="0.25">
      <c r="A32" s="22" t="s">
        <v>158</v>
      </c>
      <c r="B32" s="44">
        <f>IF(B21=0,0,'Financial Model'!B4/B21)</f>
        <v>0.41228668941979524</v>
      </c>
      <c r="C32" s="44">
        <f>IF(C21=0,0,'Financial Model'!C4/C21)</f>
        <v>0.3327293026451391</v>
      </c>
      <c r="D32" s="44">
        <f>IF(D21=0,0,'Financial Model'!D4/D21)</f>
        <v>0.2880601338238276</v>
      </c>
      <c r="E32" s="44">
        <f>IF(E21=0,0,'Financial Model'!E4/E21)</f>
        <v>0.26524334847501624</v>
      </c>
      <c r="F32" s="44">
        <f>IF(F21=0,0,'Financial Model'!F4/F21)</f>
        <v>0.24984248493592465</v>
      </c>
    </row>
    <row r="33" spans="1:6" x14ac:dyDescent="0.25">
      <c r="A33" s="34" t="s">
        <v>159</v>
      </c>
      <c r="B33" s="48">
        <f>IF(B21=0,0,B25/B21)</f>
        <v>-0.01785938566552901</v>
      </c>
      <c r="C33" s="12">
        <f>IF(C21=0,0,C25/C21)</f>
        <v>0.23646040879422878</v>
      </c>
      <c r="D33" s="12">
        <f>IF(D21=0,0,D25/D21)</f>
        <v>0.41988210758045363</v>
      </c>
      <c r="E33" s="12">
        <f>IF(E21=0,0,E25/E21)</f>
        <v>0.5199024443002379</v>
      </c>
      <c r="F33" s="12">
        <f>IF(F21=0,0,F25/F21)</f>
        <v>0.5815636085886446</v>
      </c>
    </row>
    <row r="35" ht="24" customHeight="1" spans="1:6" x14ac:dyDescent="0.25">
      <c r="A35" s="8" t="s">
        <v>160</v>
      </c>
      <c r="B35" s="8"/>
      <c r="C35" s="8"/>
      <c r="D35" s="8"/>
      <c r="E35" s="8"/>
      <c r="F35" s="8"/>
    </row>
    <row r="36" spans="1:6" x14ac:dyDescent="0.25">
      <c r="A36" s="22" t="s">
        <v>161</v>
      </c>
      <c r="B36" s="44">
        <v>0.032764505119453925</v>
      </c>
      <c r="C36" s="44">
        <v>0.03538302988663689</v>
      </c>
      <c r="D36" s="44">
        <v>0.03684500188280277</v>
      </c>
      <c r="E36" s="44">
        <v>0.03781094527363184</v>
      </c>
      <c r="F36" s="44">
        <v>0.03819061359585844</v>
      </c>
    </row>
    <row r="37" spans="1:6" x14ac:dyDescent="0.25">
      <c r="A37" s="22" t="s">
        <v>162</v>
      </c>
      <c r="B37" s="44">
        <v>0.8477815699658703</v>
      </c>
      <c r="C37" s="44">
        <v>0.9066472002748196</v>
      </c>
      <c r="D37" s="44">
        <v>0.9356371114908901</v>
      </c>
      <c r="E37" s="44">
        <v>0.9502920181700195</v>
      </c>
      <c r="F37" s="44">
        <v>0.9507765424764492</v>
      </c>
    </row>
    <row r="38" spans="1:6" x14ac:dyDescent="0.25">
      <c r="A38" s="22" t="s">
        <v>163</v>
      </c>
      <c r="B38" s="44">
        <v>0.11945392491467577</v>
      </c>
      <c r="C38" s="44">
        <v>0.057969769838543454</v>
      </c>
      <c r="D38" s="44">
        <v>0.0275178866263071</v>
      </c>
      <c r="E38" s="44">
        <v>0.01189703655634869</v>
      </c>
      <c r="F38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164</v>
      </c>
      <c r="C2" s="42"/>
      <c r="D2" s="42"/>
      <c r="E2" s="42"/>
      <c r="F2" s="42"/>
      <c r="G2" s="42"/>
      <c r="H2" s="42"/>
    </row>
    <row r="3" spans="2:8" x14ac:dyDescent="0.25">
      <c r="B3" s="49" t="s">
        <v>165</v>
      </c>
      <c r="C3" s="49"/>
      <c r="D3" s="49"/>
      <c r="E3" s="49"/>
      <c r="F3" s="49"/>
      <c r="G3" s="49"/>
      <c r="H3" s="49"/>
    </row>
    <row r="4" spans="2:6" x14ac:dyDescent="0.25">
      <c r="B4" s="50" t="s">
        <v>166</v>
      </c>
      <c r="D4" s="51" t="s">
        <v>167</v>
      </c>
      <c r="F4" s="52" t="s">
        <v>168</v>
      </c>
    </row>
    <row r="6" ht="24" customHeight="1" spans="2:8" x14ac:dyDescent="0.25">
      <c r="B6" s="8" t="s">
        <v>169</v>
      </c>
      <c r="C6" s="53" t="s">
        <v>67</v>
      </c>
      <c r="D6" s="53" t="s">
        <v>68</v>
      </c>
      <c r="E6" s="53" t="s">
        <v>69</v>
      </c>
      <c r="F6" s="53" t="s">
        <v>70</v>
      </c>
      <c r="G6" s="53" t="s">
        <v>71</v>
      </c>
      <c r="H6" s="53" t="s">
        <v>170</v>
      </c>
    </row>
    <row r="7" spans="2:7" x14ac:dyDescent="0.25">
      <c r="B7" s="9" t="s">
        <v>171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172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173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174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145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175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176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156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177</v>
      </c>
    </row>
    <row r="16" spans="2:7" x14ac:dyDescent="0.25">
      <c r="B16" s="56" t="s">
        <v>178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179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180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181</v>
      </c>
    </row>
    <row r="19" spans="2:7" x14ac:dyDescent="0.25">
      <c r="B19" s="56" t="s">
        <v>182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183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184</v>
      </c>
    </row>
    <row r="21" spans="2:8" x14ac:dyDescent="0.25">
      <c r="B21" s="56" t="s">
        <v>185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186</v>
      </c>
    </row>
    <row r="22" spans="2:8" x14ac:dyDescent="0.25">
      <c r="B22" s="56" t="s">
        <v>187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188</v>
      </c>
    </row>
    <row r="23" spans="2:8" x14ac:dyDescent="0.25">
      <c r="B23" s="56" t="s">
        <v>189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190</v>
      </c>
    </row>
    <row r="24" spans="2:8" x14ac:dyDescent="0.25">
      <c r="B24" s="56" t="s">
        <v>191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192</v>
      </c>
    </row>
    <row r="25" spans="2:8" x14ac:dyDescent="0.25">
      <c r="B25" s="56" t="s">
        <v>193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67</v>
      </c>
    </row>
    <row r="26" spans="2:8" x14ac:dyDescent="0.25">
      <c r="B26" s="56" t="s">
        <v>194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195</v>
      </c>
    </row>
    <row r="27" spans="2:8" x14ac:dyDescent="0.25">
      <c r="B27" s="56" t="s">
        <v>196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197</v>
      </c>
    </row>
    <row r="29" ht="24" customHeight="1" spans="2:8" x14ac:dyDescent="0.25">
      <c r="B29" s="8" t="s">
        <v>198</v>
      </c>
      <c r="C29" s="8" t="s">
        <v>199</v>
      </c>
      <c r="D29" s="8" t="s">
        <v>200</v>
      </c>
      <c r="E29" s="8"/>
      <c r="F29" s="8" t="s">
        <v>201</v>
      </c>
      <c r="G29" s="8"/>
      <c r="H29" s="8"/>
    </row>
    <row r="30" ht="45" customHeight="1" spans="2:8" x14ac:dyDescent="0.25">
      <c r="B30" s="73" t="s">
        <v>202</v>
      </c>
      <c r="C30" s="41" t="s">
        <v>203</v>
      </c>
      <c r="D30" s="74" t="s">
        <v>204</v>
      </c>
      <c r="E30" s="74"/>
      <c r="F30" s="75" t="s">
        <v>205</v>
      </c>
      <c r="G30" s="75"/>
      <c r="H30" s="75"/>
    </row>
    <row r="31" ht="45" customHeight="1" spans="2:8" x14ac:dyDescent="0.25">
      <c r="B31" s="73" t="s">
        <v>206</v>
      </c>
      <c r="C31" s="76" t="s">
        <v>207</v>
      </c>
      <c r="D31" s="74" t="s">
        <v>208</v>
      </c>
      <c r="E31" s="74"/>
      <c r="F31" s="75" t="s">
        <v>209</v>
      </c>
      <c r="G31" s="75"/>
      <c r="H31" s="75"/>
    </row>
    <row r="32" ht="45" customHeight="1" spans="2:8" x14ac:dyDescent="0.25">
      <c r="B32" s="73" t="s">
        <v>210</v>
      </c>
      <c r="C32" s="41" t="s">
        <v>203</v>
      </c>
      <c r="D32" s="74" t="s">
        <v>211</v>
      </c>
      <c r="E32" s="74"/>
      <c r="F32" s="75" t="s">
        <v>212</v>
      </c>
      <c r="G32" s="75"/>
      <c r="H32" s="75"/>
    </row>
    <row r="33" ht="45" customHeight="1" spans="2:8" x14ac:dyDescent="0.25">
      <c r="B33" s="73" t="s">
        <v>213</v>
      </c>
      <c r="C33" s="41" t="s">
        <v>203</v>
      </c>
      <c r="D33" s="74" t="s">
        <v>214</v>
      </c>
      <c r="E33" s="74"/>
      <c r="F33" s="75" t="s">
        <v>215</v>
      </c>
      <c r="G33" s="75"/>
      <c r="H33" s="75"/>
    </row>
    <row r="34" ht="45" customHeight="1" spans="2:8" x14ac:dyDescent="0.25">
      <c r="B34" s="73" t="s">
        <v>216</v>
      </c>
      <c r="C34" s="41" t="s">
        <v>203</v>
      </c>
      <c r="D34" s="74" t="s">
        <v>217</v>
      </c>
      <c r="E34" s="74"/>
      <c r="F34" s="75" t="s">
        <v>218</v>
      </c>
      <c r="G34" s="75"/>
      <c r="H34" s="75"/>
    </row>
    <row r="35" ht="45" customHeight="1" spans="2:8" x14ac:dyDescent="0.25">
      <c r="B35" s="73" t="s">
        <v>219</v>
      </c>
      <c r="C35" s="41" t="s">
        <v>203</v>
      </c>
      <c r="D35" s="74" t="s">
        <v>220</v>
      </c>
      <c r="E35" s="74"/>
      <c r="F35" s="75" t="s">
        <v>221</v>
      </c>
      <c r="G35" s="75"/>
      <c r="H35" s="75"/>
    </row>
    <row r="36" ht="45" customHeight="1" spans="2:8" x14ac:dyDescent="0.25">
      <c r="B36" s="73" t="s">
        <v>222</v>
      </c>
      <c r="C36" s="41" t="s">
        <v>203</v>
      </c>
      <c r="D36" s="74" t="s">
        <v>223</v>
      </c>
      <c r="E36" s="74"/>
      <c r="F36" s="75" t="s">
        <v>224</v>
      </c>
      <c r="G36" s="75"/>
      <c r="H36" s="75"/>
    </row>
    <row r="38" spans="2:6" x14ac:dyDescent="0.25">
      <c r="B38" s="73" t="s">
        <v>20</v>
      </c>
      <c r="C38" s="56" t="s">
        <v>225</v>
      </c>
      <c r="D38" s="56"/>
      <c r="E38" s="56"/>
      <c r="F38" s="56"/>
    </row>
    <row r="40" spans="2:8" x14ac:dyDescent="0.25">
      <c r="B40" s="77" t="s">
        <v>226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2026-04-29T01:01:50Z</dcterms:created>
  <dcterms:modified xsi:type="dcterms:W3CDTF">2026-04-29T01:01:50Z</dcterms:modified>
</cp:coreProperties>
</file>