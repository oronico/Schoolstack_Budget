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<sst xmlns="http://schemas.openxmlformats.org/spreadsheetml/2006/main" count="310" uniqueCount="218">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</sst>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9" fillId="0" borderId="2" xfId="0" applyNumberFormat="1" applyFont="1" applyBorder="1"/>
    <xf numFmtId="170" fontId="8" fillId="3" borderId="5" xfId="0" applyNumberFormat="1" applyFont="1" applyFill="1" applyBorder="1" applyAlignment="1">
      <alignment horizontal="right"/>
    </xf>
    <xf numFmtId="0" fontId="9" fillId="0" borderId="2" xfId="0" applyFont="1" applyBorder="1"/>
    <xf numFmtId="0" fontId="20" fillId="0" borderId="2" xfId="0" applyFont="1" applyBorder="1"/>
    <xf numFmtId="0" fontId="6" fillId="0" borderId="2" xfId="0" applyFont="1" applyBorder="1"/>
    <xf numFmtId="0" fontId="9" fillId="0" borderId="2" xfId="0" applyFont="1" applyBorder="1" applyAlignment="1">
      <alignment horizontal="center"/>
    </xf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0" t="s">
        <v>146</v>
      </c>
      <c r="B1" s="40"/>
      <c r="C1" s="40"/>
      <c r="D1" s="40"/>
      <c r="E1" s="40"/>
      <c r="F1" s="40"/>
    </row>
    <row r="2" spans="1:1" x14ac:dyDescent="0.25">
      <c r="A2" s="41" t="s">
        <v>147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148</v>
      </c>
    </row>
    <row r="14" ht="24" customHeight="1" spans="1:6" x14ac:dyDescent="0.25">
      <c r="A14" s="8" t="s">
        <v>149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150</v>
      </c>
      <c r="B17" s="9" t="s">
        <v>151</v>
      </c>
      <c r="C17" s="42">
        <f>IF(B16=0,0,(C16-B16)/B16)</f>
        <v>0.6666666666666666</v>
      </c>
      <c r="D17" s="42">
        <f>IF(C16=0,0,(D16-C16)/C16)</f>
        <v>0.5</v>
      </c>
      <c r="E17" s="42">
        <f>IF(D16=0,0,(E16-D16)/D16)</f>
        <v>0.3333333333333333</v>
      </c>
      <c r="F17" s="42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3">
        <f>'Financial Model'!B7</f>
        <v>-26164</v>
      </c>
      <c r="C24" s="44">
        <f>'Financial Model'!C7</f>
        <v>550669</v>
      </c>
      <c r="D24" s="44">
        <f>'Financial Model'!D7</f>
        <v>1449559</v>
      </c>
      <c r="E24" s="44">
        <f>'Financial Model'!E7</f>
        <v>2403509</v>
      </c>
      <c r="F24" s="44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5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152</v>
      </c>
      <c r="B28" s="8"/>
      <c r="C28" s="8"/>
      <c r="D28" s="8"/>
      <c r="E28" s="8"/>
      <c r="F28" s="8"/>
    </row>
    <row r="29" spans="1:6" x14ac:dyDescent="0.25">
      <c r="A29" s="22" t="s">
        <v>153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154</v>
      </c>
      <c r="B30" s="42">
        <f>IF(B20=0,0,'Financial Model'!B3/B20)</f>
        <v>0.5327883959044368</v>
      </c>
      <c r="C30" s="42">
        <f>IF(C20=0,0,'Financial Model'!C3/C20)</f>
        <v>0.4021994160082446</v>
      </c>
      <c r="D30" s="42">
        <f>IF(D20=0,0,'Financial Model'!D3/D20)</f>
        <v>0.2713095617414477</v>
      </c>
      <c r="E30" s="42">
        <f>IF(E20=0,0,'Financial Model'!E3/E20)</f>
        <v>0.20260480207657366</v>
      </c>
      <c r="F30" s="42">
        <f>IF(F20=0,0,'Financial Model'!F3/F20)</f>
        <v>0.15898192310956463</v>
      </c>
    </row>
    <row r="31" spans="1:6" x14ac:dyDescent="0.25">
      <c r="A31" s="22" t="s">
        <v>155</v>
      </c>
      <c r="B31" s="42">
        <f>IF(B20=0,0,'Financial Model'!B4/B20)</f>
        <v>0.41228668941979524</v>
      </c>
      <c r="C31" s="42">
        <f>IF(C20=0,0,'Financial Model'!C4/C20)</f>
        <v>0.3327293026451391</v>
      </c>
      <c r="D31" s="42">
        <f>IF(D20=0,0,'Financial Model'!D4/D20)</f>
        <v>0.2880601338238276</v>
      </c>
      <c r="E31" s="42">
        <f>IF(E20=0,0,'Financial Model'!E4/E20)</f>
        <v>0.26524334847501624</v>
      </c>
      <c r="F31" s="42">
        <f>IF(F20=0,0,'Financial Model'!F4/F20)</f>
        <v>0.24984248493592465</v>
      </c>
    </row>
    <row r="32" spans="1:6" x14ac:dyDescent="0.25">
      <c r="A32" s="34" t="s">
        <v>156</v>
      </c>
      <c r="B32" s="46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157</v>
      </c>
      <c r="B34" s="8"/>
      <c r="C34" s="8"/>
      <c r="D34" s="8"/>
      <c r="E34" s="8"/>
      <c r="F34" s="8"/>
    </row>
    <row r="35" spans="1:6" x14ac:dyDescent="0.25">
      <c r="A35" s="22" t="s">
        <v>158</v>
      </c>
      <c r="B35" s="42">
        <v>0.032764505119453925</v>
      </c>
      <c r="C35" s="42">
        <v>0.03538302988663689</v>
      </c>
      <c r="D35" s="42">
        <v>0.03684500188280277</v>
      </c>
      <c r="E35" s="42">
        <v>0.03781094527363184</v>
      </c>
      <c r="F35" s="42">
        <v>0.03819061359585844</v>
      </c>
    </row>
    <row r="36" spans="1:6" x14ac:dyDescent="0.25">
      <c r="A36" s="22" t="s">
        <v>159</v>
      </c>
      <c r="B36" s="42">
        <v>0.8477815699658703</v>
      </c>
      <c r="C36" s="42">
        <v>0.9066472002748196</v>
      </c>
      <c r="D36" s="42">
        <v>0.9356371114908901</v>
      </c>
      <c r="E36" s="42">
        <v>0.9502920181700195</v>
      </c>
      <c r="F36" s="42">
        <v>0.9507765424764492</v>
      </c>
    </row>
    <row r="37" spans="1:6" x14ac:dyDescent="0.25">
      <c r="A37" s="22" t="s">
        <v>160</v>
      </c>
      <c r="B37" s="42">
        <v>0.11945392491467577</v>
      </c>
      <c r="C37" s="42">
        <v>0.057969769838543454</v>
      </c>
      <c r="D37" s="42">
        <v>0.0275178866263071</v>
      </c>
      <c r="E37" s="42">
        <v>0.01189703655634869</v>
      </c>
      <c r="F37" s="42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0" t="s">
        <v>161</v>
      </c>
      <c r="C2" s="40"/>
      <c r="D2" s="40"/>
      <c r="E2" s="40"/>
      <c r="F2" s="40"/>
      <c r="G2" s="40"/>
      <c r="H2" s="40"/>
    </row>
    <row r="3" spans="2:8" x14ac:dyDescent="0.25">
      <c r="B3" s="47" t="s">
        <v>162</v>
      </c>
      <c r="C3" s="47"/>
      <c r="D3" s="47"/>
      <c r="E3" s="47"/>
      <c r="F3" s="47"/>
      <c r="G3" s="47"/>
      <c r="H3" s="47"/>
    </row>
    <row r="4" spans="2:6" x14ac:dyDescent="0.25">
      <c r="B4" s="48" t="s">
        <v>163</v>
      </c>
      <c r="D4" s="49" t="s">
        <v>164</v>
      </c>
      <c r="F4" s="50" t="s">
        <v>165</v>
      </c>
    </row>
    <row r="6" ht="24" customHeight="1" spans="2:8" x14ac:dyDescent="0.25">
      <c r="B6" s="8" t="s">
        <v>166</v>
      </c>
      <c r="C6" s="51" t="s">
        <v>66</v>
      </c>
      <c r="D6" s="51" t="s">
        <v>67</v>
      </c>
      <c r="E6" s="51" t="s">
        <v>68</v>
      </c>
      <c r="F6" s="51" t="s">
        <v>69</v>
      </c>
      <c r="G6" s="51" t="s">
        <v>70</v>
      </c>
      <c r="H6" s="51" t="s">
        <v>167</v>
      </c>
    </row>
    <row r="7" spans="2:7" x14ac:dyDescent="0.25">
      <c r="B7" s="9" t="s">
        <v>168</v>
      </c>
      <c r="C7" s="52">
        <v>120</v>
      </c>
      <c r="D7" s="52">
        <v>200</v>
      </c>
      <c r="E7" s="52">
        <v>300</v>
      </c>
      <c r="F7" s="52">
        <v>400</v>
      </c>
      <c r="G7" s="52">
        <v>500</v>
      </c>
    </row>
    <row r="8" spans="2:7" x14ac:dyDescent="0.25">
      <c r="B8" s="9" t="s">
        <v>169</v>
      </c>
      <c r="C8" s="53">
        <v>1465000</v>
      </c>
      <c r="D8" s="53">
        <v>2328800</v>
      </c>
      <c r="E8" s="53">
        <v>3452300</v>
      </c>
      <c r="F8" s="53">
        <v>4623000</v>
      </c>
      <c r="G8" s="53">
        <v>5891500</v>
      </c>
    </row>
    <row r="9" spans="2:7" x14ac:dyDescent="0.25">
      <c r="B9" s="9" t="s">
        <v>170</v>
      </c>
      <c r="C9" s="53">
        <v>780535</v>
      </c>
      <c r="D9" s="53">
        <v>936642</v>
      </c>
      <c r="E9" s="53">
        <v>936642</v>
      </c>
      <c r="F9" s="53">
        <v>936642</v>
      </c>
      <c r="G9" s="53">
        <v>936642</v>
      </c>
    </row>
    <row r="10" spans="2:7" x14ac:dyDescent="0.25">
      <c r="B10" s="9" t="s">
        <v>17</v>
      </c>
      <c r="C10" s="53">
        <v>604000</v>
      </c>
      <c r="D10" s="53">
        <v>774860</v>
      </c>
      <c r="E10" s="53">
        <v>994470</v>
      </c>
      <c r="F10" s="53">
        <v>1226220</v>
      </c>
      <c r="G10" s="53">
        <v>1471947</v>
      </c>
    </row>
    <row r="11" spans="2:7" x14ac:dyDescent="0.25">
      <c r="B11" s="9" t="s">
        <v>171</v>
      </c>
      <c r="C11" s="53">
        <v>46628.6108154935</v>
      </c>
      <c r="D11" s="53">
        <v>46628.6108154935</v>
      </c>
      <c r="E11" s="53">
        <v>46628.6108154935</v>
      </c>
      <c r="F11" s="53">
        <v>46628.6108154935</v>
      </c>
      <c r="G11" s="53">
        <v>46628.6108154935</v>
      </c>
    </row>
    <row r="12" spans="2:7" x14ac:dyDescent="0.25">
      <c r="B12" s="54" t="s">
        <v>144</v>
      </c>
      <c r="C12" s="55">
        <v>-26164</v>
      </c>
      <c r="D12" s="56">
        <v>550669</v>
      </c>
      <c r="E12" s="56">
        <v>1449559</v>
      </c>
      <c r="F12" s="56">
        <v>2403509</v>
      </c>
      <c r="G12" s="56">
        <v>3426282</v>
      </c>
    </row>
    <row r="13" spans="2:7" x14ac:dyDescent="0.25">
      <c r="B13" s="54" t="s">
        <v>172</v>
      </c>
      <c r="C13" s="55">
        <v>-26164</v>
      </c>
      <c r="D13" s="56">
        <v>524505</v>
      </c>
      <c r="E13" s="56">
        <v>1974064</v>
      </c>
      <c r="F13" s="56">
        <v>4377573</v>
      </c>
      <c r="G13" s="56">
        <v>7803855</v>
      </c>
    </row>
    <row r="14" spans="2:7" x14ac:dyDescent="0.25">
      <c r="B14" s="54" t="s">
        <v>173</v>
      </c>
      <c r="C14" s="57">
        <v>-0.01785938566552901</v>
      </c>
      <c r="D14" s="58">
        <v>0.23646040879422878</v>
      </c>
      <c r="E14" s="58">
        <v>0.41988210758045363</v>
      </c>
      <c r="F14" s="58">
        <v>0.5199024443002379</v>
      </c>
      <c r="G14" s="58">
        <v>0.5815636085886446</v>
      </c>
    </row>
    <row r="15" spans="2:8" x14ac:dyDescent="0.25">
      <c r="B15" s="54" t="s">
        <v>153</v>
      </c>
      <c r="C15" s="59">
        <v>12208.333333333334</v>
      </c>
      <c r="D15" s="59">
        <v>11644</v>
      </c>
      <c r="E15" s="59">
        <v>11507.666666666666</v>
      </c>
      <c r="F15" s="59">
        <v>11557.5</v>
      </c>
      <c r="G15" s="59">
        <v>11783</v>
      </c>
      <c r="H15" s="60" t="s">
        <v>174</v>
      </c>
    </row>
    <row r="16" spans="2:8" x14ac:dyDescent="0.25">
      <c r="B16" s="54" t="s">
        <v>175</v>
      </c>
      <c r="C16" s="58">
        <v>0.5327883959044368</v>
      </c>
      <c r="D16" s="58">
        <v>0.4021994160082446</v>
      </c>
      <c r="E16" s="58">
        <v>0.2713095617414477</v>
      </c>
      <c r="F16" s="58">
        <v>0.20260480207657366</v>
      </c>
      <c r="G16" s="58">
        <v>0.15898192310956463</v>
      </c>
      <c r="H16" s="60" t="s">
        <v>176</v>
      </c>
    </row>
    <row r="17" spans="2:8" x14ac:dyDescent="0.25">
      <c r="B17" s="54" t="s">
        <v>177</v>
      </c>
      <c r="C17" s="58">
        <v>0.12368600682593857</v>
      </c>
      <c r="D17" s="58">
        <v>0.09981879079354174</v>
      </c>
      <c r="E17" s="58">
        <v>0.08641804014714828</v>
      </c>
      <c r="F17" s="58">
        <v>0.07957300454250486</v>
      </c>
      <c r="G17" s="58">
        <v>0.07495274548077739</v>
      </c>
      <c r="H17" s="60" t="s">
        <v>178</v>
      </c>
    </row>
    <row r="18" spans="2:8" x14ac:dyDescent="0.25">
      <c r="B18" s="54" t="s">
        <v>179</v>
      </c>
      <c r="C18" s="61">
        <v>0.05492491467576792</v>
      </c>
      <c r="D18" s="58">
        <v>0.2650712813466163</v>
      </c>
      <c r="E18" s="58">
        <v>0.4406303044347247</v>
      </c>
      <c r="F18" s="58">
        <v>0.5321518494484101</v>
      </c>
      <c r="G18" s="58">
        <v>0.5911755919545107</v>
      </c>
      <c r="H18" s="60" t="s">
        <v>180</v>
      </c>
    </row>
    <row r="19" spans="2:8" x14ac:dyDescent="0.25">
      <c r="B19" s="54" t="s">
        <v>181</v>
      </c>
      <c r="C19" s="62">
        <v>3</v>
      </c>
      <c r="D19" s="62"/>
      <c r="E19" s="62"/>
      <c r="F19" s="62"/>
      <c r="G19" s="62"/>
      <c r="H19" s="60" t="s">
        <v>182</v>
      </c>
    </row>
    <row r="20" spans="2:8" x14ac:dyDescent="0.25">
      <c r="B20" s="54" t="s">
        <v>183</v>
      </c>
      <c r="C20" s="63">
        <v>1.7256572433263127</v>
      </c>
      <c r="D20" s="63">
        <v>13.238610140941356</v>
      </c>
      <c r="E20" s="63">
        <v>32.62348959996355</v>
      </c>
      <c r="F20" s="63">
        <v>52.76026793366443</v>
      </c>
      <c r="G20" s="63">
        <v>74.69471938123272</v>
      </c>
      <c r="H20" s="60" t="s">
        <v>184</v>
      </c>
    </row>
    <row r="21" spans="2:8" x14ac:dyDescent="0.25">
      <c r="B21" s="54" t="s">
        <v>185</v>
      </c>
      <c r="C21" s="64" t="s">
        <v>67</v>
      </c>
      <c r="D21" s="64"/>
      <c r="E21" s="64"/>
      <c r="F21" s="64"/>
      <c r="G21" s="64"/>
      <c r="H21" s="60" t="s">
        <v>66</v>
      </c>
    </row>
    <row r="22" spans="2:8" x14ac:dyDescent="0.25">
      <c r="B22" s="54" t="s">
        <v>186</v>
      </c>
      <c r="C22" s="65" t="s">
        <v>187</v>
      </c>
      <c r="D22" s="65"/>
      <c r="E22" s="65"/>
      <c r="F22" s="65"/>
      <c r="G22" s="65"/>
      <c r="H22" s="60" t="s">
        <v>188</v>
      </c>
    </row>
    <row r="24" ht="24" customHeight="1" spans="2:8" x14ac:dyDescent="0.25">
      <c r="B24" s="8" t="s">
        <v>189</v>
      </c>
      <c r="C24" s="8" t="s">
        <v>190</v>
      </c>
      <c r="D24" s="8" t="s">
        <v>191</v>
      </c>
      <c r="E24" s="8"/>
      <c r="F24" s="8" t="s">
        <v>192</v>
      </c>
      <c r="G24" s="8"/>
      <c r="H24" s="8"/>
    </row>
    <row r="25" ht="45" customHeight="1" spans="2:8" x14ac:dyDescent="0.25">
      <c r="B25" s="66" t="s">
        <v>193</v>
      </c>
      <c r="C25" s="67" t="s">
        <v>194</v>
      </c>
      <c r="D25" s="68" t="s">
        <v>195</v>
      </c>
      <c r="E25" s="68"/>
      <c r="F25" s="69" t="s">
        <v>196</v>
      </c>
      <c r="G25" s="69"/>
      <c r="H25" s="69"/>
    </row>
    <row r="26" ht="45" customHeight="1" spans="2:8" x14ac:dyDescent="0.25">
      <c r="B26" s="66" t="s">
        <v>197</v>
      </c>
      <c r="C26" s="70" t="s">
        <v>198</v>
      </c>
      <c r="D26" s="68" t="s">
        <v>199</v>
      </c>
      <c r="E26" s="68"/>
      <c r="F26" s="69" t="s">
        <v>200</v>
      </c>
      <c r="G26" s="69"/>
      <c r="H26" s="69"/>
    </row>
    <row r="27" ht="45" customHeight="1" spans="2:8" x14ac:dyDescent="0.25">
      <c r="B27" s="66" t="s">
        <v>201</v>
      </c>
      <c r="C27" s="67" t="s">
        <v>194</v>
      </c>
      <c r="D27" s="68" t="s">
        <v>202</v>
      </c>
      <c r="E27" s="68"/>
      <c r="F27" s="69" t="s">
        <v>203</v>
      </c>
      <c r="G27" s="69"/>
      <c r="H27" s="69"/>
    </row>
    <row r="28" ht="45" customHeight="1" spans="2:8" x14ac:dyDescent="0.25">
      <c r="B28" s="66" t="s">
        <v>204</v>
      </c>
      <c r="C28" s="67" t="s">
        <v>194</v>
      </c>
      <c r="D28" s="68" t="s">
        <v>205</v>
      </c>
      <c r="E28" s="68"/>
      <c r="F28" s="69" t="s">
        <v>206</v>
      </c>
      <c r="G28" s="69"/>
      <c r="H28" s="69"/>
    </row>
    <row r="29" ht="45" customHeight="1" spans="2:8" x14ac:dyDescent="0.25">
      <c r="B29" s="66" t="s">
        <v>207</v>
      </c>
      <c r="C29" s="67" t="s">
        <v>194</v>
      </c>
      <c r="D29" s="68" t="s">
        <v>208</v>
      </c>
      <c r="E29" s="68"/>
      <c r="F29" s="69" t="s">
        <v>209</v>
      </c>
      <c r="G29" s="69"/>
      <c r="H29" s="69"/>
    </row>
    <row r="30" ht="45" customHeight="1" spans="2:8" x14ac:dyDescent="0.25">
      <c r="B30" s="66" t="s">
        <v>210</v>
      </c>
      <c r="C30" s="67" t="s">
        <v>194</v>
      </c>
      <c r="D30" s="68" t="s">
        <v>211</v>
      </c>
      <c r="E30" s="68"/>
      <c r="F30" s="69" t="s">
        <v>212</v>
      </c>
      <c r="G30" s="69"/>
      <c r="H30" s="69"/>
    </row>
    <row r="31" ht="45" customHeight="1" spans="2:8" x14ac:dyDescent="0.25">
      <c r="B31" s="66" t="s">
        <v>213</v>
      </c>
      <c r="C31" s="67" t="s">
        <v>194</v>
      </c>
      <c r="D31" s="68" t="s">
        <v>214</v>
      </c>
      <c r="E31" s="68"/>
      <c r="F31" s="69" t="s">
        <v>215</v>
      </c>
      <c r="G31" s="69"/>
      <c r="H31" s="69"/>
    </row>
    <row r="33" spans="2:6" x14ac:dyDescent="0.25">
      <c r="B33" s="66" t="s">
        <v>20</v>
      </c>
      <c r="C33" s="54" t="s">
        <v>216</v>
      </c>
      <c r="D33" s="54"/>
      <c r="E33" s="54"/>
      <c r="F33" s="54"/>
    </row>
    <row r="35" spans="2:8" x14ac:dyDescent="0.25">
      <c r="B35" s="71" t="s">
        <v>217</v>
      </c>
      <c r="C35" s="71"/>
      <c r="D35" s="71"/>
      <c r="E35" s="71"/>
      <c r="F35" s="71"/>
      <c r="G35" s="71"/>
      <c r="H35" s="71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2026-03-26T12:05:38Z</dcterms:created>
  <dcterms:modified xsi:type="dcterms:W3CDTF">2026-03-26T12:05:38Z</dcterms:modified>
</cp:coreProperties>
</file>