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<sst xmlns="http://schemas.openxmlformats.org/spreadsheetml/2006/main" count="237" uniqueCount="161">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</sst>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1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146</v>
      </c>
      <c r="B1" s="40"/>
      <c r="C1" s="40"/>
      <c r="D1" s="40"/>
      <c r="E1" s="40"/>
      <c r="F1" s="40"/>
    </row>
    <row r="2" spans="1:1" x14ac:dyDescent="0.25">
      <c r="A2" s="41" t="s">
        <v>147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148</v>
      </c>
    </row>
    <row r="14" ht="24" customHeight="1" spans="1:6" x14ac:dyDescent="0.25">
      <c r="A14" s="8" t="s">
        <v>149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150</v>
      </c>
      <c r="B17" s="9" t="s">
        <v>151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0.3333333333333333</v>
      </c>
      <c r="F17" s="42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3">
        <f>'Financial Model'!B7</f>
        <v>-26164</v>
      </c>
      <c r="C24" s="44">
        <f>'Financial Model'!C7</f>
        <v>550669</v>
      </c>
      <c r="D24" s="44">
        <f>'Financial Model'!D7</f>
        <v>1449559</v>
      </c>
      <c r="E24" s="44">
        <f>'Financial Model'!E7</f>
        <v>2403509</v>
      </c>
      <c r="F24" s="44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5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152</v>
      </c>
      <c r="B28" s="8"/>
      <c r="C28" s="8"/>
      <c r="D28" s="8"/>
      <c r="E28" s="8"/>
      <c r="F28" s="8"/>
    </row>
    <row r="29" spans="1:6" x14ac:dyDescent="0.25">
      <c r="A29" s="22" t="s">
        <v>153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154</v>
      </c>
      <c r="B30" s="42">
        <f>IF(B20=0,0,'Financial Model'!B3/B20)</f>
        <v>0.5327883959044368</v>
      </c>
      <c r="C30" s="42">
        <f>IF(C20=0,0,'Financial Model'!C3/C20)</f>
        <v>0.4021994160082446</v>
      </c>
      <c r="D30" s="42">
        <f>IF(D20=0,0,'Financial Model'!D3/D20)</f>
        <v>0.2713095617414477</v>
      </c>
      <c r="E30" s="42">
        <f>IF(E20=0,0,'Financial Model'!E3/E20)</f>
        <v>0.20260480207657366</v>
      </c>
      <c r="F30" s="42">
        <f>IF(F20=0,0,'Financial Model'!F3/F20)</f>
        <v>0.15898192310956463</v>
      </c>
    </row>
    <row r="31" spans="1:6" x14ac:dyDescent="0.25">
      <c r="A31" s="22" t="s">
        <v>155</v>
      </c>
      <c r="B31" s="42">
        <f>IF(B20=0,0,'Financial Model'!B4/B20)</f>
        <v>0.41228668941979524</v>
      </c>
      <c r="C31" s="42">
        <f>IF(C20=0,0,'Financial Model'!C4/C20)</f>
        <v>0.3327293026451391</v>
      </c>
      <c r="D31" s="42">
        <f>IF(D20=0,0,'Financial Model'!D4/D20)</f>
        <v>0.2880601338238276</v>
      </c>
      <c r="E31" s="42">
        <f>IF(E20=0,0,'Financial Model'!E4/E20)</f>
        <v>0.26524334847501624</v>
      </c>
      <c r="F31" s="42">
        <f>IF(F20=0,0,'Financial Model'!F4/F20)</f>
        <v>0.24984248493592465</v>
      </c>
    </row>
    <row r="32" spans="1:6" x14ac:dyDescent="0.25">
      <c r="A32" s="34" t="s">
        <v>156</v>
      </c>
      <c r="B32" s="46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157</v>
      </c>
      <c r="B34" s="8"/>
      <c r="C34" s="8"/>
      <c r="D34" s="8"/>
      <c r="E34" s="8"/>
      <c r="F34" s="8"/>
    </row>
    <row r="35" spans="1:6" x14ac:dyDescent="0.25">
      <c r="A35" s="22" t="s">
        <v>158</v>
      </c>
      <c r="B35" s="42">
        <v>0.032764505119453925</v>
      </c>
      <c r="C35" s="42">
        <v>0.03538302988663689</v>
      </c>
      <c r="D35" s="42">
        <v>0.03684500188280277</v>
      </c>
      <c r="E35" s="42">
        <v>0.03781094527363184</v>
      </c>
      <c r="F35" s="42">
        <v>0.03819061359585844</v>
      </c>
    </row>
    <row r="36" spans="1:6" x14ac:dyDescent="0.25">
      <c r="A36" s="22" t="s">
        <v>159</v>
      </c>
      <c r="B36" s="42">
        <v>0.8477815699658703</v>
      </c>
      <c r="C36" s="42">
        <v>0.9066472002748196</v>
      </c>
      <c r="D36" s="42">
        <v>0.9356371114908901</v>
      </c>
      <c r="E36" s="42">
        <v>0.9502920181700195</v>
      </c>
      <c r="F36" s="42">
        <v>0.9507765424764492</v>
      </c>
    </row>
    <row r="37" spans="1:6" x14ac:dyDescent="0.25">
      <c r="A37" s="22" t="s">
        <v>160</v>
      </c>
      <c r="B37" s="42">
        <v>0.11945392491467577</v>
      </c>
      <c r="C37" s="42">
        <v>0.057969769838543454</v>
      </c>
      <c r="D37" s="42">
        <v>0.0275178866263071</v>
      </c>
      <c r="E37" s="42">
        <v>0.01189703655634869</v>
      </c>
      <c r="F37" s="42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