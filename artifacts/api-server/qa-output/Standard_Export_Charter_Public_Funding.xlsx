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<sst xmlns="http://schemas.openxmlformats.org/spreadsheetml/2006/main" count="242" uniqueCount="165">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</sst>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7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6" fillId="5" borderId="2" xfId="0" applyNumberFormat="1" applyFont="1" applyFill="1" applyBorder="1"/>
    <xf numFmtId="165" fontId="16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400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375</v>
      </c>
    </row>
    <row r="26" spans="1:2" x14ac:dyDescent="0.25">
      <c r="A26" s="19" t="s">
        <v>56</v>
      </c>
      <c r="B26" s="21">
        <v>400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9500*Assumptions!B22</f>
        <v>1140000</v>
      </c>
      <c r="C4" s="26">
        <f>9690*Assumptions!B23</f>
        <v>1938000</v>
      </c>
      <c r="D4" s="26">
        <f>9884*Assumptions!B24</f>
        <v>2965200</v>
      </c>
      <c r="E4" s="26">
        <f>10081*Assumptions!B25</f>
        <v>3780375</v>
      </c>
      <c r="F4" s="26">
        <f>10283*Assumptions!B26</f>
        <v>4113200</v>
      </c>
    </row>
    <row r="5" spans="1:6" x14ac:dyDescent="0.25">
      <c r="A5" s="19" t="s">
        <v>72</v>
      </c>
      <c r="B5" s="26">
        <f>800*Assumptions!B22</f>
        <v>96000</v>
      </c>
      <c r="C5" s="26">
        <f>816*Assumptions!B23</f>
        <v>163200</v>
      </c>
      <c r="D5" s="26">
        <f>832*Assumptions!B24</f>
        <v>249600</v>
      </c>
      <c r="E5" s="26">
        <f>849*Assumptions!B25</f>
        <v>318375</v>
      </c>
      <c r="F5" s="26">
        <f>866*Assumptions!B26</f>
        <v>346400</v>
      </c>
    </row>
    <row r="6" spans="1:6" x14ac:dyDescent="0.25">
      <c r="A6" s="19" t="s">
        <v>73</v>
      </c>
      <c r="B6" s="26">
        <f>1200*Assumptions!B22</f>
        <v>144000</v>
      </c>
      <c r="C6" s="26">
        <f>1224*Assumptions!B23</f>
        <v>244800</v>
      </c>
      <c r="D6" s="26">
        <f>1248*Assumptions!B24</f>
        <v>374400</v>
      </c>
      <c r="E6" s="26">
        <f>1273*Assumptions!B25</f>
        <v>477375</v>
      </c>
      <c r="F6" s="26">
        <f>1299*Assumptions!B26</f>
        <v>519600</v>
      </c>
    </row>
    <row r="7" ht="24" customHeight="1" spans="1:6" x14ac:dyDescent="0.25">
      <c r="A7" s="8" t="s">
        <v>74</v>
      </c>
      <c r="B7" s="27">
        <f>SUM(B4:B6)</f>
        <v>1380000</v>
      </c>
      <c r="C7" s="27">
        <f>SUM(C4:C6)</f>
        <v>2346000</v>
      </c>
      <c r="D7" s="27">
        <f>SUM(D4:D6)</f>
        <v>3589200</v>
      </c>
      <c r="E7" s="27">
        <f>SUM(E4:E6)</f>
        <v>4576125</v>
      </c>
      <c r="F7" s="27">
        <f>SUM(F4:F6)</f>
        <v>4979200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100000</v>
      </c>
      <c r="C9" s="26">
        <v>75000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30000</v>
      </c>
      <c r="C10" s="26">
        <v>40000</v>
      </c>
      <c r="D10" s="26">
        <v>50000</v>
      </c>
      <c r="E10" s="26">
        <v>60000</v>
      </c>
      <c r="F10" s="26">
        <v>70000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300*Assumptions!B22</f>
        <v>36000</v>
      </c>
      <c r="C13" s="26">
        <f>309*Assumptions!B23</f>
        <v>61800</v>
      </c>
      <c r="D13" s="26">
        <f>318*Assumptions!B24</f>
        <v>95400</v>
      </c>
      <c r="E13" s="26">
        <f>328*Assumptions!B25</f>
        <v>123000</v>
      </c>
      <c r="F13" s="26">
        <f>338*Assumptions!B26</f>
        <v>135200</v>
      </c>
    </row>
    <row r="14" ht="24" customHeight="1" spans="1:6" x14ac:dyDescent="0.25">
      <c r="A14" s="8" t="s">
        <v>81</v>
      </c>
      <c r="B14" s="27">
        <f>SUM(B13:B13)</f>
        <v>36000</v>
      </c>
      <c r="C14" s="27">
        <f>SUM(C13:C13)</f>
        <v>61800</v>
      </c>
      <c r="D14" s="27">
        <f>SUM(D13:D13)</f>
        <v>95400</v>
      </c>
      <c r="E14" s="27">
        <f>SUM(E13:E13)</f>
        <v>123000</v>
      </c>
      <c r="F14" s="27">
        <f>SUM(F13:F13)</f>
        <v>135200</v>
      </c>
    </row>
    <row r="16" ht="24" customHeight="1" spans="1:6" x14ac:dyDescent="0.25">
      <c r="A16" s="8" t="s">
        <v>82</v>
      </c>
      <c r="B16" s="27">
        <f>B7+B11+B14</f>
        <v>1546000</v>
      </c>
      <c r="C16" s="27">
        <f>C7+C11+C14</f>
        <v>2522800</v>
      </c>
      <c r="D16" s="27">
        <f>D7+D11+D14</f>
        <v>3784600</v>
      </c>
      <c r="E16" s="27">
        <f>E7+E11+E14</f>
        <v>4759125</v>
      </c>
      <c r="F16" s="27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110000</v>
      </c>
      <c r="F4" s="30">
        <v>0.28</v>
      </c>
      <c r="G4" s="30">
        <v>0.0765</v>
      </c>
      <c r="H4" s="31">
        <v>149215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90000</v>
      </c>
      <c r="F5" s="30">
        <v>0.28</v>
      </c>
      <c r="G5" s="30">
        <v>0.0765</v>
      </c>
      <c r="H5" s="31">
        <v>122085</v>
      </c>
    </row>
    <row r="6" spans="1:8" x14ac:dyDescent="0.25">
      <c r="A6" s="19" t="s">
        <v>96</v>
      </c>
      <c r="B6" s="19" t="s">
        <v>93</v>
      </c>
      <c r="C6" s="19" t="s">
        <v>94</v>
      </c>
      <c r="D6" s="28">
        <v>1</v>
      </c>
      <c r="E6" s="29">
        <v>72000</v>
      </c>
      <c r="F6" s="30">
        <v>0.28</v>
      </c>
      <c r="G6" s="30">
        <v>0.0765</v>
      </c>
      <c r="H6" s="31">
        <v>97668</v>
      </c>
    </row>
    <row r="7" spans="1:8" x14ac:dyDescent="0.25">
      <c r="A7" s="19" t="s">
        <v>97</v>
      </c>
      <c r="B7" s="19" t="s">
        <v>98</v>
      </c>
      <c r="C7" s="19" t="s">
        <v>94</v>
      </c>
      <c r="D7" s="28">
        <v>6</v>
      </c>
      <c r="E7" s="29">
        <v>52000</v>
      </c>
      <c r="F7" s="30">
        <v>0.28</v>
      </c>
      <c r="G7" s="30">
        <v>0.0765</v>
      </c>
      <c r="H7" s="31">
        <v>423228</v>
      </c>
    </row>
    <row r="8" spans="1:8" x14ac:dyDescent="0.25">
      <c r="A8" s="19" t="s">
        <v>99</v>
      </c>
      <c r="B8" s="19" t="s">
        <v>98</v>
      </c>
      <c r="C8" s="19" t="s">
        <v>94</v>
      </c>
      <c r="D8" s="28">
        <v>1</v>
      </c>
      <c r="E8" s="29">
        <v>55000</v>
      </c>
      <c r="F8" s="30">
        <v>0.28</v>
      </c>
      <c r="G8" s="30">
        <v>0.0765</v>
      </c>
      <c r="H8" s="31">
        <v>74607.5</v>
      </c>
    </row>
    <row r="9" spans="1:8" x14ac:dyDescent="0.25">
      <c r="A9" s="19" t="s">
        <v>100</v>
      </c>
      <c r="B9" s="19" t="s">
        <v>98</v>
      </c>
      <c r="C9" s="19" t="s">
        <v>94</v>
      </c>
      <c r="D9" s="28">
        <v>3</v>
      </c>
      <c r="E9" s="29">
        <v>30000</v>
      </c>
      <c r="F9" s="30">
        <v>0.2</v>
      </c>
      <c r="G9" s="30">
        <v>0.0765</v>
      </c>
      <c r="H9" s="31">
        <v>114885</v>
      </c>
    </row>
    <row r="10" spans="1:8" x14ac:dyDescent="0.25">
      <c r="A10" s="19" t="s">
        <v>101</v>
      </c>
      <c r="B10" s="19" t="s">
        <v>102</v>
      </c>
      <c r="C10" s="19" t="s">
        <v>94</v>
      </c>
      <c r="D10" s="28">
        <v>1</v>
      </c>
      <c r="E10" s="29">
        <v>55000</v>
      </c>
      <c r="F10" s="30">
        <v>0.28</v>
      </c>
      <c r="G10" s="30">
        <v>0.0765</v>
      </c>
      <c r="H10" s="31">
        <v>74607.5</v>
      </c>
    </row>
    <row r="11" spans="1:8" x14ac:dyDescent="0.25">
      <c r="A11" s="19" t="s">
        <v>103</v>
      </c>
      <c r="B11" s="19" t="s">
        <v>104</v>
      </c>
      <c r="C11" s="19" t="s">
        <v>94</v>
      </c>
      <c r="D11" s="28">
        <v>1</v>
      </c>
      <c r="E11" s="29">
        <v>55000</v>
      </c>
      <c r="F11" s="30">
        <v>0.28</v>
      </c>
      <c r="G11" s="30">
        <v>0.0765</v>
      </c>
      <c r="H11" s="31">
        <v>74607.5</v>
      </c>
    </row>
    <row r="12" spans="1:8" x14ac:dyDescent="0.25">
      <c r="A12" s="19" t="s">
        <v>105</v>
      </c>
      <c r="B12" s="19" t="s">
        <v>106</v>
      </c>
      <c r="C12" s="19" t="s">
        <v>94</v>
      </c>
      <c r="D12" s="28">
        <v>2</v>
      </c>
      <c r="E12" s="29">
        <v>38000</v>
      </c>
      <c r="F12" s="30">
        <v>0.25</v>
      </c>
      <c r="G12" s="30">
        <v>0.0765</v>
      </c>
      <c r="H12" s="31">
        <v>100814</v>
      </c>
    </row>
    <row r="14" ht="24" customHeight="1" spans="1:8" x14ac:dyDescent="0.25">
      <c r="A14" s="8" t="s">
        <v>107</v>
      </c>
      <c r="B14" s="8"/>
      <c r="C14" s="8"/>
      <c r="D14" s="8"/>
      <c r="E14" s="8"/>
      <c r="F14" s="8"/>
      <c r="G14" s="8"/>
      <c r="H14" s="8"/>
    </row>
    <row r="15" spans="1:2" x14ac:dyDescent="0.25">
      <c r="A15" s="19" t="s">
        <v>108</v>
      </c>
      <c r="B15" s="20">
        <v>9</v>
      </c>
    </row>
    <row r="16" spans="1:2" x14ac:dyDescent="0.25">
      <c r="A16" s="19" t="s">
        <v>109</v>
      </c>
      <c r="B16" s="20">
        <v>17</v>
      </c>
    </row>
    <row r="17" spans="1:2" x14ac:dyDescent="0.25">
      <c r="A17" s="19" t="s">
        <v>110</v>
      </c>
      <c r="B17" s="29">
        <v>915000</v>
      </c>
    </row>
    <row r="18" spans="1:2" x14ac:dyDescent="0.25">
      <c r="A18" s="19" t="s">
        <v>111</v>
      </c>
      <c r="B18" s="29">
        <v>246720</v>
      </c>
    </row>
    <row r="19" spans="1:2" x14ac:dyDescent="0.25">
      <c r="A19" s="19" t="s">
        <v>112</v>
      </c>
      <c r="B19" s="29">
        <v>69998</v>
      </c>
    </row>
    <row r="20" spans="1:2" x14ac:dyDescent="0.25">
      <c r="A20" s="19" t="s">
        <v>113</v>
      </c>
      <c r="B20" s="29">
        <v>0</v>
      </c>
    </row>
    <row r="21" spans="1:2" x14ac:dyDescent="0.25">
      <c r="A21" s="20" t="s">
        <v>114</v>
      </c>
      <c r="B21" s="31">
        <v>1231718</v>
      </c>
    </row>
    <row r="23" ht="24" customHeight="1" spans="1:6" x14ac:dyDescent="0.25">
      <c r="A23" s="8" t="s">
        <v>115</v>
      </c>
      <c r="B23" s="8"/>
      <c r="C23" s="8"/>
      <c r="D23" s="8"/>
      <c r="E23" s="8"/>
      <c r="F23" s="8"/>
    </row>
    <row r="24" ht="28" customHeight="1" spans="1:6" x14ac:dyDescent="0.25">
      <c r="A24" s="24" t="s">
        <v>63</v>
      </c>
      <c r="B24" s="24" t="s">
        <v>64</v>
      </c>
      <c r="C24" s="24" t="s">
        <v>65</v>
      </c>
      <c r="D24" s="24" t="s">
        <v>66</v>
      </c>
      <c r="E24" s="24" t="s">
        <v>67</v>
      </c>
      <c r="F24" s="24" t="s">
        <v>68</v>
      </c>
    </row>
    <row r="25" spans="1:6" x14ac:dyDescent="0.25">
      <c r="A25" s="19" t="s">
        <v>116</v>
      </c>
      <c r="B25" s="26">
        <v>1231718</v>
      </c>
      <c r="C25" s="26">
        <v>1231718</v>
      </c>
      <c r="D25" s="26">
        <v>1231718</v>
      </c>
      <c r="E25" s="26">
        <v>1231718</v>
      </c>
      <c r="F25" s="26">
        <v>1231718</v>
      </c>
    </row>
    <row r="26" spans="1:6" x14ac:dyDescent="0.25">
      <c r="A26" s="19" t="s">
        <v>117</v>
      </c>
      <c r="B26" s="32">
        <f>(1+Assumptions!B29)^0</f>
        <v>1</v>
      </c>
      <c r="C26" s="32">
        <f>(1+Assumptions!B29)^1</f>
        <v>1</v>
      </c>
      <c r="D26" s="32">
        <f>(1+Assumptions!B29)^2</f>
        <v>1</v>
      </c>
      <c r="E26" s="32">
        <f>(1+Assumptions!B29)^3</f>
        <v>1</v>
      </c>
      <c r="F26" s="32">
        <f>(1+Assumptions!B29)^4</f>
        <v>1</v>
      </c>
    </row>
    <row r="27" spans="1:6" x14ac:dyDescent="0.25">
      <c r="A27" s="19" t="s">
        <v>118</v>
      </c>
      <c r="B27" s="33">
        <f>Assumptions!B31</f>
        <v>0.8333333333333334</v>
      </c>
      <c r="C27" s="33">
        <v>1</v>
      </c>
      <c r="D27" s="33">
        <v>1</v>
      </c>
      <c r="E27" s="33">
        <v>1</v>
      </c>
      <c r="F27" s="33">
        <v>1</v>
      </c>
    </row>
    <row r="28" ht="24" customHeight="1" spans="1:6" x14ac:dyDescent="0.25">
      <c r="A28" s="8" t="s">
        <v>119</v>
      </c>
      <c r="B28" s="27">
        <f>B25*B26*B27</f>
        <v>1026431</v>
      </c>
      <c r="C28" s="27">
        <f>C25*C26*C27</f>
        <v>1231718</v>
      </c>
      <c r="D28" s="27">
        <f>D25*D26*D27</f>
        <v>1231718</v>
      </c>
      <c r="E28" s="27">
        <f>E25*E26*E27</f>
        <v>1231718</v>
      </c>
      <c r="F28" s="27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120</v>
      </c>
      <c r="B3" s="8"/>
      <c r="C3" s="8"/>
      <c r="D3" s="8"/>
      <c r="E3" s="8"/>
      <c r="F3" s="8"/>
    </row>
    <row r="4" spans="1:6" x14ac:dyDescent="0.25">
      <c r="A4" s="19" t="s">
        <v>121</v>
      </c>
      <c r="B4" s="26">
        <f>700*Assumptions!B22</f>
        <v>84000</v>
      </c>
      <c r="C4" s="26">
        <f>721*Assumptions!B23</f>
        <v>144200</v>
      </c>
      <c r="D4" s="26">
        <f>743*Assumptions!B24</f>
        <v>222900</v>
      </c>
      <c r="E4" s="26">
        <f>765*Assumptions!B25</f>
        <v>286875</v>
      </c>
      <c r="F4" s="26">
        <f>788*Assumptions!B26</f>
        <v>315200</v>
      </c>
    </row>
    <row r="5" ht="24" customHeight="1" spans="1:6" x14ac:dyDescent="0.25">
      <c r="A5" s="8" t="s">
        <v>122</v>
      </c>
      <c r="B5" s="27">
        <f>SUM(B4:B4)</f>
        <v>84000</v>
      </c>
      <c r="C5" s="27">
        <f>SUM(C4:C4)</f>
        <v>144200</v>
      </c>
      <c r="D5" s="27">
        <f>SUM(D4:D4)</f>
        <v>222900</v>
      </c>
      <c r="E5" s="27">
        <f>SUM(E4:E4)</f>
        <v>286875</v>
      </c>
      <c r="F5" s="27">
        <f>SUM(F4:F4)</f>
        <v>315200</v>
      </c>
    </row>
    <row r="6" ht="24" customHeight="1" spans="1:6" x14ac:dyDescent="0.25">
      <c r="A6" s="8" t="s">
        <v>123</v>
      </c>
      <c r="B6" s="8"/>
      <c r="C6" s="8"/>
      <c r="D6" s="8"/>
      <c r="E6" s="8"/>
      <c r="F6" s="8"/>
    </row>
    <row r="7" spans="1:6" x14ac:dyDescent="0.25">
      <c r="A7" s="19" t="s">
        <v>124</v>
      </c>
      <c r="B7" s="26">
        <f>500*Assumptions!B22</f>
        <v>60000</v>
      </c>
      <c r="C7" s="26">
        <f>515*Assumptions!B23</f>
        <v>103000</v>
      </c>
      <c r="D7" s="26">
        <f>530*Assumptions!B24</f>
        <v>159000</v>
      </c>
      <c r="E7" s="26">
        <f>546*Assumptions!B25</f>
        <v>204750</v>
      </c>
      <c r="F7" s="26">
        <f>562*Assumptions!B26</f>
        <v>224800</v>
      </c>
    </row>
    <row r="8" ht="24" customHeight="1" spans="1:6" x14ac:dyDescent="0.25">
      <c r="A8" s="8" t="s">
        <v>125</v>
      </c>
      <c r="B8" s="27">
        <f>SUM(B7:B7)</f>
        <v>60000</v>
      </c>
      <c r="C8" s="27">
        <f>SUM(C7:C7)</f>
        <v>103000</v>
      </c>
      <c r="D8" s="27">
        <f>SUM(D7:D7)</f>
        <v>159000</v>
      </c>
      <c r="E8" s="27">
        <f>SUM(E7:E7)</f>
        <v>204750</v>
      </c>
      <c r="F8" s="27">
        <f>SUM(F7:F7)</f>
        <v>224800</v>
      </c>
    </row>
    <row r="9" ht="24" customHeight="1" spans="1:6" x14ac:dyDescent="0.25">
      <c r="A9" s="8" t="s">
        <v>126</v>
      </c>
      <c r="B9" s="8"/>
      <c r="C9" s="8"/>
      <c r="D9" s="8"/>
      <c r="E9" s="8"/>
      <c r="F9" s="8"/>
    </row>
    <row r="10" spans="1:6" x14ac:dyDescent="0.25">
      <c r="A10" s="19" t="s">
        <v>127</v>
      </c>
      <c r="B10" s="26">
        <f>18000*12</f>
        <v>216000</v>
      </c>
      <c r="C10" s="26">
        <f>18540*12</f>
        <v>222480</v>
      </c>
      <c r="D10" s="26">
        <f>19096*12</f>
        <v>229152</v>
      </c>
      <c r="E10" s="26">
        <f>19669*12</f>
        <v>236028</v>
      </c>
      <c r="F10" s="26">
        <f>20259*12</f>
        <v>243108</v>
      </c>
    </row>
    <row r="11" spans="1:6" x14ac:dyDescent="0.25">
      <c r="A11" s="19" t="s">
        <v>128</v>
      </c>
      <c r="B11" s="26">
        <f>2500*12</f>
        <v>30000</v>
      </c>
      <c r="C11" s="26">
        <f>2575*12</f>
        <v>30900</v>
      </c>
      <c r="D11" s="26">
        <f>2652*12</f>
        <v>31824</v>
      </c>
      <c r="E11" s="26">
        <f>2732*12</f>
        <v>32784</v>
      </c>
      <c r="F11" s="26">
        <f>2814*12</f>
        <v>33768</v>
      </c>
    </row>
    <row r="12" spans="1:6" x14ac:dyDescent="0.25">
      <c r="A12" s="19" t="s">
        <v>129</v>
      </c>
      <c r="B12" s="26">
        <v>18000</v>
      </c>
      <c r="C12" s="26">
        <v>18540</v>
      </c>
      <c r="D12" s="26">
        <v>19096</v>
      </c>
      <c r="E12" s="26">
        <v>19669</v>
      </c>
      <c r="F12" s="26">
        <v>20259</v>
      </c>
    </row>
    <row r="13" spans="1:6" x14ac:dyDescent="0.25">
      <c r="A13" s="19" t="s">
        <v>130</v>
      </c>
      <c r="B13" s="26">
        <f>1500*12</f>
        <v>18000</v>
      </c>
      <c r="C13" s="26">
        <f>1545*12</f>
        <v>18540</v>
      </c>
      <c r="D13" s="26">
        <f>1591*12</f>
        <v>19092</v>
      </c>
      <c r="E13" s="26">
        <f>1639*12</f>
        <v>19668</v>
      </c>
      <c r="F13" s="26">
        <f>1688*12</f>
        <v>20256</v>
      </c>
    </row>
    <row r="14" ht="24" customHeight="1" spans="1:6" x14ac:dyDescent="0.25">
      <c r="A14" s="8" t="s">
        <v>131</v>
      </c>
      <c r="B14" s="27">
        <f>SUM(B10:B13)</f>
        <v>282000</v>
      </c>
      <c r="C14" s="27">
        <f>SUM(C10:C13)</f>
        <v>290460</v>
      </c>
      <c r="D14" s="27">
        <f>SUM(D10:D13)</f>
        <v>299164</v>
      </c>
      <c r="E14" s="27">
        <f>SUM(E10:E13)</f>
        <v>308149</v>
      </c>
      <c r="F14" s="27">
        <f>SUM(F10:F13)</f>
        <v>317391</v>
      </c>
    </row>
    <row r="15" ht="24" customHeight="1" spans="1:6" x14ac:dyDescent="0.25">
      <c r="A15" s="8" t="s">
        <v>132</v>
      </c>
      <c r="B15" s="8"/>
      <c r="C15" s="8"/>
      <c r="D15" s="8"/>
      <c r="E15" s="8"/>
      <c r="F15" s="8"/>
    </row>
    <row r="16" spans="1:6" x14ac:dyDescent="0.25">
      <c r="A16" s="19" t="s">
        <v>133</v>
      </c>
      <c r="B16" s="26">
        <v>25000</v>
      </c>
      <c r="C16" s="26">
        <v>25750</v>
      </c>
      <c r="D16" s="26">
        <v>26523</v>
      </c>
      <c r="E16" s="26">
        <v>27318</v>
      </c>
      <c r="F16" s="26">
        <v>28138</v>
      </c>
    </row>
    <row r="17" spans="1:6" x14ac:dyDescent="0.25">
      <c r="A17" s="19" t="s">
        <v>134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19" t="s">
        <v>135</v>
      </c>
      <c r="B18" s="26">
        <v>20000</v>
      </c>
      <c r="C18" s="26">
        <v>20600</v>
      </c>
      <c r="D18" s="26">
        <v>21218</v>
      </c>
      <c r="E18" s="26">
        <v>21855</v>
      </c>
      <c r="F18" s="26">
        <v>22510</v>
      </c>
    </row>
    <row r="19" spans="1:6" x14ac:dyDescent="0.25">
      <c r="A19" s="19" t="s">
        <v>136</v>
      </c>
      <c r="B19" s="26">
        <f>800*Assumptions!B22</f>
        <v>96000</v>
      </c>
      <c r="C19" s="26">
        <f>824*Assumptions!B23</f>
        <v>164800</v>
      </c>
      <c r="D19" s="26">
        <f>849*Assumptions!B24</f>
        <v>254700</v>
      </c>
      <c r="E19" s="26">
        <f>874*Assumptions!B25</f>
        <v>327750</v>
      </c>
      <c r="F19" s="26">
        <f>900*Assumptions!B26</f>
        <v>360000</v>
      </c>
    </row>
    <row r="20" spans="1:6" x14ac:dyDescent="0.25">
      <c r="A20" s="19" t="s">
        <v>137</v>
      </c>
      <c r="B20" s="26">
        <f>600*Assumptions!B22</f>
        <v>72000</v>
      </c>
      <c r="C20" s="26">
        <f>618*Assumptions!B23</f>
        <v>123600</v>
      </c>
      <c r="D20" s="26">
        <f>637*Assumptions!B24</f>
        <v>191100</v>
      </c>
      <c r="E20" s="26">
        <f>656*Assumptions!B25</f>
        <v>246000</v>
      </c>
      <c r="F20" s="26">
        <f>675*Assumptions!B26</f>
        <v>270000</v>
      </c>
    </row>
    <row r="21" ht="24" customHeight="1" spans="1:6" x14ac:dyDescent="0.25">
      <c r="A21" s="8" t="s">
        <v>138</v>
      </c>
      <c r="B21" s="27">
        <f>SUM(B16:B20)</f>
        <v>228000</v>
      </c>
      <c r="C21" s="27">
        <f>SUM(C16:C20)</f>
        <v>350200</v>
      </c>
      <c r="D21" s="27">
        <f>SUM(D16:D20)</f>
        <v>509455</v>
      </c>
      <c r="E21" s="27">
        <f>SUM(E16:E20)</f>
        <v>639314</v>
      </c>
      <c r="F21" s="27">
        <f>SUM(F16:F20)</f>
        <v>697531</v>
      </c>
    </row>
    <row r="23" ht="24" customHeight="1" spans="1:6" x14ac:dyDescent="0.25">
      <c r="A23" s="8" t="s">
        <v>139</v>
      </c>
      <c r="B23" s="27">
        <f>B5+B8+B14+B21</f>
        <v>654000</v>
      </c>
      <c r="C23" s="27">
        <f>C5+C8+C14+C21</f>
        <v>887860</v>
      </c>
      <c r="D23" s="27">
        <f>D5+D8+D14+D21</f>
        <v>1190519</v>
      </c>
      <c r="E23" s="27">
        <f>E5+E8+E14+E21</f>
        <v>1439088</v>
      </c>
      <c r="F23" s="27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140</v>
      </c>
      <c r="B2" s="8"/>
      <c r="C2" s="8"/>
      <c r="D2" s="8"/>
      <c r="E2" s="8"/>
      <c r="F2" s="8"/>
    </row>
    <row r="3" spans="1:6" x14ac:dyDescent="0.25">
      <c r="A3" s="19" t="s">
        <v>141</v>
      </c>
      <c r="B3" s="26">
        <v>49824.605221179416</v>
      </c>
      <c r="C3" s="26">
        <v>49824.605221179416</v>
      </c>
      <c r="D3" s="26">
        <v>49824.605221179416</v>
      </c>
      <c r="E3" s="26">
        <v>49824.605221179416</v>
      </c>
      <c r="F3" s="26">
        <v>49824.605221179416</v>
      </c>
    </row>
    <row r="4" spans="1:6" x14ac:dyDescent="0.25">
      <c r="A4" s="19" t="s">
        <v>142</v>
      </c>
      <c r="B4" s="26">
        <v>75000</v>
      </c>
      <c r="C4" s="26">
        <v>25000</v>
      </c>
      <c r="D4" s="26">
        <v>30000</v>
      </c>
      <c r="E4" s="26">
        <v>15000</v>
      </c>
      <c r="F4" s="26">
        <v>10000</v>
      </c>
    </row>
    <row r="5" spans="1:6" x14ac:dyDescent="0.25">
      <c r="A5" s="19" t="s">
        <v>143</v>
      </c>
      <c r="B5" s="26">
        <v>40000</v>
      </c>
      <c r="C5" s="26">
        <v>15000</v>
      </c>
      <c r="D5" s="26">
        <v>10000</v>
      </c>
      <c r="E5" s="26">
        <v>10000</v>
      </c>
      <c r="F5" s="26">
        <v>10000</v>
      </c>
    </row>
    <row r="6" ht="24" customHeight="1" spans="1:6" x14ac:dyDescent="0.25">
      <c r="A6" s="8" t="s">
        <v>144</v>
      </c>
      <c r="B6" s="27">
        <f>SUM(B3:B5)</f>
        <v>164825</v>
      </c>
      <c r="C6" s="27">
        <f>SUM(C3:C5)</f>
        <v>89825</v>
      </c>
      <c r="D6" s="27">
        <f>SUM(D3:D5)</f>
        <v>89825</v>
      </c>
      <c r="E6" s="27">
        <f>SUM(E3:E5)</f>
        <v>74825</v>
      </c>
      <c r="F6" s="27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145</v>
      </c>
      <c r="B2" s="26">
        <f>'Revenue Schedule'!B16</f>
        <v>1546000</v>
      </c>
      <c r="C2" s="26">
        <f>'Revenue Schedule'!C16</f>
        <v>2522800</v>
      </c>
      <c r="D2" s="26">
        <f>'Revenue Schedule'!D16</f>
        <v>3784600</v>
      </c>
      <c r="E2" s="26">
        <f>'Revenue Schedule'!E16</f>
        <v>4759125</v>
      </c>
      <c r="F2" s="26">
        <f>'Revenue Schedule'!F16</f>
        <v>5184400</v>
      </c>
    </row>
    <row r="3" spans="1:6" x14ac:dyDescent="0.25">
      <c r="A3" s="19" t="s">
        <v>146</v>
      </c>
      <c r="B3" s="26">
        <f>'Staffing &amp; Personnel'!B28</f>
        <v>1026431</v>
      </c>
      <c r="C3" s="26">
        <f>'Staffing &amp; Personnel'!C28</f>
        <v>1231718</v>
      </c>
      <c r="D3" s="26">
        <f>'Staffing &amp; Personnel'!D28</f>
        <v>1231718</v>
      </c>
      <c r="E3" s="26">
        <f>'Staffing &amp; Personnel'!E28</f>
        <v>1231718</v>
      </c>
      <c r="F3" s="26">
        <f>'Staffing &amp; Personnel'!F28</f>
        <v>1231718</v>
      </c>
    </row>
    <row r="4" spans="1:6" x14ac:dyDescent="0.25">
      <c r="A4" s="19" t="s">
        <v>17</v>
      </c>
      <c r="B4" s="26">
        <f>'Operating Expenses'!B23</f>
        <v>654000</v>
      </c>
      <c r="C4" s="26">
        <f>'Operating Expenses'!C23</f>
        <v>887860</v>
      </c>
      <c r="D4" s="26">
        <f>'Operating Expenses'!D23</f>
        <v>1190519</v>
      </c>
      <c r="E4" s="26">
        <f>'Operating Expenses'!E23</f>
        <v>1439088</v>
      </c>
      <c r="F4" s="26">
        <f>'Operating Expenses'!F23</f>
        <v>1554922</v>
      </c>
    </row>
    <row r="5" spans="1:6" x14ac:dyDescent="0.25">
      <c r="A5" s="19" t="s">
        <v>18</v>
      </c>
      <c r="B5" s="26">
        <f>'Capital &amp; Debt'!B6</f>
        <v>164825</v>
      </c>
      <c r="C5" s="26">
        <f>'Capital &amp; Debt'!C6</f>
        <v>89825</v>
      </c>
      <c r="D5" s="26">
        <f>'Capital &amp; Debt'!D6</f>
        <v>89825</v>
      </c>
      <c r="E5" s="26">
        <f>'Capital &amp; Debt'!E6</f>
        <v>74825</v>
      </c>
      <c r="F5" s="26">
        <f>'Capital &amp; Debt'!F6</f>
        <v>69825</v>
      </c>
    </row>
    <row r="6" ht="24" customHeight="1" spans="1:6" x14ac:dyDescent="0.25">
      <c r="A6" s="8" t="s">
        <v>147</v>
      </c>
      <c r="B6" s="27">
        <f>B3+B4+B5</f>
        <v>1845256</v>
      </c>
      <c r="C6" s="27">
        <f>C3+C4+C5</f>
        <v>2209403</v>
      </c>
      <c r="D6" s="27">
        <f>D3+D4+D5</f>
        <v>2512062</v>
      </c>
      <c r="E6" s="27">
        <f>E3+E4+E5</f>
        <v>2745631</v>
      </c>
      <c r="F6" s="27">
        <f>F3+F4+F5</f>
        <v>2856465</v>
      </c>
    </row>
    <row r="7" ht="24" customHeight="1" spans="1:6" x14ac:dyDescent="0.25">
      <c r="A7" s="8" t="s">
        <v>148</v>
      </c>
      <c r="B7" s="27">
        <f>B2-B6</f>
        <v>-299256</v>
      </c>
      <c r="C7" s="27">
        <f>C2-C6</f>
        <v>313397</v>
      </c>
      <c r="D7" s="27">
        <f>D2-D6</f>
        <v>1272538</v>
      </c>
      <c r="E7" s="27">
        <f>E2-E6</f>
        <v>2013494</v>
      </c>
      <c r="F7" s="27">
        <f>F2-F6</f>
        <v>2327935</v>
      </c>
    </row>
    <row r="8" spans="1:6" x14ac:dyDescent="0.25">
      <c r="A8" s="19" t="s">
        <v>149</v>
      </c>
      <c r="B8" s="26">
        <f>B7</f>
        <v>-299256</v>
      </c>
      <c r="C8" s="26">
        <f>B8+C7</f>
        <v>14141</v>
      </c>
      <c r="D8" s="26">
        <f>C8+D7</f>
        <v>1286679</v>
      </c>
      <c r="E8" s="26">
        <f>D8+E7</f>
        <v>3300173</v>
      </c>
      <c r="F8" s="26">
        <f>E8+F7</f>
        <v>5628108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0.0768044580368543</v>
      </c>
      <c r="D9" s="34">
        <f>IF(D6=0,0,IF(D8&gt;0,D8/(D6/12),0))</f>
        <v>6.146404029836844</v>
      </c>
      <c r="E9" s="34">
        <f>IF(E6=0,0,IF(E8&gt;0,E8/(E6/12),0))</f>
        <v>14.42367018729028</v>
      </c>
      <c r="F9" s="34">
        <f>IF(F6=0,0,IF(F8&gt;0,F8/(F6/12),0))</f>
        <v>23.643663059060763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375</v>
      </c>
      <c r="F16" s="25">
        <f>'Revenue Schedule'!F2</f>
        <v>400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0.25</v>
      </c>
      <c r="F17" s="37">
        <f>IF(E16=0,0,(F16-E16)/E16)</f>
        <v>0.06666666666666667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145</v>
      </c>
      <c r="B20" s="26">
        <f>'Financial Model'!B2</f>
        <v>1546000</v>
      </c>
      <c r="C20" s="26">
        <f>'Financial Model'!C2</f>
        <v>2522800</v>
      </c>
      <c r="D20" s="26">
        <f>'Financial Model'!D2</f>
        <v>3784600</v>
      </c>
      <c r="E20" s="26">
        <f>'Financial Model'!E2</f>
        <v>4759125</v>
      </c>
      <c r="F20" s="26">
        <f>'Financial Model'!F2</f>
        <v>5184400</v>
      </c>
    </row>
    <row r="21" spans="1:6" x14ac:dyDescent="0.25">
      <c r="A21" s="19" t="s">
        <v>146</v>
      </c>
      <c r="B21" s="26">
        <f>'Financial Model'!B3</f>
        <v>1026431</v>
      </c>
      <c r="C21" s="26">
        <f>'Financial Model'!C3</f>
        <v>1231718</v>
      </c>
      <c r="D21" s="26">
        <f>'Financial Model'!D3</f>
        <v>1231718</v>
      </c>
      <c r="E21" s="26">
        <f>'Financial Model'!E3</f>
        <v>1231718</v>
      </c>
      <c r="F21" s="26">
        <f>'Financial Model'!F3</f>
        <v>1231718</v>
      </c>
    </row>
    <row r="22" spans="1:6" x14ac:dyDescent="0.25">
      <c r="A22" s="19" t="s">
        <v>17</v>
      </c>
      <c r="B22" s="26">
        <f>'Financial Model'!B4</f>
        <v>654000</v>
      </c>
      <c r="C22" s="26">
        <f>'Financial Model'!C4</f>
        <v>887860</v>
      </c>
      <c r="D22" s="26">
        <f>'Financial Model'!D4</f>
        <v>1190519</v>
      </c>
      <c r="E22" s="26">
        <f>'Financial Model'!E4</f>
        <v>1439088</v>
      </c>
      <c r="F22" s="26">
        <f>'Financial Model'!F4</f>
        <v>1554922</v>
      </c>
    </row>
    <row r="23" ht="24" customHeight="1" spans="1:6" x14ac:dyDescent="0.25">
      <c r="A23" s="8" t="s">
        <v>147</v>
      </c>
      <c r="B23" s="27">
        <f>'Financial Model'!B6</f>
        <v>1845256</v>
      </c>
      <c r="C23" s="27">
        <f>'Financial Model'!C6</f>
        <v>2209403</v>
      </c>
      <c r="D23" s="27">
        <f>'Financial Model'!D6</f>
        <v>2512062</v>
      </c>
      <c r="E23" s="27">
        <f>'Financial Model'!E6</f>
        <v>2745631</v>
      </c>
      <c r="F23" s="27">
        <f>'Financial Model'!F6</f>
        <v>2856465</v>
      </c>
    </row>
    <row r="24" spans="1:6" x14ac:dyDescent="0.25">
      <c r="A24" s="20" t="s">
        <v>148</v>
      </c>
      <c r="B24" s="38">
        <f>'Financial Model'!B7</f>
        <v>-299256</v>
      </c>
      <c r="C24" s="39">
        <f>'Financial Model'!C7</f>
        <v>313397</v>
      </c>
      <c r="D24" s="39">
        <f>'Financial Model'!D7</f>
        <v>1272538</v>
      </c>
      <c r="E24" s="39">
        <f>'Financial Model'!E7</f>
        <v>2013494</v>
      </c>
      <c r="F24" s="39">
        <f>'Financial Model'!F7</f>
        <v>2327935</v>
      </c>
    </row>
    <row r="25" spans="1:6" x14ac:dyDescent="0.25">
      <c r="A25" s="19" t="s">
        <v>149</v>
      </c>
      <c r="B25" s="26">
        <f>'Financial Model'!B8</f>
        <v>-299256</v>
      </c>
      <c r="C25" s="26">
        <f>'Financial Model'!C8</f>
        <v>14141</v>
      </c>
      <c r="D25" s="26">
        <f>'Financial Model'!D8</f>
        <v>1286679</v>
      </c>
      <c r="E25" s="26">
        <f>'Financial Model'!E8</f>
        <v>3300173</v>
      </c>
      <c r="F25" s="26">
        <f>'Financial Model'!F8</f>
        <v>5628108</v>
      </c>
    </row>
    <row r="26" spans="1:6" x14ac:dyDescent="0.25">
      <c r="A26" s="20" t="s">
        <v>11</v>
      </c>
      <c r="B26" s="40" t="str">
        <f>'Financial Model'!B9</f>
        <v>0</v>
      </c>
      <c r="C26" s="40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12883.333333333334</v>
      </c>
      <c r="C29" s="26">
        <f>IF('Revenue Schedule'!C2=0,0,C20/'Revenue Schedule'!C2)</f>
        <v>12614</v>
      </c>
      <c r="D29" s="26">
        <f>IF('Revenue Schedule'!D2=0,0,D20/'Revenue Schedule'!D2)</f>
        <v>12615.333333333334</v>
      </c>
      <c r="E29" s="26">
        <f>IF('Revenue Schedule'!E2=0,0,E20/'Revenue Schedule'!E2)</f>
        <v>12691</v>
      </c>
      <c r="F29" s="26">
        <f>IF('Revenue Schedule'!F2=0,0,F20/'Revenue Schedule'!F2)</f>
        <v>12961</v>
      </c>
    </row>
    <row r="30" spans="1:6" x14ac:dyDescent="0.25">
      <c r="A30" s="19" t="s">
        <v>158</v>
      </c>
      <c r="B30" s="37">
        <f>IF(B20=0,0,'Financial Model'!B3/B20)</f>
        <v>0.6639269081500647</v>
      </c>
      <c r="C30" s="37">
        <f>IF(C20=0,0,'Financial Model'!C3/C20)</f>
        <v>0.4882345013477089</v>
      </c>
      <c r="D30" s="37">
        <f>IF(D20=0,0,'Financial Model'!D3/D20)</f>
        <v>0.3254552660783174</v>
      </c>
      <c r="E30" s="37">
        <f>IF(E20=0,0,'Financial Model'!E3/E20)</f>
        <v>0.25881186142410634</v>
      </c>
      <c r="F30" s="37">
        <f>IF(F20=0,0,'Financial Model'!F3/F20)</f>
        <v>0.23758159092662604</v>
      </c>
    </row>
    <row r="31" spans="1:6" x14ac:dyDescent="0.25">
      <c r="A31" s="19" t="s">
        <v>159</v>
      </c>
      <c r="B31" s="37">
        <f>IF(B20=0,0,'Financial Model'!B4/B20)</f>
        <v>0.4230271668822768</v>
      </c>
      <c r="C31" s="37">
        <f>IF(C20=0,0,'Financial Model'!C4/C20)</f>
        <v>0.35193435864912004</v>
      </c>
      <c r="D31" s="37">
        <f>IF(D20=0,0,'Financial Model'!D4/D20)</f>
        <v>0.31456930719230564</v>
      </c>
      <c r="E31" s="37">
        <f>IF(E20=0,0,'Financial Model'!E4/E20)</f>
        <v>0.3023849972421401</v>
      </c>
      <c r="F31" s="37">
        <f>IF(F20=0,0,'Financial Model'!F4/F20)</f>
        <v>0.299923231232158</v>
      </c>
    </row>
    <row r="32" spans="1:6" x14ac:dyDescent="0.25">
      <c r="A32" s="20" t="s">
        <v>160</v>
      </c>
      <c r="B32" s="41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0.02328589909443726</v>
      </c>
      <c r="C35" s="37">
        <v>0.024496591089265895</v>
      </c>
      <c r="D35" s="37">
        <v>0.025207419542355863</v>
      </c>
      <c r="E35" s="37">
        <v>0.025845087069576864</v>
      </c>
      <c r="F35" s="37">
        <v>0.026078234704112337</v>
      </c>
    </row>
    <row r="36" spans="1:6" x14ac:dyDescent="0.25">
      <c r="A36" s="19" t="s">
        <v>163</v>
      </c>
      <c r="B36" s="37">
        <v>0.8926261319534282</v>
      </c>
      <c r="C36" s="37">
        <v>0.9299191374663073</v>
      </c>
      <c r="D36" s="37">
        <v>0.9483697088199545</v>
      </c>
      <c r="E36" s="37">
        <v>0.9615475533842881</v>
      </c>
      <c r="F36" s="37">
        <v>0.9604197207005633</v>
      </c>
    </row>
    <row r="37" spans="1:6" x14ac:dyDescent="0.25">
      <c r="A37" s="19" t="s">
        <v>164</v>
      </c>
      <c r="B37" s="37">
        <v>0.08408796895213454</v>
      </c>
      <c r="C37" s="37">
        <v>0.045584271444426824</v>
      </c>
      <c r="D37" s="37">
        <v>0.026422871637689586</v>
      </c>
      <c r="E37" s="37">
        <v>0.012607359546135056</v>
      </c>
      <c r="F37" s="37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2026-03-17T17:12:58Z</dcterms:created>
  <dcterms:modified xsi:type="dcterms:W3CDTF">2026-03-17T17:12:58Z</dcterms:modified>
</cp:coreProperties>
</file>