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9" name="Cover" state="visible" r:id="rId4"/>
    <sheet sheetId="1" name="Assumptions" state="visible" r:id="rId5"/>
    <sheet sheetId="2" name="Revenue Schedule" state="visible" r:id="rId6"/>
    <sheet sheetId="3" name="Staffing &amp; Personnel" state="visible" r:id="rId7"/>
    <sheet sheetId="4" name="Operating Expenses" state="visible" r:id="rId8"/>
    <sheet sheetId="5" name="Capital &amp; Debt" state="visible" r:id="rId9"/>
    <sheet sheetId="6" name="Financial Model" state="visible" r:id="rId10"/>
    <sheet sheetId="7" name="Summary" state="visible" r:id="rId11"/>
    <sheet sheetId="8" name="Decision History" state="visible" r:id="rId12"/>
    <sheet sheetId="10" name="Financial Health" state="visible" r:id="rId13"/>
  </sheets>
  <definedNames>
    <definedName name="_xlnm.Print_Area" localSheetId="1">'Assumptions'!$A1:$E33</definedName>
    <definedName name="_xlnm.Print_Titles" localSheetId="1">'Assumptions'!$1:$1</definedName>
    <definedName name="_xlnm.Print_Area" localSheetId="2">'Revenue Schedule'!$A1:$F16</definedName>
    <definedName name="_xlnm.Print_Titles" localSheetId="2">'Revenue Schedule'!$1:$1</definedName>
    <definedName name="_xlnm.Print_Area" localSheetId="3">'Staffing &amp; Personnel'!$A1:$H28</definedName>
    <definedName name="_xlnm.Print_Titles" localSheetId="3">'Staffing &amp; Personnel'!$1:$1</definedName>
    <definedName name="_xlnm.Print_Area" localSheetId="4">'Operating Expenses'!$A1:$F23</definedName>
    <definedName name="_xlnm.Print_Titles" localSheetId="4">'Operating Expenses'!$1:$1</definedName>
    <definedName name="_xlnm.Print_Area" localSheetId="5">'Capital &amp; Debt'!$A1:$F6</definedName>
    <definedName name="_xlnm.Print_Titles" localSheetId="5">'Capital &amp; Debt'!$1:$1</definedName>
    <definedName name="_xlnm.Print_Area" localSheetId="6">'Financial Model'!$A1:$F10</definedName>
    <definedName name="_xlnm.Print_Titles" localSheetId="6">'Financial Model'!$1:$1</definedName>
    <definedName name="_xlnm.Print_Area" localSheetId="7">'Summary'!$A1:$F38</definedName>
    <definedName name="_xlnm.Print_Titles" localSheetId="7">'Summary'!$1:$1</definedName>
    <definedName name="_xlnm.Print_Area" localSheetId="8">'Decision History'!$A1:$H4</definedName>
    <definedName name="_xlnm.Print_Titles" localSheetId="8">'Decision History'!$1:$1</definedName>
    <definedName name="_xlnm.Print_Area" localSheetId="9">'Financial Health'!$A1:$H40</definedName>
    <definedName name="_xlnm.Print_Titles" localSheetId="9">'Financial Health'!$1:$1</definedName>
  </definedNames>
  <calcPr calcId="171027" fullCalcOnLoad="1"/>
</workbook>
</file>

<file path=xl/sharedStrings.xml><?xml version="1.0" encoding="utf-8"?>
<sst xmlns="http://schemas.openxmlformats.org/spreadsheetml/2006/main" count="338" uniqueCount="236">
  <si>
    <t>SchoolStack Budget</t>
  </si>
  <si>
    <t>5-Year Financial Model</t>
  </si>
  <si>
    <t>Prepared for</t>
  </si>
  <si>
    <t>Civic Scholars Charter</t>
  </si>
  <si>
    <t>Charter School  •  501(c)(3) Nonprofit  •  OH</t>
  </si>
  <si>
    <t>Date Prepared</t>
  </si>
  <si>
    <t>April 29, 2026</t>
  </si>
  <si>
    <t>KEY HIGHLIGHTS</t>
  </si>
  <si>
    <t>Year 5 Revenue</t>
  </si>
  <si>
    <t>Year 5 Net Income</t>
  </si>
  <si>
    <t>Year 5 Net Margin</t>
  </si>
  <si>
    <t>Operating Reserve (Months)</t>
  </si>
  <si>
    <t>Year 5 Enrollment</t>
  </si>
  <si>
    <t>TABLE OF CONTENTS</t>
  </si>
  <si>
    <t>Assumptions</t>
  </si>
  <si>
    <t>Revenue Schedule</t>
  </si>
  <si>
    <t>Staffing &amp; Personnel</t>
  </si>
  <si>
    <t>Operating Expenses</t>
  </si>
  <si>
    <t>Capital &amp; Debt</t>
  </si>
  <si>
    <t>Financial Model</t>
  </si>
  <si>
    <t>Summary</t>
  </si>
  <si>
    <t>Decision History</t>
  </si>
  <si>
    <t>Generated by SchoolStack Budget  •  budget.schoolstack.ai</t>
  </si>
  <si>
    <t>SchoolStack Budget - Assumptions</t>
  </si>
  <si>
    <t/>
  </si>
  <si>
    <t>Editable assumption — change this value</t>
  </si>
  <si>
    <t>Calculated — driven by formula</t>
  </si>
  <si>
    <t>SCHOOL INFORMATION</t>
  </si>
  <si>
    <t>School Name</t>
  </si>
  <si>
    <t>State</t>
  </si>
  <si>
    <t>OH</t>
  </si>
  <si>
    <t>School Type</t>
  </si>
  <si>
    <t>Charter School</t>
  </si>
  <si>
    <t>Entity Type</t>
  </si>
  <si>
    <t>501(c)(3) Nonprofit</t>
  </si>
  <si>
    <t>EIN</t>
  </si>
  <si>
    <t>31-5551234</t>
  </si>
  <si>
    <t>School Stage</t>
  </si>
  <si>
    <t>New School</t>
  </si>
  <si>
    <t>Opening Year</t>
  </si>
  <si>
    <t>Current Students</t>
  </si>
  <si>
    <t>Max Student Capacity</t>
  </si>
  <si>
    <t>Fiscal Year Start</t>
  </si>
  <si>
    <t>July</t>
  </si>
  <si>
    <t>Accounting Basis</t>
  </si>
  <si>
    <t>Year 1 Operating Months</t>
  </si>
  <si>
    <t>Location Secured</t>
  </si>
  <si>
    <t>Yes</t>
  </si>
  <si>
    <t>Facility Address</t>
  </si>
  <si>
    <t>789 Elm Blvd, Columbus, OH, 43215</t>
  </si>
  <si>
    <t>Facility Ownership</t>
  </si>
  <si>
    <t>Rented / Leased</t>
  </si>
  <si>
    <t>Monthly Rent</t>
  </si>
  <si>
    <t>$18,000</t>
  </si>
  <si>
    <t>Annual Rent Escalation</t>
  </si>
  <si>
    <t>3%</t>
  </si>
  <si>
    <t>ENROLLMENT BY YEAR</t>
  </si>
  <si>
    <t>Year 1 Students</t>
  </si>
  <si>
    <t>Year 2 Students</t>
  </si>
  <si>
    <t>Year 3 Students</t>
  </si>
  <si>
    <t>Year 4 Students</t>
  </si>
  <si>
    <t>Year 5 Students</t>
  </si>
  <si>
    <t>GROWTH &amp; ESCALATION ASSUMPTIONS</t>
  </si>
  <si>
    <t>Annual Salary Escalation</t>
  </si>
  <si>
    <t>General Cost Inflation</t>
  </si>
  <si>
    <t>Year 1 Proration Factor</t>
  </si>
  <si>
    <t>Projection Period</t>
  </si>
  <si>
    <t>5 Years</t>
  </si>
  <si>
    <t>Year 1</t>
  </si>
  <si>
    <t>Year 2</t>
  </si>
  <si>
    <t>Year 3</t>
  </si>
  <si>
    <t>Year 4</t>
  </si>
  <si>
    <t>Year 5</t>
  </si>
  <si>
    <t>Students</t>
  </si>
  <si>
    <t>PUBLIC FUNDING</t>
  </si>
  <si>
    <t>State Per-Pupil Funding</t>
  </si>
  <si>
    <t>Federal Title I</t>
  </si>
  <si>
    <t>Special Education Funding</t>
  </si>
  <si>
    <t>Total PUBLIC FUNDING</t>
  </si>
  <si>
    <t>PHILANTHROPY</t>
  </si>
  <si>
    <t>CSP Startup Grant</t>
  </si>
  <si>
    <t>Annual Fundraising</t>
  </si>
  <si>
    <t>Total PHILANTHROPY</t>
  </si>
  <si>
    <t>OTHER REVENUE</t>
  </si>
  <si>
    <t>Food Service Revenue</t>
  </si>
  <si>
    <t>Total OTHER REVENUE</t>
  </si>
  <si>
    <t>TOTAL NET REVENUE</t>
  </si>
  <si>
    <t>SchoolStack Budget - Staffing &amp; Personnel</t>
  </si>
  <si>
    <t>Role</t>
  </si>
  <si>
    <t>Function</t>
  </si>
  <si>
    <t>Type</t>
  </si>
  <si>
    <t>FTE</t>
  </si>
  <si>
    <t>Annual Rate</t>
  </si>
  <si>
    <t>Benefits %</t>
  </si>
  <si>
    <t>Payroll Tax %</t>
  </si>
  <si>
    <t>Total Annual Cost</t>
  </si>
  <si>
    <t>Executive Director</t>
  </si>
  <si>
    <t>School Leadership</t>
  </si>
  <si>
    <t>Full-Time</t>
  </si>
  <si>
    <t>Principal</t>
  </si>
  <si>
    <t>Dean of Students</t>
  </si>
  <si>
    <t>Core Teachers</t>
  </si>
  <si>
    <t>Instructional</t>
  </si>
  <si>
    <t>Special Education Teacher</t>
  </si>
  <si>
    <t>Instructional Aides</t>
  </si>
  <si>
    <t>School Counselor</t>
  </si>
  <si>
    <t>Student Support</t>
  </si>
  <si>
    <t>Operations Manager</t>
  </si>
  <si>
    <t>Operations</t>
  </si>
  <si>
    <t>Office Staff</t>
  </si>
  <si>
    <t>Administrative</t>
  </si>
  <si>
    <t>PERSONNEL COST SUMMARY</t>
  </si>
  <si>
    <t>Total Headcount</t>
  </si>
  <si>
    <t>Total FTE</t>
  </si>
  <si>
    <t>Salaries &amp; Wages</t>
  </si>
  <si>
    <t>Benefits</t>
  </si>
  <si>
    <t>Payroll Taxes</t>
  </si>
  <si>
    <t>Contracted Personnel</t>
  </si>
  <si>
    <t>Total Annual Personnel Cost</t>
  </si>
  <si>
    <t>PERSONNEL COST PROJECTION</t>
  </si>
  <si>
    <t>Base Personnel Cost</t>
  </si>
  <si>
    <t>Salary Escalation Factor</t>
  </si>
  <si>
    <t>Proration Factor</t>
  </si>
  <si>
    <t>Total Personnel Cost</t>
  </si>
  <si>
    <t>INSTRUCTIONAL / PROGRAM</t>
  </si>
  <si>
    <t>Curriculum &amp; Textbooks</t>
  </si>
  <si>
    <t>Total INSTRUCTIONAL</t>
  </si>
  <si>
    <t>TECHNOLOGY</t>
  </si>
  <si>
    <t>Technology &amp; Devices</t>
  </si>
  <si>
    <t>Total TECHNOLOGY</t>
  </si>
  <si>
    <t>OCCUPANCY / FACILITY</t>
  </si>
  <si>
    <t>Facility Lease</t>
  </si>
  <si>
    <t>Utilities</t>
  </si>
  <si>
    <t>Insurance</t>
  </si>
  <si>
    <t>Janitorial</t>
  </si>
  <si>
    <t>Total OCCUPANCY</t>
  </si>
  <si>
    <t>ADMINISTRATIVE / GENERAL</t>
  </si>
  <si>
    <t>Marketing &amp; Recruitment</t>
  </si>
  <si>
    <t>Professional Development</t>
  </si>
  <si>
    <t>Legal &amp; Compliance</t>
  </si>
  <si>
    <t>Food Service</t>
  </si>
  <si>
    <t>Transportation</t>
  </si>
  <si>
    <t>Total ADMINISTRATIVE</t>
  </si>
  <si>
    <t>TOTAL OPERATING EXPENSES</t>
  </si>
  <si>
    <t>CAPITAL EXPENDITURES &amp; DEBT SERVICE</t>
  </si>
  <si>
    <t>Facility Improvement Loan</t>
  </si>
  <si>
    <t>FF&amp;E Purchase</t>
  </si>
  <si>
    <t>Technology Infrastructure</t>
  </si>
  <si>
    <t>TOTAL CAPITAL &amp; DEBT</t>
  </si>
  <si>
    <t>Total Revenue</t>
  </si>
  <si>
    <t>Personnel Costs</t>
  </si>
  <si>
    <t>Total Expenses</t>
  </si>
  <si>
    <t>Net Income</t>
  </si>
  <si>
    <t>Cumulative Net Income</t>
  </si>
  <si>
    <t>Break-even</t>
  </si>
  <si>
    <t>✓ Break-even</t>
  </si>
  <si>
    <t>Financial Model Summary</t>
  </si>
  <si>
    <t>Prepared by SchoolStack Budget</t>
  </si>
  <si>
    <t>400</t>
  </si>
  <si>
    <t>ENROLLMENT TREND</t>
  </si>
  <si>
    <t>Enrollment Growth %</t>
  </si>
  <si>
    <t>-</t>
  </si>
  <si>
    <t>KEY RATIOS</t>
  </si>
  <si>
    <t>Revenue per Student</t>
  </si>
  <si>
    <t>Personnel Cost as % of Revenue</t>
  </si>
  <si>
    <t>Operating Cost as % of Revenue</t>
  </si>
  <si>
    <t>Net Margin %</t>
  </si>
  <si>
    <t>REVENUE MIX TREND</t>
  </si>
  <si>
    <t>Tuition &amp; Fees %</t>
  </si>
  <si>
    <t>Public Funding %</t>
  </si>
  <si>
    <t>Philanthropy %</t>
  </si>
  <si>
    <t>No decisions have been tracked with an outcome yet. As the team marks saved scenarios as Pursued, Declined, or On hold, those outcomes (and any retrospective notes) will appear here so reviewers can see what actually happened versus what was modeled.</t>
  </si>
  <si>
    <t>Once decisions are saved with a Pursued / Declined / On hold outcome inside the planner, they will be summarized here.</t>
  </si>
  <si>
    <t>Civic Scholars Charter — Financial Health Dashboard</t>
  </si>
  <si>
    <t>Generated April 29, 2026</t>
  </si>
  <si>
    <t>● Green = healthy</t>
  </si>
  <si>
    <t>◐ Yellow = monitor</t>
  </si>
  <si>
    <t>○ Red = action needed</t>
  </si>
  <si>
    <t>Metric</t>
  </si>
  <si>
    <t>Benchmark</t>
  </si>
  <si>
    <t>Enrollment</t>
  </si>
  <si>
    <t>Revenue</t>
  </si>
  <si>
    <t>Personnel</t>
  </si>
  <si>
    <t>Debt Service</t>
  </si>
  <si>
    <t>Ending Cash</t>
  </si>
  <si>
    <t>Net Margin</t>
  </si>
  <si>
    <t>≥ $10,000</t>
  </si>
  <si>
    <t>Cost per Student</t>
  </si>
  <si>
    <t xml:space="preserve">  Instructional / Student</t>
  </si>
  <si>
    <t xml:space="preserve">  Facility / Student</t>
  </si>
  <si>
    <t>≤ $2,000 / $2k–$3.5k / &gt; $3,500</t>
  </si>
  <si>
    <t>Surplus per Student</t>
  </si>
  <si>
    <t>Payroll %</t>
  </si>
  <si>
    <t>≤ 55%</t>
  </si>
  <si>
    <t>Facility %</t>
  </si>
  <si>
    <t>≤ 15%</t>
  </si>
  <si>
    <t>Operating Margin</t>
  </si>
  <si>
    <t>≥ 10%</t>
  </si>
  <si>
    <t>Revenue Sources</t>
  </si>
  <si>
    <t>≥ 3 sources</t>
  </si>
  <si>
    <t>DSCR</t>
  </si>
  <si>
    <t>≥ 1.25x</t>
  </si>
  <si>
    <t>Break-even Year</t>
  </si>
  <si>
    <t>Cash Runway (Months)</t>
  </si>
  <si>
    <t>≥ 24 months</t>
  </si>
  <si>
    <t>Days Cash on Hand</t>
  </si>
  <si>
    <t>≥ 90 days</t>
  </si>
  <si>
    <t>FINANCIAL HEALTH SIGNALS</t>
  </si>
  <si>
    <t>Status</t>
  </si>
  <si>
    <t>Assessment</t>
  </si>
  <si>
    <t>Watch Item</t>
  </si>
  <si>
    <t>Viability</t>
  </si>
  <si>
    <t>● Healthy</t>
  </si>
  <si>
    <t>The model reaches net income early and sustains strong margins through Year 5.</t>
  </si>
  <si>
    <t>Monitor enrollment actuals vs. projections in Year 1.</t>
  </si>
  <si>
    <t>Liquidity</t>
  </si>
  <si>
    <t>○ Needs attention</t>
  </si>
  <si>
    <t>Cash goes negative in month 1. The school will need outside funding to continue operating.</t>
  </si>
  <si>
    <t>Secure a line of credit or bridge funding before operations begin.</t>
  </si>
  <si>
    <t>Staffing Burden</t>
  </si>
  <si>
    <t>Staffing at 24% of revenue leaves room for facilities, programs, and reserves.</t>
  </si>
  <si>
    <t>As you add staff, ensure staffing stays below 60% of revenue.</t>
  </si>
  <si>
    <t>Facility Burden</t>
  </si>
  <si>
    <t>Facility costs at 6% of revenue are well-managed and leave budget for programs.</t>
  </si>
  <si>
    <t>Watch for rent escalation clauses that could push this higher over time.</t>
  </si>
  <si>
    <t>Debt Affordability</t>
  </si>
  <si>
    <t>DSCR of 48.12x provides comfortable coverage of debt payments with room to spare.</t>
  </si>
  <si>
    <t>Maintain this ratio as you take on any additional debt.</t>
  </si>
  <si>
    <t>Revenue Concentration</t>
  </si>
  <si>
    <t>Revenue is anchored to enrollment-driven income — the strongest foundation for a school model. A focused revenue stream is a strength when backed by dependable demand.</t>
  </si>
  <si>
    <t>Continue to pressure-test enrollment assumptions: recruitment pipeline, waitlist depth, retention rates, and collection reliability.</t>
  </si>
  <si>
    <t>Reserve Strength</t>
  </si>
  <si>
    <t>23.8 months of reserves by Year 5 — a strong buffer for unexpected costs.</t>
  </si>
  <si>
    <t>Continue growing reserves toward 6 months for best-in-class financial health.</t>
  </si>
  <si>
    <t>6 Healthy  |  0 Watch  |  1 Needs Attention</t>
  </si>
  <si>
    <t>Built by SchoolStack Budget  •  budget.schoolstack.ai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</si>
</sst>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quot;$&quot;* #,##0_);_(&quot;$&quot;* (#,##0);_(&quot;$&quot;* &quot;-&quot;??_);_(@_)"/>
    <numFmt numFmtId="165" formatCode="0.0%;[Red](0.0%);&quot;-&quot;"/>
    <numFmt numFmtId="166" formatCode="0.0"/>
    <numFmt numFmtId="167" formatCode="#,##0;#,##0;&quot;-&quot;"/>
    <numFmt numFmtId="168" formatCode="0.0000"/>
    <numFmt numFmtId="169" formatCode="0.000"/>
    <numFmt numFmtId="170" formatCode="0.00x"/>
  </numFmts>
  <fonts count="23" x14ac:knownFonts="1">
    <font>
      <color theme="1"/>
      <family val="2"/>
      <scheme val="minor"/>
      <sz val="11"/>
      <name val="Calibri"/>
    </font>
    <font>
      <b/>
      <color rgb="FF1E293B"/>
      <sz val="24"/>
      <name val="Calibri"/>
    </font>
    <font>
      <b/>
      <color rgb="FF64748B"/>
      <sz val="16"/>
      <name val="Calibri"/>
    </font>
    <font>
      <color rgb="FF94A3B8"/>
      <sz val="11"/>
      <name val="Calibri"/>
    </font>
    <font>
      <b/>
      <color rgb="FF1E293B"/>
      <sz val="18"/>
      <name val="Calibri"/>
    </font>
    <font>
      <color rgb="FF64748B"/>
      <sz val="11"/>
      <name val="Calibri"/>
    </font>
    <font>
      <b/>
      <color rgb="FF1E293B"/>
      <sz val="11"/>
      <name val="Calibri"/>
    </font>
    <font>
      <sz val="11"/>
      <name val="Calibri"/>
    </font>
    <font>
      <b/>
      <sz val="11"/>
      <name val="Calibri"/>
    </font>
    <font>
      <b/>
      <color rgb="FF16A34A"/>
      <sz val="11"/>
      <name val="Calibri"/>
    </font>
    <font>
      <u/>
      <color rgb="FF2563EB"/>
      <sz val="11"/>
      <name val="Calibri"/>
    </font>
    <font>
      <i/>
      <color rgb="FF9CA3AF"/>
      <sz val="11"/>
      <name val="Calibri"/>
    </font>
    <font>
      <b/>
      <color rgb="FF1E293B"/>
      <sz val="14"/>
      <name val="Calibri"/>
    </font>
    <font>
      <i/>
      <color rgb="FF666666"/>
      <sz val="11"/>
      <name val="Calibri"/>
    </font>
    <font>
      <color rgb="FF1E3A5F"/>
      <sz val="11"/>
      <name val="Calibri"/>
    </font>
    <font>
      <color rgb="FF1E293B"/>
      <sz val="11"/>
      <name val="Calibri"/>
    </font>
    <font>
      <b/>
      <color rgb="FFFFFFFF"/>
      <sz val="11"/>
      <name val="Calibri"/>
    </font>
    <font>
      <b/>
      <color rgb="FF1E293B"/>
      <sz val="16"/>
      <name val="Calibri"/>
    </font>
    <font>
      <i/>
      <color rgb="FF888888"/>
      <sz val="11"/>
      <name val="Calibri"/>
    </font>
    <font>
      <b/>
      <color rgb="FFDC2626"/>
      <sz val="11"/>
      <name val="Calibri"/>
    </font>
    <font>
      <i/>
      <color rgb="FF6B7280"/>
      <sz val="11"/>
      <name val="Calibri"/>
    </font>
    <font>
      <i/>
      <color rgb="FF6B7280"/>
      <sz val="10"/>
      <name val="Calibri"/>
    </font>
    <font>
      <b/>
      <color rgb="FFD97706"/>
      <sz val="11"/>
      <name val="Calibri"/>
    </font>
  </fonts>
  <fills count="9">
    <fill>
      <patternFill patternType="none"/>
    </fill>
    <fill>
      <patternFill patternType="gray125"/>
    </fill>
    <fill>
      <patternFill patternType="solid">
        <fgColor rgb="FFE8EDF2"/>
      </patternFill>
    </fill>
    <fill>
      <patternFill patternType="solid">
        <fgColor rgb="FFE8F5E9"/>
      </patternFill>
    </fill>
    <fill>
      <patternFill patternType="solid">
        <fgColor rgb="FFDBEAFE"/>
      </patternFill>
    </fill>
    <fill>
      <patternFill patternType="solid">
        <fgColor rgb="FFFFFFFF"/>
      </patternFill>
    </fill>
    <fill>
      <patternFill patternType="solid">
        <fgColor rgb="FF1E293B"/>
      </patternFill>
    </fill>
    <fill>
      <patternFill patternType="solid">
        <fgColor rgb="FFFCE4EC"/>
      </patternFill>
    </fill>
    <fill>
      <patternFill patternType="solid">
        <fgColor rgb="FFFFF8E1"/>
      </patternFill>
    </fill>
  </fills>
  <borders count="6">
    <border>
      <left/>
      <right/>
      <top/>
      <bottom/>
      <diagonal/>
    </border>
    <border>
      <left/>
      <right/>
      <top/>
      <bottom style="medium">
        <color rgb="FFD97706"/>
      </bottom>
      <diagonal/>
    </border>
    <border>
      <left style="thin">
        <color rgb="FFD0D0D0"/>
      </left>
      <right style="thin">
        <color rgb="FFD0D0D0"/>
      </right>
      <top style="thin">
        <color rgb="FFD0D0D0"/>
      </top>
      <bottom style="thin">
        <color rgb="FFD0D0D0"/>
      </bottom>
      <diagonal/>
    </border>
    <border>
      <left/>
      <right/>
      <top/>
      <bottom style="thin">
        <color rgb="FF93C5FD"/>
      </bottom>
      <diagonal/>
    </border>
    <border>
      <left/>
      <right/>
      <top/>
      <bottom style="thin">
        <color rgb="FFD0D0D0"/>
      </bottom>
      <diagonal/>
    </border>
    <border>
      <left style="thin">
        <color rgb="FFD0D0D0"/>
      </left>
      <right style="thin">
        <color rgb="FFD0D0D0"/>
      </right>
      <top style="thin">
        <color rgb="FF1E293B"/>
      </top>
      <bottom style="double">
        <color rgb="FF1E293B"/>
      </bottom>
      <diagonal/>
    </border>
  </borders>
  <cellStyleXfs count="1">
    <xf numFmtId="0" fontId="0" fillId="0" borderId="0"/>
  </cellStyleXfs>
  <cellXfs count="81">
    <xf numFmtId="0" fontId="0" fillId="0" borderId="0" xfId="0"/>
    <xf numFmtId="0" fontId="1" fillId="0" borderId="0" xfId="0" applyFont="1"/>
    <xf numFmtId="0" fontId="2" fillId="0" borderId="0" xfId="0" applyFont="1"/>
    <xf numFmtId="0" fontId="0" fillId="0" borderId="1" xfId="0" applyBorder="1"/>
    <xf numFmtId="0" fontId="3" fillId="0" borderId="0" xfId="0" applyFont="1"/>
    <xf numFmtId="0" fontId="4" fillId="0" borderId="0" xfId="0" applyFont="1"/>
    <xf numFmtId="0" fontId="5" fillId="0" borderId="0" xfId="0" applyFont="1"/>
    <xf numFmtId="0" fontId="6" fillId="0" borderId="0" xfId="0" applyFont="1"/>
    <xf numFmtId="0" fontId="6" fillId="2" borderId="2" xfId="0" applyFont="1" applyFill="1" applyBorder="1"/>
    <xf numFmtId="0" fontId="7" fillId="0" borderId="2" xfId="0" applyFont="1" applyBorder="1"/>
    <xf numFmtId="164" fontId="8" fillId="0" borderId="2" xfId="0" applyNumberFormat="1" applyFont="1" applyBorder="1"/>
    <xf numFmtId="164" fontId="9" fillId="3" borderId="2" xfId="0" applyNumberFormat="1" applyFont="1" applyFill="1" applyBorder="1"/>
    <xf numFmtId="165" fontId="9" fillId="3" borderId="2" xfId="0" applyNumberFormat="1" applyFont="1" applyFill="1" applyBorder="1"/>
    <xf numFmtId="166" fontId="9" fillId="3" borderId="2" xfId="0" applyNumberFormat="1" applyFont="1" applyFill="1" applyBorder="1"/>
    <xf numFmtId="3" fontId="8" fillId="0" borderId="2" xfId="0" applyNumberFormat="1" applyFont="1" applyBorder="1"/>
    <xf numFmtId="0" fontId="10" fillId="0" borderId="2" xfId="0" applyFont="1" applyBorder="1"/>
    <xf numFmtId="0" fontId="0" fillId="0" borderId="2" xfId="0" applyBorder="1"/>
    <xf numFmtId="0" fontId="11" fillId="0" borderId="0" xfId="0" applyFont="1"/>
    <xf numFmtId="0" fontId="12" fillId="0" borderId="0" xfId="0" applyFont="1"/>
    <xf numFmtId="0" fontId="0" fillId="4" borderId="3" xfId="0" applyFill="1" applyBorder="1"/>
    <xf numFmtId="0" fontId="13" fillId="0" borderId="0" xfId="0" applyFont="1"/>
    <xf numFmtId="0" fontId="0" fillId="5" borderId="4" xfId="0" applyFill="1" applyBorder="1"/>
    <xf numFmtId="0" fontId="7" fillId="0" borderId="0" xfId="0" applyFont="1"/>
    <xf numFmtId="0" fontId="14" fillId="4" borderId="3" xfId="0" applyFont="1" applyFill="1" applyBorder="1"/>
    <xf numFmtId="167" fontId="14" fillId="4" borderId="3" xfId="0" applyNumberFormat="1" applyFont="1" applyFill="1" applyBorder="1"/>
    <xf numFmtId="165" fontId="14" fillId="4" borderId="3" xfId="0" applyNumberFormat="1" applyFont="1" applyFill="1" applyBorder="1"/>
    <xf numFmtId="2" fontId="14" fillId="4" borderId="3" xfId="0" applyNumberFormat="1" applyFont="1" applyFill="1" applyBorder="1"/>
    <xf numFmtId="0" fontId="15" fillId="0" borderId="0" xfId="0" applyFont="1"/>
    <xf numFmtId="0" fontId="16" fillId="6" borderId="2" xfId="0" applyFont="1" applyFill="1" applyBorder="1" applyAlignment="1">
      <alignment horizontal="center" vertical="center"/>
    </xf>
    <xf numFmtId="167" fontId="7" fillId="0" borderId="2" xfId="0" applyNumberFormat="1" applyFont="1" applyBorder="1"/>
    <xf numFmtId="164" fontId="7" fillId="0" borderId="2" xfId="0" applyNumberFormat="1" applyFont="1" applyBorder="1"/>
    <xf numFmtId="164" fontId="6" fillId="2" borderId="2" xfId="0" applyNumberFormat="1" applyFont="1" applyFill="1" applyBorder="1"/>
    <xf numFmtId="164" fontId="14" fillId="4" borderId="3" xfId="0" applyNumberFormat="1" applyFont="1" applyFill="1" applyBorder="1"/>
    <xf numFmtId="164" fontId="15" fillId="0" borderId="0" xfId="0" applyNumberFormat="1" applyFont="1"/>
    <xf numFmtId="0" fontId="8" fillId="0" borderId="0" xfId="0" applyFont="1"/>
    <xf numFmtId="164" fontId="7" fillId="0" borderId="0" xfId="0" applyNumberFormat="1" applyFont="1"/>
    <xf numFmtId="164" fontId="8" fillId="0" borderId="0" xfId="0" applyNumberFormat="1" applyFont="1"/>
    <xf numFmtId="168" fontId="7" fillId="0" borderId="2" xfId="0" applyNumberFormat="1" applyFont="1" applyBorder="1"/>
    <xf numFmtId="169" fontId="7" fillId="0" borderId="2" xfId="0" applyNumberFormat="1" applyFont="1" applyBorder="1"/>
    <xf numFmtId="166" fontId="7" fillId="0" borderId="2" xfId="0" applyNumberFormat="1" applyFont="1" applyBorder="1"/>
    <xf numFmtId="0" fontId="0" fillId="0" borderId="2" xfId="0" applyBorder="1" applyAlignment="1">
      <alignment horizontal="center"/>
    </xf>
    <xf numFmtId="0" fontId="9" fillId="0" borderId="2" xfId="0" applyFont="1" applyBorder="1" applyAlignment="1">
      <alignment horizontal="center"/>
    </xf>
    <xf numFmtId="0" fontId="17" fillId="0" borderId="0" xfId="0" applyFont="1"/>
    <xf numFmtId="0" fontId="18" fillId="0" borderId="0" xfId="0" applyFont="1"/>
    <xf numFmtId="165" fontId="7" fillId="0" borderId="2" xfId="0" applyNumberFormat="1" applyFont="1" applyBorder="1"/>
    <xf numFmtId="164" fontId="19" fillId="7" borderId="5" xfId="0" applyNumberFormat="1" applyFont="1" applyFill="1" applyBorder="1"/>
    <xf numFmtId="164" fontId="9" fillId="3" borderId="5" xfId="0" applyNumberFormat="1" applyFont="1" applyFill="1" applyBorder="1"/>
    <xf numFmtId="166" fontId="19" fillId="7" borderId="2" xfId="0" applyNumberFormat="1" applyFont="1" applyFill="1" applyBorder="1"/>
    <xf numFmtId="165" fontId="19" fillId="7" borderId="2" xfId="0" applyNumberFormat="1" applyFont="1" applyFill="1" applyBorder="1"/>
    <xf numFmtId="0" fontId="20" fillId="0" borderId="0" xfId="0" applyFont="1" applyAlignment="1">
      <alignment vertical="top" wrapText="1"/>
    </xf>
    <xf numFmtId="0" fontId="21" fillId="0" borderId="0" xfId="0" applyFont="1" applyAlignment="1">
      <alignment vertical="top" wrapText="1"/>
    </xf>
    <xf numFmtId="0" fontId="20" fillId="0" borderId="0" xfId="0" applyFont="1"/>
    <xf numFmtId="0" fontId="9" fillId="0" borderId="0" xfId="0" applyFont="1"/>
    <xf numFmtId="0" fontId="22" fillId="0" borderId="0" xfId="0" applyFont="1"/>
    <xf numFmtId="0" fontId="19" fillId="0" borderId="0" xfId="0" applyFont="1"/>
    <xf numFmtId="0" fontId="6" fillId="2" borderId="2" xfId="0" applyFont="1" applyFill="1" applyBorder="1" applyAlignment="1">
      <alignment horizontal="center"/>
    </xf>
    <xf numFmtId="167" fontId="7" fillId="0" borderId="2" xfId="0" applyNumberFormat="1" applyFont="1" applyBorder="1" applyAlignment="1">
      <alignment horizontal="right"/>
    </xf>
    <xf numFmtId="164" fontId="7" fillId="0" borderId="2" xfId="0" applyNumberFormat="1" applyFont="1" applyBorder="1" applyAlignment="1">
      <alignment horizontal="right"/>
    </xf>
    <xf numFmtId="0" fontId="8" fillId="0" borderId="2" xfId="0" applyFont="1" applyBorder="1"/>
    <xf numFmtId="164" fontId="8" fillId="7" borderId="5" xfId="0" applyNumberFormat="1" applyFont="1" applyFill="1" applyBorder="1" applyAlignment="1">
      <alignment horizontal="right"/>
    </xf>
    <xf numFmtId="164" fontId="8" fillId="3" borderId="5" xfId="0" applyNumberFormat="1" applyFont="1" applyFill="1" applyBorder="1" applyAlignment="1">
      <alignment horizontal="right"/>
    </xf>
    <xf numFmtId="165" fontId="8" fillId="7" borderId="5" xfId="0" applyNumberFormat="1" applyFont="1" applyFill="1" applyBorder="1" applyAlignment="1">
      <alignment horizontal="right"/>
    </xf>
    <xf numFmtId="165" fontId="8" fillId="3" borderId="5" xfId="0" applyNumberFormat="1" applyFont="1" applyFill="1" applyBorder="1" applyAlignment="1">
      <alignment horizontal="right"/>
    </xf>
    <xf numFmtId="164" fontId="7" fillId="3" borderId="2" xfId="0" applyNumberFormat="1" applyFont="1" applyFill="1" applyBorder="1" applyAlignment="1">
      <alignment horizontal="right"/>
    </xf>
    <xf numFmtId="0" fontId="20" fillId="0" borderId="2" xfId="0" applyFont="1" applyBorder="1"/>
    <xf numFmtId="164" fontId="8" fillId="0" borderId="2" xfId="0" applyNumberFormat="1" applyFont="1" applyBorder="1" applyAlignment="1">
      <alignment horizontal="right"/>
    </xf>
    <xf numFmtId="164" fontId="7" fillId="8" borderId="2" xfId="0" applyNumberFormat="1" applyFont="1" applyFill="1" applyBorder="1" applyAlignment="1">
      <alignment horizontal="right"/>
    </xf>
    <xf numFmtId="164" fontId="8" fillId="7" borderId="2" xfId="0" applyNumberFormat="1" applyFont="1" applyFill="1" applyBorder="1" applyAlignment="1">
      <alignment horizontal="right"/>
    </xf>
    <xf numFmtId="164" fontId="8" fillId="3" borderId="2" xfId="0" applyNumberFormat="1" applyFont="1" applyFill="1" applyBorder="1" applyAlignment="1">
      <alignment horizontal="right"/>
    </xf>
    <xf numFmtId="165" fontId="8" fillId="8" borderId="5" xfId="0" applyNumberFormat="1" applyFont="1" applyFill="1" applyBorder="1" applyAlignment="1">
      <alignment horizontal="right"/>
    </xf>
    <xf numFmtId="167" fontId="8" fillId="3" borderId="5" xfId="0" applyNumberFormat="1" applyFont="1" applyFill="1" applyBorder="1" applyAlignment="1">
      <alignment horizontal="right"/>
    </xf>
    <xf numFmtId="170" fontId="8" fillId="7" borderId="5" xfId="0" applyNumberFormat="1" applyFont="1" applyFill="1" applyBorder="1" applyAlignment="1">
      <alignment horizontal="right"/>
    </xf>
    <xf numFmtId="170" fontId="8" fillId="3" borderId="5" xfId="0" applyNumberFormat="1" applyFont="1" applyFill="1" applyBorder="1" applyAlignment="1">
      <alignment horizontal="right"/>
    </xf>
    <xf numFmtId="0" fontId="7" fillId="0" borderId="2" xfId="0" applyFont="1" applyBorder="1" applyAlignment="1">
      <alignment horizontal="center"/>
    </xf>
    <xf numFmtId="167" fontId="8" fillId="7" borderId="5" xfId="0" applyNumberFormat="1" applyFont="1" applyFill="1" applyBorder="1" applyAlignment="1">
      <alignment horizontal="right"/>
    </xf>
    <xf numFmtId="167" fontId="8" fillId="8" borderId="5" xfId="0" applyNumberFormat="1" applyFont="1" applyFill="1" applyBorder="1" applyAlignment="1">
      <alignment horizontal="right"/>
    </xf>
    <xf numFmtId="0" fontId="6" fillId="0" borderId="2" xfId="0" applyFont="1" applyBorder="1"/>
    <xf numFmtId="0" fontId="7" fillId="0" borderId="2" xfId="0" applyFont="1" applyBorder="1" applyAlignment="1">
      <alignment wrapText="1"/>
    </xf>
    <xf numFmtId="0" fontId="20" fillId="0" borderId="2" xfId="0" applyFont="1" applyBorder="1" applyAlignment="1">
      <alignment wrapText="1"/>
    </xf>
    <xf numFmtId="0" fontId="19" fillId="0" borderId="2" xfId="0" applyFont="1" applyBorder="1" applyAlignment="1">
      <alignment horizontal="center"/>
    </xf>
    <xf numFmtId="0" fontId="11" fillId="0" borderId="0" xfId="0" applyFont="1" applyAlignment="1">
      <alignment horizontal="center"/>
    </xf>
  </cellXfs>
  <cellStyles count="1">
    <cellStyle name="Normal" xfId="0" builtinId="0"/>
  </cellStyles>
  <dxfs count="24">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apos;Assumptions&apos;!A1" TargetMode="External"/><Relationship Id="rId2" Type="http://schemas.openxmlformats.org/officeDocument/2006/relationships/hyperlink" Target="#&apos;Revenue Schedule&apos;!A1" TargetMode="External"/><Relationship Id="rId3" Type="http://schemas.openxmlformats.org/officeDocument/2006/relationships/hyperlink" Target="#&apos;Staffing &amp; Personnel&apos;!A1" TargetMode="External"/><Relationship Id="rId4" Type="http://schemas.openxmlformats.org/officeDocument/2006/relationships/hyperlink" Target="#&apos;Operating Expenses&apos;!A1" TargetMode="External"/><Relationship Id="rId5" Type="http://schemas.openxmlformats.org/officeDocument/2006/relationships/hyperlink" Target="#&apos;Capital &amp; Debt&apos;!A1" TargetMode="External"/><Relationship Id="rId6" Type="http://schemas.openxmlformats.org/officeDocument/2006/relationships/hyperlink" Target="#&apos;Financial Model&apos;!A1" TargetMode="External"/><Relationship Id="rId7" Type="http://schemas.openxmlformats.org/officeDocument/2006/relationships/hyperlink" Target="#&apos;Summary&apos;!A1" TargetMode="External"/><Relationship Id="rId8" Type="http://schemas.openxmlformats.org/officeDocument/2006/relationships/hyperlink" Target="#&apos;Decision History&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3"/>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35" customWidth="1"/>
    <col min="2" max="2" width="25" customWidth="1"/>
  </cols>
  <sheetData>
    <row r="1" ht="32" customHeight="1" spans="1:2" x14ac:dyDescent="0.25">
      <c r="A1" s="18" t="s">
        <v>23</v>
      </c>
      <c r="B1" s="18"/>
    </row>
    <row r="2" spans="1:5" x14ac:dyDescent="0.25">
      <c r="A2" s="19" t="s">
        <v>24</v>
      </c>
      <c r="B2" s="20" t="s">
        <v>25</v>
      </c>
      <c r="D2" s="21" t="s">
        <v>24</v>
      </c>
      <c r="E2" s="20" t="s">
        <v>26</v>
      </c>
    </row>
    <row r="3" ht="24" customHeight="1" spans="1:2" x14ac:dyDescent="0.25">
      <c r="A3" s="8" t="s">
        <v>27</v>
      </c>
      <c r="B3" s="8"/>
    </row>
    <row r="4" spans="1:2" x14ac:dyDescent="0.25">
      <c r="A4" s="22" t="s">
        <v>28</v>
      </c>
      <c r="B4" s="23" t="s">
        <v>3</v>
      </c>
    </row>
    <row r="5" spans="1:2" x14ac:dyDescent="0.25">
      <c r="A5" s="22" t="s">
        <v>29</v>
      </c>
      <c r="B5" s="23" t="s">
        <v>30</v>
      </c>
    </row>
    <row r="6" spans="1:2" x14ac:dyDescent="0.25">
      <c r="A6" s="22" t="s">
        <v>31</v>
      </c>
      <c r="B6" s="23" t="s">
        <v>32</v>
      </c>
    </row>
    <row r="7" spans="1:2" x14ac:dyDescent="0.25">
      <c r="A7" s="22" t="s">
        <v>33</v>
      </c>
      <c r="B7" s="23" t="s">
        <v>34</v>
      </c>
    </row>
    <row r="8" spans="1:2" x14ac:dyDescent="0.25">
      <c r="A8" s="22" t="s">
        <v>35</v>
      </c>
      <c r="B8" s="23" t="s">
        <v>36</v>
      </c>
    </row>
    <row r="9" spans="1:2" x14ac:dyDescent="0.25">
      <c r="A9" s="22" t="s">
        <v>37</v>
      </c>
      <c r="B9" s="23" t="s">
        <v>38</v>
      </c>
    </row>
    <row r="10" spans="1:2" x14ac:dyDescent="0.25">
      <c r="A10" s="22" t="s">
        <v>39</v>
      </c>
      <c r="B10" s="23">
        <v>2026</v>
      </c>
    </row>
    <row r="11" spans="1:2" x14ac:dyDescent="0.25">
      <c r="A11" s="22" t="s">
        <v>40</v>
      </c>
      <c r="B11" s="23">
        <v>0</v>
      </c>
    </row>
    <row r="12" spans="1:2" x14ac:dyDescent="0.25">
      <c r="A12" s="22" t="s">
        <v>41</v>
      </c>
      <c r="B12" s="23">
        <v>400</v>
      </c>
    </row>
    <row r="13" spans="1:2" x14ac:dyDescent="0.25">
      <c r="A13" s="22" t="s">
        <v>42</v>
      </c>
      <c r="B13" s="23" t="s">
        <v>43</v>
      </c>
    </row>
    <row r="14" spans="1:2" x14ac:dyDescent="0.25">
      <c r="A14" s="22" t="s">
        <v>44</v>
      </c>
      <c r="B14" s="23" t="s">
        <v>24</v>
      </c>
    </row>
    <row r="15" spans="1:2" x14ac:dyDescent="0.25">
      <c r="A15" s="22" t="s">
        <v>45</v>
      </c>
      <c r="B15" s="23">
        <v>10</v>
      </c>
    </row>
    <row r="16" spans="1:2" x14ac:dyDescent="0.25">
      <c r="A16" s="22" t="s">
        <v>46</v>
      </c>
      <c r="B16" s="23" t="s">
        <v>47</v>
      </c>
    </row>
    <row r="17" spans="1:2" x14ac:dyDescent="0.25">
      <c r="A17" s="22" t="s">
        <v>48</v>
      </c>
      <c r="B17" s="23" t="s">
        <v>49</v>
      </c>
    </row>
    <row r="18" spans="1:2" x14ac:dyDescent="0.25">
      <c r="A18" s="22" t="s">
        <v>50</v>
      </c>
      <c r="B18" s="23" t="s">
        <v>51</v>
      </c>
    </row>
    <row r="19" spans="1:2" x14ac:dyDescent="0.25">
      <c r="A19" s="22" t="s">
        <v>52</v>
      </c>
      <c r="B19" s="23" t="s">
        <v>53</v>
      </c>
    </row>
    <row r="20" spans="1:2" x14ac:dyDescent="0.25">
      <c r="A20" s="22" t="s">
        <v>54</v>
      </c>
      <c r="B20" s="23" t="s">
        <v>55</v>
      </c>
    </row>
    <row r="22" ht="24" customHeight="1" spans="1:2" x14ac:dyDescent="0.25">
      <c r="A22" s="8" t="s">
        <v>56</v>
      </c>
      <c r="B22" s="8"/>
    </row>
    <row r="23" spans="1:2" x14ac:dyDescent="0.25">
      <c r="A23" s="22" t="s">
        <v>57</v>
      </c>
      <c r="B23" s="24">
        <v>120</v>
      </c>
    </row>
    <row r="24" spans="1:2" x14ac:dyDescent="0.25">
      <c r="A24" s="22" t="s">
        <v>58</v>
      </c>
      <c r="B24" s="24">
        <v>200</v>
      </c>
    </row>
    <row r="25" spans="1:2" x14ac:dyDescent="0.25">
      <c r="A25" s="22" t="s">
        <v>59</v>
      </c>
      <c r="B25" s="24">
        <v>300</v>
      </c>
    </row>
    <row r="26" spans="1:2" x14ac:dyDescent="0.25">
      <c r="A26" s="22" t="s">
        <v>60</v>
      </c>
      <c r="B26" s="24">
        <v>375</v>
      </c>
    </row>
    <row r="27" spans="1:2" x14ac:dyDescent="0.25">
      <c r="A27" s="22" t="s">
        <v>61</v>
      </c>
      <c r="B27" s="24">
        <v>400</v>
      </c>
    </row>
    <row r="29" ht="24" customHeight="1" spans="1:2" x14ac:dyDescent="0.25">
      <c r="A29" s="8" t="s">
        <v>62</v>
      </c>
      <c r="B29" s="8"/>
    </row>
    <row r="30" spans="1:2" x14ac:dyDescent="0.25">
      <c r="A30" s="22" t="s">
        <v>63</v>
      </c>
      <c r="B30" s="25">
        <v>0</v>
      </c>
    </row>
    <row r="31" spans="1:2" x14ac:dyDescent="0.25">
      <c r="A31" s="22" t="s">
        <v>64</v>
      </c>
      <c r="B31" s="25">
        <v>0</v>
      </c>
    </row>
    <row r="32" spans="1:2" x14ac:dyDescent="0.25">
      <c r="A32" s="22" t="s">
        <v>65</v>
      </c>
      <c r="B32" s="26">
        <v>0.8333333333333334</v>
      </c>
    </row>
    <row r="33" spans="1:2" x14ac:dyDescent="0.25">
      <c r="A33" s="22" t="s">
        <v>66</v>
      </c>
      <c r="B33" s="27" t="s">
        <v>67</v>
      </c>
    </row>
  </sheetData>
  <mergeCells count="1">
    <mergeCell ref="A1:B1"/>
  </mergeCells>
  <pageMargins left="0.7" right="0.7" top="0.75" bottom="0.75" header="0.3" footer="0.3"/>
  <pageSetup paperSize="1" orientation="portrait" horizontalDpi="4294967295" verticalDpi="4294967295" scale="100" fitToWidth="1" fitToHeight="0"/>
  <headerFooter>
    <oddHeader>&amp;L&amp;10&amp;BCivic Scholars Charter&amp;R&amp;8&amp;IAssumptions</oddHeader>
    <oddFooter>&amp;L&amp;8Built by SchoolStack Budget  •  budget.schoolstack.ai&amp;C&amp;8Page &amp;P of &amp;N&amp;R&amp;8&amp;D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42" customWidth="1"/>
    <col min="2" max="6" width="18" customWidth="1"/>
  </cols>
  <sheetData>
    <row r="1" ht="28" customHeight="1" spans="1:6" x14ac:dyDescent="0.25">
      <c r="A1" s="28" t="s">
        <v>24</v>
      </c>
      <c r="B1" s="28" t="s">
        <v>68</v>
      </c>
      <c r="C1" s="28" t="s">
        <v>69</v>
      </c>
      <c r="D1" s="28" t="s">
        <v>70</v>
      </c>
      <c r="E1" s="28" t="s">
        <v>71</v>
      </c>
      <c r="F1" s="28" t="s">
        <v>72</v>
      </c>
    </row>
    <row r="2" spans="1:6" x14ac:dyDescent="0.25">
      <c r="A2" s="22" t="s">
        <v>73</v>
      </c>
      <c r="B2" s="29">
        <f>Assumptions!B23</f>
        <v>120</v>
      </c>
      <c r="C2" s="29">
        <f>Assumptions!B24</f>
        <v>200</v>
      </c>
      <c r="D2" s="29">
        <f>Assumptions!B25</f>
        <v>300</v>
      </c>
      <c r="E2" s="29">
        <f>Assumptions!B26</f>
        <v>375</v>
      </c>
      <c r="F2" s="29">
        <f>Assumptions!B27</f>
        <v>400</v>
      </c>
    </row>
    <row r="3" ht="24" customHeight="1" spans="1:6" x14ac:dyDescent="0.25">
      <c r="A3" s="8" t="s">
        <v>74</v>
      </c>
      <c r="B3" s="8"/>
      <c r="C3" s="8"/>
      <c r="D3" s="8"/>
      <c r="E3" s="8"/>
      <c r="F3" s="8"/>
    </row>
    <row r="4" spans="1:6" x14ac:dyDescent="0.25">
      <c r="A4" s="22" t="s">
        <v>75</v>
      </c>
      <c r="B4" s="30">
        <f>9500*Assumptions!B23</f>
        <v>1140000</v>
      </c>
      <c r="C4" s="30">
        <f>9690*Assumptions!B24</f>
        <v>1938000</v>
      </c>
      <c r="D4" s="30">
        <f>9884*Assumptions!B25</f>
        <v>2965200</v>
      </c>
      <c r="E4" s="30">
        <f>10081*Assumptions!B26</f>
        <v>3780375</v>
      </c>
      <c r="F4" s="30">
        <f>10283*Assumptions!B27</f>
        <v>4113200</v>
      </c>
    </row>
    <row r="5" spans="1:6" x14ac:dyDescent="0.25">
      <c r="A5" s="22" t="s">
        <v>76</v>
      </c>
      <c r="B5" s="30">
        <f>800*Assumptions!B23</f>
        <v>96000</v>
      </c>
      <c r="C5" s="30">
        <f>816*Assumptions!B24</f>
        <v>163200</v>
      </c>
      <c r="D5" s="30">
        <f>832*Assumptions!B25</f>
        <v>249600</v>
      </c>
      <c r="E5" s="30">
        <f>849*Assumptions!B26</f>
        <v>318375</v>
      </c>
      <c r="F5" s="30">
        <f>866*Assumptions!B27</f>
        <v>346400</v>
      </c>
    </row>
    <row r="6" spans="1:6" x14ac:dyDescent="0.25">
      <c r="A6" s="22" t="s">
        <v>77</v>
      </c>
      <c r="B6" s="30">
        <f>1200*Assumptions!B23</f>
        <v>144000</v>
      </c>
      <c r="C6" s="30">
        <f>1224*Assumptions!B24</f>
        <v>244800</v>
      </c>
      <c r="D6" s="30">
        <f>1248*Assumptions!B25</f>
        <v>374400</v>
      </c>
      <c r="E6" s="30">
        <f>1273*Assumptions!B26</f>
        <v>477375</v>
      </c>
      <c r="F6" s="30">
        <f>1299*Assumptions!B27</f>
        <v>519600</v>
      </c>
    </row>
    <row r="7" ht="24" customHeight="1" spans="1:6" x14ac:dyDescent="0.25">
      <c r="A7" s="8" t="s">
        <v>78</v>
      </c>
      <c r="B7" s="31">
        <f>SUM(B4:B6)</f>
        <v>1380000</v>
      </c>
      <c r="C7" s="31">
        <f>SUM(C4:C6)</f>
        <v>2346000</v>
      </c>
      <c r="D7" s="31">
        <f>SUM(D4:D6)</f>
        <v>3589200</v>
      </c>
      <c r="E7" s="31">
        <f>SUM(E4:E6)</f>
        <v>4576125</v>
      </c>
      <c r="F7" s="31">
        <f>SUM(F4:F6)</f>
        <v>4979200</v>
      </c>
    </row>
    <row r="8" ht="24" customHeight="1" spans="1:6" x14ac:dyDescent="0.25">
      <c r="A8" s="8" t="s">
        <v>79</v>
      </c>
      <c r="B8" s="8"/>
      <c r="C8" s="8"/>
      <c r="D8" s="8"/>
      <c r="E8" s="8"/>
      <c r="F8" s="8"/>
    </row>
    <row r="9" spans="1:6" x14ac:dyDescent="0.25">
      <c r="A9" s="22" t="s">
        <v>80</v>
      </c>
      <c r="B9" s="30">
        <v>100000</v>
      </c>
      <c r="C9" s="30">
        <v>75000</v>
      </c>
      <c r="D9" s="30">
        <v>50000</v>
      </c>
      <c r="E9" s="30">
        <v>0</v>
      </c>
      <c r="F9" s="30">
        <v>0</v>
      </c>
    </row>
    <row r="10" spans="1:6" x14ac:dyDescent="0.25">
      <c r="A10" s="22" t="s">
        <v>81</v>
      </c>
      <c r="B10" s="30">
        <v>30000</v>
      </c>
      <c r="C10" s="30">
        <v>40000</v>
      </c>
      <c r="D10" s="30">
        <v>50000</v>
      </c>
      <c r="E10" s="30">
        <v>60000</v>
      </c>
      <c r="F10" s="30">
        <v>70000</v>
      </c>
    </row>
    <row r="11" ht="24" customHeight="1" spans="1:6" x14ac:dyDescent="0.25">
      <c r="A11" s="8" t="s">
        <v>82</v>
      </c>
      <c r="B11" s="31">
        <f>SUM(B9:B10)</f>
        <v>130000</v>
      </c>
      <c r="C11" s="31">
        <f>SUM(C9:C10)</f>
        <v>115000</v>
      </c>
      <c r="D11" s="31">
        <f>SUM(D9:D10)</f>
        <v>100000</v>
      </c>
      <c r="E11" s="31">
        <f>SUM(E9:E10)</f>
        <v>60000</v>
      </c>
      <c r="F11" s="31">
        <f>SUM(F9:F10)</f>
        <v>70000</v>
      </c>
    </row>
    <row r="12" ht="24" customHeight="1" spans="1:6" x14ac:dyDescent="0.25">
      <c r="A12" s="8" t="s">
        <v>83</v>
      </c>
      <c r="B12" s="8"/>
      <c r="C12" s="8"/>
      <c r="D12" s="8"/>
      <c r="E12" s="8"/>
      <c r="F12" s="8"/>
    </row>
    <row r="13" spans="1:6" x14ac:dyDescent="0.25">
      <c r="A13" s="22" t="s">
        <v>84</v>
      </c>
      <c r="B13" s="30">
        <f>300*Assumptions!B23</f>
        <v>36000</v>
      </c>
      <c r="C13" s="30">
        <f>309*Assumptions!B24</f>
        <v>61800</v>
      </c>
      <c r="D13" s="30">
        <f>318*Assumptions!B25</f>
        <v>95400</v>
      </c>
      <c r="E13" s="30">
        <f>328*Assumptions!B26</f>
        <v>123000</v>
      </c>
      <c r="F13" s="30">
        <f>338*Assumptions!B27</f>
        <v>135200</v>
      </c>
    </row>
    <row r="14" ht="24" customHeight="1" spans="1:6" x14ac:dyDescent="0.25">
      <c r="A14" s="8" t="s">
        <v>85</v>
      </c>
      <c r="B14" s="31">
        <f>SUM(B13:B13)</f>
        <v>36000</v>
      </c>
      <c r="C14" s="31">
        <f>SUM(C13:C13)</f>
        <v>61800</v>
      </c>
      <c r="D14" s="31">
        <f>SUM(D13:D13)</f>
        <v>95400</v>
      </c>
      <c r="E14" s="31">
        <f>SUM(E13:E13)</f>
        <v>123000</v>
      </c>
      <c r="F14" s="31">
        <f>SUM(F13:F13)</f>
        <v>135200</v>
      </c>
    </row>
    <row r="16" ht="24" customHeight="1" spans="1:6" x14ac:dyDescent="0.25">
      <c r="A16" s="8" t="s">
        <v>86</v>
      </c>
      <c r="B16" s="31">
        <f>B7+B11+B14</f>
        <v>1546000</v>
      </c>
      <c r="C16" s="31">
        <f>C7+C11+C14</f>
        <v>2522800</v>
      </c>
      <c r="D16" s="31">
        <f>D7+D11+D14</f>
        <v>3784600</v>
      </c>
      <c r="E16" s="31">
        <f>E7+E11+E14</f>
        <v>4759125</v>
      </c>
      <c r="F16" s="31">
        <f>F7+F11+F14</f>
        <v>5184400</v>
      </c>
    </row>
  </sheetData>
  <pageMargins left="0.25" right="0.25" top="0.5" bottom="0.5" header="0.3" footer="0.3"/>
  <pageSetup paperSize="1" orientation="landscape" horizontalDpi="4294967295" verticalDpi="4294967295" scale="100" fitToWidth="1" fitToHeight="0"/>
  <headerFooter>
    <oddHeader>&amp;L&amp;10&amp;BCivic Scholars Charter&amp;R&amp;8&amp;IRevenue Schedule</oddHeader>
    <oddFooter>&amp;L&amp;8Built by SchoolStack Budget  •  budget.schoolstack.ai&amp;C&amp;8Page &amp;P of &amp;N&amp;R&amp;8&amp;D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8"/>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30" customWidth="1"/>
    <col min="2" max="6" width="18" customWidth="1"/>
  </cols>
  <sheetData>
    <row r="1" ht="32" customHeight="1" spans="1:8" x14ac:dyDescent="0.25">
      <c r="A1" s="18" t="s">
        <v>87</v>
      </c>
      <c r="B1" s="18"/>
      <c r="C1" s="18"/>
      <c r="D1" s="18"/>
      <c r="E1" s="18"/>
      <c r="F1" s="18"/>
      <c r="G1" s="18"/>
      <c r="H1" s="18"/>
    </row>
    <row r="3" ht="28" customHeight="1" spans="1:8" x14ac:dyDescent="0.25">
      <c r="A3" s="28" t="s">
        <v>88</v>
      </c>
      <c r="B3" s="28" t="s">
        <v>89</v>
      </c>
      <c r="C3" s="28" t="s">
        <v>90</v>
      </c>
      <c r="D3" s="28" t="s">
        <v>91</v>
      </c>
      <c r="E3" s="28" t="s">
        <v>92</v>
      </c>
      <c r="F3" s="28" t="s">
        <v>93</v>
      </c>
      <c r="G3" s="28" t="s">
        <v>94</v>
      </c>
      <c r="H3" s="28" t="s">
        <v>95</v>
      </c>
    </row>
    <row r="4" spans="1:8" x14ac:dyDescent="0.25">
      <c r="A4" s="22" t="s">
        <v>96</v>
      </c>
      <c r="B4" s="22" t="s">
        <v>97</v>
      </c>
      <c r="C4" s="22" t="s">
        <v>98</v>
      </c>
      <c r="D4" s="26">
        <v>1</v>
      </c>
      <c r="E4" s="32">
        <v>110000</v>
      </c>
      <c r="F4" s="25">
        <v>0.28</v>
      </c>
      <c r="G4" s="25">
        <v>0.0765</v>
      </c>
      <c r="H4" s="33">
        <v>149215</v>
      </c>
    </row>
    <row r="5" spans="1:8" x14ac:dyDescent="0.25">
      <c r="A5" s="22" t="s">
        <v>99</v>
      </c>
      <c r="B5" s="22" t="s">
        <v>97</v>
      </c>
      <c r="C5" s="22" t="s">
        <v>98</v>
      </c>
      <c r="D5" s="26">
        <v>1</v>
      </c>
      <c r="E5" s="32">
        <v>90000</v>
      </c>
      <c r="F5" s="25">
        <v>0.28</v>
      </c>
      <c r="G5" s="25">
        <v>0.0765</v>
      </c>
      <c r="H5" s="33">
        <v>122085</v>
      </c>
    </row>
    <row r="6" spans="1:8" x14ac:dyDescent="0.25">
      <c r="A6" s="22" t="s">
        <v>100</v>
      </c>
      <c r="B6" s="22" t="s">
        <v>97</v>
      </c>
      <c r="C6" s="22" t="s">
        <v>98</v>
      </c>
      <c r="D6" s="26">
        <v>1</v>
      </c>
      <c r="E6" s="32">
        <v>72000</v>
      </c>
      <c r="F6" s="25">
        <v>0.28</v>
      </c>
      <c r="G6" s="25">
        <v>0.0765</v>
      </c>
      <c r="H6" s="33">
        <v>97668</v>
      </c>
    </row>
    <row r="7" spans="1:8" x14ac:dyDescent="0.25">
      <c r="A7" s="22" t="s">
        <v>101</v>
      </c>
      <c r="B7" s="22" t="s">
        <v>102</v>
      </c>
      <c r="C7" s="22" t="s">
        <v>98</v>
      </c>
      <c r="D7" s="26">
        <v>6</v>
      </c>
      <c r="E7" s="32">
        <v>52000</v>
      </c>
      <c r="F7" s="25">
        <v>0.28</v>
      </c>
      <c r="G7" s="25">
        <v>0.0765</v>
      </c>
      <c r="H7" s="33">
        <v>423228</v>
      </c>
    </row>
    <row r="8" spans="1:8" x14ac:dyDescent="0.25">
      <c r="A8" s="22" t="s">
        <v>103</v>
      </c>
      <c r="B8" s="22" t="s">
        <v>102</v>
      </c>
      <c r="C8" s="22" t="s">
        <v>98</v>
      </c>
      <c r="D8" s="26">
        <v>1</v>
      </c>
      <c r="E8" s="32">
        <v>55000</v>
      </c>
      <c r="F8" s="25">
        <v>0.28</v>
      </c>
      <c r="G8" s="25">
        <v>0.0765</v>
      </c>
      <c r="H8" s="33">
        <v>74607.5</v>
      </c>
    </row>
    <row r="9" spans="1:8" x14ac:dyDescent="0.25">
      <c r="A9" s="22" t="s">
        <v>104</v>
      </c>
      <c r="B9" s="22" t="s">
        <v>102</v>
      </c>
      <c r="C9" s="22" t="s">
        <v>98</v>
      </c>
      <c r="D9" s="26">
        <v>3</v>
      </c>
      <c r="E9" s="32">
        <v>30000</v>
      </c>
      <c r="F9" s="25">
        <v>0.2</v>
      </c>
      <c r="G9" s="25">
        <v>0.0765</v>
      </c>
      <c r="H9" s="33">
        <v>114885</v>
      </c>
    </row>
    <row r="10" spans="1:8" x14ac:dyDescent="0.25">
      <c r="A10" s="22" t="s">
        <v>105</v>
      </c>
      <c r="B10" s="22" t="s">
        <v>106</v>
      </c>
      <c r="C10" s="22" t="s">
        <v>98</v>
      </c>
      <c r="D10" s="26">
        <v>1</v>
      </c>
      <c r="E10" s="32">
        <v>55000</v>
      </c>
      <c r="F10" s="25">
        <v>0.28</v>
      </c>
      <c r="G10" s="25">
        <v>0.0765</v>
      </c>
      <c r="H10" s="33">
        <v>74607.5</v>
      </c>
    </row>
    <row r="11" spans="1:8" x14ac:dyDescent="0.25">
      <c r="A11" s="22" t="s">
        <v>107</v>
      </c>
      <c r="B11" s="22" t="s">
        <v>108</v>
      </c>
      <c r="C11" s="22" t="s">
        <v>98</v>
      </c>
      <c r="D11" s="26">
        <v>1</v>
      </c>
      <c r="E11" s="32">
        <v>55000</v>
      </c>
      <c r="F11" s="25">
        <v>0.28</v>
      </c>
      <c r="G11" s="25">
        <v>0.0765</v>
      </c>
      <c r="H11" s="33">
        <v>74607.5</v>
      </c>
    </row>
    <row r="12" spans="1:8" x14ac:dyDescent="0.25">
      <c r="A12" s="22" t="s">
        <v>109</v>
      </c>
      <c r="B12" s="22" t="s">
        <v>110</v>
      </c>
      <c r="C12" s="22" t="s">
        <v>98</v>
      </c>
      <c r="D12" s="26">
        <v>2</v>
      </c>
      <c r="E12" s="32">
        <v>38000</v>
      </c>
      <c r="F12" s="25">
        <v>0.25</v>
      </c>
      <c r="G12" s="25">
        <v>0.0765</v>
      </c>
      <c r="H12" s="33">
        <v>100814</v>
      </c>
    </row>
    <row r="14" ht="24" customHeight="1" spans="1:8" x14ac:dyDescent="0.25">
      <c r="A14" s="8" t="s">
        <v>111</v>
      </c>
      <c r="B14" s="8"/>
      <c r="C14" s="8"/>
      <c r="D14" s="8"/>
      <c r="E14" s="8"/>
      <c r="F14" s="8"/>
      <c r="G14" s="8"/>
      <c r="H14" s="8"/>
    </row>
    <row r="15" spans="1:2" x14ac:dyDescent="0.25">
      <c r="A15" s="22" t="s">
        <v>112</v>
      </c>
      <c r="B15" s="34">
        <v>9</v>
      </c>
    </row>
    <row r="16" spans="1:2" x14ac:dyDescent="0.25">
      <c r="A16" s="22" t="s">
        <v>113</v>
      </c>
      <c r="B16" s="34">
        <v>17</v>
      </c>
    </row>
    <row r="17" spans="1:2" x14ac:dyDescent="0.25">
      <c r="A17" s="22" t="s">
        <v>114</v>
      </c>
      <c r="B17" s="35">
        <v>915000</v>
      </c>
    </row>
    <row r="18" spans="1:2" x14ac:dyDescent="0.25">
      <c r="A18" s="22" t="s">
        <v>115</v>
      </c>
      <c r="B18" s="35">
        <v>246720</v>
      </c>
    </row>
    <row r="19" spans="1:2" x14ac:dyDescent="0.25">
      <c r="A19" s="22" t="s">
        <v>116</v>
      </c>
      <c r="B19" s="35">
        <v>69998</v>
      </c>
    </row>
    <row r="20" spans="1:2" x14ac:dyDescent="0.25">
      <c r="A20" s="22" t="s">
        <v>117</v>
      </c>
      <c r="B20" s="35">
        <v>0</v>
      </c>
    </row>
    <row r="21" spans="1:2" x14ac:dyDescent="0.25">
      <c r="A21" s="34" t="s">
        <v>118</v>
      </c>
      <c r="B21" s="36">
        <v>1231718</v>
      </c>
    </row>
    <row r="23" ht="24" customHeight="1" spans="1:6" x14ac:dyDescent="0.25">
      <c r="A23" s="8" t="s">
        <v>119</v>
      </c>
      <c r="B23" s="8"/>
      <c r="C23" s="8"/>
      <c r="D23" s="8"/>
      <c r="E23" s="8"/>
      <c r="F23" s="8"/>
    </row>
    <row r="24" ht="28" customHeight="1" spans="1:6" x14ac:dyDescent="0.25">
      <c r="A24" s="28" t="s">
        <v>24</v>
      </c>
      <c r="B24" s="28" t="s">
        <v>68</v>
      </c>
      <c r="C24" s="28" t="s">
        <v>69</v>
      </c>
      <c r="D24" s="28" t="s">
        <v>70</v>
      </c>
      <c r="E24" s="28" t="s">
        <v>71</v>
      </c>
      <c r="F24" s="28" t="s">
        <v>72</v>
      </c>
    </row>
    <row r="25" spans="1:6" x14ac:dyDescent="0.25">
      <c r="A25" s="22" t="s">
        <v>120</v>
      </c>
      <c r="B25" s="30">
        <v>1231718</v>
      </c>
      <c r="C25" s="30">
        <v>1231718</v>
      </c>
      <c r="D25" s="30">
        <v>1231718</v>
      </c>
      <c r="E25" s="30">
        <v>1231718</v>
      </c>
      <c r="F25" s="30">
        <v>1231718</v>
      </c>
    </row>
    <row r="26" spans="1:6" x14ac:dyDescent="0.25">
      <c r="A26" s="22" t="s">
        <v>121</v>
      </c>
      <c r="B26" s="37">
        <f>(1+Assumptions!B30)^0</f>
        <v>1</v>
      </c>
      <c r="C26" s="37">
        <f>(1+Assumptions!B30)^1</f>
        <v>1</v>
      </c>
      <c r="D26" s="37">
        <f>(1+Assumptions!B30)^2</f>
        <v>1</v>
      </c>
      <c r="E26" s="37">
        <f>(1+Assumptions!B30)^3</f>
        <v>1</v>
      </c>
      <c r="F26" s="37">
        <f>(1+Assumptions!B30)^4</f>
        <v>1</v>
      </c>
    </row>
    <row r="27" spans="1:6" x14ac:dyDescent="0.25">
      <c r="A27" s="22" t="s">
        <v>122</v>
      </c>
      <c r="B27" s="38">
        <f>Assumptions!B32</f>
        <v>0.8333333333333334</v>
      </c>
      <c r="C27" s="38">
        <v>1</v>
      </c>
      <c r="D27" s="38">
        <v>1</v>
      </c>
      <c r="E27" s="38">
        <v>1</v>
      </c>
      <c r="F27" s="38">
        <v>1</v>
      </c>
    </row>
    <row r="28" ht="24" customHeight="1" spans="1:6" x14ac:dyDescent="0.25">
      <c r="A28" s="8" t="s">
        <v>123</v>
      </c>
      <c r="B28" s="31">
        <f>B25*B26*B27</f>
        <v>1026431</v>
      </c>
      <c r="C28" s="31">
        <f>C25*C26*C27</f>
        <v>1231718</v>
      </c>
      <c r="D28" s="31">
        <f>D25*D26*D27</f>
        <v>1231718</v>
      </c>
      <c r="E28" s="31">
        <f>E25*E26*E27</f>
        <v>1231718</v>
      </c>
      <c r="F28" s="31">
        <f>F25*F26*F27</f>
        <v>1231718</v>
      </c>
    </row>
  </sheetData>
  <mergeCells count="1">
    <mergeCell ref="A1:H1"/>
  </mergeCells>
  <pageMargins left="0.7" right="0.7" top="0.75" bottom="0.75" header="0.3" footer="0.3"/>
  <pageSetup paperSize="1" orientation="portrait" horizontalDpi="4294967295" verticalDpi="4294967295" scale="100" fitToWidth="1" fitToHeight="0"/>
  <headerFooter>
    <oddHeader>&amp;L&amp;10&amp;BCivic Scholars Charter&amp;R&amp;8&amp;IStaffing &amp; Personnel</oddHeader>
    <oddFooter>&amp;L&amp;8Built by SchoolStack Budget  •  budget.schoolstack.ai&amp;C&amp;8Page &amp;P of &amp;N&amp;R&amp;8&amp;D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3"/>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42" customWidth="1"/>
    <col min="2" max="6" width="18" customWidth="1"/>
  </cols>
  <sheetData>
    <row r="1" ht="28" customHeight="1" spans="1:6" x14ac:dyDescent="0.25">
      <c r="A1" s="28" t="s">
        <v>24</v>
      </c>
      <c r="B1" s="28" t="s">
        <v>68</v>
      </c>
      <c r="C1" s="28" t="s">
        <v>69</v>
      </c>
      <c r="D1" s="28" t="s">
        <v>70</v>
      </c>
      <c r="E1" s="28" t="s">
        <v>71</v>
      </c>
      <c r="F1" s="28" t="s">
        <v>72</v>
      </c>
    </row>
    <row r="2" spans="1:6" x14ac:dyDescent="0.25">
      <c r="A2" s="22" t="s">
        <v>73</v>
      </c>
      <c r="B2" s="29">
        <f>Assumptions!B23</f>
        <v>120</v>
      </c>
      <c r="C2" s="29">
        <f>Assumptions!B24</f>
        <v>200</v>
      </c>
      <c r="D2" s="29">
        <f>Assumptions!B25</f>
        <v>300</v>
      </c>
      <c r="E2" s="29">
        <f>Assumptions!B26</f>
        <v>375</v>
      </c>
      <c r="F2" s="29">
        <f>Assumptions!B27</f>
        <v>400</v>
      </c>
    </row>
    <row r="3" ht="24" customHeight="1" spans="1:6" x14ac:dyDescent="0.25">
      <c r="A3" s="8" t="s">
        <v>124</v>
      </c>
      <c r="B3" s="8"/>
      <c r="C3" s="8"/>
      <c r="D3" s="8"/>
      <c r="E3" s="8"/>
      <c r="F3" s="8"/>
    </row>
    <row r="4" spans="1:6" x14ac:dyDescent="0.25">
      <c r="A4" s="22" t="s">
        <v>125</v>
      </c>
      <c r="B4" s="30">
        <f>700*Assumptions!B23</f>
        <v>84000</v>
      </c>
      <c r="C4" s="30">
        <f>721*Assumptions!B24</f>
        <v>144200</v>
      </c>
      <c r="D4" s="30">
        <f>743*Assumptions!B25</f>
        <v>222900</v>
      </c>
      <c r="E4" s="30">
        <f>765*Assumptions!B26</f>
        <v>286875</v>
      </c>
      <c r="F4" s="30">
        <f>788*Assumptions!B27</f>
        <v>315200</v>
      </c>
    </row>
    <row r="5" ht="24" customHeight="1" spans="1:6" x14ac:dyDescent="0.25">
      <c r="A5" s="8" t="s">
        <v>126</v>
      </c>
      <c r="B5" s="31">
        <f>SUM(B4:B4)</f>
        <v>84000</v>
      </c>
      <c r="C5" s="31">
        <f>SUM(C4:C4)</f>
        <v>144200</v>
      </c>
      <c r="D5" s="31">
        <f>SUM(D4:D4)</f>
        <v>222900</v>
      </c>
      <c r="E5" s="31">
        <f>SUM(E4:E4)</f>
        <v>286875</v>
      </c>
      <c r="F5" s="31">
        <f>SUM(F4:F4)</f>
        <v>315200</v>
      </c>
    </row>
    <row r="6" ht="24" customHeight="1" spans="1:6" x14ac:dyDescent="0.25">
      <c r="A6" s="8" t="s">
        <v>127</v>
      </c>
      <c r="B6" s="8"/>
      <c r="C6" s="8"/>
      <c r="D6" s="8"/>
      <c r="E6" s="8"/>
      <c r="F6" s="8"/>
    </row>
    <row r="7" spans="1:6" x14ac:dyDescent="0.25">
      <c r="A7" s="22" t="s">
        <v>128</v>
      </c>
      <c r="B7" s="30">
        <f>500*Assumptions!B23</f>
        <v>60000</v>
      </c>
      <c r="C7" s="30">
        <f>515*Assumptions!B24</f>
        <v>103000</v>
      </c>
      <c r="D7" s="30">
        <f>530*Assumptions!B25</f>
        <v>159000</v>
      </c>
      <c r="E7" s="30">
        <f>546*Assumptions!B26</f>
        <v>204750</v>
      </c>
      <c r="F7" s="30">
        <f>562*Assumptions!B27</f>
        <v>224800</v>
      </c>
    </row>
    <row r="8" ht="24" customHeight="1" spans="1:6" x14ac:dyDescent="0.25">
      <c r="A8" s="8" t="s">
        <v>129</v>
      </c>
      <c r="B8" s="31">
        <f>SUM(B7:B7)</f>
        <v>60000</v>
      </c>
      <c r="C8" s="31">
        <f>SUM(C7:C7)</f>
        <v>103000</v>
      </c>
      <c r="D8" s="31">
        <f>SUM(D7:D7)</f>
        <v>159000</v>
      </c>
      <c r="E8" s="31">
        <f>SUM(E7:E7)</f>
        <v>204750</v>
      </c>
      <c r="F8" s="31">
        <f>SUM(F7:F7)</f>
        <v>224800</v>
      </c>
    </row>
    <row r="9" ht="24" customHeight="1" spans="1:6" x14ac:dyDescent="0.25">
      <c r="A9" s="8" t="s">
        <v>130</v>
      </c>
      <c r="B9" s="8"/>
      <c r="C9" s="8"/>
      <c r="D9" s="8"/>
      <c r="E9" s="8"/>
      <c r="F9" s="8"/>
    </row>
    <row r="10" spans="1:6" x14ac:dyDescent="0.25">
      <c r="A10" s="22" t="s">
        <v>131</v>
      </c>
      <c r="B10" s="30">
        <f>18000*12</f>
        <v>216000</v>
      </c>
      <c r="C10" s="30">
        <f>18540*12</f>
        <v>222480</v>
      </c>
      <c r="D10" s="30">
        <f>19096*12</f>
        <v>229152</v>
      </c>
      <c r="E10" s="30">
        <f>19669*12</f>
        <v>236028</v>
      </c>
      <c r="F10" s="30">
        <f>20259*12</f>
        <v>243108</v>
      </c>
    </row>
    <row r="11" spans="1:6" x14ac:dyDescent="0.25">
      <c r="A11" s="22" t="s">
        <v>132</v>
      </c>
      <c r="B11" s="30">
        <f>2500*12</f>
        <v>30000</v>
      </c>
      <c r="C11" s="30">
        <f>2575*12</f>
        <v>30900</v>
      </c>
      <c r="D11" s="30">
        <f>2652*12</f>
        <v>31824</v>
      </c>
      <c r="E11" s="30">
        <f>2732*12</f>
        <v>32784</v>
      </c>
      <c r="F11" s="30">
        <f>2814*12</f>
        <v>33768</v>
      </c>
    </row>
    <row r="12" spans="1:6" x14ac:dyDescent="0.25">
      <c r="A12" s="22" t="s">
        <v>133</v>
      </c>
      <c r="B12" s="30">
        <v>18000</v>
      </c>
      <c r="C12" s="30">
        <v>18540</v>
      </c>
      <c r="D12" s="30">
        <v>19096</v>
      </c>
      <c r="E12" s="30">
        <v>19669</v>
      </c>
      <c r="F12" s="30">
        <v>20259</v>
      </c>
    </row>
    <row r="13" spans="1:6" x14ac:dyDescent="0.25">
      <c r="A13" s="22" t="s">
        <v>134</v>
      </c>
      <c r="B13" s="30">
        <f>1500*12</f>
        <v>18000</v>
      </c>
      <c r="C13" s="30">
        <f>1545*12</f>
        <v>18540</v>
      </c>
      <c r="D13" s="30">
        <f>1591*12</f>
        <v>19092</v>
      </c>
      <c r="E13" s="30">
        <f>1639*12</f>
        <v>19668</v>
      </c>
      <c r="F13" s="30">
        <f>1688*12</f>
        <v>20256</v>
      </c>
    </row>
    <row r="14" ht="24" customHeight="1" spans="1:6" x14ac:dyDescent="0.25">
      <c r="A14" s="8" t="s">
        <v>135</v>
      </c>
      <c r="B14" s="31">
        <f>SUM(B10:B13)</f>
        <v>282000</v>
      </c>
      <c r="C14" s="31">
        <f>SUM(C10:C13)</f>
        <v>290460</v>
      </c>
      <c r="D14" s="31">
        <f>SUM(D10:D13)</f>
        <v>299164</v>
      </c>
      <c r="E14" s="31">
        <f>SUM(E10:E13)</f>
        <v>308149</v>
      </c>
      <c r="F14" s="31">
        <f>SUM(F10:F13)</f>
        <v>317391</v>
      </c>
    </row>
    <row r="15" ht="24" customHeight="1" spans="1:6" x14ac:dyDescent="0.25">
      <c r="A15" s="8" t="s">
        <v>136</v>
      </c>
      <c r="B15" s="8"/>
      <c r="C15" s="8"/>
      <c r="D15" s="8"/>
      <c r="E15" s="8"/>
      <c r="F15" s="8"/>
    </row>
    <row r="16" spans="1:6" x14ac:dyDescent="0.25">
      <c r="A16" s="22" t="s">
        <v>137</v>
      </c>
      <c r="B16" s="30">
        <v>25000</v>
      </c>
      <c r="C16" s="30">
        <v>25750</v>
      </c>
      <c r="D16" s="30">
        <v>26523</v>
      </c>
      <c r="E16" s="30">
        <v>27318</v>
      </c>
      <c r="F16" s="30">
        <v>28138</v>
      </c>
    </row>
    <row r="17" spans="1:6" x14ac:dyDescent="0.25">
      <c r="A17" s="22" t="s">
        <v>138</v>
      </c>
      <c r="B17" s="30">
        <v>15000</v>
      </c>
      <c r="C17" s="30">
        <v>15450</v>
      </c>
      <c r="D17" s="30">
        <v>15914</v>
      </c>
      <c r="E17" s="30">
        <v>16391</v>
      </c>
      <c r="F17" s="30">
        <v>16883</v>
      </c>
    </row>
    <row r="18" spans="1:6" x14ac:dyDescent="0.25">
      <c r="A18" s="22" t="s">
        <v>139</v>
      </c>
      <c r="B18" s="30">
        <v>20000</v>
      </c>
      <c r="C18" s="30">
        <v>20600</v>
      </c>
      <c r="D18" s="30">
        <v>21218</v>
      </c>
      <c r="E18" s="30">
        <v>21855</v>
      </c>
      <c r="F18" s="30">
        <v>22510</v>
      </c>
    </row>
    <row r="19" spans="1:6" x14ac:dyDescent="0.25">
      <c r="A19" s="22" t="s">
        <v>140</v>
      </c>
      <c r="B19" s="30">
        <f>800*Assumptions!B23</f>
        <v>96000</v>
      </c>
      <c r="C19" s="30">
        <f>824*Assumptions!B24</f>
        <v>164800</v>
      </c>
      <c r="D19" s="30">
        <f>849*Assumptions!B25</f>
        <v>254700</v>
      </c>
      <c r="E19" s="30">
        <f>874*Assumptions!B26</f>
        <v>327750</v>
      </c>
      <c r="F19" s="30">
        <f>900*Assumptions!B27</f>
        <v>360000</v>
      </c>
    </row>
    <row r="20" spans="1:6" x14ac:dyDescent="0.25">
      <c r="A20" s="22" t="s">
        <v>141</v>
      </c>
      <c r="B20" s="30">
        <f>600*Assumptions!B23</f>
        <v>72000</v>
      </c>
      <c r="C20" s="30">
        <f>618*Assumptions!B24</f>
        <v>123600</v>
      </c>
      <c r="D20" s="30">
        <f>637*Assumptions!B25</f>
        <v>191100</v>
      </c>
      <c r="E20" s="30">
        <f>656*Assumptions!B26</f>
        <v>246000</v>
      </c>
      <c r="F20" s="30">
        <f>675*Assumptions!B27</f>
        <v>270000</v>
      </c>
    </row>
    <row r="21" ht="24" customHeight="1" spans="1:6" x14ac:dyDescent="0.25">
      <c r="A21" s="8" t="s">
        <v>142</v>
      </c>
      <c r="B21" s="31">
        <f>SUM(B16:B20)</f>
        <v>228000</v>
      </c>
      <c r="C21" s="31">
        <f>SUM(C16:C20)</f>
        <v>350200</v>
      </c>
      <c r="D21" s="31">
        <f>SUM(D16:D20)</f>
        <v>509455</v>
      </c>
      <c r="E21" s="31">
        <f>SUM(E16:E20)</f>
        <v>639314</v>
      </c>
      <c r="F21" s="31">
        <f>SUM(F16:F20)</f>
        <v>697531</v>
      </c>
    </row>
    <row r="23" ht="24" customHeight="1" spans="1:6" x14ac:dyDescent="0.25">
      <c r="A23" s="8" t="s">
        <v>143</v>
      </c>
      <c r="B23" s="31">
        <f>B5+B8+B14+B21</f>
        <v>654000</v>
      </c>
      <c r="C23" s="31">
        <f>C5+C8+C14+C21</f>
        <v>887860</v>
      </c>
      <c r="D23" s="31">
        <f>D5+D8+D14+D21</f>
        <v>1190519</v>
      </c>
      <c r="E23" s="31">
        <f>E5+E8+E14+E21</f>
        <v>1439088</v>
      </c>
      <c r="F23" s="31">
        <f>F5+F8+F14+F21</f>
        <v>1554922</v>
      </c>
    </row>
  </sheetData>
  <pageMargins left="0.25" right="0.25" top="0.5" bottom="0.5" header="0.3" footer="0.3"/>
  <pageSetup paperSize="1" orientation="landscape" horizontalDpi="4294967295" verticalDpi="4294967295" scale="100" fitToWidth="1" fitToHeight="0"/>
  <headerFooter>
    <oddHeader>&amp;L&amp;10&amp;BCivic Scholars Charter&amp;R&amp;8&amp;IOperating Expenses</oddHeader>
    <oddFooter>&amp;L&amp;8Built by SchoolStack Budget  •  budget.schoolstack.ai&amp;C&amp;8Page &amp;P of &amp;N&amp;R&amp;8&amp;D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42" customWidth="1"/>
    <col min="2" max="6" width="18" customWidth="1"/>
  </cols>
  <sheetData>
    <row r="1" ht="28" customHeight="1" spans="1:6" x14ac:dyDescent="0.25">
      <c r="A1" s="28" t="s">
        <v>24</v>
      </c>
      <c r="B1" s="28" t="s">
        <v>68</v>
      </c>
      <c r="C1" s="28" t="s">
        <v>69</v>
      </c>
      <c r="D1" s="28" t="s">
        <v>70</v>
      </c>
      <c r="E1" s="28" t="s">
        <v>71</v>
      </c>
      <c r="F1" s="28" t="s">
        <v>72</v>
      </c>
    </row>
    <row r="2" ht="24" customHeight="1" spans="1:6" x14ac:dyDescent="0.25">
      <c r="A2" s="8" t="s">
        <v>144</v>
      </c>
      <c r="B2" s="8"/>
      <c r="C2" s="8"/>
      <c r="D2" s="8"/>
      <c r="E2" s="8"/>
      <c r="F2" s="8"/>
    </row>
    <row r="3" spans="1:6" x14ac:dyDescent="0.25">
      <c r="A3" s="22" t="s">
        <v>145</v>
      </c>
      <c r="B3" s="30">
        <v>49824.605221179416</v>
      </c>
      <c r="C3" s="30">
        <v>49824.605221179416</v>
      </c>
      <c r="D3" s="30">
        <v>49824.605221179416</v>
      </c>
      <c r="E3" s="30">
        <v>49824.605221179416</v>
      </c>
      <c r="F3" s="30">
        <v>49824.605221179416</v>
      </c>
    </row>
    <row r="4" spans="1:6" x14ac:dyDescent="0.25">
      <c r="A4" s="22" t="s">
        <v>146</v>
      </c>
      <c r="B4" s="30">
        <v>75000</v>
      </c>
      <c r="C4" s="30">
        <v>25000</v>
      </c>
      <c r="D4" s="30">
        <v>30000</v>
      </c>
      <c r="E4" s="30">
        <v>15000</v>
      </c>
      <c r="F4" s="30">
        <v>10000</v>
      </c>
    </row>
    <row r="5" spans="1:6" x14ac:dyDescent="0.25">
      <c r="A5" s="22" t="s">
        <v>147</v>
      </c>
      <c r="B5" s="30">
        <v>40000</v>
      </c>
      <c r="C5" s="30">
        <v>15000</v>
      </c>
      <c r="D5" s="30">
        <v>10000</v>
      </c>
      <c r="E5" s="30">
        <v>10000</v>
      </c>
      <c r="F5" s="30">
        <v>10000</v>
      </c>
    </row>
    <row r="6" ht="24" customHeight="1" spans="1:6" x14ac:dyDescent="0.25">
      <c r="A6" s="8" t="s">
        <v>148</v>
      </c>
      <c r="B6" s="31">
        <f>SUM(B3:B5)</f>
        <v>164825</v>
      </c>
      <c r="C6" s="31">
        <f>SUM(C3:C5)</f>
        <v>89825</v>
      </c>
      <c r="D6" s="31">
        <f>SUM(D3:D5)</f>
        <v>89825</v>
      </c>
      <c r="E6" s="31">
        <f>SUM(E3:E5)</f>
        <v>74825</v>
      </c>
      <c r="F6" s="31">
        <f>SUM(F3:F5)</f>
        <v>69825</v>
      </c>
    </row>
  </sheetData>
  <pageMargins left="0.25" right="0.25" top="0.5" bottom="0.5" header="0.3" footer="0.3"/>
  <pageSetup paperSize="1" orientation="landscape" horizontalDpi="4294967295" verticalDpi="4294967295" scale="100" fitToWidth="1" fitToHeight="0"/>
  <headerFooter>
    <oddHeader>&amp;L&amp;10&amp;BCivic Scholars Charter&amp;R&amp;8&amp;ICapital &amp; Debt</oddHeader>
    <oddFooter>&amp;L&amp;8Built by SchoolStack Budget  •  budget.schoolstack.ai&amp;C&amp;8Page &amp;P of &amp;N&amp;R&amp;8&amp;D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35" customWidth="1"/>
    <col min="2" max="6" width="18" customWidth="1"/>
  </cols>
  <sheetData>
    <row r="1" ht="28" customHeight="1" spans="1:6" x14ac:dyDescent="0.25">
      <c r="A1" s="28" t="s">
        <v>1</v>
      </c>
      <c r="B1" s="28" t="s">
        <v>68</v>
      </c>
      <c r="C1" s="28" t="s">
        <v>69</v>
      </c>
      <c r="D1" s="28" t="s">
        <v>70</v>
      </c>
      <c r="E1" s="28" t="s">
        <v>71</v>
      </c>
      <c r="F1" s="28" t="s">
        <v>72</v>
      </c>
    </row>
    <row r="2" spans="1:6" x14ac:dyDescent="0.25">
      <c r="A2" s="22" t="s">
        <v>149</v>
      </c>
      <c r="B2" s="30">
        <f>'Revenue Schedule'!B16</f>
        <v>1546000</v>
      </c>
      <c r="C2" s="30">
        <f>'Revenue Schedule'!C16</f>
        <v>2522800</v>
      </c>
      <c r="D2" s="30">
        <f>'Revenue Schedule'!D16</f>
        <v>3784600</v>
      </c>
      <c r="E2" s="30">
        <f>'Revenue Schedule'!E16</f>
        <v>4759125</v>
      </c>
      <c r="F2" s="30">
        <f>'Revenue Schedule'!F16</f>
        <v>5184400</v>
      </c>
    </row>
    <row r="3" spans="1:6" x14ac:dyDescent="0.25">
      <c r="A3" s="22" t="s">
        <v>150</v>
      </c>
      <c r="B3" s="30">
        <f>'Staffing &amp; Personnel'!B28</f>
        <v>1026431</v>
      </c>
      <c r="C3" s="30">
        <f>'Staffing &amp; Personnel'!C28</f>
        <v>1231718</v>
      </c>
      <c r="D3" s="30">
        <f>'Staffing &amp; Personnel'!D28</f>
        <v>1231718</v>
      </c>
      <c r="E3" s="30">
        <f>'Staffing &amp; Personnel'!E28</f>
        <v>1231718</v>
      </c>
      <c r="F3" s="30">
        <f>'Staffing &amp; Personnel'!F28</f>
        <v>1231718</v>
      </c>
    </row>
    <row r="4" spans="1:6" x14ac:dyDescent="0.25">
      <c r="A4" s="22" t="s">
        <v>17</v>
      </c>
      <c r="B4" s="30">
        <f>'Operating Expenses'!B23</f>
        <v>654000</v>
      </c>
      <c r="C4" s="30">
        <f>'Operating Expenses'!C23</f>
        <v>887860</v>
      </c>
      <c r="D4" s="30">
        <f>'Operating Expenses'!D23</f>
        <v>1190519</v>
      </c>
      <c r="E4" s="30">
        <f>'Operating Expenses'!E23</f>
        <v>1439088</v>
      </c>
      <c r="F4" s="30">
        <f>'Operating Expenses'!F23</f>
        <v>1554922</v>
      </c>
    </row>
    <row r="5" spans="1:6" x14ac:dyDescent="0.25">
      <c r="A5" s="22" t="s">
        <v>18</v>
      </c>
      <c r="B5" s="30">
        <f>'Capital &amp; Debt'!B6</f>
        <v>164825</v>
      </c>
      <c r="C5" s="30">
        <f>'Capital &amp; Debt'!C6</f>
        <v>89825</v>
      </c>
      <c r="D5" s="30">
        <f>'Capital &amp; Debt'!D6</f>
        <v>89825</v>
      </c>
      <c r="E5" s="30">
        <f>'Capital &amp; Debt'!E6</f>
        <v>74825</v>
      </c>
      <c r="F5" s="30">
        <f>'Capital &amp; Debt'!F6</f>
        <v>69825</v>
      </c>
    </row>
    <row r="6" ht="24" customHeight="1" spans="1:6" x14ac:dyDescent="0.25">
      <c r="A6" s="8" t="s">
        <v>151</v>
      </c>
      <c r="B6" s="31">
        <f>B3+B4+B5</f>
        <v>1845256</v>
      </c>
      <c r="C6" s="31">
        <f>C3+C4+C5</f>
        <v>2209403</v>
      </c>
      <c r="D6" s="31">
        <f>D3+D4+D5</f>
        <v>2512062</v>
      </c>
      <c r="E6" s="31">
        <f>E3+E4+E5</f>
        <v>2745631</v>
      </c>
      <c r="F6" s="31">
        <f>F3+F4+F5</f>
        <v>2856465</v>
      </c>
    </row>
    <row r="7" ht="24" customHeight="1" spans="1:6" x14ac:dyDescent="0.25">
      <c r="A7" s="8" t="s">
        <v>152</v>
      </c>
      <c r="B7" s="31">
        <f>B2-B6</f>
        <v>-299256</v>
      </c>
      <c r="C7" s="31">
        <f>C2-C6</f>
        <v>313397</v>
      </c>
      <c r="D7" s="31">
        <f>D2-D6</f>
        <v>1272538</v>
      </c>
      <c r="E7" s="31">
        <f>E2-E6</f>
        <v>2013494</v>
      </c>
      <c r="F7" s="31">
        <f>F2-F6</f>
        <v>2327935</v>
      </c>
    </row>
    <row r="8" spans="1:6" x14ac:dyDescent="0.25">
      <c r="A8" s="22" t="s">
        <v>153</v>
      </c>
      <c r="B8" s="30">
        <f>B7</f>
        <v>-299256</v>
      </c>
      <c r="C8" s="30">
        <f>B8+C7</f>
        <v>14141</v>
      </c>
      <c r="D8" s="30">
        <f>C8+D7</f>
        <v>1286679</v>
      </c>
      <c r="E8" s="30">
        <f>D8+E7</f>
        <v>3300173</v>
      </c>
      <c r="F8" s="30">
        <f>E8+F7</f>
        <v>5628108</v>
      </c>
    </row>
    <row r="9" spans="1:6" x14ac:dyDescent="0.25">
      <c r="A9" s="22" t="s">
        <v>11</v>
      </c>
      <c r="B9" s="39" t="str">
        <f>IF(B6=0,0,IF(B8&gt;0,B8/(B6/12),0))</f>
        <v>0</v>
      </c>
      <c r="C9" s="39">
        <f>IF(C6=0,0,IF(C8&gt;0,C8/(C6/12),0))</f>
        <v>0.0768044580368543</v>
      </c>
      <c r="D9" s="39">
        <f>IF(D6=0,0,IF(D8&gt;0,D8/(D6/12),0))</f>
        <v>6.146404029836844</v>
      </c>
      <c r="E9" s="39">
        <f>IF(E6=0,0,IF(E8&gt;0,E8/(E6/12),0))</f>
        <v>14.42367018729028</v>
      </c>
      <c r="F9" s="39">
        <f>IF(F6=0,0,IF(F8&gt;0,F8/(F6/12),0))</f>
        <v>23.643663059060763</v>
      </c>
    </row>
    <row r="10" spans="1:6" x14ac:dyDescent="0.25">
      <c r="A10" s="34" t="s">
        <v>154</v>
      </c>
      <c r="B10" s="40" t="s">
        <v>24</v>
      </c>
      <c r="C10" s="41" t="s">
        <v>155</v>
      </c>
      <c r="D10" s="40" t="s">
        <v>24</v>
      </c>
      <c r="E10" s="40" t="s">
        <v>24</v>
      </c>
      <c r="F10" s="40" t="s">
        <v>24</v>
      </c>
    </row>
  </sheetData>
  <pageMargins left="0.7" right="0.7" top="0.75" bottom="0.75" header="0.3" footer="0.3"/>
  <pageSetup paperSize="1" orientation="portrait" horizontalDpi="4294967295" verticalDpi="4294967295" scale="100" fitToWidth="1" fitToHeight="0"/>
  <headerFooter>
    <oddHeader>&amp;L&amp;10&amp;BCivic Scholars Charter&amp;R&amp;8&amp;IFinancial Model</oddHeader>
    <oddFooter>&amp;L&amp;8Built by SchoolStack Budget  •  budget.schoolstack.ai&amp;C&amp;8Page &amp;P of &amp;N&amp;R&amp;8&amp;D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8"/>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35" customWidth="1"/>
    <col min="2" max="6" width="18" customWidth="1"/>
  </cols>
  <sheetData>
    <row r="1" ht="36" customHeight="1" spans="1:6" x14ac:dyDescent="0.25">
      <c r="A1" s="42" t="s">
        <v>156</v>
      </c>
      <c r="B1" s="42"/>
      <c r="C1" s="42"/>
      <c r="D1" s="42"/>
      <c r="E1" s="42"/>
      <c r="F1" s="42"/>
    </row>
    <row r="2" spans="1:1" x14ac:dyDescent="0.25">
      <c r="A2" s="43" t="s">
        <v>157</v>
      </c>
    </row>
    <row r="4" ht="24" customHeight="1" spans="1:6" x14ac:dyDescent="0.25">
      <c r="A4" s="8" t="s">
        <v>27</v>
      </c>
      <c r="B4" s="8"/>
      <c r="C4" s="8"/>
      <c r="D4" s="8"/>
      <c r="E4" s="8"/>
      <c r="F4" s="8"/>
    </row>
    <row r="5" spans="1:2" x14ac:dyDescent="0.25">
      <c r="A5" s="22" t="s">
        <v>28</v>
      </c>
      <c r="B5" s="34" t="s">
        <v>3</v>
      </c>
    </row>
    <row r="6" spans="1:2" x14ac:dyDescent="0.25">
      <c r="A6" s="22" t="s">
        <v>31</v>
      </c>
      <c r="B6" s="34" t="s">
        <v>32</v>
      </c>
    </row>
    <row r="7" spans="1:2" x14ac:dyDescent="0.25">
      <c r="A7" s="22" t="s">
        <v>33</v>
      </c>
      <c r="B7" s="34" t="s">
        <v>34</v>
      </c>
    </row>
    <row r="8" spans="1:2" x14ac:dyDescent="0.25">
      <c r="A8" s="22" t="s">
        <v>35</v>
      </c>
      <c r="B8" s="34" t="s">
        <v>36</v>
      </c>
    </row>
    <row r="9" spans="1:2" x14ac:dyDescent="0.25">
      <c r="A9" s="22" t="s">
        <v>37</v>
      </c>
      <c r="B9" s="34" t="s">
        <v>38</v>
      </c>
    </row>
    <row r="10" spans="1:2" x14ac:dyDescent="0.25">
      <c r="A10" s="22" t="s">
        <v>29</v>
      </c>
      <c r="B10" s="34" t="s">
        <v>30</v>
      </c>
    </row>
    <row r="11" spans="1:2" x14ac:dyDescent="0.25">
      <c r="A11" s="22" t="s">
        <v>42</v>
      </c>
      <c r="B11" s="34" t="s">
        <v>43</v>
      </c>
    </row>
    <row r="12" spans="1:2" x14ac:dyDescent="0.25">
      <c r="A12" s="22" t="s">
        <v>44</v>
      </c>
      <c r="B12" s="34" t="s">
        <v>24</v>
      </c>
    </row>
    <row r="13" spans="1:2" x14ac:dyDescent="0.25">
      <c r="A13" s="22" t="s">
        <v>41</v>
      </c>
      <c r="B13" s="34" t="s">
        <v>158</v>
      </c>
    </row>
    <row r="15" ht="24" customHeight="1" spans="1:6" x14ac:dyDescent="0.25">
      <c r="A15" s="8" t="s">
        <v>159</v>
      </c>
      <c r="B15" s="8"/>
      <c r="C15" s="8"/>
      <c r="D15" s="8"/>
      <c r="E15" s="8"/>
      <c r="F15" s="8"/>
    </row>
    <row r="16" ht="28" customHeight="1" spans="1:6" x14ac:dyDescent="0.25">
      <c r="A16" s="28" t="s">
        <v>24</v>
      </c>
      <c r="B16" s="28" t="s">
        <v>68</v>
      </c>
      <c r="C16" s="28" t="s">
        <v>69</v>
      </c>
      <c r="D16" s="28" t="s">
        <v>70</v>
      </c>
      <c r="E16" s="28" t="s">
        <v>71</v>
      </c>
      <c r="F16" s="28" t="s">
        <v>72</v>
      </c>
    </row>
    <row r="17" spans="1:6" x14ac:dyDescent="0.25">
      <c r="A17" s="22" t="s">
        <v>73</v>
      </c>
      <c r="B17" s="29">
        <f>'Revenue Schedule'!B2</f>
        <v>120</v>
      </c>
      <c r="C17" s="29">
        <f>'Revenue Schedule'!C2</f>
        <v>200</v>
      </c>
      <c r="D17" s="29">
        <f>'Revenue Schedule'!D2</f>
        <v>300</v>
      </c>
      <c r="E17" s="29">
        <f>'Revenue Schedule'!E2</f>
        <v>375</v>
      </c>
      <c r="F17" s="29">
        <f>'Revenue Schedule'!F2</f>
        <v>400</v>
      </c>
    </row>
    <row r="18" spans="1:6" x14ac:dyDescent="0.25">
      <c r="A18" s="22" t="s">
        <v>160</v>
      </c>
      <c r="B18" s="9" t="s">
        <v>161</v>
      </c>
      <c r="C18" s="44">
        <f>IF(B17=0,0,(C17-B17)/B17)</f>
        <v>0.6666666666666666</v>
      </c>
      <c r="D18" s="44">
        <f>IF(C17=0,0,(D17-C17)/C17)</f>
        <v>0.5</v>
      </c>
      <c r="E18" s="44">
        <f>IF(D17=0,0,(E17-D17)/D17)</f>
        <v>0.25</v>
      </c>
      <c r="F18" s="44">
        <f>IF(E17=0,0,(F17-E17)/E17)</f>
        <v>0.06666666666666667</v>
      </c>
    </row>
    <row r="20" ht="28" customHeight="1" spans="1:6" x14ac:dyDescent="0.25">
      <c r="A20" s="28" t="s">
        <v>24</v>
      </c>
      <c r="B20" s="28" t="s">
        <v>68</v>
      </c>
      <c r="C20" s="28" t="s">
        <v>69</v>
      </c>
      <c r="D20" s="28" t="s">
        <v>70</v>
      </c>
      <c r="E20" s="28" t="s">
        <v>71</v>
      </c>
      <c r="F20" s="28" t="s">
        <v>72</v>
      </c>
    </row>
    <row r="21" spans="1:6" x14ac:dyDescent="0.25">
      <c r="A21" s="22" t="s">
        <v>149</v>
      </c>
      <c r="B21" s="30">
        <f>'Financial Model'!B2</f>
        <v>1546000</v>
      </c>
      <c r="C21" s="30">
        <f>'Financial Model'!C2</f>
        <v>2522800</v>
      </c>
      <c r="D21" s="30">
        <f>'Financial Model'!D2</f>
        <v>3784600</v>
      </c>
      <c r="E21" s="30">
        <f>'Financial Model'!E2</f>
        <v>4759125</v>
      </c>
      <c r="F21" s="30">
        <f>'Financial Model'!F2</f>
        <v>5184400</v>
      </c>
    </row>
    <row r="22" spans="1:6" x14ac:dyDescent="0.25">
      <c r="A22" s="22" t="s">
        <v>150</v>
      </c>
      <c r="B22" s="30">
        <f>'Financial Model'!B3</f>
        <v>1026431</v>
      </c>
      <c r="C22" s="30">
        <f>'Financial Model'!C3</f>
        <v>1231718</v>
      </c>
      <c r="D22" s="30">
        <f>'Financial Model'!D3</f>
        <v>1231718</v>
      </c>
      <c r="E22" s="30">
        <f>'Financial Model'!E3</f>
        <v>1231718</v>
      </c>
      <c r="F22" s="30">
        <f>'Financial Model'!F3</f>
        <v>1231718</v>
      </c>
    </row>
    <row r="23" spans="1:6" x14ac:dyDescent="0.25">
      <c r="A23" s="22" t="s">
        <v>17</v>
      </c>
      <c r="B23" s="30">
        <f>'Financial Model'!B4</f>
        <v>654000</v>
      </c>
      <c r="C23" s="30">
        <f>'Financial Model'!C4</f>
        <v>887860</v>
      </c>
      <c r="D23" s="30">
        <f>'Financial Model'!D4</f>
        <v>1190519</v>
      </c>
      <c r="E23" s="30">
        <f>'Financial Model'!E4</f>
        <v>1439088</v>
      </c>
      <c r="F23" s="30">
        <f>'Financial Model'!F4</f>
        <v>1554922</v>
      </c>
    </row>
    <row r="24" ht="24" customHeight="1" spans="1:6" x14ac:dyDescent="0.25">
      <c r="A24" s="8" t="s">
        <v>151</v>
      </c>
      <c r="B24" s="31">
        <f>'Financial Model'!B6</f>
        <v>1845256</v>
      </c>
      <c r="C24" s="31">
        <f>'Financial Model'!C6</f>
        <v>2209403</v>
      </c>
      <c r="D24" s="31">
        <f>'Financial Model'!D6</f>
        <v>2512062</v>
      </c>
      <c r="E24" s="31">
        <f>'Financial Model'!E6</f>
        <v>2745631</v>
      </c>
      <c r="F24" s="31">
        <f>'Financial Model'!F6</f>
        <v>2856465</v>
      </c>
    </row>
    <row r="25" spans="1:6" x14ac:dyDescent="0.25">
      <c r="A25" s="34" t="s">
        <v>152</v>
      </c>
      <c r="B25" s="45">
        <f>'Financial Model'!B7</f>
        <v>-299256</v>
      </c>
      <c r="C25" s="46">
        <f>'Financial Model'!C7</f>
        <v>313397</v>
      </c>
      <c r="D25" s="46">
        <f>'Financial Model'!D7</f>
        <v>1272538</v>
      </c>
      <c r="E25" s="46">
        <f>'Financial Model'!E7</f>
        <v>2013494</v>
      </c>
      <c r="F25" s="46">
        <f>'Financial Model'!F7</f>
        <v>2327935</v>
      </c>
    </row>
    <row r="26" spans="1:6" x14ac:dyDescent="0.25">
      <c r="A26" s="22" t="s">
        <v>153</v>
      </c>
      <c r="B26" s="30">
        <f>'Financial Model'!B8</f>
        <v>-299256</v>
      </c>
      <c r="C26" s="30">
        <f>'Financial Model'!C8</f>
        <v>14141</v>
      </c>
      <c r="D26" s="30">
        <f>'Financial Model'!D8</f>
        <v>1286679</v>
      </c>
      <c r="E26" s="30">
        <f>'Financial Model'!E8</f>
        <v>3300173</v>
      </c>
      <c r="F26" s="30">
        <f>'Financial Model'!F8</f>
        <v>5628108</v>
      </c>
    </row>
    <row r="27" spans="1:6" x14ac:dyDescent="0.25">
      <c r="A27" s="34" t="s">
        <v>11</v>
      </c>
      <c r="B27" s="47" t="str">
        <f>'Financial Model'!B9</f>
        <v>0</v>
      </c>
      <c r="C27" s="47">
        <f>'Financial Model'!C9</f>
        <v>0.0768044580368543</v>
      </c>
      <c r="D27" s="13">
        <f>'Financial Model'!D9</f>
        <v>6.146404029836844</v>
      </c>
      <c r="E27" s="13">
        <f>'Financial Model'!E9</f>
        <v>14.42367018729028</v>
      </c>
      <c r="F27" s="13">
        <f>'Financial Model'!F9</f>
        <v>23.643663059060763</v>
      </c>
    </row>
    <row r="29" ht="24" customHeight="1" spans="1:6" x14ac:dyDescent="0.25">
      <c r="A29" s="8" t="s">
        <v>162</v>
      </c>
      <c r="B29" s="8"/>
      <c r="C29" s="8"/>
      <c r="D29" s="8"/>
      <c r="E29" s="8"/>
      <c r="F29" s="8"/>
    </row>
    <row r="30" spans="1:6" x14ac:dyDescent="0.25">
      <c r="A30" s="22" t="s">
        <v>163</v>
      </c>
      <c r="B30" s="30">
        <f>IF('Revenue Schedule'!B2=0,0,B21/'Revenue Schedule'!B2)</f>
        <v>12883.333333333334</v>
      </c>
      <c r="C30" s="30">
        <f>IF('Revenue Schedule'!C2=0,0,C21/'Revenue Schedule'!C2)</f>
        <v>12614</v>
      </c>
      <c r="D30" s="30">
        <f>IF('Revenue Schedule'!D2=0,0,D21/'Revenue Schedule'!D2)</f>
        <v>12615.333333333334</v>
      </c>
      <c r="E30" s="30">
        <f>IF('Revenue Schedule'!E2=0,0,E21/'Revenue Schedule'!E2)</f>
        <v>12691</v>
      </c>
      <c r="F30" s="30">
        <f>IF('Revenue Schedule'!F2=0,0,F21/'Revenue Schedule'!F2)</f>
        <v>12961</v>
      </c>
    </row>
    <row r="31" spans="1:6" x14ac:dyDescent="0.25">
      <c r="A31" s="22" t="s">
        <v>164</v>
      </c>
      <c r="B31" s="44">
        <f>IF(B21=0,0,'Financial Model'!B3/B21)</f>
        <v>0.6639269081500647</v>
      </c>
      <c r="C31" s="44">
        <f>IF(C21=0,0,'Financial Model'!C3/C21)</f>
        <v>0.4882345013477089</v>
      </c>
      <c r="D31" s="44">
        <f>IF(D21=0,0,'Financial Model'!D3/D21)</f>
        <v>0.3254552660783174</v>
      </c>
      <c r="E31" s="44">
        <f>IF(E21=0,0,'Financial Model'!E3/E21)</f>
        <v>0.25881186142410634</v>
      </c>
      <c r="F31" s="44">
        <f>IF(F21=0,0,'Financial Model'!F3/F21)</f>
        <v>0.23758159092662604</v>
      </c>
    </row>
    <row r="32" spans="1:6" x14ac:dyDescent="0.25">
      <c r="A32" s="22" t="s">
        <v>165</v>
      </c>
      <c r="B32" s="44">
        <f>IF(B21=0,0,'Financial Model'!B4/B21)</f>
        <v>0.4230271668822768</v>
      </c>
      <c r="C32" s="44">
        <f>IF(C21=0,0,'Financial Model'!C4/C21)</f>
        <v>0.35193435864912004</v>
      </c>
      <c r="D32" s="44">
        <f>IF(D21=0,0,'Financial Model'!D4/D21)</f>
        <v>0.31456930719230564</v>
      </c>
      <c r="E32" s="44">
        <f>IF(E21=0,0,'Financial Model'!E4/E21)</f>
        <v>0.3023849972421401</v>
      </c>
      <c r="F32" s="44">
        <f>IF(F21=0,0,'Financial Model'!F4/F21)</f>
        <v>0.299923231232158</v>
      </c>
    </row>
    <row r="33" spans="1:6" x14ac:dyDescent="0.25">
      <c r="A33" s="34" t="s">
        <v>166</v>
      </c>
      <c r="B33" s="48">
        <f>IF(B21=0,0,B25/B21)</f>
        <v>-0.1935679172056921</v>
      </c>
      <c r="C33" s="12">
        <f>IF(C21=0,0,C25/C21)</f>
        <v>0.12422586015538291</v>
      </c>
      <c r="D33" s="12">
        <f>IF(D21=0,0,D25/D21)</f>
        <v>0.3362410822808223</v>
      </c>
      <c r="E33" s="12">
        <f>IF(E21=0,0,E25/E21)</f>
        <v>0.42308071336642766</v>
      </c>
      <c r="F33" s="12">
        <f>IF(F21=0,0,F25/F21)</f>
        <v>0.4490268883573798</v>
      </c>
    </row>
    <row r="35" ht="24" customHeight="1" spans="1:6" x14ac:dyDescent="0.25">
      <c r="A35" s="8" t="s">
        <v>167</v>
      </c>
      <c r="B35" s="8"/>
      <c r="C35" s="8"/>
      <c r="D35" s="8"/>
      <c r="E35" s="8"/>
      <c r="F35" s="8"/>
    </row>
    <row r="36" spans="1:6" x14ac:dyDescent="0.25">
      <c r="A36" s="22" t="s">
        <v>168</v>
      </c>
      <c r="B36" s="44">
        <v>0.02328589909443726</v>
      </c>
      <c r="C36" s="44">
        <v>0.024496591089265895</v>
      </c>
      <c r="D36" s="44">
        <v>0.025207419542355863</v>
      </c>
      <c r="E36" s="44">
        <v>0.025845087069576864</v>
      </c>
      <c r="F36" s="44">
        <v>0.026078234704112337</v>
      </c>
    </row>
    <row r="37" spans="1:6" x14ac:dyDescent="0.25">
      <c r="A37" s="22" t="s">
        <v>169</v>
      </c>
      <c r="B37" s="44">
        <v>0.8926261319534282</v>
      </c>
      <c r="C37" s="44">
        <v>0.9299191374663073</v>
      </c>
      <c r="D37" s="44">
        <v>0.9483697088199545</v>
      </c>
      <c r="E37" s="44">
        <v>0.9615475533842881</v>
      </c>
      <c r="F37" s="44">
        <v>0.9604197207005633</v>
      </c>
    </row>
    <row r="38" spans="1:6" x14ac:dyDescent="0.25">
      <c r="A38" s="22" t="s">
        <v>170</v>
      </c>
      <c r="B38" s="44">
        <v>0.08408796895213454</v>
      </c>
      <c r="C38" s="44">
        <v>0.045584271444426824</v>
      </c>
      <c r="D38" s="44">
        <v>0.026422871637689586</v>
      </c>
      <c r="E38" s="44">
        <v>0.012607359546135056</v>
      </c>
      <c r="F38" s="44">
        <v>0.013502044595324435</v>
      </c>
    </row>
  </sheetData>
  <mergeCells count="1">
    <mergeCell ref="A1:F1"/>
  </mergeCells>
  <pageMargins left="0.7" right="0.7" top="0.75" bottom="0.75" header="0.3" footer="0.3"/>
  <pageSetup paperSize="1" orientation="portrait" horizontalDpi="4294967295" verticalDpi="4294967295" scale="100" fitToWidth="1" fitToHeight="0"/>
  <headerFooter>
    <oddHeader>&amp;L&amp;10&amp;BCivic Scholars Charter&amp;R&amp;8&amp;ISummary</oddHeader>
    <oddFooter>&amp;L&amp;8Built by SchoolStack Budget  •  budget.schoolstack.ai&amp;C&amp;8Page &amp;P of &amp;N&amp;R&amp;8&amp;D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1:H4"/>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3" customWidth="1"/>
    <col min="2" max="2" width="30" customWidth="1"/>
    <col min="3" max="3" width="22" customWidth="1"/>
    <col min="4" max="4" width="14" customWidth="1"/>
    <col min="5" max="5" width="30" customWidth="1"/>
    <col min="6" max="6" width="18" customWidth="1"/>
    <col min="7" max="7" width="38" customWidth="1"/>
    <col min="8" max="8" width="50" customWidth="1"/>
  </cols>
  <sheetData>
    <row r="1" ht="24" customHeight="1" spans="2:8" x14ac:dyDescent="0.25">
      <c r="B1" s="18" t="s">
        <v>21</v>
      </c>
      <c r="C1" s="18"/>
      <c r="D1" s="18"/>
      <c r="E1" s="18"/>
      <c r="F1" s="18"/>
      <c r="G1" s="18"/>
      <c r="H1" s="18"/>
    </row>
    <row r="2" ht="60" customHeight="1" spans="2:8" x14ac:dyDescent="0.25">
      <c r="B2" s="49" t="s">
        <v>171</v>
      </c>
      <c r="C2" s="49"/>
      <c r="D2" s="49"/>
      <c r="E2" s="49"/>
      <c r="F2" s="49"/>
      <c r="G2" s="49"/>
      <c r="H2" s="49"/>
    </row>
    <row r="4" ht="30" customHeight="1" spans="2:8" x14ac:dyDescent="0.25">
      <c r="B4" s="50" t="s">
        <v>172</v>
      </c>
      <c r="C4" s="50"/>
      <c r="D4" s="50"/>
      <c r="E4" s="50"/>
      <c r="F4" s="50"/>
      <c r="G4" s="50"/>
      <c r="H4" s="50"/>
    </row>
  </sheetData>
  <mergeCells count="3">
    <mergeCell ref="B1:H1"/>
    <mergeCell ref="B2:H2"/>
    <mergeCell ref="B4:H4"/>
  </mergeCells>
  <pageMargins left="0.5" right="0.5" top="0.75" bottom="0.75" header="0.3" footer="0.3"/>
  <pageSetup paperSize="1" orientation="landscape" fitToWidth="1" fitToHeight="0"/>
  <headerFooter>
    <oddHeader>&amp;L&amp;10&amp;BCivic Scholars Charter&amp;R&amp;8&amp;IDecision History</oddHeader>
    <oddFooter>&amp;L&amp;8Built by SchoolStack Budget  •  budget.schoolstack.ai&amp;C&amp;8Page &amp;P of &amp;N&amp;R&amp;8&amp;D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C34"/>
  <sheetFormatPr defaultRowHeight="15" outlineLevelRow="0" outlineLevelCol="0" x14ac:dyDescent="55"/>
  <cols>
    <col min="1" max="1" width="5" customWidth="1"/>
    <col min="2" max="2" width="35" customWidth="1"/>
    <col min="3" max="3" width="30" customWidth="1"/>
    <col min="4" max="4" width="5" customWidth="1"/>
  </cols>
  <sheetData>
    <row r="1" ht="20" customHeight="1" x14ac:dyDescent="0.25"/>
    <row r="2" ht="10" customHeight="1" x14ac:dyDescent="0.25"/>
    <row r="3" ht="40" customHeight="1" spans="2:3" x14ac:dyDescent="0.25">
      <c r="B3" s="1" t="s">
        <v>0</v>
      </c>
      <c r="C3" s="1"/>
    </row>
    <row r="4" ht="28" customHeight="1" spans="2:3" x14ac:dyDescent="0.25">
      <c r="B4" s="2" t="s">
        <v>1</v>
      </c>
      <c r="C4" s="2"/>
    </row>
    <row r="6" ht="4" customHeight="1" spans="2:3" x14ac:dyDescent="0.25">
      <c r="B6" s="3"/>
      <c r="C6" s="3"/>
    </row>
    <row r="8" spans="2:2" x14ac:dyDescent="0.25">
      <c r="B8" s="4" t="s">
        <v>2</v>
      </c>
    </row>
    <row r="9" ht="32" customHeight="1" spans="2:3" x14ac:dyDescent="0.25">
      <c r="B9" s="5" t="s">
        <v>3</v>
      </c>
      <c r="C9" s="5"/>
    </row>
    <row r="10" spans="2:3" x14ac:dyDescent="0.25">
      <c r="B10" s="6" t="s">
        <v>4</v>
      </c>
      <c r="C10" s="6"/>
    </row>
    <row r="12" spans="2:3" x14ac:dyDescent="0.25">
      <c r="B12" s="4" t="s">
        <v>5</v>
      </c>
      <c r="C12" s="7" t="s">
        <v>6</v>
      </c>
    </row>
    <row r="15" ht="24" customHeight="1" spans="2:3" x14ac:dyDescent="0.25">
      <c r="B15" s="8" t="s">
        <v>7</v>
      </c>
      <c r="C15" s="8"/>
    </row>
    <row r="16" spans="2:3" x14ac:dyDescent="0.25">
      <c r="B16" s="9" t="s">
        <v>8</v>
      </c>
      <c r="C16" s="10">
        <v>5184400</v>
      </c>
    </row>
    <row r="17" spans="2:3" x14ac:dyDescent="0.25">
      <c r="B17" s="9" t="s">
        <v>9</v>
      </c>
      <c r="C17" s="11">
        <v>2327935</v>
      </c>
    </row>
    <row r="18" spans="2:3" x14ac:dyDescent="0.25">
      <c r="B18" s="9" t="s">
        <v>10</v>
      </c>
      <c r="C18" s="12">
        <v>0.4490268883573798</v>
      </c>
    </row>
    <row r="19" spans="2:3" x14ac:dyDescent="0.25">
      <c r="B19" s="9" t="s">
        <v>11</v>
      </c>
      <c r="C19" s="13">
        <v>23.643663059060763</v>
      </c>
    </row>
    <row r="20" spans="2:3" x14ac:dyDescent="0.25">
      <c r="B20" s="9" t="s">
        <v>12</v>
      </c>
      <c r="C20" s="14">
        <v>400</v>
      </c>
    </row>
    <row r="23" ht="24" customHeight="1" spans="2:3" x14ac:dyDescent="0.25">
      <c r="B23" s="8" t="s">
        <v>13</v>
      </c>
      <c r="C23" s="8"/>
    </row>
    <row r="24" spans="2:3" x14ac:dyDescent="0.25">
      <c r="B24" s="15" t="s">
        <v>14</v>
      </c>
      <c r="C24" s="16"/>
    </row>
    <row r="25" spans="2:3" x14ac:dyDescent="0.25">
      <c r="B25" s="15" t="s">
        <v>15</v>
      </c>
      <c r="C25" s="16"/>
    </row>
    <row r="26" spans="2:3" x14ac:dyDescent="0.25">
      <c r="B26" s="15" t="s">
        <v>16</v>
      </c>
      <c r="C26" s="16"/>
    </row>
    <row r="27" spans="2:3" x14ac:dyDescent="0.25">
      <c r="B27" s="15" t="s">
        <v>17</v>
      </c>
      <c r="C27" s="16"/>
    </row>
    <row r="28" spans="2:3" x14ac:dyDescent="0.25">
      <c r="B28" s="15" t="s">
        <v>18</v>
      </c>
      <c r="C28" s="16"/>
    </row>
    <row r="29" spans="2:3" x14ac:dyDescent="0.25">
      <c r="B29" s="15" t="s">
        <v>19</v>
      </c>
      <c r="C29" s="16"/>
    </row>
    <row r="30" spans="2:3" x14ac:dyDescent="0.25">
      <c r="B30" s="15" t="s">
        <v>20</v>
      </c>
      <c r="C30" s="16"/>
    </row>
    <row r="31" spans="2:3" x14ac:dyDescent="0.25">
      <c r="B31" s="15" t="s">
        <v>21</v>
      </c>
      <c r="C31" s="16"/>
    </row>
    <row r="34" spans="2:3" x14ac:dyDescent="0.25">
      <c r="B34" s="17" t="s">
        <v>22</v>
      </c>
      <c r="C34" s="17"/>
    </row>
  </sheetData>
  <mergeCells count="5">
    <mergeCell ref="B3:C3"/>
    <mergeCell ref="B4:C4"/>
    <mergeCell ref="B9:C9"/>
    <mergeCell ref="B10:C10"/>
    <mergeCell ref="B34:C34"/>
  </mergeCells>
  <hyperlinks>
    <hyperlink ref="B24" r:id="rId1" location="#'Assumptions'!A1"/>
    <hyperlink ref="B25" r:id="rId2" location="#'Revenue Schedule'!A1"/>
    <hyperlink ref="B26" r:id="rId3" location="#'Staffing &amp; Personnel'!A1"/>
    <hyperlink ref="B27" r:id="rId4" location="#'Operating Expenses'!A1"/>
    <hyperlink ref="B28" r:id="rId5" location="#'Capital &amp; Debt'!A1"/>
    <hyperlink ref="B29" r:id="rId6" location="#'Financial Model'!A1"/>
    <hyperlink ref="B30" r:id="rId7" location="#'Summary'!A1"/>
    <hyperlink ref="B31" r:id="rId8" location="#'Decision History'!A1"/>
  </hyperlinks>
  <pageMargins left="0.75" right="0.75" top="1" bottom="1" header="0.3" footer="0.3"/>
  <pageSetup paperSize="1" orientation="portrait"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H40"/>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4" customWidth="1"/>
    <col min="2" max="2" width="28" customWidth="1"/>
    <col min="3" max="7" width="16" customWidth="1"/>
    <col min="8" max="8" width="20" customWidth="1"/>
    <col min="9" max="9" width="40" customWidth="1"/>
  </cols>
  <sheetData>
    <row r="2" ht="30" customHeight="1" spans="2:8" x14ac:dyDescent="0.25">
      <c r="B2" s="42" t="s">
        <v>173</v>
      </c>
      <c r="C2" s="42"/>
      <c r="D2" s="42"/>
      <c r="E2" s="42"/>
      <c r="F2" s="42"/>
      <c r="G2" s="42"/>
      <c r="H2" s="42"/>
    </row>
    <row r="3" spans="2:8" x14ac:dyDescent="0.25">
      <c r="B3" s="51" t="s">
        <v>174</v>
      </c>
      <c r="C3" s="51"/>
      <c r="D3" s="51"/>
      <c r="E3" s="51"/>
      <c r="F3" s="51"/>
      <c r="G3" s="51"/>
      <c r="H3" s="51"/>
    </row>
    <row r="4" spans="2:6" x14ac:dyDescent="0.25">
      <c r="B4" s="52" t="s">
        <v>175</v>
      </c>
      <c r="D4" s="53" t="s">
        <v>176</v>
      </c>
      <c r="F4" s="54" t="s">
        <v>177</v>
      </c>
    </row>
    <row r="6" ht="24" customHeight="1" spans="2:8" x14ac:dyDescent="0.25">
      <c r="B6" s="8" t="s">
        <v>178</v>
      </c>
      <c r="C6" s="55" t="s">
        <v>68</v>
      </c>
      <c r="D6" s="55" t="s">
        <v>69</v>
      </c>
      <c r="E6" s="55" t="s">
        <v>70</v>
      </c>
      <c r="F6" s="55" t="s">
        <v>71</v>
      </c>
      <c r="G6" s="55" t="s">
        <v>72</v>
      </c>
      <c r="H6" s="55" t="s">
        <v>179</v>
      </c>
    </row>
    <row r="7" spans="2:7" x14ac:dyDescent="0.25">
      <c r="B7" s="9" t="s">
        <v>180</v>
      </c>
      <c r="C7" s="56">
        <v>120</v>
      </c>
      <c r="D7" s="56">
        <v>200</v>
      </c>
      <c r="E7" s="56">
        <v>300</v>
      </c>
      <c r="F7" s="56">
        <v>375</v>
      </c>
      <c r="G7" s="56">
        <v>400</v>
      </c>
    </row>
    <row r="8" spans="2:7" x14ac:dyDescent="0.25">
      <c r="B8" s="9" t="s">
        <v>181</v>
      </c>
      <c r="C8" s="57">
        <v>1546000</v>
      </c>
      <c r="D8" s="57">
        <v>2522800</v>
      </c>
      <c r="E8" s="57">
        <v>3784600</v>
      </c>
      <c r="F8" s="57">
        <v>4759125</v>
      </c>
      <c r="G8" s="57">
        <v>5184400</v>
      </c>
    </row>
    <row r="9" spans="2:7" x14ac:dyDescent="0.25">
      <c r="B9" s="9" t="s">
        <v>182</v>
      </c>
      <c r="C9" s="57">
        <v>1026431</v>
      </c>
      <c r="D9" s="57">
        <v>1231718</v>
      </c>
      <c r="E9" s="57">
        <v>1231718</v>
      </c>
      <c r="F9" s="57">
        <v>1231718</v>
      </c>
      <c r="G9" s="57">
        <v>1231718</v>
      </c>
    </row>
    <row r="10" spans="2:7" x14ac:dyDescent="0.25">
      <c r="B10" s="9" t="s">
        <v>17</v>
      </c>
      <c r="C10" s="57">
        <v>654000</v>
      </c>
      <c r="D10" s="57">
        <v>887860</v>
      </c>
      <c r="E10" s="57">
        <v>1190519</v>
      </c>
      <c r="F10" s="57">
        <v>1439088</v>
      </c>
      <c r="G10" s="57">
        <v>1554922</v>
      </c>
    </row>
    <row r="11" spans="2:7" x14ac:dyDescent="0.25">
      <c r="B11" s="9" t="s">
        <v>183</v>
      </c>
      <c r="C11" s="57">
        <v>49824.605221179416</v>
      </c>
      <c r="D11" s="57">
        <v>49824.605221179416</v>
      </c>
      <c r="E11" s="57">
        <v>49824.605221179416</v>
      </c>
      <c r="F11" s="57">
        <v>49824.605221179416</v>
      </c>
      <c r="G11" s="57">
        <v>49824.605221179416</v>
      </c>
    </row>
    <row r="12" spans="2:7" x14ac:dyDescent="0.25">
      <c r="B12" s="58" t="s">
        <v>152</v>
      </c>
      <c r="C12" s="59">
        <v>-299256</v>
      </c>
      <c r="D12" s="60">
        <v>313397</v>
      </c>
      <c r="E12" s="60">
        <v>1272538</v>
      </c>
      <c r="F12" s="60">
        <v>2013494</v>
      </c>
      <c r="G12" s="60">
        <v>2327935</v>
      </c>
    </row>
    <row r="13" spans="2:7" x14ac:dyDescent="0.25">
      <c r="B13" s="58" t="s">
        <v>184</v>
      </c>
      <c r="C13" s="59">
        <v>-299256</v>
      </c>
      <c r="D13" s="60">
        <v>14141</v>
      </c>
      <c r="E13" s="60">
        <v>1286679</v>
      </c>
      <c r="F13" s="60">
        <v>3300173</v>
      </c>
      <c r="G13" s="60">
        <v>5628108</v>
      </c>
    </row>
    <row r="14" spans="2:7" x14ac:dyDescent="0.25">
      <c r="B14" s="58" t="s">
        <v>185</v>
      </c>
      <c r="C14" s="61">
        <v>-0.1935679172056921</v>
      </c>
      <c r="D14" s="62">
        <v>0.12422586015538291</v>
      </c>
      <c r="E14" s="62">
        <v>0.3362410822808223</v>
      </c>
      <c r="F14" s="62">
        <v>0.42308071336642766</v>
      </c>
      <c r="G14" s="62">
        <v>0.4490268883573798</v>
      </c>
    </row>
    <row r="15" spans="2:8" x14ac:dyDescent="0.25">
      <c r="B15" s="58" t="s">
        <v>163</v>
      </c>
      <c r="C15" s="63">
        <v>12883.333333333334</v>
      </c>
      <c r="D15" s="63">
        <v>12614</v>
      </c>
      <c r="E15" s="63">
        <v>12615.333333333334</v>
      </c>
      <c r="F15" s="63">
        <v>12691</v>
      </c>
      <c r="G15" s="63">
        <v>12961</v>
      </c>
      <c r="H15" s="64" t="s">
        <v>186</v>
      </c>
    </row>
    <row r="16" spans="2:7" x14ac:dyDescent="0.25">
      <c r="B16" s="58" t="s">
        <v>187</v>
      </c>
      <c r="C16" s="65">
        <v>14418.796710176493</v>
      </c>
      <c r="D16" s="65">
        <v>10847.013026105897</v>
      </c>
      <c r="E16" s="65">
        <v>8240.205350737264</v>
      </c>
      <c r="F16" s="65">
        <v>7255.014947256478</v>
      </c>
      <c r="G16" s="65">
        <v>7091.161513052948</v>
      </c>
    </row>
    <row r="17" spans="2:7" x14ac:dyDescent="0.25">
      <c r="B17" s="9" t="s">
        <v>188</v>
      </c>
      <c r="C17" s="57">
        <v>700</v>
      </c>
      <c r="D17" s="57">
        <v>721</v>
      </c>
      <c r="E17" s="57">
        <v>743</v>
      </c>
      <c r="F17" s="57">
        <v>765</v>
      </c>
      <c r="G17" s="57">
        <v>788</v>
      </c>
    </row>
    <row r="18" spans="2:8" x14ac:dyDescent="0.25">
      <c r="B18" s="9" t="s">
        <v>189</v>
      </c>
      <c r="C18" s="66">
        <v>2350</v>
      </c>
      <c r="D18" s="63">
        <v>1452.3</v>
      </c>
      <c r="E18" s="63">
        <v>997.2213333333334</v>
      </c>
      <c r="F18" s="63">
        <v>821.7334186666667</v>
      </c>
      <c r="G18" s="63">
        <v>793.4822574000001</v>
      </c>
      <c r="H18" s="64" t="s">
        <v>190</v>
      </c>
    </row>
    <row r="19" spans="2:7" x14ac:dyDescent="0.25">
      <c r="B19" s="58" t="s">
        <v>191</v>
      </c>
      <c r="C19" s="67">
        <v>-2493.8</v>
      </c>
      <c r="D19" s="68">
        <v>1566.985</v>
      </c>
      <c r="E19" s="68">
        <v>4241.793333333333</v>
      </c>
      <c r="F19" s="68">
        <v>5369.317333333333</v>
      </c>
      <c r="G19" s="68">
        <v>5819.8375</v>
      </c>
    </row>
    <row r="20" spans="2:8" x14ac:dyDescent="0.25">
      <c r="B20" s="58" t="s">
        <v>192</v>
      </c>
      <c r="C20" s="61">
        <v>0.6639269081500647</v>
      </c>
      <c r="D20" s="62">
        <v>0.4882345013477089</v>
      </c>
      <c r="E20" s="62">
        <v>0.3254552660783174</v>
      </c>
      <c r="F20" s="62">
        <v>0.25881186142410634</v>
      </c>
      <c r="G20" s="62">
        <v>0.23758159092662604</v>
      </c>
      <c r="H20" s="64" t="s">
        <v>193</v>
      </c>
    </row>
    <row r="21" spans="2:8" x14ac:dyDescent="0.25">
      <c r="B21" s="58" t="s">
        <v>194</v>
      </c>
      <c r="C21" s="69">
        <v>0.18240620957309184</v>
      </c>
      <c r="D21" s="62">
        <v>0.1151339781195497</v>
      </c>
      <c r="E21" s="62">
        <v>0.07904835385509698</v>
      </c>
      <c r="F21" s="62">
        <v>0.06474930412628371</v>
      </c>
      <c r="G21" s="62">
        <v>0.06122075900007716</v>
      </c>
      <c r="H21" s="64" t="s">
        <v>195</v>
      </c>
    </row>
    <row r="22" spans="2:8" x14ac:dyDescent="0.25">
      <c r="B22" s="58" t="s">
        <v>196</v>
      </c>
      <c r="C22" s="61">
        <v>-0.08695407503234152</v>
      </c>
      <c r="D22" s="62">
        <v>0.15983114000317108</v>
      </c>
      <c r="E22" s="62">
        <v>0.35997542672937693</v>
      </c>
      <c r="F22" s="62">
        <v>0.4388031413337536</v>
      </c>
      <c r="G22" s="62">
        <v>0.46249517784121597</v>
      </c>
      <c r="H22" s="64" t="s">
        <v>197</v>
      </c>
    </row>
    <row r="23" spans="2:8" x14ac:dyDescent="0.25">
      <c r="B23" s="58" t="s">
        <v>198</v>
      </c>
      <c r="C23" s="70">
        <v>3</v>
      </c>
      <c r="D23" s="70">
        <v>3</v>
      </c>
      <c r="E23" s="70">
        <v>3</v>
      </c>
      <c r="F23" s="70">
        <v>3</v>
      </c>
      <c r="G23" s="70">
        <v>3</v>
      </c>
      <c r="H23" s="64" t="s">
        <v>199</v>
      </c>
    </row>
    <row r="24" spans="2:8" x14ac:dyDescent="0.25">
      <c r="B24" s="58" t="s">
        <v>200</v>
      </c>
      <c r="C24" s="71">
        <v>-2.6980845990297206</v>
      </c>
      <c r="D24" s="72">
        <v>8.092828798342362</v>
      </c>
      <c r="E24" s="72">
        <v>27.343177009677287</v>
      </c>
      <c r="F24" s="72">
        <v>41.91340785801748</v>
      </c>
      <c r="G24" s="72">
        <v>48.1240140158855</v>
      </c>
      <c r="H24" s="64" t="s">
        <v>201</v>
      </c>
    </row>
    <row r="25" spans="2:8" x14ac:dyDescent="0.25">
      <c r="B25" s="58" t="s">
        <v>202</v>
      </c>
      <c r="C25" s="73" t="str">
        <f>IF('Financial Model'!B8&gt;=0,"✓ Break-even","")</f>
        <v>0</v>
      </c>
      <c r="D25" s="41" t="str">
        <f>IF(AND('Financial Model'!C8&gt;=0,'Financial Model'!B8&lt;0),"✓ Break-even","")</f>
        <v>✓ Break-even</v>
      </c>
      <c r="E25" s="73" t="str">
        <f>IF(AND('Financial Model'!D8&gt;=0,'Financial Model'!C8&lt;0),"✓ Break-even","")</f>
        <v>0</v>
      </c>
      <c r="F25" s="73" t="str">
        <f>IF(AND('Financial Model'!E8&gt;=0,'Financial Model'!D8&lt;0),"✓ Break-even","")</f>
        <v>0</v>
      </c>
      <c r="G25" s="73" t="str">
        <f>IF(AND('Financial Model'!F8&gt;=0,'Financial Model'!E8&lt;0),"✓ Break-even","")</f>
        <v>0</v>
      </c>
      <c r="H25" s="64" t="s">
        <v>68</v>
      </c>
    </row>
    <row r="26" spans="2:8" x14ac:dyDescent="0.25">
      <c r="B26" s="58" t="s">
        <v>203</v>
      </c>
      <c r="C26" s="74">
        <v>-2</v>
      </c>
      <c r="D26" s="74">
        <v>0</v>
      </c>
      <c r="E26" s="74">
        <v>6</v>
      </c>
      <c r="F26" s="75">
        <v>15</v>
      </c>
      <c r="G26" s="70">
        <v>24</v>
      </c>
      <c r="H26" s="64" t="s">
        <v>204</v>
      </c>
    </row>
    <row r="27" spans="2:8" x14ac:dyDescent="0.25">
      <c r="B27" s="58" t="s">
        <v>205</v>
      </c>
      <c r="C27" s="74">
        <v>0</v>
      </c>
      <c r="D27" s="74">
        <v>2</v>
      </c>
      <c r="E27" s="70">
        <v>190</v>
      </c>
      <c r="F27" s="70">
        <v>443</v>
      </c>
      <c r="G27" s="70">
        <v>724</v>
      </c>
      <c r="H27" s="64" t="s">
        <v>206</v>
      </c>
    </row>
    <row r="29" ht="24" customHeight="1" spans="2:8" x14ac:dyDescent="0.25">
      <c r="B29" s="8" t="s">
        <v>207</v>
      </c>
      <c r="C29" s="8" t="s">
        <v>208</v>
      </c>
      <c r="D29" s="8" t="s">
        <v>209</v>
      </c>
      <c r="E29" s="8"/>
      <c r="F29" s="8" t="s">
        <v>210</v>
      </c>
      <c r="G29" s="8"/>
      <c r="H29" s="8"/>
    </row>
    <row r="30" ht="45" customHeight="1" spans="2:8" x14ac:dyDescent="0.25">
      <c r="B30" s="76" t="s">
        <v>211</v>
      </c>
      <c r="C30" s="41" t="s">
        <v>212</v>
      </c>
      <c r="D30" s="77" t="s">
        <v>213</v>
      </c>
      <c r="E30" s="77"/>
      <c r="F30" s="78" t="s">
        <v>214</v>
      </c>
      <c r="G30" s="78"/>
      <c r="H30" s="78"/>
    </row>
    <row r="31" ht="45" customHeight="1" spans="2:8" x14ac:dyDescent="0.25">
      <c r="B31" s="76" t="s">
        <v>215</v>
      </c>
      <c r="C31" s="79" t="s">
        <v>216</v>
      </c>
      <c r="D31" s="77" t="s">
        <v>217</v>
      </c>
      <c r="E31" s="77"/>
      <c r="F31" s="78" t="s">
        <v>218</v>
      </c>
      <c r="G31" s="78"/>
      <c r="H31" s="78"/>
    </row>
    <row r="32" ht="45" customHeight="1" spans="2:8" x14ac:dyDescent="0.25">
      <c r="B32" s="76" t="s">
        <v>219</v>
      </c>
      <c r="C32" s="41" t="s">
        <v>212</v>
      </c>
      <c r="D32" s="77" t="s">
        <v>220</v>
      </c>
      <c r="E32" s="77"/>
      <c r="F32" s="78" t="s">
        <v>221</v>
      </c>
      <c r="G32" s="78"/>
      <c r="H32" s="78"/>
    </row>
    <row r="33" ht="45" customHeight="1" spans="2:8" x14ac:dyDescent="0.25">
      <c r="B33" s="76" t="s">
        <v>222</v>
      </c>
      <c r="C33" s="41" t="s">
        <v>212</v>
      </c>
      <c r="D33" s="77" t="s">
        <v>223</v>
      </c>
      <c r="E33" s="77"/>
      <c r="F33" s="78" t="s">
        <v>224</v>
      </c>
      <c r="G33" s="78"/>
      <c r="H33" s="78"/>
    </row>
    <row r="34" ht="45" customHeight="1" spans="2:8" x14ac:dyDescent="0.25">
      <c r="B34" s="76" t="s">
        <v>225</v>
      </c>
      <c r="C34" s="41" t="s">
        <v>212</v>
      </c>
      <c r="D34" s="77" t="s">
        <v>226</v>
      </c>
      <c r="E34" s="77"/>
      <c r="F34" s="78" t="s">
        <v>227</v>
      </c>
      <c r="G34" s="78"/>
      <c r="H34" s="78"/>
    </row>
    <row r="35" ht="45" customHeight="1" spans="2:8" x14ac:dyDescent="0.25">
      <c r="B35" s="76" t="s">
        <v>228</v>
      </c>
      <c r="C35" s="41" t="s">
        <v>212</v>
      </c>
      <c r="D35" s="77" t="s">
        <v>229</v>
      </c>
      <c r="E35" s="77"/>
      <c r="F35" s="78" t="s">
        <v>230</v>
      </c>
      <c r="G35" s="78"/>
      <c r="H35" s="78"/>
    </row>
    <row r="36" ht="45" customHeight="1" spans="2:8" x14ac:dyDescent="0.25">
      <c r="B36" s="76" t="s">
        <v>231</v>
      </c>
      <c r="C36" s="41" t="s">
        <v>212</v>
      </c>
      <c r="D36" s="77" t="s">
        <v>232</v>
      </c>
      <c r="E36" s="77"/>
      <c r="F36" s="78" t="s">
        <v>233</v>
      </c>
      <c r="G36" s="78"/>
      <c r="H36" s="78"/>
    </row>
    <row r="38" spans="2:6" x14ac:dyDescent="0.25">
      <c r="B38" s="76" t="s">
        <v>20</v>
      </c>
      <c r="C38" s="58" t="s">
        <v>234</v>
      </c>
      <c r="D38" s="58"/>
      <c r="E38" s="58"/>
      <c r="F38" s="58"/>
    </row>
    <row r="40" spans="2:8" x14ac:dyDescent="0.25">
      <c r="B40" s="80" t="s">
        <v>235</v>
      </c>
      <c r="C40" s="80"/>
      <c r="D40" s="80"/>
      <c r="E40" s="80"/>
      <c r="F40" s="80"/>
      <c r="G40" s="80"/>
      <c r="H40" s="80"/>
    </row>
  </sheetData>
  <mergeCells count="20">
    <mergeCell ref="B2:H2"/>
    <mergeCell ref="B3:H3"/>
    <mergeCell ref="D29:E29"/>
    <mergeCell ref="F29:H29"/>
    <mergeCell ref="D30:E30"/>
    <mergeCell ref="F30:H30"/>
    <mergeCell ref="D31:E31"/>
    <mergeCell ref="F31:H31"/>
    <mergeCell ref="D32:E32"/>
    <mergeCell ref="F32:H32"/>
    <mergeCell ref="D33:E33"/>
    <mergeCell ref="F33:H33"/>
    <mergeCell ref="D34:E34"/>
    <mergeCell ref="F34:H34"/>
    <mergeCell ref="D35:E35"/>
    <mergeCell ref="F35:H35"/>
    <mergeCell ref="D36:E36"/>
    <mergeCell ref="F36:H36"/>
    <mergeCell ref="C38:F38"/>
    <mergeCell ref="B40:H40"/>
  </mergeCells>
  <conditionalFormatting sqref="C12:G12">
    <cfRule type="expression" dxfId="0" priority="1">
      <formula>C12&gt;=0</formula>
    </cfRule>
    <cfRule type="expression" dxfId="1" priority="2">
      <formula>C12&gt;=-1</formula>
    </cfRule>
    <cfRule type="expression" dxfId="2" priority="3">
      <formula>C12&lt;-1</formula>
    </cfRule>
  </conditionalFormatting>
  <conditionalFormatting sqref="C13:G13">
    <cfRule type="expression" dxfId="3" priority="1">
      <formula>C13&gt;=0</formula>
    </cfRule>
    <cfRule type="expression" dxfId="4" priority="2">
      <formula>C13&gt;=-1</formula>
    </cfRule>
    <cfRule type="expression" dxfId="5" priority="3">
      <formula>C13&lt;-1</formula>
    </cfRule>
  </conditionalFormatting>
  <conditionalFormatting sqref="C14:G14">
    <cfRule type="expression" dxfId="6" priority="1">
      <formula>C14&gt;=0.05</formula>
    </cfRule>
    <cfRule type="expression" dxfId="7" priority="2">
      <formula>C14&gt;=0</formula>
    </cfRule>
    <cfRule type="expression" dxfId="8" priority="3">
      <formula>C14&lt;0</formula>
    </cfRule>
  </conditionalFormatting>
  <conditionalFormatting sqref="C15:G15">
    <cfRule type="expression" dxfId="9" priority="1">
      <formula>C15&gt;=10000</formula>
    </cfRule>
    <cfRule type="expression" dxfId="10" priority="2">
      <formula>C15&gt;=7000</formula>
    </cfRule>
    <cfRule type="expression" dxfId="11" priority="3">
      <formula>C15&lt;7000</formula>
    </cfRule>
  </conditionalFormatting>
  <conditionalFormatting sqref="C20:G20">
    <cfRule type="expression" dxfId="12" priority="1">
      <formula>C20&lt;=0.55</formula>
    </cfRule>
    <cfRule type="expression" dxfId="13" priority="2">
      <formula>C20&lt;=0.65</formula>
    </cfRule>
    <cfRule type="expression" dxfId="14" priority="3">
      <formula>C20&gt;0.65</formula>
    </cfRule>
  </conditionalFormatting>
  <conditionalFormatting sqref="C21:G21">
    <cfRule type="expression" dxfId="15" priority="1">
      <formula>C21&lt;=0.15</formula>
    </cfRule>
    <cfRule type="expression" dxfId="16" priority="2">
      <formula>C21&lt;=0.22</formula>
    </cfRule>
    <cfRule type="expression" dxfId="17" priority="3">
      <formula>C21&gt;0.22</formula>
    </cfRule>
  </conditionalFormatting>
  <conditionalFormatting sqref="C22:G22">
    <cfRule type="expression" dxfId="18" priority="1">
      <formula>C22&gt;=0.10</formula>
    </cfRule>
    <cfRule type="expression" dxfId="19" priority="2">
      <formula>C22&gt;=0</formula>
    </cfRule>
    <cfRule type="expression" dxfId="20" priority="3">
      <formula>C22&lt;0</formula>
    </cfRule>
  </conditionalFormatting>
  <conditionalFormatting sqref="C24:G24">
    <cfRule type="expression" dxfId="21" priority="1">
      <formula>C24&gt;=1.25</formula>
    </cfRule>
    <cfRule type="expression" dxfId="22" priority="2">
      <formula>C24&gt;=1.15</formula>
    </cfRule>
    <cfRule type="expression" dxfId="23" priority="3">
      <formula>C24&lt;1.15</formula>
    </cfRule>
  </conditionalFormatting>
  <pageMargins left="0.5" right="0.5" top="0.75" bottom="0.75" header="0.3" footer="0.3"/>
  <pageSetup paperSize="1" orientation="landscape" fitToWidth="1" fitToHeight="0"/>
  <headerFooter>
    <oddHeader>&amp;L&amp;10&amp;BCivic Scholars Charter&amp;R&amp;8&amp;IFinancial Health</oddHeader>
    <oddFooter>&amp;L&amp;8Built by SchoolStack Budget  •  budget.schoolstack.ai&amp;C&amp;8Page &amp;P of &amp;N&amp;R&amp;8&amp;D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Assumptions</vt:lpstr>
      <vt:lpstr>Revenue Schedule</vt:lpstr>
      <vt:lpstr>Staffing &amp; Personnel</vt:lpstr>
      <vt:lpstr>Operating Expenses</vt:lpstr>
      <vt:lpstr>Capital &amp; Debt</vt:lpstr>
      <vt:lpstr>Financial Model</vt:lpstr>
      <vt:lpstr>Summary</vt:lpstr>
      <vt:lpstr>Decision History</vt:lpstr>
      <vt:lpstr>Financial Health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SchoolStack Budget</dc:creator>
  <dc:title/>
  <dc:subject/>
  <dc:description/>
  <cp:keywords/>
  <cp:category/>
  <cp:lastModifiedBy>Unknown</cp:lastModifiedBy>
  <dcterms:created xsi:type="dcterms:W3CDTF">2026-04-29T12:22:44Z</dcterms:created>
  <dcterms:modified xsi:type="dcterms:W3CDTF">2026-04-29T12:22:44Z</dcterms:modified>
</cp:coreProperties>
</file>