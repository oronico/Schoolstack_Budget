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<sst xmlns="http://schemas.openxmlformats.org/spreadsheetml/2006/main" count="330" uniqueCount="232">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</sst>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8" borderId="2" xfId="0" applyNumberFormat="1" applyFont="1" applyFill="1" applyBorder="1" applyAlignment="1">
      <alignment horizontal="right"/>
    </xf>
    <xf numFmtId="164" fontId="8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7" x14ac:dyDescent="0.25">
      <c r="B16" s="56" t="s">
        <v>183</v>
      </c>
      <c r="C16" s="63">
        <v>14418.796710176493</v>
      </c>
      <c r="D16" s="63">
        <v>10847.013026105897</v>
      </c>
      <c r="E16" s="63">
        <v>8240.205350737264</v>
      </c>
      <c r="F16" s="63">
        <v>7255.014947256478</v>
      </c>
      <c r="G16" s="63">
        <v>7091.161513052948</v>
      </c>
    </row>
    <row r="17" spans="2:7" x14ac:dyDescent="0.25">
      <c r="B17" s="9" t="s">
        <v>184</v>
      </c>
      <c r="C17" s="55">
        <v>700</v>
      </c>
      <c r="D17" s="55">
        <v>721</v>
      </c>
      <c r="E17" s="55">
        <v>743</v>
      </c>
      <c r="F17" s="55">
        <v>765</v>
      </c>
      <c r="G17" s="55">
        <v>788</v>
      </c>
    </row>
    <row r="18" spans="2:8" x14ac:dyDescent="0.25">
      <c r="B18" s="9" t="s">
        <v>185</v>
      </c>
      <c r="C18" s="64">
        <v>2350</v>
      </c>
      <c r="D18" s="61">
        <v>1452.3</v>
      </c>
      <c r="E18" s="61">
        <v>997.2213333333334</v>
      </c>
      <c r="F18" s="61">
        <v>821.7334186666667</v>
      </c>
      <c r="G18" s="61">
        <v>793.4822574000001</v>
      </c>
      <c r="H18" s="62" t="s">
        <v>186</v>
      </c>
    </row>
    <row r="19" spans="2:7" x14ac:dyDescent="0.25">
      <c r="B19" s="56" t="s">
        <v>187</v>
      </c>
      <c r="C19" s="65">
        <v>-2493.8</v>
      </c>
      <c r="D19" s="66">
        <v>1566.985</v>
      </c>
      <c r="E19" s="66">
        <v>4241.793333333333</v>
      </c>
      <c r="F19" s="66">
        <v>5369.317333333333</v>
      </c>
      <c r="G19" s="66">
        <v>5819.8375</v>
      </c>
    </row>
    <row r="20" spans="2:8" x14ac:dyDescent="0.25">
      <c r="B20" s="56" t="s">
        <v>188</v>
      </c>
      <c r="C20" s="59">
        <v>0.6639269081500647</v>
      </c>
      <c r="D20" s="60">
        <v>0.4882345013477089</v>
      </c>
      <c r="E20" s="60">
        <v>0.3254552660783174</v>
      </c>
      <c r="F20" s="60">
        <v>0.25881186142410634</v>
      </c>
      <c r="G20" s="60">
        <v>0.23758159092662604</v>
      </c>
      <c r="H20" s="62" t="s">
        <v>189</v>
      </c>
    </row>
    <row r="21" spans="2:8" x14ac:dyDescent="0.25">
      <c r="B21" s="56" t="s">
        <v>190</v>
      </c>
      <c r="C21" s="67">
        <v>0.18240620957309184</v>
      </c>
      <c r="D21" s="60">
        <v>0.1151339781195497</v>
      </c>
      <c r="E21" s="60">
        <v>0.07904835385509698</v>
      </c>
      <c r="F21" s="60">
        <v>0.06474930412628371</v>
      </c>
      <c r="G21" s="60">
        <v>0.06122075900007716</v>
      </c>
      <c r="H21" s="62" t="s">
        <v>191</v>
      </c>
    </row>
    <row r="22" spans="2:8" x14ac:dyDescent="0.25">
      <c r="B22" s="56" t="s">
        <v>192</v>
      </c>
      <c r="C22" s="59">
        <v>-0.08695407503234152</v>
      </c>
      <c r="D22" s="60">
        <v>0.15983114000317108</v>
      </c>
      <c r="E22" s="60">
        <v>0.35997542672937693</v>
      </c>
      <c r="F22" s="60">
        <v>0.4388031413337536</v>
      </c>
      <c r="G22" s="60">
        <v>0.46249517784121597</v>
      </c>
      <c r="H22" s="62" t="s">
        <v>193</v>
      </c>
    </row>
    <row r="23" spans="2:8" x14ac:dyDescent="0.25">
      <c r="B23" s="56" t="s">
        <v>194</v>
      </c>
      <c r="C23" s="68">
        <v>3</v>
      </c>
      <c r="D23" s="68">
        <v>3</v>
      </c>
      <c r="E23" s="68">
        <v>3</v>
      </c>
      <c r="F23" s="68">
        <v>3</v>
      </c>
      <c r="G23" s="68">
        <v>3</v>
      </c>
      <c r="H23" s="62" t="s">
        <v>195</v>
      </c>
    </row>
    <row r="24" spans="2:8" x14ac:dyDescent="0.25">
      <c r="B24" s="56" t="s">
        <v>196</v>
      </c>
      <c r="C24" s="69">
        <v>-2.6980845990297206</v>
      </c>
      <c r="D24" s="70">
        <v>8.092828798342362</v>
      </c>
      <c r="E24" s="70">
        <v>27.343177009677287</v>
      </c>
      <c r="F24" s="70">
        <v>41.91340785801748</v>
      </c>
      <c r="G24" s="70">
        <v>48.1240140158855</v>
      </c>
      <c r="H24" s="62" t="s">
        <v>197</v>
      </c>
    </row>
    <row r="25" spans="2:8" x14ac:dyDescent="0.25">
      <c r="B25" s="56" t="s">
        <v>198</v>
      </c>
      <c r="C25" s="71" t="str">
        <f>IF('Financial Model'!B8&gt;=0,"✓ Break-even","")</f>
        <v>0</v>
      </c>
      <c r="D25" s="41" t="str">
        <f>IF(AND('Financial Model'!C8&gt;=0,'Financial Model'!B8&lt;0),"✓ Break-even","")</f>
        <v>✓ Break-even</v>
      </c>
      <c r="E25" s="71" t="str">
        <f>IF(AND('Financial Model'!D8&gt;=0,'Financial Model'!C8&lt;0),"✓ Break-even","")</f>
        <v>0</v>
      </c>
      <c r="F25" s="71" t="str">
        <f>IF(AND('Financial Model'!E8&gt;=0,'Financial Model'!D8&lt;0),"✓ Break-even","")</f>
        <v>0</v>
      </c>
      <c r="G25" s="71" t="str">
        <f>IF(AND('Financial Model'!F8&gt;=0,'Financial Model'!E8&lt;0),"✓ Break-even","")</f>
        <v>0</v>
      </c>
      <c r="H25" s="62" t="s">
        <v>66</v>
      </c>
    </row>
    <row r="26" spans="2:8" x14ac:dyDescent="0.25">
      <c r="B26" s="56" t="s">
        <v>199</v>
      </c>
      <c r="C26" s="72">
        <v>-2</v>
      </c>
      <c r="D26" s="72">
        <v>0</v>
      </c>
      <c r="E26" s="72">
        <v>6</v>
      </c>
      <c r="F26" s="73">
        <v>15</v>
      </c>
      <c r="G26" s="68">
        <v>24</v>
      </c>
      <c r="H26" s="62" t="s">
        <v>200</v>
      </c>
    </row>
    <row r="27" spans="2:8" x14ac:dyDescent="0.25">
      <c r="B27" s="56" t="s">
        <v>201</v>
      </c>
      <c r="C27" s="72">
        <v>0</v>
      </c>
      <c r="D27" s="72">
        <v>2</v>
      </c>
      <c r="E27" s="68">
        <v>190</v>
      </c>
      <c r="F27" s="68">
        <v>443</v>
      </c>
      <c r="G27" s="68">
        <v>724</v>
      </c>
      <c r="H27" s="62" t="s">
        <v>202</v>
      </c>
    </row>
    <row r="29" ht="24" customHeight="1" spans="2:8" x14ac:dyDescent="0.25">
      <c r="B29" s="8" t="s">
        <v>203</v>
      </c>
      <c r="C29" s="8" t="s">
        <v>204</v>
      </c>
      <c r="D29" s="8" t="s">
        <v>205</v>
      </c>
      <c r="E29" s="8"/>
      <c r="F29" s="8" t="s">
        <v>206</v>
      </c>
      <c r="G29" s="8"/>
      <c r="H29" s="8"/>
    </row>
    <row r="30" ht="45" customHeight="1" spans="2:8" x14ac:dyDescent="0.25">
      <c r="B30" s="74" t="s">
        <v>207</v>
      </c>
      <c r="C30" s="41" t="s">
        <v>208</v>
      </c>
      <c r="D30" s="75" t="s">
        <v>209</v>
      </c>
      <c r="E30" s="75"/>
      <c r="F30" s="76" t="s">
        <v>210</v>
      </c>
      <c r="G30" s="76"/>
      <c r="H30" s="76"/>
    </row>
    <row r="31" ht="45" customHeight="1" spans="2:8" x14ac:dyDescent="0.25">
      <c r="B31" s="74" t="s">
        <v>211</v>
      </c>
      <c r="C31" s="77" t="s">
        <v>212</v>
      </c>
      <c r="D31" s="75" t="s">
        <v>213</v>
      </c>
      <c r="E31" s="75"/>
      <c r="F31" s="76" t="s">
        <v>214</v>
      </c>
      <c r="G31" s="76"/>
      <c r="H31" s="76"/>
    </row>
    <row r="32" ht="45" customHeight="1" spans="2:8" x14ac:dyDescent="0.25">
      <c r="B32" s="74" t="s">
        <v>215</v>
      </c>
      <c r="C32" s="41" t="s">
        <v>208</v>
      </c>
      <c r="D32" s="75" t="s">
        <v>216</v>
      </c>
      <c r="E32" s="75"/>
      <c r="F32" s="76" t="s">
        <v>217</v>
      </c>
      <c r="G32" s="76"/>
      <c r="H32" s="76"/>
    </row>
    <row r="33" ht="45" customHeight="1" spans="2:8" x14ac:dyDescent="0.25">
      <c r="B33" s="74" t="s">
        <v>218</v>
      </c>
      <c r="C33" s="41" t="s">
        <v>208</v>
      </c>
      <c r="D33" s="75" t="s">
        <v>219</v>
      </c>
      <c r="E33" s="75"/>
      <c r="F33" s="76" t="s">
        <v>220</v>
      </c>
      <c r="G33" s="76"/>
      <c r="H33" s="76"/>
    </row>
    <row r="34" ht="45" customHeight="1" spans="2:8" x14ac:dyDescent="0.25">
      <c r="B34" s="74" t="s">
        <v>221</v>
      </c>
      <c r="C34" s="41" t="s">
        <v>208</v>
      </c>
      <c r="D34" s="75" t="s">
        <v>222</v>
      </c>
      <c r="E34" s="75"/>
      <c r="F34" s="76" t="s">
        <v>223</v>
      </c>
      <c r="G34" s="76"/>
      <c r="H34" s="76"/>
    </row>
    <row r="35" ht="45" customHeight="1" spans="2:8" x14ac:dyDescent="0.25">
      <c r="B35" s="74" t="s">
        <v>224</v>
      </c>
      <c r="C35" s="41" t="s">
        <v>208</v>
      </c>
      <c r="D35" s="75" t="s">
        <v>225</v>
      </c>
      <c r="E35" s="75"/>
      <c r="F35" s="76" t="s">
        <v>226</v>
      </c>
      <c r="G35" s="76"/>
      <c r="H35" s="76"/>
    </row>
    <row r="36" ht="45" customHeight="1" spans="2:8" x14ac:dyDescent="0.25">
      <c r="B36" s="74" t="s">
        <v>227</v>
      </c>
      <c r="C36" s="41" t="s">
        <v>208</v>
      </c>
      <c r="D36" s="75" t="s">
        <v>228</v>
      </c>
      <c r="E36" s="75"/>
      <c r="F36" s="76" t="s">
        <v>229</v>
      </c>
      <c r="G36" s="76"/>
      <c r="H36" s="76"/>
    </row>
    <row r="38" spans="2:6" x14ac:dyDescent="0.25">
      <c r="B38" s="74" t="s">
        <v>20</v>
      </c>
      <c r="C38" s="56" t="s">
        <v>230</v>
      </c>
      <c r="D38" s="56"/>
      <c r="E38" s="56"/>
      <c r="F38" s="56"/>
    </row>
    <row r="40" spans="2:8" x14ac:dyDescent="0.25">
      <c r="B40" s="78" t="s">
        <v>231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2026-03-27T08:08:11Z</dcterms:created>
  <dcterms:modified xsi:type="dcterms:W3CDTF">2026-03-27T08:08:11Z</dcterms:modified>
</cp:coreProperties>
</file>