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<sst xmlns="http://schemas.openxmlformats.org/spreadsheetml/2006/main" count="323" uniqueCount="225">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</sst>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5" fontId="8" fillId="8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  <row r="10" spans="1:6" x14ac:dyDescent="0.25">
      <c r="A10" s="34" t="s">
        <v>152</v>
      </c>
      <c r="B10" s="40" t="s">
        <v>23</v>
      </c>
      <c r="C10" s="41" t="s">
        <v>153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0.25</v>
      </c>
      <c r="F17" s="44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5">
        <f>'Financial Model'!B7</f>
        <v>-299256</v>
      </c>
      <c r="C24" s="46">
        <f>'Financial Model'!C7</f>
        <v>313397</v>
      </c>
      <c r="D24" s="46">
        <f>'Financial Model'!D7</f>
        <v>1272538</v>
      </c>
      <c r="E24" s="46">
        <f>'Financial Model'!E7</f>
        <v>2013494</v>
      </c>
      <c r="F24" s="46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7" t="str">
        <f>'Financial Model'!B9</f>
        <v>0</v>
      </c>
      <c r="C26" s="47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162</v>
      </c>
      <c r="B30" s="44">
        <f>IF(B20=0,0,'Financial Model'!B3/B20)</f>
        <v>0.6639269081500647</v>
      </c>
      <c r="C30" s="44">
        <f>IF(C20=0,0,'Financial Model'!C3/C20)</f>
        <v>0.4882345013477089</v>
      </c>
      <c r="D30" s="44">
        <f>IF(D20=0,0,'Financial Model'!D3/D20)</f>
        <v>0.3254552660783174</v>
      </c>
      <c r="E30" s="44">
        <f>IF(E20=0,0,'Financial Model'!E3/E20)</f>
        <v>0.25881186142410634</v>
      </c>
      <c r="F30" s="44">
        <f>IF(F20=0,0,'Financial Model'!F3/F20)</f>
        <v>0.23758159092662604</v>
      </c>
    </row>
    <row r="31" spans="1:6" x14ac:dyDescent="0.25">
      <c r="A31" s="22" t="s">
        <v>163</v>
      </c>
      <c r="B31" s="44">
        <f>IF(B20=0,0,'Financial Model'!B4/B20)</f>
        <v>0.4230271668822768</v>
      </c>
      <c r="C31" s="44">
        <f>IF(C20=0,0,'Financial Model'!C4/C20)</f>
        <v>0.35193435864912004</v>
      </c>
      <c r="D31" s="44">
        <f>IF(D20=0,0,'Financial Model'!D4/D20)</f>
        <v>0.31456930719230564</v>
      </c>
      <c r="E31" s="44">
        <f>IF(E20=0,0,'Financial Model'!E4/E20)</f>
        <v>0.3023849972421401</v>
      </c>
      <c r="F31" s="44">
        <f>IF(F20=0,0,'Financial Model'!F4/F20)</f>
        <v>0.299923231232158</v>
      </c>
    </row>
    <row r="32" spans="1:6" x14ac:dyDescent="0.25">
      <c r="A32" s="34" t="s">
        <v>164</v>
      </c>
      <c r="B32" s="48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0.02328589909443726</v>
      </c>
      <c r="C35" s="44">
        <v>0.024496591089265895</v>
      </c>
      <c r="D35" s="44">
        <v>0.025207419542355863</v>
      </c>
      <c r="E35" s="44">
        <v>0.025845087069576864</v>
      </c>
      <c r="F35" s="44">
        <v>0.026078234704112337</v>
      </c>
    </row>
    <row r="36" spans="1:6" x14ac:dyDescent="0.25">
      <c r="A36" s="22" t="s">
        <v>167</v>
      </c>
      <c r="B36" s="44">
        <v>0.8926261319534282</v>
      </c>
      <c r="C36" s="44">
        <v>0.9299191374663073</v>
      </c>
      <c r="D36" s="44">
        <v>0.9483697088199545</v>
      </c>
      <c r="E36" s="44">
        <v>0.9615475533842881</v>
      </c>
      <c r="F36" s="44">
        <v>0.9604197207005633</v>
      </c>
    </row>
    <row r="37" spans="1:6" x14ac:dyDescent="0.25">
      <c r="A37" s="22" t="s">
        <v>168</v>
      </c>
      <c r="B37" s="44">
        <v>0.08408796895213454</v>
      </c>
      <c r="C37" s="44">
        <v>0.045584271444426824</v>
      </c>
      <c r="D37" s="44">
        <v>0.026422871637689586</v>
      </c>
      <c r="E37" s="44">
        <v>0.012607359546135056</v>
      </c>
      <c r="F37" s="44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169</v>
      </c>
      <c r="C2" s="42"/>
      <c r="D2" s="42"/>
      <c r="E2" s="42"/>
      <c r="F2" s="42"/>
      <c r="G2" s="42"/>
      <c r="H2" s="42"/>
    </row>
    <row r="3" spans="2:8" x14ac:dyDescent="0.25">
      <c r="B3" s="49" t="s">
        <v>170</v>
      </c>
      <c r="C3" s="49"/>
      <c r="D3" s="49"/>
      <c r="E3" s="49"/>
      <c r="F3" s="49"/>
      <c r="G3" s="49"/>
      <c r="H3" s="49"/>
    </row>
    <row r="4" spans="2:6" x14ac:dyDescent="0.25">
      <c r="B4" s="50" t="s">
        <v>171</v>
      </c>
      <c r="D4" s="51" t="s">
        <v>172</v>
      </c>
      <c r="F4" s="52" t="s">
        <v>173</v>
      </c>
    </row>
    <row r="6" ht="24" customHeight="1" spans="2:8" x14ac:dyDescent="0.25">
      <c r="B6" s="8" t="s">
        <v>174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175</v>
      </c>
    </row>
    <row r="7" spans="2:7" x14ac:dyDescent="0.25">
      <c r="B7" s="9" t="s">
        <v>176</v>
      </c>
      <c r="C7" s="54">
        <v>120</v>
      </c>
      <c r="D7" s="54">
        <v>200</v>
      </c>
      <c r="E7" s="54">
        <v>300</v>
      </c>
      <c r="F7" s="54">
        <v>375</v>
      </c>
      <c r="G7" s="54">
        <v>400</v>
      </c>
    </row>
    <row r="8" spans="2:7" x14ac:dyDescent="0.25">
      <c r="B8" s="9" t="s">
        <v>177</v>
      </c>
      <c r="C8" s="55">
        <v>1546000</v>
      </c>
      <c r="D8" s="55">
        <v>2522800</v>
      </c>
      <c r="E8" s="55">
        <v>3784600</v>
      </c>
      <c r="F8" s="55">
        <v>4759125</v>
      </c>
      <c r="G8" s="55">
        <v>5184400</v>
      </c>
    </row>
    <row r="9" spans="2:7" x14ac:dyDescent="0.25">
      <c r="B9" s="9" t="s">
        <v>178</v>
      </c>
      <c r="C9" s="55">
        <v>1026431</v>
      </c>
      <c r="D9" s="55">
        <v>1231718</v>
      </c>
      <c r="E9" s="55">
        <v>1231718</v>
      </c>
      <c r="F9" s="55">
        <v>1231718</v>
      </c>
      <c r="G9" s="55">
        <v>1231718</v>
      </c>
    </row>
    <row r="10" spans="2:7" x14ac:dyDescent="0.25">
      <c r="B10" s="9" t="s">
        <v>17</v>
      </c>
      <c r="C10" s="55">
        <v>654000</v>
      </c>
      <c r="D10" s="55">
        <v>887860</v>
      </c>
      <c r="E10" s="55">
        <v>1190519</v>
      </c>
      <c r="F10" s="55">
        <v>1439088</v>
      </c>
      <c r="G10" s="55">
        <v>1554922</v>
      </c>
    </row>
    <row r="11" spans="2:7" x14ac:dyDescent="0.25">
      <c r="B11" s="9" t="s">
        <v>179</v>
      </c>
      <c r="C11" s="55">
        <v>49824.605221179416</v>
      </c>
      <c r="D11" s="55">
        <v>49824.605221179416</v>
      </c>
      <c r="E11" s="55">
        <v>49824.605221179416</v>
      </c>
      <c r="F11" s="55">
        <v>49824.605221179416</v>
      </c>
      <c r="G11" s="55">
        <v>49824.605221179416</v>
      </c>
    </row>
    <row r="12" spans="2:7" x14ac:dyDescent="0.25">
      <c r="B12" s="56" t="s">
        <v>150</v>
      </c>
      <c r="C12" s="57">
        <v>-299256</v>
      </c>
      <c r="D12" s="58">
        <v>313397</v>
      </c>
      <c r="E12" s="58">
        <v>1272538</v>
      </c>
      <c r="F12" s="58">
        <v>2013494</v>
      </c>
      <c r="G12" s="58">
        <v>2327935</v>
      </c>
    </row>
    <row r="13" spans="2:7" x14ac:dyDescent="0.25">
      <c r="B13" s="56" t="s">
        <v>180</v>
      </c>
      <c r="C13" s="57">
        <v>-299256</v>
      </c>
      <c r="D13" s="58">
        <v>14141</v>
      </c>
      <c r="E13" s="58">
        <v>1286679</v>
      </c>
      <c r="F13" s="58">
        <v>3300173</v>
      </c>
      <c r="G13" s="58">
        <v>5628108</v>
      </c>
    </row>
    <row r="14" spans="2:7" x14ac:dyDescent="0.25">
      <c r="B14" s="56" t="s">
        <v>181</v>
      </c>
      <c r="C14" s="59">
        <v>-0.1935679172056921</v>
      </c>
      <c r="D14" s="60">
        <v>0.12422586015538291</v>
      </c>
      <c r="E14" s="60">
        <v>0.3362410822808223</v>
      </c>
      <c r="F14" s="60">
        <v>0.42308071336642766</v>
      </c>
      <c r="G14" s="60">
        <v>0.4490268883573798</v>
      </c>
    </row>
    <row r="15" spans="2:8" x14ac:dyDescent="0.25">
      <c r="B15" s="56" t="s">
        <v>161</v>
      </c>
      <c r="C15" s="61">
        <v>12883.333333333334</v>
      </c>
      <c r="D15" s="61">
        <v>12614</v>
      </c>
      <c r="E15" s="61">
        <v>12615.333333333334</v>
      </c>
      <c r="F15" s="61">
        <v>12691</v>
      </c>
      <c r="G15" s="61">
        <v>12961</v>
      </c>
      <c r="H15" s="62" t="s">
        <v>182</v>
      </c>
    </row>
    <row r="16" spans="2:8" x14ac:dyDescent="0.25">
      <c r="B16" s="56" t="s">
        <v>183</v>
      </c>
      <c r="C16" s="59">
        <v>0.6639269081500647</v>
      </c>
      <c r="D16" s="60">
        <v>0.4882345013477089</v>
      </c>
      <c r="E16" s="60">
        <v>0.3254552660783174</v>
      </c>
      <c r="F16" s="60">
        <v>0.25881186142410634</v>
      </c>
      <c r="G16" s="60">
        <v>0.23758159092662604</v>
      </c>
      <c r="H16" s="62" t="s">
        <v>184</v>
      </c>
    </row>
    <row r="17" spans="2:8" x14ac:dyDescent="0.25">
      <c r="B17" s="56" t="s">
        <v>185</v>
      </c>
      <c r="C17" s="63">
        <v>0.18240620957309184</v>
      </c>
      <c r="D17" s="60">
        <v>0.1151339781195497</v>
      </c>
      <c r="E17" s="60">
        <v>0.07904835385509698</v>
      </c>
      <c r="F17" s="60">
        <v>0.06474930412628371</v>
      </c>
      <c r="G17" s="60">
        <v>0.06122075900007716</v>
      </c>
      <c r="H17" s="62" t="s">
        <v>186</v>
      </c>
    </row>
    <row r="18" spans="2:8" x14ac:dyDescent="0.25">
      <c r="B18" s="56" t="s">
        <v>187</v>
      </c>
      <c r="C18" s="59">
        <v>-0.08695407503234152</v>
      </c>
      <c r="D18" s="60">
        <v>0.15983114000317108</v>
      </c>
      <c r="E18" s="60">
        <v>0.35997542672937693</v>
      </c>
      <c r="F18" s="60">
        <v>0.4388031413337536</v>
      </c>
      <c r="G18" s="60">
        <v>0.46249517784121597</v>
      </c>
      <c r="H18" s="62" t="s">
        <v>188</v>
      </c>
    </row>
    <row r="19" spans="2:8" x14ac:dyDescent="0.25">
      <c r="B19" s="56" t="s">
        <v>189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190</v>
      </c>
    </row>
    <row r="20" spans="2:8" x14ac:dyDescent="0.25">
      <c r="B20" s="56" t="s">
        <v>191</v>
      </c>
      <c r="C20" s="65">
        <v>-2.6980845990297206</v>
      </c>
      <c r="D20" s="66">
        <v>8.092828798342362</v>
      </c>
      <c r="E20" s="66">
        <v>27.343177009677287</v>
      </c>
      <c r="F20" s="66">
        <v>41.91340785801748</v>
      </c>
      <c r="G20" s="66">
        <v>48.1240140158855</v>
      </c>
      <c r="H20" s="62" t="s">
        <v>192</v>
      </c>
    </row>
    <row r="21" spans="2:8" x14ac:dyDescent="0.25">
      <c r="B21" s="56" t="s">
        <v>193</v>
      </c>
      <c r="C21" s="67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7" t="str">
        <f>IF(AND('Financial Model'!D8&gt;=0,'Financial Model'!C8&lt;0),"✓ Break-even","")</f>
        <v>0</v>
      </c>
      <c r="F21" s="67" t="str">
        <f>IF(AND('Financial Model'!E8&gt;=0,'Financial Model'!D8&lt;0),"✓ Break-even","")</f>
        <v>0</v>
      </c>
      <c r="G21" s="67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194</v>
      </c>
      <c r="C22" s="68">
        <v>-2</v>
      </c>
      <c r="D22" s="68">
        <v>0</v>
      </c>
      <c r="E22" s="68">
        <v>6</v>
      </c>
      <c r="F22" s="69">
        <v>15</v>
      </c>
      <c r="G22" s="64">
        <v>24</v>
      </c>
      <c r="H22" s="62" t="s">
        <v>195</v>
      </c>
    </row>
    <row r="24" ht="24" customHeight="1" spans="2:8" x14ac:dyDescent="0.25">
      <c r="B24" s="8" t="s">
        <v>196</v>
      </c>
      <c r="C24" s="8" t="s">
        <v>197</v>
      </c>
      <c r="D24" s="8" t="s">
        <v>198</v>
      </c>
      <c r="E24" s="8"/>
      <c r="F24" s="8" t="s">
        <v>199</v>
      </c>
      <c r="G24" s="8"/>
      <c r="H24" s="8"/>
    </row>
    <row r="25" ht="45" customHeight="1" spans="2:8" x14ac:dyDescent="0.25">
      <c r="B25" s="70" t="s">
        <v>200</v>
      </c>
      <c r="C25" s="41" t="s">
        <v>201</v>
      </c>
      <c r="D25" s="71" t="s">
        <v>202</v>
      </c>
      <c r="E25" s="71"/>
      <c r="F25" s="72" t="s">
        <v>203</v>
      </c>
      <c r="G25" s="72"/>
      <c r="H25" s="72"/>
    </row>
    <row r="26" ht="45" customHeight="1" spans="2:8" x14ac:dyDescent="0.25">
      <c r="B26" s="70" t="s">
        <v>204</v>
      </c>
      <c r="C26" s="73" t="s">
        <v>205</v>
      </c>
      <c r="D26" s="71" t="s">
        <v>206</v>
      </c>
      <c r="E26" s="71"/>
      <c r="F26" s="72" t="s">
        <v>207</v>
      </c>
      <c r="G26" s="72"/>
      <c r="H26" s="72"/>
    </row>
    <row r="27" ht="45" customHeight="1" spans="2:8" x14ac:dyDescent="0.25">
      <c r="B27" s="70" t="s">
        <v>208</v>
      </c>
      <c r="C27" s="41" t="s">
        <v>201</v>
      </c>
      <c r="D27" s="71" t="s">
        <v>209</v>
      </c>
      <c r="E27" s="71"/>
      <c r="F27" s="72" t="s">
        <v>210</v>
      </c>
      <c r="G27" s="72"/>
      <c r="H27" s="72"/>
    </row>
    <row r="28" ht="45" customHeight="1" spans="2:8" x14ac:dyDescent="0.25">
      <c r="B28" s="70" t="s">
        <v>211</v>
      </c>
      <c r="C28" s="41" t="s">
        <v>201</v>
      </c>
      <c r="D28" s="71" t="s">
        <v>212</v>
      </c>
      <c r="E28" s="71"/>
      <c r="F28" s="72" t="s">
        <v>213</v>
      </c>
      <c r="G28" s="72"/>
      <c r="H28" s="72"/>
    </row>
    <row r="29" ht="45" customHeight="1" spans="2:8" x14ac:dyDescent="0.25">
      <c r="B29" s="70" t="s">
        <v>214</v>
      </c>
      <c r="C29" s="41" t="s">
        <v>201</v>
      </c>
      <c r="D29" s="71" t="s">
        <v>215</v>
      </c>
      <c r="E29" s="71"/>
      <c r="F29" s="72" t="s">
        <v>216</v>
      </c>
      <c r="G29" s="72"/>
      <c r="H29" s="72"/>
    </row>
    <row r="30" ht="45" customHeight="1" spans="2:8" x14ac:dyDescent="0.25">
      <c r="B30" s="70" t="s">
        <v>217</v>
      </c>
      <c r="C30" s="41" t="s">
        <v>201</v>
      </c>
      <c r="D30" s="71" t="s">
        <v>218</v>
      </c>
      <c r="E30" s="71"/>
      <c r="F30" s="72" t="s">
        <v>219</v>
      </c>
      <c r="G30" s="72"/>
      <c r="H30" s="72"/>
    </row>
    <row r="31" ht="45" customHeight="1" spans="2:8" x14ac:dyDescent="0.25">
      <c r="B31" s="70" t="s">
        <v>220</v>
      </c>
      <c r="C31" s="41" t="s">
        <v>201</v>
      </c>
      <c r="D31" s="71" t="s">
        <v>221</v>
      </c>
      <c r="E31" s="71"/>
      <c r="F31" s="72" t="s">
        <v>222</v>
      </c>
      <c r="G31" s="72"/>
      <c r="H31" s="72"/>
    </row>
    <row r="33" spans="2:6" x14ac:dyDescent="0.25">
      <c r="B33" s="70" t="s">
        <v>20</v>
      </c>
      <c r="C33" s="56" t="s">
        <v>223</v>
      </c>
      <c r="D33" s="56"/>
      <c r="E33" s="56"/>
      <c r="F33" s="56"/>
    </row>
    <row r="35" spans="2:8" x14ac:dyDescent="0.25">
      <c r="B35" s="74" t="s">
        <v>224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2026-03-26T23:37:42Z</dcterms:created>
  <dcterms:modified xsi:type="dcterms:W3CDTF">2026-03-26T23:37:42Z</dcterms:modified>
</cp:coreProperties>
</file>