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Personnel'!$A1:$H28</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<sst xmlns="http://schemas.openxmlformats.org/spreadsheetml/2006/main" count="338" uniqueCount="236">
  <si>
    <t>SchoolStack Budget</t>
  </si>
  <si>
    <t>5-Year Financial Model</t>
  </si>
  <si>
    <t>Prepared for</t>
  </si>
  <si>
    <t>Civic Scholars Charter</t>
  </si>
  <si>
    <t>Charter School  •  501(c)(3) Nonprofit  •  OH</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</si>
  <si>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</si>
  <si>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</si>
  <si>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</si>
  <si>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</si>
  <si>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</si>
  <si>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</si>
  <si>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</si>
  <si>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</si>
  <si>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</si>
  <si>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</si>
  <si>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</si>
  <si>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</si>
  <si>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</si>
  <si>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</si>
  <si>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</si>
  <si>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</si>
  <si>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</si>
  <si>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</si>
  <si>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</si>
  <si>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</si>
  <si>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</si>
  <si>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</si>
  <si>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</si>
  <si>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</si>
  <si>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</si>
  <si>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</si>
  <si>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</si>
  <si>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</si>
  <si>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</si>
  <si>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</si>
  <si>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</si>
  <si>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</si>
  <si>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</si>
  <si>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</si>
  <si>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</si>
  <si>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</si>
  <si>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</si>
  <si>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</si>
  <si>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</si>
  <si>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</si>
  <si>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</si>
  <si>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</si>
  <si>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</si>
  <si>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</si>
  <si>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</si>
  <si>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</si>
  <si>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</si>
  <si>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</si>
  <si>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</si>
  <si>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</si>
  <si>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</si>
  <si>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</si>
  <si>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</si>
  <si>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</si>
  <si>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</si>
  <si>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</si>
  <si>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</si>
  <si>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</si>
  <si>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</si>
  <si>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</si>
  <si>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</si>
  <si>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</si>
  <si>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</si>
  <si>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</si>
  <si>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</si>
  <si>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</si>
  <si>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</si>
  <si>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</si>
  <si>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</si>
  <si>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</si>
  <si>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</si>
  <si>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</si>
  <si>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</si>
  <si>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</si>
  <si>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</si>
  <si>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</si>
  <si>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</si>
  <si>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</si>
  <si>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</si>
  <si>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</si>
  <si>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</si>
  <si>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</si>
  <si>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</si>
  <si>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</si>
  <si>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</si>
  <si>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</si>
  <si>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</si>
  <si>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</si>
  <si>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</si>
  <si>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</si>
  <si>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</si>
  <si>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</si>
  <si>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</si>
  <si>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</si>
  <si>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</si>
  <si>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</si>
  <si>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</si>
  <si>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</si>
  <si>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</si>
  <si>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</si>
  <si>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</si>
  <si>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</si>
  <si>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</si>
  <si>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</si>
  <si>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</si>
  <si>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</si>
  <si>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</si>
  <si>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</si>
  <si>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</si>
  <si>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</si>
  <si>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</si>
  <si>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</si>
  <si>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</si>
  <si>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</si>
  <si>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</si>
  <si>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</si>
  <si>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</si>
  <si>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</si>
  <si>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</si>
  <si>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</si>
  <si>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</si>
  <si>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</si>
  <si>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</si>
  <si>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</si>
  <si>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</si>
  <si>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</si>
  <si>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</si>
  <si>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</si>
  <si>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</si>
  <si>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</si>
  <si>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</si>
  <si>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</si>
  <si>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</si>
  <si>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</si>
  <si>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</si>
  <si>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</si>
  <si>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</si>
  <si>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</si>
  <si>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</si>
  <si>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</si>
  <si>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</si>
  <si>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</si>
  <si>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</si>
  <si>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</si>
  <si>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</si>
  <si>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</si>
  <si>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</si>
  <si>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</si>
  <si>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</si>
  <si>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</si>
  <si>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</si>
  <si>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</si>
  <si>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</si>
  <si>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</si>
  <si>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</si>
  <si>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</si>
  <si>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</si>
  <si>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</si>
  <si>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</si>
  <si>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</si>
  <si>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</si>
  <si>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</si>
  <si>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</si>
  <si>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</si>
  <si>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</si>
  <si>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</si>
  <si>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</si>
  <si>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</si>
  <si>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</si>
  <si>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7,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</si>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</sst>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1">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19" fillId="7" borderId="2" xfId="0" applyNumberFormat="1" applyFont="1" applyFill="1" applyBorder="1"/>
    <xf numFmtId="165" fontId="19" fillId="7" borderId="2"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19"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9"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124</v>
      </c>
      <c r="B3" s="8"/>
      <c r="C3" s="8"/>
      <c r="D3" s="8"/>
      <c r="E3" s="8"/>
      <c r="F3" s="8"/>
    </row>
    <row r="4" spans="1:6" x14ac:dyDescent="0.25">
      <c r="A4" s="22" t="s">
        <v>125</v>
      </c>
      <c r="B4" s="30">
        <f>700*Assumptions!B23</f>
        <v>84000</v>
      </c>
      <c r="C4" s="30">
        <f>721*Assumptions!B24</f>
        <v>144200</v>
      </c>
      <c r="D4" s="30">
        <f>743*Assumptions!B25</f>
        <v>222900</v>
      </c>
      <c r="E4" s="30">
        <f>765*Assumptions!B26</f>
        <v>286875</v>
      </c>
      <c r="F4" s="30">
        <f>788*Assumptions!B27</f>
        <v>315200</v>
      </c>
    </row>
    <row r="5" ht="24" customHeight="1" spans="1:6" x14ac:dyDescent="0.25">
      <c r="A5" s="8" t="s">
        <v>126</v>
      </c>
      <c r="B5" s="31">
        <f>SUM(B4:B4)</f>
        <v>84000</v>
      </c>
      <c r="C5" s="31">
        <f>SUM(C4:C4)</f>
        <v>144200</v>
      </c>
      <c r="D5" s="31">
        <f>SUM(D4:D4)</f>
        <v>222900</v>
      </c>
      <c r="E5" s="31">
        <f>SUM(E4:E4)</f>
        <v>286875</v>
      </c>
      <c r="F5" s="31">
        <f>SUM(F4:F4)</f>
        <v>315200</v>
      </c>
    </row>
    <row r="6" ht="24" customHeight="1" spans="1:6" x14ac:dyDescent="0.25">
      <c r="A6" s="8" t="s">
        <v>127</v>
      </c>
      <c r="B6" s="8"/>
      <c r="C6" s="8"/>
      <c r="D6" s="8"/>
      <c r="E6" s="8"/>
      <c r="F6" s="8"/>
    </row>
    <row r="7" spans="1:6" x14ac:dyDescent="0.25">
      <c r="A7" s="22" t="s">
        <v>128</v>
      </c>
      <c r="B7" s="30">
        <f>500*Assumptions!B23</f>
        <v>60000</v>
      </c>
      <c r="C7" s="30">
        <f>515*Assumptions!B24</f>
        <v>103000</v>
      </c>
      <c r="D7" s="30">
        <f>530*Assumptions!B25</f>
        <v>159000</v>
      </c>
      <c r="E7" s="30">
        <f>546*Assumptions!B26</f>
        <v>204750</v>
      </c>
      <c r="F7" s="30">
        <f>562*Assumptions!B27</f>
        <v>224800</v>
      </c>
    </row>
    <row r="8" ht="24" customHeight="1" spans="1:6" x14ac:dyDescent="0.25">
      <c r="A8" s="8" t="s">
        <v>129</v>
      </c>
      <c r="B8" s="31">
        <f>SUM(B7:B7)</f>
        <v>60000</v>
      </c>
      <c r="C8" s="31">
        <f>SUM(C7:C7)</f>
        <v>103000</v>
      </c>
      <c r="D8" s="31">
        <f>SUM(D7:D7)</f>
        <v>159000</v>
      </c>
      <c r="E8" s="31">
        <f>SUM(E7:E7)</f>
        <v>204750</v>
      </c>
      <c r="F8" s="31">
        <f>SUM(F7:F7)</f>
        <v>224800</v>
      </c>
    </row>
    <row r="9" ht="24" customHeight="1" spans="1:6" x14ac:dyDescent="0.25">
      <c r="A9" s="8" t="s">
        <v>130</v>
      </c>
      <c r="B9" s="8"/>
      <c r="C9" s="8"/>
      <c r="D9" s="8"/>
      <c r="E9" s="8"/>
      <c r="F9" s="8"/>
    </row>
    <row r="10" spans="1:6" x14ac:dyDescent="0.25">
      <c r="A10" s="22" t="s">
        <v>131</v>
      </c>
      <c r="B10" s="30">
        <f>18000*12</f>
        <v>216000</v>
      </c>
      <c r="C10" s="30">
        <f>18540*12</f>
        <v>222480</v>
      </c>
      <c r="D10" s="30">
        <f>19096*12</f>
        <v>229152</v>
      </c>
      <c r="E10" s="30">
        <f>19669*12</f>
        <v>236028</v>
      </c>
      <c r="F10" s="30">
        <f>20259*12</f>
        <v>243108</v>
      </c>
    </row>
    <row r="11" spans="1:6" x14ac:dyDescent="0.25">
      <c r="A11" s="22" t="s">
        <v>132</v>
      </c>
      <c r="B11" s="30">
        <f>2500*12</f>
        <v>30000</v>
      </c>
      <c r="C11" s="30">
        <f>2575*12</f>
        <v>30900</v>
      </c>
      <c r="D11" s="30">
        <f>2652*12</f>
        <v>31824</v>
      </c>
      <c r="E11" s="30">
        <f>2732*12</f>
        <v>32784</v>
      </c>
      <c r="F11" s="30">
        <f>2814*12</f>
        <v>33768</v>
      </c>
    </row>
    <row r="12" spans="1:6" x14ac:dyDescent="0.25">
      <c r="A12" s="22" t="s">
        <v>133</v>
      </c>
      <c r="B12" s="30">
        <v>18000</v>
      </c>
      <c r="C12" s="30">
        <v>18540</v>
      </c>
      <c r="D12" s="30">
        <v>19096</v>
      </c>
      <c r="E12" s="30">
        <v>19669</v>
      </c>
      <c r="F12" s="30">
        <v>20259</v>
      </c>
    </row>
    <row r="13" spans="1:6" x14ac:dyDescent="0.25">
      <c r="A13" s="22" t="s">
        <v>134</v>
      </c>
      <c r="B13" s="30">
        <f>1500*12</f>
        <v>18000</v>
      </c>
      <c r="C13" s="30">
        <f>1545*12</f>
        <v>18540</v>
      </c>
      <c r="D13" s="30">
        <f>1591*12</f>
        <v>19092</v>
      </c>
      <c r="E13" s="30">
        <f>1639*12</f>
        <v>19668</v>
      </c>
      <c r="F13" s="30">
        <f>1688*12</f>
        <v>20256</v>
      </c>
    </row>
    <row r="14" ht="24" customHeight="1" spans="1:6" x14ac:dyDescent="0.25">
      <c r="A14" s="8" t="s">
        <v>135</v>
      </c>
      <c r="B14" s="31">
        <f>SUM(B10:B13)</f>
        <v>282000</v>
      </c>
      <c r="C14" s="31">
        <f>SUM(C10:C13)</f>
        <v>290460</v>
      </c>
      <c r="D14" s="31">
        <f>SUM(D10:D13)</f>
        <v>299164</v>
      </c>
      <c r="E14" s="31">
        <f>SUM(E10:E13)</f>
        <v>308149</v>
      </c>
      <c r="F14" s="31">
        <f>SUM(F10:F13)</f>
        <v>317391</v>
      </c>
    </row>
    <row r="15" ht="24" customHeight="1" spans="1:6" x14ac:dyDescent="0.25">
      <c r="A15" s="8" t="s">
        <v>136</v>
      </c>
      <c r="B15" s="8"/>
      <c r="C15" s="8"/>
      <c r="D15" s="8"/>
      <c r="E15" s="8"/>
      <c r="F15" s="8"/>
    </row>
    <row r="16" spans="1:6" x14ac:dyDescent="0.25">
      <c r="A16" s="22" t="s">
        <v>137</v>
      </c>
      <c r="B16" s="30">
        <v>25000</v>
      </c>
      <c r="C16" s="30">
        <v>25750</v>
      </c>
      <c r="D16" s="30">
        <v>26523</v>
      </c>
      <c r="E16" s="30">
        <v>27318</v>
      </c>
      <c r="F16" s="30">
        <v>28138</v>
      </c>
    </row>
    <row r="17" spans="1:6" x14ac:dyDescent="0.25">
      <c r="A17" s="22" t="s">
        <v>138</v>
      </c>
      <c r="B17" s="30">
        <v>15000</v>
      </c>
      <c r="C17" s="30">
        <v>15450</v>
      </c>
      <c r="D17" s="30">
        <v>15914</v>
      </c>
      <c r="E17" s="30">
        <v>16391</v>
      </c>
      <c r="F17" s="30">
        <v>16883</v>
      </c>
    </row>
    <row r="18" spans="1:6" x14ac:dyDescent="0.25">
      <c r="A18" s="22" t="s">
        <v>139</v>
      </c>
      <c r="B18" s="30">
        <v>20000</v>
      </c>
      <c r="C18" s="30">
        <v>20600</v>
      </c>
      <c r="D18" s="30">
        <v>21218</v>
      </c>
      <c r="E18" s="30">
        <v>21855</v>
      </c>
      <c r="F18" s="30">
        <v>22510</v>
      </c>
    </row>
    <row r="19" spans="1:6" x14ac:dyDescent="0.25">
      <c r="A19" s="22" t="s">
        <v>140</v>
      </c>
      <c r="B19" s="30">
        <f>800*Assumptions!B23</f>
        <v>96000</v>
      </c>
      <c r="C19" s="30">
        <f>824*Assumptions!B24</f>
        <v>164800</v>
      </c>
      <c r="D19" s="30">
        <f>849*Assumptions!B25</f>
        <v>254700</v>
      </c>
      <c r="E19" s="30">
        <f>874*Assumptions!B26</f>
        <v>327750</v>
      </c>
      <c r="F19" s="30">
        <f>900*Assumptions!B27</f>
        <v>360000</v>
      </c>
    </row>
    <row r="20" spans="1:6" x14ac:dyDescent="0.25">
      <c r="A20" s="22" t="s">
        <v>141</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142</v>
      </c>
      <c r="B21" s="31">
        <f>SUM(B16:B20)</f>
        <v>228000</v>
      </c>
      <c r="C21" s="31">
        <f>SUM(C16:C20)</f>
        <v>350200</v>
      </c>
      <c r="D21" s="31">
        <f>SUM(D16:D20)</f>
        <v>509455</v>
      </c>
      <c r="E21" s="31">
        <f>SUM(E16:E20)</f>
        <v>639314</v>
      </c>
      <c r="F21" s="31">
        <f>SUM(F16:F20)</f>
        <v>697531</v>
      </c>
    </row>
    <row r="23" ht="24" customHeight="1" spans="1:6" x14ac:dyDescent="0.25">
      <c r="A23" s="8" t="s">
        <v>143</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144</v>
      </c>
      <c r="B2" s="8"/>
      <c r="C2" s="8"/>
      <c r="D2" s="8"/>
      <c r="E2" s="8"/>
      <c r="F2" s="8"/>
    </row>
    <row r="3" spans="1:6" x14ac:dyDescent="0.25">
      <c r="A3" s="22" t="s">
        <v>145</v>
      </c>
      <c r="B3" s="30">
        <v>49824.605221179416</v>
      </c>
      <c r="C3" s="30">
        <v>49824.605221179416</v>
      </c>
      <c r="D3" s="30">
        <v>49824.605221179416</v>
      </c>
      <c r="E3" s="30">
        <v>49824.605221179416</v>
      </c>
      <c r="F3" s="30">
        <v>49824.605221179416</v>
      </c>
    </row>
    <row r="4" spans="1:6" x14ac:dyDescent="0.25">
      <c r="A4" s="22" t="s">
        <v>146</v>
      </c>
      <c r="B4" s="30">
        <v>75000</v>
      </c>
      <c r="C4" s="30">
        <v>25000</v>
      </c>
      <c r="D4" s="30">
        <v>30000</v>
      </c>
      <c r="E4" s="30">
        <v>15000</v>
      </c>
      <c r="F4" s="30">
        <v>10000</v>
      </c>
    </row>
    <row r="5" spans="1:6" x14ac:dyDescent="0.25">
      <c r="A5" s="22" t="s">
        <v>147</v>
      </c>
      <c r="B5" s="30">
        <v>40000</v>
      </c>
      <c r="C5" s="30">
        <v>15000</v>
      </c>
      <c r="D5" s="30">
        <v>10000</v>
      </c>
      <c r="E5" s="30">
        <v>10000</v>
      </c>
      <c r="F5" s="30">
        <v>10000</v>
      </c>
    </row>
    <row r="6" ht="24" customHeight="1" spans="1:6" x14ac:dyDescent="0.25">
      <c r="A6" s="8" t="s">
        <v>148</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149</v>
      </c>
      <c r="B2" s="30">
        <f>'Revenue Schedule'!B16</f>
        <v>1546000</v>
      </c>
      <c r="C2" s="30">
        <f>'Revenue Schedule'!C16</f>
        <v>2522800</v>
      </c>
      <c r="D2" s="30">
        <f>'Revenue Schedule'!D16</f>
        <v>3784600</v>
      </c>
      <c r="E2" s="30">
        <f>'Revenue Schedule'!E16</f>
        <v>4759125</v>
      </c>
      <c r="F2" s="30">
        <f>'Revenue Schedule'!F16</f>
        <v>5184400</v>
      </c>
    </row>
    <row r="3" spans="1:6" x14ac:dyDescent="0.25">
      <c r="A3" s="22" t="s">
        <v>150</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151</v>
      </c>
      <c r="B6" s="31">
        <f>B3+B4+B5</f>
        <v>1845256</v>
      </c>
      <c r="C6" s="31">
        <f>C3+C4+C5</f>
        <v>2209403</v>
      </c>
      <c r="D6" s="31">
        <f>D3+D4+D5</f>
        <v>2512062</v>
      </c>
      <c r="E6" s="31">
        <f>E3+E4+E5</f>
        <v>2745631</v>
      </c>
      <c r="F6" s="31">
        <f>F3+F4+F5</f>
        <v>2856465</v>
      </c>
    </row>
    <row r="7" ht="24" customHeight="1" spans="1:6" x14ac:dyDescent="0.25">
      <c r="A7" s="8" t="s">
        <v>152</v>
      </c>
      <c r="B7" s="31">
        <f>B2-B6</f>
        <v>-299256</v>
      </c>
      <c r="C7" s="31">
        <f>C2-C6</f>
        <v>313397</v>
      </c>
      <c r="D7" s="31">
        <f>D2-D6</f>
        <v>1272538</v>
      </c>
      <c r="E7" s="31">
        <f>E2-E6</f>
        <v>2013494</v>
      </c>
      <c r="F7" s="31">
        <f>F2-F6</f>
        <v>2327935</v>
      </c>
    </row>
    <row r="8" spans="1:6" x14ac:dyDescent="0.25">
      <c r="A8" s="22" t="s">
        <v>153</v>
      </c>
      <c r="B8" s="30">
        <f>B7</f>
        <v>-299256</v>
      </c>
      <c r="C8" s="30">
        <f>B8+C7</f>
        <v>14141</v>
      </c>
      <c r="D8" s="30">
        <f>C8+D7</f>
        <v>1286679</v>
      </c>
      <c r="E8" s="30">
        <f>D8+E7</f>
        <v>3300173</v>
      </c>
      <c r="F8" s="30">
        <f>E8+F7</f>
        <v>5628108</v>
      </c>
    </row>
    <row r="9" spans="1:6" x14ac:dyDescent="0.25">
      <c r="A9" s="22" t="s">
        <v>11</v>
      </c>
      <c r="B9" s="39" t="str">
        <f>IF(B6=0,0,IF(B8&gt;0,B8/(B6/12),0))</f>
        <v>0</v>
      </c>
      <c r="C9" s="39">
        <f>IF(C6=0,0,IF(C8&gt;0,C8/(C6/12),0))</f>
        <v>0.0768044580368543</v>
      </c>
      <c r="D9" s="39">
        <f>IF(D6=0,0,IF(D8&gt;0,D8/(D6/12),0))</f>
        <v>6.146404029836844</v>
      </c>
      <c r="E9" s="39">
        <f>IF(E6=0,0,IF(E8&gt;0,E8/(E6/12),0))</f>
        <v>14.42367018729028</v>
      </c>
      <c r="F9" s="39">
        <f>IF(F6=0,0,IF(F8&gt;0,F8/(F6/12),0))</f>
        <v>23.643663059060763</v>
      </c>
    </row>
    <row r="10" spans="1:6" x14ac:dyDescent="0.25">
      <c r="A10" s="34" t="s">
        <v>154</v>
      </c>
      <c r="B10" s="40" t="s">
        <v>24</v>
      </c>
      <c r="C10" s="41" t="s">
        <v>155</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158</v>
      </c>
    </row>
    <row r="15" ht="24" customHeight="1" spans="1:6" x14ac:dyDescent="0.25">
      <c r="A15" s="8" t="s">
        <v>159</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160</v>
      </c>
      <c r="B18" s="9" t="s">
        <v>161</v>
      </c>
      <c r="C18" s="44">
        <f>IF(B17=0,0,(C17-B17)/B17)</f>
        <v>0.6666666666666666</v>
      </c>
      <c r="D18" s="44">
        <f>IF(C17=0,0,(D17-C17)/C17)</f>
        <v>0.5</v>
      </c>
      <c r="E18" s="44">
        <f>IF(D17=0,0,(E17-D17)/D17)</f>
        <v>0.25</v>
      </c>
      <c r="F18" s="44">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149</v>
      </c>
      <c r="B21" s="30">
        <f>'Financial Model'!B2</f>
        <v>1546000</v>
      </c>
      <c r="C21" s="30">
        <f>'Financial Model'!C2</f>
        <v>2522800</v>
      </c>
      <c r="D21" s="30">
        <f>'Financial Model'!D2</f>
        <v>3784600</v>
      </c>
      <c r="E21" s="30">
        <f>'Financial Model'!E2</f>
        <v>4759125</v>
      </c>
      <c r="F21" s="30">
        <f>'Financial Model'!F2</f>
        <v>5184400</v>
      </c>
    </row>
    <row r="22" spans="1:6" x14ac:dyDescent="0.25">
      <c r="A22" s="22" t="s">
        <v>150</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151</v>
      </c>
      <c r="B24" s="31">
        <f>'Financial Model'!B6</f>
        <v>1845256</v>
      </c>
      <c r="C24" s="31">
        <f>'Financial Model'!C6</f>
        <v>2209403</v>
      </c>
      <c r="D24" s="31">
        <f>'Financial Model'!D6</f>
        <v>2512062</v>
      </c>
      <c r="E24" s="31">
        <f>'Financial Model'!E6</f>
        <v>2745631</v>
      </c>
      <c r="F24" s="31">
        <f>'Financial Model'!F6</f>
        <v>2856465</v>
      </c>
    </row>
    <row r="25" spans="1:6" x14ac:dyDescent="0.25">
      <c r="A25" s="34" t="s">
        <v>152</v>
      </c>
      <c r="B25" s="45">
        <f>'Financial Model'!B7</f>
        <v>-299256</v>
      </c>
      <c r="C25" s="46">
        <f>'Financial Model'!C7</f>
        <v>313397</v>
      </c>
      <c r="D25" s="46">
        <f>'Financial Model'!D7</f>
        <v>1272538</v>
      </c>
      <c r="E25" s="46">
        <f>'Financial Model'!E7</f>
        <v>2013494</v>
      </c>
      <c r="F25" s="46">
        <f>'Financial Model'!F7</f>
        <v>2327935</v>
      </c>
    </row>
    <row r="26" spans="1:6" x14ac:dyDescent="0.25">
      <c r="A26" s="22" t="s">
        <v>153</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7" t="str">
        <f>'Financial Model'!B9</f>
        <v>0</v>
      </c>
      <c r="C27" s="47">
        <f>'Financial Model'!C9</f>
        <v>0.0768044580368543</v>
      </c>
      <c r="D27" s="13">
        <f>'Financial Model'!D9</f>
        <v>6.146404029836844</v>
      </c>
      <c r="E27" s="13">
        <f>'Financial Model'!E9</f>
        <v>14.42367018729028</v>
      </c>
      <c r="F27" s="13">
        <f>'Financial Model'!F9</f>
        <v>23.643663059060763</v>
      </c>
    </row>
    <row r="29" ht="24" customHeight="1" spans="1:6" x14ac:dyDescent="0.25">
      <c r="A29" s="8" t="s">
        <v>162</v>
      </c>
      <c r="B29" s="8"/>
      <c r="C29" s="8"/>
      <c r="D29" s="8"/>
      <c r="E29" s="8"/>
      <c r="F29" s="8"/>
    </row>
    <row r="30" spans="1:6" x14ac:dyDescent="0.25">
      <c r="A30" s="22" t="s">
        <v>163</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164</v>
      </c>
      <c r="B31" s="44">
        <f>IF(B21=0,0,'Financial Model'!B3/B21)</f>
        <v>0.6639269081500647</v>
      </c>
      <c r="C31" s="44">
        <f>IF(C21=0,0,'Financial Model'!C3/C21)</f>
        <v>0.4882345013477089</v>
      </c>
      <c r="D31" s="44">
        <f>IF(D21=0,0,'Financial Model'!D3/D21)</f>
        <v>0.3254552660783174</v>
      </c>
      <c r="E31" s="44">
        <f>IF(E21=0,0,'Financial Model'!E3/E21)</f>
        <v>0.25881186142410634</v>
      </c>
      <c r="F31" s="44">
        <f>IF(F21=0,0,'Financial Model'!F3/F21)</f>
        <v>0.23758159092662604</v>
      </c>
    </row>
    <row r="32" spans="1:6" x14ac:dyDescent="0.25">
      <c r="A32" s="22" t="s">
        <v>165</v>
      </c>
      <c r="B32" s="44">
        <f>IF(B21=0,0,'Financial Model'!B4/B21)</f>
        <v>0.4230271668822768</v>
      </c>
      <c r="C32" s="44">
        <f>IF(C21=0,0,'Financial Model'!C4/C21)</f>
        <v>0.35193435864912004</v>
      </c>
      <c r="D32" s="44">
        <f>IF(D21=0,0,'Financial Model'!D4/D21)</f>
        <v>0.31456930719230564</v>
      </c>
      <c r="E32" s="44">
        <f>IF(E21=0,0,'Financial Model'!E4/E21)</f>
        <v>0.3023849972421401</v>
      </c>
      <c r="F32" s="44">
        <f>IF(F21=0,0,'Financial Model'!F4/F21)</f>
        <v>0.299923231232158</v>
      </c>
    </row>
    <row r="33" spans="1:6" x14ac:dyDescent="0.25">
      <c r="A33" s="34" t="s">
        <v>166</v>
      </c>
      <c r="B33" s="48">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167</v>
      </c>
      <c r="B35" s="8"/>
      <c r="C35" s="8"/>
      <c r="D35" s="8"/>
      <c r="E35" s="8"/>
      <c r="F35" s="8"/>
    </row>
    <row r="36" spans="1:6" x14ac:dyDescent="0.25">
      <c r="A36" s="22" t="s">
        <v>168</v>
      </c>
      <c r="B36" s="44">
        <v>0.02328589909443726</v>
      </c>
      <c r="C36" s="44">
        <v>0.024496591089265895</v>
      </c>
      <c r="D36" s="44">
        <v>0.025207419542355863</v>
      </c>
      <c r="E36" s="44">
        <v>0.025845087069576864</v>
      </c>
      <c r="F36" s="44">
        <v>0.026078234704112337</v>
      </c>
    </row>
    <row r="37" spans="1:6" x14ac:dyDescent="0.25">
      <c r="A37" s="22" t="s">
        <v>169</v>
      </c>
      <c r="B37" s="44">
        <v>0.8926261319534282</v>
      </c>
      <c r="C37" s="44">
        <v>0.9299191374663073</v>
      </c>
      <c r="D37" s="44">
        <v>0.9483697088199545</v>
      </c>
      <c r="E37" s="44">
        <v>0.9615475533842881</v>
      </c>
      <c r="F37" s="44">
        <v>0.9604197207005633</v>
      </c>
    </row>
    <row r="38" spans="1:6" x14ac:dyDescent="0.25">
      <c r="A38" s="22" t="s">
        <v>170</v>
      </c>
      <c r="B38" s="44">
        <v>0.08408796895213454</v>
      </c>
      <c r="C38" s="44">
        <v>0.045584271444426824</v>
      </c>
      <c r="D38" s="44">
        <v>0.026422871637689586</v>
      </c>
      <c r="E38" s="44">
        <v>0.012607359546135056</v>
      </c>
      <c r="F38" s="44">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2" t="s">
        <v>173</v>
      </c>
      <c r="C2" s="42"/>
      <c r="D2" s="42"/>
      <c r="E2" s="42"/>
      <c r="F2" s="42"/>
      <c r="G2" s="42"/>
      <c r="H2" s="42"/>
      <c r="I2" s="42"/>
    </row>
    <row r="3" spans="2:9" x14ac:dyDescent="0.25">
      <c r="B3" s="51" t="s">
        <v>174</v>
      </c>
      <c r="C3" s="51"/>
      <c r="D3" s="51"/>
      <c r="E3" s="51"/>
      <c r="F3" s="51"/>
      <c r="G3" s="51"/>
      <c r="H3" s="51"/>
      <c r="I3" s="51"/>
    </row>
    <row r="4" spans="2:6" x14ac:dyDescent="0.25">
      <c r="B4" s="52" t="s">
        <v>175</v>
      </c>
      <c r="D4" s="53" t="s">
        <v>176</v>
      </c>
      <c r="F4" s="54" t="s">
        <v>177</v>
      </c>
    </row>
    <row r="6" ht="24" customHeight="1" spans="2:8" x14ac:dyDescent="0.25">
      <c r="B6" s="8" t="s">
        <v>178</v>
      </c>
      <c r="C6" s="55" t="s">
        <v>68</v>
      </c>
      <c r="D6" s="55" t="s">
        <v>69</v>
      </c>
      <c r="E6" s="55" t="s">
        <v>70</v>
      </c>
      <c r="F6" s="55" t="s">
        <v>71</v>
      </c>
      <c r="G6" s="55" t="s">
        <v>72</v>
      </c>
      <c r="H6" s="55" t="s">
        <v>179</v>
      </c>
    </row>
    <row r="7" spans="2:7" x14ac:dyDescent="0.25">
      <c r="B7" s="9" t="s">
        <v>180</v>
      </c>
      <c r="C7" s="56">
        <v>120</v>
      </c>
      <c r="D7" s="56">
        <v>200</v>
      </c>
      <c r="E7" s="56">
        <v>300</v>
      </c>
      <c r="F7" s="56">
        <v>375</v>
      </c>
      <c r="G7" s="56">
        <v>400</v>
      </c>
    </row>
    <row r="8" spans="2:7" x14ac:dyDescent="0.25">
      <c r="B8" s="9" t="s">
        <v>181</v>
      </c>
      <c r="C8" s="57">
        <v>1546000</v>
      </c>
      <c r="D8" s="57">
        <v>2522800</v>
      </c>
      <c r="E8" s="57">
        <v>3784600</v>
      </c>
      <c r="F8" s="57">
        <v>4759125</v>
      </c>
      <c r="G8" s="57">
        <v>5184400</v>
      </c>
    </row>
    <row r="9" spans="2:7" x14ac:dyDescent="0.25">
      <c r="B9" s="9" t="s">
        <v>182</v>
      </c>
      <c r="C9" s="57">
        <v>1026431</v>
      </c>
      <c r="D9" s="57">
        <v>1231718</v>
      </c>
      <c r="E9" s="57">
        <v>1231718</v>
      </c>
      <c r="F9" s="57">
        <v>1231718</v>
      </c>
      <c r="G9" s="57">
        <v>1231718</v>
      </c>
    </row>
    <row r="10" spans="2:7" x14ac:dyDescent="0.25">
      <c r="B10" s="9" t="s">
        <v>17</v>
      </c>
      <c r="C10" s="57">
        <v>654000</v>
      </c>
      <c r="D10" s="57">
        <v>887860</v>
      </c>
      <c r="E10" s="57">
        <v>1190519</v>
      </c>
      <c r="F10" s="57">
        <v>1439088</v>
      </c>
      <c r="G10" s="57">
        <v>1554922</v>
      </c>
    </row>
    <row r="11" spans="2:7" x14ac:dyDescent="0.25">
      <c r="B11" s="9" t="s">
        <v>183</v>
      </c>
      <c r="C11" s="57">
        <v>49824.605221179416</v>
      </c>
      <c r="D11" s="57">
        <v>49824.605221179416</v>
      </c>
      <c r="E11" s="57">
        <v>49824.605221179416</v>
      </c>
      <c r="F11" s="57">
        <v>49824.605221179416</v>
      </c>
      <c r="G11" s="57">
        <v>49824.605221179416</v>
      </c>
    </row>
    <row r="12" spans="2:7" x14ac:dyDescent="0.25">
      <c r="B12" s="58" t="s">
        <v>152</v>
      </c>
      <c r="C12" s="59">
        <v>-299256</v>
      </c>
      <c r="D12" s="60">
        <v>313397</v>
      </c>
      <c r="E12" s="60">
        <v>1272538</v>
      </c>
      <c r="F12" s="60">
        <v>2013494</v>
      </c>
      <c r="G12" s="60">
        <v>2327935</v>
      </c>
    </row>
    <row r="13" spans="2:7" x14ac:dyDescent="0.25">
      <c r="B13" s="58" t="s">
        <v>184</v>
      </c>
      <c r="C13" s="59">
        <v>-299256</v>
      </c>
      <c r="D13" s="60">
        <v>14141</v>
      </c>
      <c r="E13" s="60">
        <v>1286679</v>
      </c>
      <c r="F13" s="60">
        <v>3300173</v>
      </c>
      <c r="G13" s="60">
        <v>5628108</v>
      </c>
    </row>
    <row r="14" spans="2:7" x14ac:dyDescent="0.25">
      <c r="B14" s="58" t="s">
        <v>185</v>
      </c>
      <c r="C14" s="61">
        <v>-0.1935679172056921</v>
      </c>
      <c r="D14" s="62">
        <v>0.12422586015538291</v>
      </c>
      <c r="E14" s="62">
        <v>0.3362410822808223</v>
      </c>
      <c r="F14" s="62">
        <v>0.42308071336642766</v>
      </c>
      <c r="G14" s="62">
        <v>0.4490268883573798</v>
      </c>
    </row>
    <row r="15" spans="2:8" x14ac:dyDescent="0.25">
      <c r="B15" s="58" t="s">
        <v>163</v>
      </c>
      <c r="C15" s="63">
        <v>12883.333333333334</v>
      </c>
      <c r="D15" s="63">
        <v>12614</v>
      </c>
      <c r="E15" s="63">
        <v>12615.333333333334</v>
      </c>
      <c r="F15" s="63">
        <v>12691</v>
      </c>
      <c r="G15" s="63">
        <v>12961</v>
      </c>
      <c r="H15" s="64" t="s">
        <v>186</v>
      </c>
    </row>
    <row r="16" spans="2:7" x14ac:dyDescent="0.25">
      <c r="B16" s="58" t="s">
        <v>187</v>
      </c>
      <c r="C16" s="65">
        <v>14418.796710176493</v>
      </c>
      <c r="D16" s="65">
        <v>10847.013026105897</v>
      </c>
      <c r="E16" s="65">
        <v>8240.205350737264</v>
      </c>
      <c r="F16" s="65">
        <v>7255.014947256478</v>
      </c>
      <c r="G16" s="65">
        <v>7091.161513052948</v>
      </c>
    </row>
    <row r="17" spans="2:7" x14ac:dyDescent="0.25">
      <c r="B17" s="9" t="s">
        <v>188</v>
      </c>
      <c r="C17" s="57">
        <v>700</v>
      </c>
      <c r="D17" s="57">
        <v>721</v>
      </c>
      <c r="E17" s="57">
        <v>743</v>
      </c>
      <c r="F17" s="57">
        <v>765</v>
      </c>
      <c r="G17" s="57">
        <v>788</v>
      </c>
    </row>
    <row r="18" spans="2:8" x14ac:dyDescent="0.25">
      <c r="B18" s="9" t="s">
        <v>189</v>
      </c>
      <c r="C18" s="66">
        <v>2350</v>
      </c>
      <c r="D18" s="63">
        <v>1452.3</v>
      </c>
      <c r="E18" s="63">
        <v>997.2213333333334</v>
      </c>
      <c r="F18" s="63">
        <v>821.7334186666667</v>
      </c>
      <c r="G18" s="63">
        <v>793.4822574000001</v>
      </c>
      <c r="H18" s="64" t="s">
        <v>190</v>
      </c>
    </row>
    <row r="19" spans="2:7" x14ac:dyDescent="0.25">
      <c r="B19" s="58" t="s">
        <v>191</v>
      </c>
      <c r="C19" s="67">
        <v>-2493.8</v>
      </c>
      <c r="D19" s="68">
        <v>1566.985</v>
      </c>
      <c r="E19" s="68">
        <v>4241.793333333333</v>
      </c>
      <c r="F19" s="68">
        <v>5369.317333333333</v>
      </c>
      <c r="G19" s="68">
        <v>5819.8375</v>
      </c>
    </row>
    <row r="20" spans="2:8" x14ac:dyDescent="0.25">
      <c r="B20" s="58" t="s">
        <v>192</v>
      </c>
      <c r="C20" s="61">
        <v>0.6639269081500647</v>
      </c>
      <c r="D20" s="62">
        <v>0.4882345013477089</v>
      </c>
      <c r="E20" s="62">
        <v>0.3254552660783174</v>
      </c>
      <c r="F20" s="62">
        <v>0.25881186142410634</v>
      </c>
      <c r="G20" s="62">
        <v>0.23758159092662604</v>
      </c>
      <c r="H20" s="64" t="s">
        <v>193</v>
      </c>
    </row>
    <row r="21" spans="2:8" x14ac:dyDescent="0.25">
      <c r="B21" s="58" t="s">
        <v>194</v>
      </c>
      <c r="C21" s="69">
        <v>0.18240620957309184</v>
      </c>
      <c r="D21" s="62">
        <v>0.1151339781195497</v>
      </c>
      <c r="E21" s="62">
        <v>0.07904835385509698</v>
      </c>
      <c r="F21" s="62">
        <v>0.06474930412628371</v>
      </c>
      <c r="G21" s="62">
        <v>0.06122075900007716</v>
      </c>
      <c r="H21" s="64" t="s">
        <v>195</v>
      </c>
    </row>
    <row r="22" spans="2:8" x14ac:dyDescent="0.25">
      <c r="B22" s="58" t="s">
        <v>196</v>
      </c>
      <c r="C22" s="61">
        <v>-0.08695407503234152</v>
      </c>
      <c r="D22" s="62">
        <v>0.15983114000317108</v>
      </c>
      <c r="E22" s="62">
        <v>0.35997542672937693</v>
      </c>
      <c r="F22" s="62">
        <v>0.4388031413337536</v>
      </c>
      <c r="G22" s="62">
        <v>0.46249517784121597</v>
      </c>
      <c r="H22" s="64" t="s">
        <v>197</v>
      </c>
    </row>
    <row r="23" spans="2:8" x14ac:dyDescent="0.25">
      <c r="B23" s="58" t="s">
        <v>198</v>
      </c>
      <c r="C23" s="70">
        <v>3</v>
      </c>
      <c r="D23" s="70">
        <v>3</v>
      </c>
      <c r="E23" s="70">
        <v>3</v>
      </c>
      <c r="F23" s="70">
        <v>3</v>
      </c>
      <c r="G23" s="70">
        <v>3</v>
      </c>
      <c r="H23" s="64" t="s">
        <v>199</v>
      </c>
    </row>
    <row r="24" spans="2:8" x14ac:dyDescent="0.25">
      <c r="B24" s="58" t="s">
        <v>200</v>
      </c>
      <c r="C24" s="71">
        <v>-2.6980845990297206</v>
      </c>
      <c r="D24" s="72">
        <v>8.092828798342362</v>
      </c>
      <c r="E24" s="72">
        <v>27.343177009677287</v>
      </c>
      <c r="F24" s="72">
        <v>41.91340785801748</v>
      </c>
      <c r="G24" s="72">
        <v>48.1240140158855</v>
      </c>
      <c r="H24" s="64" t="s">
        <v>201</v>
      </c>
    </row>
    <row r="25" spans="2:8" x14ac:dyDescent="0.25">
      <c r="B25" s="58" t="s">
        <v>202</v>
      </c>
      <c r="C25" s="73" t="str">
        <f>IF('Financial Model'!B8&gt;=0,"✓ Break-even","")</f>
        <v>0</v>
      </c>
      <c r="D25" s="41" t="str">
        <f>IF(AND('Financial Model'!C8&gt;=0,'Financial Model'!B8&lt;0),"✓ Break-even","")</f>
        <v>✓ Break-even</v>
      </c>
      <c r="E25" s="73" t="str">
        <f>IF(AND('Financial Model'!D8&gt;=0,'Financial Model'!C8&lt;0),"✓ Break-even","")</f>
        <v>0</v>
      </c>
      <c r="F25" s="73" t="str">
        <f>IF(AND('Financial Model'!E8&gt;=0,'Financial Model'!D8&lt;0),"✓ Break-even","")</f>
        <v>0</v>
      </c>
      <c r="G25" s="73" t="str">
        <f>IF(AND('Financial Model'!F8&gt;=0,'Financial Model'!E8&lt;0),"✓ Break-even","")</f>
        <v>0</v>
      </c>
      <c r="H25" s="64" t="s">
        <v>68</v>
      </c>
    </row>
    <row r="26" spans="2:8" x14ac:dyDescent="0.25">
      <c r="B26" s="58" t="s">
        <v>203</v>
      </c>
      <c r="C26" s="74">
        <v>-2</v>
      </c>
      <c r="D26" s="74">
        <v>0</v>
      </c>
      <c r="E26" s="74">
        <v>6</v>
      </c>
      <c r="F26" s="75">
        <v>15</v>
      </c>
      <c r="G26" s="70">
        <v>24</v>
      </c>
      <c r="H26" s="64" t="s">
        <v>204</v>
      </c>
    </row>
    <row r="27" spans="2:8" x14ac:dyDescent="0.25">
      <c r="B27" s="58" t="s">
        <v>205</v>
      </c>
      <c r="C27" s="74">
        <v>0</v>
      </c>
      <c r="D27" s="74">
        <v>2</v>
      </c>
      <c r="E27" s="70">
        <v>190</v>
      </c>
      <c r="F27" s="70">
        <v>443</v>
      </c>
      <c r="G27" s="70">
        <v>724</v>
      </c>
      <c r="H27" s="64" t="s">
        <v>206</v>
      </c>
    </row>
    <row r="29" ht="24" customHeight="1" spans="2:9" x14ac:dyDescent="0.25">
      <c r="B29" s="8" t="s">
        <v>207</v>
      </c>
      <c r="C29" s="8" t="s">
        <v>208</v>
      </c>
      <c r="D29" s="8" t="s">
        <v>209</v>
      </c>
      <c r="E29" s="8"/>
      <c r="F29" s="8" t="s">
        <v>210</v>
      </c>
      <c r="G29" s="8"/>
      <c r="H29" s="8"/>
      <c r="I29" s="8"/>
    </row>
    <row r="30" ht="45" customHeight="1" spans="2:9" x14ac:dyDescent="0.25">
      <c r="B30" s="76" t="s">
        <v>211</v>
      </c>
      <c r="C30" s="41" t="s">
        <v>212</v>
      </c>
      <c r="D30" s="77" t="s">
        <v>213</v>
      </c>
      <c r="E30" s="77"/>
      <c r="F30" s="78" t="s">
        <v>214</v>
      </c>
      <c r="G30" s="78"/>
      <c r="H30" s="78"/>
      <c r="I30" s="78"/>
    </row>
    <row r="31" ht="45" customHeight="1" spans="2:9" x14ac:dyDescent="0.25">
      <c r="B31" s="76" t="s">
        <v>215</v>
      </c>
      <c r="C31" s="79" t="s">
        <v>216</v>
      </c>
      <c r="D31" s="77" t="s">
        <v>217</v>
      </c>
      <c r="E31" s="77"/>
      <c r="F31" s="78" t="s">
        <v>218</v>
      </c>
      <c r="G31" s="78"/>
      <c r="H31" s="78"/>
      <c r="I31" s="78"/>
    </row>
    <row r="32" ht="45" customHeight="1" spans="2:9" x14ac:dyDescent="0.25">
      <c r="B32" s="76" t="s">
        <v>219</v>
      </c>
      <c r="C32" s="41" t="s">
        <v>212</v>
      </c>
      <c r="D32" s="77" t="s">
        <v>220</v>
      </c>
      <c r="E32" s="77"/>
      <c r="F32" s="78" t="s">
        <v>221</v>
      </c>
      <c r="G32" s="78"/>
      <c r="H32" s="78"/>
      <c r="I32" s="78"/>
    </row>
    <row r="33" ht="45" customHeight="1" spans="2:9" x14ac:dyDescent="0.25">
      <c r="B33" s="76" t="s">
        <v>222</v>
      </c>
      <c r="C33" s="41" t="s">
        <v>212</v>
      </c>
      <c r="D33" s="77" t="s">
        <v>223</v>
      </c>
      <c r="E33" s="77"/>
      <c r="F33" s="78" t="s">
        <v>224</v>
      </c>
      <c r="G33" s="78"/>
      <c r="H33" s="78"/>
      <c r="I33" s="78"/>
    </row>
    <row r="34" ht="45" customHeight="1" spans="2:9" x14ac:dyDescent="0.25">
      <c r="B34" s="76" t="s">
        <v>225</v>
      </c>
      <c r="C34" s="41" t="s">
        <v>212</v>
      </c>
      <c r="D34" s="77" t="s">
        <v>226</v>
      </c>
      <c r="E34" s="77"/>
      <c r="F34" s="78" t="s">
        <v>227</v>
      </c>
      <c r="G34" s="78"/>
      <c r="H34" s="78"/>
      <c r="I34" s="78"/>
    </row>
    <row r="35" ht="45" customHeight="1" spans="2:9" x14ac:dyDescent="0.25">
      <c r="B35" s="76" t="s">
        <v>228</v>
      </c>
      <c r="C35" s="41" t="s">
        <v>212</v>
      </c>
      <c r="D35" s="77" t="s">
        <v>229</v>
      </c>
      <c r="E35" s="77"/>
      <c r="F35" s="78" t="s">
        <v>230</v>
      </c>
      <c r="G35" s="78"/>
      <c r="H35" s="78"/>
      <c r="I35" s="78"/>
    </row>
    <row r="36" ht="45" customHeight="1" spans="2:9" x14ac:dyDescent="0.25">
      <c r="B36" s="76" t="s">
        <v>231</v>
      </c>
      <c r="C36" s="41" t="s">
        <v>212</v>
      </c>
      <c r="D36" s="77" t="s">
        <v>232</v>
      </c>
      <c r="E36" s="77"/>
      <c r="F36" s="78" t="s">
        <v>233</v>
      </c>
      <c r="G36" s="78"/>
      <c r="H36" s="78"/>
      <c r="I36" s="78"/>
    </row>
    <row r="38" spans="2:6" x14ac:dyDescent="0.25">
      <c r="B38" s="76" t="s">
        <v>20</v>
      </c>
      <c r="C38" s="58" t="s">
        <v>234</v>
      </c>
      <c r="D38" s="58"/>
      <c r="E38" s="58"/>
      <c r="F38" s="58"/>
    </row>
    <row r="40" spans="2:9" x14ac:dyDescent="0.25">
      <c r="B40" s="80" t="s">
        <v>235</v>
      </c>
      <c r="C40" s="80"/>
      <c r="D40" s="80"/>
      <c r="E40" s="80"/>
      <c r="F40" s="80"/>
      <c r="G40" s="80"/>
      <c r="H40" s="80"/>
      <c r="I40" s="80"/>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