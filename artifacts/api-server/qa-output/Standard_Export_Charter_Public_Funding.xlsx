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<sst xmlns="http://schemas.openxmlformats.org/spreadsheetml/2006/main" count="246" uniqueCount="167">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</sst>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0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152</v>
      </c>
      <c r="B1" s="40"/>
      <c r="C1" s="40"/>
      <c r="D1" s="40"/>
      <c r="E1" s="40"/>
      <c r="F1" s="40"/>
    </row>
    <row r="2" spans="1:1" x14ac:dyDescent="0.25">
      <c r="A2" s="41" t="s">
        <v>153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154</v>
      </c>
    </row>
    <row r="14" ht="24" customHeight="1" spans="1:6" x14ac:dyDescent="0.25">
      <c r="A14" s="8" t="s">
        <v>155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156</v>
      </c>
      <c r="B17" s="9" t="s">
        <v>157</v>
      </c>
      <c r="C17" s="42">
        <f>IF(B16=0,0,(C16-B16)/B16)</f>
        <v>0.6666666666666666</v>
      </c>
      <c r="D17" s="42">
        <f>IF(C16=0,0,(D16-C16)/C16)</f>
        <v>0.5</v>
      </c>
      <c r="E17" s="42">
        <f>IF(D16=0,0,(E16-D16)/D16)</f>
        <v>0.25</v>
      </c>
      <c r="F17" s="42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3">
        <f>'Financial Model'!B7</f>
        <v>-299256</v>
      </c>
      <c r="C24" s="44">
        <f>'Financial Model'!C7</f>
        <v>313397</v>
      </c>
      <c r="D24" s="44">
        <f>'Financial Model'!D7</f>
        <v>1272538</v>
      </c>
      <c r="E24" s="44">
        <f>'Financial Model'!E7</f>
        <v>2013494</v>
      </c>
      <c r="F24" s="44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5" t="str">
        <f>'Financial Model'!B9</f>
        <v>0</v>
      </c>
      <c r="C26" s="45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158</v>
      </c>
      <c r="B28" s="8"/>
      <c r="C28" s="8"/>
      <c r="D28" s="8"/>
      <c r="E28" s="8"/>
      <c r="F28" s="8"/>
    </row>
    <row r="29" spans="1:6" x14ac:dyDescent="0.25">
      <c r="A29" s="22" t="s">
        <v>159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160</v>
      </c>
      <c r="B30" s="42">
        <f>IF(B20=0,0,'Financial Model'!B3/B20)</f>
        <v>0.6639269081500647</v>
      </c>
      <c r="C30" s="42">
        <f>IF(C20=0,0,'Financial Model'!C3/C20)</f>
        <v>0.4882345013477089</v>
      </c>
      <c r="D30" s="42">
        <f>IF(D20=0,0,'Financial Model'!D3/D20)</f>
        <v>0.3254552660783174</v>
      </c>
      <c r="E30" s="42">
        <f>IF(E20=0,0,'Financial Model'!E3/E20)</f>
        <v>0.25881186142410634</v>
      </c>
      <c r="F30" s="42">
        <f>IF(F20=0,0,'Financial Model'!F3/F20)</f>
        <v>0.23758159092662604</v>
      </c>
    </row>
    <row r="31" spans="1:6" x14ac:dyDescent="0.25">
      <c r="A31" s="22" t="s">
        <v>161</v>
      </c>
      <c r="B31" s="42">
        <f>IF(B20=0,0,'Financial Model'!B4/B20)</f>
        <v>0.4230271668822768</v>
      </c>
      <c r="C31" s="42">
        <f>IF(C20=0,0,'Financial Model'!C4/C20)</f>
        <v>0.35193435864912004</v>
      </c>
      <c r="D31" s="42">
        <f>IF(D20=0,0,'Financial Model'!D4/D20)</f>
        <v>0.31456930719230564</v>
      </c>
      <c r="E31" s="42">
        <f>IF(E20=0,0,'Financial Model'!E4/E20)</f>
        <v>0.3023849972421401</v>
      </c>
      <c r="F31" s="42">
        <f>IF(F20=0,0,'Financial Model'!F4/F20)</f>
        <v>0.299923231232158</v>
      </c>
    </row>
    <row r="32" spans="1:6" x14ac:dyDescent="0.25">
      <c r="A32" s="34" t="s">
        <v>162</v>
      </c>
      <c r="B32" s="46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163</v>
      </c>
      <c r="B34" s="8"/>
      <c r="C34" s="8"/>
      <c r="D34" s="8"/>
      <c r="E34" s="8"/>
      <c r="F34" s="8"/>
    </row>
    <row r="35" spans="1:6" x14ac:dyDescent="0.25">
      <c r="A35" s="22" t="s">
        <v>164</v>
      </c>
      <c r="B35" s="42">
        <v>0.02328589909443726</v>
      </c>
      <c r="C35" s="42">
        <v>0.024496591089265895</v>
      </c>
      <c r="D35" s="42">
        <v>0.025207419542355863</v>
      </c>
      <c r="E35" s="42">
        <v>0.025845087069576864</v>
      </c>
      <c r="F35" s="42">
        <v>0.026078234704112337</v>
      </c>
    </row>
    <row r="36" spans="1:6" x14ac:dyDescent="0.25">
      <c r="A36" s="22" t="s">
        <v>165</v>
      </c>
      <c r="B36" s="42">
        <v>0.8926261319534282</v>
      </c>
      <c r="C36" s="42">
        <v>0.9299191374663073</v>
      </c>
      <c r="D36" s="42">
        <v>0.9483697088199545</v>
      </c>
      <c r="E36" s="42">
        <v>0.9615475533842881</v>
      </c>
      <c r="F36" s="42">
        <v>0.9604197207005633</v>
      </c>
    </row>
    <row r="37" spans="1:6" x14ac:dyDescent="0.25">
      <c r="A37" s="22" t="s">
        <v>166</v>
      </c>
      <c r="B37" s="42">
        <v>0.08408796895213454</v>
      </c>
      <c r="C37" s="42">
        <v>0.045584271444426824</v>
      </c>
      <c r="D37" s="42">
        <v>0.026422871637689586</v>
      </c>
      <c r="E37" s="42">
        <v>0.012607359546135056</v>
      </c>
      <c r="F37" s="42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