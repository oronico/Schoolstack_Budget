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<sst xmlns="http://schemas.openxmlformats.org/spreadsheetml/2006/main" count="358" uniqueCount="258">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</sst>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169</v>
      </c>
      <c r="B2" s="5"/>
      <c r="C2" s="5"/>
      <c r="D2" s="5"/>
      <c r="E2" s="5"/>
      <c r="F2" s="5"/>
    </row>
    <row r="3" spans="1:6" x14ac:dyDescent="0.25">
      <c r="A3" s="6" t="s">
        <v>170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172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173</v>
      </c>
      <c r="B7" s="5"/>
      <c r="C7" s="5"/>
      <c r="D7" s="5"/>
      <c r="E7" s="5"/>
      <c r="F7" s="5"/>
    </row>
    <row r="8" spans="1:6" x14ac:dyDescent="0.25">
      <c r="A8" s="6" t="s">
        <v>174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176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177</v>
      </c>
      <c r="B12" s="5"/>
      <c r="C12" s="5"/>
      <c r="D12" s="5"/>
      <c r="E12" s="5"/>
      <c r="F12" s="5"/>
    </row>
    <row r="13" spans="1:6" x14ac:dyDescent="0.25">
      <c r="A13" s="6" t="s">
        <v>178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179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180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182</v>
      </c>
      <c r="B2" s="5"/>
      <c r="C2" s="5"/>
      <c r="D2" s="5"/>
      <c r="E2" s="5"/>
      <c r="F2" s="5"/>
    </row>
    <row r="3" spans="1:6" x14ac:dyDescent="0.25">
      <c r="A3" s="6" t="s">
        <v>183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184</v>
      </c>
      <c r="B5" s="30">
        <f>IF(B4=0,"N/A",B3/B4)</f>
        <v>3.63</v>
      </c>
      <c r="C5" s="30">
        <f>IF(C4=0,"N/A",C3/C4)</f>
        <v>19.92</v>
      </c>
      <c r="D5" s="30">
        <f>IF(D4=0,"N/A",D3/D4)</f>
        <v>31.14</v>
      </c>
      <c r="E5" s="30">
        <f>IF(E4=0,"N/A",E3/E4)</f>
        <v>40.31</v>
      </c>
      <c r="F5" s="30">
        <f>IF(F4=0,"N/A",F3/F4)</f>
        <v>41.62</v>
      </c>
    </row>
    <row r="7" ht="24" customHeight="1" spans="1:6" x14ac:dyDescent="0.25">
      <c r="A7" s="5" t="s">
        <v>185</v>
      </c>
      <c r="B7" s="5"/>
      <c r="C7" s="5"/>
      <c r="D7" s="5"/>
      <c r="E7" s="5"/>
      <c r="F7" s="5"/>
    </row>
    <row r="8" spans="1:6" x14ac:dyDescent="0.25">
      <c r="A8" s="6" t="s">
        <v>186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187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188</v>
      </c>
      <c r="B10" s="31">
        <f>IF(B9=0,0,B8/B9)</f>
        <v>3.63</v>
      </c>
      <c r="C10" s="31">
        <f>IF(C9=0,0,C8/C9)</f>
        <v>10.7</v>
      </c>
      <c r="D10" s="31">
        <f>IF(D9=0,0,D8/D9)</f>
        <v>22.15</v>
      </c>
      <c r="E10" s="31">
        <f>IF(E9=0,0,E8/E9)</f>
        <v>36.19</v>
      </c>
      <c r="F10" s="31">
        <f>IF(F9=0,0,F8/F9)</f>
        <v>50.14</v>
      </c>
    </row>
    <row r="11" spans="1:6" x14ac:dyDescent="0.25">
      <c r="A11" s="6" t="s">
        <v>189</v>
      </c>
      <c r="B11" s="32">
        <v>111</v>
      </c>
      <c r="C11" s="32">
        <v>325</v>
      </c>
      <c r="D11" s="32">
        <v>674</v>
      </c>
      <c r="E11" s="32">
        <v>1101</v>
      </c>
      <c r="F11" s="32">
        <v>1525</v>
      </c>
    </row>
    <row r="13" ht="24" customHeight="1" spans="1:6" x14ac:dyDescent="0.25">
      <c r="A13" s="5" t="s">
        <v>190</v>
      </c>
      <c r="B13" s="5"/>
      <c r="C13" s="5"/>
      <c r="D13" s="5"/>
      <c r="E13" s="5"/>
      <c r="F13" s="5"/>
    </row>
    <row r="14" spans="1:6" x14ac:dyDescent="0.25">
      <c r="A14" s="6" t="s">
        <v>191</v>
      </c>
      <c r="B14" s="33" t="str">
        <f>IF(B5&gt;=1.2,"PASS","FAIL")</f>
        <v>PASS</v>
      </c>
      <c r="C14" s="33" t="str">
        <f>IF(C5&gt;=1.2,"PASS","FAIL")</f>
        <v>PASS</v>
      </c>
      <c r="D14" s="33" t="str">
        <f>IF(D5&gt;=1.2,"PASS","FAIL")</f>
        <v>PASS</v>
      </c>
      <c r="E14" s="33" t="str">
        <f>IF(E5&gt;=1.2,"PASS","FAIL")</f>
        <v>PASS</v>
      </c>
      <c r="F14" s="33" t="str">
        <f>IF(F5&gt;=1.2,"PASS","FAIL")</f>
        <v>PASS</v>
      </c>
    </row>
    <row r="15" spans="1:6" x14ac:dyDescent="0.25">
      <c r="A15" s="6" t="s">
        <v>192</v>
      </c>
      <c r="B15" s="33" t="str">
        <f>IF(B10&gt;=2,"PASS","FAIL")</f>
        <v>PASS</v>
      </c>
      <c r="C15" s="33" t="str">
        <f>IF(C10&gt;=2,"PASS","FAIL")</f>
        <v>PASS</v>
      </c>
      <c r="D15" s="33" t="str">
        <f>IF(D10&gt;=2,"PASS","FAIL")</f>
        <v>PASS</v>
      </c>
      <c r="E15" s="33" t="str">
        <f>IF(E10&gt;=2,"PASS","FAIL")</f>
        <v>PASS</v>
      </c>
      <c r="F15" s="33" t="str">
        <f>IF(F10&gt;=2,"PASS","FAIL")</f>
        <v>PASS</v>
      </c>
    </row>
    <row r="16" spans="1:6" x14ac:dyDescent="0.25">
      <c r="A16" s="6" t="s">
        <v>193</v>
      </c>
      <c r="B16" s="33" t="s">
        <v>194</v>
      </c>
      <c r="C16" s="33" t="s">
        <v>194</v>
      </c>
      <c r="D16" s="33" t="s">
        <v>194</v>
      </c>
      <c r="E16" s="33" t="s">
        <v>194</v>
      </c>
      <c r="F16" s="33" t="s">
        <v>194</v>
      </c>
    </row>
    <row r="17" spans="1:6" x14ac:dyDescent="0.25">
      <c r="A17" s="6" t="s">
        <v>195</v>
      </c>
      <c r="B17" s="34" t="s">
        <v>196</v>
      </c>
      <c r="C17" s="33" t="s">
        <v>194</v>
      </c>
      <c r="D17" s="33" t="s">
        <v>194</v>
      </c>
      <c r="E17" s="33" t="s">
        <v>194</v>
      </c>
      <c r="F17" s="33" t="s">
        <v>194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197</v>
      </c>
      <c r="B1" s="35"/>
      <c r="C1" s="35"/>
    </row>
    <row r="2" spans="1:3" x14ac:dyDescent="0.25">
      <c r="A2" s="36" t="s">
        <v>198</v>
      </c>
      <c r="B2" s="36"/>
      <c r="C2" s="36"/>
    </row>
    <row r="4" ht="24" customHeight="1" spans="1:3" x14ac:dyDescent="0.25">
      <c r="A4" s="5" t="s">
        <v>199</v>
      </c>
      <c r="B4" s="5"/>
      <c r="C4" s="5"/>
    </row>
    <row r="5" spans="1:3" x14ac:dyDescent="0.25">
      <c r="A5" s="6" t="s">
        <v>200</v>
      </c>
      <c r="B5" s="33" t="s">
        <v>194</v>
      </c>
      <c r="C5" s="6" t="s">
        <v>201</v>
      </c>
    </row>
    <row r="6" spans="1:3" x14ac:dyDescent="0.25">
      <c r="A6" s="6" t="s">
        <v>202</v>
      </c>
      <c r="B6" s="33" t="s">
        <v>194</v>
      </c>
      <c r="C6" s="6" t="s">
        <v>203</v>
      </c>
    </row>
    <row r="7" spans="1:3" x14ac:dyDescent="0.25">
      <c r="A7" s="6" t="s">
        <v>204</v>
      </c>
      <c r="B7" s="33" t="s">
        <v>194</v>
      </c>
      <c r="C7" s="6" t="s">
        <v>205</v>
      </c>
    </row>
    <row r="8" spans="1:3" x14ac:dyDescent="0.25">
      <c r="A8" s="6" t="s">
        <v>206</v>
      </c>
      <c r="B8" s="33" t="s">
        <v>194</v>
      </c>
      <c r="C8" s="6" t="s">
        <v>35</v>
      </c>
    </row>
    <row r="9" spans="1:3" x14ac:dyDescent="0.25">
      <c r="A9" s="6" t="s">
        <v>207</v>
      </c>
      <c r="B9" s="34" t="s">
        <v>196</v>
      </c>
      <c r="C9" s="6" t="s">
        <v>208</v>
      </c>
    </row>
    <row r="10" spans="1:3" x14ac:dyDescent="0.25">
      <c r="A10" s="6" t="s">
        <v>209</v>
      </c>
      <c r="B10" s="33" t="s">
        <v>194</v>
      </c>
      <c r="C10" s="6" t="s">
        <v>205</v>
      </c>
    </row>
    <row r="12" ht="24" customHeight="1" spans="1:3" x14ac:dyDescent="0.25">
      <c r="A12" s="5" t="s">
        <v>210</v>
      </c>
      <c r="B12" s="5"/>
      <c r="C12" s="5"/>
    </row>
    <row r="13" spans="1:2" x14ac:dyDescent="0.25">
      <c r="A13" s="6" t="s">
        <v>211</v>
      </c>
      <c r="B13" s="7" t="s">
        <v>212</v>
      </c>
    </row>
    <row r="14" spans="1:2" x14ac:dyDescent="0.25">
      <c r="A14" s="6" t="s">
        <v>213</v>
      </c>
      <c r="B14" s="37" t="s">
        <v>214</v>
      </c>
    </row>
    <row r="16" ht="24" customHeight="1" spans="1:3" x14ac:dyDescent="0.25">
      <c r="A16" s="5" t="s">
        <v>215</v>
      </c>
      <c r="B16" s="5"/>
      <c r="C16" s="5"/>
    </row>
    <row r="17" spans="1:2" x14ac:dyDescent="0.25">
      <c r="A17" s="6" t="s">
        <v>216</v>
      </c>
      <c r="B17" s="18">
        <v>184667</v>
      </c>
    </row>
    <row r="18" spans="1:2" x14ac:dyDescent="0.25">
      <c r="A18" s="6" t="s">
        <v>217</v>
      </c>
      <c r="B18" s="18">
        <v>166394</v>
      </c>
    </row>
    <row r="19" spans="1:2" x14ac:dyDescent="0.25">
      <c r="A19" s="6" t="s">
        <v>218</v>
      </c>
      <c r="B19" s="18">
        <v>18273</v>
      </c>
    </row>
    <row r="20" spans="1:2" x14ac:dyDescent="0.25">
      <c r="A20" s="6" t="s">
        <v>219</v>
      </c>
      <c r="B20" s="38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220</v>
      </c>
      <c r="B22" s="18">
        <v>48273</v>
      </c>
    </row>
    <row r="23" spans="1:2" x14ac:dyDescent="0.25">
      <c r="A23" s="6" t="s">
        <v>221</v>
      </c>
      <c r="B23" s="18">
        <v>30000</v>
      </c>
    </row>
    <row r="24" spans="1:2" x14ac:dyDescent="0.25">
      <c r="A24" s="6" t="s">
        <v>222</v>
      </c>
      <c r="B24" s="7" t="s">
        <v>201</v>
      </c>
    </row>
    <row r="25" spans="1:2" x14ac:dyDescent="0.25">
      <c r="A25" s="6" t="s">
        <v>223</v>
      </c>
      <c r="B25" s="7" t="s">
        <v>224</v>
      </c>
    </row>
    <row r="26" spans="1:2" x14ac:dyDescent="0.25">
      <c r="A26" s="6" t="s">
        <v>225</v>
      </c>
      <c r="B26" s="7" t="s">
        <v>35</v>
      </c>
    </row>
    <row r="27" spans="1:2" x14ac:dyDescent="0.25">
      <c r="A27" s="6" t="s">
        <v>226</v>
      </c>
      <c r="B27" s="18">
        <v>15389</v>
      </c>
    </row>
    <row r="28" spans="1:2" x14ac:dyDescent="0.25">
      <c r="A28" s="6" t="s">
        <v>227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6</v>
      </c>
      <c r="B1" s="35"/>
      <c r="C1" s="35"/>
      <c r="D1" s="35"/>
      <c r="E1" s="35"/>
      <c r="F1" s="35"/>
    </row>
    <row r="2" ht="22" customHeight="1" spans="1:6" x14ac:dyDescent="0.25">
      <c r="A2" s="39" t="s">
        <v>228</v>
      </c>
      <c r="B2" s="39"/>
      <c r="C2" s="39"/>
      <c r="D2" s="39"/>
      <c r="E2" s="39"/>
      <c r="F2" s="39"/>
    </row>
    <row r="3" ht="18" customHeight="1" spans="1:6" x14ac:dyDescent="0.25">
      <c r="A3" s="40" t="s">
        <v>229</v>
      </c>
      <c r="B3" s="40"/>
      <c r="C3" s="40"/>
      <c r="D3" s="40"/>
      <c r="E3" s="40"/>
      <c r="F3" s="40"/>
    </row>
    <row r="4" ht="16" customHeight="1" spans="1:6" x14ac:dyDescent="0.25">
      <c r="A4" s="41" t="s">
        <v>230</v>
      </c>
      <c r="B4" s="41"/>
      <c r="C4" s="41"/>
      <c r="D4" s="41"/>
      <c r="E4" s="41"/>
      <c r="F4" s="41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2">
        <f>Assumptions!$B$17</f>
        <v>12</v>
      </c>
      <c r="C7" s="32">
        <f>Assumptions!$C$17</f>
        <v>18</v>
      </c>
      <c r="D7" s="32">
        <f>Assumptions!$D$17</f>
        <v>22</v>
      </c>
      <c r="E7" s="32">
        <f>Assumptions!$E$17</f>
        <v>25</v>
      </c>
      <c r="F7" s="32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231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232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184</v>
      </c>
      <c r="B16" s="30">
        <v>3.63</v>
      </c>
      <c r="C16" s="30">
        <v>19.92</v>
      </c>
      <c r="D16" s="30">
        <v>31.14</v>
      </c>
      <c r="E16" s="30">
        <v>40.31</v>
      </c>
      <c r="F16" s="30">
        <v>41.62</v>
      </c>
    </row>
    <row r="18" spans="1:6" x14ac:dyDescent="0.25">
      <c r="A18" s="41" t="s">
        <v>233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234</v>
      </c>
      <c r="C3" s="42"/>
    </row>
    <row r="4" ht="28" customHeight="1" spans="2:3" x14ac:dyDescent="0.25">
      <c r="B4" s="43" t="s">
        <v>235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236</v>
      </c>
    </row>
    <row r="9" ht="32" customHeight="1" spans="2:3" x14ac:dyDescent="0.25">
      <c r="B9" s="46" t="s">
        <v>6</v>
      </c>
      <c r="C9" s="46"/>
    </row>
    <row r="10" spans="2:3" x14ac:dyDescent="0.25">
      <c r="B10" s="47" t="s">
        <v>237</v>
      </c>
      <c r="C10" s="47"/>
    </row>
    <row r="12" spans="2:3" x14ac:dyDescent="0.25">
      <c r="B12" s="45" t="s">
        <v>238</v>
      </c>
      <c r="C12" s="48" t="s">
        <v>239</v>
      </c>
    </row>
    <row r="15" ht="24" customHeight="1" spans="1:3" x14ac:dyDescent="0.25">
      <c r="A15" s="5"/>
      <c r="B15" s="5" t="s">
        <v>240</v>
      </c>
      <c r="C15" s="5"/>
    </row>
    <row r="16" spans="2:3" x14ac:dyDescent="0.25">
      <c r="B16" s="13" t="s">
        <v>241</v>
      </c>
      <c r="C16" s="27">
        <v>516085</v>
      </c>
    </row>
    <row r="17" spans="2:3" x14ac:dyDescent="0.25">
      <c r="B17" s="13" t="s">
        <v>242</v>
      </c>
      <c r="C17" s="27">
        <v>282716</v>
      </c>
    </row>
    <row r="18" spans="2:3" x14ac:dyDescent="0.25">
      <c r="B18" s="13" t="s">
        <v>186</v>
      </c>
      <c r="C18" s="27">
        <v>916045</v>
      </c>
    </row>
    <row r="19" spans="2:3" x14ac:dyDescent="0.25">
      <c r="B19" s="13" t="s">
        <v>213</v>
      </c>
      <c r="C19" s="49" t="s">
        <v>243</v>
      </c>
    </row>
    <row r="22" ht="24" customHeight="1" spans="1:3" x14ac:dyDescent="0.25">
      <c r="A22" s="5"/>
      <c r="B22" s="5" t="s">
        <v>244</v>
      </c>
      <c r="C22" s="5"/>
    </row>
    <row r="23" spans="2:3" x14ac:dyDescent="0.25">
      <c r="B23" s="50" t="s">
        <v>245</v>
      </c>
      <c r="C23" s="51"/>
    </row>
    <row r="24" spans="2:3" x14ac:dyDescent="0.25">
      <c r="B24" s="50" t="s">
        <v>246</v>
      </c>
      <c r="C24" s="51"/>
    </row>
    <row r="25" spans="2:3" x14ac:dyDescent="0.25">
      <c r="B25" s="50" t="s">
        <v>247</v>
      </c>
      <c r="C25" s="51"/>
    </row>
    <row r="26" spans="2:3" x14ac:dyDescent="0.25">
      <c r="B26" s="50" t="s">
        <v>248</v>
      </c>
      <c r="C26" s="51"/>
    </row>
    <row r="27" spans="2:3" x14ac:dyDescent="0.25">
      <c r="B27" s="50" t="s">
        <v>155</v>
      </c>
      <c r="C27" s="51"/>
    </row>
    <row r="28" spans="2:3" x14ac:dyDescent="0.25">
      <c r="B28" s="50" t="s">
        <v>249</v>
      </c>
      <c r="C28" s="51"/>
    </row>
    <row r="29" spans="2:3" x14ac:dyDescent="0.25">
      <c r="B29" s="50" t="s">
        <v>250</v>
      </c>
      <c r="C29" s="51"/>
    </row>
    <row r="30" spans="2:3" x14ac:dyDescent="0.25">
      <c r="B30" s="50" t="s">
        <v>251</v>
      </c>
      <c r="C30" s="51"/>
    </row>
    <row r="31" spans="2:3" x14ac:dyDescent="0.25">
      <c r="B31" s="50" t="s">
        <v>252</v>
      </c>
      <c r="C31" s="51"/>
    </row>
    <row r="32" spans="2:3" x14ac:dyDescent="0.25">
      <c r="B32" s="50" t="s">
        <v>253</v>
      </c>
      <c r="C32" s="51"/>
    </row>
    <row r="33" spans="2:3" x14ac:dyDescent="0.25">
      <c r="B33" s="50" t="s">
        <v>254</v>
      </c>
      <c r="C33" s="51"/>
    </row>
    <row r="34" spans="2:3" x14ac:dyDescent="0.25">
      <c r="B34" s="50" t="s">
        <v>255</v>
      </c>
      <c r="C34" s="51"/>
    </row>
    <row r="35" spans="2:3" x14ac:dyDescent="0.25">
      <c r="B35" s="50" t="s">
        <v>256</v>
      </c>
      <c r="C35" s="51"/>
    </row>
    <row r="36" spans="2:3" x14ac:dyDescent="0.25">
      <c r="B36" s="50" t="s">
        <v>257</v>
      </c>
      <c r="C36" s="51"/>
    </row>
    <row r="39" spans="2:3" x14ac:dyDescent="0.25">
      <c r="B39" s="41" t="s">
        <v>233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