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Drivers'!$A1:$F14</definedName>
    <definedName name="_xlnm.Print_Titles" localSheetId="1">'Enrollment &amp; Rev Drivers'!$1:$1</definedName>
    <definedName name="_xlnm.Print_Area" localSheetId="2">'Tuition &amp; Funding Detail'!$A1:$F14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Uses'!$A1:$B16</definedName>
    <definedName name="_xlnm.Print_Titles" localSheetId="6">'Capital Stack &amp; Startup Uses'!$1:$1</definedName>
    <definedName name="_xlnm.Print_Area" localSheetId="7">'Debt Schedule'!$A1:$G10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Snapshot'!$A1:$C27</definedName>
    <definedName name="_xlnm.Print_Titles" localSheetId="12">'Underwriting Snapshot'!$1:$1</definedName>
    <definedName name="_xlnm.Print_Area" localSheetId="13">'Summary'!$A1:$F17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<sst xmlns="http://schemas.openxmlformats.org/spreadsheetml/2006/main" count="349" uniqueCount="249">
  <si>
    <t>SchoolStack - Assumptions &amp; Drivers</t>
  </si>
  <si>
    <t>Edit the highlighted cells below to update the entire model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</si>
  <si>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</si>
  <si>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</si>
  <si>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</si>
  <si>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</si>
  <si>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</si>
  <si>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</si>
  <si>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</si>
  <si>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</si>
  <si>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</si>
  <si>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</si>
  <si>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</si>
  <si>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</si>
  <si>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</si>
  <si>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</si>
  <si>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</si>
  <si>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</si>
  <si>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</si>
  <si>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</si>
  <si>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</si>
  <si>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</si>
  <si>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</si>
  <si>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</si>
  <si>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</si>
  <si>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</si>
  <si>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</si>
  <si>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</si>
  <si>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</si>
  <si>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</si>
  <si>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</si>
  <si>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</si>
  <si>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</si>
  <si>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</si>
  <si>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</si>
  <si>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</si>
  <si>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</si>
  <si>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</si>
  <si>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</si>
  <si>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</si>
  <si>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</si>
  <si>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</si>
  <si>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</si>
  <si>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</si>
  <si>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</si>
  <si>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</si>
  <si>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</si>
  <si>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</si>
  <si>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</si>
  <si>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</si>
  <si>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</si>
  <si>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</si>
  <si>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</si>
  <si>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</si>
  <si>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</si>
  <si>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</si>
  <si>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</si>
  <si>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</si>
  <si>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</si>
  <si>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</si>
  <si>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</si>
  <si>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</si>
  <si>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</si>
  <si>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</si>
  <si>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</si>
  <si>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</si>
  <si>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</si>
  <si>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</si>
  <si>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</si>
  <si>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</si>
  <si>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</si>
  <si>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</si>
  <si>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</si>
  <si>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</si>
  <si>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</si>
  <si>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</si>
  <si>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</si>
  <si>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</si>
  <si>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</si>
  <si>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</si>
  <si>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</si>
  <si>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</si>
  <si>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</si>
  <si>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</si>
  <si>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</si>
  <si>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</si>
  <si>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</si>
  <si>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</si>
  <si>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</si>
  <si>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</si>
  <si>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</si>
  <si>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</si>
  <si>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</si>
  <si>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</si>
  <si>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</si>
  <si>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</si>
  <si>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</si>
  <si>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</si>
  <si>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</si>
  <si>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</si>
  <si>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</si>
  <si>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</si>
  <si>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</si>
  <si>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</si>
  <si>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</si>
  <si>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</si>
  <si>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</si>
  <si>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</si>
  <si>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</si>
  <si>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</si>
  <si>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</si>
  <si>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</si>
  <si>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</si>
  <si>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</si>
  <si>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</si>
  <si>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</si>
  <si>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</si>
  <si>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</si>
  <si>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</si>
  <si>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</si>
  <si>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</si>
  <si>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</si>
  <si>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</si>
  <si>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</si>
  <si>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</si>
  <si>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</si>
  <si>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</si>
  <si>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</si>
  <si>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No loans entered</t>
  </si>
  <si>
    <t>TOTAL DEBT SERVICE</t>
  </si>
  <si>
    <t>Annual Debt Service</t>
  </si>
  <si>
    <t>Monthly Debt Service</t>
  </si>
  <si>
    <t>AMORTIZATION SCHEDULE (ANNUAL)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</si>
  <si>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</si>
  <si>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</si>
  <si>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</si>
  <si>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</si>
  <si>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</si>
  <si>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</si>
  <si>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</si>
  <si>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</si>
  <si>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</si>
  <si>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</si>
  <si>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</si>
  <si>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</si>
  <si>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</si>
  <si>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</si>
  <si>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</si>
  <si>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</si>
  <si>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</si>
  <si>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</si>
  <si>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</si>
  <si>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</si>
  <si>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</si>
  <si>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</si>
  <si>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</si>
  <si>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</si>
  <si>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</si>
  <si>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</si>
  <si>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</si>
  <si>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</si>
  <si>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</si>
  <si>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</si>
  <si>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</si>
  <si>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</si>
  <si>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</si>
  <si>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</si>
  <si>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</si>
  <si>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</si>
  <si>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</si>
  <si>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</si>
  <si>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</si>
  <si>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</si>
  <si>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</si>
  <si>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</si>
  <si>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</si>
  <si>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</si>
  <si>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N/A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</si>
  <si>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</si>
  <si>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</si>
  <si>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</si>
  <si>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</si>
  <si>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</si>
  <si>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</si>
  <si>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</si>
  <si>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</si>
  <si>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</si>
  <si>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</si>
  <si>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</si>
  <si>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</si>
  <si>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</si>
  <si>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</si>
  <si>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</si>
  <si>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Min 2 Months Cash Reserve (2026-27)</t>
  </si>
  <si>
    <t>2.8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</si>
  <si>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</si>
  <si>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</si>
  <si>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</si>
  <si>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</si>
  <si>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</si>
  <si>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</si>
  <si>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</si>
  <si>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</si>
  <si>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4 / 5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</si>
  <si>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</si>
  <si>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</si>
  <si>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</si>
  <si>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</si>
  <si>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</si>
  <si>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</si>
  <si>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</si>
  <si>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</si>
  <si>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</si>
  <si>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</si>
  <si>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</si>
  <si>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2.8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</si>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</sst>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0" borderId="0" xfId="0" applyFont="1" applyAlignment="1">
      <alignment horizontal="center"/>
    </xf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25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</v>
      </c>
      <c r="C17" s="7">
        <v>18</v>
      </c>
      <c r="D17" s="7">
        <v>22</v>
      </c>
      <c r="E17" s="7">
        <v>25</v>
      </c>
      <c r="F17" s="7">
        <v>25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0.03</v>
      </c>
    </row>
    <row r="21" spans="1:2" x14ac:dyDescent="0.25">
      <c r="A21" s="4" t="s">
        <v>30</v>
      </c>
      <c r="B21" s="8">
        <v>0.025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</v>
      </c>
      <c r="C2" s="10">
        <v>18</v>
      </c>
      <c r="D2" s="10">
        <v>22</v>
      </c>
      <c r="E2" s="10">
        <v>25</v>
      </c>
      <c r="F2" s="10">
        <v>25</v>
      </c>
    </row>
    <row r="3" spans="1:6" x14ac:dyDescent="0.25">
      <c r="A3" s="4" t="s">
        <v>39</v>
      </c>
      <c r="B3" s="11" t="s">
        <v>40</v>
      </c>
      <c r="C3" s="12">
        <f>IF(B2=0,"-",(C2-B2)/B2)</f>
        <v>0.5</v>
      </c>
      <c r="D3" s="12">
        <f>IF(C2=0,"-",(D2-C2)/C2)</f>
        <v>0.22</v>
      </c>
      <c r="E3" s="12">
        <f>IF(D2=0,"-",(E2-D2)/D2)</f>
        <v>0.14</v>
      </c>
      <c r="F3" s="12" t="str">
        <f>IF(E2=0,"-",(F2-E2)/E2)</f>
        <v>0</v>
      </c>
    </row>
    <row r="4" spans="1:6" x14ac:dyDescent="0.25">
      <c r="A4" s="4" t="s">
        <v>41</v>
      </c>
      <c r="B4" s="12">
        <v>0.48</v>
      </c>
      <c r="C4" s="12">
        <v>0.72</v>
      </c>
      <c r="D4" s="12">
        <v>0.88</v>
      </c>
      <c r="E4" s="12">
        <v>1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12000</v>
      </c>
      <c r="C7" s="13">
        <v>12360</v>
      </c>
      <c r="D7" s="13">
        <v>12731</v>
      </c>
      <c r="E7" s="13">
        <v>13113</v>
      </c>
      <c r="F7" s="13">
        <v>13506</v>
      </c>
    </row>
    <row r="8" spans="1:6" x14ac:dyDescent="0.25">
      <c r="A8" s="4" t="s">
        <v>44</v>
      </c>
      <c r="B8" s="13">
        <v>250</v>
      </c>
      <c r="C8" s="13">
        <v>250</v>
      </c>
      <c r="D8" s="13">
        <v>250</v>
      </c>
      <c r="E8" s="13">
        <v>250</v>
      </c>
      <c r="F8" s="13">
        <v>250</v>
      </c>
    </row>
    <row r="9" spans="1:6" x14ac:dyDescent="0.25">
      <c r="A9" s="4" t="s">
        <v>45</v>
      </c>
      <c r="B9" s="13">
        <v>7000</v>
      </c>
      <c r="C9" s="13">
        <v>7210</v>
      </c>
      <c r="D9" s="13">
        <v>7426</v>
      </c>
      <c r="E9" s="13">
        <v>7649</v>
      </c>
      <c r="F9" s="13">
        <v>7878</v>
      </c>
    </row>
    <row r="11" ht="24" customHeight="1" spans="1:6" x14ac:dyDescent="0.25">
      <c r="A11" s="3" t="s">
        <v>46</v>
      </c>
      <c r="B11" s="3"/>
      <c r="C11" s="3"/>
      <c r="D11" s="3"/>
      <c r="E11" s="3"/>
      <c r="F11" s="3"/>
    </row>
    <row r="12" spans="1:6" x14ac:dyDescent="0.25">
      <c r="A12" s="4" t="s">
        <v>47</v>
      </c>
      <c r="B12" s="13">
        <v>147000</v>
      </c>
      <c r="C12" s="13">
        <v>226980</v>
      </c>
      <c r="D12" s="13">
        <v>285582</v>
      </c>
      <c r="E12" s="13">
        <v>334075</v>
      </c>
      <c r="F12" s="13">
        <v>343900</v>
      </c>
    </row>
    <row r="13" spans="1:6" x14ac:dyDescent="0.25">
      <c r="A13" s="4" t="s">
        <v>48</v>
      </c>
      <c r="B13" s="13">
        <v>84000</v>
      </c>
      <c r="C13" s="13">
        <v>129780</v>
      </c>
      <c r="D13" s="13">
        <v>163372</v>
      </c>
      <c r="E13" s="13">
        <v>191225</v>
      </c>
      <c r="F13" s="13">
        <v>196950</v>
      </c>
    </row>
    <row r="14" spans="1:6" x14ac:dyDescent="0.25">
      <c r="A14" s="4" t="s">
        <v>49</v>
      </c>
      <c r="B14" s="13">
        <v>5000</v>
      </c>
      <c r="C14" s="13">
        <v>6000</v>
      </c>
      <c r="D14" s="13">
        <v>7000</v>
      </c>
      <c r="E14" s="13">
        <v>8000</v>
      </c>
      <c r="F14" s="13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</v>
      </c>
      <c r="C2" s="10">
        <f>Assumptions!$C$17</f>
        <v>18</v>
      </c>
      <c r="D2" s="10">
        <f>Assumptions!$D$17</f>
        <v>22</v>
      </c>
      <c r="E2" s="10">
        <f>Assumptions!$E$17</f>
        <v>25</v>
      </c>
      <c r="F2" s="10">
        <f>Assumptions!$F$17</f>
        <v>25</v>
      </c>
    </row>
    <row r="3" ht="24" customHeight="1" spans="1:6" x14ac:dyDescent="0.25">
      <c r="A3" s="3" t="s">
        <v>50</v>
      </c>
      <c r="B3" s="3"/>
      <c r="C3" s="3"/>
      <c r="D3" s="3"/>
      <c r="E3" s="3"/>
      <c r="F3" s="3"/>
    </row>
    <row r="4" spans="1:6" x14ac:dyDescent="0.25">
      <c r="A4" s="4" t="s">
        <v>51</v>
      </c>
      <c r="B4" s="13">
        <f>ROUND(Assumptions!$B$17*12000,0)</f>
        <v>144000</v>
      </c>
      <c r="C4" s="13">
        <f>ROUND(Assumptions!$C$17*12360,0)</f>
        <v>222480</v>
      </c>
      <c r="D4" s="13">
        <f>ROUND(Assumptions!$D$17*12731,0)</f>
        <v>280082</v>
      </c>
      <c r="E4" s="13">
        <f>ROUND(Assumptions!$E$17*13113,0)</f>
        <v>327825</v>
      </c>
      <c r="F4" s="13">
        <f>ROUND(Assumptions!$F$17*13506,0)</f>
        <v>337650</v>
      </c>
    </row>
    <row r="5" spans="1:6" x14ac:dyDescent="0.25">
      <c r="A5" s="4" t="s">
        <v>52</v>
      </c>
      <c r="B5" s="13">
        <f>ROUND(Assumptions!$B$17*250,0)</f>
        <v>3000</v>
      </c>
      <c r="C5" s="13">
        <f>ROUND(Assumptions!$C$17*250,0)</f>
        <v>4500</v>
      </c>
      <c r="D5" s="13">
        <f>ROUND(Assumptions!$D$17*250,0)</f>
        <v>5500</v>
      </c>
      <c r="E5" s="13">
        <f>ROUND(Assumptions!$E$17*250,0)</f>
        <v>6250</v>
      </c>
      <c r="F5" s="13">
        <f>ROUND(Assumptions!$F$17*250,0)</f>
        <v>6250</v>
      </c>
    </row>
    <row r="6" ht="24" customHeight="1" spans="1:6" x14ac:dyDescent="0.25">
      <c r="A6" s="3" t="s">
        <v>53</v>
      </c>
      <c r="B6" s="14">
        <f>SUM(B4:B5)</f>
        <v>147000</v>
      </c>
      <c r="C6" s="14">
        <f>SUM(C4:C5)</f>
        <v>226980</v>
      </c>
      <c r="D6" s="14">
        <f>SUM(D4:D5)</f>
        <v>285582</v>
      </c>
      <c r="E6" s="14">
        <f>SUM(E4:E5)</f>
        <v>334075</v>
      </c>
      <c r="F6" s="14">
        <f>SUM(F4:F5)</f>
        <v>343900</v>
      </c>
    </row>
    <row r="7" ht="24" customHeight="1" spans="1:6" x14ac:dyDescent="0.25">
      <c r="A7" s="3" t="s">
        <v>54</v>
      </c>
      <c r="B7" s="3"/>
      <c r="C7" s="3"/>
      <c r="D7" s="3"/>
      <c r="E7" s="3"/>
      <c r="F7" s="3"/>
    </row>
    <row r="8" spans="1:6" x14ac:dyDescent="0.25">
      <c r="A8" s="4" t="s">
        <v>55</v>
      </c>
      <c r="B8" s="13">
        <f>ROUND(Assumptions!$B$17*7000,0)</f>
        <v>84000</v>
      </c>
      <c r="C8" s="13">
        <f>ROUND(Assumptions!$C$17*7210,0)</f>
        <v>129780</v>
      </c>
      <c r="D8" s="13">
        <f>ROUND(Assumptions!$D$17*7426,0)</f>
        <v>163372</v>
      </c>
      <c r="E8" s="13">
        <f>ROUND(Assumptions!$E$17*7649,0)</f>
        <v>191225</v>
      </c>
      <c r="F8" s="13">
        <f>ROUND(Assumptions!$F$17*7878,0)</f>
        <v>196950</v>
      </c>
    </row>
    <row r="9" ht="24" customHeight="1" spans="1:6" x14ac:dyDescent="0.25">
      <c r="A9" s="3" t="s">
        <v>56</v>
      </c>
      <c r="B9" s="14">
        <f>SUM(B8:B8)</f>
        <v>84000</v>
      </c>
      <c r="C9" s="14">
        <f>SUM(C8:C8)</f>
        <v>129780</v>
      </c>
      <c r="D9" s="14">
        <f>SUM(D8:D8)</f>
        <v>163372</v>
      </c>
      <c r="E9" s="14">
        <f>SUM(E8:E8)</f>
        <v>191225</v>
      </c>
      <c r="F9" s="14">
        <f>SUM(F8:F8)</f>
        <v>196950</v>
      </c>
    </row>
    <row r="10" ht="24" customHeight="1" spans="1:6" x14ac:dyDescent="0.25">
      <c r="A10" s="3" t="s">
        <v>57</v>
      </c>
      <c r="B10" s="3"/>
      <c r="C10" s="3"/>
      <c r="D10" s="3"/>
      <c r="E10" s="3"/>
      <c r="F10" s="3"/>
    </row>
    <row r="11" spans="1:6" x14ac:dyDescent="0.25">
      <c r="A11" s="4" t="s">
        <v>58</v>
      </c>
      <c r="B11" s="13">
        <v>5000</v>
      </c>
      <c r="C11" s="13">
        <v>6000</v>
      </c>
      <c r="D11" s="13">
        <v>7000</v>
      </c>
      <c r="E11" s="13">
        <v>8000</v>
      </c>
      <c r="F11" s="13">
        <v>9000</v>
      </c>
    </row>
    <row r="12" ht="24" customHeight="1" spans="1:6" x14ac:dyDescent="0.25">
      <c r="A12" s="3" t="s">
        <v>59</v>
      </c>
      <c r="B12" s="14">
        <f>SUM(B11:B11)</f>
        <v>5000</v>
      </c>
      <c r="C12" s="14">
        <f>SUM(C11:C11)</f>
        <v>6000</v>
      </c>
      <c r="D12" s="14">
        <f>SUM(D11:D11)</f>
        <v>7000</v>
      </c>
      <c r="E12" s="14">
        <f>SUM(E11:E11)</f>
        <v>8000</v>
      </c>
      <c r="F12" s="14">
        <f>SUM(F11:F11)</f>
        <v>9000</v>
      </c>
    </row>
    <row r="14" ht="24" customHeight="1" spans="1:6" x14ac:dyDescent="0.25">
      <c r="A14" s="3" t="s">
        <v>60</v>
      </c>
      <c r="B14" s="14">
        <f>B6+B9+B12</f>
        <v>236000</v>
      </c>
      <c r="C14" s="14">
        <f>C6+C9+C12</f>
        <v>362760</v>
      </c>
      <c r="D14" s="14">
        <f>D6+D9+D12</f>
        <v>455954</v>
      </c>
      <c r="E14" s="14">
        <f>E6+E9+E12</f>
        <v>533300</v>
      </c>
      <c r="F14" s="14">
        <f>F6+F9+F12</f>
        <v>549850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61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62</v>
      </c>
      <c r="B3" s="6" t="s">
        <v>63</v>
      </c>
      <c r="C3" s="6" t="s">
        <v>64</v>
      </c>
      <c r="D3" s="6" t="s">
        <v>65</v>
      </c>
      <c r="E3" s="6" t="s">
        <v>66</v>
      </c>
      <c r="F3" s="6" t="s">
        <v>67</v>
      </c>
      <c r="G3" s="6" t="s">
        <v>68</v>
      </c>
      <c r="H3" s="6" t="s">
        <v>69</v>
      </c>
    </row>
    <row r="4" spans="1:8" x14ac:dyDescent="0.25">
      <c r="A4" s="4" t="s">
        <v>70</v>
      </c>
      <c r="B4" s="4" t="s">
        <v>71</v>
      </c>
      <c r="C4" s="4" t="s">
        <v>72</v>
      </c>
      <c r="D4" s="15">
        <v>1</v>
      </c>
      <c r="E4" s="16">
        <v>55000</v>
      </c>
      <c r="F4" s="17">
        <v>0.2</v>
      </c>
      <c r="G4" s="17">
        <v>0.0765</v>
      </c>
      <c r="H4" s="18">
        <v>70208</v>
      </c>
    </row>
    <row r="5" spans="1:8" x14ac:dyDescent="0.25">
      <c r="A5" s="4" t="s">
        <v>73</v>
      </c>
      <c r="B5" s="4" t="s">
        <v>74</v>
      </c>
      <c r="C5" s="4" t="s">
        <v>72</v>
      </c>
      <c r="D5" s="15">
        <v>1</v>
      </c>
      <c r="E5" s="16">
        <v>45000</v>
      </c>
      <c r="F5" s="17">
        <v>0.2</v>
      </c>
      <c r="G5" s="17">
        <v>0.0765</v>
      </c>
      <c r="H5" s="18">
        <v>57443</v>
      </c>
    </row>
    <row r="6" spans="1:8" x14ac:dyDescent="0.25">
      <c r="A6" s="4" t="s">
        <v>75</v>
      </c>
      <c r="B6" s="4" t="s">
        <v>74</v>
      </c>
      <c r="C6" s="4" t="s">
        <v>76</v>
      </c>
      <c r="D6" s="15">
        <v>0.5</v>
      </c>
      <c r="E6" s="16">
        <v>28000</v>
      </c>
      <c r="F6" s="17">
        <v>0</v>
      </c>
      <c r="G6" s="17">
        <v>0.0765</v>
      </c>
      <c r="H6" s="18">
        <v>15071</v>
      </c>
    </row>
    <row r="8" ht="24" customHeight="1" spans="1:8" x14ac:dyDescent="0.25">
      <c r="A8" s="3" t="s">
        <v>77</v>
      </c>
      <c r="B8" s="3"/>
      <c r="C8" s="3"/>
      <c r="D8" s="3"/>
      <c r="E8" s="3"/>
      <c r="F8" s="3"/>
      <c r="G8" s="3"/>
      <c r="H8" s="3"/>
    </row>
    <row r="9" spans="1:2" x14ac:dyDescent="0.25">
      <c r="A9" s="4" t="s">
        <v>78</v>
      </c>
      <c r="B9" s="5">
        <v>3</v>
      </c>
    </row>
    <row r="10" spans="1:2" x14ac:dyDescent="0.25">
      <c r="A10" s="4" t="s">
        <v>79</v>
      </c>
      <c r="B10" s="5">
        <v>2.5</v>
      </c>
    </row>
    <row r="11" spans="1:2" x14ac:dyDescent="0.25">
      <c r="A11" s="4" t="s">
        <v>80</v>
      </c>
      <c r="B11" s="19">
        <v>114000</v>
      </c>
    </row>
    <row r="12" spans="1:2" x14ac:dyDescent="0.25">
      <c r="A12" s="4" t="s">
        <v>81</v>
      </c>
      <c r="B12" s="19">
        <v>20000</v>
      </c>
    </row>
    <row r="13" spans="1:2" x14ac:dyDescent="0.25">
      <c r="A13" s="4" t="s">
        <v>82</v>
      </c>
      <c r="B13" s="19">
        <v>8721</v>
      </c>
    </row>
    <row r="14" spans="1:2" x14ac:dyDescent="0.25">
      <c r="A14" s="4" t="s">
        <v>83</v>
      </c>
      <c r="B14" s="19">
        <v>0</v>
      </c>
    </row>
    <row r="15" spans="1:2" x14ac:dyDescent="0.25">
      <c r="A15" s="5" t="s">
        <v>84</v>
      </c>
      <c r="B15" s="18">
        <v>142721</v>
      </c>
    </row>
    <row r="17" ht="24" customHeight="1" spans="1:6" x14ac:dyDescent="0.25">
      <c r="A17" s="3" t="s">
        <v>85</v>
      </c>
      <c r="B17" s="3"/>
      <c r="C17" s="3"/>
      <c r="D17" s="3"/>
      <c r="E17" s="3"/>
      <c r="F17" s="3"/>
    </row>
    <row r="18" ht="28" customHeight="1" spans="1:6" x14ac:dyDescent="0.25">
      <c r="A18" s="6" t="s">
        <v>14</v>
      </c>
      <c r="B18" s="6" t="s">
        <v>34</v>
      </c>
      <c r="C18" s="6" t="s">
        <v>35</v>
      </c>
      <c r="D18" s="6" t="s">
        <v>36</v>
      </c>
      <c r="E18" s="6" t="s">
        <v>37</v>
      </c>
      <c r="F18" s="6" t="s">
        <v>38</v>
      </c>
    </row>
    <row r="19" spans="1:6" x14ac:dyDescent="0.25">
      <c r="A19" s="4" t="s">
        <v>86</v>
      </c>
      <c r="B19" s="13">
        <v>142721</v>
      </c>
      <c r="C19" s="13">
        <v>142721</v>
      </c>
      <c r="D19" s="13">
        <v>142721</v>
      </c>
      <c r="E19" s="13">
        <v>142721</v>
      </c>
      <c r="F19" s="13">
        <v>142721</v>
      </c>
    </row>
    <row r="20" spans="1:6" x14ac:dyDescent="0.25">
      <c r="A20" s="4" t="s">
        <v>87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4" t="s">
        <v>88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3" t="s">
        <v>89</v>
      </c>
      <c r="B22" s="14">
        <f>B19*B20*B21</f>
        <v>118934</v>
      </c>
      <c r="C22" s="14">
        <f>C19*C20*C21</f>
        <v>147003</v>
      </c>
      <c r="D22" s="14">
        <f>D19*D20*D21</f>
        <v>151413</v>
      </c>
      <c r="E22" s="14">
        <f>E19*E20*E21</f>
        <v>155955</v>
      </c>
      <c r="F22" s="14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90</v>
      </c>
      <c r="B2" s="3"/>
      <c r="C2" s="3"/>
      <c r="D2" s="3"/>
      <c r="E2" s="3"/>
      <c r="F2" s="3"/>
    </row>
    <row r="3" spans="1:6" x14ac:dyDescent="0.25">
      <c r="A3" s="4" t="s">
        <v>91</v>
      </c>
      <c r="B3" s="13">
        <f>ROUND(Assumptions!$B$17*500,0)</f>
        <v>6000</v>
      </c>
      <c r="C3" s="13">
        <f>ROUND(Assumptions!$C$17*500*(1+Assumptions!$B$21)^1,0)</f>
        <v>9225</v>
      </c>
      <c r="D3" s="13">
        <f>ROUND(Assumptions!$D$17*500*(1+Assumptions!$B$21)^2,0)</f>
        <v>11557</v>
      </c>
      <c r="E3" s="13">
        <f>ROUND(Assumptions!$E$17*500*(1+Assumptions!$B$21)^3,0)</f>
        <v>13461</v>
      </c>
      <c r="F3" s="13">
        <f>ROUND(Assumptions!$F$17*500*(1+Assumptions!$B$21)^4,0)</f>
        <v>13798</v>
      </c>
    </row>
    <row r="4" ht="24" customHeight="1" spans="1:6" x14ac:dyDescent="0.25">
      <c r="A4" s="3" t="s">
        <v>92</v>
      </c>
      <c r="B4" s="14">
        <f>SUM(B3:B3)</f>
        <v>6000</v>
      </c>
      <c r="C4" s="14">
        <f>SUM(C3:C3)</f>
        <v>9225</v>
      </c>
      <c r="D4" s="14">
        <f>SUM(D3:D3)</f>
        <v>11557</v>
      </c>
      <c r="E4" s="14">
        <f>SUM(E3:E3)</f>
        <v>13461</v>
      </c>
      <c r="F4" s="14">
        <f>SUM(F3:F3)</f>
        <v>13798</v>
      </c>
    </row>
    <row r="5" ht="24" customHeight="1" spans="1:6" x14ac:dyDescent="0.25">
      <c r="A5" s="3" t="s">
        <v>93</v>
      </c>
      <c r="B5" s="3"/>
      <c r="C5" s="3"/>
      <c r="D5" s="3"/>
      <c r="E5" s="3"/>
      <c r="F5" s="3"/>
    </row>
    <row r="6" spans="1:6" x14ac:dyDescent="0.25">
      <c r="A6" s="4" t="s">
        <v>94</v>
      </c>
      <c r="B6" s="13">
        <f>ROUND(Assumptions!$B$17*300,0)</f>
        <v>3600</v>
      </c>
      <c r="C6" s="13">
        <f>ROUND(Assumptions!$C$17*300*(1+Assumptions!$B$21)^1,0)</f>
        <v>5535</v>
      </c>
      <c r="D6" s="13">
        <f>ROUND(Assumptions!$D$17*300*(1+Assumptions!$B$21)^2,0)</f>
        <v>6934</v>
      </c>
      <c r="E6" s="13">
        <f>ROUND(Assumptions!$E$17*300*(1+Assumptions!$B$21)^3,0)</f>
        <v>8077</v>
      </c>
      <c r="F6" s="13">
        <f>ROUND(Assumptions!$F$17*300*(1+Assumptions!$B$21)^4,0)</f>
        <v>8279</v>
      </c>
    </row>
    <row r="7" ht="24" customHeight="1" spans="1:6" x14ac:dyDescent="0.25">
      <c r="A7" s="3" t="s">
        <v>95</v>
      </c>
      <c r="B7" s="14">
        <f>SUM(B6:B6)</f>
        <v>3600</v>
      </c>
      <c r="C7" s="14">
        <f>SUM(C6:C6)</f>
        <v>5535</v>
      </c>
      <c r="D7" s="14">
        <f>SUM(D6:D6)</f>
        <v>6934</v>
      </c>
      <c r="E7" s="14">
        <f>SUM(E6:E6)</f>
        <v>8077</v>
      </c>
      <c r="F7" s="14">
        <f>SUM(F6:F6)</f>
        <v>8279</v>
      </c>
    </row>
    <row r="8" ht="24" customHeight="1" spans="1:6" x14ac:dyDescent="0.25">
      <c r="A8" s="3" t="s">
        <v>96</v>
      </c>
      <c r="B8" s="3"/>
      <c r="C8" s="3"/>
      <c r="D8" s="3"/>
      <c r="E8" s="3"/>
      <c r="F8" s="3"/>
    </row>
    <row r="9" spans="1:6" x14ac:dyDescent="0.25">
      <c r="A9" s="4" t="s">
        <v>97</v>
      </c>
      <c r="B9" s="13">
        <v>3000</v>
      </c>
      <c r="C9" s="13">
        <v>3075</v>
      </c>
      <c r="D9" s="13">
        <v>3152</v>
      </c>
      <c r="E9" s="13">
        <v>3231</v>
      </c>
      <c r="F9" s="13">
        <v>3311</v>
      </c>
    </row>
    <row r="10" ht="24" customHeight="1" spans="1:6" x14ac:dyDescent="0.25">
      <c r="A10" s="3" t="s">
        <v>98</v>
      </c>
      <c r="B10" s="14">
        <f>SUM(B9:B9)</f>
        <v>3000</v>
      </c>
      <c r="C10" s="14">
        <f>SUM(C9:C9)</f>
        <v>3075</v>
      </c>
      <c r="D10" s="14">
        <f>SUM(D9:D9)</f>
        <v>3152</v>
      </c>
      <c r="E10" s="14">
        <f>SUM(E9:E9)</f>
        <v>3231</v>
      </c>
      <c r="F10" s="14">
        <f>SUM(F9:F9)</f>
        <v>3311</v>
      </c>
    </row>
    <row r="12" ht="24" customHeight="1" spans="1:6" x14ac:dyDescent="0.25">
      <c r="A12" s="3" t="s">
        <v>99</v>
      </c>
      <c r="B12" s="14">
        <f>B4+B7+B10</f>
        <v>12600</v>
      </c>
      <c r="C12" s="14">
        <f>C4+C7+C10</f>
        <v>17835</v>
      </c>
      <c r="D12" s="14">
        <f>D4+D7+D10</f>
        <v>21643</v>
      </c>
      <c r="E12" s="14">
        <f>E4+E7+E10</f>
        <v>24769</v>
      </c>
      <c r="F12" s="14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100</v>
      </c>
      <c r="B2" s="3"/>
      <c r="C2" s="3"/>
      <c r="D2" s="3"/>
      <c r="E2" s="3"/>
      <c r="F2" s="3"/>
    </row>
    <row r="3" spans="1:6" x14ac:dyDescent="0.25">
      <c r="A3" s="4" t="s">
        <v>101</v>
      </c>
      <c r="B3" s="13">
        <v>30000</v>
      </c>
      <c r="C3" s="13">
        <v>30900</v>
      </c>
      <c r="D3" s="13">
        <v>31827</v>
      </c>
      <c r="E3" s="13">
        <v>32782</v>
      </c>
      <c r="F3" s="13">
        <v>33765</v>
      </c>
    </row>
    <row r="4" spans="1:6" x14ac:dyDescent="0.25">
      <c r="A4" s="4" t="s">
        <v>102</v>
      </c>
      <c r="B4" s="13">
        <v>3600</v>
      </c>
      <c r="C4" s="13">
        <v>3690</v>
      </c>
      <c r="D4" s="13">
        <v>3782</v>
      </c>
      <c r="E4" s="13">
        <v>3877</v>
      </c>
      <c r="F4" s="13">
        <v>3974</v>
      </c>
    </row>
    <row r="5" spans="1:6" x14ac:dyDescent="0.25">
      <c r="A5" s="4" t="s">
        <v>103</v>
      </c>
      <c r="B5" s="13">
        <v>2400</v>
      </c>
      <c r="C5" s="13">
        <v>2460</v>
      </c>
      <c r="D5" s="13">
        <v>2522</v>
      </c>
      <c r="E5" s="13">
        <v>2585</v>
      </c>
      <c r="F5" s="13">
        <v>2649</v>
      </c>
    </row>
    <row r="6" ht="24" customHeight="1" spans="1:6" x14ac:dyDescent="0.25">
      <c r="A6" s="3" t="s">
        <v>104</v>
      </c>
      <c r="B6" s="14">
        <f>SUM(B3:B5)</f>
        <v>36000</v>
      </c>
      <c r="C6" s="14">
        <f>SUM(C3:C5)</f>
        <v>37050</v>
      </c>
      <c r="D6" s="14">
        <f>SUM(D3:D5)</f>
        <v>38131</v>
      </c>
      <c r="E6" s="14">
        <f>SUM(E3:E5)</f>
        <v>39244</v>
      </c>
      <c r="F6" s="14">
        <f>SUM(F3:F5)</f>
        <v>40388</v>
      </c>
    </row>
    <row r="8" spans="1:6" x14ac:dyDescent="0.25">
      <c r="A8" s="4" t="s">
        <v>105</v>
      </c>
      <c r="B8" s="13">
        <v>3000</v>
      </c>
      <c r="C8" s="13">
        <v>2058</v>
      </c>
      <c r="D8" s="13">
        <v>1733</v>
      </c>
      <c r="E8" s="13">
        <v>1570</v>
      </c>
      <c r="F8" s="13">
        <v>1616</v>
      </c>
    </row>
    <row r="9" spans="1:6" x14ac:dyDescent="0.25">
      <c r="A9" s="4" t="s">
        <v>106</v>
      </c>
      <c r="B9" s="12">
        <v>0.18305053720247932</v>
      </c>
      <c r="C9" s="12">
        <v>0.10213364207740655</v>
      </c>
      <c r="D9" s="12">
        <v>0.08362850199800857</v>
      </c>
      <c r="E9" s="12">
        <v>0.07358551237577349</v>
      </c>
      <c r="F9" s="12">
        <v>0.07345301744794035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107</v>
      </c>
      <c r="B1" s="1"/>
    </row>
    <row r="3" ht="24" customHeight="1" spans="1:2" x14ac:dyDescent="0.25">
      <c r="A3" s="3" t="s">
        <v>108</v>
      </c>
      <c r="B3" s="3"/>
    </row>
    <row r="4" spans="1:2" x14ac:dyDescent="0.25">
      <c r="A4" s="4" t="s">
        <v>109</v>
      </c>
      <c r="B4" s="16">
        <v>0</v>
      </c>
    </row>
    <row r="5" ht="24" customHeight="1" spans="1:2" x14ac:dyDescent="0.25">
      <c r="A5" s="3" t="s">
        <v>110</v>
      </c>
      <c r="B5" s="22" t="str">
        <f>SUM(B4:B4)</f>
        <v>0</v>
      </c>
    </row>
    <row r="7" ht="24" customHeight="1" spans="1:2" x14ac:dyDescent="0.25">
      <c r="A7" s="3" t="s">
        <v>111</v>
      </c>
      <c r="B7" s="3"/>
    </row>
    <row r="8" spans="1:2" x14ac:dyDescent="0.25">
      <c r="A8" s="4" t="s">
        <v>112</v>
      </c>
      <c r="B8" s="16">
        <v>6000</v>
      </c>
    </row>
    <row r="9" spans="1:2" x14ac:dyDescent="0.25">
      <c r="A9" s="4" t="s">
        <v>113</v>
      </c>
      <c r="B9" s="16">
        <v>1800</v>
      </c>
    </row>
    <row r="10" spans="1:2" x14ac:dyDescent="0.25">
      <c r="A10" s="4" t="s">
        <v>114</v>
      </c>
      <c r="B10" s="16">
        <v>6000</v>
      </c>
    </row>
    <row r="11" spans="1:2" x14ac:dyDescent="0.25">
      <c r="A11" s="4" t="s">
        <v>115</v>
      </c>
      <c r="B11" s="16">
        <v>26572</v>
      </c>
    </row>
    <row r="12" spans="1:2" x14ac:dyDescent="0.25">
      <c r="A12" s="4" t="s">
        <v>116</v>
      </c>
      <c r="B12" s="16">
        <v>2019</v>
      </c>
    </row>
    <row r="13" ht="24" customHeight="1" spans="1:2" x14ac:dyDescent="0.25">
      <c r="A13" s="3" t="s">
        <v>117</v>
      </c>
      <c r="B13" s="22">
        <f>SUM(B8:B12)</f>
        <v>42391</v>
      </c>
    </row>
    <row r="15" spans="1:2" x14ac:dyDescent="0.25">
      <c r="A15" s="5" t="s">
        <v>118</v>
      </c>
      <c r="B15" s="23">
        <f>B5-B13</f>
        <v>-42391</v>
      </c>
    </row>
    <row r="16" spans="1:1" x14ac:dyDescent="0.25">
      <c r="A16" s="24" t="s">
        <v>119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121</v>
      </c>
      <c r="B3" s="6" t="s">
        <v>122</v>
      </c>
      <c r="C3" s="6" t="s">
        <v>123</v>
      </c>
      <c r="D3" s="6" t="s">
        <v>124</v>
      </c>
      <c r="E3" s="6" t="s">
        <v>125</v>
      </c>
      <c r="F3" s="6" t="s">
        <v>126</v>
      </c>
      <c r="G3" s="6" t="s">
        <v>127</v>
      </c>
    </row>
    <row r="4" spans="1:1" x14ac:dyDescent="0.25">
      <c r="A4" s="4" t="s">
        <v>128</v>
      </c>
    </row>
    <row r="6" ht="24" customHeight="1" spans="1:7" x14ac:dyDescent="0.25">
      <c r="A6" s="3" t="s">
        <v>129</v>
      </c>
      <c r="B6" s="3"/>
      <c r="C6" s="3"/>
      <c r="D6" s="3"/>
      <c r="E6" s="3"/>
      <c r="F6" s="3"/>
      <c r="G6" s="3"/>
    </row>
    <row r="7" spans="1:2" x14ac:dyDescent="0.25">
      <c r="A7" s="5" t="s">
        <v>130</v>
      </c>
      <c r="B7" s="18">
        <v>0</v>
      </c>
    </row>
    <row r="8" spans="1:2" x14ac:dyDescent="0.25">
      <c r="A8" s="4" t="s">
        <v>131</v>
      </c>
      <c r="B8" s="19">
        <v>0</v>
      </c>
    </row>
    <row r="10" ht="24" customHeight="1" spans="1:7" x14ac:dyDescent="0.25">
      <c r="A10" s="3" t="s">
        <v>132</v>
      </c>
      <c r="B10" s="3"/>
      <c r="C10" s="3"/>
      <c r="D10" s="3"/>
      <c r="E10" s="3"/>
      <c r="F10" s="3"/>
      <c r="G10" s="3"/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133</v>
      </c>
      <c r="D1" s="6" t="s">
        <v>134</v>
      </c>
      <c r="E1" s="6" t="s">
        <v>135</v>
      </c>
      <c r="F1" s="6" t="s">
        <v>136</v>
      </c>
      <c r="G1" s="6" t="s">
        <v>137</v>
      </c>
      <c r="H1" s="6" t="s">
        <v>138</v>
      </c>
      <c r="I1" s="6" t="s">
        <v>139</v>
      </c>
      <c r="J1" s="6" t="s">
        <v>140</v>
      </c>
      <c r="K1" s="6" t="s">
        <v>141</v>
      </c>
      <c r="L1" s="6" t="s">
        <v>142</v>
      </c>
      <c r="M1" s="6" t="s">
        <v>143</v>
      </c>
      <c r="N1" s="6" t="s">
        <v>144</v>
      </c>
    </row>
    <row r="2" spans="1:14" x14ac:dyDescent="0.25">
      <c r="A2" s="5" t="s">
        <v>145</v>
      </c>
      <c r="B2" s="13">
        <v>155900</v>
      </c>
      <c r="C2" s="13">
        <v>8900</v>
      </c>
      <c r="D2" s="13">
        <v>8900</v>
      </c>
      <c r="E2" s="13">
        <v>8900</v>
      </c>
      <c r="F2" s="13">
        <v>8900</v>
      </c>
      <c r="G2" s="13">
        <v>8900</v>
      </c>
      <c r="H2" s="13">
        <v>8900</v>
      </c>
      <c r="I2" s="13">
        <v>8900</v>
      </c>
      <c r="J2" s="13">
        <v>8900</v>
      </c>
      <c r="K2" s="13">
        <v>-30433</v>
      </c>
      <c r="L2" s="13">
        <v>0</v>
      </c>
      <c r="M2" s="13">
        <v>0</v>
      </c>
      <c r="N2" s="25">
        <f>SUM(B2:M2)</f>
        <v>196667</v>
      </c>
    </row>
    <row r="3" spans="1:14" x14ac:dyDescent="0.25">
      <c r="A3" s="4" t="s">
        <v>146</v>
      </c>
      <c r="B3" s="13">
        <v>11893</v>
      </c>
      <c r="C3" s="13">
        <v>11893</v>
      </c>
      <c r="D3" s="13">
        <v>11893</v>
      </c>
      <c r="E3" s="13">
        <v>11893</v>
      </c>
      <c r="F3" s="13">
        <v>11893</v>
      </c>
      <c r="G3" s="13">
        <v>11893</v>
      </c>
      <c r="H3" s="13">
        <v>11893</v>
      </c>
      <c r="I3" s="13">
        <v>11893</v>
      </c>
      <c r="J3" s="13">
        <v>11893</v>
      </c>
      <c r="K3" s="13">
        <v>11897</v>
      </c>
      <c r="L3" s="13">
        <v>0</v>
      </c>
      <c r="M3" s="13">
        <v>0</v>
      </c>
      <c r="N3" s="13">
        <f>SUM(B3:M3)</f>
        <v>118934</v>
      </c>
    </row>
    <row r="4" spans="1:14" x14ac:dyDescent="0.25">
      <c r="A4" s="4" t="s">
        <v>147</v>
      </c>
      <c r="B4" s="13">
        <v>4050</v>
      </c>
      <c r="C4" s="13">
        <v>4050</v>
      </c>
      <c r="D4" s="13">
        <v>4050</v>
      </c>
      <c r="E4" s="13">
        <v>4050</v>
      </c>
      <c r="F4" s="13">
        <v>4050</v>
      </c>
      <c r="G4" s="13">
        <v>4050</v>
      </c>
      <c r="H4" s="13">
        <v>4050</v>
      </c>
      <c r="I4" s="13">
        <v>4050</v>
      </c>
      <c r="J4" s="13">
        <v>4050</v>
      </c>
      <c r="K4" s="13">
        <v>4050</v>
      </c>
      <c r="L4" s="13">
        <v>0</v>
      </c>
      <c r="M4" s="13">
        <v>0</v>
      </c>
      <c r="N4" s="13">
        <f>SUM(B4:M4)</f>
        <v>40500</v>
      </c>
    </row>
    <row r="5" spans="1:14" x14ac:dyDescent="0.25">
      <c r="A5" s="4" t="s">
        <v>148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3">
        <v>0</v>
      </c>
      <c r="N5" s="13" t="str">
        <f>SUM(B5:M5)</f>
        <v>0</v>
      </c>
    </row>
    <row r="6" ht="24" customHeight="1" spans="1:14" x14ac:dyDescent="0.25">
      <c r="A6" s="3" t="s">
        <v>149</v>
      </c>
      <c r="B6" s="22">
        <f>SUM(B3:B5)</f>
        <v>15943</v>
      </c>
      <c r="C6" s="22">
        <f>SUM(C3:C5)</f>
        <v>15943</v>
      </c>
      <c r="D6" s="22">
        <f>SUM(D3:D5)</f>
        <v>15943</v>
      </c>
      <c r="E6" s="22">
        <f>SUM(E3:E5)</f>
        <v>15943</v>
      </c>
      <c r="F6" s="22">
        <f>SUM(F3:F5)</f>
        <v>15943</v>
      </c>
      <c r="G6" s="22">
        <f>SUM(G3:G5)</f>
        <v>15943</v>
      </c>
      <c r="H6" s="22">
        <f>SUM(H3:H5)</f>
        <v>15943</v>
      </c>
      <c r="I6" s="22">
        <f>SUM(I3:I5)</f>
        <v>15943</v>
      </c>
      <c r="J6" s="22">
        <f>SUM(J3:J5)</f>
        <v>15943</v>
      </c>
      <c r="K6" s="22">
        <f>SUM(K3:K5)</f>
        <v>15947</v>
      </c>
      <c r="L6" s="22" t="str">
        <f>SUM(L3:L5)</f>
        <v>0</v>
      </c>
      <c r="M6" s="22" t="str">
        <f>SUM(M3:M5)</f>
        <v>0</v>
      </c>
      <c r="N6" s="22">
        <f>SUM(B6:M6)</f>
        <v>159434</v>
      </c>
    </row>
    <row r="7" spans="1:14" x14ac:dyDescent="0.25">
      <c r="A7" s="5" t="s">
        <v>150</v>
      </c>
      <c r="B7" s="25">
        <f>B2-B6</f>
        <v>139957</v>
      </c>
      <c r="C7" s="25">
        <f>C2-C6</f>
        <v>-7043</v>
      </c>
      <c r="D7" s="25">
        <f>D2-D6</f>
        <v>-7043</v>
      </c>
      <c r="E7" s="25">
        <f>E2-E6</f>
        <v>-7043</v>
      </c>
      <c r="F7" s="25">
        <f>F2-F6</f>
        <v>-7043</v>
      </c>
      <c r="G7" s="25">
        <f>G2-G6</f>
        <v>-7043</v>
      </c>
      <c r="H7" s="25">
        <f>H2-H6</f>
        <v>-7043</v>
      </c>
      <c r="I7" s="25">
        <f>I2-I6</f>
        <v>-7043</v>
      </c>
      <c r="J7" s="25">
        <f>J2-J6</f>
        <v>-7043</v>
      </c>
      <c r="K7" s="25">
        <f>K2-K6</f>
        <v>-46380</v>
      </c>
      <c r="L7" s="25" t="str">
        <f>L2-L6</f>
        <v>0</v>
      </c>
      <c r="M7" s="25" t="str">
        <f>M2-M6</f>
        <v>0</v>
      </c>
      <c r="N7" s="25">
        <f>SUM(B7:M7)</f>
        <v>37233</v>
      </c>
    </row>
    <row r="8" spans="1:14" x14ac:dyDescent="0.25">
      <c r="A8" s="5" t="s">
        <v>151</v>
      </c>
      <c r="B8" s="25">
        <f>0+B7</f>
        <v>139957</v>
      </c>
      <c r="C8" s="25">
        <f>B8+C7</f>
        <v>132914</v>
      </c>
      <c r="D8" s="25">
        <f>C8+D7</f>
        <v>125871</v>
      </c>
      <c r="E8" s="25">
        <f>D8+E7</f>
        <v>118828</v>
      </c>
      <c r="F8" s="25">
        <f>E8+F7</f>
        <v>111785</v>
      </c>
      <c r="G8" s="25">
        <f>F8+G7</f>
        <v>104742</v>
      </c>
      <c r="H8" s="25">
        <f>G8+H7</f>
        <v>97699</v>
      </c>
      <c r="I8" s="25">
        <f>H8+I7</f>
        <v>90656</v>
      </c>
      <c r="J8" s="25">
        <f>I8+J7</f>
        <v>83613</v>
      </c>
      <c r="K8" s="25">
        <f>J8+K7</f>
        <v>37233</v>
      </c>
      <c r="L8" s="25">
        <f>K8+L7</f>
        <v>37233</v>
      </c>
      <c r="M8" s="25">
        <f>L8+M7</f>
        <v>37233</v>
      </c>
      <c r="N8" s="25">
        <f>M8</f>
        <v>37233</v>
      </c>
    </row>
    <row r="10" ht="24" customHeight="1" spans="1:14" x14ac:dyDescent="0.25">
      <c r="A10" s="3" t="s">
        <v>152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153</v>
      </c>
      <c r="B11" s="19">
        <v>0</v>
      </c>
    </row>
    <row r="12" spans="1:2" x14ac:dyDescent="0.25">
      <c r="A12" s="4" t="s">
        <v>154</v>
      </c>
      <c r="B12" s="18">
        <f>M8</f>
        <v>37233</v>
      </c>
    </row>
    <row r="13" spans="1:2" x14ac:dyDescent="0.25">
      <c r="A13" s="4" t="s">
        <v>155</v>
      </c>
      <c r="B13" s="19">
        <f>MIN(B8:M8)</f>
        <v>37233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156</v>
      </c>
      <c r="B2" s="25">
        <f>'Tuition &amp; Funding Detail'!B14</f>
        <v>196667</v>
      </c>
      <c r="C2" s="25">
        <f>'Tuition &amp; Funding Detail'!C14</f>
        <v>362760</v>
      </c>
      <c r="D2" s="25">
        <f>'Tuition &amp; Funding Detail'!D14</f>
        <v>455954</v>
      </c>
      <c r="E2" s="25">
        <f>'Tuition &amp; Funding Detail'!E14</f>
        <v>533300</v>
      </c>
      <c r="F2" s="25">
        <f>'Tuition &amp; Funding Detail'!F14</f>
        <v>549850</v>
      </c>
    </row>
    <row r="3" spans="1:6" x14ac:dyDescent="0.25">
      <c r="A3" s="4" t="s">
        <v>146</v>
      </c>
      <c r="B3" s="13">
        <f>'Staffing Plan'!B22</f>
        <v>118934</v>
      </c>
      <c r="C3" s="13">
        <f>'Staffing Plan'!C22</f>
        <v>147003</v>
      </c>
      <c r="D3" s="13">
        <f>'Staffing Plan'!D22</f>
        <v>151413</v>
      </c>
      <c r="E3" s="13">
        <f>'Staffing Plan'!E22</f>
        <v>155955</v>
      </c>
      <c r="F3" s="13">
        <f>'Staffing Plan'!F22</f>
        <v>160634</v>
      </c>
    </row>
    <row r="4" spans="1:6" x14ac:dyDescent="0.25">
      <c r="A4" s="4" t="s">
        <v>147</v>
      </c>
      <c r="B4" s="13">
        <f>'Operating Expenses'!B12+'Facilities &amp; Occupancy'!B6</f>
        <v>40500</v>
      </c>
      <c r="C4" s="13">
        <f>'Operating Expenses'!C12+'Facilities &amp; Occupancy'!C6</f>
        <v>54885</v>
      </c>
      <c r="D4" s="13">
        <f>'Operating Expenses'!D12+'Facilities &amp; Occupancy'!D6</f>
        <v>59774</v>
      </c>
      <c r="E4" s="13">
        <f>'Operating Expenses'!E12+'Facilities &amp; Occupancy'!E6</f>
        <v>64012</v>
      </c>
      <c r="F4" s="13">
        <f>'Operating Expenses'!F12+'Facilities &amp; Occupancy'!F6</f>
        <v>65776</v>
      </c>
    </row>
    <row r="5" spans="1:6" x14ac:dyDescent="0.25">
      <c r="A5" s="4" t="s">
        <v>157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</row>
    <row r="6" ht="24" customHeight="1" spans="1:6" x14ac:dyDescent="0.25">
      <c r="A6" s="3" t="s">
        <v>149</v>
      </c>
      <c r="B6" s="26">
        <f>SUM(B3:B5)</f>
        <v>159434</v>
      </c>
      <c r="C6" s="26">
        <f>SUM(C3:C5)</f>
        <v>201888</v>
      </c>
      <c r="D6" s="26">
        <f>SUM(D3:D5)</f>
        <v>211187</v>
      </c>
      <c r="E6" s="26">
        <f>SUM(E3:E5)</f>
        <v>219967</v>
      </c>
      <c r="F6" s="26">
        <f>SUM(F3:F5)</f>
        <v>226410</v>
      </c>
    </row>
    <row r="7" spans="1:6" x14ac:dyDescent="0.25">
      <c r="A7" s="5" t="s">
        <v>158</v>
      </c>
      <c r="B7" s="27">
        <f>B2-B6</f>
        <v>37233</v>
      </c>
      <c r="C7" s="27">
        <f>C2-C6</f>
        <v>160872</v>
      </c>
      <c r="D7" s="27">
        <f>D2-D6</f>
        <v>244768</v>
      </c>
      <c r="E7" s="27">
        <f>E2-E6</f>
        <v>313333</v>
      </c>
      <c r="F7" s="27">
        <f>F2-F6</f>
        <v>323440</v>
      </c>
    </row>
    <row r="8" spans="1:6" x14ac:dyDescent="0.25">
      <c r="A8" s="4" t="s">
        <v>159</v>
      </c>
      <c r="B8" s="12">
        <f>IF(B2=0,0,B7/B2)</f>
        <v>0.19</v>
      </c>
      <c r="C8" s="12">
        <f>IF(C2=0,0,C7/C2)</f>
        <v>0.44</v>
      </c>
      <c r="D8" s="12">
        <f>IF(D2=0,0,D7/D2)</f>
        <v>0.54</v>
      </c>
      <c r="E8" s="12">
        <f>IF(E2=0,0,E7/E2)</f>
        <v>0.59</v>
      </c>
      <c r="F8" s="12">
        <f>IF(F2=0,0,F7/F2)</f>
        <v>0.59</v>
      </c>
    </row>
    <row r="9" spans="1:6" x14ac:dyDescent="0.25">
      <c r="A9" s="5" t="s">
        <v>160</v>
      </c>
      <c r="B9" s="25">
        <f>B7</f>
        <v>37233</v>
      </c>
      <c r="C9" s="25">
        <f>B9+C7</f>
        <v>198105</v>
      </c>
      <c r="D9" s="25">
        <f>C9+D7</f>
        <v>442873</v>
      </c>
      <c r="E9" s="25">
        <f>D9+E7</f>
        <v>756206</v>
      </c>
      <c r="F9" s="25">
        <f>E9+F7</f>
        <v>1079646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161</v>
      </c>
      <c r="B2" s="3"/>
      <c r="C2" s="3"/>
      <c r="D2" s="3"/>
      <c r="E2" s="3"/>
      <c r="F2" s="3"/>
    </row>
    <row r="3" spans="1:6" x14ac:dyDescent="0.25">
      <c r="A3" s="4" t="s">
        <v>162</v>
      </c>
      <c r="B3" s="13">
        <v>37233</v>
      </c>
      <c r="C3" s="13">
        <v>198105</v>
      </c>
      <c r="D3" s="13">
        <v>442873</v>
      </c>
      <c r="E3" s="13">
        <v>756206</v>
      </c>
      <c r="F3" s="13">
        <v>1079646</v>
      </c>
    </row>
    <row r="4" spans="1:6" x14ac:dyDescent="0.25">
      <c r="A4" s="4" t="s">
        <v>163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164</v>
      </c>
      <c r="B5" s="14">
        <f>SUM(B3:B4)</f>
        <v>37233</v>
      </c>
      <c r="C5" s="14">
        <f>SUM(C3:C4)</f>
        <v>198105</v>
      </c>
      <c r="D5" s="14">
        <f>SUM(D3:D4)</f>
        <v>442873</v>
      </c>
      <c r="E5" s="14">
        <f>SUM(E3:E4)</f>
        <v>756206</v>
      </c>
      <c r="F5" s="14">
        <f>SUM(F3:F4)</f>
        <v>1079646</v>
      </c>
    </row>
    <row r="7" ht="24" customHeight="1" spans="1:6" x14ac:dyDescent="0.25">
      <c r="A7" s="3" t="s">
        <v>165</v>
      </c>
      <c r="B7" s="3"/>
      <c r="C7" s="3"/>
      <c r="D7" s="3"/>
      <c r="E7" s="3"/>
      <c r="F7" s="3"/>
    </row>
    <row r="8" spans="1:6" x14ac:dyDescent="0.25">
      <c r="A8" s="4" t="s">
        <v>166</v>
      </c>
      <c r="B8" s="13">
        <v>0</v>
      </c>
      <c r="C8" s="13">
        <v>0</v>
      </c>
      <c r="D8" s="13">
        <v>0</v>
      </c>
      <c r="E8" s="13">
        <v>0</v>
      </c>
      <c r="F8" s="13">
        <v>0</v>
      </c>
    </row>
    <row r="9" spans="1:6" x14ac:dyDescent="0.25">
      <c r="A9" s="4" t="s">
        <v>167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168</v>
      </c>
      <c r="B10" s="14" t="str">
        <f>SUM(B8:B9)</f>
        <v>0</v>
      </c>
      <c r="C10" s="14" t="str">
        <f>SUM(C8:C9)</f>
        <v>0</v>
      </c>
      <c r="D10" s="14" t="str">
        <f>SUM(D8:D9)</f>
        <v>0</v>
      </c>
      <c r="E10" s="14" t="str">
        <f>SUM(E8:E9)</f>
        <v>0</v>
      </c>
      <c r="F10" s="14" t="str">
        <f>SUM(F8:F9)</f>
        <v>0</v>
      </c>
    </row>
    <row r="12" ht="24" customHeight="1" spans="1:6" x14ac:dyDescent="0.25">
      <c r="A12" s="3" t="s">
        <v>169</v>
      </c>
      <c r="B12" s="3"/>
      <c r="C12" s="3"/>
      <c r="D12" s="3"/>
      <c r="E12" s="3"/>
      <c r="F12" s="3"/>
    </row>
    <row r="13" spans="1:6" x14ac:dyDescent="0.25">
      <c r="A13" s="4" t="s">
        <v>170</v>
      </c>
      <c r="B13" s="13">
        <v>0</v>
      </c>
      <c r="C13" s="13">
        <v>37233</v>
      </c>
      <c r="D13" s="13">
        <v>198105</v>
      </c>
      <c r="E13" s="13">
        <v>442873</v>
      </c>
      <c r="F13" s="13">
        <v>756206</v>
      </c>
    </row>
    <row r="14" spans="1:6" x14ac:dyDescent="0.25">
      <c r="A14" s="4" t="s">
        <v>171</v>
      </c>
      <c r="B14" s="13">
        <v>37233</v>
      </c>
      <c r="C14" s="13">
        <v>160872</v>
      </c>
      <c r="D14" s="13">
        <v>244768</v>
      </c>
      <c r="E14" s="13">
        <v>313333</v>
      </c>
      <c r="F14" s="13">
        <v>323440</v>
      </c>
    </row>
    <row r="15" ht="24" customHeight="1" spans="1:6" x14ac:dyDescent="0.25">
      <c r="A15" s="3" t="s">
        <v>172</v>
      </c>
      <c r="B15" s="14">
        <f>B5-B10</f>
        <v>37233</v>
      </c>
      <c r="C15" s="14">
        <f>C5-C10</f>
        <v>198105</v>
      </c>
      <c r="D15" s="14">
        <f>D5-D10</f>
        <v>442873</v>
      </c>
      <c r="E15" s="14">
        <f>E5-E10</f>
        <v>756206</v>
      </c>
      <c r="F15" s="14">
        <f>F5-F10</f>
        <v>1079646</v>
      </c>
    </row>
    <row r="17" spans="1:6" x14ac:dyDescent="0.25">
      <c r="A17" s="5" t="s">
        <v>173</v>
      </c>
      <c r="B17" s="25" t="str">
        <f>B5-B10-B15</f>
        <v>0</v>
      </c>
      <c r="C17" s="25" t="str">
        <f>C5-C10-C15</f>
        <v>0</v>
      </c>
      <c r="D17" s="25" t="str">
        <f>D5-D10-D15</f>
        <v>0</v>
      </c>
      <c r="E17" s="25" t="str">
        <f>E5-E10-E15</f>
        <v>0</v>
      </c>
      <c r="F17" s="25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174</v>
      </c>
      <c r="B2" s="3"/>
      <c r="C2" s="3"/>
      <c r="D2" s="3"/>
      <c r="E2" s="3"/>
      <c r="F2" s="3"/>
    </row>
    <row r="3" spans="1:6" x14ac:dyDescent="0.25">
      <c r="A3" s="4" t="s">
        <v>175</v>
      </c>
      <c r="B3" s="13">
        <v>37233</v>
      </c>
      <c r="C3" s="13">
        <v>160872</v>
      </c>
      <c r="D3" s="13">
        <v>244767</v>
      </c>
      <c r="E3" s="13">
        <v>313333</v>
      </c>
      <c r="F3" s="13">
        <v>323440</v>
      </c>
    </row>
    <row r="4" spans="1:6" x14ac:dyDescent="0.25">
      <c r="A4" s="4" t="s">
        <v>130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spans="1:6" x14ac:dyDescent="0.25">
      <c r="A5" s="5" t="s">
        <v>176</v>
      </c>
      <c r="B5" s="28" t="s">
        <v>177</v>
      </c>
      <c r="C5" s="28" t="s">
        <v>177</v>
      </c>
      <c r="D5" s="28" t="s">
        <v>177</v>
      </c>
      <c r="E5" s="28" t="s">
        <v>177</v>
      </c>
      <c r="F5" s="28" t="s">
        <v>177</v>
      </c>
    </row>
    <row r="7" ht="24" customHeight="1" spans="1:6" x14ac:dyDescent="0.25">
      <c r="A7" s="3" t="s">
        <v>178</v>
      </c>
      <c r="B7" s="3"/>
      <c r="C7" s="3"/>
      <c r="D7" s="3"/>
      <c r="E7" s="3"/>
      <c r="F7" s="3"/>
    </row>
    <row r="8" spans="1:6" x14ac:dyDescent="0.25">
      <c r="A8" s="4" t="s">
        <v>179</v>
      </c>
      <c r="B8" s="13">
        <v>37233</v>
      </c>
      <c r="C8" s="13">
        <v>198105</v>
      </c>
      <c r="D8" s="13">
        <v>442873</v>
      </c>
      <c r="E8" s="13">
        <v>756206</v>
      </c>
      <c r="F8" s="13">
        <v>1079646</v>
      </c>
    </row>
    <row r="9" spans="1:6" x14ac:dyDescent="0.25">
      <c r="A9" s="4" t="s">
        <v>180</v>
      </c>
      <c r="B9" s="13">
        <v>13286</v>
      </c>
      <c r="C9" s="13">
        <v>16824</v>
      </c>
      <c r="D9" s="13">
        <v>17599</v>
      </c>
      <c r="E9" s="13">
        <v>18331</v>
      </c>
      <c r="F9" s="13">
        <v>18868</v>
      </c>
    </row>
    <row r="10" spans="1:6" x14ac:dyDescent="0.25">
      <c r="A10" s="5" t="s">
        <v>181</v>
      </c>
      <c r="B10" s="29">
        <f>IF(B9=0,0,B8/B9)</f>
        <v>2.8</v>
      </c>
      <c r="C10" s="29">
        <f>IF(C9=0,0,C8/C9)</f>
        <v>11.78</v>
      </c>
      <c r="D10" s="29">
        <f>IF(D9=0,0,D8/D9)</f>
        <v>25.16</v>
      </c>
      <c r="E10" s="29">
        <f>IF(E9=0,0,E8/E9)</f>
        <v>41.25</v>
      </c>
      <c r="F10" s="29">
        <f>IF(F9=0,0,F8/F9)</f>
        <v>57.22</v>
      </c>
    </row>
    <row r="11" spans="1:6" x14ac:dyDescent="0.25">
      <c r="A11" s="4" t="s">
        <v>182</v>
      </c>
      <c r="B11" s="30">
        <v>85</v>
      </c>
      <c r="C11" s="30">
        <v>358</v>
      </c>
      <c r="D11" s="30">
        <v>765</v>
      </c>
      <c r="E11" s="30">
        <v>1255</v>
      </c>
      <c r="F11" s="30">
        <v>1741</v>
      </c>
    </row>
    <row r="13" ht="24" customHeight="1" spans="1:6" x14ac:dyDescent="0.25">
      <c r="A13" s="3" t="s">
        <v>183</v>
      </c>
      <c r="B13" s="3"/>
      <c r="C13" s="3"/>
      <c r="D13" s="3"/>
      <c r="E13" s="3"/>
      <c r="F13" s="3"/>
    </row>
    <row r="14" spans="1:6" x14ac:dyDescent="0.25">
      <c r="A14" s="4" t="s">
        <v>184</v>
      </c>
      <c r="B14" s="31" t="s">
        <v>177</v>
      </c>
      <c r="C14" s="31" t="s">
        <v>177</v>
      </c>
      <c r="D14" s="31" t="s">
        <v>177</v>
      </c>
      <c r="E14" s="31" t="s">
        <v>177</v>
      </c>
      <c r="F14" s="31" t="s">
        <v>177</v>
      </c>
    </row>
    <row r="15" spans="1:6" x14ac:dyDescent="0.25">
      <c r="A15" s="4" t="s">
        <v>185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186</v>
      </c>
      <c r="B16" s="32" t="s">
        <v>187</v>
      </c>
      <c r="C16" s="32" t="s">
        <v>187</v>
      </c>
      <c r="D16" s="32" t="s">
        <v>187</v>
      </c>
      <c r="E16" s="32" t="s">
        <v>187</v>
      </c>
      <c r="F16" s="32" t="s">
        <v>187</v>
      </c>
    </row>
    <row r="17" spans="1:6" x14ac:dyDescent="0.25">
      <c r="A17" s="4" t="s">
        <v>188</v>
      </c>
      <c r="B17" s="33" t="s">
        <v>189</v>
      </c>
      <c r="C17" s="32" t="s">
        <v>187</v>
      </c>
      <c r="D17" s="32" t="s">
        <v>187</v>
      </c>
      <c r="E17" s="32" t="s">
        <v>187</v>
      </c>
      <c r="F17" s="32" t="s">
        <v>187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190</v>
      </c>
      <c r="B1" s="34"/>
      <c r="C1" s="34"/>
    </row>
    <row r="2" spans="1:3" x14ac:dyDescent="0.25">
      <c r="A2" s="35" t="s">
        <v>191</v>
      </c>
      <c r="B2" s="35"/>
      <c r="C2" s="35"/>
    </row>
    <row r="4" ht="24" customHeight="1" spans="1:3" x14ac:dyDescent="0.25">
      <c r="A4" s="3" t="s">
        <v>192</v>
      </c>
      <c r="B4" s="3"/>
      <c r="C4" s="3"/>
    </row>
    <row r="5" spans="1:3" x14ac:dyDescent="0.25">
      <c r="A5" s="4" t="s">
        <v>193</v>
      </c>
      <c r="B5" s="32" t="s">
        <v>187</v>
      </c>
      <c r="C5" s="4" t="s">
        <v>194</v>
      </c>
    </row>
    <row r="6" spans="1:3" x14ac:dyDescent="0.25">
      <c r="A6" s="4" t="s">
        <v>195</v>
      </c>
      <c r="B6" s="32" t="s">
        <v>187</v>
      </c>
      <c r="C6" s="4" t="s">
        <v>196</v>
      </c>
    </row>
    <row r="7" spans="1:3" x14ac:dyDescent="0.25">
      <c r="A7" s="4" t="s">
        <v>197</v>
      </c>
      <c r="B7" s="32" t="s">
        <v>187</v>
      </c>
      <c r="C7" s="4" t="s">
        <v>34</v>
      </c>
    </row>
    <row r="8" spans="1:3" x14ac:dyDescent="0.25">
      <c r="A8" s="4" t="s">
        <v>198</v>
      </c>
      <c r="B8" s="33" t="s">
        <v>189</v>
      </c>
      <c r="C8" s="4" t="s">
        <v>199</v>
      </c>
    </row>
    <row r="9" spans="1:3" x14ac:dyDescent="0.25">
      <c r="A9" s="4" t="s">
        <v>200</v>
      </c>
      <c r="B9" s="32" t="s">
        <v>187</v>
      </c>
      <c r="C9" s="4" t="s">
        <v>196</v>
      </c>
    </row>
    <row r="11" ht="24" customHeight="1" spans="1:3" x14ac:dyDescent="0.25">
      <c r="A11" s="3" t="s">
        <v>201</v>
      </c>
      <c r="B11" s="3"/>
      <c r="C11" s="3"/>
    </row>
    <row r="12" spans="1:2" x14ac:dyDescent="0.25">
      <c r="A12" s="4" t="s">
        <v>202</v>
      </c>
      <c r="B12" s="5" t="s">
        <v>203</v>
      </c>
    </row>
    <row r="13" spans="1:2" x14ac:dyDescent="0.25">
      <c r="A13" s="4" t="s">
        <v>204</v>
      </c>
      <c r="B13" s="36" t="s">
        <v>205</v>
      </c>
    </row>
    <row r="15" ht="24" customHeight="1" spans="1:3" x14ac:dyDescent="0.25">
      <c r="A15" s="3" t="s">
        <v>206</v>
      </c>
      <c r="B15" s="3"/>
      <c r="C15" s="3"/>
    </row>
    <row r="16" spans="1:2" x14ac:dyDescent="0.25">
      <c r="A16" s="4" t="s">
        <v>207</v>
      </c>
      <c r="B16" s="18">
        <v>196667</v>
      </c>
    </row>
    <row r="17" spans="1:2" x14ac:dyDescent="0.25">
      <c r="A17" s="4" t="s">
        <v>208</v>
      </c>
      <c r="B17" s="18">
        <v>159434</v>
      </c>
    </row>
    <row r="18" spans="1:2" x14ac:dyDescent="0.25">
      <c r="A18" s="4" t="s">
        <v>209</v>
      </c>
      <c r="B18" s="18">
        <v>37233</v>
      </c>
    </row>
    <row r="19" spans="1:2" x14ac:dyDescent="0.25">
      <c r="A19" s="4" t="s">
        <v>210</v>
      </c>
      <c r="B19" s="37">
        <v>0.18932001810166424</v>
      </c>
    </row>
    <row r="20" spans="1:2" x14ac:dyDescent="0.25">
      <c r="A20" s="4" t="s">
        <v>153</v>
      </c>
      <c r="B20" s="18">
        <v>0</v>
      </c>
    </row>
    <row r="21" spans="1:2" x14ac:dyDescent="0.25">
      <c r="A21" s="4" t="s">
        <v>211</v>
      </c>
      <c r="B21" s="18">
        <v>37233</v>
      </c>
    </row>
    <row r="22" spans="1:2" x14ac:dyDescent="0.25">
      <c r="A22" s="4" t="s">
        <v>212</v>
      </c>
      <c r="B22" s="18">
        <v>0</v>
      </c>
    </row>
    <row r="23" spans="1:2" x14ac:dyDescent="0.25">
      <c r="A23" s="4" t="s">
        <v>213</v>
      </c>
      <c r="B23" s="5" t="s">
        <v>177</v>
      </c>
    </row>
    <row r="24" spans="1:2" x14ac:dyDescent="0.25">
      <c r="A24" s="4" t="s">
        <v>214</v>
      </c>
      <c r="B24" s="5" t="s">
        <v>215</v>
      </c>
    </row>
    <row r="25" spans="1:2" x14ac:dyDescent="0.25">
      <c r="A25" s="4" t="s">
        <v>216</v>
      </c>
      <c r="B25" s="5" t="s">
        <v>34</v>
      </c>
    </row>
    <row r="26" spans="1:2" x14ac:dyDescent="0.25">
      <c r="A26" s="4" t="s">
        <v>217</v>
      </c>
      <c r="B26" s="18">
        <v>16389</v>
      </c>
    </row>
    <row r="27" spans="1:2" x14ac:dyDescent="0.25">
      <c r="A27" s="4" t="s">
        <v>218</v>
      </c>
      <c r="B27" s="18">
        <v>13286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219</v>
      </c>
      <c r="B2" s="38"/>
      <c r="C2" s="38"/>
      <c r="D2" s="38"/>
      <c r="E2" s="38"/>
      <c r="F2" s="38"/>
    </row>
    <row r="3" ht="18" customHeight="1" spans="1:6" x14ac:dyDescent="0.25">
      <c r="A3" s="39" t="s">
        <v>220</v>
      </c>
      <c r="B3" s="39"/>
      <c r="C3" s="39"/>
      <c r="D3" s="39"/>
      <c r="E3" s="39"/>
      <c r="F3" s="39"/>
    </row>
    <row r="4" ht="16" customHeight="1" spans="1:6" x14ac:dyDescent="0.25">
      <c r="A4" s="40" t="s">
        <v>221</v>
      </c>
      <c r="B4" s="40"/>
      <c r="C4" s="40"/>
      <c r="D4" s="40"/>
      <c r="E4" s="40"/>
      <c r="F4" s="40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0">
        <f>Assumptions!$B$17</f>
        <v>12</v>
      </c>
      <c r="C7" s="30">
        <f>Assumptions!$C$17</f>
        <v>18</v>
      </c>
      <c r="D7" s="30">
        <f>Assumptions!$D$17</f>
        <v>22</v>
      </c>
      <c r="E7" s="30">
        <f>Assumptions!$E$17</f>
        <v>25</v>
      </c>
      <c r="F7" s="30">
        <f>Assumptions!$F$17</f>
        <v>25</v>
      </c>
    </row>
    <row r="8" spans="1:6" x14ac:dyDescent="0.25">
      <c r="A8" s="5" t="s">
        <v>156</v>
      </c>
      <c r="B8" s="25">
        <f>'5-Year P&amp;L'!B2</f>
        <v>196667</v>
      </c>
      <c r="C8" s="25">
        <f>'5-Year P&amp;L'!C2</f>
        <v>362760</v>
      </c>
      <c r="D8" s="25">
        <f>'5-Year P&amp;L'!D2</f>
        <v>455954</v>
      </c>
      <c r="E8" s="25">
        <f>'5-Year P&amp;L'!E2</f>
        <v>533300</v>
      </c>
      <c r="F8" s="25">
        <f>'5-Year P&amp;L'!F2</f>
        <v>549850</v>
      </c>
    </row>
    <row r="9" spans="1:6" x14ac:dyDescent="0.25">
      <c r="A9" s="4" t="s">
        <v>149</v>
      </c>
      <c r="B9" s="13">
        <f>'5-Year P&amp;L'!B6</f>
        <v>159434</v>
      </c>
      <c r="C9" s="13">
        <f>'5-Year P&amp;L'!C6</f>
        <v>201888</v>
      </c>
      <c r="D9" s="13">
        <f>'5-Year P&amp;L'!D6</f>
        <v>211187</v>
      </c>
      <c r="E9" s="13">
        <f>'5-Year P&amp;L'!E6</f>
        <v>219967</v>
      </c>
      <c r="F9" s="13">
        <f>'5-Year P&amp;L'!F6</f>
        <v>226410</v>
      </c>
    </row>
    <row r="10" ht="24" customHeight="1" spans="1:6" x14ac:dyDescent="0.25">
      <c r="A10" s="3" t="s">
        <v>158</v>
      </c>
      <c r="B10" s="22">
        <f>'5-Year P&amp;L'!B7</f>
        <v>37233</v>
      </c>
      <c r="C10" s="22">
        <f>'5-Year P&amp;L'!C7</f>
        <v>160872</v>
      </c>
      <c r="D10" s="22">
        <f>'5-Year P&amp;L'!D7</f>
        <v>244768</v>
      </c>
      <c r="E10" s="22">
        <f>'5-Year P&amp;L'!E7</f>
        <v>313333</v>
      </c>
      <c r="F10" s="22">
        <f>'5-Year P&amp;L'!F7</f>
        <v>323440</v>
      </c>
    </row>
    <row r="11" spans="1:6" x14ac:dyDescent="0.25">
      <c r="A11" s="4" t="s">
        <v>159</v>
      </c>
      <c r="B11" s="12">
        <f>IF(B8=0,0,B10/B8)</f>
        <v>0.19</v>
      </c>
      <c r="C11" s="12">
        <f>IF(C8=0,0,C10/C8)</f>
        <v>0.44</v>
      </c>
      <c r="D11" s="12">
        <f>IF(D8=0,0,D10/D8)</f>
        <v>0.54</v>
      </c>
      <c r="E11" s="12">
        <f>IF(E8=0,0,E10/E8)</f>
        <v>0.59</v>
      </c>
      <c r="F11" s="12">
        <f>IF(F8=0,0,F10/F8)</f>
        <v>0.59</v>
      </c>
    </row>
    <row r="12" spans="1:6" x14ac:dyDescent="0.25">
      <c r="A12" s="5" t="s">
        <v>160</v>
      </c>
      <c r="B12" s="25">
        <f>B10</f>
        <v>37233</v>
      </c>
      <c r="C12" s="25">
        <f>B12+C10</f>
        <v>198105</v>
      </c>
      <c r="D12" s="25">
        <f>C12+D10</f>
        <v>442873</v>
      </c>
      <c r="E12" s="25">
        <f>D12+E10</f>
        <v>756206</v>
      </c>
      <c r="F12" s="25">
        <f>E12+F10</f>
        <v>1079646</v>
      </c>
    </row>
    <row r="13" spans="1:6" x14ac:dyDescent="0.25">
      <c r="A13" s="5" t="s">
        <v>222</v>
      </c>
      <c r="B13" s="25">
        <v>37233</v>
      </c>
      <c r="C13" s="25">
        <v>198105</v>
      </c>
      <c r="D13" s="25">
        <v>442873</v>
      </c>
      <c r="E13" s="25">
        <v>756206</v>
      </c>
      <c r="F13" s="25">
        <v>1079646</v>
      </c>
    </row>
    <row r="14" spans="1:6" x14ac:dyDescent="0.25">
      <c r="A14" s="4" t="s">
        <v>223</v>
      </c>
      <c r="B14" s="13">
        <v>16389</v>
      </c>
      <c r="C14" s="13">
        <v>20153</v>
      </c>
      <c r="D14" s="13">
        <v>20725</v>
      </c>
      <c r="E14" s="13">
        <v>21332</v>
      </c>
      <c r="F14" s="13">
        <v>21994</v>
      </c>
    </row>
    <row r="15" spans="1:6" x14ac:dyDescent="0.25">
      <c r="A15" s="4" t="s">
        <v>105</v>
      </c>
      <c r="B15" s="13">
        <v>13286</v>
      </c>
      <c r="C15" s="13">
        <v>11216</v>
      </c>
      <c r="D15" s="13">
        <v>9599</v>
      </c>
      <c r="E15" s="13">
        <v>8799</v>
      </c>
      <c r="F15" s="13">
        <v>9056</v>
      </c>
    </row>
    <row r="17" spans="1:6" x14ac:dyDescent="0.25">
      <c r="A17" s="40" t="s">
        <v>224</v>
      </c>
      <c r="B17" s="40"/>
      <c r="C17" s="40"/>
      <c r="D17" s="40"/>
      <c r="E17" s="40"/>
      <c r="F17" s="40"/>
    </row>
  </sheetData>
  <mergeCells count="5">
    <mergeCell ref="A1:F1"/>
    <mergeCell ref="A2:F2"/>
    <mergeCell ref="A3:F3"/>
    <mergeCell ref="A4:F4"/>
    <mergeCell ref="A17:F17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225</v>
      </c>
      <c r="C3" s="41"/>
    </row>
    <row r="4" ht="28" customHeight="1" spans="2:3" x14ac:dyDescent="0.25">
      <c r="B4" s="42" t="s">
        <v>226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227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228</v>
      </c>
      <c r="C10" s="46"/>
    </row>
    <row r="12" spans="2:3" x14ac:dyDescent="0.25">
      <c r="B12" s="44" t="s">
        <v>229</v>
      </c>
      <c r="C12" s="47" t="s">
        <v>230</v>
      </c>
    </row>
    <row r="15" ht="24" customHeight="1" spans="1:3" x14ac:dyDescent="0.25">
      <c r="A15" s="3"/>
      <c r="B15" s="3" t="s">
        <v>231</v>
      </c>
      <c r="C15" s="3"/>
    </row>
    <row r="16" spans="2:3" x14ac:dyDescent="0.25">
      <c r="B16" s="11" t="s">
        <v>232</v>
      </c>
      <c r="C16" s="25">
        <v>549850</v>
      </c>
    </row>
    <row r="17" spans="2:3" x14ac:dyDescent="0.25">
      <c r="B17" s="11" t="s">
        <v>233</v>
      </c>
      <c r="C17" s="25">
        <v>323440</v>
      </c>
    </row>
    <row r="18" spans="2:3" x14ac:dyDescent="0.25">
      <c r="B18" s="11" t="s">
        <v>179</v>
      </c>
      <c r="C18" s="25">
        <v>1079646</v>
      </c>
    </row>
    <row r="19" spans="2:3" x14ac:dyDescent="0.25">
      <c r="B19" s="11" t="s">
        <v>204</v>
      </c>
      <c r="C19" s="48" t="s">
        <v>234</v>
      </c>
    </row>
    <row r="22" ht="24" customHeight="1" spans="1:3" x14ac:dyDescent="0.25">
      <c r="A22" s="3"/>
      <c r="B22" s="3" t="s">
        <v>235</v>
      </c>
      <c r="C22" s="3"/>
    </row>
    <row r="23" spans="2:3" x14ac:dyDescent="0.25">
      <c r="B23" s="49" t="s">
        <v>236</v>
      </c>
      <c r="C23" s="50"/>
    </row>
    <row r="24" spans="2:3" x14ac:dyDescent="0.25">
      <c r="B24" s="49" t="s">
        <v>237</v>
      </c>
      <c r="C24" s="50"/>
    </row>
    <row r="25" spans="2:3" x14ac:dyDescent="0.25">
      <c r="B25" s="49" t="s">
        <v>238</v>
      </c>
      <c r="C25" s="50"/>
    </row>
    <row r="26" spans="2:3" x14ac:dyDescent="0.25">
      <c r="B26" s="49" t="s">
        <v>239</v>
      </c>
      <c r="C26" s="50"/>
    </row>
    <row r="27" spans="2:3" x14ac:dyDescent="0.25">
      <c r="B27" s="49" t="s">
        <v>147</v>
      </c>
      <c r="C27" s="50"/>
    </row>
    <row r="28" spans="2:3" x14ac:dyDescent="0.25">
      <c r="B28" s="49" t="s">
        <v>240</v>
      </c>
      <c r="C28" s="50"/>
    </row>
    <row r="29" spans="2:3" x14ac:dyDescent="0.25">
      <c r="B29" s="49" t="s">
        <v>241</v>
      </c>
      <c r="C29" s="50"/>
    </row>
    <row r="30" spans="2:3" x14ac:dyDescent="0.25">
      <c r="B30" s="49" t="s">
        <v>242</v>
      </c>
      <c r="C30" s="50"/>
    </row>
    <row r="31" spans="2:3" x14ac:dyDescent="0.25">
      <c r="B31" s="49" t="s">
        <v>243</v>
      </c>
      <c r="C31" s="50"/>
    </row>
    <row r="32" spans="2:3" x14ac:dyDescent="0.25">
      <c r="B32" s="49" t="s">
        <v>244</v>
      </c>
      <c r="C32" s="50"/>
    </row>
    <row r="33" spans="2:3" x14ac:dyDescent="0.25">
      <c r="B33" s="49" t="s">
        <v>245</v>
      </c>
      <c r="C33" s="50"/>
    </row>
    <row r="34" spans="2:3" x14ac:dyDescent="0.25">
      <c r="B34" s="49" t="s">
        <v>246</v>
      </c>
      <c r="C34" s="50"/>
    </row>
    <row r="35" spans="2:3" x14ac:dyDescent="0.25">
      <c r="B35" s="49" t="s">
        <v>247</v>
      </c>
      <c r="C35" s="50"/>
    </row>
    <row r="36" spans="2:3" x14ac:dyDescent="0.25">
      <c r="B36" s="49" t="s">
        <v>248</v>
      </c>
      <c r="C36" s="50"/>
    </row>
    <row r="39" spans="2:3" x14ac:dyDescent="0.25">
      <c r="B39" s="40" t="s">
        <v>224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2026-03-17T17:33:55Z</dcterms:created>
  <dcterms:modified xsi:type="dcterms:W3CDTF">2026-03-17T17:33:55Z</dcterms:modified>
</cp:coreProperties>
</file>