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Enrollment &amp; Rev Drivers" state="visible" r:id="rId5"/>
    <sheet sheetId="3" name="Tuition &amp; Funding Detail" state="visible" r:id="rId6"/>
    <sheet sheetId="4" name="Staffing Plan" state="visible" r:id="rId7"/>
    <sheet sheetId="5" name="Operating Expenses" state="visible" r:id="rId8"/>
    <sheet sheetId="6" name="Facilities &amp; Occupancy" state="visible" r:id="rId9"/>
    <sheet sheetId="7" name="Capital Stack &amp; Startup Uses" state="visible" r:id="rId10"/>
    <sheet sheetId="8" name="Debt Schedule" state="visible" r:id="rId11"/>
    <sheet sheetId="9" name="Cash Flow Monthly Y1" state="visible" r:id="rId12"/>
    <sheet sheetId="10" name="5-Year P&amp;L" state="visible" r:id="rId13"/>
    <sheet sheetId="11" name="5-Year Balance Sheet" state="visible" r:id="rId14"/>
    <sheet sheetId="12" name="DSCR &amp; Covenants" state="visible" r:id="rId15"/>
    <sheet sheetId="13" name="Underwriting Snapshot" state="visible" r:id="rId16"/>
    <sheet sheetId="14" name="Summary" state="visible" r:id="rId17"/>
    <sheet sheetId="15" name="Cover" state="visible" r:id="rId18"/>
    <sheet sheetId="16" name="Financial Health" state="visible" r:id="rId19"/>
  </sheets>
  <definedNames>
    <definedName name="_xlnm.Print_Area" localSheetId="0">'Assumptions'!$A1:$F23</definedName>
    <definedName name="_xlnm.Print_Titles" localSheetId="0">'Assumptions'!$1:$1</definedName>
    <definedName name="_xlnm.Print_Area" localSheetId="1">'Enrollment &amp; Rev Drivers'!$A1:$F15</definedName>
    <definedName name="_xlnm.Print_Titles" localSheetId="1">'Enrollment &amp; Rev Drivers'!$1:$1</definedName>
    <definedName name="_xlnm.Print_Area" localSheetId="2">'Tuition &amp; Funding Detail'!$A1:$F17</definedName>
    <definedName name="_xlnm.Print_Titles" localSheetId="2">'Tuition &amp; Funding Detail'!$1:$1</definedName>
    <definedName name="_xlnm.Print_Area" localSheetId="3">'Staffing Plan'!$A1:$H22</definedName>
    <definedName name="_xlnm.Print_Titles" localSheetId="3">'Staffing Plan'!$1:$1</definedName>
    <definedName name="_xlnm.Print_Area" localSheetId="4">'Operating Expenses'!$A1:$F12</definedName>
    <definedName name="_xlnm.Print_Titles" localSheetId="4">'Operating Expenses'!$1:$1</definedName>
    <definedName name="_xlnm.Print_Area" localSheetId="5">'Facilities &amp; Occupancy'!$A1:$F9</definedName>
    <definedName name="_xlnm.Print_Titles" localSheetId="5">'Facilities &amp; Occupancy'!$1:$1</definedName>
    <definedName name="_xlnm.Print_Area" localSheetId="6">'Capital Stack &amp; Startup Uses'!$A1:$B17</definedName>
    <definedName name="_xlnm.Print_Titles" localSheetId="6">'Capital Stack &amp; Startup Uses'!$1:$1</definedName>
    <definedName name="_xlnm.Print_Area" localSheetId="7">'Debt Schedule'!$A1:$G16</definedName>
    <definedName name="_xlnm.Print_Titles" localSheetId="7">'Debt Schedule'!$1:$1</definedName>
    <definedName name="_xlnm.Print_Area" localSheetId="8">'Cash Flow Monthly Y1'!$A1:$N13</definedName>
    <definedName name="_xlnm.Print_Titles" localSheetId="8">'Cash Flow Monthly Y1'!$1:$1</definedName>
    <definedName name="_xlnm.Print_Area" localSheetId="9">'5-Year P&amp;L'!$A1:$F10</definedName>
    <definedName name="_xlnm.Print_Titles" localSheetId="9">'5-Year P&amp;L'!$1:$1</definedName>
    <definedName name="_xlnm.Print_Area" localSheetId="10">'5-Year Balance Sheet'!$A1:$F17</definedName>
    <definedName name="_xlnm.Print_Titles" localSheetId="10">'5-Year Balance Sheet'!$1:$1</definedName>
    <definedName name="_xlnm.Print_Area" localSheetId="11">'DSCR &amp; Covenants'!$A1:$F17</definedName>
    <definedName name="_xlnm.Print_Titles" localSheetId="11">'DSCR &amp; Covenants'!$1:$1</definedName>
    <definedName name="_xlnm.Print_Area" localSheetId="12">'Underwriting Snapshot'!$A1:$C28</definedName>
    <definedName name="_xlnm.Print_Titles" localSheetId="12">'Underwriting Snapshot'!$1:$1</definedName>
    <definedName name="_xlnm.Print_Area" localSheetId="13">'Summary'!$A1:$F18</definedName>
    <definedName name="_xlnm.Print_Titles" localSheetId="13">'Summary'!$1:$1</definedName>
    <definedName name="_xlnm.Print_Area" localSheetId="15">'Financial Health'!$A1:$H40</definedName>
    <definedName name="_xlnm.Print_Titles" localSheetId="15">'Financial Health'!$1:$1</definedName>
  </definedNames>
  <calcPr calcId="171027" fullCalcOnLoad="1"/>
</workbook>
</file>

<file path=xl/sharedStrings.xml><?xml version="1.0" encoding="utf-8"?>
<sst xmlns="http://schemas.openxmlformats.org/spreadsheetml/2006/main" count="442" uniqueCount="317">
  <si>
    <t>SchoolStack - Assumptions &amp; Drivers</t>
  </si>
  <si>
    <t/>
  </si>
  <si>
    <t>Editable assumption — change this value</t>
  </si>
  <si>
    <t>Calculated — driven by formula</t>
  </si>
  <si>
    <t>SCHOOL INFORMATION</t>
  </si>
  <si>
    <t>School Name</t>
  </si>
  <si>
    <t>Bright Horizons Microschool</t>
  </si>
  <si>
    <t>State</t>
  </si>
  <si>
    <t>AZ</t>
  </si>
  <si>
    <t>School Type</t>
  </si>
  <si>
    <t>Microschool</t>
  </si>
  <si>
    <t>Entity Type</t>
  </si>
  <si>
    <t>LLC (Single Member)</t>
  </si>
  <si>
    <t>School Stage</t>
  </si>
  <si>
    <t>New School</t>
  </si>
  <si>
    <t>Planned Opening Year</t>
  </si>
  <si>
    <t>Max Student Capacity</t>
  </si>
  <si>
    <t>Fiscal Year Start</t>
  </si>
  <si>
    <t>July</t>
  </si>
  <si>
    <t>EIN</t>
  </si>
  <si>
    <t>88-1234567</t>
  </si>
  <si>
    <t>Year 1 Operating Months</t>
  </si>
  <si>
    <t>ENROLLMENT BY YEAR</t>
  </si>
  <si>
    <t>Year 1</t>
  </si>
  <si>
    <t>Year 2</t>
  </si>
  <si>
    <t>Year 3</t>
  </si>
  <si>
    <t>Year 4</t>
  </si>
  <si>
    <t>Year 5</t>
  </si>
  <si>
    <t>Students</t>
  </si>
  <si>
    <t>GROWTH &amp; ESCALATION RATES</t>
  </si>
  <si>
    <t>Salary Escalation</t>
  </si>
  <si>
    <t>Cost Inflation</t>
  </si>
  <si>
    <t>Year 1 Proration Factor</t>
  </si>
  <si>
    <t>Projection Period</t>
  </si>
  <si>
    <t>5 Years</t>
  </si>
  <si>
    <t>2026-27</t>
  </si>
  <si>
    <t>2027-28</t>
  </si>
  <si>
    <t>2028-29</t>
  </si>
  <si>
    <t>2029-30</t>
  </si>
  <si>
    <t>2030-31</t>
  </si>
  <si>
    <t>Enrollment Growth %</t>
  </si>
  <si>
    <t>-</t>
  </si>
  <si>
    <t>Capacity Utilization %</t>
  </si>
  <si>
    <t>REVENUE PER STUDENT</t>
  </si>
  <si>
    <t>Tuition (per student)</t>
  </si>
  <si>
    <t>Registration Fee (per student)</t>
  </si>
  <si>
    <t>AZ ESA Funds (per student)</t>
  </si>
  <si>
    <t>REVENUE MIX SUMMARY</t>
  </si>
  <si>
    <t>Tuition &amp; Student Fees</t>
  </si>
  <si>
    <t>Tuition Offsets</t>
  </si>
  <si>
    <t>School Choice Funding</t>
  </si>
  <si>
    <t>Philanthropy</t>
  </si>
  <si>
    <t>TUITION &amp; STUDENT FEES</t>
  </si>
  <si>
    <t>Tuition</t>
  </si>
  <si>
    <t>Registration Fee</t>
  </si>
  <si>
    <t>Total Tuition &amp; Student Fees</t>
  </si>
  <si>
    <t>TUITION OFFSETS</t>
  </si>
  <si>
    <t>Scholarship Discount</t>
  </si>
  <si>
    <t>Total Tuition Offsets</t>
  </si>
  <si>
    <t>SCHOOL CHOICE FUNDING</t>
  </si>
  <si>
    <t>AZ ESA Funds</t>
  </si>
  <si>
    <t>Total School Choice Funding</t>
  </si>
  <si>
    <t>PHILANTHROPY</t>
  </si>
  <si>
    <t>Annual Fundraising</t>
  </si>
  <si>
    <t>Total Philanthropy</t>
  </si>
  <si>
    <t>TOTAL NET REVENUE</t>
  </si>
  <si>
    <t>SchoolStack - Staffing Plan</t>
  </si>
  <si>
    <t>Role</t>
  </si>
  <si>
    <t>Function</t>
  </si>
  <si>
    <t>Type</t>
  </si>
  <si>
    <t>FTE</t>
  </si>
  <si>
    <t>Annual Rate</t>
  </si>
  <si>
    <t>Benefits %</t>
  </si>
  <si>
    <t>Payroll Tax %</t>
  </si>
  <si>
    <t>Total Cost</t>
  </si>
  <si>
    <t>Founder / Head of School</t>
  </si>
  <si>
    <t>School Leadership</t>
  </si>
  <si>
    <t>FT</t>
  </si>
  <si>
    <t>Lead Teacher</t>
  </si>
  <si>
    <t>Instructional</t>
  </si>
  <si>
    <t>Teaching Assistant</t>
  </si>
  <si>
    <t>PT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</si>
  <si>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</si>
  <si>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</si>
  <si>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</si>
  <si>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</si>
  <si>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</si>
  <si>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</si>
  <si>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</si>
  <si>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Base Personnel Cost</t>
  </si>
  <si>
    <t>MULTI-YEAR PERSONNEL PROJECTION</t>
  </si>
  <si>
    <t>Base Cost</t>
  </si>
  <si>
    <t>Escalation Factor</t>
  </si>
  <si>
    <t>Proration</t>
  </si>
  <si>
    <t>Total Personnel</t>
  </si>
  <si>
    <t>INSTRUCTIONAL / PROGRAM</t>
  </si>
  <si>
    <t>Curriculum &amp; Materials</t>
  </si>
  <si>
    <t>Total Instructional / Program</t>
  </si>
  <si>
    <t>TECHNOLOGY</t>
  </si>
  <si>
    <t>Technology</t>
  </si>
  <si>
    <t>Total Technology</t>
  </si>
  <si>
    <t>ADMINISTRATIVE / GENERAL</t>
  </si>
  <si>
    <t>Marketing</t>
  </si>
  <si>
    <t>Total Administrative / General</t>
  </si>
  <si>
    <t>TOTAL OPERATING EXPENSES</t>
  </si>
  <si>
    <t>OCCUPANCY / FACILITY COSTS</t>
  </si>
  <si>
    <t>Rent</t>
  </si>
  <si>
    <t>Utilities</t>
  </si>
  <si>
    <t>Insurance</t>
  </si>
  <si>
    <t>Total Facility Costs</t>
  </si>
  <si>
    <t>Cost per Student</t>
  </si>
  <si>
    <t>% of Revenue</t>
  </si>
  <si>
    <t>SchoolStack - Capital Stack (2026-27)</t>
  </si>
  <si>
    <t>SOURCES OF CAPITAL</t>
  </si>
  <si>
    <t>Founder Equity / Starting Cash</t>
  </si>
  <si>
    <t>Loan: Equipment Loan</t>
  </si>
  <si>
    <t>TOTAL CAPITAL SOURCES</t>
  </si>
  <si>
    <t>STARTUP / PRE-OPENING USES</t>
  </si>
  <si>
    <t>Deposits &amp; Prepaid Occupancy (2 mo)</t>
  </si>
  <si>
    <t>Equipment / FF&amp;E / Technology</t>
  </si>
  <si>
    <t>Curriculum &amp; Program Launch Costs</t>
  </si>
  <si>
    <t>Working Capital Reserve (2 mo)</t>
  </si>
  <si>
    <t>Contingency (5%)</t>
  </si>
  <si>
    <t>TOTAL STARTUP USES</t>
  </si>
  <si>
    <t>CAPITAL SURPLUS / (GAP)</t>
  </si>
  <si>
    <t>⚠ Funding gap - additional capital needed</t>
  </si>
  <si>
    <t>SchoolStack - Debt Schedule</t>
  </si>
  <si>
    <t>Loan / Facility</t>
  </si>
  <si>
    <t>Principal</t>
  </si>
  <si>
    <t>Rate</t>
  </si>
  <si>
    <t>Term (yrs)</t>
  </si>
  <si>
    <t>Annual Payment</t>
  </si>
  <si>
    <t>Monthly Payment</t>
  </si>
  <si>
    <t>Total Interest</t>
  </si>
  <si>
    <t>Equipment Loan</t>
  </si>
  <si>
    <t>TOTAL DEBT SERVICE</t>
  </si>
  <si>
    <t>Annual Debt Service</t>
  </si>
  <si>
    <t>Monthly Debt Service</t>
  </si>
  <si>
    <t>AMORTIZATION SCHEDULE (ANNUAL)</t>
  </si>
  <si>
    <t>Year</t>
  </si>
  <si>
    <t>Equipment Loan Balance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</si>
  <si>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</si>
  <si>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</si>
  <si>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</si>
  <si>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</si>
  <si>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</si>
  <si>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</si>
  <si>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</si>
  <si>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</si>
  <si>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</si>
  <si>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</si>
  <si>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</si>
  <si>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2026-27 Total</t>
  </si>
  <si>
    <t>Revenue</t>
  </si>
  <si>
    <t>Personnel</t>
  </si>
  <si>
    <t>Operating Expenses</t>
  </si>
  <si>
    <t>Debt Service</t>
  </si>
  <si>
    <t>Total Expenses</t>
  </si>
  <si>
    <t>Net Cash Flow</t>
  </si>
  <si>
    <t>Cumulative Cash</t>
  </si>
  <si>
    <t>CASH FLOW METRICS</t>
  </si>
  <si>
    <t>Starting Cash</t>
  </si>
  <si>
    <t>Ending Cash (Month 12)</t>
  </si>
  <si>
    <t>Minimum Cash Month</t>
  </si>
  <si>
    <t>Total Revenue</t>
  </si>
  <si>
    <t>Capital &amp; Debt Service</t>
  </si>
  <si>
    <t>Profit / (Loss)</t>
  </si>
  <si>
    <t>Net Margin %</t>
  </si>
  <si>
    <t>Cumulative Net Income</t>
  </si>
  <si>
    <t>Break-even</t>
  </si>
  <si>
    <t>✓ Break-even</t>
  </si>
  <si>
    <t>ASSETS</t>
  </si>
  <si>
    <t>Cash &amp; Equivalents</t>
  </si>
  <si>
    <t>Other Assets</t>
  </si>
  <si>
    <t>Total Assets</t>
  </si>
  <si>
    <t>LIABILITIES</t>
  </si>
  <si>
    <t>Debt Outstanding</t>
  </si>
  <si>
    <t>Other Liabilities</t>
  </si>
  <si>
    <t>Total Liabilities</t>
  </si>
  <si>
    <t>EQUITY / NET ASSETS</t>
  </si>
  <si>
    <t>Beginning Net Position</t>
  </si>
  <si>
    <t>Change in Net Position</t>
  </si>
  <si>
    <t>Total Equity / Net Assets</t>
  </si>
  <si>
    <t>BALANCE CHECK (Assets − Liab − Equity)</t>
  </si>
  <si>
    <t>DEBT SERVICE COVERAGE RATIO (DSCR)</t>
  </si>
  <si>
    <t>Net Operating Income (NOI)</t>
  </si>
  <si>
    <t>DSCR</t>
  </si>
  <si>
    <t>LIQUIDITY METRICS</t>
  </si>
  <si>
    <t>Ending Cash Balance</t>
  </si>
  <si>
    <t>Monthly Operating Cost</t>
  </si>
  <si>
    <t>Cash Reserve (Months)</t>
  </si>
  <si>
    <t>Days Cash on Hand</t>
  </si>
  <si>
    <t>COVENANT CHECKS</t>
  </si>
  <si>
    <t>DSCR ≥ 1.25x</t>
  </si>
  <si>
    <t>Cash Reserve ≥ 2.0 Months</t>
  </si>
  <si>
    <t>Positive Net Income</t>
  </si>
  <si>
    <t>PASS</t>
  </si>
  <si>
    <t>Enrollment ≥ 70% Capacity</t>
  </si>
  <si>
    <t>FAIL</t>
  </si>
  <si>
    <t>SchoolStack - Underwriting Snapshot</t>
  </si>
  <si>
    <t>Bright Horizons Microschool | Microschool | AZ</t>
  </si>
  <si>
    <t>POLICY FLAGS</t>
  </si>
  <si>
    <t>DSCR ≥ 1.25x (2026-27)</t>
  </si>
  <si>
    <t>3.63x</t>
  </si>
  <si>
    <t>Min 2 Months Cash Reserve (2026-27)</t>
  </si>
  <si>
    <t>3.6 months</t>
  </si>
  <si>
    <t>Positive Net Income (2026-27)</t>
  </si>
  <si>
    <t>Yes</t>
  </si>
  <si>
    <t>Break-Even Within Projection Period</t>
  </si>
  <si>
    <t>Enrollment ≥ 70% Capacity (2026-27)</t>
  </si>
  <si>
    <t>48%</t>
  </si>
  <si>
    <t>Positive Ending Cash (Final Year)</t>
  </si>
  <si>
    <t>UNDERWRITING ASSESSMENT</t>
  </si>
  <si>
    <t>Flags Passed</t>
  </si>
  <si>
    <t>5 / 6</t>
  </si>
  <si>
    <t>Overall Assessment</t>
  </si>
  <si>
    <t>Conditional</t>
  </si>
  <si>
    <t>KEY METRICS SUMMARY</t>
  </si>
  <si>
    <t>2026-27 Revenue</t>
  </si>
  <si>
    <t>2026-27 Total Expenses</t>
  </si>
  <si>
    <t>2026-27 Net Income</t>
  </si>
  <si>
    <t>2026-27 Net Margin</t>
  </si>
  <si>
    <t>2026-27 Ending Cash</t>
  </si>
  <si>
    <t>Total Debt</t>
  </si>
  <si>
    <t>2026-27 DSCR</t>
  </si>
  <si>
    <t>2026-27 Cash Reserve (Months)</t>
  </si>
  <si>
    <t>3.6</t>
  </si>
  <si>
    <t>Break-Even Year</t>
  </si>
  <si>
    <t>Revenue per Student (2026-27)</t>
  </si>
  <si>
    <t>Cost per Student (2026-27)</t>
  </si>
  <si>
    <t>5-Year Financial Model</t>
  </si>
  <si>
    <t>Microschool  |  AZ  |  Est. 2026</t>
  </si>
  <si>
    <t>Prepared April 29, 2026</t>
  </si>
  <si>
    <t>Cash Balance</t>
  </si>
  <si>
    <t>Revenue per Student</t>
  </si>
  <si>
    <t>Generated by SchoolStack Budget  •  budget.schoolstack.ai</t>
  </si>
  <si>
    <t>SchoolStack Budget</t>
  </si>
  <si>
    <t>Underwriting Package</t>
  </si>
  <si>
    <t>Prepared for</t>
  </si>
  <si>
    <t>Microschool  •  LLC (Single Member)  •  AZ</t>
  </si>
  <si>
    <t>Date Prepared</t>
  </si>
  <si>
    <t>April 29, 2026</t>
  </si>
  <si>
    <t>UNDERWRITING HIGHLIGHTS</t>
  </si>
  <si>
    <t>Year 5 Revenue</t>
  </si>
  <si>
    <t>Year 5 Net Income</t>
  </si>
  <si>
    <t>Strong</t>
  </si>
  <si>
    <t>TABLE OF CONTENTS</t>
  </si>
  <si>
    <t>Assumptions</t>
  </si>
  <si>
    <t>Enrollment &amp; Rev Drivers</t>
  </si>
  <si>
    <t>Tuition &amp; Funding Detail</t>
  </si>
  <si>
    <t>Staffing Plan</t>
  </si>
  <si>
    <t>Facilities &amp; Occupancy</t>
  </si>
  <si>
    <t>Capital Stack &amp; Startup Uses</t>
  </si>
  <si>
    <t>Debt Schedule</t>
  </si>
  <si>
    <t>Cash Flow Monthly Y1</t>
  </si>
  <si>
    <t>5-Year P&amp;L</t>
  </si>
  <si>
    <t>5-Year Balance Sheet</t>
  </si>
  <si>
    <t>DSCR &amp; Covenants</t>
  </si>
  <si>
    <t>Underwriting Snapshot</t>
  </si>
  <si>
    <t>Summary</t>
  </si>
  <si>
    <t>Bright Horizons Microschool — Financial Health Dashboard</t>
  </si>
  <si>
    <t>Generated April 29, 2026</t>
  </si>
  <si>
    <t>● Green = healthy</t>
  </si>
  <si>
    <t>◐ Yellow = monitor</t>
  </si>
  <si>
    <t>○ Red = action needed</t>
  </si>
  <si>
    <t>Metric</t>
  </si>
  <si>
    <t>Benchmark</t>
  </si>
  <si>
    <t>Enrollment</t>
  </si>
  <si>
    <t>Net Income</t>
  </si>
  <si>
    <t>Ending Cash</t>
  </si>
  <si>
    <t>Net Margin</t>
  </si>
  <si>
    <t>≥ $10,000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</si>
  <si>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</si>
  <si>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</si>
  <si>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</si>
  <si>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</si>
  <si>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</si>
  <si>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</si>
  <si>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</si>
  <si>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</si>
  <si>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</si>
  <si>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</si>
  <si>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</si>
  <si>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</si>
  <si>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≥ 1.25x</t>
  </si>
  <si>
    <t>Break-even Year</t>
  </si>
  <si>
    <t>Cash Runway (Months)</t>
  </si>
  <si>
    <t>≥ 24 months</t>
  </si>
  <si>
    <t>≥ 90 days</t>
  </si>
  <si>
    <t>FINANCIAL HEALTH SIGNALS</t>
  </si>
  <si>
    <t>Status</t>
  </si>
  <si>
    <t>Assessment</t>
  </si>
  <si>
    <t>Watch Item</t>
  </si>
  <si>
    <t>Viability</t>
  </si>
  <si>
    <t>● Healthy</t>
  </si>
  <si>
    <t>The model reaches profit early and sustains strong margins through Year 5.</t>
  </si>
  <si>
    <t>Monitor enrollment actuals vs. projections in Year 1.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</si>
  <si>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</si>
  <si>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</si>
  <si>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</si>
  <si>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</si>
  <si>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31% of revenue leaves room for facilities, programs, and reserves.</t>
  </si>
  <si>
    <t>As you add staff, ensure staffing stays below 60% of revenue.</t>
  </si>
  <si>
    <t>Facility Burden</t>
  </si>
  <si>
    <t>Facility costs at 8% of revenue are well-managed and leave budget for programs.</t>
  </si>
  <si>
    <t>Watch for rent escalation clauses that could push this higher over time.</t>
  </si>
  <si>
    <t>Debt Affordability</t>
  </si>
  <si>
    <t>DSCR of 41.62x provides comfortable coverage of debt payments with room to spare.</t>
  </si>
  <si>
    <t>Maintain this ratio as you take on any additional debt.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</si>
  <si>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</si>
  <si>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</si>
  <si>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</si>
  <si>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</si>
  <si>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48.6 months of reserves by Year 5 — a strong buffer for unexpected costs.</t>
  </si>
  <si>
    <t>Continue growing reserves toward 6 months for best-in-class financial health.</t>
  </si>
  <si>
    <t>7 Healthy  |  0 Watch  |  0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</si>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</sst>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;#,##0;&quot;-&quot;"/>
    <numFmt numFmtId="165" formatCode="0.0%;[Red](0.0%);&quot;-&quot;"/>
    <numFmt numFmtId="166" formatCode="_(&quot;$&quot;* #,##0_);_(&quot;$&quot;* (#,##0);_(&quot;$&quot;* &quot;-&quot;??_);_(@_)"/>
    <numFmt numFmtId="167" formatCode="0.0000"/>
    <numFmt numFmtId="168" formatCode="0.000"/>
    <numFmt numFmtId="169" formatCode="0.00x"/>
    <numFmt numFmtId="170" formatCode="0.0"/>
  </numFmts>
  <fonts count="24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color rgb="FF1E3A5F"/>
      <sz val="11"/>
      <name val="Calibri"/>
    </font>
    <font>
      <i/>
      <color rgb="FFD32F2F"/>
      <sz val="11"/>
      <name val="Calibri"/>
    </font>
    <font>
      <b/>
      <color rgb="FF16A34A"/>
      <sz val="11"/>
      <name val="Calibri"/>
    </font>
    <font>
      <b/>
      <color rgb="FF1E293B"/>
      <sz val="16"/>
      <name val="Calibri"/>
    </font>
    <font>
      <color rgb="FF64748B"/>
      <sz val="12"/>
      <name val="Calibri"/>
    </font>
    <font>
      <b/>
      <color rgb="FF1E293B"/>
      <sz val="13"/>
      <name val="Calibri"/>
    </font>
    <font>
      <color rgb="FF6B7280"/>
      <sz val="11"/>
      <name val="Calibri"/>
    </font>
    <font>
      <i/>
      <color rgb="FF9CA3AF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u/>
      <color rgb="FF2563EB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6">
    <border>
      <left/>
      <right/>
      <top/>
      <bottom/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  <border>
      <left/>
      <right/>
      <top/>
      <bottom style="medium">
        <color rgb="FFD97706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0" fillId="3" borderId="2" xfId="0" applyFill="1" applyBorder="1"/>
    <xf numFmtId="0" fontId="3" fillId="4" borderId="3" xfId="0" applyFont="1" applyFill="1" applyBorder="1"/>
    <xf numFmtId="0" fontId="4" fillId="0" borderId="0" xfId="0" applyFont="1"/>
    <xf numFmtId="0" fontId="5" fillId="0" borderId="0" xfId="0" applyFont="1"/>
    <xf numFmtId="0" fontId="6" fillId="5" borderId="3" xfId="0" applyFont="1" applyFill="1" applyBorder="1" applyAlignment="1">
      <alignment horizontal="center" vertical="center"/>
    </xf>
    <xf numFmtId="164" fontId="7" fillId="2" borderId="1" xfId="0" applyNumberFormat="1" applyFont="1" applyFill="1" applyBorder="1"/>
    <xf numFmtId="165" fontId="7" fillId="2" borderId="1" xfId="0" applyNumberFormat="1" applyFont="1" applyFill="1" applyBorder="1"/>
    <xf numFmtId="2" fontId="7" fillId="2" borderId="1" xfId="0" applyNumberFormat="1" applyFont="1" applyFill="1" applyBorder="1"/>
    <xf numFmtId="164" fontId="5" fillId="0" borderId="3" xfId="0" applyNumberFormat="1" applyFont="1" applyBorder="1"/>
    <xf numFmtId="0" fontId="4" fillId="0" borderId="3" xfId="0" applyFont="1" applyBorder="1"/>
    <xf numFmtId="165" fontId="4" fillId="0" borderId="3" xfId="0" applyNumberFormat="1" applyFont="1" applyBorder="1"/>
    <xf numFmtId="166" fontId="4" fillId="0" borderId="3" xfId="0" applyNumberFormat="1" applyFont="1" applyBorder="1"/>
    <xf numFmtId="166" fontId="3" fillId="4" borderId="3" xfId="0" applyNumberFormat="1" applyFont="1" applyFill="1" applyBorder="1"/>
    <xf numFmtId="166" fontId="7" fillId="2" borderId="1" xfId="0" applyNumberFormat="1" applyFont="1" applyFill="1" applyBorder="1"/>
    <xf numFmtId="166" fontId="5" fillId="0" borderId="0" xfId="0" applyNumberFormat="1" applyFont="1"/>
    <xf numFmtId="166" fontId="0" fillId="0" borderId="0" xfId="0" applyNumberFormat="1"/>
    <xf numFmtId="167" fontId="4" fillId="0" borderId="3" xfId="0" applyNumberFormat="1" applyFont="1" applyBorder="1"/>
    <xf numFmtId="168" fontId="4" fillId="0" borderId="3" xfId="0" applyNumberFormat="1" applyFont="1" applyBorder="1"/>
    <xf numFmtId="166" fontId="4" fillId="0" borderId="0" xfId="0" applyNumberFormat="1" applyFont="1"/>
    <xf numFmtId="166" fontId="5" fillId="4" borderId="3" xfId="0" applyNumberFormat="1" applyFont="1" applyFill="1" applyBorder="1"/>
    <xf numFmtId="166" fontId="5" fillId="6" borderId="0" xfId="0" applyNumberFormat="1" applyFont="1" applyFill="1"/>
    <xf numFmtId="0" fontId="8" fillId="0" borderId="0" xfId="0" applyFont="1"/>
    <xf numFmtId="1" fontId="7" fillId="2" borderId="1" xfId="0" applyNumberFormat="1" applyFont="1" applyFill="1" applyBorder="1"/>
    <xf numFmtId="166" fontId="5" fillId="0" borderId="3" xfId="0" applyNumberFormat="1" applyFont="1" applyBorder="1"/>
    <xf numFmtId="166" fontId="5" fillId="4" borderId="4" xfId="0" applyNumberFormat="1" applyFont="1" applyFill="1" applyBorder="1"/>
    <xf numFmtId="166" fontId="5" fillId="7" borderId="4" xfId="0" applyNumberFormat="1" applyFont="1" applyFill="1" applyBorder="1"/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9" fontId="5" fillId="0" borderId="3" xfId="0" applyNumberFormat="1" applyFont="1" applyBorder="1"/>
    <xf numFmtId="170" fontId="5" fillId="0" borderId="3" xfId="0" applyNumberFormat="1" applyFont="1" applyBorder="1"/>
    <xf numFmtId="164" fontId="4" fillId="0" borderId="3" xfId="0" applyNumberFormat="1" applyFont="1" applyBorder="1"/>
    <xf numFmtId="0" fontId="5" fillId="7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0" fontId="5" fillId="8" borderId="0" xfId="0" applyFont="1" applyFill="1"/>
    <xf numFmtId="165" fontId="5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5" xfId="0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3" fillId="0" borderId="0" xfId="0" applyFont="1"/>
    <xf numFmtId="0" fontId="5" fillId="7" borderId="3" xfId="0" applyFont="1" applyFill="1" applyBorder="1"/>
    <xf numFmtId="0" fontId="20" fillId="0" borderId="3" xfId="0" applyFont="1" applyBorder="1"/>
    <xf numFmtId="0" fontId="0" fillId="0" borderId="3" xfId="0" applyBorder="1"/>
    <xf numFmtId="0" fontId="21" fillId="0" borderId="0" xfId="0" applyFont="1"/>
    <xf numFmtId="0" fontId="9" fillId="0" borderId="0" xfId="0" applyFont="1"/>
    <xf numFmtId="0" fontId="22" fillId="0" borderId="0" xfId="0" applyFont="1"/>
    <xf numFmtId="0" fontId="23" fillId="0" borderId="0" xfId="0" applyFont="1"/>
    <xf numFmtId="0" fontId="3" fillId="4" borderId="3" xfId="0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right"/>
    </xf>
    <xf numFmtId="166" fontId="4" fillId="0" borderId="3" xfId="0" applyNumberFormat="1" applyFont="1" applyBorder="1" applyAlignment="1">
      <alignment horizontal="right"/>
    </xf>
    <xf numFmtId="0" fontId="5" fillId="0" borderId="3" xfId="0" applyFont="1" applyBorder="1"/>
    <xf numFmtId="166" fontId="5" fillId="7" borderId="4" xfId="0" applyNumberFormat="1" applyFont="1" applyFill="1" applyBorder="1" applyAlignment="1">
      <alignment horizontal="right"/>
    </xf>
    <xf numFmtId="165" fontId="5" fillId="7" borderId="4" xfId="0" applyNumberFormat="1" applyFont="1" applyFill="1" applyBorder="1" applyAlignment="1">
      <alignment horizontal="right"/>
    </xf>
    <xf numFmtId="166" fontId="4" fillId="7" borderId="3" xfId="0" applyNumberFormat="1" applyFont="1" applyFill="1" applyBorder="1" applyAlignment="1">
      <alignment horizontal="right"/>
    </xf>
    <xf numFmtId="0" fontId="21" fillId="0" borderId="3" xfId="0" applyFont="1" applyBorder="1"/>
    <xf numFmtId="166" fontId="5" fillId="0" borderId="3" xfId="0" applyNumberFormat="1" applyFont="1" applyBorder="1" applyAlignment="1">
      <alignment horizontal="right"/>
    </xf>
    <xf numFmtId="166" fontId="4" fillId="8" borderId="3" xfId="0" applyNumberFormat="1" applyFont="1" applyFill="1" applyBorder="1" applyAlignment="1">
      <alignment horizontal="right"/>
    </xf>
    <xf numFmtId="166" fontId="5" fillId="7" borderId="3" xfId="0" applyNumberFormat="1" applyFont="1" applyFill="1" applyBorder="1" applyAlignment="1">
      <alignment horizontal="right"/>
    </xf>
    <xf numFmtId="165" fontId="5" fillId="8" borderId="4" xfId="0" applyNumberFormat="1" applyFont="1" applyFill="1" applyBorder="1" applyAlignment="1">
      <alignment horizontal="right"/>
    </xf>
    <xf numFmtId="164" fontId="5" fillId="7" borderId="4" xfId="0" applyNumberFormat="1" applyFont="1" applyFill="1" applyBorder="1" applyAlignment="1">
      <alignment horizontal="right"/>
    </xf>
    <xf numFmtId="169" fontId="5" fillId="7" borderId="4" xfId="0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164" fontId="5" fillId="6" borderId="4" xfId="0" applyNumberFormat="1" applyFont="1" applyFill="1" applyBorder="1" applyAlignment="1">
      <alignment horizontal="right"/>
    </xf>
    <xf numFmtId="164" fontId="5" fillId="8" borderId="4" xfId="0" applyNumberFormat="1" applyFont="1" applyFill="1" applyBorder="1" applyAlignment="1">
      <alignment horizontal="right"/>
    </xf>
    <xf numFmtId="0" fontId="3" fillId="0" borderId="3" xfId="0" applyFont="1" applyBorder="1"/>
    <xf numFmtId="0" fontId="4" fillId="0" borderId="3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Enrollment &amp; Rev Drivers&apos;!A1" TargetMode="External"/><Relationship Id="rId3" Type="http://schemas.openxmlformats.org/officeDocument/2006/relationships/hyperlink" Target="#&apos;Tuition &amp; Funding Detail&apos;!A1" TargetMode="External"/><Relationship Id="rId4" Type="http://schemas.openxmlformats.org/officeDocument/2006/relationships/hyperlink" Target="#&apos;Staffing Plan&apos;!A1" TargetMode="External"/><Relationship Id="rId5" Type="http://schemas.openxmlformats.org/officeDocument/2006/relationships/hyperlink" Target="#&apos;Operating Expenses&apos;!A1" TargetMode="External"/><Relationship Id="rId6" Type="http://schemas.openxmlformats.org/officeDocument/2006/relationships/hyperlink" Target="#&apos;Facilities &amp; Occupancy&apos;!A1" TargetMode="External"/><Relationship Id="rId7" Type="http://schemas.openxmlformats.org/officeDocument/2006/relationships/hyperlink" Target="#&apos;Capital Stack &amp; Startup Uses&apos;!A1" TargetMode="External"/><Relationship Id="rId8" Type="http://schemas.openxmlformats.org/officeDocument/2006/relationships/hyperlink" Target="#&apos;Debt Schedule&apos;!A1" TargetMode="External"/><Relationship Id="rId9" Type="http://schemas.openxmlformats.org/officeDocument/2006/relationships/hyperlink" Target="#&apos;Cash Flow Monthly Y1&apos;!A1" TargetMode="External"/><Relationship Id="rId10" Type="http://schemas.openxmlformats.org/officeDocument/2006/relationships/hyperlink" Target="#&apos;5-Year P&amp;L&apos;!A1" TargetMode="External"/><Relationship Id="rId11" Type="http://schemas.openxmlformats.org/officeDocument/2006/relationships/hyperlink" Target="#&apos;5-Year Balance Sheet&apos;!A1" TargetMode="External"/><Relationship Id="rId12" Type="http://schemas.openxmlformats.org/officeDocument/2006/relationships/hyperlink" Target="#&apos;DSCR &amp; Covenants&apos;!A1" TargetMode="External"/><Relationship Id="rId13" Type="http://schemas.openxmlformats.org/officeDocument/2006/relationships/hyperlink" Target="#&apos;Underwriting Snapshot&apos;!A1" TargetMode="External"/><Relationship Id="rId14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5" x14ac:dyDescent="0.25">
      <c r="A2" s="2" t="s">
        <v>1</v>
      </c>
      <c r="B2" s="3" t="s">
        <v>2</v>
      </c>
      <c r="D2" s="4" t="s">
        <v>1</v>
      </c>
      <c r="E2" s="3" t="s">
        <v>3</v>
      </c>
    </row>
    <row r="3" ht="24" customHeight="1" spans="1:6" x14ac:dyDescent="0.25">
      <c r="A3" s="5" t="s">
        <v>4</v>
      </c>
      <c r="B3" s="5"/>
      <c r="C3" s="5"/>
      <c r="D3" s="5"/>
      <c r="E3" s="5"/>
      <c r="F3" s="5"/>
    </row>
    <row r="4" spans="1:2" x14ac:dyDescent="0.25">
      <c r="A4" s="6" t="s">
        <v>5</v>
      </c>
      <c r="B4" s="7" t="s">
        <v>6</v>
      </c>
    </row>
    <row r="5" spans="1:2" x14ac:dyDescent="0.25">
      <c r="A5" s="6" t="s">
        <v>7</v>
      </c>
      <c r="B5" s="7" t="s">
        <v>8</v>
      </c>
    </row>
    <row r="6" spans="1:2" x14ac:dyDescent="0.25">
      <c r="A6" s="6" t="s">
        <v>9</v>
      </c>
      <c r="B6" s="7" t="s">
        <v>10</v>
      </c>
    </row>
    <row r="7" spans="1:2" x14ac:dyDescent="0.25">
      <c r="A7" s="6" t="s">
        <v>11</v>
      </c>
      <c r="B7" s="7" t="s">
        <v>12</v>
      </c>
    </row>
    <row r="8" spans="1:2" x14ac:dyDescent="0.25">
      <c r="A8" s="6" t="s">
        <v>13</v>
      </c>
      <c r="B8" s="7" t="s">
        <v>14</v>
      </c>
    </row>
    <row r="9" spans="1:2" x14ac:dyDescent="0.25">
      <c r="A9" s="6" t="s">
        <v>15</v>
      </c>
      <c r="B9" s="7" t="s">
        <v>1</v>
      </c>
    </row>
    <row r="10" spans="1:2" x14ac:dyDescent="0.25">
      <c r="A10" s="6" t="s">
        <v>16</v>
      </c>
      <c r="B10" s="7">
        <v>25</v>
      </c>
    </row>
    <row r="11" spans="1:2" x14ac:dyDescent="0.25">
      <c r="A11" s="6" t="s">
        <v>17</v>
      </c>
      <c r="B11" s="7" t="s">
        <v>18</v>
      </c>
    </row>
    <row r="12" spans="1:2" x14ac:dyDescent="0.25">
      <c r="A12" s="6" t="s">
        <v>19</v>
      </c>
      <c r="B12" s="7" t="s">
        <v>20</v>
      </c>
    </row>
    <row r="13" spans="1:2" x14ac:dyDescent="0.25">
      <c r="A13" s="6" t="s">
        <v>21</v>
      </c>
      <c r="B13" s="7">
        <v>10</v>
      </c>
    </row>
    <row r="15" ht="24" customHeight="1" spans="1:6" x14ac:dyDescent="0.25">
      <c r="A15" s="5" t="s">
        <v>22</v>
      </c>
      <c r="B15" s="5"/>
      <c r="C15" s="5"/>
      <c r="D15" s="5"/>
      <c r="E15" s="5"/>
      <c r="F15" s="5"/>
    </row>
    <row r="16" ht="28" customHeight="1" spans="1:6" x14ac:dyDescent="0.25">
      <c r="A16" s="8" t="s">
        <v>1</v>
      </c>
      <c r="B16" s="8" t="s">
        <v>23</v>
      </c>
      <c r="C16" s="8" t="s">
        <v>24</v>
      </c>
      <c r="D16" s="8" t="s">
        <v>25</v>
      </c>
      <c r="E16" s="8" t="s">
        <v>26</v>
      </c>
      <c r="F16" s="8" t="s">
        <v>27</v>
      </c>
    </row>
    <row r="17" spans="1:6" x14ac:dyDescent="0.25">
      <c r="A17" s="7" t="s">
        <v>28</v>
      </c>
      <c r="B17" s="9">
        <v>12</v>
      </c>
      <c r="C17" s="9">
        <v>18</v>
      </c>
      <c r="D17" s="9">
        <v>22</v>
      </c>
      <c r="E17" s="9">
        <v>25</v>
      </c>
      <c r="F17" s="9">
        <v>25</v>
      </c>
    </row>
    <row r="19" ht="24" customHeight="1" spans="1:6" x14ac:dyDescent="0.25">
      <c r="A19" s="5" t="s">
        <v>29</v>
      </c>
      <c r="B19" s="5"/>
      <c r="C19" s="5"/>
      <c r="D19" s="5"/>
      <c r="E19" s="5"/>
      <c r="F19" s="5"/>
    </row>
    <row r="20" spans="1:2" x14ac:dyDescent="0.25">
      <c r="A20" s="6" t="s">
        <v>30</v>
      </c>
      <c r="B20" s="10">
        <v>0.03</v>
      </c>
    </row>
    <row r="21" spans="1:2" x14ac:dyDescent="0.25">
      <c r="A21" s="6" t="s">
        <v>31</v>
      </c>
      <c r="B21" s="10">
        <v>0.025</v>
      </c>
    </row>
    <row r="22" spans="1:2" x14ac:dyDescent="0.25">
      <c r="A22" s="6" t="s">
        <v>32</v>
      </c>
      <c r="B22" s="11">
        <v>0.8333333333333334</v>
      </c>
    </row>
    <row r="23" spans="1:2" x14ac:dyDescent="0.25">
      <c r="A23" s="6" t="s">
        <v>33</v>
      </c>
      <c r="B23" s="7" t="s">
        <v>34</v>
      </c>
    </row>
  </sheetData>
  <mergeCells count="1">
    <mergeCell ref="A1:F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28</v>
      </c>
      <c r="B2" s="12">
        <v>12</v>
      </c>
      <c r="C2" s="12">
        <v>18</v>
      </c>
      <c r="D2" s="12">
        <v>22</v>
      </c>
      <c r="E2" s="12">
        <v>25</v>
      </c>
      <c r="F2" s="12">
        <v>25</v>
      </c>
    </row>
    <row r="3" spans="1:6" x14ac:dyDescent="0.25">
      <c r="A3" s="6" t="s">
        <v>40</v>
      </c>
      <c r="B3" s="13" t="s">
        <v>41</v>
      </c>
      <c r="C3" s="14">
        <f>IF(B2=0,"-",(C2-B2)/B2)</f>
        <v>0.5</v>
      </c>
      <c r="D3" s="14">
        <f>IF(C2=0,"-",(D2-C2)/C2)</f>
        <v>0.22</v>
      </c>
      <c r="E3" s="14">
        <f>IF(D2=0,"-",(E2-D2)/D2)</f>
        <v>0.14</v>
      </c>
      <c r="F3" s="14" t="str">
        <f>IF(E2=0,"-",(F2-E2)/E2)</f>
        <v>0</v>
      </c>
    </row>
    <row r="4" spans="1:6" x14ac:dyDescent="0.25">
      <c r="A4" s="6" t="s">
        <v>42</v>
      </c>
      <c r="B4" s="14">
        <v>0.48</v>
      </c>
      <c r="C4" s="14">
        <v>0.72</v>
      </c>
      <c r="D4" s="14">
        <v>0.88</v>
      </c>
      <c r="E4" s="14">
        <v>1</v>
      </c>
      <c r="F4" s="14">
        <v>1</v>
      </c>
    </row>
    <row r="6" ht="24" customHeight="1" spans="1:6" x14ac:dyDescent="0.25">
      <c r="A6" s="5" t="s">
        <v>43</v>
      </c>
      <c r="B6" s="5"/>
      <c r="C6" s="5"/>
      <c r="D6" s="5"/>
      <c r="E6" s="5"/>
      <c r="F6" s="5"/>
    </row>
    <row r="7" spans="1:6" x14ac:dyDescent="0.25">
      <c r="A7" s="6" t="s">
        <v>44</v>
      </c>
      <c r="B7" s="15">
        <v>12000</v>
      </c>
      <c r="C7" s="15">
        <v>12360</v>
      </c>
      <c r="D7" s="15">
        <v>12731</v>
      </c>
      <c r="E7" s="15">
        <v>13113</v>
      </c>
      <c r="F7" s="15">
        <v>13506</v>
      </c>
    </row>
    <row r="8" spans="1:6" x14ac:dyDescent="0.25">
      <c r="A8" s="6" t="s">
        <v>45</v>
      </c>
      <c r="B8" s="15">
        <v>250</v>
      </c>
      <c r="C8" s="15">
        <v>250</v>
      </c>
      <c r="D8" s="15">
        <v>250</v>
      </c>
      <c r="E8" s="15">
        <v>250</v>
      </c>
      <c r="F8" s="15">
        <v>250</v>
      </c>
    </row>
    <row r="9" spans="1:6" x14ac:dyDescent="0.25">
      <c r="A9" s="6" t="s">
        <v>46</v>
      </c>
      <c r="B9" s="15">
        <v>7000</v>
      </c>
      <c r="C9" s="15">
        <v>7210</v>
      </c>
      <c r="D9" s="15">
        <v>7426</v>
      </c>
      <c r="E9" s="15">
        <v>7649</v>
      </c>
      <c r="F9" s="15">
        <v>7878</v>
      </c>
    </row>
    <row r="11" ht="24" customHeight="1" spans="1:6" x14ac:dyDescent="0.25">
      <c r="A11" s="5" t="s">
        <v>47</v>
      </c>
      <c r="B11" s="5"/>
      <c r="C11" s="5"/>
      <c r="D11" s="5"/>
      <c r="E11" s="5"/>
      <c r="F11" s="5"/>
    </row>
    <row r="12" spans="1:6" x14ac:dyDescent="0.25">
      <c r="A12" s="6" t="s">
        <v>48</v>
      </c>
      <c r="B12" s="15">
        <v>147000</v>
      </c>
      <c r="C12" s="15">
        <v>226980</v>
      </c>
      <c r="D12" s="15">
        <v>285582</v>
      </c>
      <c r="E12" s="15">
        <v>334075</v>
      </c>
      <c r="F12" s="15">
        <v>343900</v>
      </c>
    </row>
    <row r="13" spans="1:6" x14ac:dyDescent="0.25">
      <c r="A13" s="6" t="s">
        <v>49</v>
      </c>
      <c r="B13" s="15">
        <v>-14400</v>
      </c>
      <c r="C13" s="15">
        <v>-22248</v>
      </c>
      <c r="D13" s="15">
        <v>-28008</v>
      </c>
      <c r="E13" s="15">
        <v>-32782</v>
      </c>
      <c r="F13" s="15">
        <v>-33765</v>
      </c>
    </row>
    <row r="14" spans="1:6" x14ac:dyDescent="0.25">
      <c r="A14" s="6" t="s">
        <v>50</v>
      </c>
      <c r="B14" s="15">
        <v>84000</v>
      </c>
      <c r="C14" s="15">
        <v>129780</v>
      </c>
      <c r="D14" s="15">
        <v>163372</v>
      </c>
      <c r="E14" s="15">
        <v>191225</v>
      </c>
      <c r="F14" s="15">
        <v>196950</v>
      </c>
    </row>
    <row r="15" spans="1:6" x14ac:dyDescent="0.25">
      <c r="A15" s="6" t="s">
        <v>51</v>
      </c>
      <c r="B15" s="15">
        <v>5000</v>
      </c>
      <c r="C15" s="15">
        <v>6000</v>
      </c>
      <c r="D15" s="15">
        <v>7000</v>
      </c>
      <c r="E15" s="15">
        <v>8000</v>
      </c>
      <c r="F15" s="15">
        <v>9000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Microschool&amp;R&amp;8&amp;IEnrollment &amp; Rev Drivers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28</v>
      </c>
      <c r="B2" s="12">
        <f>Assumptions!$B$17</f>
        <v>12</v>
      </c>
      <c r="C2" s="12">
        <f>Assumptions!$C$17</f>
        <v>18</v>
      </c>
      <c r="D2" s="12">
        <f>Assumptions!$D$17</f>
        <v>22</v>
      </c>
      <c r="E2" s="12">
        <f>Assumptions!$E$17</f>
        <v>25</v>
      </c>
      <c r="F2" s="12">
        <f>Assumptions!$F$17</f>
        <v>25</v>
      </c>
    </row>
    <row r="3" ht="24" customHeight="1" spans="1:6" x14ac:dyDescent="0.25">
      <c r="A3" s="5" t="s">
        <v>52</v>
      </c>
      <c r="B3" s="5"/>
      <c r="C3" s="5"/>
      <c r="D3" s="5"/>
      <c r="E3" s="5"/>
      <c r="F3" s="5"/>
    </row>
    <row r="4" spans="1:6" x14ac:dyDescent="0.25">
      <c r="A4" s="6" t="s">
        <v>53</v>
      </c>
      <c r="B4" s="15">
        <f>ROUND(Assumptions!$B$17*12000,0)</f>
        <v>144000</v>
      </c>
      <c r="C4" s="15">
        <f>ROUND(Assumptions!$C$17*12360,0)</f>
        <v>222480</v>
      </c>
      <c r="D4" s="15">
        <f>ROUND(Assumptions!$D$17*12731,0)</f>
        <v>280082</v>
      </c>
      <c r="E4" s="15">
        <f>ROUND(Assumptions!$E$17*13113,0)</f>
        <v>327825</v>
      </c>
      <c r="F4" s="15">
        <f>ROUND(Assumptions!$F$17*13506,0)</f>
        <v>337650</v>
      </c>
    </row>
    <row r="5" spans="1:6" x14ac:dyDescent="0.25">
      <c r="A5" s="6" t="s">
        <v>54</v>
      </c>
      <c r="B5" s="15">
        <f>ROUND(Assumptions!$B$17*250,0)</f>
        <v>3000</v>
      </c>
      <c r="C5" s="15">
        <f>ROUND(Assumptions!$C$17*250,0)</f>
        <v>4500</v>
      </c>
      <c r="D5" s="15">
        <f>ROUND(Assumptions!$D$17*250,0)</f>
        <v>5500</v>
      </c>
      <c r="E5" s="15">
        <f>ROUND(Assumptions!$E$17*250,0)</f>
        <v>6250</v>
      </c>
      <c r="F5" s="15">
        <f>ROUND(Assumptions!$F$17*250,0)</f>
        <v>6250</v>
      </c>
    </row>
    <row r="6" ht="24" customHeight="1" spans="1:6" x14ac:dyDescent="0.25">
      <c r="A6" s="5" t="s">
        <v>55</v>
      </c>
      <c r="B6" s="16">
        <f>SUM(B4:B5)</f>
        <v>147000</v>
      </c>
      <c r="C6" s="16">
        <f>SUM(C4:C5)</f>
        <v>226980</v>
      </c>
      <c r="D6" s="16">
        <f>SUM(D4:D5)</f>
        <v>285582</v>
      </c>
      <c r="E6" s="16">
        <f>SUM(E4:E5)</f>
        <v>334075</v>
      </c>
      <c r="F6" s="16">
        <f>SUM(F4:F5)</f>
        <v>343900</v>
      </c>
    </row>
    <row r="7" ht="24" customHeight="1" spans="1:6" x14ac:dyDescent="0.25">
      <c r="A7" s="5" t="s">
        <v>56</v>
      </c>
      <c r="B7" s="5"/>
      <c r="C7" s="5"/>
      <c r="D7" s="5"/>
      <c r="E7" s="5"/>
      <c r="F7" s="5"/>
    </row>
    <row r="8" spans="1:6" x14ac:dyDescent="0.25">
      <c r="A8" s="6" t="s">
        <v>57</v>
      </c>
      <c r="B8" s="15">
        <v>-14400</v>
      </c>
      <c r="C8" s="15">
        <v>-22248</v>
      </c>
      <c r="D8" s="15">
        <v>-28008</v>
      </c>
      <c r="E8" s="15">
        <v>-32783</v>
      </c>
      <c r="F8" s="15">
        <v>-33765</v>
      </c>
    </row>
    <row r="9" ht="24" customHeight="1" spans="1:6" x14ac:dyDescent="0.25">
      <c r="A9" s="5" t="s">
        <v>58</v>
      </c>
      <c r="B9" s="16">
        <f>SUM(B8:B8)</f>
        <v>-14400</v>
      </c>
      <c r="C9" s="16">
        <f>SUM(C8:C8)</f>
        <v>-22248</v>
      </c>
      <c r="D9" s="16">
        <f>SUM(D8:D8)</f>
        <v>-28008</v>
      </c>
      <c r="E9" s="16">
        <f>SUM(E8:E8)</f>
        <v>-32783</v>
      </c>
      <c r="F9" s="16">
        <f>SUM(F8:F8)</f>
        <v>-33765</v>
      </c>
    </row>
    <row r="10" ht="24" customHeight="1" spans="1:6" x14ac:dyDescent="0.25">
      <c r="A10" s="5" t="s">
        <v>59</v>
      </c>
      <c r="B10" s="5"/>
      <c r="C10" s="5"/>
      <c r="D10" s="5"/>
      <c r="E10" s="5"/>
      <c r="F10" s="5"/>
    </row>
    <row r="11" spans="1:6" x14ac:dyDescent="0.25">
      <c r="A11" s="6" t="s">
        <v>60</v>
      </c>
      <c r="B11" s="15">
        <f>ROUND(Assumptions!$B$17*7000,0)</f>
        <v>84000</v>
      </c>
      <c r="C11" s="15">
        <f>ROUND(Assumptions!$C$17*7210,0)</f>
        <v>129780</v>
      </c>
      <c r="D11" s="15">
        <f>ROUND(Assumptions!$D$17*7426,0)</f>
        <v>163372</v>
      </c>
      <c r="E11" s="15">
        <f>ROUND(Assumptions!$E$17*7649,0)</f>
        <v>191225</v>
      </c>
      <c r="F11" s="15">
        <f>ROUND(Assumptions!$F$17*7878,0)</f>
        <v>196950</v>
      </c>
    </row>
    <row r="12" ht="24" customHeight="1" spans="1:6" x14ac:dyDescent="0.25">
      <c r="A12" s="5" t="s">
        <v>61</v>
      </c>
      <c r="B12" s="16">
        <f>SUM(B11:B11)</f>
        <v>84000</v>
      </c>
      <c r="C12" s="16">
        <f>SUM(C11:C11)</f>
        <v>129780</v>
      </c>
      <c r="D12" s="16">
        <f>SUM(D11:D11)</f>
        <v>163372</v>
      </c>
      <c r="E12" s="16">
        <f>SUM(E11:E11)</f>
        <v>191225</v>
      </c>
      <c r="F12" s="16">
        <f>SUM(F11:F11)</f>
        <v>196950</v>
      </c>
    </row>
    <row r="13" ht="24" customHeight="1" spans="1:6" x14ac:dyDescent="0.25">
      <c r="A13" s="5" t="s">
        <v>62</v>
      </c>
      <c r="B13" s="5"/>
      <c r="C13" s="5"/>
      <c r="D13" s="5"/>
      <c r="E13" s="5"/>
      <c r="F13" s="5"/>
    </row>
    <row r="14" spans="1:6" x14ac:dyDescent="0.25">
      <c r="A14" s="6" t="s">
        <v>63</v>
      </c>
      <c r="B14" s="15">
        <v>5000</v>
      </c>
      <c r="C14" s="15">
        <v>6000</v>
      </c>
      <c r="D14" s="15">
        <v>7000</v>
      </c>
      <c r="E14" s="15">
        <v>8000</v>
      </c>
      <c r="F14" s="15">
        <v>9000</v>
      </c>
    </row>
    <row r="15" ht="24" customHeight="1" spans="1:6" x14ac:dyDescent="0.25">
      <c r="A15" s="5" t="s">
        <v>64</v>
      </c>
      <c r="B15" s="16">
        <f>SUM(B14:B14)</f>
        <v>5000</v>
      </c>
      <c r="C15" s="16">
        <f>SUM(C14:C14)</f>
        <v>6000</v>
      </c>
      <c r="D15" s="16">
        <f>SUM(D14:D14)</f>
        <v>7000</v>
      </c>
      <c r="E15" s="16">
        <f>SUM(E14:E14)</f>
        <v>8000</v>
      </c>
      <c r="F15" s="16">
        <f>SUM(F14:F14)</f>
        <v>9000</v>
      </c>
    </row>
    <row r="17" ht="24" customHeight="1" spans="1:6" x14ac:dyDescent="0.25">
      <c r="A17" s="5" t="s">
        <v>65</v>
      </c>
      <c r="B17" s="16">
        <f>B6+B9+B12+B15</f>
        <v>221600</v>
      </c>
      <c r="C17" s="16">
        <f>C6+C9+C12+C15</f>
        <v>340512</v>
      </c>
      <c r="D17" s="16">
        <f>D6+D9+D12+D15</f>
        <v>427946</v>
      </c>
      <c r="E17" s="16">
        <f>E6+E9+E12+E15</f>
        <v>500517</v>
      </c>
      <c r="F17" s="16">
        <f>F6+F9+F12+F15</f>
        <v>516085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Microschool&amp;R&amp;8&amp;ITuition &amp; Funding Detail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8" t="s">
        <v>67</v>
      </c>
      <c r="B3" s="8" t="s">
        <v>68</v>
      </c>
      <c r="C3" s="8" t="s">
        <v>69</v>
      </c>
      <c r="D3" s="8" t="s">
        <v>70</v>
      </c>
      <c r="E3" s="8" t="s">
        <v>71</v>
      </c>
      <c r="F3" s="8" t="s">
        <v>72</v>
      </c>
      <c r="G3" s="8" t="s">
        <v>73</v>
      </c>
      <c r="H3" s="8" t="s">
        <v>74</v>
      </c>
    </row>
    <row r="4" spans="1:8" x14ac:dyDescent="0.25">
      <c r="A4" s="6" t="s">
        <v>75</v>
      </c>
      <c r="B4" s="6" t="s">
        <v>76</v>
      </c>
      <c r="C4" s="6" t="s">
        <v>77</v>
      </c>
      <c r="D4" s="11">
        <v>1</v>
      </c>
      <c r="E4" s="17">
        <v>55000</v>
      </c>
      <c r="F4" s="10">
        <v>0.2</v>
      </c>
      <c r="G4" s="10">
        <v>0.0765</v>
      </c>
      <c r="H4" s="18">
        <v>70208</v>
      </c>
    </row>
    <row r="5" spans="1:8" x14ac:dyDescent="0.25">
      <c r="A5" s="6" t="s">
        <v>78</v>
      </c>
      <c r="B5" s="6" t="s">
        <v>79</v>
      </c>
      <c r="C5" s="6" t="s">
        <v>77</v>
      </c>
      <c r="D5" s="11">
        <v>1</v>
      </c>
      <c r="E5" s="17">
        <v>45000</v>
      </c>
      <c r="F5" s="10">
        <v>0.2</v>
      </c>
      <c r="G5" s="10">
        <v>0.0765</v>
      </c>
      <c r="H5" s="18">
        <v>57443</v>
      </c>
    </row>
    <row r="6" spans="1:8" x14ac:dyDescent="0.25">
      <c r="A6" s="6" t="s">
        <v>80</v>
      </c>
      <c r="B6" s="6" t="s">
        <v>79</v>
      </c>
      <c r="C6" s="6" t="s">
        <v>81</v>
      </c>
      <c r="D6" s="11">
        <v>0.5</v>
      </c>
      <c r="E6" s="17">
        <v>28000</v>
      </c>
      <c r="F6" s="10">
        <v>0</v>
      </c>
      <c r="G6" s="10">
        <v>0.0765</v>
      </c>
      <c r="H6" s="18">
        <v>15071</v>
      </c>
    </row>
    <row r="8" ht="24" customHeight="1" spans="1:8" x14ac:dyDescent="0.25">
      <c r="A8" s="5" t="s">
        <v>82</v>
      </c>
      <c r="B8" s="5"/>
      <c r="C8" s="5"/>
      <c r="D8" s="5"/>
      <c r="E8" s="5"/>
      <c r="F8" s="5"/>
      <c r="G8" s="5"/>
      <c r="H8" s="5"/>
    </row>
    <row r="9" spans="1:2" x14ac:dyDescent="0.25">
      <c r="A9" s="6" t="s">
        <v>83</v>
      </c>
      <c r="B9" s="7">
        <v>3</v>
      </c>
    </row>
    <row r="10" spans="1:2" x14ac:dyDescent="0.25">
      <c r="A10" s="6" t="s">
        <v>84</v>
      </c>
      <c r="B10" s="7">
        <v>2.5</v>
      </c>
    </row>
    <row r="11" spans="1:2" x14ac:dyDescent="0.25">
      <c r="A11" s="6" t="s">
        <v>85</v>
      </c>
      <c r="B11" s="19">
        <v>114000</v>
      </c>
    </row>
    <row r="12" spans="1:2" x14ac:dyDescent="0.25">
      <c r="A12" s="6" t="s">
        <v>86</v>
      </c>
      <c r="B12" s="19">
        <v>20000</v>
      </c>
    </row>
    <row r="13" spans="1:2" x14ac:dyDescent="0.25">
      <c r="A13" s="6" t="s">
        <v>87</v>
      </c>
      <c r="B13" s="19">
        <v>8721</v>
      </c>
    </row>
    <row r="14" spans="1:2" x14ac:dyDescent="0.25">
      <c r="A14" s="6" t="s">
        <v>88</v>
      </c>
      <c r="B14" s="19">
        <v>0</v>
      </c>
    </row>
    <row r="15" spans="1:2" x14ac:dyDescent="0.25">
      <c r="A15" s="7" t="s">
        <v>89</v>
      </c>
      <c r="B15" s="18">
        <v>142721</v>
      </c>
    </row>
    <row r="17" ht="24" customHeight="1" spans="1:6" x14ac:dyDescent="0.25">
      <c r="A17" s="5" t="s">
        <v>90</v>
      </c>
      <c r="B17" s="5"/>
      <c r="C17" s="5"/>
      <c r="D17" s="5"/>
      <c r="E17" s="5"/>
      <c r="F17" s="5"/>
    </row>
    <row r="18" ht="28" customHeight="1" spans="1:6" x14ac:dyDescent="0.25">
      <c r="A18" s="8" t="s">
        <v>1</v>
      </c>
      <c r="B18" s="8" t="s">
        <v>35</v>
      </c>
      <c r="C18" s="8" t="s">
        <v>36</v>
      </c>
      <c r="D18" s="8" t="s">
        <v>37</v>
      </c>
      <c r="E18" s="8" t="s">
        <v>38</v>
      </c>
      <c r="F18" s="8" t="s">
        <v>39</v>
      </c>
    </row>
    <row r="19" spans="1:6" x14ac:dyDescent="0.25">
      <c r="A19" s="6" t="s">
        <v>91</v>
      </c>
      <c r="B19" s="15">
        <v>142721</v>
      </c>
      <c r="C19" s="15">
        <v>142721</v>
      </c>
      <c r="D19" s="15">
        <v>142721</v>
      </c>
      <c r="E19" s="15">
        <v>142721</v>
      </c>
      <c r="F19" s="15">
        <v>142721</v>
      </c>
    </row>
    <row r="20" spans="1:6" x14ac:dyDescent="0.25">
      <c r="A20" s="6" t="s">
        <v>92</v>
      </c>
      <c r="B20" s="20">
        <f>(1+Assumptions!$B$20)^0</f>
        <v>1</v>
      </c>
      <c r="C20" s="20">
        <f>(1+Assumptions!$B$20)^1</f>
        <v>1.03</v>
      </c>
      <c r="D20" s="20">
        <f>(1+Assumptions!$B$20)^2</f>
        <v>1.06</v>
      </c>
      <c r="E20" s="20">
        <f>(1+Assumptions!$B$20)^3</f>
        <v>1.09</v>
      </c>
      <c r="F20" s="20">
        <f>(1+Assumptions!$B$20)^4</f>
        <v>1.13</v>
      </c>
    </row>
    <row r="21" spans="1:6" x14ac:dyDescent="0.25">
      <c r="A21" s="6" t="s">
        <v>93</v>
      </c>
      <c r="B21" s="21">
        <f>Assumptions!$B$22</f>
        <v>0.83</v>
      </c>
      <c r="C21" s="21">
        <v>1</v>
      </c>
      <c r="D21" s="21">
        <v>1</v>
      </c>
      <c r="E21" s="21">
        <v>1</v>
      </c>
      <c r="F21" s="21">
        <v>1</v>
      </c>
    </row>
    <row r="22" ht="24" customHeight="1" spans="1:6" x14ac:dyDescent="0.25">
      <c r="A22" s="5" t="s">
        <v>94</v>
      </c>
      <c r="B22" s="16">
        <f>B19*B20*B21</f>
        <v>118934</v>
      </c>
      <c r="C22" s="16">
        <f>C19*C20*C21</f>
        <v>147003</v>
      </c>
      <c r="D22" s="16">
        <f>D19*D20*D21</f>
        <v>151413</v>
      </c>
      <c r="E22" s="16">
        <f>E19*E20*E21</f>
        <v>155955</v>
      </c>
      <c r="F22" s="16">
        <f>F19*F20*F21</f>
        <v>160634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Microschool&amp;R&amp;8&amp;IStaffing Plan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95</v>
      </c>
      <c r="B2" s="5"/>
      <c r="C2" s="5"/>
      <c r="D2" s="5"/>
      <c r="E2" s="5"/>
      <c r="F2" s="5"/>
    </row>
    <row r="3" spans="1:6" x14ac:dyDescent="0.25">
      <c r="A3" s="6" t="s">
        <v>96</v>
      </c>
      <c r="B3" s="15">
        <f>ROUND(Assumptions!$B$17*500,0)</f>
        <v>6000</v>
      </c>
      <c r="C3" s="15">
        <f>ROUND(Assumptions!$C$17*500*(1+Assumptions!$B$21)^1,0)</f>
        <v>9225</v>
      </c>
      <c r="D3" s="15">
        <f>ROUND(Assumptions!$D$17*500*(1+Assumptions!$B$21)^2,0)</f>
        <v>11557</v>
      </c>
      <c r="E3" s="15">
        <f>ROUND(Assumptions!$E$17*500*(1+Assumptions!$B$21)^3,0)</f>
        <v>13461</v>
      </c>
      <c r="F3" s="15">
        <f>ROUND(Assumptions!$F$17*500*(1+Assumptions!$B$21)^4,0)</f>
        <v>13798</v>
      </c>
    </row>
    <row r="4" ht="24" customHeight="1" spans="1:6" x14ac:dyDescent="0.25">
      <c r="A4" s="5" t="s">
        <v>97</v>
      </c>
      <c r="B4" s="16">
        <f>SUM(B3:B3)</f>
        <v>6000</v>
      </c>
      <c r="C4" s="16">
        <f>SUM(C3:C3)</f>
        <v>9225</v>
      </c>
      <c r="D4" s="16">
        <f>SUM(D3:D3)</f>
        <v>11557</v>
      </c>
      <c r="E4" s="16">
        <f>SUM(E3:E3)</f>
        <v>13461</v>
      </c>
      <c r="F4" s="16">
        <f>SUM(F3:F3)</f>
        <v>13798</v>
      </c>
    </row>
    <row r="5" ht="24" customHeight="1" spans="1:6" x14ac:dyDescent="0.25">
      <c r="A5" s="5" t="s">
        <v>98</v>
      </c>
      <c r="B5" s="5"/>
      <c r="C5" s="5"/>
      <c r="D5" s="5"/>
      <c r="E5" s="5"/>
      <c r="F5" s="5"/>
    </row>
    <row r="6" spans="1:6" x14ac:dyDescent="0.25">
      <c r="A6" s="6" t="s">
        <v>99</v>
      </c>
      <c r="B6" s="15">
        <f>ROUND(Assumptions!$B$17*300,0)</f>
        <v>3600</v>
      </c>
      <c r="C6" s="15">
        <f>ROUND(Assumptions!$C$17*300*(1+Assumptions!$B$21)^1,0)</f>
        <v>5535</v>
      </c>
      <c r="D6" s="15">
        <f>ROUND(Assumptions!$D$17*300*(1+Assumptions!$B$21)^2,0)</f>
        <v>6934</v>
      </c>
      <c r="E6" s="15">
        <f>ROUND(Assumptions!$E$17*300*(1+Assumptions!$B$21)^3,0)</f>
        <v>8077</v>
      </c>
      <c r="F6" s="15">
        <f>ROUND(Assumptions!$F$17*300*(1+Assumptions!$B$21)^4,0)</f>
        <v>8279</v>
      </c>
    </row>
    <row r="7" ht="24" customHeight="1" spans="1:6" x14ac:dyDescent="0.25">
      <c r="A7" s="5" t="s">
        <v>100</v>
      </c>
      <c r="B7" s="16">
        <f>SUM(B6:B6)</f>
        <v>3600</v>
      </c>
      <c r="C7" s="16">
        <f>SUM(C6:C6)</f>
        <v>5535</v>
      </c>
      <c r="D7" s="16">
        <f>SUM(D6:D6)</f>
        <v>6934</v>
      </c>
      <c r="E7" s="16">
        <f>SUM(E6:E6)</f>
        <v>8077</v>
      </c>
      <c r="F7" s="16">
        <f>SUM(F6:F6)</f>
        <v>8279</v>
      </c>
    </row>
    <row r="8" ht="24" customHeight="1" spans="1:6" x14ac:dyDescent="0.25">
      <c r="A8" s="5" t="s">
        <v>101</v>
      </c>
      <c r="B8" s="5"/>
      <c r="C8" s="5"/>
      <c r="D8" s="5"/>
      <c r="E8" s="5"/>
      <c r="F8" s="5"/>
    </row>
    <row r="9" spans="1:6" x14ac:dyDescent="0.25">
      <c r="A9" s="6" t="s">
        <v>102</v>
      </c>
      <c r="B9" s="15">
        <v>3000</v>
      </c>
      <c r="C9" s="15">
        <v>3075</v>
      </c>
      <c r="D9" s="15">
        <v>3152</v>
      </c>
      <c r="E9" s="15">
        <v>3231</v>
      </c>
      <c r="F9" s="15">
        <v>3311</v>
      </c>
    </row>
    <row r="10" ht="24" customHeight="1" spans="1:6" x14ac:dyDescent="0.25">
      <c r="A10" s="5" t="s">
        <v>103</v>
      </c>
      <c r="B10" s="16">
        <f>SUM(B9:B9)</f>
        <v>3000</v>
      </c>
      <c r="C10" s="16">
        <f>SUM(C9:C9)</f>
        <v>3075</v>
      </c>
      <c r="D10" s="16">
        <f>SUM(D9:D9)</f>
        <v>3152</v>
      </c>
      <c r="E10" s="16">
        <f>SUM(E9:E9)</f>
        <v>3231</v>
      </c>
      <c r="F10" s="16">
        <f>SUM(F9:F9)</f>
        <v>3311</v>
      </c>
    </row>
    <row r="12" ht="24" customHeight="1" spans="1:6" x14ac:dyDescent="0.25">
      <c r="A12" s="5" t="s">
        <v>104</v>
      </c>
      <c r="B12" s="16">
        <f>B4+B7+B10</f>
        <v>12600</v>
      </c>
      <c r="C12" s="16">
        <f>C4+C7+C10</f>
        <v>17835</v>
      </c>
      <c r="D12" s="16">
        <f>D4+D7+D10</f>
        <v>21643</v>
      </c>
      <c r="E12" s="16">
        <f>E4+E7+E10</f>
        <v>24769</v>
      </c>
      <c r="F12" s="16">
        <f>F4+F7+F10</f>
        <v>25388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Microschool&amp;R&amp;8&amp;IOperating Expenses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105</v>
      </c>
      <c r="B2" s="5"/>
      <c r="C2" s="5"/>
      <c r="D2" s="5"/>
      <c r="E2" s="5"/>
      <c r="F2" s="5"/>
    </row>
    <row r="3" spans="1:6" x14ac:dyDescent="0.25">
      <c r="A3" s="6" t="s">
        <v>106</v>
      </c>
      <c r="B3" s="15">
        <v>30000</v>
      </c>
      <c r="C3" s="15">
        <v>30900</v>
      </c>
      <c r="D3" s="15">
        <v>31827</v>
      </c>
      <c r="E3" s="15">
        <v>32782</v>
      </c>
      <c r="F3" s="15">
        <v>33765</v>
      </c>
    </row>
    <row r="4" spans="1:6" x14ac:dyDescent="0.25">
      <c r="A4" s="6" t="s">
        <v>107</v>
      </c>
      <c r="B4" s="15">
        <v>3600</v>
      </c>
      <c r="C4" s="15">
        <v>3690</v>
      </c>
      <c r="D4" s="15">
        <v>3782</v>
      </c>
      <c r="E4" s="15">
        <v>3877</v>
      </c>
      <c r="F4" s="15">
        <v>3974</v>
      </c>
    </row>
    <row r="5" spans="1:6" x14ac:dyDescent="0.25">
      <c r="A5" s="6" t="s">
        <v>108</v>
      </c>
      <c r="B5" s="15">
        <v>2400</v>
      </c>
      <c r="C5" s="15">
        <v>2460</v>
      </c>
      <c r="D5" s="15">
        <v>2522</v>
      </c>
      <c r="E5" s="15">
        <v>2585</v>
      </c>
      <c r="F5" s="15">
        <v>2649</v>
      </c>
    </row>
    <row r="6" ht="24" customHeight="1" spans="1:6" x14ac:dyDescent="0.25">
      <c r="A6" s="5" t="s">
        <v>109</v>
      </c>
      <c r="B6" s="16">
        <f>SUM(B3:B5)</f>
        <v>36000</v>
      </c>
      <c r="C6" s="16">
        <f>SUM(C3:C5)</f>
        <v>37050</v>
      </c>
      <c r="D6" s="16">
        <f>SUM(D3:D5)</f>
        <v>38131</v>
      </c>
      <c r="E6" s="16">
        <f>SUM(E3:E5)</f>
        <v>39244</v>
      </c>
      <c r="F6" s="16">
        <f>SUM(F3:F5)</f>
        <v>40388</v>
      </c>
    </row>
    <row r="8" spans="1:6" x14ac:dyDescent="0.25">
      <c r="A8" s="6" t="s">
        <v>110</v>
      </c>
      <c r="B8" s="15">
        <v>3000</v>
      </c>
      <c r="C8" s="15">
        <v>2058</v>
      </c>
      <c r="D8" s="15">
        <v>1733</v>
      </c>
      <c r="E8" s="15">
        <v>1570</v>
      </c>
      <c r="F8" s="15">
        <v>1616</v>
      </c>
    </row>
    <row r="9" spans="1:6" x14ac:dyDescent="0.25">
      <c r="A9" s="6" t="s">
        <v>111</v>
      </c>
      <c r="B9" s="14">
        <v>0.19494549648827347</v>
      </c>
      <c r="C9" s="14">
        <v>0.10880673808852552</v>
      </c>
      <c r="D9" s="14">
        <v>0.08910177919644068</v>
      </c>
      <c r="E9" s="14">
        <v>0.07840507983728856</v>
      </c>
      <c r="F9" s="14">
        <v>0.07825870088018447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Microschool&amp;R&amp;8&amp;IFacilities &amp; Occupancy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4" customWidth="1"/>
    <col min="2" max="2" width="22" customWidth="1"/>
  </cols>
  <sheetData>
    <row r="1" ht="32" customHeight="1" spans="1:2" x14ac:dyDescent="0.25">
      <c r="A1" s="1" t="s">
        <v>112</v>
      </c>
      <c r="B1" s="1"/>
    </row>
    <row r="3" ht="24" customHeight="1" spans="1:2" x14ac:dyDescent="0.25">
      <c r="A3" s="5" t="s">
        <v>113</v>
      </c>
      <c r="B3" s="5"/>
    </row>
    <row r="4" spans="1:2" x14ac:dyDescent="0.25">
      <c r="A4" s="6" t="s">
        <v>114</v>
      </c>
      <c r="B4" s="22">
        <v>0</v>
      </c>
    </row>
    <row r="5" spans="1:2" x14ac:dyDescent="0.25">
      <c r="A5" s="6" t="s">
        <v>115</v>
      </c>
      <c r="B5" s="22">
        <v>30000</v>
      </c>
    </row>
    <row r="6" ht="24" customHeight="1" spans="1:2" x14ac:dyDescent="0.25">
      <c r="A6" s="5" t="s">
        <v>116</v>
      </c>
      <c r="B6" s="23">
        <f>SUM(B4:B5)</f>
        <v>30000</v>
      </c>
    </row>
    <row r="8" ht="24" customHeight="1" spans="1:2" x14ac:dyDescent="0.25">
      <c r="A8" s="5" t="s">
        <v>117</v>
      </c>
      <c r="B8" s="5"/>
    </row>
    <row r="9" spans="1:2" x14ac:dyDescent="0.25">
      <c r="A9" s="6" t="s">
        <v>118</v>
      </c>
      <c r="B9" s="22">
        <v>6000</v>
      </c>
    </row>
    <row r="10" spans="1:2" x14ac:dyDescent="0.25">
      <c r="A10" s="6" t="s">
        <v>119</v>
      </c>
      <c r="B10" s="22">
        <v>1800</v>
      </c>
    </row>
    <row r="11" spans="1:2" x14ac:dyDescent="0.25">
      <c r="A11" s="6" t="s">
        <v>120</v>
      </c>
      <c r="B11" s="22">
        <v>6000</v>
      </c>
    </row>
    <row r="12" spans="1:2" x14ac:dyDescent="0.25">
      <c r="A12" s="6" t="s">
        <v>121</v>
      </c>
      <c r="B12" s="22">
        <v>26572</v>
      </c>
    </row>
    <row r="13" spans="1:2" x14ac:dyDescent="0.25">
      <c r="A13" s="6" t="s">
        <v>122</v>
      </c>
      <c r="B13" s="22">
        <v>2019</v>
      </c>
    </row>
    <row r="14" ht="24" customHeight="1" spans="1:2" x14ac:dyDescent="0.25">
      <c r="A14" s="5" t="s">
        <v>123</v>
      </c>
      <c r="B14" s="23">
        <f>SUM(B9:B13)</f>
        <v>42391</v>
      </c>
    </row>
    <row r="16" spans="1:2" x14ac:dyDescent="0.25">
      <c r="A16" s="7" t="s">
        <v>124</v>
      </c>
      <c r="B16" s="24">
        <f>B6-B14</f>
        <v>-12391</v>
      </c>
    </row>
    <row r="17" spans="1:1" x14ac:dyDescent="0.25">
      <c r="A17" s="25" t="s">
        <v>125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Microschool&amp;R&amp;8&amp;ICapital Stack &amp; Startup Uses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7" width="18" customWidth="1"/>
  </cols>
  <sheetData>
    <row r="1" ht="32" customHeight="1" spans="1:7" x14ac:dyDescent="0.25">
      <c r="A1" s="1" t="s">
        <v>126</v>
      </c>
      <c r="B1" s="1"/>
      <c r="C1" s="1"/>
      <c r="D1" s="1"/>
      <c r="E1" s="1"/>
      <c r="F1" s="1"/>
      <c r="G1" s="1"/>
    </row>
    <row r="3" ht="28" customHeight="1" spans="1:7" x14ac:dyDescent="0.25">
      <c r="A3" s="8" t="s">
        <v>127</v>
      </c>
      <c r="B3" s="8" t="s">
        <v>128</v>
      </c>
      <c r="C3" s="8" t="s">
        <v>129</v>
      </c>
      <c r="D3" s="8" t="s">
        <v>130</v>
      </c>
      <c r="E3" s="8" t="s">
        <v>131</v>
      </c>
      <c r="F3" s="8" t="s">
        <v>132</v>
      </c>
      <c r="G3" s="8" t="s">
        <v>133</v>
      </c>
    </row>
    <row r="4" spans="1:7" x14ac:dyDescent="0.25">
      <c r="A4" s="6" t="s">
        <v>134</v>
      </c>
      <c r="B4" s="17">
        <v>30000</v>
      </c>
      <c r="C4" s="10">
        <v>0.06</v>
      </c>
      <c r="D4" s="26">
        <v>5</v>
      </c>
      <c r="E4" s="15">
        <v>6960</v>
      </c>
      <c r="F4" s="15">
        <v>580</v>
      </c>
      <c r="G4" s="15">
        <v>4799</v>
      </c>
    </row>
    <row r="6" ht="24" customHeight="1" spans="1:7" x14ac:dyDescent="0.25">
      <c r="A6" s="5" t="s">
        <v>135</v>
      </c>
      <c r="B6" s="5"/>
      <c r="C6" s="5"/>
      <c r="D6" s="5"/>
      <c r="E6" s="5"/>
      <c r="F6" s="5"/>
      <c r="G6" s="5"/>
    </row>
    <row r="7" spans="1:2" x14ac:dyDescent="0.25">
      <c r="A7" s="7" t="s">
        <v>136</v>
      </c>
      <c r="B7" s="18">
        <v>6960</v>
      </c>
    </row>
    <row r="8" spans="1:2" x14ac:dyDescent="0.25">
      <c r="A8" s="6" t="s">
        <v>137</v>
      </c>
      <c r="B8" s="19">
        <v>580</v>
      </c>
    </row>
    <row r="10" ht="24" customHeight="1" spans="1:7" x14ac:dyDescent="0.25">
      <c r="A10" s="5" t="s">
        <v>138</v>
      </c>
      <c r="B10" s="5"/>
      <c r="C10" s="5"/>
      <c r="D10" s="5"/>
      <c r="E10" s="5"/>
      <c r="F10" s="5"/>
      <c r="G10" s="5"/>
    </row>
    <row r="11" ht="28" customHeight="1" spans="1:2" x14ac:dyDescent="0.25">
      <c r="A11" s="8" t="s">
        <v>139</v>
      </c>
      <c r="B11" s="8" t="s">
        <v>140</v>
      </c>
    </row>
    <row r="12" spans="1:2" x14ac:dyDescent="0.25">
      <c r="A12" s="6" t="s">
        <v>23</v>
      </c>
      <c r="B12" s="15">
        <v>24840</v>
      </c>
    </row>
    <row r="13" spans="1:2" x14ac:dyDescent="0.25">
      <c r="A13" s="6" t="s">
        <v>24</v>
      </c>
      <c r="B13" s="15">
        <v>19371</v>
      </c>
    </row>
    <row r="14" spans="1:2" x14ac:dyDescent="0.25">
      <c r="A14" s="6" t="s">
        <v>25</v>
      </c>
      <c r="B14" s="15">
        <v>13573</v>
      </c>
    </row>
    <row r="15" spans="1:2" x14ac:dyDescent="0.25">
      <c r="A15" s="6" t="s">
        <v>26</v>
      </c>
      <c r="B15" s="15">
        <v>7428</v>
      </c>
    </row>
    <row r="16" spans="1:2" x14ac:dyDescent="0.25">
      <c r="A16" s="6" t="s">
        <v>27</v>
      </c>
      <c r="B16" s="15">
        <v>914</v>
      </c>
    </row>
  </sheetData>
  <mergeCells count="1">
    <mergeCell ref="A1:G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Microschool&amp;R&amp;8&amp;IDebt Schedule</oddHeader>
    <oddFooter>&amp;L&amp;8Built by SchoolStack Budget  •  budget.schoolstack.ai&amp;C&amp;8Page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8" t="s">
        <v>1</v>
      </c>
      <c r="B1" s="8" t="s">
        <v>18</v>
      </c>
      <c r="C1" s="8" t="s">
        <v>141</v>
      </c>
      <c r="D1" s="8" t="s">
        <v>142</v>
      </c>
      <c r="E1" s="8" t="s">
        <v>143</v>
      </c>
      <c r="F1" s="8" t="s">
        <v>144</v>
      </c>
      <c r="G1" s="8" t="s">
        <v>145</v>
      </c>
      <c r="H1" s="8" t="s">
        <v>146</v>
      </c>
      <c r="I1" s="8" t="s">
        <v>147</v>
      </c>
      <c r="J1" s="8" t="s">
        <v>148</v>
      </c>
      <c r="K1" s="8" t="s">
        <v>149</v>
      </c>
      <c r="L1" s="8" t="s">
        <v>150</v>
      </c>
      <c r="M1" s="8" t="s">
        <v>151</v>
      </c>
      <c r="N1" s="8" t="s">
        <v>152</v>
      </c>
    </row>
    <row r="2" spans="1:14" x14ac:dyDescent="0.25">
      <c r="A2" s="7" t="s">
        <v>153</v>
      </c>
      <c r="B2" s="15">
        <v>155900</v>
      </c>
      <c r="C2" s="15">
        <v>7460</v>
      </c>
      <c r="D2" s="15">
        <v>7460</v>
      </c>
      <c r="E2" s="15">
        <v>7460</v>
      </c>
      <c r="F2" s="15">
        <v>7460</v>
      </c>
      <c r="G2" s="15">
        <v>7460</v>
      </c>
      <c r="H2" s="15">
        <v>7460</v>
      </c>
      <c r="I2" s="15">
        <v>7460</v>
      </c>
      <c r="J2" s="15">
        <v>7460</v>
      </c>
      <c r="K2" s="15">
        <v>-29473</v>
      </c>
      <c r="L2" s="15">
        <v>-1440</v>
      </c>
      <c r="M2" s="15">
        <v>0</v>
      </c>
      <c r="N2" s="27">
        <f>SUM(B2:M2)</f>
        <v>184667</v>
      </c>
    </row>
    <row r="3" spans="1:14" x14ac:dyDescent="0.25">
      <c r="A3" s="6" t="s">
        <v>154</v>
      </c>
      <c r="B3" s="15">
        <v>11893</v>
      </c>
      <c r="C3" s="15">
        <v>11893</v>
      </c>
      <c r="D3" s="15">
        <v>11893</v>
      </c>
      <c r="E3" s="15">
        <v>11893</v>
      </c>
      <c r="F3" s="15">
        <v>11893</v>
      </c>
      <c r="G3" s="15">
        <v>11893</v>
      </c>
      <c r="H3" s="15">
        <v>11893</v>
      </c>
      <c r="I3" s="15">
        <v>11893</v>
      </c>
      <c r="J3" s="15">
        <v>11893</v>
      </c>
      <c r="K3" s="15">
        <v>11897</v>
      </c>
      <c r="L3" s="15">
        <v>0</v>
      </c>
      <c r="M3" s="15">
        <v>0</v>
      </c>
      <c r="N3" s="15">
        <f>SUM(B3:M3)</f>
        <v>118934</v>
      </c>
    </row>
    <row r="4" spans="1:14" x14ac:dyDescent="0.25">
      <c r="A4" s="6" t="s">
        <v>155</v>
      </c>
      <c r="B4" s="15">
        <v>4050</v>
      </c>
      <c r="C4" s="15">
        <v>4050</v>
      </c>
      <c r="D4" s="15">
        <v>4050</v>
      </c>
      <c r="E4" s="15">
        <v>4050</v>
      </c>
      <c r="F4" s="15">
        <v>4050</v>
      </c>
      <c r="G4" s="15">
        <v>4050</v>
      </c>
      <c r="H4" s="15">
        <v>4050</v>
      </c>
      <c r="I4" s="15">
        <v>4050</v>
      </c>
      <c r="J4" s="15">
        <v>4050</v>
      </c>
      <c r="K4" s="15">
        <v>4050</v>
      </c>
      <c r="L4" s="15">
        <v>0</v>
      </c>
      <c r="M4" s="15">
        <v>0</v>
      </c>
      <c r="N4" s="15">
        <f>SUM(B4:M4)</f>
        <v>40500</v>
      </c>
    </row>
    <row r="5" spans="1:14" x14ac:dyDescent="0.25">
      <c r="A5" s="6" t="s">
        <v>156</v>
      </c>
      <c r="B5" s="15">
        <v>580</v>
      </c>
      <c r="C5" s="15">
        <v>580</v>
      </c>
      <c r="D5" s="15">
        <v>580</v>
      </c>
      <c r="E5" s="15">
        <v>580</v>
      </c>
      <c r="F5" s="15">
        <v>580</v>
      </c>
      <c r="G5" s="15">
        <v>580</v>
      </c>
      <c r="H5" s="15">
        <v>580</v>
      </c>
      <c r="I5" s="15">
        <v>580</v>
      </c>
      <c r="J5" s="15">
        <v>580</v>
      </c>
      <c r="K5" s="15">
        <v>580</v>
      </c>
      <c r="L5" s="15">
        <v>580</v>
      </c>
      <c r="M5" s="15">
        <v>580</v>
      </c>
      <c r="N5" s="15">
        <f>SUM(B5:M5)</f>
        <v>6960</v>
      </c>
    </row>
    <row r="6" ht="24" customHeight="1" spans="1:14" x14ac:dyDescent="0.25">
      <c r="A6" s="5" t="s">
        <v>157</v>
      </c>
      <c r="B6" s="23">
        <f>SUM(B3:B5)</f>
        <v>16523</v>
      </c>
      <c r="C6" s="23">
        <f>SUM(C3:C5)</f>
        <v>16523</v>
      </c>
      <c r="D6" s="23">
        <f>SUM(D3:D5)</f>
        <v>16523</v>
      </c>
      <c r="E6" s="23">
        <f>SUM(E3:E5)</f>
        <v>16523</v>
      </c>
      <c r="F6" s="23">
        <f>SUM(F3:F5)</f>
        <v>16523</v>
      </c>
      <c r="G6" s="23">
        <f>SUM(G3:G5)</f>
        <v>16523</v>
      </c>
      <c r="H6" s="23">
        <f>SUM(H3:H5)</f>
        <v>16523</v>
      </c>
      <c r="I6" s="23">
        <f>SUM(I3:I5)</f>
        <v>16523</v>
      </c>
      <c r="J6" s="23">
        <f>SUM(J3:J5)</f>
        <v>16523</v>
      </c>
      <c r="K6" s="23">
        <f>SUM(K3:K5)</f>
        <v>16527</v>
      </c>
      <c r="L6" s="23">
        <f>SUM(L3:L5)</f>
        <v>580</v>
      </c>
      <c r="M6" s="23">
        <f>SUM(M3:M5)</f>
        <v>580</v>
      </c>
      <c r="N6" s="23">
        <f>SUM(B6:M6)</f>
        <v>166394</v>
      </c>
    </row>
    <row r="7" spans="1:14" x14ac:dyDescent="0.25">
      <c r="A7" s="7" t="s">
        <v>158</v>
      </c>
      <c r="B7" s="27">
        <f>B2-B6</f>
        <v>139377</v>
      </c>
      <c r="C7" s="27">
        <f>C2-C6</f>
        <v>-9063</v>
      </c>
      <c r="D7" s="27">
        <f>D2-D6</f>
        <v>-9063</v>
      </c>
      <c r="E7" s="27">
        <f>E2-E6</f>
        <v>-9063</v>
      </c>
      <c r="F7" s="27">
        <f>F2-F6</f>
        <v>-9063</v>
      </c>
      <c r="G7" s="27">
        <f>G2-G6</f>
        <v>-9063</v>
      </c>
      <c r="H7" s="27">
        <f>H2-H6</f>
        <v>-9063</v>
      </c>
      <c r="I7" s="27">
        <f>I2-I6</f>
        <v>-9063</v>
      </c>
      <c r="J7" s="27">
        <f>J2-J6</f>
        <v>-9063</v>
      </c>
      <c r="K7" s="27">
        <f>K2-K6</f>
        <v>-46000</v>
      </c>
      <c r="L7" s="27">
        <f>L2-L6</f>
        <v>-2020</v>
      </c>
      <c r="M7" s="27">
        <f>M2-M6</f>
        <v>-580</v>
      </c>
      <c r="N7" s="27">
        <f>SUM(B7:M7)</f>
        <v>18273</v>
      </c>
    </row>
    <row r="8" spans="1:14" x14ac:dyDescent="0.25">
      <c r="A8" s="7" t="s">
        <v>159</v>
      </c>
      <c r="B8" s="27">
        <f>30000+B7</f>
        <v>169377</v>
      </c>
      <c r="C8" s="27">
        <f>B8+C7</f>
        <v>160314</v>
      </c>
      <c r="D8" s="27">
        <f>C8+D7</f>
        <v>151251</v>
      </c>
      <c r="E8" s="27">
        <f>D8+E7</f>
        <v>142188</v>
      </c>
      <c r="F8" s="27">
        <f>E8+F7</f>
        <v>133125</v>
      </c>
      <c r="G8" s="27">
        <f>F8+G7</f>
        <v>124062</v>
      </c>
      <c r="H8" s="27">
        <f>G8+H7</f>
        <v>114999</v>
      </c>
      <c r="I8" s="27">
        <f>H8+I7</f>
        <v>105936</v>
      </c>
      <c r="J8" s="27">
        <f>I8+J7</f>
        <v>96873</v>
      </c>
      <c r="K8" s="27">
        <f>J8+K7</f>
        <v>50873</v>
      </c>
      <c r="L8" s="27">
        <f>K8+L7</f>
        <v>48853</v>
      </c>
      <c r="M8" s="27">
        <f>L8+M7</f>
        <v>48273</v>
      </c>
      <c r="N8" s="27">
        <f>M8</f>
        <v>48273</v>
      </c>
    </row>
    <row r="10" ht="24" customHeight="1" spans="1:14" x14ac:dyDescent="0.25">
      <c r="A10" s="5" t="s">
        <v>160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2" x14ac:dyDescent="0.25">
      <c r="A11" s="6" t="s">
        <v>161</v>
      </c>
      <c r="B11" s="19">
        <v>30000</v>
      </c>
    </row>
    <row r="12" spans="1:2" x14ac:dyDescent="0.25">
      <c r="A12" s="6" t="s">
        <v>162</v>
      </c>
      <c r="B12" s="18">
        <f>M8</f>
        <v>48273</v>
      </c>
    </row>
    <row r="13" spans="1:2" x14ac:dyDescent="0.25">
      <c r="A13" s="6" t="s">
        <v>163</v>
      </c>
      <c r="B13" s="19">
        <f>MIN(B8:M8)</f>
        <v>48273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Microschool&amp;R&amp;8&amp;ICash Flow Monthly Y1</oddHeader>
    <oddFooter>&amp;L&amp;8Built by SchoolStack Budget  •  budget.schoolstack.ai&amp;C&amp;8Page &amp;P of &amp;N&amp;R&amp;8&amp;D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164</v>
      </c>
      <c r="B2" s="27">
        <f>'Tuition &amp; Funding Detail'!B17</f>
        <v>184667</v>
      </c>
      <c r="C2" s="27">
        <f>'Tuition &amp; Funding Detail'!C17</f>
        <v>340512</v>
      </c>
      <c r="D2" s="27">
        <f>'Tuition &amp; Funding Detail'!D17</f>
        <v>427946</v>
      </c>
      <c r="E2" s="27">
        <f>'Tuition &amp; Funding Detail'!E17</f>
        <v>500518</v>
      </c>
      <c r="F2" s="27">
        <f>'Tuition &amp; Funding Detail'!F17</f>
        <v>516085</v>
      </c>
    </row>
    <row r="3" spans="1:6" x14ac:dyDescent="0.25">
      <c r="A3" s="6" t="s">
        <v>154</v>
      </c>
      <c r="B3" s="15">
        <f>'Staffing Plan'!B22</f>
        <v>118934</v>
      </c>
      <c r="C3" s="15">
        <f>'Staffing Plan'!C22</f>
        <v>147003</v>
      </c>
      <c r="D3" s="15">
        <f>'Staffing Plan'!D22</f>
        <v>151413</v>
      </c>
      <c r="E3" s="15">
        <f>'Staffing Plan'!E22</f>
        <v>155955</v>
      </c>
      <c r="F3" s="15">
        <f>'Staffing Plan'!F22</f>
        <v>160634</v>
      </c>
    </row>
    <row r="4" spans="1:6" x14ac:dyDescent="0.25">
      <c r="A4" s="6" t="s">
        <v>155</v>
      </c>
      <c r="B4" s="15">
        <f>'Operating Expenses'!B12+'Facilities &amp; Occupancy'!B6</f>
        <v>40500</v>
      </c>
      <c r="C4" s="15">
        <f>'Operating Expenses'!C12+'Facilities &amp; Occupancy'!C6</f>
        <v>54885</v>
      </c>
      <c r="D4" s="15">
        <f>'Operating Expenses'!D12+'Facilities &amp; Occupancy'!D6</f>
        <v>59774</v>
      </c>
      <c r="E4" s="15">
        <f>'Operating Expenses'!E12+'Facilities &amp; Occupancy'!E6</f>
        <v>64012</v>
      </c>
      <c r="F4" s="15">
        <f>'Operating Expenses'!F12+'Facilities &amp; Occupancy'!F6</f>
        <v>65776</v>
      </c>
    </row>
    <row r="5" spans="1:6" x14ac:dyDescent="0.25">
      <c r="A5" s="6" t="s">
        <v>165</v>
      </c>
      <c r="B5" s="15">
        <v>6960</v>
      </c>
      <c r="C5" s="15">
        <v>6960</v>
      </c>
      <c r="D5" s="15">
        <v>6960</v>
      </c>
      <c r="E5" s="15">
        <v>6960</v>
      </c>
      <c r="F5" s="15">
        <v>6960</v>
      </c>
    </row>
    <row r="6" ht="24" customHeight="1" spans="1:6" x14ac:dyDescent="0.25">
      <c r="A6" s="5" t="s">
        <v>157</v>
      </c>
      <c r="B6" s="28">
        <f>SUM(B3:B5)</f>
        <v>166394</v>
      </c>
      <c r="C6" s="28">
        <f>SUM(C3:C5)</f>
        <v>208848</v>
      </c>
      <c r="D6" s="28">
        <f>SUM(D3:D5)</f>
        <v>218147</v>
      </c>
      <c r="E6" s="28">
        <f>SUM(E3:E5)</f>
        <v>226927</v>
      </c>
      <c r="F6" s="28">
        <f>SUM(F3:F5)</f>
        <v>233370</v>
      </c>
    </row>
    <row r="7" spans="1:6" x14ac:dyDescent="0.25">
      <c r="A7" s="7" t="s">
        <v>166</v>
      </c>
      <c r="B7" s="29">
        <f>B2-B6</f>
        <v>18273</v>
      </c>
      <c r="C7" s="29">
        <f>C2-C6</f>
        <v>131665</v>
      </c>
      <c r="D7" s="29">
        <f>D2-D6</f>
        <v>209800</v>
      </c>
      <c r="E7" s="29">
        <f>E2-E6</f>
        <v>273591</v>
      </c>
      <c r="F7" s="29">
        <f>F2-F6</f>
        <v>282716</v>
      </c>
    </row>
    <row r="8" spans="1:6" x14ac:dyDescent="0.25">
      <c r="A8" s="6" t="s">
        <v>167</v>
      </c>
      <c r="B8" s="14">
        <f>IF(B2=0,0,B7/B2)</f>
        <v>0.1</v>
      </c>
      <c r="C8" s="14">
        <f>IF(C2=0,0,C7/C2)</f>
        <v>0.39</v>
      </c>
      <c r="D8" s="14">
        <f>IF(D2=0,0,D7/D2)</f>
        <v>0.49</v>
      </c>
      <c r="E8" s="14">
        <f>IF(E2=0,0,E7/E2)</f>
        <v>0.55</v>
      </c>
      <c r="F8" s="14">
        <f>IF(F2=0,0,F7/F2)</f>
        <v>0.55</v>
      </c>
    </row>
    <row r="9" spans="1:6" x14ac:dyDescent="0.25">
      <c r="A9" s="7" t="s">
        <v>168</v>
      </c>
      <c r="B9" s="27">
        <f>B7</f>
        <v>18273</v>
      </c>
      <c r="C9" s="27">
        <f>B9+C7</f>
        <v>149938</v>
      </c>
      <c r="D9" s="27">
        <f>C9+D7</f>
        <v>359738</v>
      </c>
      <c r="E9" s="27">
        <f>D9+E7</f>
        <v>633329</v>
      </c>
      <c r="F9" s="27">
        <f>E9+F7</f>
        <v>916045</v>
      </c>
    </row>
    <row r="10" spans="1:6" x14ac:dyDescent="0.25">
      <c r="A10" s="7" t="s">
        <v>169</v>
      </c>
      <c r="B10" s="30" t="s">
        <v>170</v>
      </c>
      <c r="C10" s="31" t="s">
        <v>1</v>
      </c>
      <c r="D10" s="31" t="s">
        <v>1</v>
      </c>
      <c r="E10" s="31" t="s">
        <v>1</v>
      </c>
      <c r="F10" s="31" t="s">
        <v>1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Microschool&amp;R&amp;8&amp;I5-Year P&amp;L</oddHeader>
    <oddFooter>&amp;L&amp;8Built by SchoolStack Budget  •  budget.schoolstack.ai&amp;C&amp;8Page &amp;P of &amp;N&amp;R&amp;8&amp;D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171</v>
      </c>
      <c r="B2" s="5"/>
      <c r="C2" s="5"/>
      <c r="D2" s="5"/>
      <c r="E2" s="5"/>
      <c r="F2" s="5"/>
    </row>
    <row r="3" spans="1:6" x14ac:dyDescent="0.25">
      <c r="A3" s="6" t="s">
        <v>172</v>
      </c>
      <c r="B3" s="15">
        <v>48273</v>
      </c>
      <c r="C3" s="15">
        <v>179938</v>
      </c>
      <c r="D3" s="15">
        <v>389738</v>
      </c>
      <c r="E3" s="15">
        <v>663329</v>
      </c>
      <c r="F3" s="15">
        <v>946045</v>
      </c>
    </row>
    <row r="4" spans="1:6" x14ac:dyDescent="0.25">
      <c r="A4" s="6" t="s">
        <v>173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ht="24" customHeight="1" spans="1:6" x14ac:dyDescent="0.25">
      <c r="A5" s="5" t="s">
        <v>174</v>
      </c>
      <c r="B5" s="16">
        <f>SUM(B3:B4)</f>
        <v>48273</v>
      </c>
      <c r="C5" s="16">
        <f>SUM(C3:C4)</f>
        <v>179938</v>
      </c>
      <c r="D5" s="16">
        <f>SUM(D3:D4)</f>
        <v>389738</v>
      </c>
      <c r="E5" s="16">
        <f>SUM(E3:E4)</f>
        <v>663329</v>
      </c>
      <c r="F5" s="16">
        <f>SUM(F3:F4)</f>
        <v>946045</v>
      </c>
    </row>
    <row r="7" ht="24" customHeight="1" spans="1:6" x14ac:dyDescent="0.25">
      <c r="A7" s="5" t="s">
        <v>175</v>
      </c>
      <c r="B7" s="5"/>
      <c r="C7" s="5"/>
      <c r="D7" s="5"/>
      <c r="E7" s="5"/>
      <c r="F7" s="5"/>
    </row>
    <row r="8" spans="1:6" x14ac:dyDescent="0.25">
      <c r="A8" s="6" t="s">
        <v>176</v>
      </c>
      <c r="B8" s="15">
        <v>24840</v>
      </c>
      <c r="C8" s="15">
        <v>19371</v>
      </c>
      <c r="D8" s="15">
        <v>13573</v>
      </c>
      <c r="E8" s="15">
        <v>7428</v>
      </c>
      <c r="F8" s="15">
        <v>914</v>
      </c>
    </row>
    <row r="9" spans="1:6" x14ac:dyDescent="0.25">
      <c r="A9" s="6" t="s">
        <v>177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</row>
    <row r="10" ht="24" customHeight="1" spans="1:6" x14ac:dyDescent="0.25">
      <c r="A10" s="5" t="s">
        <v>178</v>
      </c>
      <c r="B10" s="16">
        <f>SUM(B8:B9)</f>
        <v>24840</v>
      </c>
      <c r="C10" s="16">
        <f>SUM(C8:C9)</f>
        <v>19371</v>
      </c>
      <c r="D10" s="16">
        <f>SUM(D8:D9)</f>
        <v>13573</v>
      </c>
      <c r="E10" s="16">
        <f>SUM(E8:E9)</f>
        <v>7428</v>
      </c>
      <c r="F10" s="16">
        <f>SUM(F8:F9)</f>
        <v>914</v>
      </c>
    </row>
    <row r="12" ht="24" customHeight="1" spans="1:6" x14ac:dyDescent="0.25">
      <c r="A12" s="5" t="s">
        <v>179</v>
      </c>
      <c r="B12" s="5"/>
      <c r="C12" s="5"/>
      <c r="D12" s="5"/>
      <c r="E12" s="5"/>
      <c r="F12" s="5"/>
    </row>
    <row r="13" spans="1:6" x14ac:dyDescent="0.25">
      <c r="A13" s="6" t="s">
        <v>180</v>
      </c>
      <c r="B13" s="15">
        <v>0</v>
      </c>
      <c r="C13" s="15">
        <v>23433</v>
      </c>
      <c r="D13" s="15">
        <v>160567</v>
      </c>
      <c r="E13" s="15">
        <v>376165</v>
      </c>
      <c r="F13" s="15">
        <v>655901</v>
      </c>
    </row>
    <row r="14" spans="1:6" x14ac:dyDescent="0.25">
      <c r="A14" s="6" t="s">
        <v>181</v>
      </c>
      <c r="B14" s="15">
        <v>23433</v>
      </c>
      <c r="C14" s="15">
        <v>137134</v>
      </c>
      <c r="D14" s="15">
        <v>215598</v>
      </c>
      <c r="E14" s="15">
        <v>279736</v>
      </c>
      <c r="F14" s="15">
        <v>289230</v>
      </c>
    </row>
    <row r="15" ht="24" customHeight="1" spans="1:6" x14ac:dyDescent="0.25">
      <c r="A15" s="5" t="s">
        <v>182</v>
      </c>
      <c r="B15" s="16">
        <f>B5-B10</f>
        <v>23433</v>
      </c>
      <c r="C15" s="16">
        <f>C5-C10</f>
        <v>160567</v>
      </c>
      <c r="D15" s="16">
        <f>D5-D10</f>
        <v>376165</v>
      </c>
      <c r="E15" s="16">
        <f>E5-E10</f>
        <v>655901</v>
      </c>
      <c r="F15" s="16">
        <f>F5-F10</f>
        <v>945131</v>
      </c>
    </row>
    <row r="17" spans="1:6" x14ac:dyDescent="0.25">
      <c r="A17" s="7" t="s">
        <v>183</v>
      </c>
      <c r="B17" s="27" t="str">
        <f>B5-B10-B15</f>
        <v>0</v>
      </c>
      <c r="C17" s="27" t="str">
        <f>C5-C10-C15</f>
        <v>0</v>
      </c>
      <c r="D17" s="27" t="str">
        <f>D5-D10-D15</f>
        <v>0</v>
      </c>
      <c r="E17" s="27" t="str">
        <f>E5-E10-E15</f>
        <v>0</v>
      </c>
      <c r="F17" s="27" t="str">
        <f>F5-F10-F15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Microschool&amp;R&amp;8&amp;I5-Year Balance Sheet</oddHeader>
    <oddFooter>&amp;L&amp;8Built by SchoolStack Budget  •  budget.schoolstack.ai&amp;C&amp;8Page &amp;P of &amp;N&amp;R&amp;8&amp;D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184</v>
      </c>
      <c r="B2" s="5"/>
      <c r="C2" s="5"/>
      <c r="D2" s="5"/>
      <c r="E2" s="5"/>
      <c r="F2" s="5"/>
    </row>
    <row r="3" spans="1:6" x14ac:dyDescent="0.25">
      <c r="A3" s="6" t="s">
        <v>185</v>
      </c>
      <c r="B3" s="15">
        <v>25233</v>
      </c>
      <c r="C3" s="15">
        <v>138624</v>
      </c>
      <c r="D3" s="15">
        <v>216759</v>
      </c>
      <c r="E3" s="15">
        <v>280551</v>
      </c>
      <c r="F3" s="15">
        <v>289675</v>
      </c>
    </row>
    <row r="4" spans="1:6" x14ac:dyDescent="0.25">
      <c r="A4" s="6" t="s">
        <v>136</v>
      </c>
      <c r="B4" s="15">
        <v>6960</v>
      </c>
      <c r="C4" s="15">
        <v>6960</v>
      </c>
      <c r="D4" s="15">
        <v>6960</v>
      </c>
      <c r="E4" s="15">
        <v>6960</v>
      </c>
      <c r="F4" s="15">
        <v>6960</v>
      </c>
    </row>
    <row r="5" spans="1:6" x14ac:dyDescent="0.25">
      <c r="A5" s="7" t="s">
        <v>186</v>
      </c>
      <c r="B5" s="32">
        <f>IF(B4=0,"N/A",B3/B4)</f>
        <v>3.63</v>
      </c>
      <c r="C5" s="32">
        <f>IF(C4=0,"N/A",C3/C4)</f>
        <v>19.92</v>
      </c>
      <c r="D5" s="32">
        <f>IF(D4=0,"N/A",D3/D4)</f>
        <v>31.14</v>
      </c>
      <c r="E5" s="32">
        <f>IF(E4=0,"N/A",E3/E4)</f>
        <v>40.31</v>
      </c>
      <c r="F5" s="32">
        <f>IF(F4=0,"N/A",F3/F4)</f>
        <v>41.62</v>
      </c>
    </row>
    <row r="7" ht="24" customHeight="1" spans="1:6" x14ac:dyDescent="0.25">
      <c r="A7" s="5" t="s">
        <v>187</v>
      </c>
      <c r="B7" s="5"/>
      <c r="C7" s="5"/>
      <c r="D7" s="5"/>
      <c r="E7" s="5"/>
      <c r="F7" s="5"/>
    </row>
    <row r="8" spans="1:6" x14ac:dyDescent="0.25">
      <c r="A8" s="6" t="s">
        <v>188</v>
      </c>
      <c r="B8" s="15">
        <v>48273</v>
      </c>
      <c r="C8" s="15">
        <v>179938</v>
      </c>
      <c r="D8" s="15">
        <v>389738</v>
      </c>
      <c r="E8" s="15">
        <v>663329</v>
      </c>
      <c r="F8" s="15">
        <v>946045</v>
      </c>
    </row>
    <row r="9" spans="1:6" x14ac:dyDescent="0.25">
      <c r="A9" s="6" t="s">
        <v>189</v>
      </c>
      <c r="B9" s="15">
        <v>13286</v>
      </c>
      <c r="C9" s="15">
        <v>16824</v>
      </c>
      <c r="D9" s="15">
        <v>17599</v>
      </c>
      <c r="E9" s="15">
        <v>18331</v>
      </c>
      <c r="F9" s="15">
        <v>18868</v>
      </c>
    </row>
    <row r="10" spans="1:6" x14ac:dyDescent="0.25">
      <c r="A10" s="7" t="s">
        <v>190</v>
      </c>
      <c r="B10" s="33">
        <f>IF(B9=0,0,B8/B9)</f>
        <v>3.63</v>
      </c>
      <c r="C10" s="33">
        <f>IF(C9=0,0,C8/C9)</f>
        <v>10.7</v>
      </c>
      <c r="D10" s="33">
        <f>IF(D9=0,0,D8/D9)</f>
        <v>22.15</v>
      </c>
      <c r="E10" s="33">
        <f>IF(E9=0,0,E8/E9)</f>
        <v>36.19</v>
      </c>
      <c r="F10" s="33">
        <f>IF(F9=0,0,F8/F9)</f>
        <v>50.14</v>
      </c>
    </row>
    <row r="11" spans="1:6" x14ac:dyDescent="0.25">
      <c r="A11" s="6" t="s">
        <v>191</v>
      </c>
      <c r="B11" s="34">
        <v>111</v>
      </c>
      <c r="C11" s="34">
        <v>325</v>
      </c>
      <c r="D11" s="34">
        <v>674</v>
      </c>
      <c r="E11" s="34">
        <v>1101</v>
      </c>
      <c r="F11" s="34">
        <v>1525</v>
      </c>
    </row>
    <row r="13" ht="24" customHeight="1" spans="1:6" x14ac:dyDescent="0.25">
      <c r="A13" s="5" t="s">
        <v>192</v>
      </c>
      <c r="B13" s="5"/>
      <c r="C13" s="5"/>
      <c r="D13" s="5"/>
      <c r="E13" s="5"/>
      <c r="F13" s="5"/>
    </row>
    <row r="14" spans="1:6" x14ac:dyDescent="0.25">
      <c r="A14" s="6" t="s">
        <v>193</v>
      </c>
      <c r="B14" s="35" t="str">
        <f>IF(B5&gt;=1.25,"PASS","FAIL")</f>
        <v>PASS</v>
      </c>
      <c r="C14" s="35" t="str">
        <f>IF(C5&gt;=1.25,"PASS","FAIL")</f>
        <v>PASS</v>
      </c>
      <c r="D14" s="35" t="str">
        <f>IF(D5&gt;=1.25,"PASS","FAIL")</f>
        <v>PASS</v>
      </c>
      <c r="E14" s="35" t="str">
        <f>IF(E5&gt;=1.25,"PASS","FAIL")</f>
        <v>PASS</v>
      </c>
      <c r="F14" s="35" t="str">
        <f>IF(F5&gt;=1.25,"PASS","FAIL")</f>
        <v>PASS</v>
      </c>
    </row>
    <row r="15" spans="1:6" x14ac:dyDescent="0.25">
      <c r="A15" s="6" t="s">
        <v>194</v>
      </c>
      <c r="B15" s="35" t="str">
        <f>IF(B10&gt;=2,"PASS","FAIL")</f>
        <v>PASS</v>
      </c>
      <c r="C15" s="35" t="str">
        <f>IF(C10&gt;=2,"PASS","FAIL")</f>
        <v>PASS</v>
      </c>
      <c r="D15" s="35" t="str">
        <f>IF(D10&gt;=2,"PASS","FAIL")</f>
        <v>PASS</v>
      </c>
      <c r="E15" s="35" t="str">
        <f>IF(E10&gt;=2,"PASS","FAIL")</f>
        <v>PASS</v>
      </c>
      <c r="F15" s="35" t="str">
        <f>IF(F10&gt;=2,"PASS","FAIL")</f>
        <v>PASS</v>
      </c>
    </row>
    <row r="16" spans="1:6" x14ac:dyDescent="0.25">
      <c r="A16" s="6" t="s">
        <v>195</v>
      </c>
      <c r="B16" s="35" t="s">
        <v>196</v>
      </c>
      <c r="C16" s="35" t="s">
        <v>196</v>
      </c>
      <c r="D16" s="35" t="s">
        <v>196</v>
      </c>
      <c r="E16" s="35" t="s">
        <v>196</v>
      </c>
      <c r="F16" s="35" t="s">
        <v>196</v>
      </c>
    </row>
    <row r="17" spans="1:6" x14ac:dyDescent="0.25">
      <c r="A17" s="6" t="s">
        <v>197</v>
      </c>
      <c r="B17" s="36" t="s">
        <v>198</v>
      </c>
      <c r="C17" s="35" t="s">
        <v>196</v>
      </c>
      <c r="D17" s="35" t="s">
        <v>196</v>
      </c>
      <c r="E17" s="35" t="s">
        <v>196</v>
      </c>
      <c r="F17" s="35" t="s">
        <v>196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Microschool&amp;R&amp;8&amp;IDSCR &amp; Covenants</oddHeader>
    <oddFooter>&amp;L&amp;8Built by SchoolStack Budget  •  budget.schoolstack.ai&amp;C&amp;8Page &amp;P of &amp;N&amp;R&amp;8&amp;D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2" width="25" customWidth="1"/>
    <col min="3" max="3" width="16" customWidth="1"/>
  </cols>
  <sheetData>
    <row r="1" ht="36" customHeight="1" spans="1:3" x14ac:dyDescent="0.25">
      <c r="A1" s="37" t="s">
        <v>199</v>
      </c>
      <c r="B1" s="37"/>
      <c r="C1" s="37"/>
    </row>
    <row r="2" spans="1:3" x14ac:dyDescent="0.25">
      <c r="A2" s="38" t="s">
        <v>200</v>
      </c>
      <c r="B2" s="38"/>
      <c r="C2" s="38"/>
    </row>
    <row r="4" ht="24" customHeight="1" spans="1:3" x14ac:dyDescent="0.25">
      <c r="A4" s="5" t="s">
        <v>201</v>
      </c>
      <c r="B4" s="5"/>
      <c r="C4" s="5"/>
    </row>
    <row r="5" spans="1:3" x14ac:dyDescent="0.25">
      <c r="A5" s="6" t="s">
        <v>202</v>
      </c>
      <c r="B5" s="35" t="s">
        <v>196</v>
      </c>
      <c r="C5" s="6" t="s">
        <v>203</v>
      </c>
    </row>
    <row r="6" spans="1:3" x14ac:dyDescent="0.25">
      <c r="A6" s="6" t="s">
        <v>204</v>
      </c>
      <c r="B6" s="35" t="s">
        <v>196</v>
      </c>
      <c r="C6" s="6" t="s">
        <v>205</v>
      </c>
    </row>
    <row r="7" spans="1:3" x14ac:dyDescent="0.25">
      <c r="A7" s="6" t="s">
        <v>206</v>
      </c>
      <c r="B7" s="35" t="s">
        <v>196</v>
      </c>
      <c r="C7" s="6" t="s">
        <v>207</v>
      </c>
    </row>
    <row r="8" spans="1:3" x14ac:dyDescent="0.25">
      <c r="A8" s="6" t="s">
        <v>208</v>
      </c>
      <c r="B8" s="35" t="s">
        <v>196</v>
      </c>
      <c r="C8" s="6" t="s">
        <v>35</v>
      </c>
    </row>
    <row r="9" spans="1:3" x14ac:dyDescent="0.25">
      <c r="A9" s="6" t="s">
        <v>209</v>
      </c>
      <c r="B9" s="36" t="s">
        <v>198</v>
      </c>
      <c r="C9" s="6" t="s">
        <v>210</v>
      </c>
    </row>
    <row r="10" spans="1:3" x14ac:dyDescent="0.25">
      <c r="A10" s="6" t="s">
        <v>211</v>
      </c>
      <c r="B10" s="35" t="s">
        <v>196</v>
      </c>
      <c r="C10" s="6" t="s">
        <v>207</v>
      </c>
    </row>
    <row r="12" ht="24" customHeight="1" spans="1:3" x14ac:dyDescent="0.25">
      <c r="A12" s="5" t="s">
        <v>212</v>
      </c>
      <c r="B12" s="5"/>
      <c r="C12" s="5"/>
    </row>
    <row r="13" spans="1:2" x14ac:dyDescent="0.25">
      <c r="A13" s="6" t="s">
        <v>213</v>
      </c>
      <c r="B13" s="7" t="s">
        <v>214</v>
      </c>
    </row>
    <row r="14" spans="1:2" x14ac:dyDescent="0.25">
      <c r="A14" s="6" t="s">
        <v>215</v>
      </c>
      <c r="B14" s="39" t="s">
        <v>216</v>
      </c>
    </row>
    <row r="16" ht="24" customHeight="1" spans="1:3" x14ac:dyDescent="0.25">
      <c r="A16" s="5" t="s">
        <v>217</v>
      </c>
      <c r="B16" s="5"/>
      <c r="C16" s="5"/>
    </row>
    <row r="17" spans="1:2" x14ac:dyDescent="0.25">
      <c r="A17" s="6" t="s">
        <v>218</v>
      </c>
      <c r="B17" s="18">
        <v>184667</v>
      </c>
    </row>
    <row r="18" spans="1:2" x14ac:dyDescent="0.25">
      <c r="A18" s="6" t="s">
        <v>219</v>
      </c>
      <c r="B18" s="18">
        <v>166394</v>
      </c>
    </row>
    <row r="19" spans="1:2" x14ac:dyDescent="0.25">
      <c r="A19" s="6" t="s">
        <v>220</v>
      </c>
      <c r="B19" s="18">
        <v>18273</v>
      </c>
    </row>
    <row r="20" spans="1:2" x14ac:dyDescent="0.25">
      <c r="A20" s="6" t="s">
        <v>221</v>
      </c>
      <c r="B20" s="40">
        <v>0.09895108492583948</v>
      </c>
    </row>
    <row r="21" spans="1:2" x14ac:dyDescent="0.25">
      <c r="A21" s="6" t="s">
        <v>161</v>
      </c>
      <c r="B21" s="18">
        <v>30000</v>
      </c>
    </row>
    <row r="22" spans="1:2" x14ac:dyDescent="0.25">
      <c r="A22" s="6" t="s">
        <v>222</v>
      </c>
      <c r="B22" s="18">
        <v>48273</v>
      </c>
    </row>
    <row r="23" spans="1:2" x14ac:dyDescent="0.25">
      <c r="A23" s="6" t="s">
        <v>223</v>
      </c>
      <c r="B23" s="18">
        <v>30000</v>
      </c>
    </row>
    <row r="24" spans="1:2" x14ac:dyDescent="0.25">
      <c r="A24" s="6" t="s">
        <v>224</v>
      </c>
      <c r="B24" s="7" t="s">
        <v>203</v>
      </c>
    </row>
    <row r="25" spans="1:2" x14ac:dyDescent="0.25">
      <c r="A25" s="6" t="s">
        <v>225</v>
      </c>
      <c r="B25" s="7" t="s">
        <v>226</v>
      </c>
    </row>
    <row r="26" spans="1:2" x14ac:dyDescent="0.25">
      <c r="A26" s="6" t="s">
        <v>227</v>
      </c>
      <c r="B26" s="7" t="s">
        <v>35</v>
      </c>
    </row>
    <row r="27" spans="1:2" x14ac:dyDescent="0.25">
      <c r="A27" s="6" t="s">
        <v>228</v>
      </c>
      <c r="B27" s="18">
        <v>15389</v>
      </c>
    </row>
    <row r="28" spans="1:2" x14ac:dyDescent="0.25">
      <c r="A28" s="6" t="s">
        <v>229</v>
      </c>
      <c r="B28" s="18">
        <v>13866</v>
      </c>
    </row>
  </sheetData>
  <mergeCells count="2">
    <mergeCell ref="A1:C1"/>
    <mergeCell ref="A2:C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Microschool&amp;R&amp;8&amp;IUnderwriting Snapshot</oddHeader>
    <oddFooter>&amp;L&amp;8Built by SchoolStack Budget  •  budget.schoolstack.ai&amp;C&amp;8Page &amp;P of &amp;N&amp;R&amp;8&amp;D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37" t="s">
        <v>6</v>
      </c>
      <c r="B1" s="37"/>
      <c r="C1" s="37"/>
      <c r="D1" s="37"/>
      <c r="E1" s="37"/>
      <c r="F1" s="37"/>
    </row>
    <row r="2" ht="22" customHeight="1" spans="1:6" x14ac:dyDescent="0.25">
      <c r="A2" s="41" t="s">
        <v>230</v>
      </c>
      <c r="B2" s="41"/>
      <c r="C2" s="41"/>
      <c r="D2" s="41"/>
      <c r="E2" s="41"/>
      <c r="F2" s="41"/>
    </row>
    <row r="3" ht="18" customHeight="1" spans="1:6" x14ac:dyDescent="0.25">
      <c r="A3" s="42" t="s">
        <v>231</v>
      </c>
      <c r="B3" s="42"/>
      <c r="C3" s="42"/>
      <c r="D3" s="42"/>
      <c r="E3" s="42"/>
      <c r="F3" s="42"/>
    </row>
    <row r="4" ht="16" customHeight="1" spans="1:6" x14ac:dyDescent="0.25">
      <c r="A4" s="43" t="s">
        <v>232</v>
      </c>
      <c r="B4" s="43"/>
      <c r="C4" s="43"/>
      <c r="D4" s="43"/>
      <c r="E4" s="43"/>
      <c r="F4" s="43"/>
    </row>
    <row r="6" ht="28" customHeight="1" spans="1:6" x14ac:dyDescent="0.25">
      <c r="A6" s="8" t="s">
        <v>1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</row>
    <row r="7" spans="1:6" x14ac:dyDescent="0.25">
      <c r="A7" s="6" t="s">
        <v>28</v>
      </c>
      <c r="B7" s="34">
        <f>Assumptions!$B$17</f>
        <v>12</v>
      </c>
      <c r="C7" s="34">
        <f>Assumptions!$C$17</f>
        <v>18</v>
      </c>
      <c r="D7" s="34">
        <f>Assumptions!$D$17</f>
        <v>22</v>
      </c>
      <c r="E7" s="34">
        <f>Assumptions!$E$17</f>
        <v>25</v>
      </c>
      <c r="F7" s="34">
        <f>Assumptions!$F$17</f>
        <v>25</v>
      </c>
    </row>
    <row r="8" spans="1:6" x14ac:dyDescent="0.25">
      <c r="A8" s="7" t="s">
        <v>164</v>
      </c>
      <c r="B8" s="27">
        <f>'5-Year P&amp;L'!B2</f>
        <v>184667</v>
      </c>
      <c r="C8" s="27">
        <f>'5-Year P&amp;L'!C2</f>
        <v>340512</v>
      </c>
      <c r="D8" s="27">
        <f>'5-Year P&amp;L'!D2</f>
        <v>427946</v>
      </c>
      <c r="E8" s="27">
        <f>'5-Year P&amp;L'!E2</f>
        <v>500518</v>
      </c>
      <c r="F8" s="27">
        <f>'5-Year P&amp;L'!F2</f>
        <v>516085</v>
      </c>
    </row>
    <row r="9" spans="1:6" x14ac:dyDescent="0.25">
      <c r="A9" s="6" t="s">
        <v>157</v>
      </c>
      <c r="B9" s="15">
        <f>'5-Year P&amp;L'!B6</f>
        <v>166394</v>
      </c>
      <c r="C9" s="15">
        <f>'5-Year P&amp;L'!C6</f>
        <v>208848</v>
      </c>
      <c r="D9" s="15">
        <f>'5-Year P&amp;L'!D6</f>
        <v>218147</v>
      </c>
      <c r="E9" s="15">
        <f>'5-Year P&amp;L'!E6</f>
        <v>226927</v>
      </c>
      <c r="F9" s="15">
        <f>'5-Year P&amp;L'!F6</f>
        <v>233370</v>
      </c>
    </row>
    <row r="10" ht="24" customHeight="1" spans="1:6" x14ac:dyDescent="0.25">
      <c r="A10" s="5" t="s">
        <v>166</v>
      </c>
      <c r="B10" s="23">
        <f>'5-Year P&amp;L'!B7</f>
        <v>18273</v>
      </c>
      <c r="C10" s="23">
        <f>'5-Year P&amp;L'!C7</f>
        <v>131665</v>
      </c>
      <c r="D10" s="23">
        <f>'5-Year P&amp;L'!D7</f>
        <v>209800</v>
      </c>
      <c r="E10" s="23">
        <f>'5-Year P&amp;L'!E7</f>
        <v>273591</v>
      </c>
      <c r="F10" s="23">
        <f>'5-Year P&amp;L'!F7</f>
        <v>282716</v>
      </c>
    </row>
    <row r="11" spans="1:6" x14ac:dyDescent="0.25">
      <c r="A11" s="6" t="s">
        <v>167</v>
      </c>
      <c r="B11" s="14">
        <f>IF(B8=0,0,B10/B8)</f>
        <v>0.1</v>
      </c>
      <c r="C11" s="14">
        <f>IF(C8=0,0,C10/C8)</f>
        <v>0.39</v>
      </c>
      <c r="D11" s="14">
        <f>IF(D8=0,0,D10/D8)</f>
        <v>0.49</v>
      </c>
      <c r="E11" s="14">
        <f>IF(E8=0,0,E10/E8)</f>
        <v>0.55</v>
      </c>
      <c r="F11" s="14">
        <f>IF(F8=0,0,F10/F8)</f>
        <v>0.55</v>
      </c>
    </row>
    <row r="12" spans="1:6" x14ac:dyDescent="0.25">
      <c r="A12" s="7" t="s">
        <v>168</v>
      </c>
      <c r="B12" s="27">
        <f>B10</f>
        <v>18273</v>
      </c>
      <c r="C12" s="27">
        <f>B12+C10</f>
        <v>149938</v>
      </c>
      <c r="D12" s="27">
        <f>C12+D10</f>
        <v>359738</v>
      </c>
      <c r="E12" s="27">
        <f>D12+E10</f>
        <v>633329</v>
      </c>
      <c r="F12" s="27">
        <f>E12+F10</f>
        <v>916045</v>
      </c>
    </row>
    <row r="13" spans="1:6" x14ac:dyDescent="0.25">
      <c r="A13" s="7" t="s">
        <v>233</v>
      </c>
      <c r="B13" s="27">
        <v>48273</v>
      </c>
      <c r="C13" s="27">
        <v>179938</v>
      </c>
      <c r="D13" s="27">
        <v>389738</v>
      </c>
      <c r="E13" s="27">
        <v>663329</v>
      </c>
      <c r="F13" s="27">
        <v>946045</v>
      </c>
    </row>
    <row r="14" spans="1:6" x14ac:dyDescent="0.25">
      <c r="A14" s="6" t="s">
        <v>234</v>
      </c>
      <c r="B14" s="15">
        <v>15389</v>
      </c>
      <c r="C14" s="15">
        <v>18917</v>
      </c>
      <c r="D14" s="15">
        <v>19452</v>
      </c>
      <c r="E14" s="15">
        <v>20021</v>
      </c>
      <c r="F14" s="15">
        <v>20643</v>
      </c>
    </row>
    <row r="15" spans="1:6" x14ac:dyDescent="0.25">
      <c r="A15" s="6" t="s">
        <v>110</v>
      </c>
      <c r="B15" s="15">
        <v>13866</v>
      </c>
      <c r="C15" s="15">
        <v>11603</v>
      </c>
      <c r="D15" s="15">
        <v>9916</v>
      </c>
      <c r="E15" s="15">
        <v>9077</v>
      </c>
      <c r="F15" s="15">
        <v>9335</v>
      </c>
    </row>
    <row r="16" spans="1:6" x14ac:dyDescent="0.25">
      <c r="A16" s="7" t="s">
        <v>186</v>
      </c>
      <c r="B16" s="32">
        <v>3.63</v>
      </c>
      <c r="C16" s="32">
        <v>19.92</v>
      </c>
      <c r="D16" s="32">
        <v>31.14</v>
      </c>
      <c r="E16" s="32">
        <v>40.31</v>
      </c>
      <c r="F16" s="32">
        <v>41.62</v>
      </c>
    </row>
    <row r="18" spans="1:6" x14ac:dyDescent="0.25">
      <c r="A18" s="43" t="s">
        <v>235</v>
      </c>
      <c r="B18" s="43"/>
      <c r="C18" s="43"/>
      <c r="D18" s="43"/>
      <c r="E18" s="43"/>
      <c r="F18" s="43"/>
    </row>
  </sheetData>
  <mergeCells count="5">
    <mergeCell ref="A1:F1"/>
    <mergeCell ref="A2:F2"/>
    <mergeCell ref="A3:F3"/>
    <mergeCell ref="A4:F4"/>
    <mergeCell ref="A18:F18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Microschool&amp;R&amp;8&amp;ISummary</oddHeader>
    <oddFooter>&amp;L&amp;8Built by SchoolStack Budget  •  budget.schoolstack.ai&amp;C&amp;8Page &amp;P of &amp;N&amp;R&amp;8&amp;D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FormatPr defaultRowHeight="15" outlineLevelRow="0" outlineLevelCol="0" x14ac:dyDescent="55"/>
  <cols>
    <col min="1" max="1" width="5" customWidth="1"/>
    <col min="2" max="2" width="38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44" t="s">
        <v>236</v>
      </c>
      <c r="C3" s="44"/>
    </row>
    <row r="4" ht="28" customHeight="1" spans="2:3" x14ac:dyDescent="0.25">
      <c r="B4" s="45" t="s">
        <v>237</v>
      </c>
      <c r="C4" s="45"/>
    </row>
    <row r="6" ht="4" customHeight="1" spans="2:3" x14ac:dyDescent="0.25">
      <c r="B6" s="46"/>
      <c r="C6" s="46"/>
    </row>
    <row r="8" spans="2:2" x14ac:dyDescent="0.25">
      <c r="B8" s="47" t="s">
        <v>238</v>
      </c>
    </row>
    <row r="9" ht="32" customHeight="1" spans="2:3" x14ac:dyDescent="0.25">
      <c r="B9" s="48" t="s">
        <v>6</v>
      </c>
      <c r="C9" s="48"/>
    </row>
    <row r="10" spans="2:3" x14ac:dyDescent="0.25">
      <c r="B10" s="49" t="s">
        <v>239</v>
      </c>
      <c r="C10" s="49"/>
    </row>
    <row r="12" spans="2:3" x14ac:dyDescent="0.25">
      <c r="B12" s="47" t="s">
        <v>240</v>
      </c>
      <c r="C12" s="50" t="s">
        <v>241</v>
      </c>
    </row>
    <row r="15" ht="24" customHeight="1" spans="1:3" x14ac:dyDescent="0.25">
      <c r="A15" s="5"/>
      <c r="B15" s="5" t="s">
        <v>242</v>
      </c>
      <c r="C15" s="5"/>
    </row>
    <row r="16" spans="2:3" x14ac:dyDescent="0.25">
      <c r="B16" s="13" t="s">
        <v>243</v>
      </c>
      <c r="C16" s="27">
        <v>516085</v>
      </c>
    </row>
    <row r="17" spans="2:3" x14ac:dyDescent="0.25">
      <c r="B17" s="13" t="s">
        <v>244</v>
      </c>
      <c r="C17" s="27">
        <v>282716</v>
      </c>
    </row>
    <row r="18" spans="2:3" x14ac:dyDescent="0.25">
      <c r="B18" s="13" t="s">
        <v>188</v>
      </c>
      <c r="C18" s="27">
        <v>916045</v>
      </c>
    </row>
    <row r="19" spans="2:3" x14ac:dyDescent="0.25">
      <c r="B19" s="13" t="s">
        <v>215</v>
      </c>
      <c r="C19" s="51" t="s">
        <v>245</v>
      </c>
    </row>
    <row r="22" ht="24" customHeight="1" spans="1:3" x14ac:dyDescent="0.25">
      <c r="A22" s="5"/>
      <c r="B22" s="5" t="s">
        <v>246</v>
      </c>
      <c r="C22" s="5"/>
    </row>
    <row r="23" spans="2:3" x14ac:dyDescent="0.25">
      <c r="B23" s="52" t="s">
        <v>247</v>
      </c>
      <c r="C23" s="53"/>
    </row>
    <row r="24" spans="2:3" x14ac:dyDescent="0.25">
      <c r="B24" s="52" t="s">
        <v>248</v>
      </c>
      <c r="C24" s="53"/>
    </row>
    <row r="25" spans="2:3" x14ac:dyDescent="0.25">
      <c r="B25" s="52" t="s">
        <v>249</v>
      </c>
      <c r="C25" s="53"/>
    </row>
    <row r="26" spans="2:3" x14ac:dyDescent="0.25">
      <c r="B26" s="52" t="s">
        <v>250</v>
      </c>
      <c r="C26" s="53"/>
    </row>
    <row r="27" spans="2:3" x14ac:dyDescent="0.25">
      <c r="B27" s="52" t="s">
        <v>155</v>
      </c>
      <c r="C27" s="53"/>
    </row>
    <row r="28" spans="2:3" x14ac:dyDescent="0.25">
      <c r="B28" s="52" t="s">
        <v>251</v>
      </c>
      <c r="C28" s="53"/>
    </row>
    <row r="29" spans="2:3" x14ac:dyDescent="0.25">
      <c r="B29" s="52" t="s">
        <v>252</v>
      </c>
      <c r="C29" s="53"/>
    </row>
    <row r="30" spans="2:3" x14ac:dyDescent="0.25">
      <c r="B30" s="52" t="s">
        <v>253</v>
      </c>
      <c r="C30" s="53"/>
    </row>
    <row r="31" spans="2:3" x14ac:dyDescent="0.25">
      <c r="B31" s="52" t="s">
        <v>254</v>
      </c>
      <c r="C31" s="53"/>
    </row>
    <row r="32" spans="2:3" x14ac:dyDescent="0.25">
      <c r="B32" s="52" t="s">
        <v>255</v>
      </c>
      <c r="C32" s="53"/>
    </row>
    <row r="33" spans="2:3" x14ac:dyDescent="0.25">
      <c r="B33" s="52" t="s">
        <v>256</v>
      </c>
      <c r="C33" s="53"/>
    </row>
    <row r="34" spans="2:3" x14ac:dyDescent="0.25">
      <c r="B34" s="52" t="s">
        <v>257</v>
      </c>
      <c r="C34" s="53"/>
    </row>
    <row r="35" spans="2:3" x14ac:dyDescent="0.25">
      <c r="B35" s="52" t="s">
        <v>258</v>
      </c>
      <c r="C35" s="53"/>
    </row>
    <row r="36" spans="2:3" x14ac:dyDescent="0.25">
      <c r="B36" s="52" t="s">
        <v>259</v>
      </c>
      <c r="C36" s="53"/>
    </row>
    <row r="39" spans="2:3" x14ac:dyDescent="0.25">
      <c r="B39" s="43" t="s">
        <v>235</v>
      </c>
      <c r="C39" s="43"/>
    </row>
  </sheetData>
  <mergeCells count="5">
    <mergeCell ref="B3:C3"/>
    <mergeCell ref="B4:C4"/>
    <mergeCell ref="B9:C9"/>
    <mergeCell ref="B10:C10"/>
    <mergeCell ref="B39:C39"/>
  </mergeCells>
  <hyperlinks>
    <hyperlink ref="B23" r:id="rId1" location="#'Assumptions'!A1"/>
    <hyperlink ref="B24" r:id="rId2" location="#'Enrollment &amp; Rev Drivers'!A1"/>
    <hyperlink ref="B25" r:id="rId3" location="#'Tuition &amp; Funding Detail'!A1"/>
    <hyperlink ref="B26" r:id="rId4" location="#'Staffing Plan'!A1"/>
    <hyperlink ref="B27" r:id="rId5" location="#'Operating Expenses'!A1"/>
    <hyperlink ref="B28" r:id="rId6" location="#'Facilities &amp; Occupancy'!A1"/>
    <hyperlink ref="B29" r:id="rId7" location="#'Capital Stack &amp; Startup Uses'!A1"/>
    <hyperlink ref="B30" r:id="rId8" location="#'Debt Schedule'!A1"/>
    <hyperlink ref="B31" r:id="rId9" location="#'Cash Flow Monthly Y1'!A1"/>
    <hyperlink ref="B32" r:id="rId10" location="#'5-Year P&amp;L'!A1"/>
    <hyperlink ref="B33" r:id="rId11" location="#'5-Year Balance Sheet'!A1"/>
    <hyperlink ref="B34" r:id="rId12" location="#'DSCR &amp; Covenants'!A1"/>
    <hyperlink ref="B35" r:id="rId13" location="#'Underwriting Snapshot'!A1"/>
    <hyperlink ref="B36" r:id="rId14" location="#'Summary'!A1"/>
  </hyperlinks>
  <pageMargins left="0.75" right="0.75" top="1" bottom="1" header="0.3" footer="0.3"/>
  <pageSetup paperSize="1" orientation="portrait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4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37" t="s">
        <v>260</v>
      </c>
      <c r="C2" s="37"/>
      <c r="D2" s="37"/>
      <c r="E2" s="37"/>
      <c r="F2" s="37"/>
      <c r="G2" s="37"/>
      <c r="H2" s="37"/>
    </row>
    <row r="3" spans="2:8" x14ac:dyDescent="0.25">
      <c r="B3" s="54" t="s">
        <v>261</v>
      </c>
      <c r="C3" s="54"/>
      <c r="D3" s="54"/>
      <c r="E3" s="54"/>
      <c r="F3" s="54"/>
      <c r="G3" s="54"/>
      <c r="H3" s="54"/>
    </row>
    <row r="4" spans="2:6" x14ac:dyDescent="0.25">
      <c r="B4" s="55" t="s">
        <v>262</v>
      </c>
      <c r="D4" s="56" t="s">
        <v>263</v>
      </c>
      <c r="F4" s="57" t="s">
        <v>264</v>
      </c>
    </row>
    <row r="6" ht="24" customHeight="1" spans="2:8" x14ac:dyDescent="0.25">
      <c r="B6" s="5" t="s">
        <v>265</v>
      </c>
      <c r="C6" s="58" t="s">
        <v>23</v>
      </c>
      <c r="D6" s="58" t="s">
        <v>24</v>
      </c>
      <c r="E6" s="58" t="s">
        <v>25</v>
      </c>
      <c r="F6" s="58" t="s">
        <v>26</v>
      </c>
      <c r="G6" s="58" t="s">
        <v>27</v>
      </c>
      <c r="H6" s="58" t="s">
        <v>266</v>
      </c>
    </row>
    <row r="7" spans="2:7" x14ac:dyDescent="0.25">
      <c r="B7" s="13" t="s">
        <v>267</v>
      </c>
      <c r="C7" s="59">
        <v>12</v>
      </c>
      <c r="D7" s="59">
        <v>18</v>
      </c>
      <c r="E7" s="59">
        <v>22</v>
      </c>
      <c r="F7" s="59">
        <v>25</v>
      </c>
      <c r="G7" s="59">
        <v>25</v>
      </c>
    </row>
    <row r="8" spans="2:7" x14ac:dyDescent="0.25">
      <c r="B8" s="13" t="s">
        <v>153</v>
      </c>
      <c r="C8" s="60">
        <v>184667</v>
      </c>
      <c r="D8" s="60">
        <v>340512</v>
      </c>
      <c r="E8" s="60">
        <v>427946</v>
      </c>
      <c r="F8" s="60">
        <v>500518</v>
      </c>
      <c r="G8" s="60">
        <v>516085</v>
      </c>
    </row>
    <row r="9" spans="2:7" x14ac:dyDescent="0.25">
      <c r="B9" s="13" t="s">
        <v>154</v>
      </c>
      <c r="C9" s="60">
        <v>118934</v>
      </c>
      <c r="D9" s="60">
        <v>147003</v>
      </c>
      <c r="E9" s="60">
        <v>151413</v>
      </c>
      <c r="F9" s="60">
        <v>155955</v>
      </c>
      <c r="G9" s="60">
        <v>160634</v>
      </c>
    </row>
    <row r="10" spans="2:7" x14ac:dyDescent="0.25">
      <c r="B10" s="13" t="s">
        <v>155</v>
      </c>
      <c r="C10" s="60">
        <v>40500</v>
      </c>
      <c r="D10" s="60">
        <v>54885</v>
      </c>
      <c r="E10" s="60">
        <v>59774</v>
      </c>
      <c r="F10" s="60">
        <v>64012</v>
      </c>
      <c r="G10" s="60">
        <v>65776</v>
      </c>
    </row>
    <row r="11" spans="2:7" x14ac:dyDescent="0.25">
      <c r="B11" s="13" t="s">
        <v>156</v>
      </c>
      <c r="C11" s="60">
        <v>6960</v>
      </c>
      <c r="D11" s="60">
        <v>6960</v>
      </c>
      <c r="E11" s="60">
        <v>6960</v>
      </c>
      <c r="F11" s="60">
        <v>6960</v>
      </c>
      <c r="G11" s="60">
        <v>6960</v>
      </c>
    </row>
    <row r="12" spans="2:7" x14ac:dyDescent="0.25">
      <c r="B12" s="61" t="s">
        <v>268</v>
      </c>
      <c r="C12" s="62">
        <v>18273</v>
      </c>
      <c r="D12" s="62">
        <v>131665</v>
      </c>
      <c r="E12" s="62">
        <v>209800</v>
      </c>
      <c r="F12" s="62">
        <v>273591</v>
      </c>
      <c r="G12" s="62">
        <v>282716</v>
      </c>
    </row>
    <row r="13" spans="2:7" x14ac:dyDescent="0.25">
      <c r="B13" s="61" t="s">
        <v>269</v>
      </c>
      <c r="C13" s="62">
        <v>48273</v>
      </c>
      <c r="D13" s="62">
        <v>179938</v>
      </c>
      <c r="E13" s="62">
        <v>389738</v>
      </c>
      <c r="F13" s="62">
        <v>663329</v>
      </c>
      <c r="G13" s="62">
        <v>946045</v>
      </c>
    </row>
    <row r="14" spans="2:7" x14ac:dyDescent="0.25">
      <c r="B14" s="61" t="s">
        <v>270</v>
      </c>
      <c r="C14" s="63">
        <v>0.09895108492583948</v>
      </c>
      <c r="D14" s="63">
        <v>0.38666772389812987</v>
      </c>
      <c r="E14" s="63">
        <v>0.4902487697045889</v>
      </c>
      <c r="F14" s="63">
        <v>0.5466157061284509</v>
      </c>
      <c r="G14" s="63">
        <v>0.5478089849540289</v>
      </c>
    </row>
    <row r="15" spans="2:8" x14ac:dyDescent="0.25">
      <c r="B15" s="61" t="s">
        <v>234</v>
      </c>
      <c r="C15" s="64">
        <v>15388.916666666666</v>
      </c>
      <c r="D15" s="64">
        <v>18917.333333333332</v>
      </c>
      <c r="E15" s="64">
        <v>19452.090909090908</v>
      </c>
      <c r="F15" s="64">
        <v>20020.72</v>
      </c>
      <c r="G15" s="64">
        <v>20643.4</v>
      </c>
      <c r="H15" s="65" t="s">
        <v>271</v>
      </c>
    </row>
    <row r="16" spans="2:7" x14ac:dyDescent="0.25">
      <c r="B16" s="61" t="s">
        <v>110</v>
      </c>
      <c r="C16" s="66">
        <v>13866.166666666666</v>
      </c>
      <c r="D16" s="66">
        <v>11602.666666666666</v>
      </c>
      <c r="E16" s="66">
        <v>9915.772727272728</v>
      </c>
      <c r="F16" s="66">
        <v>9077.08</v>
      </c>
      <c r="G16" s="66">
        <v>9334.8</v>
      </c>
    </row>
    <row r="17" spans="2:7" x14ac:dyDescent="0.25">
      <c r="B17" s="13" t="s">
        <v>272</v>
      </c>
      <c r="C17" s="60">
        <v>0</v>
      </c>
      <c r="D17" s="60">
        <v>0</v>
      </c>
      <c r="E17" s="60">
        <v>0</v>
      </c>
      <c r="F17" s="60">
        <v>0</v>
      </c>
      <c r="G17" s="60">
        <v>0</v>
      </c>
    </row>
    <row r="18" spans="2:8" x14ac:dyDescent="0.25">
      <c r="B18" s="13" t="s">
        <v>273</v>
      </c>
      <c r="C18" s="67">
        <v>3000</v>
      </c>
      <c r="D18" s="67">
        <v>2058.3333333333335</v>
      </c>
      <c r="E18" s="64">
        <v>1733.215909090909</v>
      </c>
      <c r="F18" s="64">
        <v>1569.72615</v>
      </c>
      <c r="G18" s="64">
        <v>1615.5256657500001</v>
      </c>
      <c r="H18" s="65" t="s">
        <v>274</v>
      </c>
    </row>
    <row r="19" spans="2:7" x14ac:dyDescent="0.25">
      <c r="B19" s="61" t="s">
        <v>275</v>
      </c>
      <c r="C19" s="68">
        <v>1522.75</v>
      </c>
      <c r="D19" s="68">
        <v>7314.722222222223</v>
      </c>
      <c r="E19" s="68">
        <v>9536.363636363636</v>
      </c>
      <c r="F19" s="68">
        <v>10943.64</v>
      </c>
      <c r="G19" s="68">
        <v>11308.64</v>
      </c>
    </row>
    <row r="20" spans="2:8" x14ac:dyDescent="0.25">
      <c r="B20" s="61" t="s">
        <v>276</v>
      </c>
      <c r="C20" s="69">
        <v>0.6440457688704533</v>
      </c>
      <c r="D20" s="63">
        <v>0.43171165773893433</v>
      </c>
      <c r="E20" s="63">
        <v>0.3538133315885649</v>
      </c>
      <c r="F20" s="63">
        <v>0.31158719566529075</v>
      </c>
      <c r="G20" s="63">
        <v>0.3112549289361249</v>
      </c>
      <c r="H20" s="65" t="s">
        <v>277</v>
      </c>
    </row>
    <row r="21" spans="2:8" x14ac:dyDescent="0.25">
      <c r="B21" s="61" t="s">
        <v>278</v>
      </c>
      <c r="C21" s="69">
        <v>0.19494549648827347</v>
      </c>
      <c r="D21" s="63">
        <v>0.10880673808852552</v>
      </c>
      <c r="E21" s="63">
        <v>0.08910177919644068</v>
      </c>
      <c r="F21" s="63">
        <v>0.07840507983728856</v>
      </c>
      <c r="G21" s="63">
        <v>0.07825870088018447</v>
      </c>
      <c r="H21" s="65" t="s">
        <v>279</v>
      </c>
    </row>
    <row r="22" spans="2:8" x14ac:dyDescent="0.25">
      <c r="B22" s="61" t="s">
        <v>280</v>
      </c>
      <c r="C22" s="63">
        <v>0.13664054758023902</v>
      </c>
      <c r="D22" s="63">
        <v>0.40710459543276006</v>
      </c>
      <c r="E22" s="63">
        <v>0.5065101671706244</v>
      </c>
      <c r="F22" s="63">
        <v>0.5605212999332692</v>
      </c>
      <c r="G22" s="63">
        <v>0.5612931978259396</v>
      </c>
      <c r="H22" s="65" t="s">
        <v>281</v>
      </c>
    </row>
    <row r="23" spans="2:8" x14ac:dyDescent="0.25">
      <c r="B23" s="61" t="s">
        <v>282</v>
      </c>
      <c r="C23" s="70">
        <v>3</v>
      </c>
      <c r="D23" s="70">
        <v>3</v>
      </c>
      <c r="E23" s="70">
        <v>3</v>
      </c>
      <c r="F23" s="70">
        <v>3</v>
      </c>
      <c r="G23" s="70">
        <v>3</v>
      </c>
      <c r="H23" s="65" t="s">
        <v>283</v>
      </c>
    </row>
    <row r="24" spans="2:8" x14ac:dyDescent="0.25">
      <c r="B24" s="61" t="s">
        <v>186</v>
      </c>
      <c r="C24" s="71">
        <v>3.6254310344827587</v>
      </c>
      <c r="D24" s="71">
        <v>19.917241379310344</v>
      </c>
      <c r="E24" s="71">
        <v>31.14353448275862</v>
      </c>
      <c r="F24" s="71">
        <v>40.30905172413793</v>
      </c>
      <c r="G24" s="71">
        <v>41.61997126436781</v>
      </c>
      <c r="H24" s="65" t="s">
        <v>284</v>
      </c>
    </row>
    <row r="25" spans="2:8" x14ac:dyDescent="0.25">
      <c r="B25" s="61" t="s">
        <v>285</v>
      </c>
      <c r="C25" s="30" t="str">
        <f>IF('5-Year P&amp;L'!B9&gt;=0,"✓ Break-even","")</f>
        <v>✓ Break-even</v>
      </c>
      <c r="D25" s="72" t="str">
        <f>IF(AND('5-Year P&amp;L'!C9&gt;=0,'5-Year P&amp;L'!B9&lt;0),"✓ Break-even","")</f>
        <v>0</v>
      </c>
      <c r="E25" s="72" t="str">
        <f>IF(AND('5-Year P&amp;L'!D9&gt;=0,'5-Year P&amp;L'!C9&lt;0),"✓ Break-even","")</f>
        <v>0</v>
      </c>
      <c r="F25" s="72" t="str">
        <f>IF(AND('5-Year P&amp;L'!E9&gt;=0,'5-Year P&amp;L'!D9&lt;0),"✓ Break-even","")</f>
        <v>0</v>
      </c>
      <c r="G25" s="72" t="str">
        <f>IF(AND('5-Year P&amp;L'!F9&gt;=0,'5-Year P&amp;L'!E9&lt;0),"✓ Break-even","")</f>
        <v>0</v>
      </c>
      <c r="H25" s="65" t="s">
        <v>23</v>
      </c>
    </row>
    <row r="26" spans="2:8" x14ac:dyDescent="0.25">
      <c r="B26" s="61" t="s">
        <v>286</v>
      </c>
      <c r="C26" s="73">
        <v>3</v>
      </c>
      <c r="D26" s="73">
        <v>10</v>
      </c>
      <c r="E26" s="74">
        <v>21</v>
      </c>
      <c r="F26" s="70">
        <v>35</v>
      </c>
      <c r="G26" s="70">
        <v>49</v>
      </c>
      <c r="H26" s="65" t="s">
        <v>287</v>
      </c>
    </row>
    <row r="27" spans="2:8" x14ac:dyDescent="0.25">
      <c r="B27" s="61" t="s">
        <v>191</v>
      </c>
      <c r="C27" s="70">
        <v>106</v>
      </c>
      <c r="D27" s="70">
        <v>314</v>
      </c>
      <c r="E27" s="70">
        <v>652</v>
      </c>
      <c r="F27" s="70">
        <v>1067</v>
      </c>
      <c r="G27" s="70">
        <v>1480</v>
      </c>
      <c r="H27" s="65" t="s">
        <v>288</v>
      </c>
    </row>
    <row r="29" ht="24" customHeight="1" spans="2:8" x14ac:dyDescent="0.25">
      <c r="B29" s="5" t="s">
        <v>289</v>
      </c>
      <c r="C29" s="5" t="s">
        <v>290</v>
      </c>
      <c r="D29" s="5" t="s">
        <v>291</v>
      </c>
      <c r="E29" s="5"/>
      <c r="F29" s="5" t="s">
        <v>292</v>
      </c>
      <c r="G29" s="5"/>
      <c r="H29" s="5"/>
    </row>
    <row r="30" ht="45" customHeight="1" spans="2:8" x14ac:dyDescent="0.25">
      <c r="B30" s="75" t="s">
        <v>293</v>
      </c>
      <c r="C30" s="30" t="s">
        <v>294</v>
      </c>
      <c r="D30" s="76" t="s">
        <v>295</v>
      </c>
      <c r="E30" s="76"/>
      <c r="F30" s="77" t="s">
        <v>296</v>
      </c>
      <c r="G30" s="77"/>
      <c r="H30" s="77"/>
    </row>
    <row r="31" ht="45" customHeight="1" spans="2:8" x14ac:dyDescent="0.25">
      <c r="B31" s="75" t="s">
        <v>297</v>
      </c>
      <c r="C31" s="30" t="s">
        <v>294</v>
      </c>
      <c r="D31" s="76" t="s">
        <v>298</v>
      </c>
      <c r="E31" s="76"/>
      <c r="F31" s="77" t="s">
        <v>299</v>
      </c>
      <c r="G31" s="77"/>
      <c r="H31" s="77"/>
    </row>
    <row r="32" ht="45" customHeight="1" spans="2:8" x14ac:dyDescent="0.25">
      <c r="B32" s="75" t="s">
        <v>300</v>
      </c>
      <c r="C32" s="30" t="s">
        <v>294</v>
      </c>
      <c r="D32" s="76" t="s">
        <v>301</v>
      </c>
      <c r="E32" s="76"/>
      <c r="F32" s="77" t="s">
        <v>302</v>
      </c>
      <c r="G32" s="77"/>
      <c r="H32" s="77"/>
    </row>
    <row r="33" ht="45" customHeight="1" spans="2:8" x14ac:dyDescent="0.25">
      <c r="B33" s="75" t="s">
        <v>303</v>
      </c>
      <c r="C33" s="30" t="s">
        <v>294</v>
      </c>
      <c r="D33" s="76" t="s">
        <v>304</v>
      </c>
      <c r="E33" s="76"/>
      <c r="F33" s="77" t="s">
        <v>305</v>
      </c>
      <c r="G33" s="77"/>
      <c r="H33" s="77"/>
    </row>
    <row r="34" ht="45" customHeight="1" spans="2:8" x14ac:dyDescent="0.25">
      <c r="B34" s="75" t="s">
        <v>306</v>
      </c>
      <c r="C34" s="30" t="s">
        <v>294</v>
      </c>
      <c r="D34" s="76" t="s">
        <v>307</v>
      </c>
      <c r="E34" s="76"/>
      <c r="F34" s="77" t="s">
        <v>308</v>
      </c>
      <c r="G34" s="77"/>
      <c r="H34" s="77"/>
    </row>
    <row r="35" ht="45" customHeight="1" spans="2:8" x14ac:dyDescent="0.25">
      <c r="B35" s="75" t="s">
        <v>309</v>
      </c>
      <c r="C35" s="30" t="s">
        <v>294</v>
      </c>
      <c r="D35" s="76" t="s">
        <v>310</v>
      </c>
      <c r="E35" s="76"/>
      <c r="F35" s="77" t="s">
        <v>311</v>
      </c>
      <c r="G35" s="77"/>
      <c r="H35" s="77"/>
    </row>
    <row r="36" ht="45" customHeight="1" spans="2:8" x14ac:dyDescent="0.25">
      <c r="B36" s="75" t="s">
        <v>312</v>
      </c>
      <c r="C36" s="30" t="s">
        <v>294</v>
      </c>
      <c r="D36" s="76" t="s">
        <v>313</v>
      </c>
      <c r="E36" s="76"/>
      <c r="F36" s="77" t="s">
        <v>314</v>
      </c>
      <c r="G36" s="77"/>
      <c r="H36" s="77"/>
    </row>
    <row r="38" spans="2:6" x14ac:dyDescent="0.25">
      <c r="B38" s="75" t="s">
        <v>259</v>
      </c>
      <c r="C38" s="61" t="s">
        <v>315</v>
      </c>
      <c r="D38" s="61"/>
      <c r="E38" s="61"/>
      <c r="F38" s="61"/>
    </row>
    <row r="40" spans="2:8" x14ac:dyDescent="0.25">
      <c r="B40" s="78" t="s">
        <v>316</v>
      </c>
      <c r="C40" s="78"/>
      <c r="D40" s="78"/>
      <c r="E40" s="78"/>
      <c r="F40" s="78"/>
      <c r="G40" s="78"/>
      <c r="H40" s="78"/>
    </row>
  </sheetData>
  <mergeCells count="20">
    <mergeCell ref="B2:H2"/>
    <mergeCell ref="B3:H3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C38:F38"/>
    <mergeCell ref="B40:H40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conditionalFormatting sqref="C24:G24">
    <cfRule type="expression" dxfId="21" priority="1">
      <formula>C24&gt;=1.25</formula>
    </cfRule>
    <cfRule type="expression" dxfId="22" priority="2">
      <formula>C24&gt;=1.15</formula>
    </cfRule>
    <cfRule type="expression" dxfId="23" priority="3">
      <formula>C24&lt;1.15</formula>
    </cfRule>
  </conditionalFormatting>
  <pageMargins left="0.5" right="0.5" top="0.75" bottom="0.75" header="0.3" footer="0.3"/>
  <pageSetup paperSize="1" orientation="landscape" fitToWidth="1" fitToHeight="0"/>
  <headerFooter>
    <oddHeader>&amp;L&amp;10&amp;BBright Horizons Microschool&amp;R&amp;8&amp;IFinancial Health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Assumptions</vt:lpstr>
      <vt:lpstr>Enrollment &amp; Rev Drivers</vt:lpstr>
      <vt:lpstr>Tuition &amp; Funding Detail</vt:lpstr>
      <vt:lpstr>Staffing Plan</vt:lpstr>
      <vt:lpstr>Operating Expenses</vt:lpstr>
      <vt:lpstr>Facilities &amp; Occupancy</vt:lpstr>
      <vt:lpstr>Capital Stack &amp; Startup Uses</vt:lpstr>
      <vt:lpstr>Debt Schedule</vt:lpstr>
      <vt:lpstr>Cash Flow Monthly Y1</vt:lpstr>
      <vt:lpstr>5-Year P&amp;L</vt:lpstr>
      <vt:lpstr>5-Year Balance Sheet</vt:lpstr>
      <vt:lpstr>DSCR &amp; Covenants</vt:lpstr>
      <vt:lpstr>Underwriting Snapshot</vt:lpstr>
      <vt:lpstr>Summary</vt:lpstr>
      <vt:lpstr>Cover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- Underwriting Export</dc:creator>
  <dc:title/>
  <dc:subject/>
  <dc:description/>
  <cp:keywords/>
  <cp:category/>
  <cp:lastModifiedBy>Unknown</cp:lastModifiedBy>
  <dcterms:created xsi:type="dcterms:W3CDTF">2026-04-29T12:22:43Z</dcterms:created>
  <dcterms:modified xsi:type="dcterms:W3CDTF">2026-04-29T12:22:43Z</dcterms:modified>
</cp:coreProperties>
</file>