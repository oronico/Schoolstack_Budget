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<sst xmlns="http://schemas.openxmlformats.org/spreadsheetml/2006/main" count="355" uniqueCount="257">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</sst>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-14400</v>
      </c>
      <c r="C13" s="13">
        <v>-22248</v>
      </c>
      <c r="D13" s="13">
        <v>-28008</v>
      </c>
      <c r="E13" s="13">
        <v>-32782</v>
      </c>
      <c r="F13" s="13">
        <v>-33765</v>
      </c>
    </row>
    <row r="14" spans="1:6" x14ac:dyDescent="0.25">
      <c r="A14" s="4" t="s">
        <v>49</v>
      </c>
      <c r="B14" s="13">
        <v>84000</v>
      </c>
      <c r="C14" s="13">
        <v>129780</v>
      </c>
      <c r="D14" s="13">
        <v>163372</v>
      </c>
      <c r="E14" s="13">
        <v>191225</v>
      </c>
      <c r="F14" s="13">
        <v>196950</v>
      </c>
    </row>
    <row r="15" spans="1:6" x14ac:dyDescent="0.25">
      <c r="A15" s="4" t="s">
        <v>50</v>
      </c>
      <c r="B15" s="13">
        <v>5000</v>
      </c>
      <c r="C15" s="13">
        <v>6000</v>
      </c>
      <c r="D15" s="13">
        <v>7000</v>
      </c>
      <c r="E15" s="13">
        <v>8000</v>
      </c>
      <c r="F15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53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54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55</v>
      </c>
      <c r="B7" s="3"/>
      <c r="C7" s="3"/>
      <c r="D7" s="3"/>
      <c r="E7" s="3"/>
      <c r="F7" s="3"/>
    </row>
    <row r="8" spans="1:6" x14ac:dyDescent="0.25">
      <c r="A8" s="4" t="s">
        <v>56</v>
      </c>
      <c r="B8" s="13">
        <v>-14400</v>
      </c>
      <c r="C8" s="13">
        <v>-22248</v>
      </c>
      <c r="D8" s="13">
        <v>-28008</v>
      </c>
      <c r="E8" s="13">
        <v>-32783</v>
      </c>
      <c r="F8" s="13">
        <v>-33765</v>
      </c>
    </row>
    <row r="9" ht="24" customHeight="1" spans="1:6" x14ac:dyDescent="0.25">
      <c r="A9" s="3" t="s">
        <v>57</v>
      </c>
      <c r="B9" s="14">
        <f>SUM(B8:B8)</f>
        <v>-14400</v>
      </c>
      <c r="C9" s="14">
        <f>SUM(C8:C8)</f>
        <v>-22248</v>
      </c>
      <c r="D9" s="14">
        <f>SUM(D8:D8)</f>
        <v>-28008</v>
      </c>
      <c r="E9" s="14">
        <f>SUM(E8:E8)</f>
        <v>-32783</v>
      </c>
      <c r="F9" s="14">
        <f>SUM(F8:F8)</f>
        <v>-33765</v>
      </c>
    </row>
    <row r="10" ht="24" customHeight="1" spans="1:6" x14ac:dyDescent="0.25">
      <c r="A10" s="3" t="s">
        <v>58</v>
      </c>
      <c r="B10" s="3"/>
      <c r="C10" s="3"/>
      <c r="D10" s="3"/>
      <c r="E10" s="3"/>
      <c r="F10" s="3"/>
    </row>
    <row r="11" spans="1:6" x14ac:dyDescent="0.25">
      <c r="A11" s="4" t="s">
        <v>59</v>
      </c>
      <c r="B11" s="13">
        <f>ROUND(Assumptions!$B$17*7000,0)</f>
        <v>84000</v>
      </c>
      <c r="C11" s="13">
        <f>ROUND(Assumptions!$C$17*7210,0)</f>
        <v>129780</v>
      </c>
      <c r="D11" s="13">
        <f>ROUND(Assumptions!$D$17*7426,0)</f>
        <v>163372</v>
      </c>
      <c r="E11" s="13">
        <f>ROUND(Assumptions!$E$17*7649,0)</f>
        <v>191225</v>
      </c>
      <c r="F11" s="13">
        <f>ROUND(Assumptions!$F$17*7878,0)</f>
        <v>196950</v>
      </c>
    </row>
    <row r="12" ht="24" customHeight="1" spans="1:6" x14ac:dyDescent="0.25">
      <c r="A12" s="3" t="s">
        <v>60</v>
      </c>
      <c r="B12" s="14">
        <f>SUM(B11:B11)</f>
        <v>84000</v>
      </c>
      <c r="C12" s="14">
        <f>SUM(C11:C11)</f>
        <v>129780</v>
      </c>
      <c r="D12" s="14">
        <f>SUM(D11:D11)</f>
        <v>163372</v>
      </c>
      <c r="E12" s="14">
        <f>SUM(E11:E11)</f>
        <v>191225</v>
      </c>
      <c r="F12" s="14">
        <f>SUM(F11:F11)</f>
        <v>196950</v>
      </c>
    </row>
    <row r="13" ht="24" customHeight="1" spans="1:6" x14ac:dyDescent="0.25">
      <c r="A13" s="3" t="s">
        <v>61</v>
      </c>
      <c r="B13" s="3"/>
      <c r="C13" s="3"/>
      <c r="D13" s="3"/>
      <c r="E13" s="3"/>
      <c r="F13" s="3"/>
    </row>
    <row r="14" spans="1:6" x14ac:dyDescent="0.25">
      <c r="A14" s="4" t="s">
        <v>62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  <row r="15" ht="24" customHeight="1" spans="1:6" x14ac:dyDescent="0.25">
      <c r="A15" s="3" t="s">
        <v>63</v>
      </c>
      <c r="B15" s="14">
        <f>SUM(B14:B14)</f>
        <v>5000</v>
      </c>
      <c r="C15" s="14">
        <f>SUM(C14:C14)</f>
        <v>6000</v>
      </c>
      <c r="D15" s="14">
        <f>SUM(D14:D14)</f>
        <v>7000</v>
      </c>
      <c r="E15" s="14">
        <f>SUM(E14:E14)</f>
        <v>8000</v>
      </c>
      <c r="F15" s="14">
        <f>SUM(F14:F14)</f>
        <v>9000</v>
      </c>
    </row>
    <row r="17" ht="24" customHeight="1" spans="1:6" x14ac:dyDescent="0.25">
      <c r="A17" s="3" t="s">
        <v>64</v>
      </c>
      <c r="B17" s="14">
        <f>B6+B9+B12+B15</f>
        <v>221600</v>
      </c>
      <c r="C17" s="14">
        <f>C6+C9+C12+C15</f>
        <v>340512</v>
      </c>
      <c r="D17" s="14">
        <f>D6+D9+D12+D15</f>
        <v>427946</v>
      </c>
      <c r="E17" s="14">
        <f>E6+E9+E12+E15</f>
        <v>500517</v>
      </c>
      <c r="F17" s="14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66</v>
      </c>
      <c r="B3" s="6" t="s">
        <v>67</v>
      </c>
      <c r="C3" s="6" t="s">
        <v>68</v>
      </c>
      <c r="D3" s="6" t="s">
        <v>69</v>
      </c>
      <c r="E3" s="6" t="s">
        <v>70</v>
      </c>
      <c r="F3" s="6" t="s">
        <v>71</v>
      </c>
      <c r="G3" s="6" t="s">
        <v>72</v>
      </c>
      <c r="H3" s="6" t="s">
        <v>73</v>
      </c>
    </row>
    <row r="4" spans="1:8" x14ac:dyDescent="0.25">
      <c r="A4" s="4" t="s">
        <v>74</v>
      </c>
      <c r="B4" s="4" t="s">
        <v>75</v>
      </c>
      <c r="C4" s="4" t="s">
        <v>76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77</v>
      </c>
      <c r="B5" s="4" t="s">
        <v>78</v>
      </c>
      <c r="C5" s="4" t="s">
        <v>76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79</v>
      </c>
      <c r="B6" s="4" t="s">
        <v>78</v>
      </c>
      <c r="C6" s="4" t="s">
        <v>80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81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82</v>
      </c>
      <c r="B9" s="5">
        <v>3</v>
      </c>
    </row>
    <row r="10" spans="1:2" x14ac:dyDescent="0.25">
      <c r="A10" s="4" t="s">
        <v>83</v>
      </c>
      <c r="B10" s="5">
        <v>2.5</v>
      </c>
    </row>
    <row r="11" spans="1:2" x14ac:dyDescent="0.25">
      <c r="A11" s="4" t="s">
        <v>84</v>
      </c>
      <c r="B11" s="19">
        <v>114000</v>
      </c>
    </row>
    <row r="12" spans="1:2" x14ac:dyDescent="0.25">
      <c r="A12" s="4" t="s">
        <v>85</v>
      </c>
      <c r="B12" s="19">
        <v>20000</v>
      </c>
    </row>
    <row r="13" spans="1:2" x14ac:dyDescent="0.25">
      <c r="A13" s="4" t="s">
        <v>86</v>
      </c>
      <c r="B13" s="19">
        <v>8721</v>
      </c>
    </row>
    <row r="14" spans="1:2" x14ac:dyDescent="0.25">
      <c r="A14" s="4" t="s">
        <v>87</v>
      </c>
      <c r="B14" s="19">
        <v>0</v>
      </c>
    </row>
    <row r="15" spans="1:2" x14ac:dyDescent="0.25">
      <c r="A15" s="5" t="s">
        <v>88</v>
      </c>
      <c r="B15" s="18">
        <v>142721</v>
      </c>
    </row>
    <row r="17" ht="24" customHeight="1" spans="1:6" x14ac:dyDescent="0.25">
      <c r="A17" s="3" t="s">
        <v>89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90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91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92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93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94</v>
      </c>
      <c r="B2" s="3"/>
      <c r="C2" s="3"/>
      <c r="D2" s="3"/>
      <c r="E2" s="3"/>
      <c r="F2" s="3"/>
    </row>
    <row r="3" spans="1:6" x14ac:dyDescent="0.25">
      <c r="A3" s="4" t="s">
        <v>95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96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97</v>
      </c>
      <c r="B5" s="3"/>
      <c r="C5" s="3"/>
      <c r="D5" s="3"/>
      <c r="E5" s="3"/>
      <c r="F5" s="3"/>
    </row>
    <row r="6" spans="1:6" x14ac:dyDescent="0.25">
      <c r="A6" s="4" t="s">
        <v>98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99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100</v>
      </c>
      <c r="B8" s="3"/>
      <c r="C8" s="3"/>
      <c r="D8" s="3"/>
      <c r="E8" s="3"/>
      <c r="F8" s="3"/>
    </row>
    <row r="9" spans="1:6" x14ac:dyDescent="0.25">
      <c r="A9" s="4" t="s">
        <v>101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102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103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104</v>
      </c>
      <c r="B2" s="3"/>
      <c r="C2" s="3"/>
      <c r="D2" s="3"/>
      <c r="E2" s="3"/>
      <c r="F2" s="3"/>
    </row>
    <row r="3" spans="1:6" x14ac:dyDescent="0.25">
      <c r="A3" s="4" t="s">
        <v>105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106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107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108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109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110</v>
      </c>
      <c r="B9" s="12">
        <v>0.19494549648827347</v>
      </c>
      <c r="C9" s="12">
        <v>0.10880673808852552</v>
      </c>
      <c r="D9" s="12">
        <v>0.08910177919644068</v>
      </c>
      <c r="E9" s="12">
        <v>0.07840507983728856</v>
      </c>
      <c r="F9" s="12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111</v>
      </c>
      <c r="B1" s="1"/>
    </row>
    <row r="3" ht="24" customHeight="1" spans="1:2" x14ac:dyDescent="0.25">
      <c r="A3" s="3" t="s">
        <v>112</v>
      </c>
      <c r="B3" s="3"/>
    </row>
    <row r="4" spans="1:2" x14ac:dyDescent="0.25">
      <c r="A4" s="4" t="s">
        <v>113</v>
      </c>
      <c r="B4" s="16">
        <v>0</v>
      </c>
    </row>
    <row r="5" spans="1:2" x14ac:dyDescent="0.25">
      <c r="A5" s="4" t="s">
        <v>114</v>
      </c>
      <c r="B5" s="16">
        <v>30000</v>
      </c>
    </row>
    <row r="6" ht="24" customHeight="1" spans="1:2" x14ac:dyDescent="0.25">
      <c r="A6" s="3" t="s">
        <v>115</v>
      </c>
      <c r="B6" s="22">
        <f>SUM(B4:B5)</f>
        <v>30000</v>
      </c>
    </row>
    <row r="8" ht="24" customHeight="1" spans="1:2" x14ac:dyDescent="0.25">
      <c r="A8" s="3" t="s">
        <v>116</v>
      </c>
      <c r="B8" s="3"/>
    </row>
    <row r="9" spans="1:2" x14ac:dyDescent="0.25">
      <c r="A9" s="4" t="s">
        <v>117</v>
      </c>
      <c r="B9" s="16">
        <v>6000</v>
      </c>
    </row>
    <row r="10" spans="1:2" x14ac:dyDescent="0.25">
      <c r="A10" s="4" t="s">
        <v>118</v>
      </c>
      <c r="B10" s="16">
        <v>1800</v>
      </c>
    </row>
    <row r="11" spans="1:2" x14ac:dyDescent="0.25">
      <c r="A11" s="4" t="s">
        <v>119</v>
      </c>
      <c r="B11" s="16">
        <v>6000</v>
      </c>
    </row>
    <row r="12" spans="1:2" x14ac:dyDescent="0.25">
      <c r="A12" s="4" t="s">
        <v>120</v>
      </c>
      <c r="B12" s="16">
        <v>26572</v>
      </c>
    </row>
    <row r="13" spans="1:2" x14ac:dyDescent="0.25">
      <c r="A13" s="4" t="s">
        <v>121</v>
      </c>
      <c r="B13" s="16">
        <v>2019</v>
      </c>
    </row>
    <row r="14" ht="24" customHeight="1" spans="1:2" x14ac:dyDescent="0.25">
      <c r="A14" s="3" t="s">
        <v>122</v>
      </c>
      <c r="B14" s="22">
        <f>SUM(B9:B13)</f>
        <v>42391</v>
      </c>
    </row>
    <row r="16" spans="1:2" x14ac:dyDescent="0.25">
      <c r="A16" s="5" t="s">
        <v>123</v>
      </c>
      <c r="B16" s="23">
        <f>B6-B14</f>
        <v>-12391</v>
      </c>
    </row>
    <row r="17" spans="1:1" x14ac:dyDescent="0.25">
      <c r="A17" s="24" t="s">
        <v>124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125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126</v>
      </c>
      <c r="B3" s="6" t="s">
        <v>127</v>
      </c>
      <c r="C3" s="6" t="s">
        <v>128</v>
      </c>
      <c r="D3" s="6" t="s">
        <v>129</v>
      </c>
      <c r="E3" s="6" t="s">
        <v>130</v>
      </c>
      <c r="F3" s="6" t="s">
        <v>131</v>
      </c>
      <c r="G3" s="6" t="s">
        <v>132</v>
      </c>
    </row>
    <row r="4" spans="1:7" x14ac:dyDescent="0.25">
      <c r="A4" s="4" t="s">
        <v>133</v>
      </c>
      <c r="B4" s="13">
        <v>30000</v>
      </c>
      <c r="C4" s="12">
        <v>0.06</v>
      </c>
      <c r="D4" s="25">
        <v>5</v>
      </c>
      <c r="E4" s="13">
        <v>6960</v>
      </c>
      <c r="F4" s="13">
        <v>580</v>
      </c>
      <c r="G4" s="13">
        <v>4799</v>
      </c>
    </row>
    <row r="6" ht="24" customHeight="1" spans="1:7" x14ac:dyDescent="0.25">
      <c r="A6" s="3" t="s">
        <v>134</v>
      </c>
      <c r="B6" s="3"/>
      <c r="C6" s="3"/>
      <c r="D6" s="3"/>
      <c r="E6" s="3"/>
      <c r="F6" s="3"/>
      <c r="G6" s="3"/>
    </row>
    <row r="7" spans="1:2" x14ac:dyDescent="0.25">
      <c r="A7" s="5" t="s">
        <v>135</v>
      </c>
      <c r="B7" s="18">
        <v>6960</v>
      </c>
    </row>
    <row r="8" spans="1:2" x14ac:dyDescent="0.25">
      <c r="A8" s="4" t="s">
        <v>136</v>
      </c>
      <c r="B8" s="19">
        <v>580</v>
      </c>
    </row>
    <row r="10" ht="24" customHeight="1" spans="1:7" x14ac:dyDescent="0.25">
      <c r="A10" s="3" t="s">
        <v>137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138</v>
      </c>
      <c r="B11" s="6" t="s">
        <v>139</v>
      </c>
    </row>
    <row r="12" spans="1:2" x14ac:dyDescent="0.25">
      <c r="A12" s="4" t="s">
        <v>22</v>
      </c>
      <c r="B12" s="13">
        <v>24840</v>
      </c>
    </row>
    <row r="13" spans="1:2" x14ac:dyDescent="0.25">
      <c r="A13" s="4" t="s">
        <v>23</v>
      </c>
      <c r="B13" s="13">
        <v>19371</v>
      </c>
    </row>
    <row r="14" spans="1:2" x14ac:dyDescent="0.25">
      <c r="A14" s="4" t="s">
        <v>24</v>
      </c>
      <c r="B14" s="13">
        <v>13573</v>
      </c>
    </row>
    <row r="15" spans="1:2" x14ac:dyDescent="0.25">
      <c r="A15" s="4" t="s">
        <v>25</v>
      </c>
      <c r="B15" s="13">
        <v>7428</v>
      </c>
    </row>
    <row r="16" spans="1:2" x14ac:dyDescent="0.25">
      <c r="A16" s="4" t="s">
        <v>26</v>
      </c>
      <c r="B16" s="13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</row>
    <row r="2" spans="1:14" x14ac:dyDescent="0.25">
      <c r="A2" s="5" t="s">
        <v>152</v>
      </c>
      <c r="B2" s="13">
        <v>155900</v>
      </c>
      <c r="C2" s="13">
        <v>7460</v>
      </c>
      <c r="D2" s="13">
        <v>7460</v>
      </c>
      <c r="E2" s="13">
        <v>7460</v>
      </c>
      <c r="F2" s="13">
        <v>7460</v>
      </c>
      <c r="G2" s="13">
        <v>7460</v>
      </c>
      <c r="H2" s="13">
        <v>7460</v>
      </c>
      <c r="I2" s="13">
        <v>7460</v>
      </c>
      <c r="J2" s="13">
        <v>7460</v>
      </c>
      <c r="K2" s="13">
        <v>-29473</v>
      </c>
      <c r="L2" s="13">
        <v>-1440</v>
      </c>
      <c r="M2" s="13">
        <v>0</v>
      </c>
      <c r="N2" s="26">
        <f>SUM(B2:M2)</f>
        <v>184667</v>
      </c>
    </row>
    <row r="3" spans="1:14" x14ac:dyDescent="0.25">
      <c r="A3" s="4" t="s">
        <v>153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154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155</v>
      </c>
      <c r="B5" s="13">
        <v>580</v>
      </c>
      <c r="C5" s="13">
        <v>580</v>
      </c>
      <c r="D5" s="13">
        <v>580</v>
      </c>
      <c r="E5" s="13">
        <v>580</v>
      </c>
      <c r="F5" s="13">
        <v>580</v>
      </c>
      <c r="G5" s="13">
        <v>580</v>
      </c>
      <c r="H5" s="13">
        <v>580</v>
      </c>
      <c r="I5" s="13">
        <v>580</v>
      </c>
      <c r="J5" s="13">
        <v>580</v>
      </c>
      <c r="K5" s="13">
        <v>580</v>
      </c>
      <c r="L5" s="13">
        <v>580</v>
      </c>
      <c r="M5" s="13">
        <v>580</v>
      </c>
      <c r="N5" s="13">
        <f>SUM(B5:M5)</f>
        <v>6960</v>
      </c>
    </row>
    <row r="6" ht="24" customHeight="1" spans="1:14" x14ac:dyDescent="0.25">
      <c r="A6" s="3" t="s">
        <v>156</v>
      </c>
      <c r="B6" s="22">
        <f>SUM(B3:B5)</f>
        <v>16523</v>
      </c>
      <c r="C6" s="22">
        <f>SUM(C3:C5)</f>
        <v>16523</v>
      </c>
      <c r="D6" s="22">
        <f>SUM(D3:D5)</f>
        <v>16523</v>
      </c>
      <c r="E6" s="22">
        <f>SUM(E3:E5)</f>
        <v>16523</v>
      </c>
      <c r="F6" s="22">
        <f>SUM(F3:F5)</f>
        <v>16523</v>
      </c>
      <c r="G6" s="22">
        <f>SUM(G3:G5)</f>
        <v>16523</v>
      </c>
      <c r="H6" s="22">
        <f>SUM(H3:H5)</f>
        <v>16523</v>
      </c>
      <c r="I6" s="22">
        <f>SUM(I3:I5)</f>
        <v>16523</v>
      </c>
      <c r="J6" s="22">
        <f>SUM(J3:J5)</f>
        <v>16523</v>
      </c>
      <c r="K6" s="22">
        <f>SUM(K3:K5)</f>
        <v>16527</v>
      </c>
      <c r="L6" s="22">
        <f>SUM(L3:L5)</f>
        <v>580</v>
      </c>
      <c r="M6" s="22">
        <f>SUM(M3:M5)</f>
        <v>580</v>
      </c>
      <c r="N6" s="22">
        <f>SUM(B6:M6)</f>
        <v>166394</v>
      </c>
    </row>
    <row r="7" spans="1:14" x14ac:dyDescent="0.25">
      <c r="A7" s="5" t="s">
        <v>157</v>
      </c>
      <c r="B7" s="26">
        <f>B2-B6</f>
        <v>139377</v>
      </c>
      <c r="C7" s="26">
        <f>C2-C6</f>
        <v>-9063</v>
      </c>
      <c r="D7" s="26">
        <f>D2-D6</f>
        <v>-9063</v>
      </c>
      <c r="E7" s="26">
        <f>E2-E6</f>
        <v>-9063</v>
      </c>
      <c r="F7" s="26">
        <f>F2-F6</f>
        <v>-9063</v>
      </c>
      <c r="G7" s="26">
        <f>G2-G6</f>
        <v>-9063</v>
      </c>
      <c r="H7" s="26">
        <f>H2-H6</f>
        <v>-9063</v>
      </c>
      <c r="I7" s="26">
        <f>I2-I6</f>
        <v>-9063</v>
      </c>
      <c r="J7" s="26">
        <f>J2-J6</f>
        <v>-9063</v>
      </c>
      <c r="K7" s="26">
        <f>K2-K6</f>
        <v>-46000</v>
      </c>
      <c r="L7" s="26">
        <f>L2-L6</f>
        <v>-2020</v>
      </c>
      <c r="M7" s="26">
        <f>M2-M6</f>
        <v>-580</v>
      </c>
      <c r="N7" s="26">
        <f>SUM(B7:M7)</f>
        <v>18273</v>
      </c>
    </row>
    <row r="8" spans="1:14" x14ac:dyDescent="0.25">
      <c r="A8" s="5" t="s">
        <v>158</v>
      </c>
      <c r="B8" s="26">
        <f>30000+B7</f>
        <v>169377</v>
      </c>
      <c r="C8" s="26">
        <f>B8+C7</f>
        <v>160314</v>
      </c>
      <c r="D8" s="26">
        <f>C8+D7</f>
        <v>151251</v>
      </c>
      <c r="E8" s="26">
        <f>D8+E7</f>
        <v>142188</v>
      </c>
      <c r="F8" s="26">
        <f>E8+F7</f>
        <v>133125</v>
      </c>
      <c r="G8" s="26">
        <f>F8+G7</f>
        <v>124062</v>
      </c>
      <c r="H8" s="26">
        <f>G8+H7</f>
        <v>114999</v>
      </c>
      <c r="I8" s="26">
        <f>H8+I7</f>
        <v>105936</v>
      </c>
      <c r="J8" s="26">
        <f>I8+J7</f>
        <v>96873</v>
      </c>
      <c r="K8" s="26">
        <f>J8+K7</f>
        <v>50873</v>
      </c>
      <c r="L8" s="26">
        <f>K8+L7</f>
        <v>48853</v>
      </c>
      <c r="M8" s="26">
        <f>L8+M7</f>
        <v>48273</v>
      </c>
      <c r="N8" s="26">
        <f>M8</f>
        <v>48273</v>
      </c>
    </row>
    <row r="10" ht="24" customHeight="1" spans="1:14" x14ac:dyDescent="0.25">
      <c r="A10" s="3" t="s">
        <v>159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160</v>
      </c>
      <c r="B11" s="19">
        <v>30000</v>
      </c>
    </row>
    <row r="12" spans="1:2" x14ac:dyDescent="0.25">
      <c r="A12" s="4" t="s">
        <v>161</v>
      </c>
      <c r="B12" s="18">
        <f>M8</f>
        <v>48273</v>
      </c>
    </row>
    <row r="13" spans="1:2" x14ac:dyDescent="0.25">
      <c r="A13" s="4" t="s">
        <v>162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163</v>
      </c>
      <c r="B2" s="26">
        <f>'Tuition &amp; Funding Detail'!B17</f>
        <v>184667</v>
      </c>
      <c r="C2" s="26">
        <f>'Tuition &amp; Funding Detail'!C17</f>
        <v>340512</v>
      </c>
      <c r="D2" s="26">
        <f>'Tuition &amp; Funding Detail'!D17</f>
        <v>427946</v>
      </c>
      <c r="E2" s="26">
        <f>'Tuition &amp; Funding Detail'!E17</f>
        <v>500518</v>
      </c>
      <c r="F2" s="26">
        <f>'Tuition &amp; Funding Detail'!F17</f>
        <v>516085</v>
      </c>
    </row>
    <row r="3" spans="1:6" x14ac:dyDescent="0.25">
      <c r="A3" s="4" t="s">
        <v>153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154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164</v>
      </c>
      <c r="B5" s="13">
        <v>6960</v>
      </c>
      <c r="C5" s="13">
        <v>6960</v>
      </c>
      <c r="D5" s="13">
        <v>6960</v>
      </c>
      <c r="E5" s="13">
        <v>6960</v>
      </c>
      <c r="F5" s="13">
        <v>6960</v>
      </c>
    </row>
    <row r="6" ht="24" customHeight="1" spans="1:6" x14ac:dyDescent="0.25">
      <c r="A6" s="3" t="s">
        <v>156</v>
      </c>
      <c r="B6" s="27">
        <f>SUM(B3:B5)</f>
        <v>166394</v>
      </c>
      <c r="C6" s="27">
        <f>SUM(C3:C5)</f>
        <v>208848</v>
      </c>
      <c r="D6" s="27">
        <f>SUM(D3:D5)</f>
        <v>218147</v>
      </c>
      <c r="E6" s="27">
        <f>SUM(E3:E5)</f>
        <v>226927</v>
      </c>
      <c r="F6" s="27">
        <f>SUM(F3:F5)</f>
        <v>233370</v>
      </c>
    </row>
    <row r="7" spans="1:6" x14ac:dyDescent="0.25">
      <c r="A7" s="5" t="s">
        <v>165</v>
      </c>
      <c r="B7" s="28">
        <f>B2-B6</f>
        <v>18273</v>
      </c>
      <c r="C7" s="28">
        <f>C2-C6</f>
        <v>131665</v>
      </c>
      <c r="D7" s="28">
        <f>D2-D6</f>
        <v>209800</v>
      </c>
      <c r="E7" s="28">
        <f>E2-E6</f>
        <v>273591</v>
      </c>
      <c r="F7" s="28">
        <f>F2-F6</f>
        <v>282716</v>
      </c>
    </row>
    <row r="8" spans="1:6" x14ac:dyDescent="0.25">
      <c r="A8" s="4" t="s">
        <v>166</v>
      </c>
      <c r="B8" s="12">
        <f>IF(B2=0,0,B7/B2)</f>
        <v>0.1</v>
      </c>
      <c r="C8" s="12">
        <f>IF(C2=0,0,C7/C2)</f>
        <v>0.39</v>
      </c>
      <c r="D8" s="12">
        <f>IF(D2=0,0,D7/D2)</f>
        <v>0.49</v>
      </c>
      <c r="E8" s="12">
        <f>IF(E2=0,0,E7/E2)</f>
        <v>0.55</v>
      </c>
      <c r="F8" s="12">
        <f>IF(F2=0,0,F7/F2)</f>
        <v>0.55</v>
      </c>
    </row>
    <row r="9" spans="1:6" x14ac:dyDescent="0.25">
      <c r="A9" s="5" t="s">
        <v>167</v>
      </c>
      <c r="B9" s="26">
        <f>B7</f>
        <v>18273</v>
      </c>
      <c r="C9" s="26">
        <f>B9+C7</f>
        <v>149938</v>
      </c>
      <c r="D9" s="26">
        <f>C9+D7</f>
        <v>359738</v>
      </c>
      <c r="E9" s="26">
        <f>D9+E7</f>
        <v>633329</v>
      </c>
      <c r="F9" s="26">
        <f>E9+F7</f>
        <v>916045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168</v>
      </c>
      <c r="B2" s="3"/>
      <c r="C2" s="3"/>
      <c r="D2" s="3"/>
      <c r="E2" s="3"/>
      <c r="F2" s="3"/>
    </row>
    <row r="3" spans="1:6" x14ac:dyDescent="0.25">
      <c r="A3" s="4" t="s">
        <v>169</v>
      </c>
      <c r="B3" s="13">
        <v>48273</v>
      </c>
      <c r="C3" s="13">
        <v>179938</v>
      </c>
      <c r="D3" s="13">
        <v>389738</v>
      </c>
      <c r="E3" s="13">
        <v>663329</v>
      </c>
      <c r="F3" s="13">
        <v>946045</v>
      </c>
    </row>
    <row r="4" spans="1:6" x14ac:dyDescent="0.25">
      <c r="A4" s="4" t="s">
        <v>170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171</v>
      </c>
      <c r="B5" s="14">
        <f>SUM(B3:B4)</f>
        <v>48273</v>
      </c>
      <c r="C5" s="14">
        <f>SUM(C3:C4)</f>
        <v>179938</v>
      </c>
      <c r="D5" s="14">
        <f>SUM(D3:D4)</f>
        <v>389738</v>
      </c>
      <c r="E5" s="14">
        <f>SUM(E3:E4)</f>
        <v>663329</v>
      </c>
      <c r="F5" s="14">
        <f>SUM(F3:F4)</f>
        <v>946045</v>
      </c>
    </row>
    <row r="7" ht="24" customHeight="1" spans="1:6" x14ac:dyDescent="0.25">
      <c r="A7" s="3" t="s">
        <v>172</v>
      </c>
      <c r="B7" s="3"/>
      <c r="C7" s="3"/>
      <c r="D7" s="3"/>
      <c r="E7" s="3"/>
      <c r="F7" s="3"/>
    </row>
    <row r="8" spans="1:6" x14ac:dyDescent="0.25">
      <c r="A8" s="4" t="s">
        <v>173</v>
      </c>
      <c r="B8" s="13">
        <v>24840</v>
      </c>
      <c r="C8" s="13">
        <v>19371</v>
      </c>
      <c r="D8" s="13">
        <v>13573</v>
      </c>
      <c r="E8" s="13">
        <v>7428</v>
      </c>
      <c r="F8" s="13">
        <v>914</v>
      </c>
    </row>
    <row r="9" spans="1:6" x14ac:dyDescent="0.25">
      <c r="A9" s="4" t="s">
        <v>174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175</v>
      </c>
      <c r="B10" s="14">
        <f>SUM(B8:B9)</f>
        <v>24840</v>
      </c>
      <c r="C10" s="14">
        <f>SUM(C8:C9)</f>
        <v>19371</v>
      </c>
      <c r="D10" s="14">
        <f>SUM(D8:D9)</f>
        <v>13573</v>
      </c>
      <c r="E10" s="14">
        <f>SUM(E8:E9)</f>
        <v>7428</v>
      </c>
      <c r="F10" s="14">
        <f>SUM(F8:F9)</f>
        <v>914</v>
      </c>
    </row>
    <row r="12" ht="24" customHeight="1" spans="1:6" x14ac:dyDescent="0.25">
      <c r="A12" s="3" t="s">
        <v>176</v>
      </c>
      <c r="B12" s="3"/>
      <c r="C12" s="3"/>
      <c r="D12" s="3"/>
      <c r="E12" s="3"/>
      <c r="F12" s="3"/>
    </row>
    <row r="13" spans="1:6" x14ac:dyDescent="0.25">
      <c r="A13" s="4" t="s">
        <v>177</v>
      </c>
      <c r="B13" s="13">
        <v>0</v>
      </c>
      <c r="C13" s="13">
        <v>23433</v>
      </c>
      <c r="D13" s="13">
        <v>160567</v>
      </c>
      <c r="E13" s="13">
        <v>376165</v>
      </c>
      <c r="F13" s="13">
        <v>655901</v>
      </c>
    </row>
    <row r="14" spans="1:6" x14ac:dyDescent="0.25">
      <c r="A14" s="4" t="s">
        <v>178</v>
      </c>
      <c r="B14" s="13">
        <v>23433</v>
      </c>
      <c r="C14" s="13">
        <v>137134</v>
      </c>
      <c r="D14" s="13">
        <v>215598</v>
      </c>
      <c r="E14" s="13">
        <v>279736</v>
      </c>
      <c r="F14" s="13">
        <v>289230</v>
      </c>
    </row>
    <row r="15" ht="24" customHeight="1" spans="1:6" x14ac:dyDescent="0.25">
      <c r="A15" s="3" t="s">
        <v>179</v>
      </c>
      <c r="B15" s="14">
        <f>B5-B10</f>
        <v>23433</v>
      </c>
      <c r="C15" s="14">
        <f>C5-C10</f>
        <v>160567</v>
      </c>
      <c r="D15" s="14">
        <f>D5-D10</f>
        <v>376165</v>
      </c>
      <c r="E15" s="14">
        <f>E5-E10</f>
        <v>655901</v>
      </c>
      <c r="F15" s="14">
        <f>F5-F10</f>
        <v>945131</v>
      </c>
    </row>
    <row r="17" spans="1:6" x14ac:dyDescent="0.25">
      <c r="A17" s="5" t="s">
        <v>180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25233</v>
      </c>
      <c r="C3" s="13">
        <v>138624</v>
      </c>
      <c r="D3" s="13">
        <v>216759</v>
      </c>
      <c r="E3" s="13">
        <v>280551</v>
      </c>
      <c r="F3" s="13">
        <v>289675</v>
      </c>
    </row>
    <row r="4" spans="1:6" x14ac:dyDescent="0.25">
      <c r="A4" s="4" t="s">
        <v>135</v>
      </c>
      <c r="B4" s="13">
        <v>6960</v>
      </c>
      <c r="C4" s="13">
        <v>6960</v>
      </c>
      <c r="D4" s="13">
        <v>6960</v>
      </c>
      <c r="E4" s="13">
        <v>6960</v>
      </c>
      <c r="F4" s="13">
        <v>6960</v>
      </c>
    </row>
    <row r="5" spans="1:6" x14ac:dyDescent="0.25">
      <c r="A5" s="5" t="s">
        <v>183</v>
      </c>
      <c r="B5" s="29">
        <f>IF(B4=0,"N/A",B3/B4)</f>
        <v>3.63</v>
      </c>
      <c r="C5" s="29">
        <f>IF(C4=0,"N/A",C3/C4)</f>
        <v>19.92</v>
      </c>
      <c r="D5" s="29">
        <f>IF(D4=0,"N/A",D3/D4)</f>
        <v>31.14</v>
      </c>
      <c r="E5" s="29">
        <f>IF(E4=0,"N/A",E3/E4)</f>
        <v>40.31</v>
      </c>
      <c r="F5" s="29">
        <f>IF(F4=0,"N/A",F3/F4)</f>
        <v>41.62</v>
      </c>
    </row>
    <row r="7" ht="24" customHeight="1" spans="1:6" x14ac:dyDescent="0.25">
      <c r="A7" s="3" t="s">
        <v>184</v>
      </c>
      <c r="B7" s="3"/>
      <c r="C7" s="3"/>
      <c r="D7" s="3"/>
      <c r="E7" s="3"/>
      <c r="F7" s="3"/>
    </row>
    <row r="8" spans="1:6" x14ac:dyDescent="0.25">
      <c r="A8" s="4" t="s">
        <v>185</v>
      </c>
      <c r="B8" s="13">
        <v>48273</v>
      </c>
      <c r="C8" s="13">
        <v>179938</v>
      </c>
      <c r="D8" s="13">
        <v>389738</v>
      </c>
      <c r="E8" s="13">
        <v>663329</v>
      </c>
      <c r="F8" s="13">
        <v>946045</v>
      </c>
    </row>
    <row r="9" spans="1:6" x14ac:dyDescent="0.25">
      <c r="A9" s="4" t="s">
        <v>186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187</v>
      </c>
      <c r="B10" s="30">
        <f>IF(B9=0,0,B8/B9)</f>
        <v>3.63</v>
      </c>
      <c r="C10" s="30">
        <f>IF(C9=0,0,C8/C9)</f>
        <v>10.7</v>
      </c>
      <c r="D10" s="30">
        <f>IF(D9=0,0,D8/D9)</f>
        <v>22.15</v>
      </c>
      <c r="E10" s="30">
        <f>IF(E9=0,0,E8/E9)</f>
        <v>36.19</v>
      </c>
      <c r="F10" s="30">
        <f>IF(F9=0,0,F8/F9)</f>
        <v>50.14</v>
      </c>
    </row>
    <row r="11" spans="1:6" x14ac:dyDescent="0.25">
      <c r="A11" s="4" t="s">
        <v>188</v>
      </c>
      <c r="B11" s="31">
        <v>111</v>
      </c>
      <c r="C11" s="31">
        <v>325</v>
      </c>
      <c r="D11" s="31">
        <v>674</v>
      </c>
      <c r="E11" s="31">
        <v>1101</v>
      </c>
      <c r="F11" s="31">
        <v>1525</v>
      </c>
    </row>
    <row r="13" ht="24" customHeight="1" spans="1:6" x14ac:dyDescent="0.25">
      <c r="A13" s="3" t="s">
        <v>189</v>
      </c>
      <c r="B13" s="3"/>
      <c r="C13" s="3"/>
      <c r="D13" s="3"/>
      <c r="E13" s="3"/>
      <c r="F13" s="3"/>
    </row>
    <row r="14" spans="1:6" x14ac:dyDescent="0.25">
      <c r="A14" s="4" t="s">
        <v>190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191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192</v>
      </c>
      <c r="B16" s="32" t="s">
        <v>193</v>
      </c>
      <c r="C16" s="32" t="s">
        <v>193</v>
      </c>
      <c r="D16" s="32" t="s">
        <v>193</v>
      </c>
      <c r="E16" s="32" t="s">
        <v>193</v>
      </c>
      <c r="F16" s="32" t="s">
        <v>193</v>
      </c>
    </row>
    <row r="17" spans="1:6" x14ac:dyDescent="0.25">
      <c r="A17" s="4" t="s">
        <v>194</v>
      </c>
      <c r="B17" s="33" t="s">
        <v>195</v>
      </c>
      <c r="C17" s="32" t="s">
        <v>193</v>
      </c>
      <c r="D17" s="32" t="s">
        <v>193</v>
      </c>
      <c r="E17" s="32" t="s">
        <v>193</v>
      </c>
      <c r="F17" s="32" t="s">
        <v>193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196</v>
      </c>
      <c r="B1" s="34"/>
      <c r="C1" s="34"/>
    </row>
    <row r="2" spans="1:3" x14ac:dyDescent="0.25">
      <c r="A2" s="35" t="s">
        <v>197</v>
      </c>
      <c r="B2" s="35"/>
      <c r="C2" s="35"/>
    </row>
    <row r="4" ht="24" customHeight="1" spans="1:3" x14ac:dyDescent="0.25">
      <c r="A4" s="3" t="s">
        <v>198</v>
      </c>
      <c r="B4" s="3"/>
      <c r="C4" s="3"/>
    </row>
    <row r="5" spans="1:3" x14ac:dyDescent="0.25">
      <c r="A5" s="4" t="s">
        <v>199</v>
      </c>
      <c r="B5" s="32" t="s">
        <v>193</v>
      </c>
      <c r="C5" s="4" t="s">
        <v>200</v>
      </c>
    </row>
    <row r="6" spans="1:3" x14ac:dyDescent="0.25">
      <c r="A6" s="4" t="s">
        <v>201</v>
      </c>
      <c r="B6" s="32" t="s">
        <v>193</v>
      </c>
      <c r="C6" s="4" t="s">
        <v>202</v>
      </c>
    </row>
    <row r="7" spans="1:3" x14ac:dyDescent="0.25">
      <c r="A7" s="4" t="s">
        <v>203</v>
      </c>
      <c r="B7" s="32" t="s">
        <v>193</v>
      </c>
      <c r="C7" s="4" t="s">
        <v>204</v>
      </c>
    </row>
    <row r="8" spans="1:3" x14ac:dyDescent="0.25">
      <c r="A8" s="4" t="s">
        <v>205</v>
      </c>
      <c r="B8" s="32" t="s">
        <v>193</v>
      </c>
      <c r="C8" s="4" t="s">
        <v>34</v>
      </c>
    </row>
    <row r="9" spans="1:3" x14ac:dyDescent="0.25">
      <c r="A9" s="4" t="s">
        <v>206</v>
      </c>
      <c r="B9" s="33" t="s">
        <v>195</v>
      </c>
      <c r="C9" s="4" t="s">
        <v>207</v>
      </c>
    </row>
    <row r="10" spans="1:3" x14ac:dyDescent="0.25">
      <c r="A10" s="4" t="s">
        <v>208</v>
      </c>
      <c r="B10" s="32" t="s">
        <v>193</v>
      </c>
      <c r="C10" s="4" t="s">
        <v>204</v>
      </c>
    </row>
    <row r="12" ht="24" customHeight="1" spans="1:3" x14ac:dyDescent="0.25">
      <c r="A12" s="3" t="s">
        <v>209</v>
      </c>
      <c r="B12" s="3"/>
      <c r="C12" s="3"/>
    </row>
    <row r="13" spans="1:2" x14ac:dyDescent="0.25">
      <c r="A13" s="4" t="s">
        <v>210</v>
      </c>
      <c r="B13" s="5" t="s">
        <v>211</v>
      </c>
    </row>
    <row r="14" spans="1:2" x14ac:dyDescent="0.25">
      <c r="A14" s="4" t="s">
        <v>212</v>
      </c>
      <c r="B14" s="36" t="s">
        <v>213</v>
      </c>
    </row>
    <row r="16" ht="24" customHeight="1" spans="1:3" x14ac:dyDescent="0.25">
      <c r="A16" s="3" t="s">
        <v>214</v>
      </c>
      <c r="B16" s="3"/>
      <c r="C16" s="3"/>
    </row>
    <row r="17" spans="1:2" x14ac:dyDescent="0.25">
      <c r="A17" s="4" t="s">
        <v>215</v>
      </c>
      <c r="B17" s="18">
        <v>184667</v>
      </c>
    </row>
    <row r="18" spans="1:2" x14ac:dyDescent="0.25">
      <c r="A18" s="4" t="s">
        <v>216</v>
      </c>
      <c r="B18" s="18">
        <v>166394</v>
      </c>
    </row>
    <row r="19" spans="1:2" x14ac:dyDescent="0.25">
      <c r="A19" s="4" t="s">
        <v>217</v>
      </c>
      <c r="B19" s="18">
        <v>18273</v>
      </c>
    </row>
    <row r="20" spans="1:2" x14ac:dyDescent="0.25">
      <c r="A20" s="4" t="s">
        <v>218</v>
      </c>
      <c r="B20" s="37">
        <v>0.09895108492583948</v>
      </c>
    </row>
    <row r="21" spans="1:2" x14ac:dyDescent="0.25">
      <c r="A21" s="4" t="s">
        <v>160</v>
      </c>
      <c r="B21" s="18">
        <v>30000</v>
      </c>
    </row>
    <row r="22" spans="1:2" x14ac:dyDescent="0.25">
      <c r="A22" s="4" t="s">
        <v>219</v>
      </c>
      <c r="B22" s="18">
        <v>48273</v>
      </c>
    </row>
    <row r="23" spans="1:2" x14ac:dyDescent="0.25">
      <c r="A23" s="4" t="s">
        <v>220</v>
      </c>
      <c r="B23" s="18">
        <v>30000</v>
      </c>
    </row>
    <row r="24" spans="1:2" x14ac:dyDescent="0.25">
      <c r="A24" s="4" t="s">
        <v>221</v>
      </c>
      <c r="B24" s="5" t="s">
        <v>200</v>
      </c>
    </row>
    <row r="25" spans="1:2" x14ac:dyDescent="0.25">
      <c r="A25" s="4" t="s">
        <v>222</v>
      </c>
      <c r="B25" s="5" t="s">
        <v>223</v>
      </c>
    </row>
    <row r="26" spans="1:2" x14ac:dyDescent="0.25">
      <c r="A26" s="4" t="s">
        <v>224</v>
      </c>
      <c r="B26" s="5" t="s">
        <v>34</v>
      </c>
    </row>
    <row r="27" spans="1:2" x14ac:dyDescent="0.25">
      <c r="A27" s="4" t="s">
        <v>225</v>
      </c>
      <c r="B27" s="18">
        <v>15389</v>
      </c>
    </row>
    <row r="28" spans="1:2" x14ac:dyDescent="0.25">
      <c r="A28" s="4" t="s">
        <v>226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227</v>
      </c>
      <c r="B2" s="38"/>
      <c r="C2" s="38"/>
      <c r="D2" s="38"/>
      <c r="E2" s="38"/>
      <c r="F2" s="38"/>
    </row>
    <row r="3" ht="18" customHeight="1" spans="1:6" x14ac:dyDescent="0.25">
      <c r="A3" s="39" t="s">
        <v>228</v>
      </c>
      <c r="B3" s="39"/>
      <c r="C3" s="39"/>
      <c r="D3" s="39"/>
      <c r="E3" s="39"/>
      <c r="F3" s="39"/>
    </row>
    <row r="4" ht="16" customHeight="1" spans="1:6" x14ac:dyDescent="0.25">
      <c r="A4" s="40" t="s">
        <v>229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12</v>
      </c>
      <c r="C7" s="31">
        <f>Assumptions!$C$17</f>
        <v>18</v>
      </c>
      <c r="D7" s="31">
        <f>Assumptions!$D$17</f>
        <v>22</v>
      </c>
      <c r="E7" s="31">
        <f>Assumptions!$E$17</f>
        <v>25</v>
      </c>
      <c r="F7" s="31">
        <f>Assumptions!$F$17</f>
        <v>25</v>
      </c>
    </row>
    <row r="8" spans="1:6" x14ac:dyDescent="0.25">
      <c r="A8" s="5" t="s">
        <v>163</v>
      </c>
      <c r="B8" s="26">
        <f>'5-Year P&amp;L'!B2</f>
        <v>184667</v>
      </c>
      <c r="C8" s="26">
        <f>'5-Year P&amp;L'!C2</f>
        <v>340512</v>
      </c>
      <c r="D8" s="26">
        <f>'5-Year P&amp;L'!D2</f>
        <v>427946</v>
      </c>
      <c r="E8" s="26">
        <f>'5-Year P&amp;L'!E2</f>
        <v>500518</v>
      </c>
      <c r="F8" s="26">
        <f>'5-Year P&amp;L'!F2</f>
        <v>516085</v>
      </c>
    </row>
    <row r="9" spans="1:6" x14ac:dyDescent="0.25">
      <c r="A9" s="4" t="s">
        <v>156</v>
      </c>
      <c r="B9" s="13">
        <f>'5-Year P&amp;L'!B6</f>
        <v>166394</v>
      </c>
      <c r="C9" s="13">
        <f>'5-Year P&amp;L'!C6</f>
        <v>208848</v>
      </c>
      <c r="D9" s="13">
        <f>'5-Year P&amp;L'!D6</f>
        <v>218147</v>
      </c>
      <c r="E9" s="13">
        <f>'5-Year P&amp;L'!E6</f>
        <v>226927</v>
      </c>
      <c r="F9" s="13">
        <f>'5-Year P&amp;L'!F6</f>
        <v>233370</v>
      </c>
    </row>
    <row r="10" ht="24" customHeight="1" spans="1:6" x14ac:dyDescent="0.25">
      <c r="A10" s="3" t="s">
        <v>165</v>
      </c>
      <c r="B10" s="22">
        <f>'5-Year P&amp;L'!B7</f>
        <v>18273</v>
      </c>
      <c r="C10" s="22">
        <f>'5-Year P&amp;L'!C7</f>
        <v>131665</v>
      </c>
      <c r="D10" s="22">
        <f>'5-Year P&amp;L'!D7</f>
        <v>209800</v>
      </c>
      <c r="E10" s="22">
        <f>'5-Year P&amp;L'!E7</f>
        <v>273591</v>
      </c>
      <c r="F10" s="22">
        <f>'5-Year P&amp;L'!F7</f>
        <v>282716</v>
      </c>
    </row>
    <row r="11" spans="1:6" x14ac:dyDescent="0.25">
      <c r="A11" s="4" t="s">
        <v>166</v>
      </c>
      <c r="B11" s="12">
        <f>IF(B8=0,0,B10/B8)</f>
        <v>0.1</v>
      </c>
      <c r="C11" s="12">
        <f>IF(C8=0,0,C10/C8)</f>
        <v>0.39</v>
      </c>
      <c r="D11" s="12">
        <f>IF(D8=0,0,D10/D8)</f>
        <v>0.49</v>
      </c>
      <c r="E11" s="12">
        <f>IF(E8=0,0,E10/E8)</f>
        <v>0.55</v>
      </c>
      <c r="F11" s="12">
        <f>IF(F8=0,0,F10/F8)</f>
        <v>0.55</v>
      </c>
    </row>
    <row r="12" spans="1:6" x14ac:dyDescent="0.25">
      <c r="A12" s="5" t="s">
        <v>167</v>
      </c>
      <c r="B12" s="26">
        <f>B10</f>
        <v>18273</v>
      </c>
      <c r="C12" s="26">
        <f>B12+C10</f>
        <v>149938</v>
      </c>
      <c r="D12" s="26">
        <f>C12+D10</f>
        <v>359738</v>
      </c>
      <c r="E12" s="26">
        <f>D12+E10</f>
        <v>633329</v>
      </c>
      <c r="F12" s="26">
        <f>E12+F10</f>
        <v>916045</v>
      </c>
    </row>
    <row r="13" spans="1:6" x14ac:dyDescent="0.25">
      <c r="A13" s="5" t="s">
        <v>230</v>
      </c>
      <c r="B13" s="26">
        <v>48273</v>
      </c>
      <c r="C13" s="26">
        <v>179938</v>
      </c>
      <c r="D13" s="26">
        <v>389738</v>
      </c>
      <c r="E13" s="26">
        <v>663329</v>
      </c>
      <c r="F13" s="26">
        <v>946045</v>
      </c>
    </row>
    <row r="14" spans="1:6" x14ac:dyDescent="0.25">
      <c r="A14" s="4" t="s">
        <v>231</v>
      </c>
      <c r="B14" s="13">
        <v>15389</v>
      </c>
      <c r="C14" s="13">
        <v>18917</v>
      </c>
      <c r="D14" s="13">
        <v>19452</v>
      </c>
      <c r="E14" s="13">
        <v>20021</v>
      </c>
      <c r="F14" s="13">
        <v>20643</v>
      </c>
    </row>
    <row r="15" spans="1:6" x14ac:dyDescent="0.25">
      <c r="A15" s="4" t="s">
        <v>109</v>
      </c>
      <c r="B15" s="13">
        <v>13866</v>
      </c>
      <c r="C15" s="13">
        <v>11603</v>
      </c>
      <c r="D15" s="13">
        <v>9916</v>
      </c>
      <c r="E15" s="13">
        <v>9077</v>
      </c>
      <c r="F15" s="13">
        <v>9335</v>
      </c>
    </row>
    <row r="16" spans="1:6" x14ac:dyDescent="0.25">
      <c r="A16" s="5" t="s">
        <v>183</v>
      </c>
      <c r="B16" s="29">
        <v>3.63</v>
      </c>
      <c r="C16" s="29">
        <v>19.92</v>
      </c>
      <c r="D16" s="29">
        <v>31.14</v>
      </c>
      <c r="E16" s="29">
        <v>40.31</v>
      </c>
      <c r="F16" s="29">
        <v>41.62</v>
      </c>
    </row>
    <row r="18" spans="1:6" x14ac:dyDescent="0.25">
      <c r="A18" s="40" t="s">
        <v>232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233</v>
      </c>
      <c r="C3" s="41"/>
    </row>
    <row r="4" ht="28" customHeight="1" spans="2:3" x14ac:dyDescent="0.25">
      <c r="B4" s="42" t="s">
        <v>234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235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236</v>
      </c>
      <c r="C10" s="46"/>
    </row>
    <row r="12" spans="2:3" x14ac:dyDescent="0.25">
      <c r="B12" s="44" t="s">
        <v>237</v>
      </c>
      <c r="C12" s="47" t="s">
        <v>238</v>
      </c>
    </row>
    <row r="15" ht="24" customHeight="1" spans="1:3" x14ac:dyDescent="0.25">
      <c r="A15" s="3"/>
      <c r="B15" s="3" t="s">
        <v>239</v>
      </c>
      <c r="C15" s="3"/>
    </row>
    <row r="16" spans="2:3" x14ac:dyDescent="0.25">
      <c r="B16" s="11" t="s">
        <v>240</v>
      </c>
      <c r="C16" s="26">
        <v>516085</v>
      </c>
    </row>
    <row r="17" spans="2:3" x14ac:dyDescent="0.25">
      <c r="B17" s="11" t="s">
        <v>241</v>
      </c>
      <c r="C17" s="26">
        <v>282716</v>
      </c>
    </row>
    <row r="18" spans="2:3" x14ac:dyDescent="0.25">
      <c r="B18" s="11" t="s">
        <v>185</v>
      </c>
      <c r="C18" s="26">
        <v>916045</v>
      </c>
    </row>
    <row r="19" spans="2:3" x14ac:dyDescent="0.25">
      <c r="B19" s="11" t="s">
        <v>212</v>
      </c>
      <c r="C19" s="48" t="s">
        <v>242</v>
      </c>
    </row>
    <row r="22" ht="24" customHeight="1" spans="1:3" x14ac:dyDescent="0.25">
      <c r="A22" s="3"/>
      <c r="B22" s="3" t="s">
        <v>243</v>
      </c>
      <c r="C22" s="3"/>
    </row>
    <row r="23" spans="2:3" x14ac:dyDescent="0.25">
      <c r="B23" s="49" t="s">
        <v>244</v>
      </c>
      <c r="C23" s="50"/>
    </row>
    <row r="24" spans="2:3" x14ac:dyDescent="0.25">
      <c r="B24" s="49" t="s">
        <v>245</v>
      </c>
      <c r="C24" s="50"/>
    </row>
    <row r="25" spans="2:3" x14ac:dyDescent="0.25">
      <c r="B25" s="49" t="s">
        <v>246</v>
      </c>
      <c r="C25" s="50"/>
    </row>
    <row r="26" spans="2:3" x14ac:dyDescent="0.25">
      <c r="B26" s="49" t="s">
        <v>247</v>
      </c>
      <c r="C26" s="50"/>
    </row>
    <row r="27" spans="2:3" x14ac:dyDescent="0.25">
      <c r="B27" s="49" t="s">
        <v>154</v>
      </c>
      <c r="C27" s="50"/>
    </row>
    <row r="28" spans="2:3" x14ac:dyDescent="0.25">
      <c r="B28" s="49" t="s">
        <v>248</v>
      </c>
      <c r="C28" s="50"/>
    </row>
    <row r="29" spans="2:3" x14ac:dyDescent="0.25">
      <c r="B29" s="49" t="s">
        <v>249</v>
      </c>
      <c r="C29" s="50"/>
    </row>
    <row r="30" spans="2:3" x14ac:dyDescent="0.25">
      <c r="B30" s="49" t="s">
        <v>250</v>
      </c>
      <c r="C30" s="50"/>
    </row>
    <row r="31" spans="2:3" x14ac:dyDescent="0.25">
      <c r="B31" s="49" t="s">
        <v>251</v>
      </c>
      <c r="C31" s="50"/>
    </row>
    <row r="32" spans="2:3" x14ac:dyDescent="0.25">
      <c r="B32" s="49" t="s">
        <v>252</v>
      </c>
      <c r="C32" s="50"/>
    </row>
    <row r="33" spans="2:3" x14ac:dyDescent="0.25">
      <c r="B33" s="49" t="s">
        <v>253</v>
      </c>
      <c r="C33" s="50"/>
    </row>
    <row r="34" spans="2:3" x14ac:dyDescent="0.25">
      <c r="B34" s="49" t="s">
        <v>254</v>
      </c>
      <c r="C34" s="50"/>
    </row>
    <row r="35" spans="2:3" x14ac:dyDescent="0.25">
      <c r="B35" s="49" t="s">
        <v>255</v>
      </c>
      <c r="C35" s="50"/>
    </row>
    <row r="36" spans="2:3" x14ac:dyDescent="0.25">
      <c r="B36" s="49" t="s">
        <v>256</v>
      </c>
      <c r="C36" s="50"/>
    </row>
    <row r="39" spans="2:3" x14ac:dyDescent="0.25">
      <c r="B39" s="40" t="s">
        <v>232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2026-03-18T05:12:37Z</dcterms:created>
  <dcterms:modified xsi:type="dcterms:W3CDTF">2026-03-18T05:12:37Z</dcterms:modified>
</cp:coreProperties>
</file>