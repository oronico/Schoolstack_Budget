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<sst xmlns="http://schemas.openxmlformats.org/spreadsheetml/2006/main" count="442" uniqueCount="317">
  <si>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</si>
  <si>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</si>
  <si>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</si>
  <si>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</si>
  <si>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</si>
  <si>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</si>
  <si>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</si>
  <si>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</si>
  <si>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</si>
  <si>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</si>
  <si>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</si>
  <si>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</si>
  <si>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</si>
  <si>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</si>
  <si>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</si>
  <si>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</si>
  <si>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</si>
  <si>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</si>
  <si>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</si>
  <si>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</si>
  <si>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</si>
  <si>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</si>
  <si>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</si>
  <si>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</si>
  <si>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</si>
  <si>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</si>
  <si>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</si>
  <si>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</si>
  <si>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</si>
  <si>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</si>
  <si>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</si>
  <si>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</si>
  <si>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</si>
  <si>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</si>
  <si>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</si>
  <si>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</si>
  <si>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</si>
  <si>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</si>
  <si>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</si>
  <si>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</si>
  <si>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</si>
  <si>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</si>
  <si>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</si>
  <si>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</si>
  <si>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</si>
  <si>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</si>
  <si>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</si>
  <si>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</si>
  <si>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</si>
  <si>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</si>
  <si>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</si>
  <si>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</si>
  <si>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</si>
  <si>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</si>
  <si>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</si>
  <si>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</si>
  <si>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</si>
  <si>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</si>
  <si>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</si>
  <si>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</si>
  <si>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</si>
  <si>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</si>
  <si>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</si>
  <si>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</si>
  <si>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</si>
  <si>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</si>
  <si>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</si>
  <si>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</si>
  <si>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</si>
  <si>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</si>
  <si>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</si>
  <si>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</si>
  <si>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</si>
  <si>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</si>
  <si>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</si>
  <si>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</si>
  <si>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</si>
  <si>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</si>
  <si>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</si>
  <si>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</si>
  <si>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</si>
  <si>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</si>
  <si>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</si>
  <si>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</si>
  <si>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</si>
  <si>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</si>
  <si>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</si>
  <si>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</si>
  <si>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</si>
  <si>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</si>
  <si>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</si>
  <si>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</si>
  <si>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</si>
  <si>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</si>
  <si>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</si>
  <si>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</si>
  <si>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</si>
  <si>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</si>
  <si>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</si>
  <si>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</si>
  <si>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</si>
  <si>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</si>
  <si>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</si>
  <si>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</si>
  <si>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</si>
  <si>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</si>
  <si>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</si>
  <si>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</si>
  <si>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</si>
  <si>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</si>
  <si>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</si>
  <si>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</si>
  <si>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</si>
  <si>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</si>
  <si>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</si>
  <si>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</si>
  <si>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</si>
  <si>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</si>
  <si>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</si>
  <si>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</si>
  <si>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</si>
  <si>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</si>
  <si>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</si>
  <si>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</si>
  <si>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</si>
  <si>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</si>
  <si>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</si>
  <si>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</si>
  <si>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</si>
  <si>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</si>
  <si>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</si>
  <si>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</si>
  <si>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</si>
  <si>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</si>
  <si>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</si>
  <si>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</si>
  <si>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</si>
  <si>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</si>
  <si>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</si>
  <si>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</si>
  <si>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</si>
  <si>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</si>
  <si>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</si>
  <si>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</si>
  <si>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</si>
  <si>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</si>
  <si>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</si>
  <si>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</si>
  <si>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</si>
  <si>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</si>
  <si>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</si>
  <si>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</si>
  <si>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</si>
  <si>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</si>
  <si>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</si>
  <si>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</si>
  <si>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</si>
  <si>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</si>
  <si>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</si>
  <si>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</si>
  <si>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</si>
  <si>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</si>
  <si>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</si>
  <si>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</si>
  <si>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</si>
  <si>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</si>
  <si>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</si>
  <si>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</si>
  <si>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</si>
  <si>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</si>
  <si>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</si>
  <si>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</si>
  <si>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</si>
  <si>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</si>
  <si>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</si>
  <si>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</si>
  <si>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</si>
  <si>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</si>
  <si>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</si>
  <si>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</si>
  <si>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</si>
  <si>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</si>
  <si>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</si>
  <si>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</si>
  <si>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</si>
  <si>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</si>
  <si>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</si>
  <si>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</si>
  <si>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</si>
  <si>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</si>
  <si>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</si>
  <si>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</si>
  <si>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</si>
  <si>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</si>
  <si>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</si>
  <si>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</si>
  <si>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</si>
  <si>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</si>
  <si>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</si>
  <si>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</si>
  <si>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</si>
  <si>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</si>
  <si>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1.25x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</si>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</sst>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IF(B5&gt;=1.25,"PASS","FAIL")</f>
        <v>PASS</v>
      </c>
      <c r="C14" s="35" t="str">
        <f>IF(C5&gt;=1.25,"PASS","FAIL")</f>
        <v>PASS</v>
      </c>
      <c r="D14" s="35" t="str">
        <f>IF(D5&gt;=1.25,"PASS","FAIL")</f>
        <v>PASS</v>
      </c>
      <c r="E14" s="35" t="str">
        <f>IF(E5&gt;=1.25,"PASS","FAIL")</f>
        <v>PASS</v>
      </c>
      <c r="F14" s="35" t="str">
        <f>IF(F5&gt;=1.25,"PASS","FAIL")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7" x14ac:dyDescent="0.25">
      <c r="B16" s="61" t="s">
        <v>110</v>
      </c>
      <c r="C16" s="66">
        <v>13866.166666666666</v>
      </c>
      <c r="D16" s="66">
        <v>11602.666666666666</v>
      </c>
      <c r="E16" s="66">
        <v>9915.772727272728</v>
      </c>
      <c r="F16" s="66">
        <v>9077.08</v>
      </c>
      <c r="G16" s="66">
        <v>9334.8</v>
      </c>
    </row>
    <row r="17" spans="2:7" x14ac:dyDescent="0.25">
      <c r="B17" s="13" t="s">
        <v>272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273</v>
      </c>
      <c r="C18" s="67">
        <v>3000</v>
      </c>
      <c r="D18" s="67">
        <v>2058.3333333333335</v>
      </c>
      <c r="E18" s="64">
        <v>1733.215909090909</v>
      </c>
      <c r="F18" s="64">
        <v>1569.72615</v>
      </c>
      <c r="G18" s="64">
        <v>1615.5256657500001</v>
      </c>
      <c r="H18" s="65" t="s">
        <v>274</v>
      </c>
    </row>
    <row r="19" spans="2:7" x14ac:dyDescent="0.25">
      <c r="B19" s="61" t="s">
        <v>275</v>
      </c>
      <c r="C19" s="68">
        <v>1522.75</v>
      </c>
      <c r="D19" s="68">
        <v>7314.722222222223</v>
      </c>
      <c r="E19" s="68">
        <v>9536.363636363636</v>
      </c>
      <c r="F19" s="68">
        <v>10943.64</v>
      </c>
      <c r="G19" s="68">
        <v>11308.64</v>
      </c>
    </row>
    <row r="20" spans="2:8" x14ac:dyDescent="0.25">
      <c r="B20" s="61" t="s">
        <v>276</v>
      </c>
      <c r="C20" s="69">
        <v>0.6440457688704533</v>
      </c>
      <c r="D20" s="63">
        <v>0.43171165773893433</v>
      </c>
      <c r="E20" s="63">
        <v>0.3538133315885649</v>
      </c>
      <c r="F20" s="63">
        <v>0.31158719566529075</v>
      </c>
      <c r="G20" s="63">
        <v>0.3112549289361249</v>
      </c>
      <c r="H20" s="65" t="s">
        <v>277</v>
      </c>
    </row>
    <row r="21" spans="2:8" x14ac:dyDescent="0.25">
      <c r="B21" s="61" t="s">
        <v>278</v>
      </c>
      <c r="C21" s="69">
        <v>0.19494549648827347</v>
      </c>
      <c r="D21" s="63">
        <v>0.10880673808852552</v>
      </c>
      <c r="E21" s="63">
        <v>0.08910177919644068</v>
      </c>
      <c r="F21" s="63">
        <v>0.07840507983728856</v>
      </c>
      <c r="G21" s="63">
        <v>0.07825870088018447</v>
      </c>
      <c r="H21" s="65" t="s">
        <v>279</v>
      </c>
    </row>
    <row r="22" spans="2:8" x14ac:dyDescent="0.25">
      <c r="B22" s="61" t="s">
        <v>280</v>
      </c>
      <c r="C22" s="63">
        <v>0.13664054758023902</v>
      </c>
      <c r="D22" s="63">
        <v>0.40710459543276006</v>
      </c>
      <c r="E22" s="63">
        <v>0.5065101671706244</v>
      </c>
      <c r="F22" s="63">
        <v>0.5605212999332692</v>
      </c>
      <c r="G22" s="63">
        <v>0.5612931978259396</v>
      </c>
      <c r="H22" s="65" t="s">
        <v>281</v>
      </c>
    </row>
    <row r="23" spans="2:8" x14ac:dyDescent="0.25">
      <c r="B23" s="61" t="s">
        <v>282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283</v>
      </c>
    </row>
    <row r="24" spans="2:8" x14ac:dyDescent="0.25">
      <c r="B24" s="61" t="s">
        <v>186</v>
      </c>
      <c r="C24" s="71">
        <v>3.6254310344827587</v>
      </c>
      <c r="D24" s="71">
        <v>19.917241379310344</v>
      </c>
      <c r="E24" s="71">
        <v>31.14353448275862</v>
      </c>
      <c r="F24" s="71">
        <v>40.30905172413793</v>
      </c>
      <c r="G24" s="71">
        <v>41.61997126436781</v>
      </c>
      <c r="H24" s="65" t="s">
        <v>284</v>
      </c>
    </row>
    <row r="25" spans="2:8" x14ac:dyDescent="0.25">
      <c r="B25" s="61" t="s">
        <v>285</v>
      </c>
      <c r="C25" s="30" t="str">
        <f>IF('5-Year P&amp;L'!B9&gt;=0,"✓ Break-even","")</f>
        <v>✓ Break-even</v>
      </c>
      <c r="D25" s="72" t="str">
        <f>IF(AND('5-Year P&amp;L'!C9&gt;=0,'5-Year P&amp;L'!B9&lt;0),"✓ Break-even","")</f>
        <v>0</v>
      </c>
      <c r="E25" s="72" t="str">
        <f>IF(AND('5-Year P&amp;L'!D9&gt;=0,'5-Year P&amp;L'!C9&lt;0),"✓ Break-even","")</f>
        <v>0</v>
      </c>
      <c r="F25" s="72" t="str">
        <f>IF(AND('5-Year P&amp;L'!E9&gt;=0,'5-Year P&amp;L'!D9&lt;0),"✓ Break-even","")</f>
        <v>0</v>
      </c>
      <c r="G25" s="72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286</v>
      </c>
      <c r="C26" s="73">
        <v>3</v>
      </c>
      <c r="D26" s="73">
        <v>10</v>
      </c>
      <c r="E26" s="74">
        <v>21</v>
      </c>
      <c r="F26" s="70">
        <v>35</v>
      </c>
      <c r="G26" s="70">
        <v>49</v>
      </c>
      <c r="H26" s="65" t="s">
        <v>287</v>
      </c>
    </row>
    <row r="27" spans="2:8" x14ac:dyDescent="0.25">
      <c r="B27" s="61" t="s">
        <v>191</v>
      </c>
      <c r="C27" s="70">
        <v>106</v>
      </c>
      <c r="D27" s="70">
        <v>314</v>
      </c>
      <c r="E27" s="70">
        <v>652</v>
      </c>
      <c r="F27" s="70">
        <v>1067</v>
      </c>
      <c r="G27" s="70">
        <v>1480</v>
      </c>
      <c r="H27" s="65" t="s">
        <v>288</v>
      </c>
    </row>
    <row r="29" ht="24" customHeight="1" spans="2:8" x14ac:dyDescent="0.25">
      <c r="B29" s="5" t="s">
        <v>289</v>
      </c>
      <c r="C29" s="5" t="s">
        <v>290</v>
      </c>
      <c r="D29" s="5" t="s">
        <v>291</v>
      </c>
      <c r="E29" s="5"/>
      <c r="F29" s="5" t="s">
        <v>292</v>
      </c>
      <c r="G29" s="5"/>
      <c r="H29" s="5"/>
    </row>
    <row r="30" ht="45" customHeight="1" spans="2:8" x14ac:dyDescent="0.25">
      <c r="B30" s="75" t="s">
        <v>293</v>
      </c>
      <c r="C30" s="30" t="s">
        <v>294</v>
      </c>
      <c r="D30" s="76" t="s">
        <v>295</v>
      </c>
      <c r="E30" s="76"/>
      <c r="F30" s="77" t="s">
        <v>296</v>
      </c>
      <c r="G30" s="77"/>
      <c r="H30" s="77"/>
    </row>
    <row r="31" ht="45" customHeight="1" spans="2:8" x14ac:dyDescent="0.25">
      <c r="B31" s="75" t="s">
        <v>297</v>
      </c>
      <c r="C31" s="30" t="s">
        <v>294</v>
      </c>
      <c r="D31" s="76" t="s">
        <v>298</v>
      </c>
      <c r="E31" s="76"/>
      <c r="F31" s="77" t="s">
        <v>299</v>
      </c>
      <c r="G31" s="77"/>
      <c r="H31" s="77"/>
    </row>
    <row r="32" ht="45" customHeight="1" spans="2:8" x14ac:dyDescent="0.25">
      <c r="B32" s="75" t="s">
        <v>300</v>
      </c>
      <c r="C32" s="30" t="s">
        <v>294</v>
      </c>
      <c r="D32" s="76" t="s">
        <v>301</v>
      </c>
      <c r="E32" s="76"/>
      <c r="F32" s="77" t="s">
        <v>302</v>
      </c>
      <c r="G32" s="77"/>
      <c r="H32" s="77"/>
    </row>
    <row r="33" ht="45" customHeight="1" spans="2:8" x14ac:dyDescent="0.25">
      <c r="B33" s="75" t="s">
        <v>303</v>
      </c>
      <c r="C33" s="30" t="s">
        <v>294</v>
      </c>
      <c r="D33" s="76" t="s">
        <v>304</v>
      </c>
      <c r="E33" s="76"/>
      <c r="F33" s="77" t="s">
        <v>305</v>
      </c>
      <c r="G33" s="77"/>
      <c r="H33" s="77"/>
    </row>
    <row r="34" ht="45" customHeight="1" spans="2:8" x14ac:dyDescent="0.25">
      <c r="B34" s="75" t="s">
        <v>306</v>
      </c>
      <c r="C34" s="30" t="s">
        <v>294</v>
      </c>
      <c r="D34" s="76" t="s">
        <v>307</v>
      </c>
      <c r="E34" s="76"/>
      <c r="F34" s="77" t="s">
        <v>308</v>
      </c>
      <c r="G34" s="77"/>
      <c r="H34" s="77"/>
    </row>
    <row r="35" ht="45" customHeight="1" spans="2:8" x14ac:dyDescent="0.25">
      <c r="B35" s="75" t="s">
        <v>309</v>
      </c>
      <c r="C35" s="30" t="s">
        <v>294</v>
      </c>
      <c r="D35" s="76" t="s">
        <v>310</v>
      </c>
      <c r="E35" s="76"/>
      <c r="F35" s="77" t="s">
        <v>311</v>
      </c>
      <c r="G35" s="77"/>
      <c r="H35" s="77"/>
    </row>
    <row r="36" ht="45" customHeight="1" spans="2:8" x14ac:dyDescent="0.25">
      <c r="B36" s="75" t="s">
        <v>312</v>
      </c>
      <c r="C36" s="30" t="s">
        <v>294</v>
      </c>
      <c r="D36" s="76" t="s">
        <v>313</v>
      </c>
      <c r="E36" s="76"/>
      <c r="F36" s="77" t="s">
        <v>314</v>
      </c>
      <c r="G36" s="77"/>
      <c r="H36" s="77"/>
    </row>
    <row r="38" spans="2:6" x14ac:dyDescent="0.25">
      <c r="B38" s="75" t="s">
        <v>259</v>
      </c>
      <c r="C38" s="61" t="s">
        <v>315</v>
      </c>
      <c r="D38" s="61"/>
      <c r="E38" s="61"/>
      <c r="F38" s="61"/>
    </row>
    <row r="40" spans="2:8" x14ac:dyDescent="0.25">
      <c r="B40" s="78" t="s">
        <v>316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2026-04-29T01:01:48Z</dcterms:created>
  <dcterms:modified xsi:type="dcterms:W3CDTF">2026-04-29T01:01:48Z</dcterms:modified>
</cp:coreProperties>
</file>