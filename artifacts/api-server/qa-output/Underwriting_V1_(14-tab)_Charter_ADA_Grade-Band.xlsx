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Plan'!$A1:$H26</definedName>
    <definedName name="_xlnm.Print_Titles" localSheetId="3">'Staffing Plan'!$1:$1</definedName>
    <definedName name="_xlnm.Print_Area" localSheetId="4">'Operating Expenses'!$A1:$F15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<sst xmlns="http://schemas.openxmlformats.org/spreadsheetml/2006/main" count="370" uniqueCount="266">
  <si>
    <t>SchoolStack - Assumptions &amp; Drivers</t>
  </si>
  <si>
    <t>Edit the highlighted cells below to update the entire model</t>
  </si>
  <si>
    <t>SCHOOL INFORMATION</t>
  </si>
  <si>
    <t>School Name</t>
  </si>
  <si>
    <t>Heritage Academy Charter</t>
  </si>
  <si>
    <t>State</t>
  </si>
  <si>
    <t>AZ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</si>
  <si>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</si>
  <si>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</si>
  <si>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</si>
  <si>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</si>
  <si>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</si>
  <si>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</si>
  <si>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</si>
  <si>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</si>
  <si>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</si>
  <si>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</si>
  <si>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</si>
  <si>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</si>
  <si>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86-4441234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</si>
  <si>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</si>
  <si>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</si>
  <si>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</si>
  <si>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</si>
  <si>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</si>
  <si>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</si>
  <si>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</si>
  <si>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</si>
  <si>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</si>
  <si>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</si>
  <si>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</si>
  <si>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</si>
  <si>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</si>
  <si>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</si>
  <si>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</si>
  <si>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</si>
  <si>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</si>
  <si>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</si>
  <si>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</si>
  <si>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</si>
  <si>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</si>
  <si>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</si>
  <si>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</si>
  <si>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</si>
  <si>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</si>
  <si>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IDEA Special Ed (per student)</t>
  </si>
  <si>
    <t>Before/After Care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</si>
  <si>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</si>
  <si>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</si>
  <si>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</si>
  <si>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</si>
  <si>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</si>
  <si>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</si>
  <si>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</si>
  <si>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</si>
  <si>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</si>
  <si>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</si>
  <si>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</si>
  <si>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</si>
  <si>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</si>
  <si>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</si>
  <si>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</si>
  <si>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</si>
  <si>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</si>
  <si>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</si>
  <si>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</si>
  <si>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</si>
  <si>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</si>
  <si>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</si>
  <si>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</si>
  <si>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</si>
  <si>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</si>
  <si>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</si>
  <si>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</si>
  <si>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</si>
  <si>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</si>
  <si>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</si>
  <si>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</si>
  <si>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</si>
  <si>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</si>
  <si>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</si>
  <si>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</si>
  <si>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</si>
  <si>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</si>
  <si>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</si>
  <si>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</si>
  <si>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</si>
  <si>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</si>
  <si>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</si>
  <si>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</si>
  <si>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</si>
  <si>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</si>
  <si>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</si>
  <si>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</si>
  <si>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</si>
  <si>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</si>
  <si>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</si>
  <si>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</si>
  <si>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</si>
  <si>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</si>
  <si>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</si>
  <si>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</si>
  <si>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Devices &amp; Software</t>
  </si>
  <si>
    <t>Total Technology</t>
  </si>
  <si>
    <t>ADMINISTRATIVE / GENERAL</t>
  </si>
  <si>
    <t>Marketing</t>
  </si>
  <si>
    <t>Professional Development</t>
  </si>
  <si>
    <t>Legal &amp; Audit</t>
  </si>
  <si>
    <t>Food Service</t>
  </si>
  <si>
    <t>Total Administrative / General</t>
  </si>
  <si>
    <t>TOTAL OPERATING EXPENSES</t>
  </si>
  <si>
    <t>OCCUPANCY / FACILITY COSTS</t>
  </si>
  <si>
    <t>Facility Lease</t>
  </si>
  <si>
    <t>Utilities</t>
  </si>
  <si>
    <t>Property 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</si>
  <si>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</si>
  <si>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</si>
  <si>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</si>
  <si>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</si>
  <si>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</si>
  <si>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</si>
  <si>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Startup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</si>
  <si>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</si>
  <si>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</si>
  <si>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</si>
  <si>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</si>
  <si>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</si>
  <si>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</si>
  <si>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</si>
  <si>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</si>
  <si>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</si>
  <si>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</si>
  <si>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</si>
  <si>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</si>
  <si>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</si>
  <si>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</si>
  <si>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</si>
  <si>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</si>
  <si>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</si>
  <si>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</si>
  <si>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</si>
  <si>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Startup Loan</t>
  </si>
  <si>
    <t>TOTAL DEBT SERVICE</t>
  </si>
  <si>
    <t>Annual Debt Service</t>
  </si>
  <si>
    <t>Monthly Debt Service</t>
  </si>
  <si>
    <t>AMORTIZATION SCHEDULE (ANNUAL)</t>
  </si>
  <si>
    <t>Year</t>
  </si>
  <si>
    <t>Startup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</si>
  <si>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</si>
  <si>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</si>
  <si>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</si>
  <si>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</si>
  <si>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</si>
  <si>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</si>
  <si>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</si>
  <si>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</si>
  <si>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</si>
  <si>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</si>
  <si>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</si>
  <si>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</si>
  <si>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</si>
  <si>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</si>
  <si>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</si>
  <si>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</si>
  <si>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</si>
  <si>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</si>
  <si>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</si>
  <si>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</si>
  <si>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</si>
  <si>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</si>
  <si>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</si>
  <si>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</si>
  <si>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</si>
  <si>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</si>
  <si>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</si>
  <si>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</si>
  <si>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</si>
  <si>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</si>
  <si>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</si>
  <si>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</si>
  <si>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</si>
  <si>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</si>
  <si>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</si>
  <si>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</si>
  <si>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</si>
  <si>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</si>
  <si>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</si>
  <si>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</si>
  <si>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</si>
  <si>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</si>
  <si>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</si>
  <si>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</si>
  <si>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</si>
  <si>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</si>
  <si>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</si>
  <si>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</si>
  <si>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</si>
  <si>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</si>
  <si>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</si>
  <si>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</si>
  <si>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</si>
  <si>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</si>
  <si>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</si>
  <si>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</si>
  <si>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</si>
  <si>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Heritage Academy Charter | Charter School | AZ</t>
  </si>
  <si>
    <t>POLICY FLAGS</t>
  </si>
  <si>
    <t>DSCR ≥ 1.20x (2026-27)</t>
  </si>
  <si>
    <t>-2.26x</t>
  </si>
  <si>
    <t>Min 2 Months Cash Reserve (2026-27)</t>
  </si>
  <si>
    <t>1.3 months</t>
  </si>
  <si>
    <t>Positive Net Income (2026-27)</t>
  </si>
  <si>
    <t>No</t>
  </si>
  <si>
    <t>Break-Even Within Projection Period</t>
  </si>
  <si>
    <t>Enrollment ≥ 70% Capacity (2026-27)</t>
  </si>
  <si>
    <t>20%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</si>
  <si>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</si>
  <si>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</si>
  <si>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</si>
  <si>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</si>
  <si>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</si>
  <si>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</si>
  <si>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</si>
  <si>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</si>
  <si>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</si>
  <si>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</si>
  <si>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</si>
  <si>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</si>
  <si>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</si>
  <si>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</si>
  <si>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</si>
  <si>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</si>
  <si>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1.3</t>
  </si>
  <si>
    <t>Break-Even Year</t>
  </si>
  <si>
    <t>Revenue per Student (2026-27)</t>
  </si>
  <si>
    <t>Cost per Student (2026-27)</t>
  </si>
  <si>
    <t>5-Year Financial Model</t>
  </si>
  <si>
    <t>Charter School  |  AZ  |  Est. 2026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</si>
  <si>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</si>
  <si>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</si>
  <si>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</si>
  <si>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</si>
  <si>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</si>
  <si>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</si>
  <si>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</si>
  <si>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AZ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</si>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</sst>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5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5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5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600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120</v>
      </c>
      <c r="C17" s="7">
        <v>200</v>
      </c>
      <c r="D17" s="7">
        <v>300</v>
      </c>
      <c r="E17" s="7">
        <v>400</v>
      </c>
      <c r="F17" s="7">
        <v>500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120</v>
      </c>
      <c r="C2" s="10">
        <v>200</v>
      </c>
      <c r="D2" s="10">
        <v>300</v>
      </c>
      <c r="E2" s="10">
        <v>400</v>
      </c>
      <c r="F2" s="10">
        <v>500</v>
      </c>
    </row>
    <row r="3" spans="1:6" x14ac:dyDescent="0.25">
      <c r="A3" s="4" t="s">
        <v>39</v>
      </c>
      <c r="B3" s="11" t="s">
        <v>40</v>
      </c>
      <c r="C3" s="12">
        <f>IF(B2=0,"-",(C2-B2)/B2)</f>
        <v>0.67</v>
      </c>
      <c r="D3" s="12">
        <f>IF(C2=0,"-",(D2-C2)/C2)</f>
        <v>0.5</v>
      </c>
      <c r="E3" s="12">
        <f>IF(D2=0,"-",(E2-D2)/D2)</f>
        <v>0.33</v>
      </c>
      <c r="F3" s="12">
        <f>IF(E2=0,"-",(F2-E2)/E2)</f>
        <v>0.25</v>
      </c>
    </row>
    <row r="4" spans="1:6" x14ac:dyDescent="0.25">
      <c r="A4" s="4" t="s">
        <v>41</v>
      </c>
      <c r="B4" s="12">
        <v>0.2</v>
      </c>
      <c r="C4" s="12">
        <v>0.3333333333333333</v>
      </c>
      <c r="D4" s="12">
        <v>0.5</v>
      </c>
      <c r="E4" s="12">
        <v>0.6666666666666666</v>
      </c>
      <c r="F4" s="12">
        <v>0.8333333333333334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8500</v>
      </c>
      <c r="C7" s="13">
        <v>8670</v>
      </c>
      <c r="D7" s="13">
        <v>8843</v>
      </c>
      <c r="E7" s="13">
        <v>9020</v>
      </c>
      <c r="F7" s="13">
        <v>9200</v>
      </c>
    </row>
    <row r="8" spans="1:6" x14ac:dyDescent="0.25">
      <c r="A8" s="4" t="s">
        <v>44</v>
      </c>
      <c r="B8" s="13">
        <v>750</v>
      </c>
      <c r="C8" s="13">
        <v>765</v>
      </c>
      <c r="D8" s="13">
        <v>780</v>
      </c>
      <c r="E8" s="13">
        <v>796</v>
      </c>
      <c r="F8" s="13">
        <v>812</v>
      </c>
    </row>
    <row r="9" spans="1:6" x14ac:dyDescent="0.25">
      <c r="A9" s="4" t="s">
        <v>45</v>
      </c>
      <c r="B9" s="13">
        <v>1100</v>
      </c>
      <c r="C9" s="13">
        <v>1122</v>
      </c>
      <c r="D9" s="13">
        <v>1144</v>
      </c>
      <c r="E9" s="13">
        <v>1167</v>
      </c>
      <c r="F9" s="13">
        <v>1191</v>
      </c>
    </row>
    <row r="10" spans="1:6" x14ac:dyDescent="0.25">
      <c r="A10" s="4" t="s">
        <v>46</v>
      </c>
      <c r="B10" s="13">
        <v>400</v>
      </c>
      <c r="C10" s="13">
        <v>412</v>
      </c>
      <c r="D10" s="13">
        <v>424</v>
      </c>
      <c r="E10" s="13">
        <v>437</v>
      </c>
      <c r="F10" s="13">
        <v>450</v>
      </c>
    </row>
    <row r="12" ht="24" customHeight="1" spans="1:6" x14ac:dyDescent="0.25">
      <c r="A12" s="3" t="s">
        <v>47</v>
      </c>
      <c r="B12" s="3"/>
      <c r="C12" s="3"/>
      <c r="D12" s="3"/>
      <c r="E12" s="3"/>
      <c r="F12" s="3"/>
    </row>
    <row r="13" spans="1:6" x14ac:dyDescent="0.25">
      <c r="A13" s="4" t="s">
        <v>48</v>
      </c>
      <c r="B13" s="13">
        <v>1242000</v>
      </c>
      <c r="C13" s="13">
        <v>2111400</v>
      </c>
      <c r="D13" s="13">
        <v>3230100</v>
      </c>
      <c r="E13" s="13">
        <v>4393200</v>
      </c>
      <c r="F13" s="13">
        <v>5601500</v>
      </c>
    </row>
    <row r="14" spans="1:6" x14ac:dyDescent="0.25">
      <c r="A14" s="4" t="s">
        <v>49</v>
      </c>
      <c r="B14" s="13">
        <v>175000</v>
      </c>
      <c r="C14" s="13">
        <v>135000</v>
      </c>
      <c r="D14" s="13">
        <v>95000</v>
      </c>
      <c r="E14" s="13">
        <v>55000</v>
      </c>
      <c r="F14" s="13">
        <v>65000</v>
      </c>
    </row>
    <row r="15" spans="1:6" x14ac:dyDescent="0.25">
      <c r="A15" s="4" t="s">
        <v>50</v>
      </c>
      <c r="B15" s="13">
        <v>48000</v>
      </c>
      <c r="C15" s="13">
        <v>82400</v>
      </c>
      <c r="D15" s="13">
        <v>127200</v>
      </c>
      <c r="E15" s="13">
        <v>174800</v>
      </c>
      <c r="F15" s="13">
        <v>225000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120</v>
      </c>
      <c r="C2" s="10">
        <f>Assumptions!$C$17</f>
        <v>200</v>
      </c>
      <c r="D2" s="10">
        <f>Assumptions!$D$17</f>
        <v>300</v>
      </c>
      <c r="E2" s="10">
        <f>Assumptions!$E$17</f>
        <v>400</v>
      </c>
      <c r="F2" s="10">
        <f>Assumptions!$F$17</f>
        <v>500</v>
      </c>
    </row>
    <row r="3" ht="24" customHeight="1" spans="1:6" x14ac:dyDescent="0.25">
      <c r="A3" s="3" t="s">
        <v>51</v>
      </c>
      <c r="B3" s="3"/>
      <c r="C3" s="3"/>
      <c r="D3" s="3"/>
      <c r="E3" s="3"/>
      <c r="F3" s="3"/>
    </row>
    <row r="4" spans="1:6" x14ac:dyDescent="0.25">
      <c r="A4" s="4" t="s">
        <v>52</v>
      </c>
      <c r="B4" s="13">
        <f>ROUND(Assumptions!$B$17*8500,0)</f>
        <v>1020000</v>
      </c>
      <c r="C4" s="13">
        <f>ROUND(Assumptions!$C$17*8670,0)</f>
        <v>1734000</v>
      </c>
      <c r="D4" s="13">
        <f>ROUND(Assumptions!$D$17*8843,0)</f>
        <v>2652900</v>
      </c>
      <c r="E4" s="13">
        <f>ROUND(Assumptions!$E$17*9020,0)</f>
        <v>3608000</v>
      </c>
      <c r="F4" s="13">
        <f>ROUND(Assumptions!$F$17*9200,0)</f>
        <v>4600000</v>
      </c>
    </row>
    <row r="5" spans="1:6" x14ac:dyDescent="0.25">
      <c r="A5" s="4" t="s">
        <v>53</v>
      </c>
      <c r="B5" s="13">
        <f>ROUND(Assumptions!$B$17*750,0)</f>
        <v>90000</v>
      </c>
      <c r="C5" s="13">
        <f>ROUND(Assumptions!$C$17*765,0)</f>
        <v>153000</v>
      </c>
      <c r="D5" s="13">
        <f>ROUND(Assumptions!$D$17*780,0)</f>
        <v>234000</v>
      </c>
      <c r="E5" s="13">
        <f>ROUND(Assumptions!$E$17*796,0)</f>
        <v>318400</v>
      </c>
      <c r="F5" s="13">
        <f>ROUND(Assumptions!$F$17*812,0)</f>
        <v>406000</v>
      </c>
    </row>
    <row r="6" spans="1:6" x14ac:dyDescent="0.25">
      <c r="A6" s="4" t="s">
        <v>54</v>
      </c>
      <c r="B6" s="13">
        <f>ROUND(Assumptions!$B$17*1100,0)</f>
        <v>132000</v>
      </c>
      <c r="C6" s="13">
        <f>ROUND(Assumptions!$C$17*1122,0)</f>
        <v>224400</v>
      </c>
      <c r="D6" s="13">
        <f>ROUND(Assumptions!$D$17*1144,0)</f>
        <v>343200</v>
      </c>
      <c r="E6" s="13">
        <f>ROUND(Assumptions!$E$17*1167,0)</f>
        <v>466800</v>
      </c>
      <c r="F6" s="13">
        <f>ROUND(Assumptions!$F$17*1191,0)</f>
        <v>595500</v>
      </c>
    </row>
    <row r="7" ht="24" customHeight="1" spans="1:6" x14ac:dyDescent="0.25">
      <c r="A7" s="3" t="s">
        <v>55</v>
      </c>
      <c r="B7" s="14">
        <f>SUM(B4:B6)</f>
        <v>1242000</v>
      </c>
      <c r="C7" s="14">
        <f>SUM(C4:C6)</f>
        <v>2111400</v>
      </c>
      <c r="D7" s="14">
        <f>SUM(D4:D6)</f>
        <v>3230100</v>
      </c>
      <c r="E7" s="14">
        <f>SUM(E4:E6)</f>
        <v>4393200</v>
      </c>
      <c r="F7" s="14">
        <f>SUM(F4:F6)</f>
        <v>5601500</v>
      </c>
    </row>
    <row r="8" ht="24" customHeight="1" spans="1:6" x14ac:dyDescent="0.25">
      <c r="A8" s="3" t="s">
        <v>56</v>
      </c>
      <c r="B8" s="3"/>
      <c r="C8" s="3"/>
      <c r="D8" s="3"/>
      <c r="E8" s="3"/>
      <c r="F8" s="3"/>
    </row>
    <row r="9" spans="1:6" x14ac:dyDescent="0.25">
      <c r="A9" s="4" t="s">
        <v>57</v>
      </c>
      <c r="B9" s="13">
        <v>150000</v>
      </c>
      <c r="C9" s="13">
        <v>100000</v>
      </c>
      <c r="D9" s="13">
        <v>50000</v>
      </c>
      <c r="E9" s="13">
        <v>0</v>
      </c>
      <c r="F9" s="13">
        <v>0</v>
      </c>
    </row>
    <row r="10" spans="1:6" x14ac:dyDescent="0.25">
      <c r="A10" s="4" t="s">
        <v>58</v>
      </c>
      <c r="B10" s="13">
        <v>25000</v>
      </c>
      <c r="C10" s="13">
        <v>35000</v>
      </c>
      <c r="D10" s="13">
        <v>45000</v>
      </c>
      <c r="E10" s="13">
        <v>55000</v>
      </c>
      <c r="F10" s="13">
        <v>65000</v>
      </c>
    </row>
    <row r="11" ht="24" customHeight="1" spans="1:6" x14ac:dyDescent="0.25">
      <c r="A11" s="3" t="s">
        <v>59</v>
      </c>
      <c r="B11" s="14">
        <f>SUM(B9:B10)</f>
        <v>175000</v>
      </c>
      <c r="C11" s="14">
        <f>SUM(C9:C10)</f>
        <v>135000</v>
      </c>
      <c r="D11" s="14">
        <f>SUM(D9:D10)</f>
        <v>95000</v>
      </c>
      <c r="E11" s="14">
        <f>SUM(E9:E10)</f>
        <v>55000</v>
      </c>
      <c r="F11" s="14">
        <f>SUM(F9:F10)</f>
        <v>65000</v>
      </c>
    </row>
    <row r="12" ht="24" customHeight="1" spans="1:6" x14ac:dyDescent="0.25">
      <c r="A12" s="3" t="s">
        <v>60</v>
      </c>
      <c r="B12" s="3"/>
      <c r="C12" s="3"/>
      <c r="D12" s="3"/>
      <c r="E12" s="3"/>
      <c r="F12" s="3"/>
    </row>
    <row r="13" spans="1:6" x14ac:dyDescent="0.25">
      <c r="A13" s="4" t="s">
        <v>61</v>
      </c>
      <c r="B13" s="13">
        <f>ROUND(Assumptions!$B$17*400,0)</f>
        <v>48000</v>
      </c>
      <c r="C13" s="13">
        <f>ROUND(Assumptions!$C$17*412,0)</f>
        <v>82400</v>
      </c>
      <c r="D13" s="13">
        <f>ROUND(Assumptions!$D$17*424,0)</f>
        <v>127200</v>
      </c>
      <c r="E13" s="13">
        <f>ROUND(Assumptions!$E$17*437,0)</f>
        <v>174800</v>
      </c>
      <c r="F13" s="13">
        <f>ROUND(Assumptions!$F$17*450,0)</f>
        <v>225000</v>
      </c>
    </row>
    <row r="14" ht="24" customHeight="1" spans="1:6" x14ac:dyDescent="0.25">
      <c r="A14" s="3" t="s">
        <v>62</v>
      </c>
      <c r="B14" s="14">
        <f>SUM(B13:B13)</f>
        <v>48000</v>
      </c>
      <c r="C14" s="14">
        <f>SUM(C13:C13)</f>
        <v>82400</v>
      </c>
      <c r="D14" s="14">
        <f>SUM(D13:D13)</f>
        <v>127200</v>
      </c>
      <c r="E14" s="14">
        <f>SUM(E13:E13)</f>
        <v>174800</v>
      </c>
      <c r="F14" s="14">
        <f>SUM(F13:F13)</f>
        <v>225000</v>
      </c>
    </row>
    <row r="16" ht="24" customHeight="1" spans="1:6" x14ac:dyDescent="0.25">
      <c r="A16" s="3" t="s">
        <v>63</v>
      </c>
      <c r="B16" s="14">
        <f>B7+B11+B14</f>
        <v>1465000</v>
      </c>
      <c r="C16" s="14">
        <f>C7+C11+C14</f>
        <v>2328800</v>
      </c>
      <c r="D16" s="14">
        <f>D7+D11+D14</f>
        <v>3452300</v>
      </c>
      <c r="E16" s="14">
        <f>E7+E11+E14</f>
        <v>4623000</v>
      </c>
      <c r="F16" s="14">
        <f>F7+F11+F14</f>
        <v>5891500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64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65</v>
      </c>
      <c r="B3" s="6" t="s">
        <v>66</v>
      </c>
      <c r="C3" s="6" t="s">
        <v>67</v>
      </c>
      <c r="D3" s="6" t="s">
        <v>68</v>
      </c>
      <c r="E3" s="6" t="s">
        <v>69</v>
      </c>
      <c r="F3" s="6" t="s">
        <v>70</v>
      </c>
      <c r="G3" s="6" t="s">
        <v>71</v>
      </c>
      <c r="H3" s="6" t="s">
        <v>72</v>
      </c>
    </row>
    <row r="4" spans="1:8" x14ac:dyDescent="0.25">
      <c r="A4" s="4" t="s">
        <v>73</v>
      </c>
      <c r="B4" s="4" t="s">
        <v>74</v>
      </c>
      <c r="C4" s="4" t="s">
        <v>75</v>
      </c>
      <c r="D4" s="15">
        <v>1</v>
      </c>
      <c r="E4" s="16">
        <v>105000</v>
      </c>
      <c r="F4" s="17">
        <v>0.26</v>
      </c>
      <c r="G4" s="17">
        <v>0.0765</v>
      </c>
      <c r="H4" s="18">
        <v>140333</v>
      </c>
    </row>
    <row r="5" spans="1:8" x14ac:dyDescent="0.25">
      <c r="A5" s="4" t="s">
        <v>76</v>
      </c>
      <c r="B5" s="4" t="s">
        <v>74</v>
      </c>
      <c r="C5" s="4" t="s">
        <v>75</v>
      </c>
      <c r="D5" s="15">
        <v>1</v>
      </c>
      <c r="E5" s="16">
        <v>82000</v>
      </c>
      <c r="F5" s="17">
        <v>0.26</v>
      </c>
      <c r="G5" s="17">
        <v>0.0765</v>
      </c>
      <c r="H5" s="18">
        <v>109593</v>
      </c>
    </row>
    <row r="6" spans="1:8" x14ac:dyDescent="0.25">
      <c r="A6" s="4" t="s">
        <v>77</v>
      </c>
      <c r="B6" s="4" t="s">
        <v>78</v>
      </c>
      <c r="C6" s="4" t="s">
        <v>75</v>
      </c>
      <c r="D6" s="15">
        <v>5</v>
      </c>
      <c r="E6" s="16">
        <v>50000</v>
      </c>
      <c r="F6" s="17">
        <v>0.26</v>
      </c>
      <c r="G6" s="17">
        <v>0.0765</v>
      </c>
      <c r="H6" s="18">
        <v>334125</v>
      </c>
    </row>
    <row r="7" spans="1:8" x14ac:dyDescent="0.25">
      <c r="A7" s="4" t="s">
        <v>79</v>
      </c>
      <c r="B7" s="4" t="s">
        <v>78</v>
      </c>
      <c r="C7" s="4" t="s">
        <v>75</v>
      </c>
      <c r="D7" s="15">
        <v>1</v>
      </c>
      <c r="E7" s="16">
        <v>53000</v>
      </c>
      <c r="F7" s="17">
        <v>0.26</v>
      </c>
      <c r="G7" s="17">
        <v>0.0765</v>
      </c>
      <c r="H7" s="18">
        <v>70835</v>
      </c>
    </row>
    <row r="8" spans="1:8" x14ac:dyDescent="0.25">
      <c r="A8" s="4" t="s">
        <v>80</v>
      </c>
      <c r="B8" s="4" t="s">
        <v>78</v>
      </c>
      <c r="C8" s="4" t="s">
        <v>75</v>
      </c>
      <c r="D8" s="15">
        <v>3</v>
      </c>
      <c r="E8" s="16">
        <v>28000</v>
      </c>
      <c r="F8" s="17">
        <v>0.18</v>
      </c>
      <c r="G8" s="17">
        <v>0.0765</v>
      </c>
      <c r="H8" s="18">
        <v>105546</v>
      </c>
    </row>
    <row r="9" spans="1:8" x14ac:dyDescent="0.25">
      <c r="A9" s="4" t="s">
        <v>81</v>
      </c>
      <c r="B9" s="4" t="s">
        <v>82</v>
      </c>
      <c r="C9" s="4" t="s">
        <v>75</v>
      </c>
      <c r="D9" s="15">
        <v>1</v>
      </c>
      <c r="E9" s="16">
        <v>62000</v>
      </c>
      <c r="F9" s="17">
        <v>0.26</v>
      </c>
      <c r="G9" s="17">
        <v>0.0765</v>
      </c>
      <c r="H9" s="18">
        <v>82863</v>
      </c>
    </row>
    <row r="10" spans="1:8" x14ac:dyDescent="0.25">
      <c r="A10" s="4" t="s">
        <v>83</v>
      </c>
      <c r="B10" s="4" t="s">
        <v>84</v>
      </c>
      <c r="C10" s="4" t="s">
        <v>75</v>
      </c>
      <c r="D10" s="15">
        <v>2</v>
      </c>
      <c r="E10" s="16">
        <v>36000</v>
      </c>
      <c r="F10" s="17">
        <v>0.22</v>
      </c>
      <c r="G10" s="17">
        <v>0.0765</v>
      </c>
      <c r="H10" s="18">
        <v>93348</v>
      </c>
    </row>
    <row r="12" ht="24" customHeight="1" spans="1:8" x14ac:dyDescent="0.25">
      <c r="A12" s="3" t="s">
        <v>85</v>
      </c>
      <c r="B12" s="3"/>
      <c r="C12" s="3"/>
      <c r="D12" s="3"/>
      <c r="E12" s="3"/>
      <c r="F12" s="3"/>
      <c r="G12" s="3"/>
      <c r="H12" s="3"/>
    </row>
    <row r="13" spans="1:2" x14ac:dyDescent="0.25">
      <c r="A13" s="4" t="s">
        <v>86</v>
      </c>
      <c r="B13" s="5">
        <v>7</v>
      </c>
    </row>
    <row r="14" spans="1:2" x14ac:dyDescent="0.25">
      <c r="A14" s="4" t="s">
        <v>87</v>
      </c>
      <c r="B14" s="5">
        <v>14</v>
      </c>
    </row>
    <row r="15" spans="1:2" x14ac:dyDescent="0.25">
      <c r="A15" s="4" t="s">
        <v>88</v>
      </c>
      <c r="B15" s="19">
        <v>708000</v>
      </c>
    </row>
    <row r="16" spans="1:2" x14ac:dyDescent="0.25">
      <c r="A16" s="4" t="s">
        <v>89</v>
      </c>
      <c r="B16" s="19">
        <v>174480</v>
      </c>
    </row>
    <row r="17" spans="1:2" x14ac:dyDescent="0.25">
      <c r="A17" s="4" t="s">
        <v>90</v>
      </c>
      <c r="B17" s="19">
        <v>54162</v>
      </c>
    </row>
    <row r="18" spans="1:2" x14ac:dyDescent="0.25">
      <c r="A18" s="4" t="s">
        <v>91</v>
      </c>
      <c r="B18" s="19">
        <v>0</v>
      </c>
    </row>
    <row r="19" spans="1:2" x14ac:dyDescent="0.25">
      <c r="A19" s="5" t="s">
        <v>92</v>
      </c>
      <c r="B19" s="18">
        <v>936642</v>
      </c>
    </row>
    <row r="21" ht="24" customHeight="1" spans="1:6" x14ac:dyDescent="0.25">
      <c r="A21" s="3" t="s">
        <v>93</v>
      </c>
      <c r="B21" s="3"/>
      <c r="C21" s="3"/>
      <c r="D21" s="3"/>
      <c r="E21" s="3"/>
      <c r="F21" s="3"/>
    </row>
    <row r="22" ht="28" customHeight="1" spans="1:6" x14ac:dyDescent="0.25">
      <c r="A22" s="6" t="s">
        <v>14</v>
      </c>
      <c r="B22" s="6" t="s">
        <v>34</v>
      </c>
      <c r="C22" s="6" t="s">
        <v>35</v>
      </c>
      <c r="D22" s="6" t="s">
        <v>36</v>
      </c>
      <c r="E22" s="6" t="s">
        <v>37</v>
      </c>
      <c r="F22" s="6" t="s">
        <v>38</v>
      </c>
    </row>
    <row r="23" spans="1:6" x14ac:dyDescent="0.25">
      <c r="A23" s="4" t="s">
        <v>94</v>
      </c>
      <c r="B23" s="13">
        <v>936642</v>
      </c>
      <c r="C23" s="13">
        <v>936642</v>
      </c>
      <c r="D23" s="13">
        <v>936642</v>
      </c>
      <c r="E23" s="13">
        <v>936642</v>
      </c>
      <c r="F23" s="13">
        <v>936642</v>
      </c>
    </row>
    <row r="24" spans="1:6" x14ac:dyDescent="0.25">
      <c r="A24" s="4" t="s">
        <v>95</v>
      </c>
      <c r="B24" s="20">
        <f>(1+Assumptions!$B$20)^0</f>
        <v>1</v>
      </c>
      <c r="C24" s="20">
        <f>(1+Assumptions!$B$20)^1</f>
        <v>1</v>
      </c>
      <c r="D24" s="20">
        <f>(1+Assumptions!$B$20)^2</f>
        <v>1</v>
      </c>
      <c r="E24" s="20">
        <f>(1+Assumptions!$B$20)^3</f>
        <v>1</v>
      </c>
      <c r="F24" s="20">
        <f>(1+Assumptions!$B$20)^4</f>
        <v>1</v>
      </c>
    </row>
    <row r="25" spans="1:6" x14ac:dyDescent="0.25">
      <c r="A25" s="4" t="s">
        <v>96</v>
      </c>
      <c r="B25" s="21">
        <f>Assumptions!$B$22</f>
        <v>0.83</v>
      </c>
      <c r="C25" s="21">
        <v>1</v>
      </c>
      <c r="D25" s="21">
        <v>1</v>
      </c>
      <c r="E25" s="21">
        <v>1</v>
      </c>
      <c r="F25" s="21">
        <v>1</v>
      </c>
    </row>
    <row r="26" ht="24" customHeight="1" spans="1:6" x14ac:dyDescent="0.25">
      <c r="A26" s="3" t="s">
        <v>97</v>
      </c>
      <c r="B26" s="14">
        <f>B23*B24*B25</f>
        <v>780535</v>
      </c>
      <c r="C26" s="14">
        <f>C23*C24*C25</f>
        <v>936642</v>
      </c>
      <c r="D26" s="14">
        <f>D23*D24*D25</f>
        <v>936642</v>
      </c>
      <c r="E26" s="14">
        <f>E23*E24*E25</f>
        <v>936642</v>
      </c>
      <c r="F26" s="14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98</v>
      </c>
      <c r="B2" s="3"/>
      <c r="C2" s="3"/>
      <c r="D2" s="3"/>
      <c r="E2" s="3"/>
      <c r="F2" s="3"/>
    </row>
    <row r="3" spans="1:6" x14ac:dyDescent="0.25">
      <c r="A3" s="4" t="s">
        <v>99</v>
      </c>
      <c r="B3" s="13">
        <f>ROUND(Assumptions!$B$17*650,0)</f>
        <v>78000</v>
      </c>
      <c r="C3" s="13">
        <f>ROUND(Assumptions!$C$17*670,0)</f>
        <v>134000</v>
      </c>
      <c r="D3" s="13">
        <f>ROUND(Assumptions!$D$17*690,0)</f>
        <v>207000</v>
      </c>
      <c r="E3" s="13">
        <f>ROUND(Assumptions!$E$17*710,0)</f>
        <v>284000</v>
      </c>
      <c r="F3" s="13">
        <f>ROUND(Assumptions!$F$17*732,0)</f>
        <v>366000</v>
      </c>
    </row>
    <row r="4" ht="24" customHeight="1" spans="1:6" x14ac:dyDescent="0.25">
      <c r="A4" s="3" t="s">
        <v>100</v>
      </c>
      <c r="B4" s="14">
        <f>SUM(B3:B3)</f>
        <v>78000</v>
      </c>
      <c r="C4" s="14">
        <f>SUM(C3:C3)</f>
        <v>134000</v>
      </c>
      <c r="D4" s="14">
        <f>SUM(D3:D3)</f>
        <v>207000</v>
      </c>
      <c r="E4" s="14">
        <f>SUM(E3:E3)</f>
        <v>284000</v>
      </c>
      <c r="F4" s="14">
        <f>SUM(F3:F3)</f>
        <v>366000</v>
      </c>
    </row>
    <row r="5" ht="24" customHeight="1" spans="1:6" x14ac:dyDescent="0.25">
      <c r="A5" s="3" t="s">
        <v>101</v>
      </c>
      <c r="B5" s="3"/>
      <c r="C5" s="3"/>
      <c r="D5" s="3"/>
      <c r="E5" s="3"/>
      <c r="F5" s="3"/>
    </row>
    <row r="6" spans="1:6" x14ac:dyDescent="0.25">
      <c r="A6" s="4" t="s">
        <v>102</v>
      </c>
      <c r="B6" s="13">
        <f>ROUND(Assumptions!$B$17*450,0)</f>
        <v>54000</v>
      </c>
      <c r="C6" s="13">
        <f>ROUND(Assumptions!$C$17*464,0)</f>
        <v>92800</v>
      </c>
      <c r="D6" s="13">
        <f>ROUND(Assumptions!$D$17*478,0)</f>
        <v>143400</v>
      </c>
      <c r="E6" s="13">
        <f>ROUND(Assumptions!$E$17*492,0)</f>
        <v>196800</v>
      </c>
      <c r="F6" s="13">
        <f>ROUND(Assumptions!$F$17*507,0)</f>
        <v>253500</v>
      </c>
    </row>
    <row r="7" ht="24" customHeight="1" spans="1:6" x14ac:dyDescent="0.25">
      <c r="A7" s="3" t="s">
        <v>103</v>
      </c>
      <c r="B7" s="14">
        <f>SUM(B6:B6)</f>
        <v>54000</v>
      </c>
      <c r="C7" s="14">
        <f>SUM(C6:C6)</f>
        <v>92800</v>
      </c>
      <c r="D7" s="14">
        <f>SUM(D6:D6)</f>
        <v>143400</v>
      </c>
      <c r="E7" s="14">
        <f>SUM(E6:E6)</f>
        <v>196800</v>
      </c>
      <c r="F7" s="14">
        <f>SUM(F6:F6)</f>
        <v>253500</v>
      </c>
    </row>
    <row r="8" ht="24" customHeight="1" spans="1:6" x14ac:dyDescent="0.25">
      <c r="A8" s="3" t="s">
        <v>104</v>
      </c>
      <c r="B8" s="3"/>
      <c r="C8" s="3"/>
      <c r="D8" s="3"/>
      <c r="E8" s="3"/>
      <c r="F8" s="3"/>
    </row>
    <row r="9" spans="1:6" x14ac:dyDescent="0.25">
      <c r="A9" s="4" t="s">
        <v>105</v>
      </c>
      <c r="B9" s="13">
        <v>30000</v>
      </c>
      <c r="C9" s="13">
        <v>30900</v>
      </c>
      <c r="D9" s="13">
        <v>31827</v>
      </c>
      <c r="E9" s="13">
        <v>32782</v>
      </c>
      <c r="F9" s="13">
        <v>33765</v>
      </c>
    </row>
    <row r="10" spans="1:6" x14ac:dyDescent="0.25">
      <c r="A10" s="4" t="s">
        <v>106</v>
      </c>
      <c r="B10" s="13">
        <v>12000</v>
      </c>
      <c r="C10" s="13">
        <v>12360</v>
      </c>
      <c r="D10" s="13">
        <v>12731</v>
      </c>
      <c r="E10" s="13">
        <v>13113</v>
      </c>
      <c r="F10" s="13">
        <v>13506</v>
      </c>
    </row>
    <row r="11" spans="1:6" x14ac:dyDescent="0.25">
      <c r="A11" s="4" t="s">
        <v>107</v>
      </c>
      <c r="B11" s="13">
        <v>18000</v>
      </c>
      <c r="C11" s="13">
        <v>18540</v>
      </c>
      <c r="D11" s="13">
        <v>19096</v>
      </c>
      <c r="E11" s="13">
        <v>19669</v>
      </c>
      <c r="F11" s="13">
        <v>20259</v>
      </c>
    </row>
    <row r="12" spans="1:6" x14ac:dyDescent="0.25">
      <c r="A12" s="4" t="s">
        <v>108</v>
      </c>
      <c r="B12" s="13">
        <f>ROUND(Assumptions!$B$17*750,0)</f>
        <v>90000</v>
      </c>
      <c r="C12" s="13">
        <f>ROUND(Assumptions!$C$17*773,0)</f>
        <v>154600</v>
      </c>
      <c r="D12" s="13">
        <f>ROUND(Assumptions!$D$17*796,0)</f>
        <v>238800</v>
      </c>
      <c r="E12" s="13">
        <f>ROUND(Assumptions!$E$17*820,0)</f>
        <v>328000</v>
      </c>
      <c r="F12" s="13">
        <f>ROUND(Assumptions!$F$17*845,0)</f>
        <v>422500</v>
      </c>
    </row>
    <row r="13" ht="24" customHeight="1" spans="1:6" x14ac:dyDescent="0.25">
      <c r="A13" s="3" t="s">
        <v>109</v>
      </c>
      <c r="B13" s="14">
        <f>SUM(B9:B12)</f>
        <v>150000</v>
      </c>
      <c r="C13" s="14">
        <f>SUM(C9:C12)</f>
        <v>216400</v>
      </c>
      <c r="D13" s="14">
        <f>SUM(D9:D12)</f>
        <v>302454</v>
      </c>
      <c r="E13" s="14">
        <f>SUM(E9:E12)</f>
        <v>393564</v>
      </c>
      <c r="F13" s="14">
        <f>SUM(F9:F12)</f>
        <v>490030</v>
      </c>
    </row>
    <row r="15" ht="24" customHeight="1" spans="1:6" x14ac:dyDescent="0.25">
      <c r="A15" s="3" t="s">
        <v>110</v>
      </c>
      <c r="B15" s="14">
        <f>B4+B7+B13</f>
        <v>282000</v>
      </c>
      <c r="C15" s="14">
        <f>C4+C7+C13</f>
        <v>443200</v>
      </c>
      <c r="D15" s="14">
        <f>D4+D7+D13</f>
        <v>652854</v>
      </c>
      <c r="E15" s="14">
        <f>E4+E7+E13</f>
        <v>874364</v>
      </c>
      <c r="F15" s="14">
        <f>F4+F7+F13</f>
        <v>1109530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111</v>
      </c>
      <c r="B2" s="3"/>
      <c r="C2" s="3"/>
      <c r="D2" s="3"/>
      <c r="E2" s="3"/>
      <c r="F2" s="3"/>
    </row>
    <row r="3" spans="1:6" x14ac:dyDescent="0.25">
      <c r="A3" s="4" t="s">
        <v>112</v>
      </c>
      <c r="B3" s="13">
        <v>264000</v>
      </c>
      <c r="C3" s="13">
        <v>271920</v>
      </c>
      <c r="D3" s="13">
        <v>280078</v>
      </c>
      <c r="E3" s="13">
        <v>288480</v>
      </c>
      <c r="F3" s="13">
        <v>297134</v>
      </c>
    </row>
    <row r="4" spans="1:6" x14ac:dyDescent="0.25">
      <c r="A4" s="4" t="s">
        <v>113</v>
      </c>
      <c r="B4" s="13">
        <v>36000</v>
      </c>
      <c r="C4" s="13">
        <v>37080</v>
      </c>
      <c r="D4" s="13">
        <v>38196</v>
      </c>
      <c r="E4" s="13">
        <v>39336</v>
      </c>
      <c r="F4" s="13">
        <v>40524</v>
      </c>
    </row>
    <row r="5" spans="1:6" x14ac:dyDescent="0.25">
      <c r="A5" s="4" t="s">
        <v>114</v>
      </c>
      <c r="B5" s="13">
        <v>22000</v>
      </c>
      <c r="C5" s="13">
        <v>22660</v>
      </c>
      <c r="D5" s="13">
        <v>23340</v>
      </c>
      <c r="E5" s="13">
        <v>24040</v>
      </c>
      <c r="F5" s="13">
        <v>24761</v>
      </c>
    </row>
    <row r="6" ht="24" customHeight="1" spans="1:6" x14ac:dyDescent="0.25">
      <c r="A6" s="3" t="s">
        <v>115</v>
      </c>
      <c r="B6" s="14">
        <f>SUM(B3:B5)</f>
        <v>322000</v>
      </c>
      <c r="C6" s="14">
        <f>SUM(C3:C5)</f>
        <v>331660</v>
      </c>
      <c r="D6" s="14">
        <f>SUM(D3:D5)</f>
        <v>341614</v>
      </c>
      <c r="E6" s="14">
        <f>SUM(E3:E5)</f>
        <v>351856</v>
      </c>
      <c r="F6" s="14">
        <f>SUM(F3:F5)</f>
        <v>362419</v>
      </c>
    </row>
    <row r="8" spans="1:6" x14ac:dyDescent="0.25">
      <c r="A8" s="4" t="s">
        <v>116</v>
      </c>
      <c r="B8" s="13">
        <v>2683</v>
      </c>
      <c r="C8" s="13">
        <v>1658</v>
      </c>
      <c r="D8" s="13">
        <v>1139</v>
      </c>
      <c r="E8" s="13">
        <v>880</v>
      </c>
      <c r="F8" s="13">
        <v>725</v>
      </c>
    </row>
    <row r="9" spans="1:6" x14ac:dyDescent="0.25">
      <c r="A9" s="4" t="s">
        <v>117</v>
      </c>
      <c r="B9" s="12">
        <v>0.2732674040360408</v>
      </c>
      <c r="C9" s="12">
        <v>0.1498926626443405</v>
      </c>
      <c r="D9" s="12">
        <v>0.10460975012248896</v>
      </c>
      <c r="E9" s="12">
        <v>0.08101959036116835</v>
      </c>
      <c r="F9" s="12">
        <v>0.06559982005176752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118</v>
      </c>
      <c r="B1" s="1"/>
    </row>
    <row r="3" ht="24" customHeight="1" spans="1:2" x14ac:dyDescent="0.25">
      <c r="A3" s="3" t="s">
        <v>119</v>
      </c>
      <c r="B3" s="3"/>
    </row>
    <row r="4" spans="1:2" x14ac:dyDescent="0.25">
      <c r="A4" s="4" t="s">
        <v>120</v>
      </c>
      <c r="B4" s="16">
        <v>0</v>
      </c>
    </row>
    <row r="5" spans="1:2" x14ac:dyDescent="0.25">
      <c r="A5" s="4" t="s">
        <v>121</v>
      </c>
      <c r="B5" s="16">
        <v>350000</v>
      </c>
    </row>
    <row r="6" ht="24" customHeight="1" spans="1:2" x14ac:dyDescent="0.25">
      <c r="A6" s="3" t="s">
        <v>122</v>
      </c>
      <c r="B6" s="22">
        <f>SUM(B4:B5)</f>
        <v>350000</v>
      </c>
    </row>
    <row r="8" ht="24" customHeight="1" spans="1:2" x14ac:dyDescent="0.25">
      <c r="A8" s="3" t="s">
        <v>123</v>
      </c>
      <c r="B8" s="3"/>
    </row>
    <row r="9" spans="1:2" x14ac:dyDescent="0.25">
      <c r="A9" s="4" t="s">
        <v>124</v>
      </c>
      <c r="B9" s="16">
        <v>53667</v>
      </c>
    </row>
    <row r="10" spans="1:2" x14ac:dyDescent="0.25">
      <c r="A10" s="4" t="s">
        <v>125</v>
      </c>
      <c r="B10" s="16">
        <v>27000</v>
      </c>
    </row>
    <row r="11" spans="1:2" x14ac:dyDescent="0.25">
      <c r="A11" s="4" t="s">
        <v>126</v>
      </c>
      <c r="B11" s="16">
        <v>78000</v>
      </c>
    </row>
    <row r="12" spans="1:2" x14ac:dyDescent="0.25">
      <c r="A12" s="4" t="s">
        <v>127</v>
      </c>
      <c r="B12" s="16">
        <v>60000</v>
      </c>
    </row>
    <row r="13" spans="1:2" x14ac:dyDescent="0.25">
      <c r="A13" s="4" t="s">
        <v>128</v>
      </c>
      <c r="B13" s="16">
        <v>213978</v>
      </c>
    </row>
    <row r="14" spans="1:2" x14ac:dyDescent="0.25">
      <c r="A14" s="4" t="s">
        <v>129</v>
      </c>
      <c r="B14" s="16">
        <v>21632</v>
      </c>
    </row>
    <row r="15" ht="24" customHeight="1" spans="1:2" x14ac:dyDescent="0.25">
      <c r="A15" s="3" t="s">
        <v>130</v>
      </c>
      <c r="B15" s="22">
        <f>SUM(B9:B14)</f>
        <v>454277</v>
      </c>
    </row>
    <row r="17" spans="1:2" x14ac:dyDescent="0.25">
      <c r="A17" s="5" t="s">
        <v>131</v>
      </c>
      <c r="B17" s="23">
        <f>B6-B15</f>
        <v>-104277</v>
      </c>
    </row>
    <row r="18" spans="1:1" x14ac:dyDescent="0.25">
      <c r="A18" s="24" t="s">
        <v>132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133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134</v>
      </c>
      <c r="B3" s="6" t="s">
        <v>135</v>
      </c>
      <c r="C3" s="6" t="s">
        <v>136</v>
      </c>
      <c r="D3" s="6" t="s">
        <v>137</v>
      </c>
      <c r="E3" s="6" t="s">
        <v>138</v>
      </c>
      <c r="F3" s="6" t="s">
        <v>139</v>
      </c>
      <c r="G3" s="6" t="s">
        <v>140</v>
      </c>
    </row>
    <row r="4" spans="1:7" x14ac:dyDescent="0.25">
      <c r="A4" s="4" t="s">
        <v>141</v>
      </c>
      <c r="B4" s="13">
        <v>350000</v>
      </c>
      <c r="C4" s="12">
        <v>0.06</v>
      </c>
      <c r="D4" s="25">
        <v>10</v>
      </c>
      <c r="E4" s="13">
        <v>46629</v>
      </c>
      <c r="F4" s="13">
        <v>3886</v>
      </c>
      <c r="G4" s="13">
        <v>116286</v>
      </c>
    </row>
    <row r="6" ht="24" customHeight="1" spans="1:7" x14ac:dyDescent="0.25">
      <c r="A6" s="3" t="s">
        <v>142</v>
      </c>
      <c r="B6" s="3"/>
      <c r="C6" s="3"/>
      <c r="D6" s="3"/>
      <c r="E6" s="3"/>
      <c r="F6" s="3"/>
      <c r="G6" s="3"/>
    </row>
    <row r="7" spans="1:2" x14ac:dyDescent="0.25">
      <c r="A7" s="5" t="s">
        <v>143</v>
      </c>
      <c r="B7" s="18">
        <v>46629</v>
      </c>
    </row>
    <row r="8" spans="1:2" x14ac:dyDescent="0.25">
      <c r="A8" s="4" t="s">
        <v>144</v>
      </c>
      <c r="B8" s="19">
        <v>3886</v>
      </c>
    </row>
    <row r="10" ht="24" customHeight="1" spans="1:7" x14ac:dyDescent="0.25">
      <c r="A10" s="3" t="s">
        <v>145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146</v>
      </c>
      <c r="B11" s="6" t="s">
        <v>147</v>
      </c>
    </row>
    <row r="12" spans="1:2" x14ac:dyDescent="0.25">
      <c r="A12" s="4" t="s">
        <v>22</v>
      </c>
      <c r="B12" s="13">
        <v>324371</v>
      </c>
    </row>
    <row r="13" spans="1:2" x14ac:dyDescent="0.25">
      <c r="A13" s="4" t="s">
        <v>23</v>
      </c>
      <c r="B13" s="13">
        <v>297205</v>
      </c>
    </row>
    <row r="14" spans="1:2" x14ac:dyDescent="0.25">
      <c r="A14" s="4" t="s">
        <v>24</v>
      </c>
      <c r="B14" s="13">
        <v>268409</v>
      </c>
    </row>
    <row r="15" spans="1:2" x14ac:dyDescent="0.25">
      <c r="A15" s="4" t="s">
        <v>25</v>
      </c>
      <c r="B15" s="13">
        <v>237885</v>
      </c>
    </row>
    <row r="16" spans="1:2" x14ac:dyDescent="0.25">
      <c r="A16" s="4" t="s">
        <v>26</v>
      </c>
      <c r="B16" s="13">
        <v>205529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148</v>
      </c>
      <c r="D1" s="6" t="s">
        <v>149</v>
      </c>
      <c r="E1" s="6" t="s">
        <v>150</v>
      </c>
      <c r="F1" s="6" t="s">
        <v>151</v>
      </c>
      <c r="G1" s="6" t="s">
        <v>152</v>
      </c>
      <c r="H1" s="6" t="s">
        <v>153</v>
      </c>
      <c r="I1" s="6" t="s">
        <v>154</v>
      </c>
      <c r="J1" s="6" t="s">
        <v>155</v>
      </c>
      <c r="K1" s="6" t="s">
        <v>156</v>
      </c>
      <c r="L1" s="6" t="s">
        <v>157</v>
      </c>
      <c r="M1" s="6" t="s">
        <v>158</v>
      </c>
      <c r="N1" s="6" t="s">
        <v>159</v>
      </c>
    </row>
    <row r="2" spans="1:14" x14ac:dyDescent="0.25">
      <c r="A2" s="5" t="s">
        <v>160</v>
      </c>
      <c r="B2" s="13">
        <v>146500</v>
      </c>
      <c r="C2" s="13">
        <v>146500</v>
      </c>
      <c r="D2" s="13">
        <v>146500</v>
      </c>
      <c r="E2" s="13">
        <v>146500</v>
      </c>
      <c r="F2" s="13">
        <v>146500</v>
      </c>
      <c r="G2" s="13">
        <v>146500</v>
      </c>
      <c r="H2" s="13">
        <v>146500</v>
      </c>
      <c r="I2" s="13">
        <v>146500</v>
      </c>
      <c r="J2" s="13">
        <v>146500</v>
      </c>
      <c r="K2" s="13">
        <v>-140167</v>
      </c>
      <c r="L2" s="13">
        <v>0</v>
      </c>
      <c r="M2" s="13">
        <v>0</v>
      </c>
      <c r="N2" s="26">
        <f>SUM(B2:M2)</f>
        <v>1178333</v>
      </c>
    </row>
    <row r="3" spans="1:14" x14ac:dyDescent="0.25">
      <c r="A3" s="4" t="s">
        <v>161</v>
      </c>
      <c r="B3" s="13">
        <v>78054</v>
      </c>
      <c r="C3" s="13">
        <v>78054</v>
      </c>
      <c r="D3" s="13">
        <v>78054</v>
      </c>
      <c r="E3" s="13">
        <v>78054</v>
      </c>
      <c r="F3" s="13">
        <v>78054</v>
      </c>
      <c r="G3" s="13">
        <v>78054</v>
      </c>
      <c r="H3" s="13">
        <v>78054</v>
      </c>
      <c r="I3" s="13">
        <v>78054</v>
      </c>
      <c r="J3" s="13">
        <v>78054</v>
      </c>
      <c r="K3" s="13">
        <v>78049</v>
      </c>
      <c r="L3" s="13">
        <v>0</v>
      </c>
      <c r="M3" s="13">
        <v>0</v>
      </c>
      <c r="N3" s="13">
        <f>SUM(B3:M3)</f>
        <v>780535</v>
      </c>
    </row>
    <row r="4" spans="1:14" x14ac:dyDescent="0.25">
      <c r="A4" s="4" t="s">
        <v>162</v>
      </c>
      <c r="B4" s="13">
        <v>50333</v>
      </c>
      <c r="C4" s="13">
        <v>50333</v>
      </c>
      <c r="D4" s="13">
        <v>50333</v>
      </c>
      <c r="E4" s="13">
        <v>50333</v>
      </c>
      <c r="F4" s="13">
        <v>50333</v>
      </c>
      <c r="G4" s="13">
        <v>50333</v>
      </c>
      <c r="H4" s="13">
        <v>50333</v>
      </c>
      <c r="I4" s="13">
        <v>50333</v>
      </c>
      <c r="J4" s="13">
        <v>50333</v>
      </c>
      <c r="K4" s="13">
        <v>50336</v>
      </c>
      <c r="L4" s="13">
        <v>0</v>
      </c>
      <c r="M4" s="13">
        <v>0</v>
      </c>
      <c r="N4" s="13">
        <f>SUM(B4:M4)</f>
        <v>503333</v>
      </c>
    </row>
    <row r="5" spans="1:14" x14ac:dyDescent="0.25">
      <c r="A5" s="4" t="s">
        <v>163</v>
      </c>
      <c r="B5" s="13">
        <v>8886</v>
      </c>
      <c r="C5" s="13">
        <v>8886</v>
      </c>
      <c r="D5" s="13">
        <v>8886</v>
      </c>
      <c r="E5" s="13">
        <v>8886</v>
      </c>
      <c r="F5" s="13">
        <v>8886</v>
      </c>
      <c r="G5" s="13">
        <v>8886</v>
      </c>
      <c r="H5" s="13">
        <v>8886</v>
      </c>
      <c r="I5" s="13">
        <v>8886</v>
      </c>
      <c r="J5" s="13">
        <v>8886</v>
      </c>
      <c r="K5" s="13">
        <v>8886</v>
      </c>
      <c r="L5" s="13">
        <v>8886</v>
      </c>
      <c r="M5" s="13">
        <v>8883</v>
      </c>
      <c r="N5" s="13">
        <f>SUM(B5:M5)</f>
        <v>106629</v>
      </c>
    </row>
    <row r="6" ht="24" customHeight="1" spans="1:14" x14ac:dyDescent="0.25">
      <c r="A6" s="3" t="s">
        <v>164</v>
      </c>
      <c r="B6" s="22">
        <f>SUM(B3:B5)</f>
        <v>137273</v>
      </c>
      <c r="C6" s="22">
        <f>SUM(C3:C5)</f>
        <v>137273</v>
      </c>
      <c r="D6" s="22">
        <f>SUM(D3:D5)</f>
        <v>137273</v>
      </c>
      <c r="E6" s="22">
        <f>SUM(E3:E5)</f>
        <v>137273</v>
      </c>
      <c r="F6" s="22">
        <f>SUM(F3:F5)</f>
        <v>137273</v>
      </c>
      <c r="G6" s="22">
        <f>SUM(G3:G5)</f>
        <v>137273</v>
      </c>
      <c r="H6" s="22">
        <f>SUM(H3:H5)</f>
        <v>137273</v>
      </c>
      <c r="I6" s="22">
        <f>SUM(I3:I5)</f>
        <v>137273</v>
      </c>
      <c r="J6" s="22">
        <f>SUM(J3:J5)</f>
        <v>137273</v>
      </c>
      <c r="K6" s="22">
        <f>SUM(K3:K5)</f>
        <v>137271</v>
      </c>
      <c r="L6" s="22">
        <f>SUM(L3:L5)</f>
        <v>8886</v>
      </c>
      <c r="M6" s="22">
        <f>SUM(M3:M5)</f>
        <v>8883</v>
      </c>
      <c r="N6" s="22">
        <f>SUM(B6:M6)</f>
        <v>1390497</v>
      </c>
    </row>
    <row r="7" spans="1:14" x14ac:dyDescent="0.25">
      <c r="A7" s="5" t="s">
        <v>165</v>
      </c>
      <c r="B7" s="26">
        <f>B2-B6</f>
        <v>9227</v>
      </c>
      <c r="C7" s="26">
        <f>C2-C6</f>
        <v>9227</v>
      </c>
      <c r="D7" s="26">
        <f>D2-D6</f>
        <v>9227</v>
      </c>
      <c r="E7" s="26">
        <f>E2-E6</f>
        <v>9227</v>
      </c>
      <c r="F7" s="26">
        <f>F2-F6</f>
        <v>9227</v>
      </c>
      <c r="G7" s="26">
        <f>G2-G6</f>
        <v>9227</v>
      </c>
      <c r="H7" s="26">
        <f>H2-H6</f>
        <v>9227</v>
      </c>
      <c r="I7" s="26">
        <f>I2-I6</f>
        <v>9227</v>
      </c>
      <c r="J7" s="26">
        <f>J2-J6</f>
        <v>9227</v>
      </c>
      <c r="K7" s="26">
        <f>K2-K6</f>
        <v>-277438</v>
      </c>
      <c r="L7" s="26">
        <f>L2-L6</f>
        <v>-8886</v>
      </c>
      <c r="M7" s="26">
        <f>M2-M6</f>
        <v>-8883</v>
      </c>
      <c r="N7" s="26">
        <f>SUM(B7:M7)</f>
        <v>-212164</v>
      </c>
    </row>
    <row r="8" spans="1:14" x14ac:dyDescent="0.25">
      <c r="A8" s="5" t="s">
        <v>166</v>
      </c>
      <c r="B8" s="26">
        <f>350000+B7</f>
        <v>359227</v>
      </c>
      <c r="C8" s="26">
        <f>B8+C7</f>
        <v>368454</v>
      </c>
      <c r="D8" s="26">
        <f>C8+D7</f>
        <v>377681</v>
      </c>
      <c r="E8" s="26">
        <f>D8+E7</f>
        <v>386908</v>
      </c>
      <c r="F8" s="26">
        <f>E8+F7</f>
        <v>396135</v>
      </c>
      <c r="G8" s="26">
        <f>F8+G7</f>
        <v>405362</v>
      </c>
      <c r="H8" s="26">
        <f>G8+H7</f>
        <v>414589</v>
      </c>
      <c r="I8" s="26">
        <f>H8+I7</f>
        <v>423816</v>
      </c>
      <c r="J8" s="26">
        <f>I8+J7</f>
        <v>433043</v>
      </c>
      <c r="K8" s="26">
        <f>J8+K7</f>
        <v>155605</v>
      </c>
      <c r="L8" s="26">
        <f>K8+L7</f>
        <v>146719</v>
      </c>
      <c r="M8" s="26">
        <f>L8+M7</f>
        <v>137836</v>
      </c>
      <c r="N8" s="26">
        <f>M8</f>
        <v>137836</v>
      </c>
    </row>
    <row r="10" ht="24" customHeight="1" spans="1:14" x14ac:dyDescent="0.25">
      <c r="A10" s="3" t="s">
        <v>167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168</v>
      </c>
      <c r="B11" s="19">
        <v>350000</v>
      </c>
    </row>
    <row r="12" spans="1:2" x14ac:dyDescent="0.25">
      <c r="A12" s="4" t="s">
        <v>169</v>
      </c>
      <c r="B12" s="18">
        <f>M8</f>
        <v>137836</v>
      </c>
    </row>
    <row r="13" spans="1:2" x14ac:dyDescent="0.25">
      <c r="A13" s="4" t="s">
        <v>170</v>
      </c>
      <c r="B13" s="19">
        <f>MIN(B8:M8)</f>
        <v>137836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171</v>
      </c>
      <c r="B2" s="26">
        <f>'Tuition &amp; Funding Detail'!B16</f>
        <v>1178333</v>
      </c>
      <c r="C2" s="26">
        <f>'Tuition &amp; Funding Detail'!C16</f>
        <v>2212650</v>
      </c>
      <c r="D2" s="26">
        <f>'Tuition &amp; Funding Detail'!D16</f>
        <v>3265600</v>
      </c>
      <c r="E2" s="26">
        <f>'Tuition &amp; Funding Detail'!E16</f>
        <v>4342850</v>
      </c>
      <c r="F2" s="26">
        <f>'Tuition &amp; Funding Detail'!F16</f>
        <v>5524700</v>
      </c>
    </row>
    <row r="3" spans="1:6" x14ac:dyDescent="0.25">
      <c r="A3" s="4" t="s">
        <v>161</v>
      </c>
      <c r="B3" s="13">
        <f>'Staffing Plan'!B26</f>
        <v>780535</v>
      </c>
      <c r="C3" s="13">
        <f>'Staffing Plan'!C26</f>
        <v>936642</v>
      </c>
      <c r="D3" s="13">
        <f>'Staffing Plan'!D26</f>
        <v>936642</v>
      </c>
      <c r="E3" s="13">
        <f>'Staffing Plan'!E26</f>
        <v>936642</v>
      </c>
      <c r="F3" s="13">
        <f>'Staffing Plan'!F26</f>
        <v>936642</v>
      </c>
    </row>
    <row r="4" spans="1:6" x14ac:dyDescent="0.25">
      <c r="A4" s="4" t="s">
        <v>162</v>
      </c>
      <c r="B4" s="13">
        <f>'Operating Expenses'!B15+'Facilities &amp; Occupancy'!B6</f>
        <v>503333</v>
      </c>
      <c r="C4" s="13">
        <f>'Operating Expenses'!C15+'Facilities &amp; Occupancy'!C6</f>
        <v>774860</v>
      </c>
      <c r="D4" s="13">
        <f>'Operating Expenses'!D15+'Facilities &amp; Occupancy'!D6</f>
        <v>994468</v>
      </c>
      <c r="E4" s="13">
        <f>'Operating Expenses'!E15+'Facilities &amp; Occupancy'!E6</f>
        <v>1226220</v>
      </c>
      <c r="F4" s="13">
        <f>'Operating Expenses'!F15+'Facilities &amp; Occupancy'!F6</f>
        <v>1471949</v>
      </c>
    </row>
    <row r="5" spans="1:6" x14ac:dyDescent="0.25">
      <c r="A5" s="4" t="s">
        <v>172</v>
      </c>
      <c r="B5" s="13">
        <v>106629</v>
      </c>
      <c r="C5" s="13">
        <v>66629</v>
      </c>
      <c r="D5" s="13">
        <v>71629</v>
      </c>
      <c r="E5" s="13">
        <v>56629</v>
      </c>
      <c r="F5" s="13">
        <v>56629</v>
      </c>
    </row>
    <row r="6" ht="24" customHeight="1" spans="1:6" x14ac:dyDescent="0.25">
      <c r="A6" s="3" t="s">
        <v>164</v>
      </c>
      <c r="B6" s="27">
        <f>SUM(B3:B5)</f>
        <v>1390497</v>
      </c>
      <c r="C6" s="27">
        <f>SUM(C3:C5)</f>
        <v>1778131</v>
      </c>
      <c r="D6" s="27">
        <f>SUM(D3:D5)</f>
        <v>2002739</v>
      </c>
      <c r="E6" s="27">
        <f>SUM(E3:E5)</f>
        <v>2219491</v>
      </c>
      <c r="F6" s="27">
        <f>SUM(F3:F5)</f>
        <v>2465220</v>
      </c>
    </row>
    <row r="7" spans="1:6" x14ac:dyDescent="0.25">
      <c r="A7" s="5" t="s">
        <v>173</v>
      </c>
      <c r="B7" s="28">
        <f>B2-B6</f>
        <v>-212164</v>
      </c>
      <c r="C7" s="29">
        <f>C2-C6</f>
        <v>434519</v>
      </c>
      <c r="D7" s="29">
        <f>D2-D6</f>
        <v>1262862</v>
      </c>
      <c r="E7" s="29">
        <f>E2-E6</f>
        <v>2123359</v>
      </c>
      <c r="F7" s="29">
        <f>F2-F6</f>
        <v>3059480</v>
      </c>
    </row>
    <row r="8" spans="1:6" x14ac:dyDescent="0.25">
      <c r="A8" s="4" t="s">
        <v>174</v>
      </c>
      <c r="B8" s="12">
        <f>IF(B2=0,0,B7/B2)</f>
        <v>-0.18</v>
      </c>
      <c r="C8" s="12">
        <f>IF(C2=0,0,C7/C2)</f>
        <v>0.2</v>
      </c>
      <c r="D8" s="12">
        <f>IF(D2=0,0,D7/D2)</f>
        <v>0.39</v>
      </c>
      <c r="E8" s="12">
        <f>IF(E2=0,0,E7/E2)</f>
        <v>0.49</v>
      </c>
      <c r="F8" s="12">
        <f>IF(F2=0,0,F7/F2)</f>
        <v>0.55</v>
      </c>
    </row>
    <row r="9" spans="1:6" x14ac:dyDescent="0.25">
      <c r="A9" s="5" t="s">
        <v>175</v>
      </c>
      <c r="B9" s="26">
        <f>B7</f>
        <v>-212164</v>
      </c>
      <c r="C9" s="26">
        <f>B9+C7</f>
        <v>222355</v>
      </c>
      <c r="D9" s="26">
        <f>C9+D7</f>
        <v>1485217</v>
      </c>
      <c r="E9" s="26">
        <f>D9+E7</f>
        <v>3608576</v>
      </c>
      <c r="F9" s="26">
        <f>E9+F7</f>
        <v>6668056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176</v>
      </c>
      <c r="B2" s="3"/>
      <c r="C2" s="3"/>
      <c r="D2" s="3"/>
      <c r="E2" s="3"/>
      <c r="F2" s="3"/>
    </row>
    <row r="3" spans="1:6" x14ac:dyDescent="0.25">
      <c r="A3" s="4" t="s">
        <v>177</v>
      </c>
      <c r="B3" s="13">
        <v>137836</v>
      </c>
      <c r="C3" s="13">
        <v>572355</v>
      </c>
      <c r="D3" s="13">
        <v>1835217</v>
      </c>
      <c r="E3" s="13">
        <v>3958576</v>
      </c>
      <c r="F3" s="13">
        <v>7018056</v>
      </c>
    </row>
    <row r="4" spans="1:6" x14ac:dyDescent="0.25">
      <c r="A4" s="4" t="s">
        <v>178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179</v>
      </c>
      <c r="B5" s="14">
        <f>SUM(B3:B4)</f>
        <v>137836</v>
      </c>
      <c r="C5" s="14">
        <f>SUM(C3:C4)</f>
        <v>572355</v>
      </c>
      <c r="D5" s="14">
        <f>SUM(D3:D4)</f>
        <v>1835217</v>
      </c>
      <c r="E5" s="14">
        <f>SUM(E3:E4)</f>
        <v>3958576</v>
      </c>
      <c r="F5" s="14">
        <f>SUM(F3:F4)</f>
        <v>7018056</v>
      </c>
    </row>
    <row r="7" ht="24" customHeight="1" spans="1:6" x14ac:dyDescent="0.25">
      <c r="A7" s="3" t="s">
        <v>180</v>
      </c>
      <c r="B7" s="3"/>
      <c r="C7" s="3"/>
      <c r="D7" s="3"/>
      <c r="E7" s="3"/>
      <c r="F7" s="3"/>
    </row>
    <row r="8" spans="1:6" x14ac:dyDescent="0.25">
      <c r="A8" s="4" t="s">
        <v>181</v>
      </c>
      <c r="B8" s="13">
        <v>324371</v>
      </c>
      <c r="C8" s="13">
        <v>297205</v>
      </c>
      <c r="D8" s="13">
        <v>268409</v>
      </c>
      <c r="E8" s="13">
        <v>237885</v>
      </c>
      <c r="F8" s="13">
        <v>205529</v>
      </c>
    </row>
    <row r="9" spans="1:6" x14ac:dyDescent="0.25">
      <c r="A9" s="4" t="s">
        <v>182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183</v>
      </c>
      <c r="B10" s="14">
        <f>SUM(B8:B9)</f>
        <v>324371</v>
      </c>
      <c r="C10" s="14">
        <f>SUM(C8:C9)</f>
        <v>297205</v>
      </c>
      <c r="D10" s="14">
        <f>SUM(D8:D9)</f>
        <v>268409</v>
      </c>
      <c r="E10" s="14">
        <f>SUM(E8:E9)</f>
        <v>237885</v>
      </c>
      <c r="F10" s="14">
        <f>SUM(F8:F9)</f>
        <v>205529</v>
      </c>
    </row>
    <row r="12" ht="24" customHeight="1" spans="1:6" x14ac:dyDescent="0.25">
      <c r="A12" s="3" t="s">
        <v>184</v>
      </c>
      <c r="B12" s="3"/>
      <c r="C12" s="3"/>
      <c r="D12" s="3"/>
      <c r="E12" s="3"/>
      <c r="F12" s="3"/>
    </row>
    <row r="13" spans="1:6" x14ac:dyDescent="0.25">
      <c r="A13" s="4" t="s">
        <v>185</v>
      </c>
      <c r="B13" s="13">
        <v>0</v>
      </c>
      <c r="C13" s="13">
        <v>-186535</v>
      </c>
      <c r="D13" s="13">
        <v>275150</v>
      </c>
      <c r="E13" s="13">
        <v>1566808</v>
      </c>
      <c r="F13" s="13">
        <v>3720691</v>
      </c>
    </row>
    <row r="14" spans="1:6" x14ac:dyDescent="0.25">
      <c r="A14" s="4" t="s">
        <v>186</v>
      </c>
      <c r="B14" s="13">
        <v>-186535</v>
      </c>
      <c r="C14" s="13">
        <v>461685</v>
      </c>
      <c r="D14" s="13">
        <v>1291658</v>
      </c>
      <c r="E14" s="13">
        <v>2153883</v>
      </c>
      <c r="F14" s="13">
        <v>3091836</v>
      </c>
    </row>
    <row r="15" ht="24" customHeight="1" spans="1:6" x14ac:dyDescent="0.25">
      <c r="A15" s="3" t="s">
        <v>187</v>
      </c>
      <c r="B15" s="14">
        <f>B5-B10</f>
        <v>-186535</v>
      </c>
      <c r="C15" s="14">
        <f>C5-C10</f>
        <v>275150</v>
      </c>
      <c r="D15" s="14">
        <f>D5-D10</f>
        <v>1566808</v>
      </c>
      <c r="E15" s="14">
        <f>E5-E10</f>
        <v>3720691</v>
      </c>
      <c r="F15" s="14">
        <f>F5-F10</f>
        <v>6812527</v>
      </c>
    </row>
    <row r="17" spans="1:6" x14ac:dyDescent="0.25">
      <c r="A17" s="5" t="s">
        <v>188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189</v>
      </c>
      <c r="B2" s="3"/>
      <c r="C2" s="3"/>
      <c r="D2" s="3"/>
      <c r="E2" s="3"/>
      <c r="F2" s="3"/>
    </row>
    <row r="3" spans="1:6" x14ac:dyDescent="0.25">
      <c r="A3" s="4" t="s">
        <v>190</v>
      </c>
      <c r="B3" s="13">
        <v>-105535</v>
      </c>
      <c r="C3" s="13">
        <v>501148</v>
      </c>
      <c r="D3" s="13">
        <v>1334490</v>
      </c>
      <c r="E3" s="13">
        <v>2179988</v>
      </c>
      <c r="F3" s="13">
        <v>3116109</v>
      </c>
    </row>
    <row r="4" spans="1:6" x14ac:dyDescent="0.25">
      <c r="A4" s="4" t="s">
        <v>143</v>
      </c>
      <c r="B4" s="13">
        <v>46629</v>
      </c>
      <c r="C4" s="13">
        <v>46629</v>
      </c>
      <c r="D4" s="13">
        <v>46629</v>
      </c>
      <c r="E4" s="13">
        <v>46629</v>
      </c>
      <c r="F4" s="13">
        <v>46629</v>
      </c>
    </row>
    <row r="5" spans="1:6" x14ac:dyDescent="0.25">
      <c r="A5" s="5" t="s">
        <v>191</v>
      </c>
      <c r="B5" s="30">
        <f>IF(B4=0,"N/A",B3/B4)</f>
        <v>-2.26</v>
      </c>
      <c r="C5" s="30">
        <f>IF(C4=0,"N/A",C3/C4)</f>
        <v>10.75</v>
      </c>
      <c r="D5" s="30">
        <f>IF(D4=0,"N/A",D3/D4)</f>
        <v>28.62</v>
      </c>
      <c r="E5" s="30">
        <f>IF(E4=0,"N/A",E3/E4)</f>
        <v>46.75</v>
      </c>
      <c r="F5" s="30">
        <f>IF(F4=0,"N/A",F3/F4)</f>
        <v>66.83</v>
      </c>
    </row>
    <row r="7" ht="24" customHeight="1" spans="1:6" x14ac:dyDescent="0.25">
      <c r="A7" s="3" t="s">
        <v>192</v>
      </c>
      <c r="B7" s="3"/>
      <c r="C7" s="3"/>
      <c r="D7" s="3"/>
      <c r="E7" s="3"/>
      <c r="F7" s="3"/>
    </row>
    <row r="8" spans="1:6" x14ac:dyDescent="0.25">
      <c r="A8" s="4" t="s">
        <v>193</v>
      </c>
      <c r="B8" s="13">
        <v>137836</v>
      </c>
      <c r="C8" s="13">
        <v>572355</v>
      </c>
      <c r="D8" s="13">
        <v>1835217</v>
      </c>
      <c r="E8" s="13">
        <v>3958576</v>
      </c>
      <c r="F8" s="13">
        <v>7018056</v>
      </c>
    </row>
    <row r="9" spans="1:6" x14ac:dyDescent="0.25">
      <c r="A9" s="4" t="s">
        <v>194</v>
      </c>
      <c r="B9" s="13">
        <v>106989</v>
      </c>
      <c r="C9" s="13">
        <v>142625</v>
      </c>
      <c r="D9" s="13">
        <v>160926</v>
      </c>
      <c r="E9" s="13">
        <v>180239</v>
      </c>
      <c r="F9" s="13">
        <v>200716</v>
      </c>
    </row>
    <row r="10" spans="1:6" x14ac:dyDescent="0.25">
      <c r="A10" s="5" t="s">
        <v>195</v>
      </c>
      <c r="B10" s="31">
        <f>IF(B9=0,0,B8/B9)</f>
        <v>1.29</v>
      </c>
      <c r="C10" s="31">
        <f>IF(C9=0,0,C8/C9)</f>
        <v>4.01</v>
      </c>
      <c r="D10" s="31">
        <f>IF(D9=0,0,D8/D9)</f>
        <v>11.4</v>
      </c>
      <c r="E10" s="31">
        <f>IF(E9=0,0,E8/E9)</f>
        <v>21.96</v>
      </c>
      <c r="F10" s="31">
        <f>IF(F9=0,0,F8/F9)</f>
        <v>34.97</v>
      </c>
    </row>
    <row r="11" spans="1:6" x14ac:dyDescent="0.25">
      <c r="A11" s="4" t="s">
        <v>196</v>
      </c>
      <c r="B11" s="32">
        <v>39</v>
      </c>
      <c r="C11" s="32">
        <v>122</v>
      </c>
      <c r="D11" s="32">
        <v>347</v>
      </c>
      <c r="E11" s="32">
        <v>668</v>
      </c>
      <c r="F11" s="32">
        <v>1064</v>
      </c>
    </row>
    <row r="13" ht="24" customHeight="1" spans="1:6" x14ac:dyDescent="0.25">
      <c r="A13" s="3" t="s">
        <v>197</v>
      </c>
      <c r="B13" s="3"/>
      <c r="C13" s="3"/>
      <c r="D13" s="3"/>
      <c r="E13" s="3"/>
      <c r="F13" s="3"/>
    </row>
    <row r="14" spans="1:6" x14ac:dyDescent="0.25">
      <c r="A14" s="4" t="s">
        <v>198</v>
      </c>
      <c r="B14" s="33" t="str">
        <f>IF(B5&gt;=1.2,"PASS","FAIL")</f>
        <v>FAIL</v>
      </c>
      <c r="C14" s="34" t="str">
        <f>IF(C5&gt;=1.2,"PASS","FAIL")</f>
        <v>PASS</v>
      </c>
      <c r="D14" s="34" t="str">
        <f>IF(D5&gt;=1.2,"PASS","FAIL")</f>
        <v>PASS</v>
      </c>
      <c r="E14" s="34" t="str">
        <f>IF(E5&gt;=1.2,"PASS","FAIL")</f>
        <v>PASS</v>
      </c>
      <c r="F14" s="34" t="str">
        <f>IF(F5&gt;=1.2,"PASS","FAIL")</f>
        <v>PASS</v>
      </c>
    </row>
    <row r="15" spans="1:6" x14ac:dyDescent="0.25">
      <c r="A15" s="4" t="s">
        <v>199</v>
      </c>
      <c r="B15" s="33" t="str">
        <f>IF(B10&gt;=2,"PASS","FAIL")</f>
        <v>FAIL</v>
      </c>
      <c r="C15" s="34" t="str">
        <f>IF(C10&gt;=2,"PASS","FAIL")</f>
        <v>PASS</v>
      </c>
      <c r="D15" s="34" t="str">
        <f>IF(D10&gt;=2,"PASS","FAIL")</f>
        <v>PASS</v>
      </c>
      <c r="E15" s="34" t="str">
        <f>IF(E10&gt;=2,"PASS","FAIL")</f>
        <v>PASS</v>
      </c>
      <c r="F15" s="34" t="str">
        <f>IF(F10&gt;=2,"PASS","FAIL")</f>
        <v>PASS</v>
      </c>
    </row>
    <row r="16" spans="1:6" x14ac:dyDescent="0.25">
      <c r="A16" s="4" t="s">
        <v>200</v>
      </c>
      <c r="B16" s="33" t="s">
        <v>201</v>
      </c>
      <c r="C16" s="34" t="s">
        <v>202</v>
      </c>
      <c r="D16" s="34" t="s">
        <v>202</v>
      </c>
      <c r="E16" s="34" t="s">
        <v>202</v>
      </c>
      <c r="F16" s="34" t="s">
        <v>202</v>
      </c>
    </row>
    <row r="17" spans="1:6" x14ac:dyDescent="0.25">
      <c r="A17" s="4" t="s">
        <v>203</v>
      </c>
      <c r="B17" s="33" t="s">
        <v>201</v>
      </c>
      <c r="C17" s="33" t="s">
        <v>201</v>
      </c>
      <c r="D17" s="33" t="s">
        <v>201</v>
      </c>
      <c r="E17" s="33" t="s">
        <v>201</v>
      </c>
      <c r="F17" s="34" t="s">
        <v>202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5" t="s">
        <v>204</v>
      </c>
      <c r="B1" s="35"/>
      <c r="C1" s="35"/>
    </row>
    <row r="2" spans="1:3" x14ac:dyDescent="0.25">
      <c r="A2" s="36" t="s">
        <v>205</v>
      </c>
      <c r="B2" s="36"/>
      <c r="C2" s="36"/>
    </row>
    <row r="4" ht="24" customHeight="1" spans="1:3" x14ac:dyDescent="0.25">
      <c r="A4" s="3" t="s">
        <v>206</v>
      </c>
      <c r="B4" s="3"/>
      <c r="C4" s="3"/>
    </row>
    <row r="5" spans="1:3" x14ac:dyDescent="0.25">
      <c r="A5" s="4" t="s">
        <v>207</v>
      </c>
      <c r="B5" s="33" t="s">
        <v>201</v>
      </c>
      <c r="C5" s="4" t="s">
        <v>208</v>
      </c>
    </row>
    <row r="6" spans="1:3" x14ac:dyDescent="0.25">
      <c r="A6" s="4" t="s">
        <v>209</v>
      </c>
      <c r="B6" s="33" t="s">
        <v>201</v>
      </c>
      <c r="C6" s="4" t="s">
        <v>210</v>
      </c>
    </row>
    <row r="7" spans="1:3" x14ac:dyDescent="0.25">
      <c r="A7" s="4" t="s">
        <v>211</v>
      </c>
      <c r="B7" s="33" t="s">
        <v>201</v>
      </c>
      <c r="C7" s="4" t="s">
        <v>212</v>
      </c>
    </row>
    <row r="8" spans="1:3" x14ac:dyDescent="0.25">
      <c r="A8" s="4" t="s">
        <v>213</v>
      </c>
      <c r="B8" s="34" t="s">
        <v>202</v>
      </c>
      <c r="C8" s="4" t="s">
        <v>35</v>
      </c>
    </row>
    <row r="9" spans="1:3" x14ac:dyDescent="0.25">
      <c r="A9" s="4" t="s">
        <v>214</v>
      </c>
      <c r="B9" s="33" t="s">
        <v>201</v>
      </c>
      <c r="C9" s="4" t="s">
        <v>215</v>
      </c>
    </row>
    <row r="10" spans="1:3" x14ac:dyDescent="0.25">
      <c r="A10" s="4" t="s">
        <v>216</v>
      </c>
      <c r="B10" s="34" t="s">
        <v>202</v>
      </c>
      <c r="C10" s="4" t="s">
        <v>217</v>
      </c>
    </row>
    <row r="12" ht="24" customHeight="1" spans="1:3" x14ac:dyDescent="0.25">
      <c r="A12" s="3" t="s">
        <v>218</v>
      </c>
      <c r="B12" s="3"/>
      <c r="C12" s="3"/>
    </row>
    <row r="13" spans="1:2" x14ac:dyDescent="0.25">
      <c r="A13" s="4" t="s">
        <v>219</v>
      </c>
      <c r="B13" s="5" t="s">
        <v>220</v>
      </c>
    </row>
    <row r="14" spans="1:2" x14ac:dyDescent="0.25">
      <c r="A14" s="4" t="s">
        <v>221</v>
      </c>
      <c r="B14" s="37" t="s">
        <v>222</v>
      </c>
    </row>
    <row r="16" ht="24" customHeight="1" spans="1:3" x14ac:dyDescent="0.25">
      <c r="A16" s="3" t="s">
        <v>223</v>
      </c>
      <c r="B16" s="3"/>
      <c r="C16" s="3"/>
    </row>
    <row r="17" spans="1:2" x14ac:dyDescent="0.25">
      <c r="A17" s="4" t="s">
        <v>224</v>
      </c>
      <c r="B17" s="18">
        <v>1178333</v>
      </c>
    </row>
    <row r="18" spans="1:2" x14ac:dyDescent="0.25">
      <c r="A18" s="4" t="s">
        <v>225</v>
      </c>
      <c r="B18" s="18">
        <v>1390497</v>
      </c>
    </row>
    <row r="19" spans="1:2" x14ac:dyDescent="0.25">
      <c r="A19" s="4" t="s">
        <v>226</v>
      </c>
      <c r="B19" s="18">
        <v>-212164</v>
      </c>
    </row>
    <row r="20" spans="1:2" x14ac:dyDescent="0.25">
      <c r="A20" s="4" t="s">
        <v>227</v>
      </c>
      <c r="B20" s="38">
        <v>-0.18005436493758556</v>
      </c>
    </row>
    <row r="21" spans="1:2" x14ac:dyDescent="0.25">
      <c r="A21" s="4" t="s">
        <v>168</v>
      </c>
      <c r="B21" s="18">
        <v>350000</v>
      </c>
    </row>
    <row r="22" spans="1:2" x14ac:dyDescent="0.25">
      <c r="A22" s="4" t="s">
        <v>228</v>
      </c>
      <c r="B22" s="18">
        <v>137836</v>
      </c>
    </row>
    <row r="23" spans="1:2" x14ac:dyDescent="0.25">
      <c r="A23" s="4" t="s">
        <v>229</v>
      </c>
      <c r="B23" s="18">
        <v>350000</v>
      </c>
    </row>
    <row r="24" spans="1:2" x14ac:dyDescent="0.25">
      <c r="A24" s="4" t="s">
        <v>230</v>
      </c>
      <c r="B24" s="5" t="s">
        <v>208</v>
      </c>
    </row>
    <row r="25" spans="1:2" x14ac:dyDescent="0.25">
      <c r="A25" s="4" t="s">
        <v>231</v>
      </c>
      <c r="B25" s="5" t="s">
        <v>232</v>
      </c>
    </row>
    <row r="26" spans="1:2" x14ac:dyDescent="0.25">
      <c r="A26" s="4" t="s">
        <v>233</v>
      </c>
      <c r="B26" s="5" t="s">
        <v>35</v>
      </c>
    </row>
    <row r="27" spans="1:2" x14ac:dyDescent="0.25">
      <c r="A27" s="4" t="s">
        <v>234</v>
      </c>
      <c r="B27" s="18">
        <v>9819</v>
      </c>
    </row>
    <row r="28" spans="1:2" x14ac:dyDescent="0.25">
      <c r="A28" s="4" t="s">
        <v>235</v>
      </c>
      <c r="B28" s="18">
        <v>11587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5" t="s">
        <v>4</v>
      </c>
      <c r="B1" s="35"/>
      <c r="C1" s="35"/>
      <c r="D1" s="35"/>
      <c r="E1" s="35"/>
      <c r="F1" s="35"/>
    </row>
    <row r="2" ht="22" customHeight="1" spans="1:6" x14ac:dyDescent="0.25">
      <c r="A2" s="39" t="s">
        <v>236</v>
      </c>
      <c r="B2" s="39"/>
      <c r="C2" s="39"/>
      <c r="D2" s="39"/>
      <c r="E2" s="39"/>
      <c r="F2" s="39"/>
    </row>
    <row r="3" ht="18" customHeight="1" spans="1:6" x14ac:dyDescent="0.25">
      <c r="A3" s="40" t="s">
        <v>237</v>
      </c>
      <c r="B3" s="40"/>
      <c r="C3" s="40"/>
      <c r="D3" s="40"/>
      <c r="E3" s="40"/>
      <c r="F3" s="40"/>
    </row>
    <row r="4" ht="16" customHeight="1" spans="1:6" x14ac:dyDescent="0.25">
      <c r="A4" s="41" t="s">
        <v>238</v>
      </c>
      <c r="B4" s="41"/>
      <c r="C4" s="41"/>
      <c r="D4" s="41"/>
      <c r="E4" s="41"/>
      <c r="F4" s="41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2">
        <f>Assumptions!$B$17</f>
        <v>120</v>
      </c>
      <c r="C7" s="32">
        <f>Assumptions!$C$17</f>
        <v>200</v>
      </c>
      <c r="D7" s="32">
        <f>Assumptions!$D$17</f>
        <v>300</v>
      </c>
      <c r="E7" s="32">
        <f>Assumptions!$E$17</f>
        <v>400</v>
      </c>
      <c r="F7" s="32">
        <f>Assumptions!$F$17</f>
        <v>500</v>
      </c>
    </row>
    <row r="8" spans="1:6" x14ac:dyDescent="0.25">
      <c r="A8" s="5" t="s">
        <v>171</v>
      </c>
      <c r="B8" s="26">
        <f>'5-Year P&amp;L'!B2</f>
        <v>1178333</v>
      </c>
      <c r="C8" s="26">
        <f>'5-Year P&amp;L'!C2</f>
        <v>2212650</v>
      </c>
      <c r="D8" s="26">
        <f>'5-Year P&amp;L'!D2</f>
        <v>3265600</v>
      </c>
      <c r="E8" s="26">
        <f>'5-Year P&amp;L'!E2</f>
        <v>4342850</v>
      </c>
      <c r="F8" s="26">
        <f>'5-Year P&amp;L'!F2</f>
        <v>5524700</v>
      </c>
    </row>
    <row r="9" spans="1:6" x14ac:dyDescent="0.25">
      <c r="A9" s="4" t="s">
        <v>164</v>
      </c>
      <c r="B9" s="13">
        <f>'5-Year P&amp;L'!B6</f>
        <v>1390497</v>
      </c>
      <c r="C9" s="13">
        <f>'5-Year P&amp;L'!C6</f>
        <v>1778131</v>
      </c>
      <c r="D9" s="13">
        <f>'5-Year P&amp;L'!D6</f>
        <v>2002739</v>
      </c>
      <c r="E9" s="13">
        <f>'5-Year P&amp;L'!E6</f>
        <v>2219491</v>
      </c>
      <c r="F9" s="13">
        <f>'5-Year P&amp;L'!F6</f>
        <v>2465220</v>
      </c>
    </row>
    <row r="10" ht="24" customHeight="1" spans="1:6" x14ac:dyDescent="0.25">
      <c r="A10" s="3" t="s">
        <v>173</v>
      </c>
      <c r="B10" s="22">
        <f>'5-Year P&amp;L'!B7</f>
        <v>-212164</v>
      </c>
      <c r="C10" s="22">
        <f>'5-Year P&amp;L'!C7</f>
        <v>434519</v>
      </c>
      <c r="D10" s="22">
        <f>'5-Year P&amp;L'!D7</f>
        <v>1262862</v>
      </c>
      <c r="E10" s="22">
        <f>'5-Year P&amp;L'!E7</f>
        <v>2123359</v>
      </c>
      <c r="F10" s="22">
        <f>'5-Year P&amp;L'!F7</f>
        <v>3059480</v>
      </c>
    </row>
    <row r="11" spans="1:6" x14ac:dyDescent="0.25">
      <c r="A11" s="4" t="s">
        <v>174</v>
      </c>
      <c r="B11" s="12">
        <f>IF(B8=0,0,B10/B8)</f>
        <v>-0.18</v>
      </c>
      <c r="C11" s="12">
        <f>IF(C8=0,0,C10/C8)</f>
        <v>0.2</v>
      </c>
      <c r="D11" s="12">
        <f>IF(D8=0,0,D10/D8)</f>
        <v>0.39</v>
      </c>
      <c r="E11" s="12">
        <f>IF(E8=0,0,E10/E8)</f>
        <v>0.49</v>
      </c>
      <c r="F11" s="12">
        <f>IF(F8=0,0,F10/F8)</f>
        <v>0.55</v>
      </c>
    </row>
    <row r="12" spans="1:6" x14ac:dyDescent="0.25">
      <c r="A12" s="5" t="s">
        <v>175</v>
      </c>
      <c r="B12" s="26">
        <f>B10</f>
        <v>-212164</v>
      </c>
      <c r="C12" s="26">
        <f>B12+C10</f>
        <v>222355</v>
      </c>
      <c r="D12" s="26">
        <f>C12+D10</f>
        <v>1485217</v>
      </c>
      <c r="E12" s="26">
        <f>D12+E10</f>
        <v>3608576</v>
      </c>
      <c r="F12" s="26">
        <f>E12+F10</f>
        <v>6668056</v>
      </c>
    </row>
    <row r="13" spans="1:6" x14ac:dyDescent="0.25">
      <c r="A13" s="5" t="s">
        <v>239</v>
      </c>
      <c r="B13" s="26">
        <v>137836</v>
      </c>
      <c r="C13" s="26">
        <v>572355</v>
      </c>
      <c r="D13" s="26">
        <v>1835217</v>
      </c>
      <c r="E13" s="26">
        <v>3958576</v>
      </c>
      <c r="F13" s="26">
        <v>7018056</v>
      </c>
    </row>
    <row r="14" spans="1:6" x14ac:dyDescent="0.25">
      <c r="A14" s="4" t="s">
        <v>240</v>
      </c>
      <c r="B14" s="13">
        <v>9819</v>
      </c>
      <c r="C14" s="13">
        <v>11063</v>
      </c>
      <c r="D14" s="13">
        <v>10885</v>
      </c>
      <c r="E14" s="13">
        <v>10857</v>
      </c>
      <c r="F14" s="13">
        <v>11049</v>
      </c>
    </row>
    <row r="15" spans="1:6" x14ac:dyDescent="0.25">
      <c r="A15" s="4" t="s">
        <v>116</v>
      </c>
      <c r="B15" s="13">
        <v>11587</v>
      </c>
      <c r="C15" s="13">
        <v>8891</v>
      </c>
      <c r="D15" s="13">
        <v>6676</v>
      </c>
      <c r="E15" s="13">
        <v>5549</v>
      </c>
      <c r="F15" s="13">
        <v>4930</v>
      </c>
    </row>
    <row r="16" spans="1:6" x14ac:dyDescent="0.25">
      <c r="A16" s="5" t="s">
        <v>191</v>
      </c>
      <c r="B16" s="30">
        <v>-2.26</v>
      </c>
      <c r="C16" s="30">
        <v>10.75</v>
      </c>
      <c r="D16" s="30">
        <v>28.62</v>
      </c>
      <c r="E16" s="30">
        <v>46.75</v>
      </c>
      <c r="F16" s="30">
        <v>66.83</v>
      </c>
    </row>
    <row r="18" spans="1:6" x14ac:dyDescent="0.25">
      <c r="A18" s="41" t="s">
        <v>241</v>
      </c>
      <c r="B18" s="41"/>
      <c r="C18" s="41"/>
      <c r="D18" s="41"/>
      <c r="E18" s="41"/>
      <c r="F18" s="41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2" t="s">
        <v>242</v>
      </c>
      <c r="C3" s="42"/>
    </row>
    <row r="4" ht="28" customHeight="1" spans="2:3" x14ac:dyDescent="0.25">
      <c r="B4" s="43" t="s">
        <v>243</v>
      </c>
      <c r="C4" s="43"/>
    </row>
    <row r="6" ht="4" customHeight="1" spans="2:3" x14ac:dyDescent="0.25">
      <c r="B6" s="44"/>
      <c r="C6" s="44"/>
    </row>
    <row r="8" spans="2:2" x14ac:dyDescent="0.25">
      <c r="B8" s="45" t="s">
        <v>244</v>
      </c>
    </row>
    <row r="9" ht="32" customHeight="1" spans="2:3" x14ac:dyDescent="0.25">
      <c r="B9" s="46" t="s">
        <v>4</v>
      </c>
      <c r="C9" s="46"/>
    </row>
    <row r="10" spans="2:3" x14ac:dyDescent="0.25">
      <c r="B10" s="47" t="s">
        <v>245</v>
      </c>
      <c r="C10" s="47"/>
    </row>
    <row r="12" spans="2:3" x14ac:dyDescent="0.25">
      <c r="B12" s="45" t="s">
        <v>246</v>
      </c>
      <c r="C12" s="48" t="s">
        <v>247</v>
      </c>
    </row>
    <row r="15" ht="24" customHeight="1" spans="1:3" x14ac:dyDescent="0.25">
      <c r="A15" s="3"/>
      <c r="B15" s="3" t="s">
        <v>248</v>
      </c>
      <c r="C15" s="3"/>
    </row>
    <row r="16" spans="2:3" x14ac:dyDescent="0.25">
      <c r="B16" s="11" t="s">
        <v>249</v>
      </c>
      <c r="C16" s="26">
        <v>5524700</v>
      </c>
    </row>
    <row r="17" spans="2:3" x14ac:dyDescent="0.25">
      <c r="B17" s="11" t="s">
        <v>250</v>
      </c>
      <c r="C17" s="26">
        <v>3059480</v>
      </c>
    </row>
    <row r="18" spans="2:3" x14ac:dyDescent="0.25">
      <c r="B18" s="11" t="s">
        <v>193</v>
      </c>
      <c r="C18" s="26">
        <v>6668056</v>
      </c>
    </row>
    <row r="19" spans="2:3" x14ac:dyDescent="0.25">
      <c r="B19" s="11" t="s">
        <v>221</v>
      </c>
      <c r="C19" s="49" t="s">
        <v>251</v>
      </c>
    </row>
    <row r="22" ht="24" customHeight="1" spans="1:3" x14ac:dyDescent="0.25">
      <c r="A22" s="3"/>
      <c r="B22" s="3" t="s">
        <v>252</v>
      </c>
      <c r="C22" s="3"/>
    </row>
    <row r="23" spans="2:3" x14ac:dyDescent="0.25">
      <c r="B23" s="50" t="s">
        <v>253</v>
      </c>
      <c r="C23" s="51"/>
    </row>
    <row r="24" spans="2:3" x14ac:dyDescent="0.25">
      <c r="B24" s="50" t="s">
        <v>254</v>
      </c>
      <c r="C24" s="51"/>
    </row>
    <row r="25" spans="2:3" x14ac:dyDescent="0.25">
      <c r="B25" s="50" t="s">
        <v>255</v>
      </c>
      <c r="C25" s="51"/>
    </row>
    <row r="26" spans="2:3" x14ac:dyDescent="0.25">
      <c r="B26" s="50" t="s">
        <v>256</v>
      </c>
      <c r="C26" s="51"/>
    </row>
    <row r="27" spans="2:3" x14ac:dyDescent="0.25">
      <c r="B27" s="50" t="s">
        <v>162</v>
      </c>
      <c r="C27" s="51"/>
    </row>
    <row r="28" spans="2:3" x14ac:dyDescent="0.25">
      <c r="B28" s="50" t="s">
        <v>257</v>
      </c>
      <c r="C28" s="51"/>
    </row>
    <row r="29" spans="2:3" x14ac:dyDescent="0.25">
      <c r="B29" s="50" t="s">
        <v>258</v>
      </c>
      <c r="C29" s="51"/>
    </row>
    <row r="30" spans="2:3" x14ac:dyDescent="0.25">
      <c r="B30" s="50" t="s">
        <v>259</v>
      </c>
      <c r="C30" s="51"/>
    </row>
    <row r="31" spans="2:3" x14ac:dyDescent="0.25">
      <c r="B31" s="50" t="s">
        <v>260</v>
      </c>
      <c r="C31" s="51"/>
    </row>
    <row r="32" spans="2:3" x14ac:dyDescent="0.25">
      <c r="B32" s="50" t="s">
        <v>261</v>
      </c>
      <c r="C32" s="51"/>
    </row>
    <row r="33" spans="2:3" x14ac:dyDescent="0.25">
      <c r="B33" s="50" t="s">
        <v>262</v>
      </c>
      <c r="C33" s="51"/>
    </row>
    <row r="34" spans="2:3" x14ac:dyDescent="0.25">
      <c r="B34" s="50" t="s">
        <v>263</v>
      </c>
      <c r="C34" s="51"/>
    </row>
    <row r="35" spans="2:3" x14ac:dyDescent="0.25">
      <c r="B35" s="50" t="s">
        <v>264</v>
      </c>
      <c r="C35" s="51"/>
    </row>
    <row r="36" spans="2:3" x14ac:dyDescent="0.25">
      <c r="B36" s="50" t="s">
        <v>265</v>
      </c>
      <c r="C36" s="51"/>
    </row>
    <row r="39" spans="2:3" x14ac:dyDescent="0.25">
      <c r="B39" s="41" t="s">
        <v>241</v>
      </c>
      <c r="C39" s="41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2026-03-26T05:41:28Z</dcterms:created>
  <dcterms:modified xsi:type="dcterms:W3CDTF">2026-03-26T05:41:28Z</dcterms:modified>
</cp:coreProperties>
</file>