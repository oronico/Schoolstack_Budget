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<sst xmlns="http://schemas.openxmlformats.org/spreadsheetml/2006/main" count="457" uniqueCount="325">
  <si>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</si>
  <si>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</si>
  <si>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</si>
  <si>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</si>
  <si>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</si>
  <si>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</si>
  <si>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</si>
  <si>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</si>
  <si>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</si>
  <si>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</si>
  <si>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</si>
  <si>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</si>
  <si>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</si>
  <si>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</si>
  <si>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</si>
  <si>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</si>
  <si>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</si>
  <si>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</si>
  <si>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</si>
  <si>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</si>
  <si>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</si>
  <si>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</si>
  <si>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</si>
  <si>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</si>
  <si>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</si>
  <si>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</si>
  <si>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</si>
  <si>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</si>
  <si>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</si>
  <si>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</si>
  <si>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</si>
  <si>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</si>
  <si>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</si>
  <si>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</si>
  <si>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</si>
  <si>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</si>
  <si>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</si>
  <si>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</si>
  <si>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</si>
  <si>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</si>
  <si>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</si>
  <si>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</si>
  <si>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</si>
  <si>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</si>
  <si>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</si>
  <si>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</si>
  <si>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</si>
  <si>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</si>
  <si>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</si>
  <si>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</si>
  <si>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</si>
  <si>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</si>
  <si>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</si>
  <si>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</si>
  <si>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</si>
  <si>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</si>
  <si>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</si>
  <si>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</si>
  <si>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</si>
  <si>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</si>
  <si>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</si>
  <si>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</si>
  <si>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</si>
  <si>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</si>
  <si>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</si>
  <si>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</si>
  <si>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</si>
  <si>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</si>
  <si>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</si>
  <si>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</si>
  <si>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</si>
  <si>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</si>
  <si>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</si>
  <si>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</si>
  <si>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</si>
  <si>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</si>
  <si>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</si>
  <si>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</si>
  <si>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</si>
  <si>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</si>
  <si>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</si>
  <si>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</si>
  <si>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</si>
  <si>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</si>
  <si>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</si>
  <si>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</si>
  <si>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</si>
  <si>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</si>
  <si>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</si>
  <si>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</si>
  <si>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</si>
  <si>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</si>
  <si>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</si>
  <si>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</si>
  <si>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</si>
  <si>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</si>
  <si>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</si>
  <si>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</si>
  <si>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</si>
  <si>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</si>
  <si>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</si>
  <si>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</si>
  <si>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</si>
  <si>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</si>
  <si>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</si>
  <si>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</si>
  <si>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</si>
  <si>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</si>
  <si>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</si>
  <si>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</si>
  <si>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</si>
  <si>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</si>
  <si>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</si>
  <si>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</si>
  <si>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</si>
  <si>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</si>
  <si>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</si>
  <si>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</si>
  <si>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</si>
  <si>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</si>
  <si>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</si>
  <si>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</si>
  <si>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</si>
  <si>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</si>
  <si>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</si>
  <si>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</si>
  <si>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</si>
  <si>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</si>
  <si>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</si>
  <si>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</si>
  <si>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</si>
  <si>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</si>
  <si>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</si>
  <si>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</si>
  <si>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</si>
  <si>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</si>
  <si>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</si>
  <si>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</si>
  <si>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</si>
  <si>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</si>
  <si>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</si>
  <si>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</si>
  <si>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</si>
  <si>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</si>
  <si>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</si>
  <si>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</si>
  <si>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</si>
  <si>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</si>
  <si>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</si>
  <si>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</si>
  <si>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</si>
  <si>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</si>
  <si>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</si>
  <si>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</si>
  <si>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</si>
  <si>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</si>
  <si>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</si>
  <si>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</si>
  <si>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</si>
  <si>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</si>
  <si>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</si>
  <si>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</si>
  <si>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</si>
  <si>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</si>
  <si>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</si>
  <si>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</si>
  <si>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</si>
  <si>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</si>
  <si>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</si>
  <si>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</si>
  <si>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</si>
  <si>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</si>
  <si>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</si>
  <si>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</si>
  <si>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</si>
  <si>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</si>
  <si>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</si>
  <si>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</si>
  <si>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</si>
  <si>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</si>
  <si>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</si>
  <si>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</si>
  <si>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</si>
  <si>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</si>
  <si>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</si>
  <si>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</si>
  <si>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</si>
  <si>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</si>
  <si>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</si>
  <si>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</si>
  <si>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</si>
  <si>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</si>
  <si>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</si>
  <si>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</si>
  <si>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</si>
  <si>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</si>
  <si>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</si>
  <si>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</si>
  <si>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</si>
  <si>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</si>
  <si>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</si>
  <si>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1.25x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</si>
  <si>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</si>
  <si>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</si>
  <si>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</si>
  <si>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</si>
  <si>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</si>
  <si>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</si>
  <si>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</si>
  <si>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</si>
  <si>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1.25x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</si>
  <si>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</si>
  <si>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</si>
  <si>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</si>
  <si>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</si>
  <si>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</si>
  <si>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</si>
  <si>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</si>
  <si>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</si>
  <si>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</si>
  <si>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</si>
  <si>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</si>
  <si>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</si>
  <si>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</si>
  <si>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</si>
  <si>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</si>
  <si>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</si>
  <si>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</si>
  <si>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</si>
  <si>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</si>
  <si>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</si>
  <si>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</si>
  <si>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</si>
  <si>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</si>
  <si>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</si>
  <si>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</si>
  <si>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</si>
  <si>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</si>
  <si>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</si>
  <si>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</si>
  <si>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</si>
  <si>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April 29,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</si>
  <si>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</si>
  <si>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</si>
  <si>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</si>
  <si>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</si>
  <si>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</si>
  <si>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</si>
  <si>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</si>
  <si>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</si>
  <si>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April 29,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</si>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</sst>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5" fillId="6" borderId="3" xfId="0" applyNumberFormat="1" applyFont="1" applyFill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IF(B5&gt;=1.25,"PASS","FAIL")</f>
        <v>FAIL</v>
      </c>
      <c r="C14" s="37" t="str">
        <f>IF(C5&gt;=1.25,"PASS","FAIL")</f>
        <v>PASS</v>
      </c>
      <c r="D14" s="37" t="str">
        <f>IF(D5&gt;=1.25,"PASS","FAIL")</f>
        <v>PASS</v>
      </c>
      <c r="E14" s="37" t="str">
        <f>IF(E5&gt;=1.25,"PASS","FAIL")</f>
        <v>PASS</v>
      </c>
      <c r="F14" s="37" t="str">
        <f>IF(F5&gt;=1.25,"PASS","FAIL")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7" x14ac:dyDescent="0.25">
      <c r="B16" s="62" t="s">
        <v>117</v>
      </c>
      <c r="C16" s="70">
        <v>11087.475</v>
      </c>
      <c r="D16" s="70">
        <v>8790.655</v>
      </c>
      <c r="E16" s="70">
        <v>6592.463333333333</v>
      </c>
      <c r="F16" s="70">
        <v>5523.7275</v>
      </c>
      <c r="G16" s="70">
        <v>4910.44</v>
      </c>
    </row>
    <row r="17" spans="2:7" x14ac:dyDescent="0.25">
      <c r="B17" s="13" t="s">
        <v>280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</row>
    <row r="18" spans="2:8" x14ac:dyDescent="0.25">
      <c r="B18" s="13" t="s">
        <v>281</v>
      </c>
      <c r="C18" s="67">
        <v>2683.3333333333335</v>
      </c>
      <c r="D18" s="68">
        <v>1658.3</v>
      </c>
      <c r="E18" s="68">
        <v>1138.712</v>
      </c>
      <c r="F18" s="68">
        <v>879.6398199999999</v>
      </c>
      <c r="G18" s="68">
        <v>724.8386516800001</v>
      </c>
      <c r="H18" s="69" t="s">
        <v>282</v>
      </c>
    </row>
    <row r="19" spans="2:7" x14ac:dyDescent="0.25">
      <c r="B19" s="62" t="s">
        <v>283</v>
      </c>
      <c r="C19" s="71">
        <v>-1768.0333333333333</v>
      </c>
      <c r="D19" s="72">
        <v>2172.595</v>
      </c>
      <c r="E19" s="72">
        <v>4209.54</v>
      </c>
      <c r="F19" s="72">
        <v>5308.3975</v>
      </c>
      <c r="G19" s="72">
        <v>6118.96</v>
      </c>
    </row>
    <row r="20" spans="2:8" x14ac:dyDescent="0.25">
      <c r="B20" s="62" t="s">
        <v>284</v>
      </c>
      <c r="C20" s="65">
        <v>0.6624061279791027</v>
      </c>
      <c r="D20" s="66">
        <v>0.4233123178089621</v>
      </c>
      <c r="E20" s="66">
        <v>0.2868207986281235</v>
      </c>
      <c r="F20" s="66">
        <v>0.21567449946463726</v>
      </c>
      <c r="G20" s="66">
        <v>0.16953716943906458</v>
      </c>
      <c r="H20" s="69" t="s">
        <v>285</v>
      </c>
    </row>
    <row r="21" spans="2:8" x14ac:dyDescent="0.25">
      <c r="B21" s="62" t="s">
        <v>286</v>
      </c>
      <c r="C21" s="65">
        <v>0.2732674040360408</v>
      </c>
      <c r="D21" s="66">
        <v>0.1498926626443405</v>
      </c>
      <c r="E21" s="66">
        <v>0.10460975012248896</v>
      </c>
      <c r="F21" s="66">
        <v>0.08101959036116835</v>
      </c>
      <c r="G21" s="66">
        <v>0.06559982005176752</v>
      </c>
      <c r="H21" s="69" t="s">
        <v>287</v>
      </c>
    </row>
    <row r="22" spans="2:8" x14ac:dyDescent="0.25">
      <c r="B22" s="62" t="s">
        <v>288</v>
      </c>
      <c r="C22" s="65">
        <v>-0.08956296734454522</v>
      </c>
      <c r="D22" s="66">
        <v>0.22649221521704743</v>
      </c>
      <c r="E22" s="66">
        <v>0.40865078392944637</v>
      </c>
      <c r="F22" s="66">
        <v>0.501971746664057</v>
      </c>
      <c r="G22" s="66">
        <v>0.5640322551450757</v>
      </c>
      <c r="H22" s="69" t="s">
        <v>289</v>
      </c>
    </row>
    <row r="23" spans="2:8" x14ac:dyDescent="0.25">
      <c r="B23" s="62" t="s">
        <v>290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9" t="s">
        <v>291</v>
      </c>
    </row>
    <row r="24" spans="2:8" x14ac:dyDescent="0.25">
      <c r="B24" s="62" t="s">
        <v>194</v>
      </c>
      <c r="C24" s="74">
        <v>-2.2632910849471357</v>
      </c>
      <c r="D24" s="75">
        <v>10.74756053100002</v>
      </c>
      <c r="E24" s="75">
        <v>28.619314160715433</v>
      </c>
      <c r="F24" s="75">
        <v>46.751763923738444</v>
      </c>
      <c r="G24" s="75">
        <v>66.82770378948723</v>
      </c>
      <c r="H24" s="69" t="s">
        <v>292</v>
      </c>
    </row>
    <row r="25" spans="2:8" x14ac:dyDescent="0.25">
      <c r="B25" s="62" t="s">
        <v>293</v>
      </c>
      <c r="C25" s="76" t="str">
        <f>IF('5-Year P&amp;L'!B9&gt;=0,"✓ Break-even","")</f>
        <v>0</v>
      </c>
      <c r="D25" s="32" t="str">
        <f>IF(AND('5-Year P&amp;L'!C9&gt;=0,'5-Year P&amp;L'!B9&lt;0),"✓ Break-even","")</f>
        <v>✓ Break-even</v>
      </c>
      <c r="E25" s="76" t="str">
        <f>IF(AND('5-Year P&amp;L'!D9&gt;=0,'5-Year P&amp;L'!C9&lt;0),"✓ Break-even","")</f>
        <v>0</v>
      </c>
      <c r="F25" s="76" t="str">
        <f>IF(AND('5-Year P&amp;L'!E9&gt;=0,'5-Year P&amp;L'!D9&lt;0),"✓ Break-even","")</f>
        <v>0</v>
      </c>
      <c r="G25" s="76" t="str">
        <f>IF(AND('5-Year P&amp;L'!F9&gt;=0,'5-Year P&amp;L'!E9&lt;0),"✓ Break-even","")</f>
        <v>0</v>
      </c>
      <c r="H25" s="69" t="s">
        <v>23</v>
      </c>
    </row>
    <row r="26" spans="2:8" x14ac:dyDescent="0.25">
      <c r="B26" s="62" t="s">
        <v>294</v>
      </c>
      <c r="C26" s="77">
        <v>1</v>
      </c>
      <c r="D26" s="77">
        <v>4</v>
      </c>
      <c r="E26" s="77">
        <v>11</v>
      </c>
      <c r="F26" s="78">
        <v>21</v>
      </c>
      <c r="G26" s="73">
        <v>34</v>
      </c>
      <c r="H26" s="69" t="s">
        <v>295</v>
      </c>
    </row>
    <row r="27" spans="2:8" x14ac:dyDescent="0.25">
      <c r="B27" s="62" t="s">
        <v>199</v>
      </c>
      <c r="C27" s="77">
        <v>38</v>
      </c>
      <c r="D27" s="73">
        <v>119</v>
      </c>
      <c r="E27" s="73">
        <v>339</v>
      </c>
      <c r="F27" s="73">
        <v>654</v>
      </c>
      <c r="G27" s="73">
        <v>1043</v>
      </c>
      <c r="H27" s="69" t="s">
        <v>296</v>
      </c>
    </row>
    <row r="29" ht="24" customHeight="1" spans="2:8" x14ac:dyDescent="0.25">
      <c r="B29" s="5" t="s">
        <v>297</v>
      </c>
      <c r="C29" s="5" t="s">
        <v>298</v>
      </c>
      <c r="D29" s="5" t="s">
        <v>299</v>
      </c>
      <c r="E29" s="5"/>
      <c r="F29" s="5" t="s">
        <v>300</v>
      </c>
      <c r="G29" s="5"/>
      <c r="H29" s="5"/>
    </row>
    <row r="30" ht="45" customHeight="1" spans="2:8" x14ac:dyDescent="0.25">
      <c r="B30" s="79" t="s">
        <v>301</v>
      </c>
      <c r="C30" s="32" t="s">
        <v>302</v>
      </c>
      <c r="D30" s="80" t="s">
        <v>303</v>
      </c>
      <c r="E30" s="80"/>
      <c r="F30" s="81" t="s">
        <v>304</v>
      </c>
      <c r="G30" s="81"/>
      <c r="H30" s="81"/>
    </row>
    <row r="31" ht="45" customHeight="1" spans="2:8" x14ac:dyDescent="0.25">
      <c r="B31" s="79" t="s">
        <v>305</v>
      </c>
      <c r="C31" s="32" t="s">
        <v>302</v>
      </c>
      <c r="D31" s="80" t="s">
        <v>306</v>
      </c>
      <c r="E31" s="80"/>
      <c r="F31" s="81" t="s">
        <v>307</v>
      </c>
      <c r="G31" s="81"/>
      <c r="H31" s="81"/>
    </row>
    <row r="32" ht="45" customHeight="1" spans="2:8" x14ac:dyDescent="0.25">
      <c r="B32" s="79" t="s">
        <v>308</v>
      </c>
      <c r="C32" s="32" t="s">
        <v>302</v>
      </c>
      <c r="D32" s="80" t="s">
        <v>309</v>
      </c>
      <c r="E32" s="80"/>
      <c r="F32" s="81" t="s">
        <v>310</v>
      </c>
      <c r="G32" s="81"/>
      <c r="H32" s="81"/>
    </row>
    <row r="33" ht="45" customHeight="1" spans="2:8" x14ac:dyDescent="0.25">
      <c r="B33" s="79" t="s">
        <v>311</v>
      </c>
      <c r="C33" s="32" t="s">
        <v>302</v>
      </c>
      <c r="D33" s="80" t="s">
        <v>312</v>
      </c>
      <c r="E33" s="80"/>
      <c r="F33" s="81" t="s">
        <v>313</v>
      </c>
      <c r="G33" s="81"/>
      <c r="H33" s="81"/>
    </row>
    <row r="34" ht="45" customHeight="1" spans="2:8" x14ac:dyDescent="0.25">
      <c r="B34" s="79" t="s">
        <v>314</v>
      </c>
      <c r="C34" s="32" t="s">
        <v>302</v>
      </c>
      <c r="D34" s="80" t="s">
        <v>315</v>
      </c>
      <c r="E34" s="80"/>
      <c r="F34" s="81" t="s">
        <v>316</v>
      </c>
      <c r="G34" s="81"/>
      <c r="H34" s="81"/>
    </row>
    <row r="35" ht="45" customHeight="1" spans="2:8" x14ac:dyDescent="0.25">
      <c r="B35" s="79" t="s">
        <v>317</v>
      </c>
      <c r="C35" s="32" t="s">
        <v>302</v>
      </c>
      <c r="D35" s="80" t="s">
        <v>318</v>
      </c>
      <c r="E35" s="80"/>
      <c r="F35" s="81" t="s">
        <v>319</v>
      </c>
      <c r="G35" s="81"/>
      <c r="H35" s="81"/>
    </row>
    <row r="36" ht="45" customHeight="1" spans="2:8" x14ac:dyDescent="0.25">
      <c r="B36" s="79" t="s">
        <v>320</v>
      </c>
      <c r="C36" s="32" t="s">
        <v>302</v>
      </c>
      <c r="D36" s="80" t="s">
        <v>321</v>
      </c>
      <c r="E36" s="80"/>
      <c r="F36" s="81" t="s">
        <v>322</v>
      </c>
      <c r="G36" s="81"/>
      <c r="H36" s="81"/>
    </row>
    <row r="38" spans="2:6" x14ac:dyDescent="0.25">
      <c r="B38" s="79" t="s">
        <v>268</v>
      </c>
      <c r="C38" s="62" t="s">
        <v>323</v>
      </c>
      <c r="D38" s="62"/>
      <c r="E38" s="62"/>
      <c r="F38" s="62"/>
    </row>
    <row r="40" spans="2:8" x14ac:dyDescent="0.25">
      <c r="B40" s="82" t="s">
        <v>324</v>
      </c>
      <c r="C40" s="82"/>
      <c r="D40" s="82"/>
      <c r="E40" s="82"/>
      <c r="F40" s="82"/>
      <c r="G40" s="82"/>
      <c r="H40" s="82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2026-04-29T01:01:50Z</dcterms:created>
  <dcterms:modified xsi:type="dcterms:W3CDTF">2026-04-29T01:01:50Z</dcterms:modified>
</cp:coreProperties>
</file>