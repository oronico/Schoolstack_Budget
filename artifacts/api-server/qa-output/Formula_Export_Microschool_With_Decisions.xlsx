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Assumptions" state="visible" r:id="rId5"/>
    <sheet sheetId="3" name="5-Year Model" state="visible" r:id="rId6"/>
    <sheet sheetId="4" name="Year 1 Pro Forma" state="visible" r:id="rId7"/>
    <sheet sheetId="5" name="Decision History" state="visible" r:id="rId8"/>
    <sheet sheetId="6" name="Financial Health" state="visible" r:id="rId9"/>
  </sheets>
  <definedNames>
    <definedName name="_xlnm.Print_Area" localSheetId="0">'Instructions'!$A1:$B37</definedName>
    <definedName name="_xlnm.Print_Titles" localSheetId="0">'Instructions'!$1:$2</definedName>
    <definedName name="_xlnm.Print_Area" localSheetId="1">'Assumptions'!$A1:$J56</definedName>
    <definedName name="_xlnm.Print_Titles" localSheetId="1">'Assumptions'!$1:$3</definedName>
    <definedName name="_xlnm.Print_Area" localSheetId="2">'5-Year Model'!$A1:$F77</definedName>
    <definedName name="_xlnm.Print_Titles" localSheetId="2">'5-Year Model'!$1:$2</definedName>
    <definedName name="_xlnm.Print_Area" localSheetId="3">'Year 1 Pro Forma'!$A1:$N46</definedName>
    <definedName name="_xlnm.Print_Titles" localSheetId="3">'Year 1 Pro Forma'!$1:$2</definedName>
    <definedName name="_xlnm.Print_Area" localSheetId="4">'Decision History'!$A1:$H11</definedName>
    <definedName name="_xlnm.Print_Titles" localSheetId="4">'Decision History'!$1:$2</definedName>
    <definedName name="_xlnm.Print_Area" localSheetId="5">'Financial Health'!$A1:$I40</definedName>
    <definedName name="_xlnm.Print_Titles" localSheetId="5">'Financial Health'!$1:$2</definedName>
  </definedNames>
  <calcPr calcId="171027" fullCalcOnLoad="1"/>
</workbook>
</file>

<file path=xl/sharedStrings.xml><?xml version="1.0" encoding="utf-8"?>
<sst xmlns="http://schemas.openxmlformats.org/spreadsheetml/2006/main" count="435" uniqueCount="314">
  <si>
    <t>How to Use This Workbook</t>
  </si>
  <si>
    <t>Bright Horizons Microschool</t>
  </si>
  <si>
    <t>Generated May 9, 2026 · llc_single</t>
  </si>
  <si>
    <t>Cell Color Legend</t>
  </si>
  <si>
    <t xml:space="preserve">  Blue cells are editable inputs — change these to update your model.</t>
  </si>
  <si>
    <t xml:space="preserve">  White cells contain formulas — do not edit (they recalculate automatically).</t>
  </si>
  <si>
    <t xml:space="preserve">  Green cells are key outputs and summary metrics.</t>
  </si>
  <si>
    <t/>
  </si>
  <si>
    <t>Navigation</t>
  </si>
  <si>
    <t>The Assumptions tab is the central control panel — all other tabs reference it.</t>
  </si>
  <si>
    <t>Structure</t>
  </si>
  <si>
    <t>5-Year Model: Detailed revenue, expense, and cash projections</t>
  </si>
  <si>
    <t>Pro Forma: Consolidated income statement</t>
  </si>
  <si>
    <t>Actuals vs Projections: Variance tracking</t>
  </si>
  <si>
    <t>Financial Health: Key metrics dashboard</t>
  </si>
  <si>
    <t>Debt Service Convention</t>
  </si>
  <si>
    <t>operating expense on the Operating Statement. This is a standard</t>
  </si>
  <si>
    <t>simplification used in school financial underwriting that ensures internal</t>
  </si>
  <si>
    <t>consistency across all tabs.</t>
  </si>
  <si>
    <t>Tips</t>
  </si>
  <si>
    <t>Check the Financial Health dashboard for an at-a-glance assessment.</t>
  </si>
  <si>
    <t>Review key metrics: net margin, cash runway, and DSCR.</t>
  </si>
  <si>
    <t>Next Steps</t>
  </si>
  <si>
    <t>2. Verify enrollment and revenue projections match your plan.</t>
  </si>
  <si>
    <t>3. Check the Financial Health dashboard for risk signals.</t>
  </si>
  <si>
    <t>4. Share this workbook with your lender or financial advisor.</t>
  </si>
  <si>
    <t>5. Update inputs as your school's plan evolves.</t>
  </si>
  <si>
    <t>Disclaimer</t>
  </si>
  <si>
    <t>a loan commitment, or a guarantee of funding. All projections are based on</t>
  </si>
  <si>
    <t>user-provided assumptions and should be independently verified.</t>
  </si>
  <si>
    <t>Bright Horizons Microschool - Financial Model Assumptions</t>
  </si>
  <si>
    <t>Editable assumption — change this value</t>
  </si>
  <si>
    <t>Calculated — driven by formula</t>
  </si>
  <si>
    <t>SCHOOL PROFILE</t>
  </si>
  <si>
    <t>School Name</t>
  </si>
  <si>
    <t>State</t>
  </si>
  <si>
    <t>AZ</t>
  </si>
  <si>
    <t>School Type</t>
  </si>
  <si>
    <t>Microschool</t>
  </si>
  <si>
    <t>Legal Entity</t>
  </si>
  <si>
    <t>LLC (Single Member)</t>
  </si>
  <si>
    <t>EIN</t>
  </si>
  <si>
    <t>88-1234567</t>
  </si>
  <si>
    <t>Website</t>
  </si>
  <si>
    <t>N/A</t>
  </si>
  <si>
    <t>Fiscal Year Start</t>
  </si>
  <si>
    <t>July</t>
  </si>
  <si>
    <t>Maximum Capacity</t>
  </si>
  <si>
    <t>School Stage</t>
  </si>
  <si>
    <t>New School</t>
  </si>
  <si>
    <t>Location</t>
  </si>
  <si>
    <t>123 Main St, Scottsdale, AZ, 85251</t>
  </si>
  <si>
    <t>ENROLLMENT</t>
  </si>
  <si>
    <t>2026-27</t>
  </si>
  <si>
    <t>2027-28</t>
  </si>
  <si>
    <t>2028-29</t>
  </si>
  <si>
    <t>2029-30</t>
  </si>
  <si>
    <t>2030-31</t>
  </si>
  <si>
    <t>Students Enrolled</t>
  </si>
  <si>
    <t>REVENUE SOURCES</t>
  </si>
  <si>
    <t>Category</t>
  </si>
  <si>
    <t>Driver</t>
  </si>
  <si>
    <t>Yr 1 Amount</t>
  </si>
  <si>
    <t>Escalation %</t>
  </si>
  <si>
    <t>Billing Mo.</t>
  </si>
  <si>
    <t>Collection %</t>
  </si>
  <si>
    <t>Note</t>
  </si>
  <si>
    <t>Tuition</t>
  </si>
  <si>
    <t>Tuition &amp; Fees</t>
  </si>
  <si>
    <t>Per Student</t>
  </si>
  <si>
    <t>Registration Fee</t>
  </si>
  <si>
    <t>AZ ESA Funds</t>
  </si>
  <si>
    <t>School Choice</t>
  </si>
  <si>
    <t>Annual Fundraising</t>
  </si>
  <si>
    <t>Philanthropy</t>
  </si>
  <si>
    <t>Annual Fixed</t>
  </si>
  <si>
    <t>Scholarship Discount</t>
  </si>
  <si>
    <t>Tuition Offsets</t>
  </si>
  <si>
    <t>% of Base</t>
  </si>
  <si>
    <t>STAFFING ROSTER</t>
  </si>
  <si>
    <t>Function</t>
  </si>
  <si>
    <t>Type</t>
  </si>
  <si>
    <t>FTE</t>
  </si>
  <si>
    <t>Annual Rate</t>
  </si>
  <si>
    <t>Benefits %</t>
  </si>
  <si>
    <t>Payroll Tax %</t>
  </si>
  <si>
    <t>Benefits Elig.</t>
  </si>
  <si>
    <t>Notes</t>
  </si>
  <si>
    <t>Founder / Head of School</t>
  </si>
  <si>
    <t>School Leadership</t>
  </si>
  <si>
    <t>FT</t>
  </si>
  <si>
    <t>Yes</t>
  </si>
  <si>
    <t>Lead Teacher</t>
  </si>
  <si>
    <t>Instructional</t>
  </si>
  <si>
    <t>Teaching Assistant</t>
  </si>
  <si>
    <t>PT</t>
  </si>
  <si>
    <t>No</t>
  </si>
  <si>
    <t>FACILITIES &amp; OCCUPANCY</t>
  </si>
  <si>
    <t>Amount</t>
  </si>
  <si>
    <t>Frequency</t>
  </si>
  <si>
    <t>Ownership Type</t>
  </si>
  <si>
    <t>Rent</t>
  </si>
  <si>
    <t>Monthly Rent</t>
  </si>
  <si>
    <t>Monthly</t>
  </si>
  <si>
    <t>Annual Rent Escalation</t>
  </si>
  <si>
    <t>OPERATING EXPENSES</t>
  </si>
  <si>
    <t>Occupancy / Facility</t>
  </si>
  <si>
    <t>Utilities</t>
  </si>
  <si>
    <t>Insurance</t>
  </si>
  <si>
    <t>Curriculum &amp; Materials</t>
  </si>
  <si>
    <t>Instructional / Program</t>
  </si>
  <si>
    <t>Technology</t>
  </si>
  <si>
    <t>Marketing</t>
  </si>
  <si>
    <t>Administrative / General</t>
  </si>
  <si>
    <t>CAPITAL &amp; DEBT</t>
  </si>
  <si>
    <t>Is Loan?</t>
  </si>
  <si>
    <t>Principal</t>
  </si>
  <si>
    <t>Interest Rate</t>
  </si>
  <si>
    <t>Term (Yrs)</t>
  </si>
  <si>
    <t>Annual Payment</t>
  </si>
  <si>
    <t>Equipment Loan</t>
  </si>
  <si>
    <t>GROWTH &amp; TIMING ASSUMPTIONS</t>
  </si>
  <si>
    <t>Annual Salary Escalation</t>
  </si>
  <si>
    <t>General Cost Inflation</t>
  </si>
  <si>
    <t>Year 1 Proration Factor</t>
  </si>
  <si>
    <t>(10 of 12 months)</t>
  </si>
  <si>
    <t>Tuition Escalation Rate</t>
  </si>
  <si>
    <t>Management Fee %</t>
  </si>
  <si>
    <t>Starting Cash</t>
  </si>
  <si>
    <t>Built by SchoolStack Budget  •  budget.schoolstack.ai</t>
  </si>
  <si>
    <t>Bright Horizons Microschool - 5-Year Financial Model</t>
  </si>
  <si>
    <t>Projections prepared on an accrual basis. School currently keeps books on a undetermined basis.</t>
  </si>
  <si>
    <t>REVENUE</t>
  </si>
  <si>
    <t>TOTAL REVENUE</t>
  </si>
  <si>
    <t>PERSONNEL</t>
  </si>
  <si>
    <t>Founder / Head of School (School Leadership)</t>
  </si>
  <si>
    <t>Lead Teacher (Instructional)</t>
  </si>
  <si>
    <t>Teaching Assistant (Instructional)</t>
  </si>
  <si>
    <t>TOTAL PERSONNEL</t>
  </si>
  <si>
    <t xml:space="preserve">  Curriculum &amp; Materials (Per Student)</t>
  </si>
  <si>
    <t>Total Instructional / Program</t>
  </si>
  <si>
    <t xml:space="preserve">  Technology (Per Student)</t>
  </si>
  <si>
    <t>Total Technology</t>
  </si>
  <si>
    <t xml:space="preserve">  Rent (Monthly)</t>
  </si>
  <si>
    <t xml:space="preserve">  Utilities (Monthly)</t>
  </si>
  <si>
    <t xml:space="preserve">  Insurance (Annual Fixed)</t>
  </si>
  <si>
    <t>Total Occupancy / Facility</t>
  </si>
  <si>
    <t xml:space="preserve">  Marketing (Annual Fixed)</t>
  </si>
  <si>
    <t>Total Administrative / General</t>
  </si>
  <si>
    <t>TOTAL OPERATING EXPENSES</t>
  </si>
  <si>
    <t>CAPITAL &amp; DEBT SERVICE</t>
  </si>
  <si>
    <t>TOTAL CAPITAL &amp; DEBT SERVICE</t>
  </si>
  <si>
    <t>INCOME STATEMENT SUMMARY</t>
  </si>
  <si>
    <t>Total Revenue</t>
  </si>
  <si>
    <t>Total Personnel</t>
  </si>
  <si>
    <t>Total Operating Expenses</t>
  </si>
  <si>
    <t>Total Capital &amp; Debt Service</t>
  </si>
  <si>
    <t>Total Expenses</t>
  </si>
  <si>
    <t>Profit / (Loss)</t>
  </si>
  <si>
    <t>Profit Margin %</t>
  </si>
  <si>
    <t>Cumulative Profit</t>
  </si>
  <si>
    <t>Break-even</t>
  </si>
  <si>
    <t>✓ Break-even</t>
  </si>
  <si>
    <t>CASH FLOW &amp; DEBT COVERAGE</t>
  </si>
  <si>
    <t>CFADS (Cash Flow Available for Debt Service)</t>
  </si>
  <si>
    <t>Debt Service</t>
  </si>
  <si>
    <t>DSCR (Debt Service Coverage Ratio)</t>
  </si>
  <si>
    <t>Ending Cash</t>
  </si>
  <si>
    <t>Days Cash on Hand</t>
  </si>
  <si>
    <t>Months of Runway</t>
  </si>
  <si>
    <t>Capacity Utilization %</t>
  </si>
  <si>
    <t>COVENANT &amp; HEALTH CHECKS</t>
  </si>
  <si>
    <t>DSCR ≥ 1.25x</t>
  </si>
  <si>
    <t>Positive Net Income</t>
  </si>
  <si>
    <t>Enrollment ≥ 70% Capacity</t>
  </si>
  <si>
    <t>Cash Reserve ≥ 2 Months</t>
  </si>
  <si>
    <t>BREAK-EVEN ANALYSIS</t>
  </si>
  <si>
    <t>Revenue Per Student</t>
  </si>
  <si>
    <t>Cost Per Student</t>
  </si>
  <si>
    <t>Fixed Costs (Personnel + Debt)</t>
  </si>
  <si>
    <t>Variable Cost Per Student</t>
  </si>
  <si>
    <t>Contribution Margin Per Student</t>
  </si>
  <si>
    <t>Break-Even Enrollment</t>
  </si>
  <si>
    <t>Bright Horizons Microschool - 2026-27 Pro Forma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</si>
  <si>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</si>
  <si>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</si>
  <si>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</si>
  <si>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</si>
  <si>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</si>
  <si>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</si>
  <si>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</si>
  <si>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</si>
  <si>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</si>
  <si>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</si>
  <si>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</si>
  <si>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2026-27 Total</t>
  </si>
  <si>
    <t xml:space="preserve">  Curriculum &amp; Materials</t>
  </si>
  <si>
    <t xml:space="preserve">  Technology</t>
  </si>
  <si>
    <t xml:space="preserve">  Rent</t>
  </si>
  <si>
    <t xml:space="preserve">  Utilities</t>
  </si>
  <si>
    <t xml:space="preserve">  Insurance</t>
  </si>
  <si>
    <t xml:space="preserve">  Marketing</t>
  </si>
  <si>
    <t>Capital &amp; Debt Service</t>
  </si>
  <si>
    <t>MONTHLY CASH FLOW</t>
  </si>
  <si>
    <t>Net Cash Flow</t>
  </si>
  <si>
    <t>Cumulative Cash</t>
  </si>
  <si>
    <t>CASH FLOW METRICS</t>
  </si>
  <si>
    <t>Ending Cash (Month 12)</t>
  </si>
  <si>
    <t>Minimum Cash Month</t>
  </si>
  <si>
    <t>Decision History</t>
  </si>
  <si>
    <t>Track record of 5 tracked decisions (2 pursued, 1 on hold, 2 declined). Each entry shows the modeled change, the outcome the team logged, and any retrospective notes captured after the fact.</t>
  </si>
  <si>
    <t>Decision</t>
  </si>
  <si>
    <t>Outcome</t>
  </si>
  <si>
    <t>Applied to base model?</t>
  </si>
  <si>
    <t>Outcome logged</t>
  </si>
  <si>
    <t>Modeled change</t>
  </si>
  <si>
    <t>What happened (retrospective)</t>
  </si>
  <si>
    <t>Add Middle School program</t>
  </si>
  <si>
    <t>Add a program</t>
  </si>
  <si>
    <t>Pursued</t>
  </si>
  <si>
    <t>[APPLIED] Folded into the base model on Apr 12, 2025</t>
  </si>
  <si>
    <t>Apr 10, 2025</t>
  </si>
  <si>
    <t xml:space="preserve">• Program: Middle School (6-8)
• Tuition $14,000/yr
• Adds 72 cumulative students (5 yrs)
• +2 FTE</t>
  </si>
  <si>
    <t>Launched in fall 2025; enrollment hit plan within 1 student.</t>
  </si>
  <si>
    <t>Increase retention focus</t>
  </si>
  <si>
    <t>Change enrollment</t>
  </si>
  <si>
    <t>[PENDING] Pending apply to base model</t>
  </si>
  <si>
    <t>Mar 5, 2025</t>
  </si>
  <si>
    <t xml:space="preserve">• Enrollment +14 cumulative
• Retention 92%</t>
  </si>
  <si>
    <t>Retention initiatives approved; planner will reflect after Q2 board review.</t>
  </si>
  <si>
    <t>Evaluate downtown campus</t>
  </si>
  <si>
    <t>Evaluate a site</t>
  </si>
  <si>
    <t>On hold</t>
  </si>
  <si>
    <t>—</t>
  </si>
  <si>
    <t>Mar 25, 2025</t>
  </si>
  <si>
    <t xml:space="preserve">• Rent $8,500/mo
• Rent escalation 4%
• Sqft +1500
• Fit-out $75,000 (Y1)</t>
  </si>
  <si>
    <t>Landlord negotiations paused while waiting on city zoning ruling.</t>
  </si>
  <si>
    <t>Reduce K cohort</t>
  </si>
  <si>
    <t>Declined</t>
  </si>
  <si>
    <t>Mar 15, 2025</t>
  </si>
  <si>
    <t xml:space="preserve">• Enrollment -8 cumulative
• Tuition -$500/student</t>
  </si>
  <si>
    <t>Board declined; enrollment goals retained as originally modeled.</t>
  </si>
  <si>
    <t>Move to larger building</t>
  </si>
  <si>
    <t>Feb 10, 2025</t>
  </si>
  <si>
    <t xml:space="preserve">• Rent $12,000/mo
• Sqft +4000</t>
  </si>
  <si>
    <t>Costs out of reach; revisited next year after capital campaign.</t>
  </si>
  <si>
    <t>Generated by SchoolStack Budget (budget.schoolstack.ai)</t>
  </si>
  <si>
    <t>Bright Horizons Microschool — Financial Health Dashboard</t>
  </si>
  <si>
    <t>Generated May 9, 2026</t>
  </si>
  <si>
    <t>● Green = healthy</t>
  </si>
  <si>
    <t>◐ Yellow = monitor</t>
  </si>
  <si>
    <t>○ Red = action needed</t>
  </si>
  <si>
    <t>Metric</t>
  </si>
  <si>
    <t>Year 1</t>
  </si>
  <si>
    <t>Year 2</t>
  </si>
  <si>
    <t>Year 3</t>
  </si>
  <si>
    <t>Year 4</t>
  </si>
  <si>
    <t>Year 5</t>
  </si>
  <si>
    <t>Benchmark</t>
  </si>
  <si>
    <t>Enrollment</t>
  </si>
  <si>
    <t>Revenue</t>
  </si>
  <si>
    <t>Personnel</t>
  </si>
  <si>
    <t>Operating Expenses</t>
  </si>
  <si>
    <t>Net Income</t>
  </si>
  <si>
    <t>Net Margin</t>
  </si>
  <si>
    <t>Revenue per Student</t>
  </si>
  <si>
    <t>≥ $10,000</t>
  </si>
  <si>
    <t>Cost per Student</t>
  </si>
  <si>
    <t xml:space="preserve">  Instructional / Student</t>
  </si>
  <si>
    <t xml:space="preserve">  Facility / Student</t>
  </si>
  <si>
    <t>≤ $2,000 / $2k–$3.5k / &gt; $3,500</t>
  </si>
  <si>
    <t>Surplus per Student</t>
  </si>
  <si>
    <t>Payroll %</t>
  </si>
  <si>
    <t>≤ 55%</t>
  </si>
  <si>
    <t>Facility %</t>
  </si>
  <si>
    <t>≤ 15%</t>
  </si>
  <si>
    <t>Operating Margin</t>
  </si>
  <si>
    <t>≥ 10%</t>
  </si>
  <si>
    <t>Revenue Sources</t>
  </si>
  <si>
    <t>≥ 3 sources</t>
  </si>
  <si>
    <t>DSCR</t>
  </si>
  <si>
    <t>≥ 1.25x</t>
  </si>
  <si>
    <t>Break-even Year</t>
  </si>
  <si>
    <t>Cash Runway (Months)</t>
  </si>
  <si>
    <t>≥ 24 months</t>
  </si>
  <si>
    <t>≥ 90 days</t>
  </si>
  <si>
    <t>FINANCIAL HEALTH SIGNALS</t>
  </si>
  <si>
    <t>Status</t>
  </si>
  <si>
    <t>Assessment</t>
  </si>
  <si>
    <t>Watch Item</t>
  </si>
  <si>
    <t>Viability</t>
  </si>
  <si>
    <t>● Healthy</t>
  </si>
  <si>
    <t>The model reaches profit early and sustains strong margins through Year 5.</t>
  </si>
  <si>
    <t>Compare your real Year 1 enrollment against this projection as students enroll.</t>
  </si>
  <si>
    <t>Liquidity</t>
  </si>
  <si>
    <t>Cash stays positive throughout the projection and reserves exceed 3 months of expenses.</t>
  </si>
  <si>
    <t>Maintain reserves as a buffer against seasonal revenue dips.</t>
  </si>
  <si>
    <t>Staffing Burden</t>
  </si>
  <si>
    <t>Staffing at 32% of revenue leaves room for facilities, programs, and reserves.</t>
  </si>
  <si>
    <t>As you add staff, ensure staffing stays below 60% of revenue.</t>
  </si>
  <si>
    <t>Facility Burden</t>
  </si>
  <si>
    <t>Facility costs at 7% of revenue are well-managed and leave budget for programs.</t>
  </si>
  <si>
    <t>Watch for rent escalation clauses that could push this higher over time.</t>
  </si>
  <si>
    <t>Debt Affordability</t>
  </si>
  <si>
    <t>DSCR of 40.29x provides comfortable coverage of debt payments with room to spare.</t>
  </si>
  <si>
    <t>Maintain this ratio as you take on any additional debt.</t>
  </si>
  <si>
    <t>Revenue Concentration</t>
  </si>
  <si>
    <t>Revenue is anchored to enrollment-driven income — the strongest foundation for a school model. A focused revenue stream is a strength when backed by dependable demand.</t>
  </si>
  <si>
    <t>Continue to pressure-test enrollment assumptions: recruitment pipeline, waitlist depth, retention rates, and collection reliability.</t>
  </si>
  <si>
    <t>Reserve Strength</t>
  </si>
  <si>
    <t>50.0 months of reserves by Year 5 — a strong buffer for unexpected costs.</t>
  </si>
  <si>
    <t>Continue growing reserves toward 6 months for best-in-class financial health.</t>
  </si>
  <si>
    <t>Summary</t>
  </si>
  <si>
    <t>7 Healthy  |  0 Watch  |  0 Needs Attention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</si>
</sst>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#,##0;&quot;-&quot;"/>
    <numFmt numFmtId="165" formatCode="_(&quot;$&quot;* #,##0_);_(&quot;$&quot;* (#,##0);_(&quot;$&quot;* &quot;-&quot;??_);_(@_)"/>
    <numFmt numFmtId="166" formatCode="0.0%;[Red](0.0%);&quot;-&quot;"/>
    <numFmt numFmtId="167" formatCode="0.00x"/>
    <numFmt numFmtId="168" formatCode="0.0"/>
  </numFmts>
  <fonts count="19" x14ac:knownFonts="1">
    <font>
      <color theme="1"/>
      <family val="2"/>
      <scheme val="minor"/>
      <sz val="11"/>
      <name val="Calibri"/>
    </font>
    <font>
      <b/>
      <color rgb="FF1E293B"/>
      <sz val="16"/>
      <name val="Calibri"/>
    </font>
    <font>
      <color rgb="FF1E293B"/>
      <sz val="12"/>
      <name val="Calibri"/>
    </font>
    <font>
      <i/>
      <color rgb="FF6B7280"/>
      <sz val="10"/>
      <name val="Calibri"/>
    </font>
    <font>
      <b/>
      <color rgb="FF1E293B"/>
      <sz val="11"/>
      <name val="Calibri"/>
    </font>
    <font>
      <color rgb="FF1E3A5F"/>
      <sz val="11"/>
      <name val="Calibri"/>
    </font>
    <font>
      <sz val="11"/>
      <name val="Calibri"/>
    </font>
    <font>
      <b/>
      <color rgb="FF1E293B"/>
      <sz val="14"/>
      <name val="Calibri"/>
    </font>
    <font>
      <i/>
      <color rgb="FF666666"/>
      <sz val="11"/>
      <name val="Calibri"/>
    </font>
    <font>
      <i/>
      <color rgb="FF888888"/>
      <sz val="11"/>
      <name val="Calibri"/>
    </font>
    <font>
      <i/>
      <color rgb="FF9CA3AF"/>
      <sz val="11"/>
      <name val="Calibri"/>
    </font>
    <font>
      <i/>
      <color rgb="FF64748B"/>
      <sz val="10"/>
      <name val="Calibri"/>
    </font>
    <font>
      <b/>
      <color rgb="FFFFFFFF"/>
      <sz val="11"/>
      <name val="Calibri"/>
    </font>
    <font>
      <b/>
      <sz val="11"/>
      <name val="Calibri"/>
    </font>
    <font>
      <b/>
      <color rgb="FF1E293B"/>
      <sz val="12"/>
      <name val="Calibri"/>
    </font>
    <font>
      <b/>
      <color rgb="FF16A34A"/>
      <sz val="11"/>
      <name val="Calibri"/>
    </font>
    <font>
      <i/>
      <color rgb="FF6B7280"/>
      <sz val="11"/>
      <name val="Calibri"/>
    </font>
    <font>
      <b/>
      <color rgb="FFD97706"/>
      <sz val="11"/>
      <name val="Calibri"/>
    </font>
    <font>
      <b/>
      <color rgb="FFDC2626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E8EDF2"/>
      </patternFill>
    </fill>
    <fill>
      <patternFill patternType="solid">
        <fgColor rgb="FF1E293B"/>
      </patternFill>
    </fill>
    <fill>
      <patternFill patternType="solid">
        <fgColor rgb="FFFFF8E1"/>
      </patternFill>
    </fill>
    <fill>
      <patternFill patternType="solid">
        <fgColor rgb="FFFCE4EC"/>
      </patternFill>
    </fill>
  </fills>
  <borders count="4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6" fillId="3" borderId="0" xfId="0" applyFont="1" applyFill="1"/>
    <xf numFmtId="0" fontId="7" fillId="0" borderId="0" xfId="0" applyFont="1" applyAlignment="1">
      <alignment horizontal="left" vertical="center"/>
    </xf>
    <xf numFmtId="0" fontId="0" fillId="2" borderId="0" xfId="0" applyFill="1"/>
    <xf numFmtId="0" fontId="8" fillId="0" borderId="0" xfId="0" applyFont="1"/>
    <xf numFmtId="0" fontId="0" fillId="4" borderId="1" xfId="0" applyFill="1" applyBorder="1"/>
    <xf numFmtId="0" fontId="4" fillId="5" borderId="2" xfId="0" applyFont="1" applyFill="1" applyBorder="1"/>
    <xf numFmtId="0" fontId="6" fillId="0" borderId="2" xfId="0" applyFont="1" applyBorder="1"/>
    <xf numFmtId="0" fontId="5" fillId="2" borderId="2" xfId="0" applyFont="1" applyFill="1" applyBorder="1"/>
    <xf numFmtId="164" fontId="5" fillId="2" borderId="2" xfId="0" applyNumberFormat="1" applyFont="1" applyFill="1" applyBorder="1"/>
    <xf numFmtId="0" fontId="4" fillId="5" borderId="2" xfId="0" applyFont="1" applyFill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165" fontId="5" fillId="2" borderId="2" xfId="0" applyNumberFormat="1" applyFont="1" applyFill="1" applyBorder="1"/>
    <xf numFmtId="166" fontId="5" fillId="2" borderId="2" xfId="0" applyNumberFormat="1" applyFont="1" applyFill="1" applyBorder="1"/>
    <xf numFmtId="2" fontId="5" fillId="2" borderId="2" xfId="0" applyNumberFormat="1" applyFont="1" applyFill="1" applyBorder="1"/>
    <xf numFmtId="165" fontId="6" fillId="0" borderId="2" xfId="0" applyNumberFormat="1" applyFont="1" applyBorder="1"/>
    <xf numFmtId="10" fontId="5" fillId="2" borderId="2" xfId="0" applyNumberFormat="1" applyFont="1" applyFill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6" borderId="2" xfId="0" applyFont="1" applyFill="1" applyBorder="1" applyAlignment="1">
      <alignment horizontal="center" vertical="center"/>
    </xf>
    <xf numFmtId="0" fontId="13" fillId="0" borderId="2" xfId="0" applyFont="1" applyBorder="1"/>
    <xf numFmtId="164" fontId="13" fillId="0" borderId="2" xfId="0" applyNumberFormat="1" applyFont="1" applyBorder="1"/>
    <xf numFmtId="165" fontId="13" fillId="5" borderId="3" xfId="0" applyNumberFormat="1" applyFont="1" applyFill="1" applyBorder="1"/>
    <xf numFmtId="0" fontId="13" fillId="0" borderId="0" xfId="0" applyFont="1"/>
    <xf numFmtId="165" fontId="13" fillId="0" borderId="2" xfId="0" applyNumberFormat="1" applyFont="1" applyBorder="1"/>
    <xf numFmtId="0" fontId="14" fillId="0" borderId="0" xfId="0" applyFont="1"/>
    <xf numFmtId="165" fontId="13" fillId="0" borderId="3" xfId="0" applyNumberFormat="1" applyFont="1" applyBorder="1"/>
    <xf numFmtId="166" fontId="6" fillId="0" borderId="2" xfId="0" applyNumberFormat="1" applyFont="1" applyBorder="1"/>
    <xf numFmtId="0" fontId="1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7" fontId="13" fillId="0" borderId="2" xfId="0" applyNumberFormat="1" applyFont="1" applyBorder="1"/>
    <xf numFmtId="164" fontId="6" fillId="0" borderId="2" xfId="0" applyNumberFormat="1" applyFont="1" applyBorder="1"/>
    <xf numFmtId="168" fontId="6" fillId="0" borderId="2" xfId="0" applyNumberFormat="1" applyFont="1" applyBorder="1"/>
    <xf numFmtId="0" fontId="14" fillId="0" borderId="2" xfId="0" applyFont="1" applyBorder="1"/>
    <xf numFmtId="164" fontId="13" fillId="0" borderId="3" xfId="0" applyNumberFormat="1" applyFont="1" applyBorder="1"/>
    <xf numFmtId="0" fontId="7" fillId="0" borderId="0" xfId="0" applyFont="1"/>
    <xf numFmtId="0" fontId="16" fillId="0" borderId="0" xfId="0" applyFont="1" applyAlignment="1">
      <alignment vertical="top" wrapText="1"/>
    </xf>
    <xf numFmtId="0" fontId="12" fillId="6" borderId="2" xfId="0" applyFont="1" applyFill="1" applyBorder="1" applyAlignment="1">
      <alignment horizontal="left" vertical="center" wrapText="1"/>
    </xf>
    <xf numFmtId="0" fontId="0" fillId="3" borderId="0" xfId="0" applyFill="1"/>
    <xf numFmtId="0" fontId="13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4" fillId="3" borderId="2" xfId="0" applyFont="1" applyFill="1" applyBorder="1" applyAlignment="1">
      <alignment horizontal="center" vertical="top"/>
    </xf>
    <xf numFmtId="0" fontId="6" fillId="0" borderId="2" xfId="0" applyFont="1" applyBorder="1" applyAlignment="1">
      <alignment horizontal="left" vertical="top"/>
    </xf>
    <xf numFmtId="0" fontId="0" fillId="7" borderId="0" xfId="0" applyFill="1"/>
    <xf numFmtId="0" fontId="4" fillId="7" borderId="2" xfId="0" applyFont="1" applyFill="1" applyBorder="1" applyAlignment="1">
      <alignment horizontal="center" vertical="top"/>
    </xf>
    <xf numFmtId="0" fontId="0" fillId="8" borderId="0" xfId="0" applyFill="1"/>
    <xf numFmtId="0" fontId="4" fillId="8" borderId="2" xfId="0" applyFont="1" applyFill="1" applyBorder="1" applyAlignment="1">
      <alignment horizontal="center" vertical="top"/>
    </xf>
    <xf numFmtId="0" fontId="16" fillId="0" borderId="0" xfId="0" applyFont="1"/>
    <xf numFmtId="0" fontId="15" fillId="0" borderId="0" xfId="0" applyFont="1"/>
    <xf numFmtId="0" fontId="17" fillId="0" borderId="0" xfId="0" applyFont="1"/>
    <xf numFmtId="0" fontId="18" fillId="0" borderId="0" xfId="0" applyFont="1"/>
    <xf numFmtId="164" fontId="6" fillId="0" borderId="2" xfId="0" applyNumberFormat="1" applyFont="1" applyBorder="1" applyAlignment="1">
      <alignment horizontal="right"/>
    </xf>
    <xf numFmtId="165" fontId="6" fillId="0" borderId="2" xfId="0" applyNumberFormat="1" applyFont="1" applyBorder="1" applyAlignment="1">
      <alignment horizontal="right"/>
    </xf>
    <xf numFmtId="165" fontId="13" fillId="3" borderId="3" xfId="0" applyNumberFormat="1" applyFont="1" applyFill="1" applyBorder="1" applyAlignment="1">
      <alignment horizontal="right"/>
    </xf>
    <xf numFmtId="166" fontId="13" fillId="3" borderId="3" xfId="0" applyNumberFormat="1" applyFont="1" applyFill="1" applyBorder="1" applyAlignment="1">
      <alignment horizontal="right"/>
    </xf>
    <xf numFmtId="165" fontId="6" fillId="3" borderId="2" xfId="0" applyNumberFormat="1" applyFont="1" applyFill="1" applyBorder="1" applyAlignment="1">
      <alignment horizontal="right"/>
    </xf>
    <xf numFmtId="0" fontId="16" fillId="0" borderId="2" xfId="0" applyFont="1" applyBorder="1"/>
    <xf numFmtId="165" fontId="13" fillId="0" borderId="2" xfId="0" applyNumberFormat="1" applyFont="1" applyBorder="1" applyAlignment="1">
      <alignment horizontal="right"/>
    </xf>
    <xf numFmtId="165" fontId="6" fillId="7" borderId="2" xfId="0" applyNumberFormat="1" applyFont="1" applyFill="1" applyBorder="1" applyAlignment="1">
      <alignment horizontal="right"/>
    </xf>
    <xf numFmtId="165" fontId="13" fillId="3" borderId="2" xfId="0" applyNumberFormat="1" applyFont="1" applyFill="1" applyBorder="1" applyAlignment="1">
      <alignment horizontal="right"/>
    </xf>
    <xf numFmtId="164" fontId="13" fillId="3" borderId="3" xfId="0" applyNumberFormat="1" applyFont="1" applyFill="1" applyBorder="1" applyAlignment="1">
      <alignment horizontal="right"/>
    </xf>
    <xf numFmtId="167" fontId="13" fillId="3" borderId="3" xfId="0" applyNumberFormat="1" applyFont="1" applyFill="1" applyBorder="1" applyAlignment="1">
      <alignment horizontal="right"/>
    </xf>
    <xf numFmtId="0" fontId="6" fillId="0" borderId="2" xfId="0" applyFont="1" applyBorder="1" applyAlignment="1">
      <alignment horizontal="center"/>
    </xf>
    <xf numFmtId="164" fontId="13" fillId="8" borderId="3" xfId="0" applyNumberFormat="1" applyFont="1" applyFill="1" applyBorder="1" applyAlignment="1">
      <alignment horizontal="right"/>
    </xf>
    <xf numFmtId="164" fontId="13" fillId="7" borderId="3" xfId="0" applyNumberFormat="1" applyFont="1" applyFill="1" applyBorder="1" applyAlignment="1">
      <alignment horizontal="right"/>
    </xf>
    <xf numFmtId="0" fontId="4" fillId="0" borderId="2" xfId="0" applyFont="1" applyBorder="1"/>
    <xf numFmtId="0" fontId="6" fillId="0" borderId="2" xfId="0" applyFont="1" applyBorder="1" applyAlignment="1">
      <alignment wrapText="1"/>
    </xf>
    <xf numFmtId="0" fontId="16" fillId="0" borderId="2" xfId="0" applyFont="1" applyBorder="1" applyAlignment="1">
      <alignment wrapText="1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24"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2:B37"/>
  <sheetFormatPr defaultRowHeight="15" outlineLevelRow="0" outlineLevelCol="0" x14ac:dyDescent="55"/>
  <cols>
    <col min="1" max="1" width="4" customWidth="1"/>
    <col min="2" max="2" width="8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4" spans="2:2" x14ac:dyDescent="0.25">
      <c r="B4" s="3" t="s">
        <v>2</v>
      </c>
    </row>
    <row r="6" spans="2:2" x14ac:dyDescent="0.25">
      <c r="B6" s="4" t="s">
        <v>3</v>
      </c>
    </row>
    <row r="7" spans="2:2" x14ac:dyDescent="0.25">
      <c r="B7" s="5" t="s">
        <v>4</v>
      </c>
    </row>
    <row r="8" spans="2:2" x14ac:dyDescent="0.25">
      <c r="B8" s="6" t="s">
        <v>5</v>
      </c>
    </row>
    <row r="9" spans="2:2" x14ac:dyDescent="0.25">
      <c r="B9" s="7" t="s">
        <v>6</v>
      </c>
    </row>
    <row r="10" spans="2:2" x14ac:dyDescent="0.25">
      <c r="B10" s="6" t="s">
        <v>7</v>
      </c>
    </row>
    <row r="11" spans="2:2" x14ac:dyDescent="0.25">
      <c r="B11" s="4" t="s">
        <v>8</v>
      </c>
    </row>
    <row r="12" spans="2:2" x14ac:dyDescent="0.25">
      <c r="B12" s="6" t="s">
        <v>9</v>
      </c>
    </row>
    <row r="13" spans="2:2" x14ac:dyDescent="0.25">
      <c r="B13" s="6" t="s">
        <v>7</v>
      </c>
    </row>
    <row r="14" spans="2:2" x14ac:dyDescent="0.25">
      <c r="B14" s="4" t="s">
        <v>10</v>
      </c>
    </row>
    <row r="15" spans="2:2" x14ac:dyDescent="0.25">
      <c r="B15" s="6" t="s">
        <v>11</v>
      </c>
    </row>
    <row r="16" spans="2:2" x14ac:dyDescent="0.25">
      <c r="B16" s="6" t="s">
        <v>12</v>
      </c>
    </row>
    <row r="17" spans="2:2" x14ac:dyDescent="0.25">
      <c r="B17" s="6" t="s">
        <v>13</v>
      </c>
    </row>
    <row r="18" spans="2:2" x14ac:dyDescent="0.25">
      <c r="B18" s="6" t="s">
        <v>14</v>
      </c>
    </row>
    <row r="19" spans="2:2" x14ac:dyDescent="0.25">
      <c r="B19" s="6" t="s">
        <v>7</v>
      </c>
    </row>
    <row r="20" spans="2:2" x14ac:dyDescent="0.25">
      <c r="B20" s="4" t="s">
        <v>15</v>
      </c>
    </row>
    <row r="21" spans="2:2" x14ac:dyDescent="0.25">
      <c r="B21" s="6" t="s">
        <v>16</v>
      </c>
    </row>
    <row r="22" spans="2:2" x14ac:dyDescent="0.25">
      <c r="B22" s="6" t="s">
        <v>17</v>
      </c>
    </row>
    <row r="23" spans="2:2" x14ac:dyDescent="0.25">
      <c r="B23" s="6" t="s">
        <v>18</v>
      </c>
    </row>
    <row r="24" spans="2:2" x14ac:dyDescent="0.25">
      <c r="B24" s="6" t="s">
        <v>7</v>
      </c>
    </row>
    <row r="25" spans="2:2" x14ac:dyDescent="0.25">
      <c r="B25" s="4" t="s">
        <v>19</v>
      </c>
    </row>
    <row r="26" spans="2:2" x14ac:dyDescent="0.25">
      <c r="B26" s="6" t="s">
        <v>20</v>
      </c>
    </row>
    <row r="27" spans="2:2" x14ac:dyDescent="0.25">
      <c r="B27" s="6" t="s">
        <v>21</v>
      </c>
    </row>
    <row r="28" spans="2:2" x14ac:dyDescent="0.25">
      <c r="B28" s="6" t="s">
        <v>7</v>
      </c>
    </row>
    <row r="29" spans="2:2" x14ac:dyDescent="0.25">
      <c r="B29" s="4" t="s">
        <v>22</v>
      </c>
    </row>
    <row r="30" spans="2:2" x14ac:dyDescent="0.25">
      <c r="B30" s="6" t="s">
        <v>23</v>
      </c>
    </row>
    <row r="31" spans="2:2" x14ac:dyDescent="0.25">
      <c r="B31" s="6" t="s">
        <v>24</v>
      </c>
    </row>
    <row r="32" spans="2:2" x14ac:dyDescent="0.25">
      <c r="B32" s="6" t="s">
        <v>25</v>
      </c>
    </row>
    <row r="33" spans="2:2" x14ac:dyDescent="0.25">
      <c r="B33" s="6" t="s">
        <v>26</v>
      </c>
    </row>
    <row r="34" spans="2:2" x14ac:dyDescent="0.25">
      <c r="B34" s="6" t="s">
        <v>7</v>
      </c>
    </row>
    <row r="35" spans="2:2" x14ac:dyDescent="0.25">
      <c r="B35" s="4" t="s">
        <v>27</v>
      </c>
    </row>
    <row r="36" spans="2:2" x14ac:dyDescent="0.25">
      <c r="B36" s="6" t="s">
        <v>28</v>
      </c>
    </row>
    <row r="37" spans="2:2" x14ac:dyDescent="0.25">
      <c r="B37" s="6" t="s">
        <v>29</v>
      </c>
    </row>
  </sheetData>
  <pageMargins left="0.25" right="0.25" top="0.5" bottom="0.5" header="0.3" footer="0.3"/>
  <pageSetup paperSize="1" orientation="portrait" fitToWidth="1" fitToHeight="0"/>
  <headerFooter>
    <oddHeader>&amp;L&amp;10&amp;BBright Horizons Microschool&amp;R&amp;8&amp;IInstructions</oddHeader>
    <oddFooter>&amp;L&amp;8Built by SchoolStack Budget  •  budget.schoolstack.ai&amp;C&amp;8Page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6"/>
  <sheetViews>
    <sheetView workbookViewId="0">
      <pane xSplit="1" ySplit="3" topLeftCell="B4" activePane="bottomRight" state="frozen"/>
      <selection pane="bottomRight" activeCell="B4" sqref="B4"/>
    </sheetView>
  </sheetViews>
  <sheetFormatPr defaultRowHeight="15" outlineLevelRow="0" outlineLevelCol="0" x14ac:dyDescent="55"/>
  <cols>
    <col min="1" max="1" width="38" customWidth="1"/>
    <col min="2" max="2" width="18" customWidth="1"/>
    <col min="3" max="10" width="16" customWidth="1"/>
    <col min="11" max="11" width="18" customWidth="1"/>
  </cols>
  <sheetData>
    <row r="1" ht="32" customHeight="1" spans="1:7" x14ac:dyDescent="0.25">
      <c r="A1" s="8" t="s">
        <v>30</v>
      </c>
      <c r="B1" s="8"/>
      <c r="C1" s="8"/>
      <c r="D1" s="8"/>
      <c r="E1" s="8"/>
      <c r="F1" s="8"/>
      <c r="G1" s="8"/>
    </row>
    <row r="2" spans="1:5" x14ac:dyDescent="0.25">
      <c r="A2" s="9" t="s">
        <v>7</v>
      </c>
      <c r="B2" s="10" t="s">
        <v>31</v>
      </c>
      <c r="D2" s="11" t="s">
        <v>7</v>
      </c>
      <c r="E2" s="10" t="s">
        <v>32</v>
      </c>
    </row>
    <row r="4" ht="24" customHeight="1" spans="1:7" x14ac:dyDescent="0.25">
      <c r="A4" s="12" t="s">
        <v>33</v>
      </c>
      <c r="B4" s="12"/>
      <c r="C4" s="12"/>
      <c r="D4" s="12"/>
      <c r="E4" s="12"/>
      <c r="F4" s="12"/>
      <c r="G4" s="12"/>
    </row>
    <row r="5" spans="1:4" x14ac:dyDescent="0.25">
      <c r="A5" s="13" t="s">
        <v>34</v>
      </c>
      <c r="B5" s="14" t="s">
        <v>1</v>
      </c>
      <c r="C5" s="14"/>
      <c r="D5" s="14"/>
    </row>
    <row r="6" spans="1:2" x14ac:dyDescent="0.25">
      <c r="A6" s="13" t="s">
        <v>35</v>
      </c>
      <c r="B6" s="14" t="s">
        <v>36</v>
      </c>
    </row>
    <row r="7" spans="1:2" x14ac:dyDescent="0.25">
      <c r="A7" s="13" t="s">
        <v>37</v>
      </c>
      <c r="B7" s="14" t="s">
        <v>38</v>
      </c>
    </row>
    <row r="8" spans="1:2" x14ac:dyDescent="0.25">
      <c r="A8" s="13" t="s">
        <v>39</v>
      </c>
      <c r="B8" s="14" t="s">
        <v>40</v>
      </c>
    </row>
    <row r="9" spans="1:2" x14ac:dyDescent="0.25">
      <c r="A9" s="13" t="s">
        <v>41</v>
      </c>
      <c r="B9" s="14" t="s">
        <v>42</v>
      </c>
    </row>
    <row r="10" spans="1:4" x14ac:dyDescent="0.25">
      <c r="A10" s="13" t="s">
        <v>43</v>
      </c>
      <c r="B10" s="14" t="s">
        <v>44</v>
      </c>
      <c r="C10" s="14"/>
      <c r="D10" s="14"/>
    </row>
    <row r="11" spans="1:2" x14ac:dyDescent="0.25">
      <c r="A11" s="13" t="s">
        <v>45</v>
      </c>
      <c r="B11" s="14" t="s">
        <v>46</v>
      </c>
    </row>
    <row r="12" spans="1:2" x14ac:dyDescent="0.25">
      <c r="A12" s="13" t="s">
        <v>47</v>
      </c>
      <c r="B12" s="15">
        <v>25</v>
      </c>
    </row>
    <row r="13" spans="1:2" x14ac:dyDescent="0.25">
      <c r="A13" s="13" t="s">
        <v>48</v>
      </c>
      <c r="B13" s="13" t="s">
        <v>49</v>
      </c>
    </row>
    <row r="14" spans="1:2" x14ac:dyDescent="0.25">
      <c r="A14" s="13" t="s">
        <v>50</v>
      </c>
      <c r="B14" s="13" t="s">
        <v>51</v>
      </c>
    </row>
    <row r="16" ht="24" customHeight="1" spans="1:7" x14ac:dyDescent="0.25">
      <c r="A16" s="12" t="s">
        <v>52</v>
      </c>
      <c r="B16" s="16" t="s">
        <v>53</v>
      </c>
      <c r="C16" s="16" t="s">
        <v>54</v>
      </c>
      <c r="D16" s="16" t="s">
        <v>55</v>
      </c>
      <c r="E16" s="16" t="s">
        <v>56</v>
      </c>
      <c r="F16" s="16" t="s">
        <v>57</v>
      </c>
      <c r="G16" s="12"/>
    </row>
    <row r="17" spans="1:6" x14ac:dyDescent="0.25">
      <c r="A17" s="13" t="s">
        <v>58</v>
      </c>
      <c r="B17" s="17">
        <v>12</v>
      </c>
      <c r="C17" s="17">
        <v>18</v>
      </c>
      <c r="D17" s="17">
        <v>22</v>
      </c>
      <c r="E17" s="17">
        <v>25</v>
      </c>
      <c r="F17" s="17">
        <v>25</v>
      </c>
    </row>
    <row r="19" ht="24" customHeight="1" spans="1:10" x14ac:dyDescent="0.25">
      <c r="A19" s="12" t="s">
        <v>59</v>
      </c>
      <c r="B19" s="12" t="s">
        <v>60</v>
      </c>
      <c r="C19" s="12" t="s">
        <v>61</v>
      </c>
      <c r="D19" s="12" t="s">
        <v>62</v>
      </c>
      <c r="E19" s="12" t="s">
        <v>63</v>
      </c>
      <c r="F19" s="12" t="s">
        <v>64</v>
      </c>
      <c r="G19" s="12" t="s">
        <v>65</v>
      </c>
      <c r="H19" s="12" t="s">
        <v>66</v>
      </c>
      <c r="I19" s="12"/>
      <c r="J19" s="12"/>
    </row>
    <row r="20" spans="1:8" x14ac:dyDescent="0.25">
      <c r="A20" s="13" t="s">
        <v>67</v>
      </c>
      <c r="B20" s="13" t="s">
        <v>68</v>
      </c>
      <c r="C20" s="13" t="s">
        <v>69</v>
      </c>
      <c r="D20" s="18">
        <v>12000</v>
      </c>
      <c r="E20" s="19">
        <v>0</v>
      </c>
      <c r="F20" s="15">
        <v>10</v>
      </c>
      <c r="G20" s="19">
        <v>1</v>
      </c>
      <c r="H20" s="13" t="s">
        <v>7</v>
      </c>
    </row>
    <row r="21" spans="1:8" x14ac:dyDescent="0.25">
      <c r="A21" s="13" t="s">
        <v>70</v>
      </c>
      <c r="B21" s="13" t="s">
        <v>68</v>
      </c>
      <c r="C21" s="13" t="s">
        <v>69</v>
      </c>
      <c r="D21" s="18">
        <v>250</v>
      </c>
      <c r="E21" s="19">
        <v>0</v>
      </c>
      <c r="F21" s="15">
        <v>12</v>
      </c>
      <c r="G21" s="19">
        <v>1</v>
      </c>
      <c r="H21" s="13" t="s">
        <v>7</v>
      </c>
    </row>
    <row r="22" spans="1:8" x14ac:dyDescent="0.25">
      <c r="A22" s="13" t="s">
        <v>71</v>
      </c>
      <c r="B22" s="13" t="s">
        <v>72</v>
      </c>
      <c r="C22" s="13" t="s">
        <v>69</v>
      </c>
      <c r="D22" s="18">
        <v>7000</v>
      </c>
      <c r="E22" s="19">
        <v>0</v>
      </c>
      <c r="F22" s="15">
        <v>12</v>
      </c>
      <c r="G22" s="19">
        <v>1</v>
      </c>
      <c r="H22" s="13" t="s">
        <v>7</v>
      </c>
    </row>
    <row r="23" spans="1:8" x14ac:dyDescent="0.25">
      <c r="A23" s="13" t="s">
        <v>73</v>
      </c>
      <c r="B23" s="13" t="s">
        <v>74</v>
      </c>
      <c r="C23" s="13" t="s">
        <v>75</v>
      </c>
      <c r="D23" s="18">
        <v>5000</v>
      </c>
      <c r="E23" s="19">
        <v>0</v>
      </c>
      <c r="F23" s="15">
        <v>12</v>
      </c>
      <c r="G23" s="19">
        <v>1</v>
      </c>
      <c r="H23" s="13" t="s">
        <v>7</v>
      </c>
    </row>
    <row r="24" spans="1:8" x14ac:dyDescent="0.25">
      <c r="A24" s="13" t="s">
        <v>76</v>
      </c>
      <c r="B24" s="13" t="s">
        <v>77</v>
      </c>
      <c r="C24" s="13" t="s">
        <v>78</v>
      </c>
      <c r="D24" s="18">
        <v>10</v>
      </c>
      <c r="E24" s="19">
        <v>0</v>
      </c>
      <c r="F24" s="15">
        <v>12</v>
      </c>
      <c r="G24" s="19">
        <v>1</v>
      </c>
      <c r="H24" s="13" t="s">
        <v>7</v>
      </c>
    </row>
    <row r="27" ht="24" customHeight="1" spans="1:9" x14ac:dyDescent="0.25">
      <c r="A27" s="12" t="s">
        <v>79</v>
      </c>
      <c r="B27" s="12" t="s">
        <v>80</v>
      </c>
      <c r="C27" s="12" t="s">
        <v>81</v>
      </c>
      <c r="D27" s="12" t="s">
        <v>82</v>
      </c>
      <c r="E27" s="12" t="s">
        <v>83</v>
      </c>
      <c r="F27" s="12" t="s">
        <v>84</v>
      </c>
      <c r="G27" s="12" t="s">
        <v>85</v>
      </c>
      <c r="H27" s="12" t="s">
        <v>86</v>
      </c>
      <c r="I27" s="12" t="s">
        <v>87</v>
      </c>
    </row>
    <row r="28" spans="1:9" x14ac:dyDescent="0.25">
      <c r="A28" s="13" t="s">
        <v>88</v>
      </c>
      <c r="B28" s="13" t="s">
        <v>89</v>
      </c>
      <c r="C28" s="13" t="s">
        <v>90</v>
      </c>
      <c r="D28" s="20">
        <v>1</v>
      </c>
      <c r="E28" s="18">
        <v>55000</v>
      </c>
      <c r="F28" s="19">
        <v>0.2</v>
      </c>
      <c r="G28" s="19">
        <v>0.0765</v>
      </c>
      <c r="H28" s="13" t="s">
        <v>91</v>
      </c>
      <c r="I28" s="13" t="s">
        <v>7</v>
      </c>
    </row>
    <row r="29" spans="1:9" x14ac:dyDescent="0.25">
      <c r="A29" s="13" t="s">
        <v>92</v>
      </c>
      <c r="B29" s="13" t="s">
        <v>93</v>
      </c>
      <c r="C29" s="13" t="s">
        <v>90</v>
      </c>
      <c r="D29" s="20">
        <v>1</v>
      </c>
      <c r="E29" s="18">
        <v>45000</v>
      </c>
      <c r="F29" s="19">
        <v>0.2</v>
      </c>
      <c r="G29" s="19">
        <v>0.0765</v>
      </c>
      <c r="H29" s="13" t="s">
        <v>91</v>
      </c>
      <c r="I29" s="13" t="s">
        <v>7</v>
      </c>
    </row>
    <row r="30" spans="1:9" x14ac:dyDescent="0.25">
      <c r="A30" s="13" t="s">
        <v>94</v>
      </c>
      <c r="B30" s="13" t="s">
        <v>93</v>
      </c>
      <c r="C30" s="13" t="s">
        <v>95</v>
      </c>
      <c r="D30" s="20">
        <v>0.5</v>
      </c>
      <c r="E30" s="18">
        <v>28000</v>
      </c>
      <c r="F30" s="19">
        <v>0</v>
      </c>
      <c r="G30" s="19">
        <v>0.0765</v>
      </c>
      <c r="H30" s="13" t="s">
        <v>96</v>
      </c>
      <c r="I30" s="13" t="s">
        <v>7</v>
      </c>
    </row>
    <row r="32" ht="24" customHeight="1" spans="1:4" x14ac:dyDescent="0.25">
      <c r="A32" s="12" t="s">
        <v>97</v>
      </c>
      <c r="B32" s="12" t="s">
        <v>98</v>
      </c>
      <c r="C32" s="12" t="s">
        <v>99</v>
      </c>
      <c r="D32" s="12"/>
    </row>
    <row r="33" spans="1:2" x14ac:dyDescent="0.25">
      <c r="A33" s="13" t="s">
        <v>100</v>
      </c>
      <c r="B33" s="14" t="s">
        <v>101</v>
      </c>
    </row>
    <row r="34" spans="1:3" x14ac:dyDescent="0.25">
      <c r="A34" s="13" t="s">
        <v>102</v>
      </c>
      <c r="B34" s="18">
        <v>2500</v>
      </c>
      <c r="C34" s="13" t="s">
        <v>103</v>
      </c>
    </row>
    <row r="35" spans="1:2" x14ac:dyDescent="0.25">
      <c r="A35" s="13" t="s">
        <v>104</v>
      </c>
      <c r="B35" s="19">
        <v>0.03</v>
      </c>
    </row>
    <row r="37" ht="24" customHeight="1" spans="1:7" x14ac:dyDescent="0.25">
      <c r="A37" s="12" t="s">
        <v>105</v>
      </c>
      <c r="B37" s="12" t="s">
        <v>60</v>
      </c>
      <c r="C37" s="12" t="s">
        <v>61</v>
      </c>
      <c r="D37" s="12" t="s">
        <v>62</v>
      </c>
      <c r="E37" s="12" t="s">
        <v>63</v>
      </c>
      <c r="F37" s="12" t="s">
        <v>66</v>
      </c>
      <c r="G37" s="12"/>
    </row>
    <row r="38" spans="1:6" x14ac:dyDescent="0.25">
      <c r="A38" s="13" t="s">
        <v>101</v>
      </c>
      <c r="B38" s="13" t="s">
        <v>106</v>
      </c>
      <c r="C38" s="13" t="s">
        <v>103</v>
      </c>
      <c r="D38" s="18">
        <v>2500</v>
      </c>
      <c r="E38" s="19">
        <v>0.03</v>
      </c>
      <c r="F38" s="13" t="s">
        <v>7</v>
      </c>
    </row>
    <row r="39" spans="1:6" x14ac:dyDescent="0.25">
      <c r="A39" s="13" t="s">
        <v>107</v>
      </c>
      <c r="B39" s="13" t="s">
        <v>106</v>
      </c>
      <c r="C39" s="13" t="s">
        <v>103</v>
      </c>
      <c r="D39" s="18">
        <v>300</v>
      </c>
      <c r="E39" s="19">
        <v>0</v>
      </c>
      <c r="F39" s="13" t="s">
        <v>7</v>
      </c>
    </row>
    <row r="40" spans="1:6" x14ac:dyDescent="0.25">
      <c r="A40" s="13" t="s">
        <v>108</v>
      </c>
      <c r="B40" s="13" t="s">
        <v>106</v>
      </c>
      <c r="C40" s="13" t="s">
        <v>75</v>
      </c>
      <c r="D40" s="18">
        <v>2400</v>
      </c>
      <c r="E40" s="19">
        <v>0</v>
      </c>
      <c r="F40" s="13" t="s">
        <v>7</v>
      </c>
    </row>
    <row r="41" spans="1:6" x14ac:dyDescent="0.25">
      <c r="A41" s="13" t="s">
        <v>109</v>
      </c>
      <c r="B41" s="13" t="s">
        <v>110</v>
      </c>
      <c r="C41" s="13" t="s">
        <v>69</v>
      </c>
      <c r="D41" s="18">
        <v>500</v>
      </c>
      <c r="E41" s="19">
        <v>0</v>
      </c>
      <c r="F41" s="13" t="s">
        <v>7</v>
      </c>
    </row>
    <row r="42" spans="1:6" x14ac:dyDescent="0.25">
      <c r="A42" s="13" t="s">
        <v>111</v>
      </c>
      <c r="B42" s="13" t="s">
        <v>111</v>
      </c>
      <c r="C42" s="13" t="s">
        <v>69</v>
      </c>
      <c r="D42" s="18">
        <v>300</v>
      </c>
      <c r="E42" s="19">
        <v>0</v>
      </c>
      <c r="F42" s="13" t="s">
        <v>7</v>
      </c>
    </row>
    <row r="43" spans="1:6" x14ac:dyDescent="0.25">
      <c r="A43" s="13" t="s">
        <v>112</v>
      </c>
      <c r="B43" s="13" t="s">
        <v>113</v>
      </c>
      <c r="C43" s="13" t="s">
        <v>75</v>
      </c>
      <c r="D43" s="18">
        <v>3000</v>
      </c>
      <c r="E43" s="19">
        <v>0</v>
      </c>
      <c r="F43" s="13" t="s">
        <v>7</v>
      </c>
    </row>
    <row r="45" ht="24" customHeight="1" spans="1:8" x14ac:dyDescent="0.25">
      <c r="A45" s="12" t="s">
        <v>114</v>
      </c>
      <c r="B45" s="12" t="s">
        <v>115</v>
      </c>
      <c r="C45" s="12" t="s">
        <v>62</v>
      </c>
      <c r="D45" s="12" t="s">
        <v>116</v>
      </c>
      <c r="E45" s="12" t="s">
        <v>117</v>
      </c>
      <c r="F45" s="12" t="s">
        <v>118</v>
      </c>
      <c r="G45" s="12" t="s">
        <v>119</v>
      </c>
      <c r="H45" s="12" t="s">
        <v>66</v>
      </c>
    </row>
    <row r="46" spans="1:8" x14ac:dyDescent="0.25">
      <c r="A46" s="13" t="s">
        <v>120</v>
      </c>
      <c r="B46" s="13" t="s">
        <v>91</v>
      </c>
      <c r="C46" s="21">
        <v>0</v>
      </c>
      <c r="D46" s="18">
        <v>30000</v>
      </c>
      <c r="E46" s="22">
        <v>0.06</v>
      </c>
      <c r="F46" s="15">
        <v>5</v>
      </c>
      <c r="G46" s="21">
        <v>6960</v>
      </c>
      <c r="H46" s="13" t="s">
        <v>7</v>
      </c>
    </row>
    <row r="48" ht="24" customHeight="1" spans="1:3" x14ac:dyDescent="0.25">
      <c r="A48" s="12" t="s">
        <v>121</v>
      </c>
      <c r="B48" s="12"/>
      <c r="C48" s="12"/>
    </row>
    <row r="49" spans="1:2" x14ac:dyDescent="0.25">
      <c r="A49" s="13" t="s">
        <v>122</v>
      </c>
      <c r="B49" s="19">
        <v>0.03</v>
      </c>
    </row>
    <row r="50" spans="1:2" x14ac:dyDescent="0.25">
      <c r="A50" s="13" t="s">
        <v>123</v>
      </c>
      <c r="B50" s="19">
        <v>0.025</v>
      </c>
    </row>
    <row r="51" spans="1:3" x14ac:dyDescent="0.25">
      <c r="A51" s="13" t="s">
        <v>124</v>
      </c>
      <c r="B51" s="20">
        <v>0.8333333333333334</v>
      </c>
      <c r="C51" s="23" t="s">
        <v>125</v>
      </c>
    </row>
    <row r="52" spans="1:2" x14ac:dyDescent="0.25">
      <c r="A52" s="13" t="s">
        <v>126</v>
      </c>
      <c r="B52" s="19">
        <v>0.03</v>
      </c>
    </row>
    <row r="53" spans="1:2" x14ac:dyDescent="0.25">
      <c r="A53" s="13" t="s">
        <v>127</v>
      </c>
      <c r="B53" s="19">
        <v>0</v>
      </c>
    </row>
    <row r="54" spans="1:2" x14ac:dyDescent="0.25">
      <c r="A54" s="13" t="s">
        <v>128</v>
      </c>
      <c r="B54" s="18">
        <v>0</v>
      </c>
    </row>
    <row r="56" spans="1:7" x14ac:dyDescent="0.25">
      <c r="A56" s="24" t="s">
        <v>129</v>
      </c>
      <c r="B56" s="24"/>
      <c r="C56" s="24"/>
      <c r="D56" s="24"/>
      <c r="E56" s="24"/>
      <c r="F56" s="24"/>
      <c r="G56" s="24"/>
    </row>
  </sheetData>
  <mergeCells count="4">
    <mergeCell ref="A1:G1"/>
    <mergeCell ref="B5:D5"/>
    <mergeCell ref="B10:D10"/>
    <mergeCell ref="A56:G56"/>
  </mergeCells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&amp;L&amp;10&amp;BBright Horizons Microschool&amp;R&amp;8&amp;IAssumptions</oddHeader>
    <oddFooter>&amp;L&amp;8Built by SchoolStack Budget  •  budget.schoolstack.ai&amp;C&amp;8Page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7"/>
  <sheetViews>
    <sheetView workbookViewId="0">
      <pane xSplit="1" ySplit="2" topLeftCell="B3" activePane="bottomRight" state="frozen"/>
      <selection pane="bottomRight" activeCell="B3" sqref="B3"/>
    </sheetView>
  </sheetViews>
  <sheetFormatPr defaultRowHeight="15" outlineLevelRow="0" outlineLevelCol="0" x14ac:dyDescent="55"/>
  <cols>
    <col min="1" max="1" width="38" customWidth="1"/>
    <col min="2" max="6" width="16" customWidth="1"/>
  </cols>
  <sheetData>
    <row r="1" ht="32" customHeight="1" spans="1:6" x14ac:dyDescent="0.25">
      <c r="A1" s="8" t="s">
        <v>130</v>
      </c>
      <c r="B1" s="8"/>
      <c r="C1" s="8"/>
      <c r="D1" s="8"/>
      <c r="E1" s="8"/>
      <c r="F1" s="8"/>
    </row>
    <row r="2" spans="1:6" x14ac:dyDescent="0.25">
      <c r="A2" s="25" t="s">
        <v>131</v>
      </c>
      <c r="B2" s="25"/>
      <c r="C2" s="25"/>
      <c r="D2" s="25"/>
      <c r="E2" s="25"/>
      <c r="F2" s="25"/>
    </row>
    <row r="3" ht="28" customHeight="1" spans="1:6" x14ac:dyDescent="0.25">
      <c r="A3" s="26" t="s">
        <v>7</v>
      </c>
      <c r="B3" s="26" t="s">
        <v>53</v>
      </c>
      <c r="C3" s="26" t="s">
        <v>54</v>
      </c>
      <c r="D3" s="26" t="s">
        <v>55</v>
      </c>
      <c r="E3" s="26" t="s">
        <v>56</v>
      </c>
      <c r="F3" s="26" t="s">
        <v>57</v>
      </c>
    </row>
    <row r="4" spans="1:6" x14ac:dyDescent="0.25">
      <c r="A4" s="27" t="s">
        <v>58</v>
      </c>
      <c r="B4" s="28">
        <f>Assumptions!B17</f>
        <v>12</v>
      </c>
      <c r="C4" s="28">
        <f>Assumptions!C17</f>
        <v>18</v>
      </c>
      <c r="D4" s="28">
        <f>Assumptions!D17</f>
        <v>22</v>
      </c>
      <c r="E4" s="28">
        <f>Assumptions!E17</f>
        <v>25</v>
      </c>
      <c r="F4" s="28">
        <f>Assumptions!F17</f>
        <v>25</v>
      </c>
    </row>
    <row r="6" ht="24" customHeight="1" spans="1:6" x14ac:dyDescent="0.25">
      <c r="A6" s="12" t="s">
        <v>132</v>
      </c>
      <c r="B6" s="12"/>
      <c r="C6" s="12"/>
      <c r="D6" s="12"/>
      <c r="E6" s="12"/>
      <c r="F6" s="12"/>
    </row>
    <row r="7" spans="1:6" x14ac:dyDescent="0.25">
      <c r="A7" s="13" t="s">
        <v>67</v>
      </c>
      <c r="B7" s="21">
        <v>120000</v>
      </c>
      <c r="C7" s="21">
        <v>221400</v>
      </c>
      <c r="D7" s="21">
        <v>277365</v>
      </c>
      <c r="E7" s="21">
        <v>323067</v>
      </c>
      <c r="F7" s="21">
        <v>331144</v>
      </c>
    </row>
    <row r="8" spans="1:6" x14ac:dyDescent="0.25">
      <c r="A8" s="13" t="s">
        <v>70</v>
      </c>
      <c r="B8" s="21">
        <v>2500</v>
      </c>
      <c r="C8" s="21">
        <v>4613</v>
      </c>
      <c r="D8" s="21">
        <v>5778</v>
      </c>
      <c r="E8" s="21">
        <v>6731</v>
      </c>
      <c r="F8" s="21">
        <v>6899</v>
      </c>
    </row>
    <row r="9" spans="1:6" x14ac:dyDescent="0.25">
      <c r="A9" s="13" t="s">
        <v>71</v>
      </c>
      <c r="B9" s="21">
        <v>70000</v>
      </c>
      <c r="C9" s="21">
        <v>129150</v>
      </c>
      <c r="D9" s="21">
        <v>161796</v>
      </c>
      <c r="E9" s="21">
        <v>188456</v>
      </c>
      <c r="F9" s="21">
        <v>193167</v>
      </c>
    </row>
    <row r="10" spans="1:6" x14ac:dyDescent="0.25">
      <c r="A10" s="13" t="s">
        <v>73</v>
      </c>
      <c r="B10" s="21">
        <v>4167</v>
      </c>
      <c r="C10" s="21">
        <v>5125</v>
      </c>
      <c r="D10" s="21">
        <v>5253</v>
      </c>
      <c r="E10" s="21">
        <v>5384</v>
      </c>
      <c r="F10" s="21">
        <v>5519</v>
      </c>
    </row>
    <row r="11" spans="1:6" x14ac:dyDescent="0.25">
      <c r="A11" s="13" t="s">
        <v>76</v>
      </c>
      <c r="B11" s="21">
        <v>-12000</v>
      </c>
      <c r="C11" s="21">
        <v>-22140</v>
      </c>
      <c r="D11" s="21">
        <v>-27736</v>
      </c>
      <c r="E11" s="21">
        <v>-32307</v>
      </c>
      <c r="F11" s="21">
        <v>-33114</v>
      </c>
    </row>
    <row r="12" ht="24" customHeight="1" spans="1:6" x14ac:dyDescent="0.25">
      <c r="A12" s="12" t="s">
        <v>133</v>
      </c>
      <c r="B12" s="29">
        <f>SUM(B7:B11)</f>
        <v>184667</v>
      </c>
      <c r="C12" s="29">
        <f>SUM(C7:C11)</f>
        <v>337594</v>
      </c>
      <c r="D12" s="29">
        <f>SUM(D7:D11)</f>
        <v>421052</v>
      </c>
      <c r="E12" s="29">
        <f>SUM(E7:E11)</f>
        <v>488847</v>
      </c>
      <c r="F12" s="29">
        <f>SUM(F7:F11)</f>
        <v>500177</v>
      </c>
    </row>
    <row r="14" ht="24" customHeight="1" spans="1:6" x14ac:dyDescent="0.25">
      <c r="A14" s="12" t="s">
        <v>134</v>
      </c>
      <c r="B14" s="12"/>
      <c r="C14" s="12"/>
      <c r="D14" s="12"/>
      <c r="E14" s="12"/>
      <c r="F14" s="12"/>
    </row>
    <row r="15" spans="1:6" x14ac:dyDescent="0.25">
      <c r="A15" s="13" t="s">
        <v>135</v>
      </c>
      <c r="B15" s="21">
        <v>58506</v>
      </c>
      <c r="C15" s="21">
        <v>72314</v>
      </c>
      <c r="D15" s="21">
        <v>74483</v>
      </c>
      <c r="E15" s="21">
        <v>76718</v>
      </c>
      <c r="F15" s="21">
        <v>79019</v>
      </c>
    </row>
    <row r="16" spans="1:6" x14ac:dyDescent="0.25">
      <c r="A16" s="13" t="s">
        <v>136</v>
      </c>
      <c r="B16" s="21">
        <v>47869</v>
      </c>
      <c r="C16" s="21">
        <v>59166</v>
      </c>
      <c r="D16" s="21">
        <v>60941</v>
      </c>
      <c r="E16" s="21">
        <v>62769</v>
      </c>
      <c r="F16" s="21">
        <v>64652</v>
      </c>
    </row>
    <row r="17" spans="1:6" x14ac:dyDescent="0.25">
      <c r="A17" s="13" t="s">
        <v>137</v>
      </c>
      <c r="B17" s="21">
        <v>12559</v>
      </c>
      <c r="C17" s="21">
        <v>15523</v>
      </c>
      <c r="D17" s="21">
        <v>15989</v>
      </c>
      <c r="E17" s="21">
        <v>16468</v>
      </c>
      <c r="F17" s="21">
        <v>16963</v>
      </c>
    </row>
    <row r="18" ht="24" customHeight="1" spans="1:6" x14ac:dyDescent="0.25">
      <c r="A18" s="12" t="s">
        <v>138</v>
      </c>
      <c r="B18" s="29">
        <f>SUM(B15:B17)</f>
        <v>118934</v>
      </c>
      <c r="C18" s="29">
        <f>SUM(C15:C17)</f>
        <v>147003</v>
      </c>
      <c r="D18" s="29">
        <f>SUM(D15:D17)</f>
        <v>151413</v>
      </c>
      <c r="E18" s="29">
        <f>SUM(E15:E17)</f>
        <v>155955</v>
      </c>
      <c r="F18" s="29">
        <f>SUM(F15:F17)</f>
        <v>160634</v>
      </c>
    </row>
    <row r="20" ht="24" customHeight="1" spans="1:6" x14ac:dyDescent="0.25">
      <c r="A20" s="12" t="s">
        <v>105</v>
      </c>
      <c r="B20" s="12"/>
      <c r="C20" s="12"/>
      <c r="D20" s="12"/>
      <c r="E20" s="12"/>
      <c r="F20" s="12"/>
    </row>
    <row r="21" spans="1:6" x14ac:dyDescent="0.25">
      <c r="A21" s="13" t="s">
        <v>110</v>
      </c>
      <c r="B21" s="13"/>
      <c r="C21" s="13"/>
      <c r="D21" s="13"/>
      <c r="E21" s="13"/>
      <c r="F21" s="13"/>
    </row>
    <row r="22" spans="1:6" x14ac:dyDescent="0.25">
      <c r="A22" s="13" t="s">
        <v>139</v>
      </c>
      <c r="B22" s="21">
        <v>5000</v>
      </c>
      <c r="C22" s="21">
        <v>9225</v>
      </c>
      <c r="D22" s="21">
        <v>11557</v>
      </c>
      <c r="E22" s="21">
        <v>13461</v>
      </c>
      <c r="F22" s="21">
        <v>13798</v>
      </c>
    </row>
    <row r="23" spans="1:6" x14ac:dyDescent="0.25">
      <c r="A23" s="30" t="s">
        <v>140</v>
      </c>
      <c r="B23" s="31">
        <v>5000</v>
      </c>
      <c r="C23" s="31">
        <v>9225</v>
      </c>
      <c r="D23" s="31">
        <v>11557</v>
      </c>
      <c r="E23" s="31">
        <v>13461</v>
      </c>
      <c r="F23" s="31">
        <v>13798</v>
      </c>
    </row>
    <row r="24" spans="1:6" x14ac:dyDescent="0.25">
      <c r="A24" s="13" t="s">
        <v>111</v>
      </c>
      <c r="B24" s="13"/>
      <c r="C24" s="13"/>
      <c r="D24" s="13"/>
      <c r="E24" s="13"/>
      <c r="F24" s="13"/>
    </row>
    <row r="25" spans="1:6" x14ac:dyDescent="0.25">
      <c r="A25" s="13" t="s">
        <v>141</v>
      </c>
      <c r="B25" s="21">
        <v>3000</v>
      </c>
      <c r="C25" s="21">
        <v>5535</v>
      </c>
      <c r="D25" s="21">
        <v>6934</v>
      </c>
      <c r="E25" s="21">
        <v>8077</v>
      </c>
      <c r="F25" s="21">
        <v>8279</v>
      </c>
    </row>
    <row r="26" spans="1:6" x14ac:dyDescent="0.25">
      <c r="A26" s="30" t="s">
        <v>142</v>
      </c>
      <c r="B26" s="31">
        <v>3000</v>
      </c>
      <c r="C26" s="31">
        <v>5535</v>
      </c>
      <c r="D26" s="31">
        <v>6934</v>
      </c>
      <c r="E26" s="31">
        <v>8077</v>
      </c>
      <c r="F26" s="31">
        <v>8279</v>
      </c>
    </row>
    <row r="27" spans="1:6" x14ac:dyDescent="0.25">
      <c r="A27" s="13" t="s">
        <v>106</v>
      </c>
      <c r="B27" s="13"/>
      <c r="C27" s="13"/>
      <c r="D27" s="13"/>
      <c r="E27" s="13"/>
      <c r="F27" s="13"/>
    </row>
    <row r="28" spans="1:6" x14ac:dyDescent="0.25">
      <c r="A28" s="13" t="s">
        <v>143</v>
      </c>
      <c r="B28" s="21">
        <v>25000</v>
      </c>
      <c r="C28" s="21">
        <v>30900</v>
      </c>
      <c r="D28" s="21">
        <v>31827</v>
      </c>
      <c r="E28" s="21">
        <v>32782</v>
      </c>
      <c r="F28" s="21">
        <v>33765</v>
      </c>
    </row>
    <row r="29" spans="1:6" x14ac:dyDescent="0.25">
      <c r="A29" s="13" t="s">
        <v>144</v>
      </c>
      <c r="B29" s="21">
        <v>3000</v>
      </c>
      <c r="C29" s="21">
        <v>3690</v>
      </c>
      <c r="D29" s="21">
        <v>3782</v>
      </c>
      <c r="E29" s="21">
        <v>3877</v>
      </c>
      <c r="F29" s="21">
        <v>3974</v>
      </c>
    </row>
    <row r="30" spans="1:6" x14ac:dyDescent="0.25">
      <c r="A30" s="13" t="s">
        <v>145</v>
      </c>
      <c r="B30" s="21">
        <v>2000</v>
      </c>
      <c r="C30" s="21">
        <v>2460</v>
      </c>
      <c r="D30" s="21">
        <v>2522</v>
      </c>
      <c r="E30" s="21">
        <v>2585</v>
      </c>
      <c r="F30" s="21">
        <v>2649</v>
      </c>
    </row>
    <row r="31" spans="1:6" x14ac:dyDescent="0.25">
      <c r="A31" s="30" t="s">
        <v>146</v>
      </c>
      <c r="B31" s="31">
        <v>30000</v>
      </c>
      <c r="C31" s="31">
        <v>37050</v>
      </c>
      <c r="D31" s="31">
        <v>38131</v>
      </c>
      <c r="E31" s="31">
        <v>39244</v>
      </c>
      <c r="F31" s="31">
        <v>40388</v>
      </c>
    </row>
    <row r="32" spans="1:6" x14ac:dyDescent="0.25">
      <c r="A32" s="13" t="s">
        <v>113</v>
      </c>
      <c r="B32" s="13"/>
      <c r="C32" s="13"/>
      <c r="D32" s="13"/>
      <c r="E32" s="13"/>
      <c r="F32" s="13"/>
    </row>
    <row r="33" spans="1:6" x14ac:dyDescent="0.25">
      <c r="A33" s="13" t="s">
        <v>147</v>
      </c>
      <c r="B33" s="21">
        <v>2500</v>
      </c>
      <c r="C33" s="21">
        <v>3075</v>
      </c>
      <c r="D33" s="21">
        <v>3152</v>
      </c>
      <c r="E33" s="21">
        <v>3231</v>
      </c>
      <c r="F33" s="21">
        <v>3311</v>
      </c>
    </row>
    <row r="34" spans="1:6" x14ac:dyDescent="0.25">
      <c r="A34" s="30" t="s">
        <v>148</v>
      </c>
      <c r="B34" s="31">
        <v>2500</v>
      </c>
      <c r="C34" s="31">
        <v>3075</v>
      </c>
      <c r="D34" s="31">
        <v>3152</v>
      </c>
      <c r="E34" s="31">
        <v>3231</v>
      </c>
      <c r="F34" s="31">
        <v>3311</v>
      </c>
    </row>
    <row r="35" ht="24" customHeight="1" spans="1:6" x14ac:dyDescent="0.25">
      <c r="A35" s="12" t="s">
        <v>149</v>
      </c>
      <c r="B35" s="29">
        <f>B23+B26+B31+B34</f>
        <v>40500</v>
      </c>
      <c r="C35" s="29">
        <f>C23+C26+C31+C34</f>
        <v>54885</v>
      </c>
      <c r="D35" s="29">
        <f>D23+D26+D31+D34</f>
        <v>59774</v>
      </c>
      <c r="E35" s="29">
        <f>E23+E26+E31+E34</f>
        <v>64012</v>
      </c>
      <c r="F35" s="29">
        <f>F23+F26+F31+F34</f>
        <v>65776</v>
      </c>
    </row>
    <row r="37" ht="24" customHeight="1" spans="1:6" x14ac:dyDescent="0.25">
      <c r="A37" s="12" t="s">
        <v>150</v>
      </c>
      <c r="B37" s="12"/>
      <c r="C37" s="12"/>
      <c r="D37" s="12"/>
      <c r="E37" s="12"/>
      <c r="F37" s="12"/>
    </row>
    <row r="38" spans="1:6" x14ac:dyDescent="0.25">
      <c r="A38" s="13" t="s">
        <v>120</v>
      </c>
      <c r="B38" s="21">
        <v>6960</v>
      </c>
      <c r="C38" s="21">
        <v>6960</v>
      </c>
      <c r="D38" s="21">
        <v>6960</v>
      </c>
      <c r="E38" s="21">
        <v>6960</v>
      </c>
      <c r="F38" s="21">
        <v>6960</v>
      </c>
    </row>
    <row r="39" ht="24" customHeight="1" spans="1:6" x14ac:dyDescent="0.25">
      <c r="A39" s="12" t="s">
        <v>151</v>
      </c>
      <c r="B39" s="29">
        <f>SUM(B38:B38)</f>
        <v>6960</v>
      </c>
      <c r="C39" s="29">
        <f>SUM(C38:C38)</f>
        <v>6960</v>
      </c>
      <c r="D39" s="29">
        <f>SUM(D38:D38)</f>
        <v>6960</v>
      </c>
      <c r="E39" s="29">
        <f>SUM(E38:E38)</f>
        <v>6960</v>
      </c>
      <c r="F39" s="29">
        <f>SUM(F38:F38)</f>
        <v>6960</v>
      </c>
    </row>
    <row r="41" ht="24" customHeight="1" spans="1:6" x14ac:dyDescent="0.25">
      <c r="A41" s="12" t="s">
        <v>152</v>
      </c>
      <c r="B41" s="12"/>
      <c r="C41" s="12"/>
      <c r="D41" s="12"/>
      <c r="E41" s="12"/>
      <c r="F41" s="12"/>
    </row>
    <row r="42" spans="1:6" x14ac:dyDescent="0.25">
      <c r="A42" s="27" t="s">
        <v>153</v>
      </c>
      <c r="B42" s="31">
        <f>B12</f>
        <v>184667</v>
      </c>
      <c r="C42" s="31">
        <f>C12</f>
        <v>337594</v>
      </c>
      <c r="D42" s="31">
        <f>D12</f>
        <v>421052</v>
      </c>
      <c r="E42" s="31">
        <f>E12</f>
        <v>488847</v>
      </c>
      <c r="F42" s="31">
        <f>F12</f>
        <v>500177</v>
      </c>
    </row>
    <row r="43" spans="1:6" x14ac:dyDescent="0.25">
      <c r="A43" s="13" t="s">
        <v>154</v>
      </c>
      <c r="B43" s="21">
        <f>B18</f>
        <v>118934</v>
      </c>
      <c r="C43" s="21">
        <f>C18</f>
        <v>147003</v>
      </c>
      <c r="D43" s="21">
        <f>D18</f>
        <v>151413</v>
      </c>
      <c r="E43" s="21">
        <f>E18</f>
        <v>155955</v>
      </c>
      <c r="F43" s="21">
        <f>F18</f>
        <v>160634</v>
      </c>
    </row>
    <row r="44" spans="1:6" x14ac:dyDescent="0.25">
      <c r="A44" s="13" t="s">
        <v>155</v>
      </c>
      <c r="B44" s="21">
        <f>B35</f>
        <v>40500</v>
      </c>
      <c r="C44" s="21">
        <f>C35</f>
        <v>54885</v>
      </c>
      <c r="D44" s="21">
        <f>D35</f>
        <v>59774</v>
      </c>
      <c r="E44" s="21">
        <f>E35</f>
        <v>64012</v>
      </c>
      <c r="F44" s="21">
        <f>F35</f>
        <v>65776</v>
      </c>
    </row>
    <row r="45" spans="1:6" x14ac:dyDescent="0.25">
      <c r="A45" s="13" t="s">
        <v>156</v>
      </c>
      <c r="B45" s="21">
        <f>B39</f>
        <v>6960</v>
      </c>
      <c r="C45" s="21">
        <f>C39</f>
        <v>6960</v>
      </c>
      <c r="D45" s="21">
        <f>D39</f>
        <v>6960</v>
      </c>
      <c r="E45" s="21">
        <f>E39</f>
        <v>6960</v>
      </c>
      <c r="F45" s="21">
        <f>F39</f>
        <v>6960</v>
      </c>
    </row>
    <row r="46" spans="1:6" x14ac:dyDescent="0.25">
      <c r="A46" s="27" t="s">
        <v>157</v>
      </c>
      <c r="B46" s="31">
        <f>B43+B44+B45</f>
        <v>166394</v>
      </c>
      <c r="C46" s="31">
        <f>C43+C44+C45</f>
        <v>208848</v>
      </c>
      <c r="D46" s="31">
        <f>D43+D44+D45</f>
        <v>218147</v>
      </c>
      <c r="E46" s="31">
        <f>E43+E44+E45</f>
        <v>226927</v>
      </c>
      <c r="F46" s="31">
        <f>F43+F44+F45</f>
        <v>233370</v>
      </c>
    </row>
    <row r="47" spans="1:1" x14ac:dyDescent="0.25">
      <c r="A47" t="s">
        <v>7</v>
      </c>
    </row>
    <row r="48" spans="1:6" x14ac:dyDescent="0.25">
      <c r="A48" s="32" t="s">
        <v>158</v>
      </c>
      <c r="B48" s="33">
        <f>B42-B46</f>
        <v>18273</v>
      </c>
      <c r="C48" s="33">
        <f>C42-C46</f>
        <v>128746</v>
      </c>
      <c r="D48" s="33">
        <f>D42-D46</f>
        <v>202905</v>
      </c>
      <c r="E48" s="33">
        <f>E42-E46</f>
        <v>261920</v>
      </c>
      <c r="F48" s="33">
        <f>F42-F46</f>
        <v>266807</v>
      </c>
    </row>
    <row r="49" spans="1:6" x14ac:dyDescent="0.25">
      <c r="A49" s="13" t="s">
        <v>159</v>
      </c>
      <c r="B49" s="34">
        <f>IF(B42=0,"",B48/B42)</f>
        <v>0.09895108</v>
      </c>
      <c r="C49" s="34">
        <f>IF(C42=0,"",C48/C42)</f>
        <v>0.38136341</v>
      </c>
      <c r="D49" s="34">
        <f>IF(D42=0,"",D48/D42)</f>
        <v>0.4819001</v>
      </c>
      <c r="E49" s="34">
        <f>IF(E42=0,"",E48/E42)</f>
        <v>0.53579136</v>
      </c>
      <c r="F49" s="34">
        <f>IF(F42=0,"",F48/F42)</f>
        <v>0.53342517</v>
      </c>
    </row>
    <row r="50" spans="1:6" x14ac:dyDescent="0.25">
      <c r="A50" s="13" t="s">
        <v>160</v>
      </c>
      <c r="B50" s="21">
        <f>B48</f>
        <v>18273</v>
      </c>
      <c r="C50" s="21">
        <f>B50+C48</f>
        <v>147019</v>
      </c>
      <c r="D50" s="21">
        <f>C50+D48</f>
        <v>349924</v>
      </c>
      <c r="E50" s="21">
        <f>D50+E48</f>
        <v>611844</v>
      </c>
      <c r="F50" s="21">
        <f>E50+F48</f>
        <v>878651</v>
      </c>
    </row>
    <row r="51" spans="1:6" x14ac:dyDescent="0.25">
      <c r="A51" s="30" t="s">
        <v>161</v>
      </c>
      <c r="B51" s="35" t="s">
        <v>162</v>
      </c>
      <c r="C51" s="36" t="s">
        <v>7</v>
      </c>
      <c r="D51" s="36" t="s">
        <v>7</v>
      </c>
      <c r="E51" s="36" t="s">
        <v>7</v>
      </c>
      <c r="F51" s="36" t="s">
        <v>7</v>
      </c>
    </row>
    <row r="53" ht="24" customHeight="1" spans="1:6" x14ac:dyDescent="0.25">
      <c r="A53" s="12" t="s">
        <v>163</v>
      </c>
      <c r="B53" s="12"/>
      <c r="C53" s="12"/>
      <c r="D53" s="12"/>
      <c r="E53" s="12"/>
      <c r="F53" s="12"/>
    </row>
    <row r="54" spans="1:6" x14ac:dyDescent="0.25">
      <c r="A54" s="27" t="s">
        <v>164</v>
      </c>
      <c r="B54" s="31">
        <f>B42-B43-B44</f>
        <v>25233</v>
      </c>
      <c r="C54" s="31">
        <f>C42-C43-C44</f>
        <v>135706</v>
      </c>
      <c r="D54" s="31">
        <f>D42-D43-D44</f>
        <v>209865</v>
      </c>
      <c r="E54" s="31">
        <f>E42-E43-E44</f>
        <v>268880</v>
      </c>
      <c r="F54" s="31">
        <f>F42-F43-F44</f>
        <v>273767</v>
      </c>
    </row>
    <row r="55" spans="1:6" x14ac:dyDescent="0.25">
      <c r="A55" s="13" t="s">
        <v>165</v>
      </c>
      <c r="B55" s="21">
        <f>B45</f>
        <v>6960</v>
      </c>
      <c r="C55" s="21">
        <f>C45</f>
        <v>6960</v>
      </c>
      <c r="D55" s="21">
        <f>D45</f>
        <v>6960</v>
      </c>
      <c r="E55" s="21">
        <f>E45</f>
        <v>6960</v>
      </c>
      <c r="F55" s="21">
        <f>F45</f>
        <v>6960</v>
      </c>
    </row>
    <row r="56" spans="1:6" x14ac:dyDescent="0.25">
      <c r="A56" s="27" t="s">
        <v>166</v>
      </c>
      <c r="B56" s="37">
        <f>IF(B55=0,"N/A",B54/B55)</f>
        <v>3.63</v>
      </c>
      <c r="C56" s="37">
        <f>IF(C55=0,"N/A",C54/C55)</f>
        <v>19.5</v>
      </c>
      <c r="D56" s="37">
        <f>IF(D55=0,"N/A",D54/D55)</f>
        <v>30.15</v>
      </c>
      <c r="E56" s="37">
        <f>IF(E55=0,"N/A",E54/E55)</f>
        <v>38.63</v>
      </c>
      <c r="F56" s="37">
        <f>IF(F55=0,"N/A",F54/F55)</f>
        <v>39.33</v>
      </c>
    </row>
    <row r="57" spans="1:6" x14ac:dyDescent="0.25">
      <c r="A57" s="13" t="s">
        <v>128</v>
      </c>
      <c r="B57" s="21" t="str">
        <f>Assumptions!B54</f>
        <v>0</v>
      </c>
      <c r="C57" s="21">
        <f>B58</f>
        <v>18273</v>
      </c>
      <c r="D57" s="21">
        <f>C58</f>
        <v>147019</v>
      </c>
      <c r="E57" s="21">
        <f>D58</f>
        <v>349924</v>
      </c>
      <c r="F57" s="21">
        <f>E58</f>
        <v>611844</v>
      </c>
    </row>
    <row r="58" spans="1:6" x14ac:dyDescent="0.25">
      <c r="A58" s="27" t="s">
        <v>167</v>
      </c>
      <c r="B58" s="31">
        <f>B57+B48</f>
        <v>18273</v>
      </c>
      <c r="C58" s="31">
        <f>C57+C48</f>
        <v>147019</v>
      </c>
      <c r="D58" s="31">
        <f>D57+D48</f>
        <v>349924</v>
      </c>
      <c r="E58" s="31">
        <f>E57+E48</f>
        <v>611844</v>
      </c>
      <c r="F58" s="31">
        <f>F57+F48</f>
        <v>878651</v>
      </c>
    </row>
    <row r="59" spans="1:6" x14ac:dyDescent="0.25">
      <c r="A59" s="13" t="s">
        <v>168</v>
      </c>
      <c r="B59" s="38">
        <f>IF(B46=0,"",B58/B46*365)</f>
        <v>40</v>
      </c>
      <c r="C59" s="38">
        <f>IF(C46=0,"",C58/C46*365)</f>
        <v>257</v>
      </c>
      <c r="D59" s="38">
        <f>IF(D46=0,"",D58/D46*365)</f>
        <v>585</v>
      </c>
      <c r="E59" s="38">
        <f>IF(E46=0,"",E58/E46*365)</f>
        <v>984</v>
      </c>
      <c r="F59" s="38">
        <f>IF(F46=0,"",F58/F46*365)</f>
        <v>1374</v>
      </c>
    </row>
    <row r="60" spans="1:6" x14ac:dyDescent="0.25">
      <c r="A60" s="13" t="s">
        <v>169</v>
      </c>
      <c r="B60" s="39">
        <f>IF(B46=0,"",B58/(B46/12))</f>
        <v>1.3</v>
      </c>
      <c r="C60" s="39">
        <f>IF(C46=0,"",C58/(C46/12))</f>
        <v>8.4</v>
      </c>
      <c r="D60" s="39">
        <f>IF(D46=0,"",D58/(D46/12))</f>
        <v>19.2</v>
      </c>
      <c r="E60" s="39">
        <f>IF(E46=0,"",E58/(E46/12))</f>
        <v>32.4</v>
      </c>
      <c r="F60" s="39">
        <f>IF(F46=0,"",F58/(F46/12))</f>
        <v>45.2</v>
      </c>
    </row>
    <row r="61" spans="1:6" x14ac:dyDescent="0.25">
      <c r="A61" s="13" t="s">
        <v>170</v>
      </c>
      <c r="B61" s="34">
        <f>IF(Assumptions!B12=0,"",B4/Assumptions!B12)</f>
        <v>0.48</v>
      </c>
      <c r="C61" s="34">
        <f>IF(Assumptions!B12=0,"",C4/Assumptions!B12)</f>
        <v>0.72</v>
      </c>
      <c r="D61" s="34">
        <f>IF(Assumptions!B12=0,"",D4/Assumptions!B12)</f>
        <v>0.88</v>
      </c>
      <c r="E61" s="34">
        <f>IF(Assumptions!B12=0,"",E4/Assumptions!B12)</f>
        <v>1</v>
      </c>
      <c r="F61" s="34">
        <f>IF(Assumptions!B12=0,"",F4/Assumptions!B12)</f>
        <v>1</v>
      </c>
    </row>
    <row r="63" ht="24" customHeight="1" spans="1:6" x14ac:dyDescent="0.25">
      <c r="A63" s="12" t="s">
        <v>171</v>
      </c>
      <c r="B63" s="12"/>
      <c r="C63" s="12"/>
      <c r="D63" s="12"/>
      <c r="E63" s="12"/>
      <c r="F63" s="12"/>
    </row>
    <row r="64" spans="1:6" x14ac:dyDescent="0.25">
      <c r="A64" s="13" t="s">
        <v>172</v>
      </c>
      <c r="B64" s="13" t="str">
        <f>IF(B55=0,"N/A",IF(B56&gt;=1.25,"PASS","FAIL"))</f>
        <v>PASS</v>
      </c>
      <c r="C64" s="13" t="str">
        <f>IF(C55=0,"N/A",IF(C56&gt;=1.25,"PASS","FAIL"))</f>
        <v>PASS</v>
      </c>
      <c r="D64" s="13" t="str">
        <f>IF(D55=0,"N/A",IF(D56&gt;=1.25,"PASS","FAIL"))</f>
        <v>PASS</v>
      </c>
      <c r="E64" s="13" t="str">
        <f>IF(E55=0,"N/A",IF(E56&gt;=1.25,"PASS","FAIL"))</f>
        <v>PASS</v>
      </c>
      <c r="F64" s="13" t="str">
        <f>IF(F55=0,"N/A",IF(F56&gt;=1.25,"PASS","FAIL"))</f>
        <v>PASS</v>
      </c>
    </row>
    <row r="65" spans="1:6" x14ac:dyDescent="0.25">
      <c r="A65" s="13" t="s">
        <v>173</v>
      </c>
      <c r="B65" s="13" t="str">
        <f>IF(B48&gt;0,"PASS","FAIL")</f>
        <v>PASS</v>
      </c>
      <c r="C65" s="13" t="str">
        <f>IF(C48&gt;0,"PASS","FAIL")</f>
        <v>PASS</v>
      </c>
      <c r="D65" s="13" t="str">
        <f>IF(D48&gt;0,"PASS","FAIL")</f>
        <v>PASS</v>
      </c>
      <c r="E65" s="13" t="str">
        <f>IF(E48&gt;0,"PASS","FAIL")</f>
        <v>PASS</v>
      </c>
      <c r="F65" s="13" t="str">
        <f>IF(F48&gt;0,"PASS","FAIL")</f>
        <v>PASS</v>
      </c>
    </row>
    <row r="66" spans="1:6" x14ac:dyDescent="0.25">
      <c r="A66" s="13" t="s">
        <v>174</v>
      </c>
      <c r="B66" s="13" t="str">
        <f>IF(Assumptions!B12=0,"N/A",IF(B4/Assumptions!B12&gt;=0.7,"PASS","FAIL"))</f>
        <v>FAIL</v>
      </c>
      <c r="C66" s="13" t="str">
        <f>IF(Assumptions!B12=0,"N/A",IF(C4/Assumptions!B12&gt;=0.7,"PASS","FAIL"))</f>
        <v>PASS</v>
      </c>
      <c r="D66" s="13" t="str">
        <f>IF(Assumptions!B12=0,"N/A",IF(D4/Assumptions!B12&gt;=0.7,"PASS","FAIL"))</f>
        <v>PASS</v>
      </c>
      <c r="E66" s="13" t="str">
        <f>IF(Assumptions!B12=0,"N/A",IF(E4/Assumptions!B12&gt;=0.7,"PASS","FAIL"))</f>
        <v>PASS</v>
      </c>
      <c r="F66" s="13" t="str">
        <f>IF(Assumptions!B12=0,"N/A",IF(F4/Assumptions!B12&gt;=0.7,"PASS","FAIL"))</f>
        <v>PASS</v>
      </c>
    </row>
    <row r="67" spans="1:6" x14ac:dyDescent="0.25">
      <c r="A67" s="13" t="s">
        <v>175</v>
      </c>
      <c r="B67" s="13" t="str">
        <f>IF(B46=0,"N/A",IF(B58/(B46/12)&gt;=2,"PASS","FAIL"))</f>
        <v>FAIL</v>
      </c>
      <c r="C67" s="13" t="str">
        <f>IF(C46=0,"N/A",IF(C58/(C46/12)&gt;=2,"PASS","FAIL"))</f>
        <v>PASS</v>
      </c>
      <c r="D67" s="13" t="str">
        <f>IF(D46=0,"N/A",IF(D58/(D46/12)&gt;=2,"PASS","FAIL"))</f>
        <v>PASS</v>
      </c>
      <c r="E67" s="13" t="str">
        <f>IF(E46=0,"N/A",IF(E58/(E46/12)&gt;=2,"PASS","FAIL"))</f>
        <v>PASS</v>
      </c>
      <c r="F67" s="13" t="str">
        <f>IF(F46=0,"N/A",IF(F58/(F46/12)&gt;=2,"PASS","FAIL"))</f>
        <v>PASS</v>
      </c>
    </row>
    <row r="69" ht="24" customHeight="1" spans="1:6" x14ac:dyDescent="0.25">
      <c r="A69" s="12" t="s">
        <v>176</v>
      </c>
      <c r="B69" s="12"/>
      <c r="C69" s="12"/>
      <c r="D69" s="12"/>
      <c r="E69" s="12"/>
      <c r="F69" s="12"/>
    </row>
    <row r="70" spans="1:6" x14ac:dyDescent="0.25">
      <c r="A70" s="13" t="s">
        <v>177</v>
      </c>
      <c r="B70" s="21">
        <f>IF(B4=0,"",B12/B4)</f>
        <v>15389</v>
      </c>
      <c r="C70" s="21">
        <f>IF(C4=0,"",C12/C4)</f>
        <v>18755</v>
      </c>
      <c r="D70" s="21">
        <f>IF(D4=0,"",D12/D4)</f>
        <v>19139</v>
      </c>
      <c r="E70" s="21">
        <f>IF(E4=0,"",E12/E4)</f>
        <v>19554</v>
      </c>
      <c r="F70" s="21">
        <f>IF(F4=0,"",F12/F4)</f>
        <v>20007</v>
      </c>
    </row>
    <row r="71" spans="1:6" x14ac:dyDescent="0.25">
      <c r="A71" s="13" t="s">
        <v>178</v>
      </c>
      <c r="B71" s="21">
        <f>IF(B4=0,"",B46/B4)</f>
        <v>13866</v>
      </c>
      <c r="C71" s="21">
        <f>IF(C4=0,"",C46/C4)</f>
        <v>11603</v>
      </c>
      <c r="D71" s="21">
        <f>IF(D4=0,"",D46/D4)</f>
        <v>9916</v>
      </c>
      <c r="E71" s="21">
        <f>IF(E4=0,"",E46/E4)</f>
        <v>9077</v>
      </c>
      <c r="F71" s="21">
        <f>IF(F4=0,"",F46/F4)</f>
        <v>9335</v>
      </c>
    </row>
    <row r="72" spans="1:6" x14ac:dyDescent="0.25">
      <c r="A72" s="13" t="s">
        <v>179</v>
      </c>
      <c r="B72" s="21">
        <f>B43+B45</f>
        <v>125894</v>
      </c>
      <c r="C72" s="21">
        <f>C43+C45</f>
        <v>153963</v>
      </c>
      <c r="D72" s="21">
        <f>D43+D45</f>
        <v>158373</v>
      </c>
      <c r="E72" s="21">
        <f>E43+E45</f>
        <v>162915</v>
      </c>
      <c r="F72" s="21">
        <f>F43+F45</f>
        <v>167594</v>
      </c>
    </row>
    <row r="73" spans="1:6" x14ac:dyDescent="0.25">
      <c r="A73" s="13" t="s">
        <v>180</v>
      </c>
      <c r="B73" s="21">
        <f>IF(B4=0,"",B44/B4)</f>
        <v>3375</v>
      </c>
      <c r="C73" s="21">
        <f>IF(C4=0,"",C44/C4)</f>
        <v>3049</v>
      </c>
      <c r="D73" s="21">
        <f>IF(D4=0,"",D44/D4)</f>
        <v>2717</v>
      </c>
      <c r="E73" s="21">
        <f>IF(E4=0,"",E44/E4)</f>
        <v>2560</v>
      </c>
      <c r="F73" s="21">
        <f>IF(F4=0,"",F44/F4)</f>
        <v>2631</v>
      </c>
    </row>
    <row r="74" spans="1:6" x14ac:dyDescent="0.25">
      <c r="A74" s="13" t="s">
        <v>181</v>
      </c>
      <c r="B74" s="21">
        <f>IF(B4=0,"",B70-B73)</f>
        <v>12014</v>
      </c>
      <c r="C74" s="21">
        <f>IF(C4=0,"",C70-C73)</f>
        <v>15706</v>
      </c>
      <c r="D74" s="21">
        <f>IF(D4=0,"",D70-D73)</f>
        <v>16422</v>
      </c>
      <c r="E74" s="21">
        <f>IF(E4=0,"",E70-E73)</f>
        <v>16993</v>
      </c>
      <c r="F74" s="21">
        <f>IF(F4=0,"",F70-F73)</f>
        <v>17376</v>
      </c>
    </row>
    <row r="75" spans="1:6" x14ac:dyDescent="0.25">
      <c r="A75" s="40" t="s">
        <v>182</v>
      </c>
      <c r="B75" s="41">
        <f>IF(B74&lt;=0,"N/A",ROUNDUP(B72/B74,0))</f>
        <v>11</v>
      </c>
      <c r="C75" s="41">
        <f>IF(C74&lt;=0,"N/A",ROUNDUP(C72/C74,0))</f>
        <v>10</v>
      </c>
      <c r="D75" s="41">
        <f>IF(D74&lt;=0,"N/A",ROUNDUP(D72/D74,0))</f>
        <v>10</v>
      </c>
      <c r="E75" s="41">
        <f>IF(E74&lt;=0,"N/A",ROUNDUP(E72/E74,0))</f>
        <v>10</v>
      </c>
      <c r="F75" s="41">
        <f>IF(F74&lt;=0,"N/A",ROUNDUP(F72/F74,0))</f>
        <v>10</v>
      </c>
    </row>
    <row r="77" spans="1:6" x14ac:dyDescent="0.25">
      <c r="A77" s="24" t="s">
        <v>129</v>
      </c>
      <c r="B77" s="24"/>
      <c r="C77" s="24"/>
      <c r="D77" s="24"/>
      <c r="E77" s="24"/>
      <c r="F77" s="24"/>
    </row>
  </sheetData>
  <mergeCells count="3">
    <mergeCell ref="A1:F1"/>
    <mergeCell ref="A2:F2"/>
    <mergeCell ref="A77:F77"/>
  </mergeCells>
  <pageMargins left="0.25" right="0.25" top="0.5" bottom="0.5" header="0.3" footer="0.3"/>
  <pageSetup paperSize="1" orientation="portrait" horizontalDpi="4294967295" verticalDpi="4294967295" scale="100" fitToWidth="1" fitToHeight="0"/>
  <headerFooter>
    <oddHeader>&amp;L&amp;10&amp;BBright Horizons Microschool&amp;R&amp;8&amp;I5-Year Model</oddHeader>
    <oddFooter>&amp;L&amp;8Built by SchoolStack Budget  •  budget.schoolstack.ai&amp;C&amp;8Page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6"/>
  <sheetViews>
    <sheetView workbookViewId="0">
      <pane xSplit="1" ySplit="2" topLeftCell="B3" activePane="bottomRight" state="frozen"/>
      <selection pane="bottomRight" activeCell="B3" sqref="B3"/>
    </sheetView>
  </sheetViews>
  <sheetFormatPr defaultRowHeight="15" outlineLevelRow="0" outlineLevelCol="0" x14ac:dyDescent="55"/>
  <cols>
    <col min="1" max="1" width="36" customWidth="1"/>
    <col min="2" max="13" width="14" customWidth="1"/>
    <col min="14" max="14" width="16" customWidth="1"/>
  </cols>
  <sheetData>
    <row r="1" ht="32" customHeight="1" spans="1:14" x14ac:dyDescent="0.25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28" customHeight="1" spans="1:14" x14ac:dyDescent="0.25">
      <c r="A2" s="26" t="s">
        <v>7</v>
      </c>
      <c r="B2" s="26" t="s">
        <v>46</v>
      </c>
      <c r="C2" s="26" t="s">
        <v>184</v>
      </c>
      <c r="D2" s="26" t="s">
        <v>185</v>
      </c>
      <c r="E2" s="26" t="s">
        <v>186</v>
      </c>
      <c r="F2" s="26" t="s">
        <v>187</v>
      </c>
      <c r="G2" s="26" t="s">
        <v>188</v>
      </c>
      <c r="H2" s="26" t="s">
        <v>189</v>
      </c>
      <c r="I2" s="26" t="s">
        <v>190</v>
      </c>
      <c r="J2" s="26" t="s">
        <v>191</v>
      </c>
      <c r="K2" s="26" t="s">
        <v>192</v>
      </c>
      <c r="L2" s="26" t="s">
        <v>193</v>
      </c>
      <c r="M2" s="26" t="s">
        <v>194</v>
      </c>
      <c r="N2" s="26" t="s">
        <v>195</v>
      </c>
    </row>
    <row r="3" ht="24" customHeight="1" spans="1:14" x14ac:dyDescent="0.25">
      <c r="A3" s="12" t="s">
        <v>132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x14ac:dyDescent="0.25">
      <c r="A4" s="13" t="s">
        <v>67</v>
      </c>
      <c r="B4" s="21">
        <v>14400</v>
      </c>
      <c r="C4" s="21">
        <v>14400</v>
      </c>
      <c r="D4" s="21">
        <v>14400</v>
      </c>
      <c r="E4" s="21">
        <v>14400</v>
      </c>
      <c r="F4" s="21">
        <v>14400</v>
      </c>
      <c r="G4" s="21">
        <v>14400</v>
      </c>
      <c r="H4" s="21">
        <v>14400</v>
      </c>
      <c r="I4" s="21">
        <v>14400</v>
      </c>
      <c r="J4" s="21">
        <v>14400</v>
      </c>
      <c r="K4" s="21">
        <v>14400</v>
      </c>
      <c r="L4" s="21">
        <v>0</v>
      </c>
      <c r="M4" s="21">
        <v>0</v>
      </c>
      <c r="N4" s="21">
        <f>SUM(B4:M4)</f>
        <v>120000</v>
      </c>
    </row>
    <row r="5" spans="1:14" x14ac:dyDescent="0.25">
      <c r="A5" s="13" t="s">
        <v>70</v>
      </c>
      <c r="B5" s="21">
        <v>300</v>
      </c>
      <c r="C5" s="21">
        <v>300</v>
      </c>
      <c r="D5" s="21">
        <v>300</v>
      </c>
      <c r="E5" s="21">
        <v>300</v>
      </c>
      <c r="F5" s="21">
        <v>300</v>
      </c>
      <c r="G5" s="21">
        <v>300</v>
      </c>
      <c r="H5" s="21">
        <v>300</v>
      </c>
      <c r="I5" s="21">
        <v>300</v>
      </c>
      <c r="J5" s="21">
        <v>300</v>
      </c>
      <c r="K5" s="21">
        <v>300</v>
      </c>
      <c r="L5" s="21">
        <v>0</v>
      </c>
      <c r="M5" s="21">
        <v>0</v>
      </c>
      <c r="N5" s="21">
        <f>SUM(B5:M5)</f>
        <v>2500</v>
      </c>
    </row>
    <row r="6" spans="1:14" x14ac:dyDescent="0.25">
      <c r="A6" s="13" t="s">
        <v>71</v>
      </c>
      <c r="B6" s="21">
        <v>8400</v>
      </c>
      <c r="C6" s="21">
        <v>8400</v>
      </c>
      <c r="D6" s="21">
        <v>8400</v>
      </c>
      <c r="E6" s="21">
        <v>8400</v>
      </c>
      <c r="F6" s="21">
        <v>8400</v>
      </c>
      <c r="G6" s="21">
        <v>8400</v>
      </c>
      <c r="H6" s="21">
        <v>8400</v>
      </c>
      <c r="I6" s="21">
        <v>8400</v>
      </c>
      <c r="J6" s="21">
        <v>8400</v>
      </c>
      <c r="K6" s="21">
        <v>8400</v>
      </c>
      <c r="L6" s="21">
        <v>0</v>
      </c>
      <c r="M6" s="21">
        <v>0</v>
      </c>
      <c r="N6" s="21">
        <f>SUM(B6:M6)</f>
        <v>70000</v>
      </c>
    </row>
    <row r="7" spans="1:14" x14ac:dyDescent="0.25">
      <c r="A7" s="13" t="s">
        <v>73</v>
      </c>
      <c r="B7" s="21">
        <v>500</v>
      </c>
      <c r="C7" s="21">
        <v>500</v>
      </c>
      <c r="D7" s="21">
        <v>500</v>
      </c>
      <c r="E7" s="21">
        <v>500</v>
      </c>
      <c r="F7" s="21">
        <v>500</v>
      </c>
      <c r="G7" s="21">
        <v>500</v>
      </c>
      <c r="H7" s="21">
        <v>500</v>
      </c>
      <c r="I7" s="21">
        <v>500</v>
      </c>
      <c r="J7" s="21">
        <v>500</v>
      </c>
      <c r="K7" s="21">
        <v>500</v>
      </c>
      <c r="L7" s="21">
        <v>0</v>
      </c>
      <c r="M7" s="21">
        <v>0</v>
      </c>
      <c r="N7" s="21">
        <f>SUM(B7:M7)</f>
        <v>4167</v>
      </c>
    </row>
    <row r="8" spans="1:14" x14ac:dyDescent="0.25">
      <c r="A8" s="13" t="s">
        <v>76</v>
      </c>
      <c r="B8" s="21">
        <v>0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 t="str">
        <f>SUM(B8:M8)</f>
        <v>0</v>
      </c>
    </row>
    <row r="9" ht="24" customHeight="1" spans="1:14" x14ac:dyDescent="0.25">
      <c r="A9" s="12" t="s">
        <v>133</v>
      </c>
      <c r="B9" s="29">
        <f>SUM(B4:B8)</f>
        <v>155900</v>
      </c>
      <c r="C9" s="29">
        <f>SUM(C4:C8)</f>
        <v>7460</v>
      </c>
      <c r="D9" s="29">
        <f>SUM(D4:D8)</f>
        <v>7460</v>
      </c>
      <c r="E9" s="29">
        <f>SUM(E4:E8)</f>
        <v>7460</v>
      </c>
      <c r="F9" s="29">
        <f>SUM(F4:F8)</f>
        <v>7460</v>
      </c>
      <c r="G9" s="29">
        <f>SUM(G4:G8)</f>
        <v>7460</v>
      </c>
      <c r="H9" s="29">
        <f>SUM(H4:H8)</f>
        <v>7460</v>
      </c>
      <c r="I9" s="29">
        <f>SUM(I4:I8)</f>
        <v>7460</v>
      </c>
      <c r="J9" s="29">
        <f>SUM(J4:J8)</f>
        <v>7460</v>
      </c>
      <c r="K9" s="29">
        <f>SUM(K4:K8)</f>
        <v>7460</v>
      </c>
      <c r="L9" s="29">
        <f>SUM(L4:L8)</f>
        <v>-1440</v>
      </c>
      <c r="M9" s="29" t="str">
        <f>SUM(M4:M8)</f>
        <v>0</v>
      </c>
      <c r="N9" s="29">
        <f>SUM(B9:M9)</f>
        <v>221600</v>
      </c>
    </row>
    <row r="10" spans="1:1" x14ac:dyDescent="0.25">
      <c r="A10" t="s">
        <v>7</v>
      </c>
    </row>
    <row r="11" ht="24" customHeight="1" spans="1:14" x14ac:dyDescent="0.25">
      <c r="A11" s="12" t="s">
        <v>134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x14ac:dyDescent="0.25">
      <c r="A12" s="13" t="s">
        <v>88</v>
      </c>
      <c r="B12" s="21">
        <v>5851</v>
      </c>
      <c r="C12" s="21">
        <v>5851</v>
      </c>
      <c r="D12" s="21">
        <v>5851</v>
      </c>
      <c r="E12" s="21">
        <v>5851</v>
      </c>
      <c r="F12" s="21">
        <v>5851</v>
      </c>
      <c r="G12" s="21">
        <v>5851</v>
      </c>
      <c r="H12" s="21">
        <v>5851</v>
      </c>
      <c r="I12" s="21">
        <v>5851</v>
      </c>
      <c r="J12" s="21">
        <v>5851</v>
      </c>
      <c r="K12" s="21">
        <v>5851</v>
      </c>
      <c r="L12" s="21">
        <v>0</v>
      </c>
      <c r="M12" s="21">
        <v>0</v>
      </c>
      <c r="N12" s="21">
        <f>SUM(B12:M12)</f>
        <v>58506</v>
      </c>
    </row>
    <row r="13" spans="1:14" x14ac:dyDescent="0.25">
      <c r="A13" s="13" t="s">
        <v>92</v>
      </c>
      <c r="B13" s="21">
        <v>4787</v>
      </c>
      <c r="C13" s="21">
        <v>4787</v>
      </c>
      <c r="D13" s="21">
        <v>4787</v>
      </c>
      <c r="E13" s="21">
        <v>4787</v>
      </c>
      <c r="F13" s="21">
        <v>4787</v>
      </c>
      <c r="G13" s="21">
        <v>4787</v>
      </c>
      <c r="H13" s="21">
        <v>4787</v>
      </c>
      <c r="I13" s="21">
        <v>4787</v>
      </c>
      <c r="J13" s="21">
        <v>4787</v>
      </c>
      <c r="K13" s="21">
        <v>4787</v>
      </c>
      <c r="L13" s="21">
        <v>0</v>
      </c>
      <c r="M13" s="21">
        <v>0</v>
      </c>
      <c r="N13" s="21">
        <f>SUM(B13:M13)</f>
        <v>47869</v>
      </c>
    </row>
    <row r="14" spans="1:14" x14ac:dyDescent="0.25">
      <c r="A14" s="13" t="s">
        <v>94</v>
      </c>
      <c r="B14" s="21">
        <v>1256</v>
      </c>
      <c r="C14" s="21">
        <v>1256</v>
      </c>
      <c r="D14" s="21">
        <v>1256</v>
      </c>
      <c r="E14" s="21">
        <v>1256</v>
      </c>
      <c r="F14" s="21">
        <v>1256</v>
      </c>
      <c r="G14" s="21">
        <v>1256</v>
      </c>
      <c r="H14" s="21">
        <v>1256</v>
      </c>
      <c r="I14" s="21">
        <v>1256</v>
      </c>
      <c r="J14" s="21">
        <v>1256</v>
      </c>
      <c r="K14" s="21">
        <v>1256</v>
      </c>
      <c r="L14" s="21">
        <v>0</v>
      </c>
      <c r="M14" s="21">
        <v>0</v>
      </c>
      <c r="N14" s="21">
        <f>SUM(B14:M14)</f>
        <v>12559</v>
      </c>
    </row>
    <row r="15" ht="24" customHeight="1" spans="1:14" x14ac:dyDescent="0.25">
      <c r="A15" s="12" t="s">
        <v>138</v>
      </c>
      <c r="B15" s="29">
        <f>SUM(B12:B14)</f>
        <v>11893</v>
      </c>
      <c r="C15" s="29">
        <f>SUM(C12:C14)</f>
        <v>11893</v>
      </c>
      <c r="D15" s="29">
        <f>SUM(D12:D14)</f>
        <v>11893</v>
      </c>
      <c r="E15" s="29">
        <f>SUM(E12:E14)</f>
        <v>11893</v>
      </c>
      <c r="F15" s="29">
        <f>SUM(F12:F14)</f>
        <v>11893</v>
      </c>
      <c r="G15" s="29">
        <f>SUM(G12:G14)</f>
        <v>11893</v>
      </c>
      <c r="H15" s="29">
        <f>SUM(H12:H14)</f>
        <v>11893</v>
      </c>
      <c r="I15" s="29">
        <f>SUM(I12:I14)</f>
        <v>11893</v>
      </c>
      <c r="J15" s="29">
        <f>SUM(J12:J14)</f>
        <v>11893</v>
      </c>
      <c r="K15" s="29">
        <f>SUM(K12:K14)</f>
        <v>11893</v>
      </c>
      <c r="L15" s="29" t="str">
        <f>SUM(L12:L14)</f>
        <v>0</v>
      </c>
      <c r="M15" s="29" t="str">
        <f>SUM(M12:M14)</f>
        <v>0</v>
      </c>
      <c r="N15" s="29">
        <f>SUM(B15:M15)</f>
        <v>118934</v>
      </c>
    </row>
    <row r="16" spans="1:1" x14ac:dyDescent="0.25">
      <c r="A16" t="s">
        <v>7</v>
      </c>
    </row>
    <row r="17" ht="24" customHeight="1" spans="1:14" x14ac:dyDescent="0.25">
      <c r="A17" s="12" t="s">
        <v>105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 x14ac:dyDescent="0.25">
      <c r="A18" s="13" t="s">
        <v>110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x14ac:dyDescent="0.25">
      <c r="A19" s="13" t="s">
        <v>196</v>
      </c>
      <c r="B19" s="21">
        <v>500</v>
      </c>
      <c r="C19" s="21">
        <v>500</v>
      </c>
      <c r="D19" s="21">
        <v>500</v>
      </c>
      <c r="E19" s="21">
        <v>500</v>
      </c>
      <c r="F19" s="21">
        <v>500</v>
      </c>
      <c r="G19" s="21">
        <v>500</v>
      </c>
      <c r="H19" s="21">
        <v>500</v>
      </c>
      <c r="I19" s="21">
        <v>500</v>
      </c>
      <c r="J19" s="21">
        <v>500</v>
      </c>
      <c r="K19" s="21">
        <v>500</v>
      </c>
      <c r="L19" s="21">
        <v>0</v>
      </c>
      <c r="M19" s="21">
        <v>0</v>
      </c>
      <c r="N19" s="21">
        <f>SUM(B19:M19)</f>
        <v>5000</v>
      </c>
    </row>
    <row r="20" spans="1:14" x14ac:dyDescent="0.25">
      <c r="A20" s="30" t="s">
        <v>140</v>
      </c>
      <c r="B20" s="31">
        <v>500</v>
      </c>
      <c r="C20" s="31">
        <v>500</v>
      </c>
      <c r="D20" s="31">
        <v>500</v>
      </c>
      <c r="E20" s="31">
        <v>500</v>
      </c>
      <c r="F20" s="31">
        <v>500</v>
      </c>
      <c r="G20" s="31">
        <v>500</v>
      </c>
      <c r="H20" s="31">
        <v>500</v>
      </c>
      <c r="I20" s="31">
        <v>500</v>
      </c>
      <c r="J20" s="31">
        <v>500</v>
      </c>
      <c r="K20" s="31">
        <v>500</v>
      </c>
      <c r="L20" s="31">
        <v>0</v>
      </c>
      <c r="M20" s="31">
        <v>0</v>
      </c>
      <c r="N20" s="31">
        <f>SUM(B20:M20)</f>
        <v>5000</v>
      </c>
    </row>
    <row r="21" spans="1:14" x14ac:dyDescent="0.25">
      <c r="A21" s="13" t="s">
        <v>111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x14ac:dyDescent="0.25">
      <c r="A22" s="13" t="s">
        <v>197</v>
      </c>
      <c r="B22" s="21">
        <v>300</v>
      </c>
      <c r="C22" s="21">
        <v>300</v>
      </c>
      <c r="D22" s="21">
        <v>300</v>
      </c>
      <c r="E22" s="21">
        <v>300</v>
      </c>
      <c r="F22" s="21">
        <v>300</v>
      </c>
      <c r="G22" s="21">
        <v>300</v>
      </c>
      <c r="H22" s="21">
        <v>300</v>
      </c>
      <c r="I22" s="21">
        <v>300</v>
      </c>
      <c r="J22" s="21">
        <v>300</v>
      </c>
      <c r="K22" s="21">
        <v>300</v>
      </c>
      <c r="L22" s="21">
        <v>0</v>
      </c>
      <c r="M22" s="21">
        <v>0</v>
      </c>
      <c r="N22" s="21">
        <f>SUM(B22:M22)</f>
        <v>3000</v>
      </c>
    </row>
    <row r="23" spans="1:14" x14ac:dyDescent="0.25">
      <c r="A23" s="30" t="s">
        <v>142</v>
      </c>
      <c r="B23" s="31">
        <v>300</v>
      </c>
      <c r="C23" s="31">
        <v>300</v>
      </c>
      <c r="D23" s="31">
        <v>300</v>
      </c>
      <c r="E23" s="31">
        <v>300</v>
      </c>
      <c r="F23" s="31">
        <v>300</v>
      </c>
      <c r="G23" s="31">
        <v>300</v>
      </c>
      <c r="H23" s="31">
        <v>300</v>
      </c>
      <c r="I23" s="31">
        <v>300</v>
      </c>
      <c r="J23" s="31">
        <v>300</v>
      </c>
      <c r="K23" s="31">
        <v>300</v>
      </c>
      <c r="L23" s="31">
        <v>0</v>
      </c>
      <c r="M23" s="31">
        <v>0</v>
      </c>
      <c r="N23" s="31">
        <f>SUM(B23:M23)</f>
        <v>3000</v>
      </c>
    </row>
    <row r="24" spans="1:14" x14ac:dyDescent="0.25">
      <c r="A24" s="13" t="s">
        <v>106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 x14ac:dyDescent="0.25">
      <c r="A25" s="13" t="s">
        <v>198</v>
      </c>
      <c r="B25" s="21">
        <v>2500</v>
      </c>
      <c r="C25" s="21">
        <v>2500</v>
      </c>
      <c r="D25" s="21">
        <v>2500</v>
      </c>
      <c r="E25" s="21">
        <v>2500</v>
      </c>
      <c r="F25" s="21">
        <v>2500</v>
      </c>
      <c r="G25" s="21">
        <v>2500</v>
      </c>
      <c r="H25" s="21">
        <v>2500</v>
      </c>
      <c r="I25" s="21">
        <v>2500</v>
      </c>
      <c r="J25" s="21">
        <v>2500</v>
      </c>
      <c r="K25" s="21">
        <v>2500</v>
      </c>
      <c r="L25" s="21">
        <v>0</v>
      </c>
      <c r="M25" s="21">
        <v>0</v>
      </c>
      <c r="N25" s="21">
        <f>SUM(B25:M25)</f>
        <v>25000</v>
      </c>
    </row>
    <row r="26" spans="1:14" x14ac:dyDescent="0.25">
      <c r="A26" s="13" t="s">
        <v>199</v>
      </c>
      <c r="B26" s="21">
        <v>300</v>
      </c>
      <c r="C26" s="21">
        <v>300</v>
      </c>
      <c r="D26" s="21">
        <v>300</v>
      </c>
      <c r="E26" s="21">
        <v>300</v>
      </c>
      <c r="F26" s="21">
        <v>300</v>
      </c>
      <c r="G26" s="21">
        <v>300</v>
      </c>
      <c r="H26" s="21">
        <v>300</v>
      </c>
      <c r="I26" s="21">
        <v>300</v>
      </c>
      <c r="J26" s="21">
        <v>300</v>
      </c>
      <c r="K26" s="21">
        <v>300</v>
      </c>
      <c r="L26" s="21">
        <v>0</v>
      </c>
      <c r="M26" s="21">
        <v>0</v>
      </c>
      <c r="N26" s="21">
        <f>SUM(B26:M26)</f>
        <v>3000</v>
      </c>
    </row>
    <row r="27" spans="1:14" x14ac:dyDescent="0.25">
      <c r="A27" s="13" t="s">
        <v>200</v>
      </c>
      <c r="B27" s="21">
        <v>200</v>
      </c>
      <c r="C27" s="21">
        <v>200</v>
      </c>
      <c r="D27" s="21">
        <v>200</v>
      </c>
      <c r="E27" s="21">
        <v>200</v>
      </c>
      <c r="F27" s="21">
        <v>200</v>
      </c>
      <c r="G27" s="21">
        <v>200</v>
      </c>
      <c r="H27" s="21">
        <v>200</v>
      </c>
      <c r="I27" s="21">
        <v>200</v>
      </c>
      <c r="J27" s="21">
        <v>200</v>
      </c>
      <c r="K27" s="21">
        <v>200</v>
      </c>
      <c r="L27" s="21">
        <v>0</v>
      </c>
      <c r="M27" s="21">
        <v>0</v>
      </c>
      <c r="N27" s="21">
        <f>SUM(B27:M27)</f>
        <v>2000</v>
      </c>
    </row>
    <row r="28" spans="1:14" x14ac:dyDescent="0.25">
      <c r="A28" s="30" t="s">
        <v>146</v>
      </c>
      <c r="B28" s="31">
        <v>3000</v>
      </c>
      <c r="C28" s="31">
        <v>3000</v>
      </c>
      <c r="D28" s="31">
        <v>3000</v>
      </c>
      <c r="E28" s="31">
        <v>3000</v>
      </c>
      <c r="F28" s="31">
        <v>3000</v>
      </c>
      <c r="G28" s="31">
        <v>3000</v>
      </c>
      <c r="H28" s="31">
        <v>3000</v>
      </c>
      <c r="I28" s="31">
        <v>3000</v>
      </c>
      <c r="J28" s="31">
        <v>3000</v>
      </c>
      <c r="K28" s="31">
        <v>3000</v>
      </c>
      <c r="L28" s="31">
        <v>0</v>
      </c>
      <c r="M28" s="31">
        <v>0</v>
      </c>
      <c r="N28" s="31">
        <f>SUM(B28:M28)</f>
        <v>30000</v>
      </c>
    </row>
    <row r="29" spans="1:14" x14ac:dyDescent="0.25">
      <c r="A29" s="13" t="s">
        <v>113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1:14" x14ac:dyDescent="0.25">
      <c r="A30" s="13" t="s">
        <v>201</v>
      </c>
      <c r="B30" s="21">
        <v>250</v>
      </c>
      <c r="C30" s="21">
        <v>250</v>
      </c>
      <c r="D30" s="21">
        <v>250</v>
      </c>
      <c r="E30" s="21">
        <v>250</v>
      </c>
      <c r="F30" s="21">
        <v>250</v>
      </c>
      <c r="G30" s="21">
        <v>250</v>
      </c>
      <c r="H30" s="21">
        <v>250</v>
      </c>
      <c r="I30" s="21">
        <v>250</v>
      </c>
      <c r="J30" s="21">
        <v>250</v>
      </c>
      <c r="K30" s="21">
        <v>250</v>
      </c>
      <c r="L30" s="21">
        <v>0</v>
      </c>
      <c r="M30" s="21">
        <v>0</v>
      </c>
      <c r="N30" s="21">
        <f>SUM(B30:M30)</f>
        <v>2500</v>
      </c>
    </row>
    <row r="31" spans="1:14" x14ac:dyDescent="0.25">
      <c r="A31" s="30" t="s">
        <v>148</v>
      </c>
      <c r="B31" s="31">
        <v>250</v>
      </c>
      <c r="C31" s="31">
        <v>250</v>
      </c>
      <c r="D31" s="31">
        <v>250</v>
      </c>
      <c r="E31" s="31">
        <v>250</v>
      </c>
      <c r="F31" s="31">
        <v>250</v>
      </c>
      <c r="G31" s="31">
        <v>250</v>
      </c>
      <c r="H31" s="31">
        <v>250</v>
      </c>
      <c r="I31" s="31">
        <v>250</v>
      </c>
      <c r="J31" s="31">
        <v>250</v>
      </c>
      <c r="K31" s="31">
        <v>250</v>
      </c>
      <c r="L31" s="31">
        <v>0</v>
      </c>
      <c r="M31" s="31">
        <v>0</v>
      </c>
      <c r="N31" s="31">
        <f>SUM(B31:M31)</f>
        <v>2500</v>
      </c>
    </row>
    <row r="32" ht="24" customHeight="1" spans="1:14" x14ac:dyDescent="0.25">
      <c r="A32" s="12" t="s">
        <v>149</v>
      </c>
      <c r="B32" s="29">
        <f>B20+B23+B28+B31</f>
        <v>4050</v>
      </c>
      <c r="C32" s="29">
        <f>C20+C23+C28+C31</f>
        <v>4050</v>
      </c>
      <c r="D32" s="29">
        <f>D20+D23+D28+D31</f>
        <v>4050</v>
      </c>
      <c r="E32" s="29">
        <f>E20+E23+E28+E31</f>
        <v>4050</v>
      </c>
      <c r="F32" s="29">
        <f>F20+F23+F28+F31</f>
        <v>4050</v>
      </c>
      <c r="G32" s="29">
        <f>G20+G23+G28+G31</f>
        <v>4050</v>
      </c>
      <c r="H32" s="29">
        <f>H20+H23+H28+H31</f>
        <v>4050</v>
      </c>
      <c r="I32" s="29">
        <f>I20+I23+I28+I31</f>
        <v>4050</v>
      </c>
      <c r="J32" s="29">
        <f>J20+J23+J28+J31</f>
        <v>4050</v>
      </c>
      <c r="K32" s="29">
        <f>K20+K23+K28+K31</f>
        <v>4050</v>
      </c>
      <c r="L32" s="29" t="str">
        <f>L20+L23+L28+L31</f>
        <v>0</v>
      </c>
      <c r="M32" s="29" t="str">
        <f>M20+M23+M28+M31</f>
        <v>0</v>
      </c>
      <c r="N32" s="29">
        <f>SUM(B32:M32)</f>
        <v>40500</v>
      </c>
    </row>
    <row r="33" spans="1:1" x14ac:dyDescent="0.25">
      <c r="A33" t="s">
        <v>7</v>
      </c>
    </row>
    <row r="34" spans="1:14" x14ac:dyDescent="0.25">
      <c r="A34" s="27" t="s">
        <v>202</v>
      </c>
      <c r="B34" s="21">
        <v>580</v>
      </c>
      <c r="C34" s="21">
        <v>580</v>
      </c>
      <c r="D34" s="21">
        <v>580</v>
      </c>
      <c r="E34" s="21">
        <v>580</v>
      </c>
      <c r="F34" s="21">
        <v>580</v>
      </c>
      <c r="G34" s="21">
        <v>580</v>
      </c>
      <c r="H34" s="21">
        <v>580</v>
      </c>
      <c r="I34" s="21">
        <v>580</v>
      </c>
      <c r="J34" s="21">
        <v>580</v>
      </c>
      <c r="K34" s="21">
        <v>580</v>
      </c>
      <c r="L34" s="21">
        <v>580</v>
      </c>
      <c r="M34" s="21">
        <v>580</v>
      </c>
      <c r="N34" s="21">
        <f>SUM(B34:M34)</f>
        <v>6960</v>
      </c>
    </row>
    <row r="35" spans="1:1" x14ac:dyDescent="0.25">
      <c r="A35" t="s">
        <v>7</v>
      </c>
    </row>
    <row r="36" ht="24" customHeight="1" spans="1:14" x14ac:dyDescent="0.25">
      <c r="A36" s="12" t="s">
        <v>203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4" x14ac:dyDescent="0.25">
      <c r="A37" s="27" t="s">
        <v>157</v>
      </c>
      <c r="B37" s="31">
        <f>B15+B32+B34</f>
        <v>16523</v>
      </c>
      <c r="C37" s="31">
        <f>C15+C32+C34</f>
        <v>16523</v>
      </c>
      <c r="D37" s="31">
        <f>D15+D32+D34</f>
        <v>16523</v>
      </c>
      <c r="E37" s="31">
        <f>E15+E32+E34</f>
        <v>16523</v>
      </c>
      <c r="F37" s="31">
        <f>F15+F32+F34</f>
        <v>16523</v>
      </c>
      <c r="G37" s="31">
        <f>G15+G32+G34</f>
        <v>16523</v>
      </c>
      <c r="H37" s="31">
        <f>H15+H32+H34</f>
        <v>16523</v>
      </c>
      <c r="I37" s="31">
        <f>I15+I32+I34</f>
        <v>16523</v>
      </c>
      <c r="J37" s="31">
        <f>J15+J32+J34</f>
        <v>16523</v>
      </c>
      <c r="K37" s="31">
        <f>K15+K32+K34</f>
        <v>16523</v>
      </c>
      <c r="L37" s="31">
        <f>L15+L32+L34</f>
        <v>580</v>
      </c>
      <c r="M37" s="31">
        <f>M15+M32+M34</f>
        <v>580</v>
      </c>
      <c r="N37" s="31">
        <f>SUM(B37:M37)</f>
        <v>166390</v>
      </c>
    </row>
    <row r="38" spans="1:14" x14ac:dyDescent="0.25">
      <c r="A38" s="27" t="s">
        <v>204</v>
      </c>
      <c r="B38" s="31">
        <f>B9-B37</f>
        <v>139377</v>
      </c>
      <c r="C38" s="31">
        <f>C9-C37</f>
        <v>-9063</v>
      </c>
      <c r="D38" s="31">
        <f>D9-D37</f>
        <v>-9063</v>
      </c>
      <c r="E38" s="31">
        <f>E9-E37</f>
        <v>-9063</v>
      </c>
      <c r="F38" s="31">
        <f>F9-F37</f>
        <v>-9063</v>
      </c>
      <c r="G38" s="31">
        <f>G9-G37</f>
        <v>-9063</v>
      </c>
      <c r="H38" s="31">
        <f>H9-H37</f>
        <v>-9063</v>
      </c>
      <c r="I38" s="31">
        <f>I9-I37</f>
        <v>-9063</v>
      </c>
      <c r="J38" s="31">
        <f>J9-J37</f>
        <v>-9063</v>
      </c>
      <c r="K38" s="31">
        <f>K9-K37</f>
        <v>-9063</v>
      </c>
      <c r="L38" s="31">
        <f>L9-L37</f>
        <v>-2020</v>
      </c>
      <c r="M38" s="31">
        <f>M9-M37</f>
        <v>-580</v>
      </c>
      <c r="N38" s="31">
        <f>SUM(B38:M38)</f>
        <v>55210</v>
      </c>
    </row>
    <row r="39" spans="1:14" x14ac:dyDescent="0.25">
      <c r="A39" s="27" t="s">
        <v>205</v>
      </c>
      <c r="B39" s="31">
        <f>0+B38</f>
        <v>139377</v>
      </c>
      <c r="C39" s="31">
        <f>B39+C38</f>
        <v>130314</v>
      </c>
      <c r="D39" s="31">
        <f>C39+D38</f>
        <v>121251</v>
      </c>
      <c r="E39" s="31">
        <f>D39+E38</f>
        <v>112188</v>
      </c>
      <c r="F39" s="31">
        <f>E39+F38</f>
        <v>103125</v>
      </c>
      <c r="G39" s="31">
        <f>F39+G38</f>
        <v>94062</v>
      </c>
      <c r="H39" s="31">
        <f>G39+H38</f>
        <v>84999</v>
      </c>
      <c r="I39" s="31">
        <f>H39+I38</f>
        <v>75936</v>
      </c>
      <c r="J39" s="31">
        <f>I39+J38</f>
        <v>66873</v>
      </c>
      <c r="K39" s="31">
        <f>J39+K38</f>
        <v>57810</v>
      </c>
      <c r="L39" s="31">
        <f>K39+L38</f>
        <v>55790</v>
      </c>
      <c r="M39" s="31">
        <f>L39+M38</f>
        <v>55210</v>
      </c>
      <c r="N39" s="31">
        <f>M39</f>
        <v>55210</v>
      </c>
    </row>
    <row r="41" ht="24" customHeight="1" spans="1:3" x14ac:dyDescent="0.25">
      <c r="A41" s="12" t="s">
        <v>206</v>
      </c>
      <c r="B41" s="12"/>
      <c r="C41" s="12"/>
    </row>
    <row r="42" spans="1:2" x14ac:dyDescent="0.25">
      <c r="A42" s="13" t="s">
        <v>128</v>
      </c>
      <c r="B42" s="21">
        <v>0</v>
      </c>
    </row>
    <row r="43" spans="1:2" x14ac:dyDescent="0.25">
      <c r="A43" s="13" t="s">
        <v>207</v>
      </c>
      <c r="B43" s="31">
        <f>M39</f>
        <v>55210</v>
      </c>
    </row>
    <row r="44" spans="1:2" x14ac:dyDescent="0.25">
      <c r="A44" s="13" t="s">
        <v>208</v>
      </c>
      <c r="B44" s="21">
        <f>MIN(B39:M39)</f>
        <v>55210</v>
      </c>
    </row>
    <row r="46" spans="1:14" x14ac:dyDescent="0.25">
      <c r="A46" s="24" t="s">
        <v>129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</row>
  </sheetData>
  <mergeCells count="2">
    <mergeCell ref="A1:N1"/>
    <mergeCell ref="A46:N46"/>
  </mergeCells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&amp;L&amp;10&amp;BBright Horizons Microschool&amp;R&amp;8&amp;IYear 1 Pro Forma</oddHeader>
    <oddFooter>&amp;L&amp;8Built by SchoolStack Budget  •  budget.schoolstack.ai&amp;C&amp;8Page &amp;P of &amp;N&amp;R&amp;8&amp;D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A1:H11"/>
  <sheetFormatPr defaultRowHeight="15" outlineLevelRow="0" outlineLevelCol="0" x14ac:dyDescent="55"/>
  <cols>
    <col min="1" max="1" width="3" customWidth="1"/>
    <col min="2" max="2" width="30" customWidth="1"/>
    <col min="3" max="3" width="22" customWidth="1"/>
    <col min="4" max="4" width="14" customWidth="1"/>
    <col min="5" max="5" width="30" customWidth="1"/>
    <col min="6" max="6" width="18" customWidth="1"/>
    <col min="7" max="7" width="38" customWidth="1"/>
    <col min="8" max="8" width="50" customWidth="1"/>
  </cols>
  <sheetData>
    <row r="1" ht="24" customHeight="1" spans="2:8" x14ac:dyDescent="0.25">
      <c r="B1" s="42" t="s">
        <v>209</v>
      </c>
      <c r="C1" s="42"/>
      <c r="D1" s="42"/>
      <c r="E1" s="42"/>
      <c r="F1" s="42"/>
      <c r="G1" s="42"/>
      <c r="H1" s="42"/>
    </row>
    <row r="2" ht="44" customHeight="1" spans="2:8" x14ac:dyDescent="0.25">
      <c r="B2" s="43" t="s">
        <v>210</v>
      </c>
      <c r="C2" s="43"/>
      <c r="D2" s="43"/>
      <c r="E2" s="43"/>
      <c r="F2" s="43"/>
      <c r="G2" s="43"/>
      <c r="H2" s="43"/>
    </row>
    <row r="4" ht="28" customHeight="1" spans="2:8" x14ac:dyDescent="0.25">
      <c r="B4" s="44" t="s">
        <v>211</v>
      </c>
      <c r="C4" s="44" t="s">
        <v>81</v>
      </c>
      <c r="D4" s="44" t="s">
        <v>212</v>
      </c>
      <c r="E4" s="44" t="s">
        <v>213</v>
      </c>
      <c r="F4" s="44" t="s">
        <v>214</v>
      </c>
      <c r="G4" s="44" t="s">
        <v>215</v>
      </c>
      <c r="H4" s="44" t="s">
        <v>216</v>
      </c>
    </row>
    <row r="5" ht="64" customHeight="1" spans="1:8" x14ac:dyDescent="0.25">
      <c r="A5" s="45"/>
      <c r="B5" s="46" t="s">
        <v>217</v>
      </c>
      <c r="C5" s="47" t="s">
        <v>218</v>
      </c>
      <c r="D5" s="48" t="s">
        <v>219</v>
      </c>
      <c r="E5" s="47" t="s">
        <v>220</v>
      </c>
      <c r="F5" s="49" t="s">
        <v>221</v>
      </c>
      <c r="G5" s="47" t="s">
        <v>222</v>
      </c>
      <c r="H5" s="47" t="s">
        <v>223</v>
      </c>
    </row>
    <row r="6" ht="32" customHeight="1" spans="1:8" x14ac:dyDescent="0.25">
      <c r="A6" s="45"/>
      <c r="B6" s="46" t="s">
        <v>224</v>
      </c>
      <c r="C6" s="47" t="s">
        <v>225</v>
      </c>
      <c r="D6" s="48" t="s">
        <v>219</v>
      </c>
      <c r="E6" s="47" t="s">
        <v>226</v>
      </c>
      <c r="F6" s="49" t="s">
        <v>227</v>
      </c>
      <c r="G6" s="47" t="s">
        <v>228</v>
      </c>
      <c r="H6" s="47" t="s">
        <v>229</v>
      </c>
    </row>
    <row r="7" ht="64" customHeight="1" spans="1:8" x14ac:dyDescent="0.25">
      <c r="A7" s="50"/>
      <c r="B7" s="46" t="s">
        <v>230</v>
      </c>
      <c r="C7" s="47" t="s">
        <v>231</v>
      </c>
      <c r="D7" s="51" t="s">
        <v>232</v>
      </c>
      <c r="E7" s="47" t="s">
        <v>233</v>
      </c>
      <c r="F7" s="49" t="s">
        <v>234</v>
      </c>
      <c r="G7" s="47" t="s">
        <v>235</v>
      </c>
      <c r="H7" s="47" t="s">
        <v>236</v>
      </c>
    </row>
    <row r="8" ht="32" customHeight="1" spans="1:8" x14ac:dyDescent="0.25">
      <c r="A8" s="52"/>
      <c r="B8" s="46" t="s">
        <v>237</v>
      </c>
      <c r="C8" s="47" t="s">
        <v>225</v>
      </c>
      <c r="D8" s="53" t="s">
        <v>238</v>
      </c>
      <c r="E8" s="47" t="s">
        <v>233</v>
      </c>
      <c r="F8" s="49" t="s">
        <v>239</v>
      </c>
      <c r="G8" s="47" t="s">
        <v>240</v>
      </c>
      <c r="H8" s="47" t="s">
        <v>241</v>
      </c>
    </row>
    <row r="9" ht="32" customHeight="1" spans="1:8" x14ac:dyDescent="0.25">
      <c r="A9" s="52"/>
      <c r="B9" s="46" t="s">
        <v>242</v>
      </c>
      <c r="C9" s="47" t="s">
        <v>231</v>
      </c>
      <c r="D9" s="53" t="s">
        <v>238</v>
      </c>
      <c r="E9" s="47" t="s">
        <v>233</v>
      </c>
      <c r="F9" s="49" t="s">
        <v>243</v>
      </c>
      <c r="G9" s="47" t="s">
        <v>244</v>
      </c>
      <c r="H9" s="47" t="s">
        <v>245</v>
      </c>
    </row>
    <row r="11" spans="2:8" x14ac:dyDescent="0.25">
      <c r="B11" s="54" t="s">
        <v>246</v>
      </c>
      <c r="C11" s="54"/>
      <c r="D11" s="54"/>
      <c r="E11" s="54"/>
      <c r="F11" s="54"/>
      <c r="G11" s="54"/>
      <c r="H11" s="54"/>
    </row>
  </sheetData>
  <mergeCells count="3">
    <mergeCell ref="B1:H1"/>
    <mergeCell ref="B2:H2"/>
    <mergeCell ref="B11:H11"/>
  </mergeCells>
  <pageMargins left="0.25" right="0.25" top="0.5" bottom="0.5" header="0.3" footer="0.3"/>
  <pageSetup paperSize="1" orientation="landscape" fitToWidth="1" fitToHeight="0"/>
  <headerFooter>
    <oddHeader>&amp;L&amp;10&amp;BBright Horizons Microschool&amp;R&amp;8&amp;IDecision History</oddHeader>
    <oddFooter>&amp;L&amp;8Built by SchoolStack Budget  •  budget.schoolstack.ai&amp;C&amp;8Page &amp;P of &amp;N&amp;R&amp;8&amp;D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2:I40"/>
  <sheetFormatPr defaultRowHeight="15" outlineLevelRow="0" outlineLevelCol="0" x14ac:dyDescent="55"/>
  <cols>
    <col min="1" max="1" width="4" customWidth="1"/>
    <col min="2" max="2" width="28" customWidth="1"/>
    <col min="3" max="7" width="16" customWidth="1"/>
    <col min="8" max="8" width="20" customWidth="1"/>
    <col min="9" max="9" width="40" customWidth="1"/>
  </cols>
  <sheetData>
    <row r="2" ht="30" customHeight="1" spans="2:9" x14ac:dyDescent="0.25">
      <c r="B2" s="1" t="s">
        <v>247</v>
      </c>
      <c r="C2" s="1"/>
      <c r="D2" s="1"/>
      <c r="E2" s="1"/>
      <c r="F2" s="1"/>
      <c r="G2" s="1"/>
      <c r="H2" s="1"/>
      <c r="I2" s="1"/>
    </row>
    <row r="3" spans="2:9" x14ac:dyDescent="0.25">
      <c r="B3" s="54" t="s">
        <v>248</v>
      </c>
      <c r="C3" s="54"/>
      <c r="D3" s="54"/>
      <c r="E3" s="54"/>
      <c r="F3" s="54"/>
      <c r="G3" s="54"/>
      <c r="H3" s="54"/>
      <c r="I3" s="54"/>
    </row>
    <row r="4" spans="2:6" x14ac:dyDescent="0.25">
      <c r="B4" s="55" t="s">
        <v>249</v>
      </c>
      <c r="D4" s="56" t="s">
        <v>250</v>
      </c>
      <c r="F4" s="57" t="s">
        <v>251</v>
      </c>
    </row>
    <row r="6" ht="24" customHeight="1" spans="2:8" x14ac:dyDescent="0.25">
      <c r="B6" s="12" t="s">
        <v>252</v>
      </c>
      <c r="C6" s="16" t="s">
        <v>253</v>
      </c>
      <c r="D6" s="16" t="s">
        <v>254</v>
      </c>
      <c r="E6" s="16" t="s">
        <v>255</v>
      </c>
      <c r="F6" s="16" t="s">
        <v>256</v>
      </c>
      <c r="G6" s="16" t="s">
        <v>257</v>
      </c>
      <c r="H6" s="16" t="s">
        <v>258</v>
      </c>
    </row>
    <row r="7" spans="2:7" x14ac:dyDescent="0.25">
      <c r="B7" s="13" t="s">
        <v>259</v>
      </c>
      <c r="C7" s="58">
        <v>12</v>
      </c>
      <c r="D7" s="58">
        <v>18</v>
      </c>
      <c r="E7" s="58">
        <v>22</v>
      </c>
      <c r="F7" s="58">
        <v>25</v>
      </c>
      <c r="G7" s="58">
        <v>25</v>
      </c>
    </row>
    <row r="8" spans="2:7" x14ac:dyDescent="0.25">
      <c r="B8" s="13" t="s">
        <v>260</v>
      </c>
      <c r="C8" s="59">
        <v>221600</v>
      </c>
      <c r="D8" s="59">
        <v>337593.99999999994</v>
      </c>
      <c r="E8" s="59">
        <v>421052.1521874999</v>
      </c>
      <c r="F8" s="59">
        <v>488847.26385986316</v>
      </c>
      <c r="G8" s="59">
        <v>500176.9311411085</v>
      </c>
    </row>
    <row r="9" spans="2:7" x14ac:dyDescent="0.25">
      <c r="B9" s="13" t="s">
        <v>261</v>
      </c>
      <c r="C9" s="59">
        <v>118934.16666666667</v>
      </c>
      <c r="D9" s="59">
        <v>147002.63</v>
      </c>
      <c r="E9" s="59">
        <v>151412.7089</v>
      </c>
      <c r="F9" s="59">
        <v>155955.090167</v>
      </c>
      <c r="G9" s="59">
        <v>160633.74287201</v>
      </c>
    </row>
    <row r="10" spans="2:7" x14ac:dyDescent="0.25">
      <c r="B10" s="13" t="s">
        <v>262</v>
      </c>
      <c r="C10" s="59">
        <v>37600</v>
      </c>
      <c r="D10" s="59">
        <v>48735</v>
      </c>
      <c r="E10" s="59">
        <v>53469.875</v>
      </c>
      <c r="F10" s="59">
        <v>57550.29437499999</v>
      </c>
      <c r="G10" s="59">
        <v>59152.96078437499</v>
      </c>
    </row>
    <row r="11" spans="2:7" x14ac:dyDescent="0.25">
      <c r="B11" s="13" t="s">
        <v>165</v>
      </c>
      <c r="C11" s="59">
        <v>6959.808550594178</v>
      </c>
      <c r="D11" s="59">
        <v>6959.808550594178</v>
      </c>
      <c r="E11" s="59">
        <v>6959.808550594178</v>
      </c>
      <c r="F11" s="59">
        <v>6959.808550594178</v>
      </c>
      <c r="G11" s="59">
        <v>6959.808550594178</v>
      </c>
    </row>
    <row r="12" spans="2:7" x14ac:dyDescent="0.25">
      <c r="B12" s="27" t="s">
        <v>263</v>
      </c>
      <c r="C12" s="60">
        <v>58106.02478273915</v>
      </c>
      <c r="D12" s="60">
        <v>134896.56144940577</v>
      </c>
      <c r="E12" s="60">
        <v>209209.75973690578</v>
      </c>
      <c r="F12" s="60">
        <v>268382.070767269</v>
      </c>
      <c r="G12" s="60">
        <v>273430.41893412935</v>
      </c>
    </row>
    <row r="13" spans="2:7" x14ac:dyDescent="0.25">
      <c r="B13" s="27" t="s">
        <v>167</v>
      </c>
      <c r="C13" s="60">
        <v>58106.02478273915</v>
      </c>
      <c r="D13" s="60">
        <v>193002.5862321449</v>
      </c>
      <c r="E13" s="60">
        <v>402212.34596905066</v>
      </c>
      <c r="F13" s="60">
        <v>670594.4167363197</v>
      </c>
      <c r="G13" s="60">
        <v>944024.8356704491</v>
      </c>
    </row>
    <row r="14" spans="2:7" x14ac:dyDescent="0.25">
      <c r="B14" s="27" t="s">
        <v>264</v>
      </c>
      <c r="C14" s="61">
        <v>0.26221130317120556</v>
      </c>
      <c r="D14" s="61">
        <v>0.39958222435649265</v>
      </c>
      <c r="E14" s="61">
        <v>0.4968737450930829</v>
      </c>
      <c r="F14" s="61">
        <v>0.5490100704423817</v>
      </c>
      <c r="G14" s="61">
        <v>0.5466673928969945</v>
      </c>
    </row>
    <row r="15" spans="2:8" x14ac:dyDescent="0.25">
      <c r="B15" s="27" t="s">
        <v>265</v>
      </c>
      <c r="C15" s="62">
        <v>18466.666666666668</v>
      </c>
      <c r="D15" s="62">
        <v>18755.22222222222</v>
      </c>
      <c r="E15" s="62">
        <v>19138.734190340907</v>
      </c>
      <c r="F15" s="62">
        <v>19553.890554394526</v>
      </c>
      <c r="G15" s="62">
        <v>20007.07724564434</v>
      </c>
      <c r="H15" s="63" t="s">
        <v>266</v>
      </c>
    </row>
    <row r="16" spans="2:7" x14ac:dyDescent="0.25">
      <c r="B16" s="27" t="s">
        <v>267</v>
      </c>
      <c r="C16" s="64">
        <v>13624.497934771738</v>
      </c>
      <c r="D16" s="64">
        <v>11260.968808366342</v>
      </c>
      <c r="E16" s="64">
        <v>9629.199656845189</v>
      </c>
      <c r="F16" s="64">
        <v>8818.607723703766</v>
      </c>
      <c r="G16" s="64">
        <v>9069.860488279168</v>
      </c>
    </row>
    <row r="17" spans="2:7" x14ac:dyDescent="0.25">
      <c r="B17" s="13" t="s">
        <v>268</v>
      </c>
      <c r="C17" s="59">
        <v>500</v>
      </c>
      <c r="D17" s="59">
        <v>512.5</v>
      </c>
      <c r="E17" s="59">
        <v>525.3125</v>
      </c>
      <c r="F17" s="59">
        <v>538.4453124999998</v>
      </c>
      <c r="G17" s="59">
        <v>551.9064453124997</v>
      </c>
    </row>
    <row r="18" spans="2:8" x14ac:dyDescent="0.25">
      <c r="B18" s="13" t="s">
        <v>269</v>
      </c>
      <c r="C18" s="65">
        <v>2083.3333333333335</v>
      </c>
      <c r="D18" s="62">
        <v>1716.6666666666667</v>
      </c>
      <c r="E18" s="62">
        <v>1446.6818181818182</v>
      </c>
      <c r="F18" s="62">
        <v>1311.2723999999998</v>
      </c>
      <c r="G18" s="62">
        <v>1350.610572</v>
      </c>
      <c r="H18" s="63" t="s">
        <v>270</v>
      </c>
    </row>
    <row r="19" spans="2:7" x14ac:dyDescent="0.25">
      <c r="B19" s="27" t="s">
        <v>271</v>
      </c>
      <c r="C19" s="66">
        <v>4842.168731894929</v>
      </c>
      <c r="D19" s="66">
        <v>7494.253413855876</v>
      </c>
      <c r="E19" s="66">
        <v>9509.534533495716</v>
      </c>
      <c r="F19" s="66">
        <v>10735.28283069076</v>
      </c>
      <c r="G19" s="66">
        <v>10937.216757365175</v>
      </c>
    </row>
    <row r="20" spans="2:8" x14ac:dyDescent="0.25">
      <c r="B20" s="27" t="s">
        <v>272</v>
      </c>
      <c r="C20" s="61">
        <v>0.5367065282791817</v>
      </c>
      <c r="D20" s="61">
        <v>0.43544206946805936</v>
      </c>
      <c r="E20" s="61">
        <v>0.3596055930681337</v>
      </c>
      <c r="F20" s="61">
        <v>0.31902621063193126</v>
      </c>
      <c r="G20" s="61">
        <v>0.3211538415127196</v>
      </c>
      <c r="H20" s="63" t="s">
        <v>273</v>
      </c>
    </row>
    <row r="21" spans="2:8" x14ac:dyDescent="0.25">
      <c r="B21" s="27" t="s">
        <v>274</v>
      </c>
      <c r="C21" s="61">
        <v>0.11281588447653429</v>
      </c>
      <c r="D21" s="61">
        <v>0.09153006273808185</v>
      </c>
      <c r="E21" s="61">
        <v>0.07558921106245059</v>
      </c>
      <c r="F21" s="61">
        <v>0.06705941185220071</v>
      </c>
      <c r="G21" s="61">
        <v>0.06750664054611155</v>
      </c>
      <c r="H21" s="63" t="s">
        <v>275</v>
      </c>
    </row>
    <row r="22" spans="2:8" x14ac:dyDescent="0.25">
      <c r="B22" s="27" t="s">
        <v>276</v>
      </c>
      <c r="C22" s="61">
        <v>0.2936183814681107</v>
      </c>
      <c r="D22" s="61">
        <v>0.4201981374076552</v>
      </c>
      <c r="E22" s="61">
        <v>0.5134033092205568</v>
      </c>
      <c r="F22" s="61">
        <v>0.5632472546615191</v>
      </c>
      <c r="G22" s="61">
        <v>0.5605820861130851</v>
      </c>
      <c r="H22" s="63" t="s">
        <v>277</v>
      </c>
    </row>
    <row r="23" spans="2:8" x14ac:dyDescent="0.25">
      <c r="B23" s="27" t="s">
        <v>278</v>
      </c>
      <c r="C23" s="67">
        <v>3</v>
      </c>
      <c r="D23" s="67">
        <v>3</v>
      </c>
      <c r="E23" s="67">
        <v>3</v>
      </c>
      <c r="F23" s="67">
        <v>3</v>
      </c>
      <c r="G23" s="67">
        <v>3</v>
      </c>
      <c r="H23" s="63" t="s">
        <v>279</v>
      </c>
    </row>
    <row r="24" spans="2:8" x14ac:dyDescent="0.25">
      <c r="B24" s="27" t="s">
        <v>280</v>
      </c>
      <c r="C24" s="68">
        <v>9.348796430295266</v>
      </c>
      <c r="D24" s="68">
        <v>20.382223012138642</v>
      </c>
      <c r="E24" s="68">
        <v>31.059700380557874</v>
      </c>
      <c r="F24" s="68">
        <v>39.561703072185296</v>
      </c>
      <c r="G24" s="68">
        <v>40.287060404956954</v>
      </c>
      <c r="H24" s="63" t="s">
        <v>281</v>
      </c>
    </row>
    <row r="25" spans="2:8" x14ac:dyDescent="0.25">
      <c r="B25" s="27" t="s">
        <v>282</v>
      </c>
      <c r="C25" s="35" t="str">
        <f>IF('5-Year Model'!B50&gt;=0,"✓ Break-even","")</f>
        <v>✓ Break-even</v>
      </c>
      <c r="D25" s="69" t="str">
        <f>IF(AND('5-Year Model'!C50&gt;=0,'5-Year Model'!B50&lt;0),"✓ Break-even","")</f>
        <v>0</v>
      </c>
      <c r="E25" s="69" t="str">
        <f>IF(AND('5-Year Model'!D50&gt;=0,'5-Year Model'!C50&lt;0),"✓ Break-even","")</f>
        <v>0</v>
      </c>
      <c r="F25" s="69" t="str">
        <f>IF(AND('5-Year Model'!E50&gt;=0,'5-Year Model'!D50&lt;0),"✓ Break-even","")</f>
        <v>0</v>
      </c>
      <c r="G25" s="69" t="str">
        <f>IF(AND('5-Year Model'!F50&gt;=0,'5-Year Model'!E50&lt;0),"✓ Break-even","")</f>
        <v>0</v>
      </c>
      <c r="H25" s="63" t="s">
        <v>253</v>
      </c>
    </row>
    <row r="26" spans="2:8" x14ac:dyDescent="0.25">
      <c r="B26" s="27" t="s">
        <v>283</v>
      </c>
      <c r="C26" s="70">
        <v>4</v>
      </c>
      <c r="D26" s="70">
        <v>11</v>
      </c>
      <c r="E26" s="71">
        <v>23</v>
      </c>
      <c r="F26" s="67">
        <v>37</v>
      </c>
      <c r="G26" s="67">
        <v>50</v>
      </c>
      <c r="H26" s="63" t="s">
        <v>284</v>
      </c>
    </row>
    <row r="27" spans="2:8" x14ac:dyDescent="0.25">
      <c r="B27" s="27" t="s">
        <v>168</v>
      </c>
      <c r="C27" s="67">
        <v>130</v>
      </c>
      <c r="D27" s="67">
        <v>348</v>
      </c>
      <c r="E27" s="67">
        <v>693</v>
      </c>
      <c r="F27" s="67">
        <v>1110</v>
      </c>
      <c r="G27" s="67">
        <v>1520</v>
      </c>
      <c r="H27" s="63" t="s">
        <v>285</v>
      </c>
    </row>
    <row r="29" ht="24" customHeight="1" spans="2:9" x14ac:dyDescent="0.25">
      <c r="B29" s="12" t="s">
        <v>286</v>
      </c>
      <c r="C29" s="12" t="s">
        <v>287</v>
      </c>
      <c r="D29" s="12" t="s">
        <v>288</v>
      </c>
      <c r="E29" s="12"/>
      <c r="F29" s="12" t="s">
        <v>289</v>
      </c>
      <c r="G29" s="12"/>
      <c r="H29" s="12"/>
      <c r="I29" s="12"/>
    </row>
    <row r="30" ht="45" customHeight="1" spans="2:9" x14ac:dyDescent="0.25">
      <c r="B30" s="72" t="s">
        <v>290</v>
      </c>
      <c r="C30" s="35" t="s">
        <v>291</v>
      </c>
      <c r="D30" s="73" t="s">
        <v>292</v>
      </c>
      <c r="E30" s="73"/>
      <c r="F30" s="74" t="s">
        <v>293</v>
      </c>
      <c r="G30" s="74"/>
      <c r="H30" s="74"/>
      <c r="I30" s="74"/>
    </row>
    <row r="31" ht="45" customHeight="1" spans="2:9" x14ac:dyDescent="0.25">
      <c r="B31" s="72" t="s">
        <v>294</v>
      </c>
      <c r="C31" s="35" t="s">
        <v>291</v>
      </c>
      <c r="D31" s="73" t="s">
        <v>295</v>
      </c>
      <c r="E31" s="73"/>
      <c r="F31" s="74" t="s">
        <v>296</v>
      </c>
      <c r="G31" s="74"/>
      <c r="H31" s="74"/>
      <c r="I31" s="74"/>
    </row>
    <row r="32" ht="45" customHeight="1" spans="2:9" x14ac:dyDescent="0.25">
      <c r="B32" s="72" t="s">
        <v>297</v>
      </c>
      <c r="C32" s="35" t="s">
        <v>291</v>
      </c>
      <c r="D32" s="73" t="s">
        <v>298</v>
      </c>
      <c r="E32" s="73"/>
      <c r="F32" s="74" t="s">
        <v>299</v>
      </c>
      <c r="G32" s="74"/>
      <c r="H32" s="74"/>
      <c r="I32" s="74"/>
    </row>
    <row r="33" ht="45" customHeight="1" spans="2:9" x14ac:dyDescent="0.25">
      <c r="B33" s="72" t="s">
        <v>300</v>
      </c>
      <c r="C33" s="35" t="s">
        <v>291</v>
      </c>
      <c r="D33" s="73" t="s">
        <v>301</v>
      </c>
      <c r="E33" s="73"/>
      <c r="F33" s="74" t="s">
        <v>302</v>
      </c>
      <c r="G33" s="74"/>
      <c r="H33" s="74"/>
      <c r="I33" s="74"/>
    </row>
    <row r="34" ht="45" customHeight="1" spans="2:9" x14ac:dyDescent="0.25">
      <c r="B34" s="72" t="s">
        <v>303</v>
      </c>
      <c r="C34" s="35" t="s">
        <v>291</v>
      </c>
      <c r="D34" s="73" t="s">
        <v>304</v>
      </c>
      <c r="E34" s="73"/>
      <c r="F34" s="74" t="s">
        <v>305</v>
      </c>
      <c r="G34" s="74"/>
      <c r="H34" s="74"/>
      <c r="I34" s="74"/>
    </row>
    <row r="35" ht="45" customHeight="1" spans="2:9" x14ac:dyDescent="0.25">
      <c r="B35" s="72" t="s">
        <v>306</v>
      </c>
      <c r="C35" s="35" t="s">
        <v>291</v>
      </c>
      <c r="D35" s="73" t="s">
        <v>307</v>
      </c>
      <c r="E35" s="73"/>
      <c r="F35" s="74" t="s">
        <v>308</v>
      </c>
      <c r="G35" s="74"/>
      <c r="H35" s="74"/>
      <c r="I35" s="74"/>
    </row>
    <row r="36" ht="45" customHeight="1" spans="2:9" x14ac:dyDescent="0.25">
      <c r="B36" s="72" t="s">
        <v>309</v>
      </c>
      <c r="C36" s="35" t="s">
        <v>291</v>
      </c>
      <c r="D36" s="73" t="s">
        <v>310</v>
      </c>
      <c r="E36" s="73"/>
      <c r="F36" s="74" t="s">
        <v>311</v>
      </c>
      <c r="G36" s="74"/>
      <c r="H36" s="74"/>
      <c r="I36" s="74"/>
    </row>
    <row r="38" spans="2:6" x14ac:dyDescent="0.25">
      <c r="B38" s="72" t="s">
        <v>312</v>
      </c>
      <c r="C38" s="27" t="s">
        <v>313</v>
      </c>
      <c r="D38" s="27"/>
      <c r="E38" s="27"/>
      <c r="F38" s="27"/>
    </row>
    <row r="40" spans="2:9" x14ac:dyDescent="0.25">
      <c r="B40" s="75" t="s">
        <v>129</v>
      </c>
      <c r="C40" s="75"/>
      <c r="D40" s="75"/>
      <c r="E40" s="75"/>
      <c r="F40" s="75"/>
      <c r="G40" s="75"/>
      <c r="H40" s="75"/>
      <c r="I40" s="75"/>
    </row>
  </sheetData>
  <mergeCells count="20">
    <mergeCell ref="B2:I2"/>
    <mergeCell ref="B3:I3"/>
    <mergeCell ref="D29:E29"/>
    <mergeCell ref="F29:I29"/>
    <mergeCell ref="D30:E30"/>
    <mergeCell ref="F30:I30"/>
    <mergeCell ref="D31:E31"/>
    <mergeCell ref="F31:I31"/>
    <mergeCell ref="D32:E32"/>
    <mergeCell ref="F32:I32"/>
    <mergeCell ref="D33:E33"/>
    <mergeCell ref="F33:I33"/>
    <mergeCell ref="D34:E34"/>
    <mergeCell ref="F34:I34"/>
    <mergeCell ref="D35:E35"/>
    <mergeCell ref="F35:I35"/>
    <mergeCell ref="D36:E36"/>
    <mergeCell ref="F36:I36"/>
    <mergeCell ref="C38:F38"/>
    <mergeCell ref="B40:I40"/>
  </mergeCells>
  <conditionalFormatting sqref="C12:G12">
    <cfRule type="expression" dxfId="0" priority="1">
      <formula>C12&gt;=0</formula>
    </cfRule>
    <cfRule type="expression" dxfId="1" priority="2">
      <formula>C12&gt;=-1</formula>
    </cfRule>
    <cfRule type="expression" dxfId="2" priority="3">
      <formula>C12&lt;-1</formula>
    </cfRule>
  </conditionalFormatting>
  <conditionalFormatting sqref="C13:G13">
    <cfRule type="expression" dxfId="3" priority="1">
      <formula>C13&gt;=0</formula>
    </cfRule>
    <cfRule type="expression" dxfId="4" priority="2">
      <formula>C13&gt;=-1</formula>
    </cfRule>
    <cfRule type="expression" dxfId="5" priority="3">
      <formula>C13&lt;-1</formula>
    </cfRule>
  </conditionalFormatting>
  <conditionalFormatting sqref="C14:G14">
    <cfRule type="expression" dxfId="6" priority="1">
      <formula>C14&gt;=0.05</formula>
    </cfRule>
    <cfRule type="expression" dxfId="7" priority="2">
      <formula>C14&gt;=0</formula>
    </cfRule>
    <cfRule type="expression" dxfId="8" priority="3">
      <formula>C14&lt;0</formula>
    </cfRule>
  </conditionalFormatting>
  <conditionalFormatting sqref="C15:G15">
    <cfRule type="expression" dxfId="9" priority="1">
      <formula>C15&gt;=10000</formula>
    </cfRule>
    <cfRule type="expression" dxfId="10" priority="2">
      <formula>C15&gt;=7000</formula>
    </cfRule>
    <cfRule type="expression" dxfId="11" priority="3">
      <formula>C15&lt;7000</formula>
    </cfRule>
  </conditionalFormatting>
  <conditionalFormatting sqref="C20:G20">
    <cfRule type="expression" dxfId="12" priority="1">
      <formula>C20&lt;=0.55</formula>
    </cfRule>
    <cfRule type="expression" dxfId="13" priority="2">
      <formula>C20&lt;=0.65</formula>
    </cfRule>
    <cfRule type="expression" dxfId="14" priority="3">
      <formula>C20&gt;0.65</formula>
    </cfRule>
  </conditionalFormatting>
  <conditionalFormatting sqref="C21:G21">
    <cfRule type="expression" dxfId="15" priority="1">
      <formula>C21&lt;=0.15</formula>
    </cfRule>
    <cfRule type="expression" dxfId="16" priority="2">
      <formula>C21&lt;=0.22</formula>
    </cfRule>
    <cfRule type="expression" dxfId="17" priority="3">
      <formula>C21&gt;0.22</formula>
    </cfRule>
  </conditionalFormatting>
  <conditionalFormatting sqref="C22:G22">
    <cfRule type="expression" dxfId="18" priority="1">
      <formula>C22&gt;=0.10</formula>
    </cfRule>
    <cfRule type="expression" dxfId="19" priority="2">
      <formula>C22&gt;=0</formula>
    </cfRule>
    <cfRule type="expression" dxfId="20" priority="3">
      <formula>C22&lt;0</formula>
    </cfRule>
  </conditionalFormatting>
  <conditionalFormatting sqref="C24:G24">
    <cfRule type="expression" dxfId="21" priority="1">
      <formula>C24&gt;=1.25</formula>
    </cfRule>
    <cfRule type="expression" dxfId="22" priority="2">
      <formula>C24&gt;=1.15</formula>
    </cfRule>
    <cfRule type="expression" dxfId="23" priority="3">
      <formula>C24&lt;1.15</formula>
    </cfRule>
  </conditionalFormatting>
  <pageMargins left="0.25" right="0.25" top="0.5" bottom="0.5" header="0.3" footer="0.3"/>
  <pageSetup paperSize="1" orientation="landscape" fitToWidth="1" fitToHeight="0"/>
  <headerFooter>
    <oddHeader>&amp;L&amp;10&amp;BBright Horizons Microschool&amp;R&amp;8&amp;IFinancial Health</oddHeader>
    <oddFooter>&amp;L&amp;8Built by SchoolStack Budget  •  budget.schoolstack.ai&amp;C&amp;8Page &amp;P of &amp;N&amp;R&amp;8&amp;D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Assumptions</vt:lpstr>
      <vt:lpstr>5-Year Model</vt:lpstr>
      <vt:lpstr>Year 1 Pro Forma</vt:lpstr>
      <vt:lpstr>Decision History</vt:lpstr>
      <vt:lpstr>Financial Health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 - Formula Model</dc:creator>
  <dc:title/>
  <dc:subject/>
  <dc:description/>
  <cp:keywords/>
  <cp:category/>
  <cp:lastModifiedBy>Unknown</cp:lastModifiedBy>
  <dcterms:created xsi:type="dcterms:W3CDTF">2026-05-09T20:32:51Z</dcterms:created>
  <dcterms:modified xsi:type="dcterms:W3CDTF">2026-05-09T20:32:51Z</dcterms:modified>
</cp:coreProperties>
</file>