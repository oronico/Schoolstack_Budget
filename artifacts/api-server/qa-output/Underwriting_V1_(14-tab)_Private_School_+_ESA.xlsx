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<sst xmlns="http://schemas.openxmlformats.org/spreadsheetml/2006/main" count="450" uniqueCount="324">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</sst>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0" fillId="0" borderId="3" xfId="0" applyFont="1" applyBorder="1"/>
    <xf numFmtId="164" fontId="23" fillId="0" borderId="3" xfId="0" applyNumberFormat="1" applyFont="1" applyBorder="1"/>
    <xf numFmtId="169" fontId="5" fillId="7" borderId="4" xfId="0" applyNumberFormat="1" applyFont="1" applyFill="1" applyBorder="1" applyAlignment="1">
      <alignment horizontal="right"/>
    </xf>
    <xf numFmtId="0" fontId="21" fillId="0" borderId="3" xfId="0" applyFont="1" applyBorder="1"/>
    <xf numFmtId="0" fontId="3" fillId="0" borderId="3" xfId="0" applyFont="1" applyBorder="1"/>
    <xf numFmtId="0" fontId="21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0" fillId="0" borderId="3" xfId="0" applyFont="1" applyBorder="1" applyAlignment="1">
      <alignment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194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195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199</v>
      </c>
      <c r="B5" s="30">
        <f>IF(B4=0,"N/A",B3/B4)</f>
        <v>24.92</v>
      </c>
      <c r="C5" s="30">
        <f>IF(C4=0,"N/A",C3/C4)</f>
        <v>42.49</v>
      </c>
      <c r="D5" s="30">
        <f>IF(D4=0,"N/A",D3/D4)</f>
        <v>61.07</v>
      </c>
      <c r="E5" s="30">
        <f>IF(E4=0,"N/A",E3/E4)</f>
        <v>77.82</v>
      </c>
      <c r="F5" s="30">
        <f>IF(F4=0,"N/A",F3/F4)</f>
        <v>89.55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202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203</v>
      </c>
      <c r="B10" s="31">
        <f>IF(B9=0,0,B8/B9)</f>
        <v>11.88</v>
      </c>
      <c r="C10" s="31">
        <f>IF(C9=0,0,C8/C9)</f>
        <v>25.93</v>
      </c>
      <c r="D10" s="31">
        <f>IF(D9=0,0,D8/D9)</f>
        <v>45.3</v>
      </c>
      <c r="E10" s="31">
        <f>IF(E9=0,0,E8/E9)</f>
        <v>69.11</v>
      </c>
      <c r="F10" s="31">
        <f>IF(F9=0,0,F8/F9)</f>
        <v>95.96</v>
      </c>
    </row>
    <row r="11" spans="1:6" x14ac:dyDescent="0.25">
      <c r="A11" s="6" t="s">
        <v>204</v>
      </c>
      <c r="B11" s="32">
        <v>361</v>
      </c>
      <c r="C11" s="32">
        <v>789</v>
      </c>
      <c r="D11" s="32">
        <v>1378</v>
      </c>
      <c r="E11" s="32">
        <v>2102</v>
      </c>
      <c r="F11" s="32">
        <v>2919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3" t="str">
        <f>IF(B5&gt;=1.2,"PASS","FAIL")</f>
        <v>PASS</v>
      </c>
      <c r="C14" s="33" t="str">
        <f>IF(C5&gt;=1.2,"PASS","FAIL")</f>
        <v>PASS</v>
      </c>
      <c r="D14" s="33" t="str">
        <f>IF(D5&gt;=1.2,"PASS","FAIL")</f>
        <v>PASS</v>
      </c>
      <c r="E14" s="33" t="str">
        <f>IF(E5&gt;=1.2,"PASS","FAIL")</f>
        <v>PASS</v>
      </c>
      <c r="F14" s="33" t="str">
        <f>IF(F5&gt;=1.2,"PASS","FAIL")</f>
        <v>PASS</v>
      </c>
    </row>
    <row r="15" spans="1:6" x14ac:dyDescent="0.25">
      <c r="A15" s="6" t="s">
        <v>207</v>
      </c>
      <c r="B15" s="33" t="str">
        <f>IF(B10&gt;=2,"PASS","FAIL")</f>
        <v>PASS</v>
      </c>
      <c r="C15" s="33" t="str">
        <f>IF(C10&gt;=2,"PASS","FAIL")</f>
        <v>PASS</v>
      </c>
      <c r="D15" s="33" t="str">
        <f>IF(D10&gt;=2,"PASS","FAIL")</f>
        <v>PASS</v>
      </c>
      <c r="E15" s="33" t="str">
        <f>IF(E10&gt;=2,"PASS","FAIL")</f>
        <v>PASS</v>
      </c>
      <c r="F15" s="33" t="str">
        <f>IF(F10&gt;=2,"PASS","FAIL")</f>
        <v>PASS</v>
      </c>
    </row>
    <row r="16" spans="1:6" x14ac:dyDescent="0.25">
      <c r="A16" s="6" t="s">
        <v>208</v>
      </c>
      <c r="B16" s="33" t="s">
        <v>209</v>
      </c>
      <c r="C16" s="33" t="s">
        <v>209</v>
      </c>
      <c r="D16" s="33" t="s">
        <v>209</v>
      </c>
      <c r="E16" s="33" t="s">
        <v>209</v>
      </c>
      <c r="F16" s="33" t="s">
        <v>209</v>
      </c>
    </row>
    <row r="17" spans="1:6" x14ac:dyDescent="0.25">
      <c r="A17" s="6" t="s">
        <v>210</v>
      </c>
      <c r="B17" s="34" t="s">
        <v>211</v>
      </c>
      <c r="C17" s="34" t="s">
        <v>211</v>
      </c>
      <c r="D17" s="33" t="s">
        <v>209</v>
      </c>
      <c r="E17" s="33" t="s">
        <v>209</v>
      </c>
      <c r="F17" s="33" t="s">
        <v>209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212</v>
      </c>
      <c r="B1" s="35"/>
      <c r="C1" s="35"/>
    </row>
    <row r="2" spans="1:3" x14ac:dyDescent="0.25">
      <c r="A2" s="36" t="s">
        <v>213</v>
      </c>
      <c r="B2" s="36"/>
      <c r="C2" s="36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3" t="s">
        <v>209</v>
      </c>
      <c r="C5" s="6" t="s">
        <v>216</v>
      </c>
    </row>
    <row r="6" spans="1:3" x14ac:dyDescent="0.25">
      <c r="A6" s="6" t="s">
        <v>217</v>
      </c>
      <c r="B6" s="33" t="s">
        <v>209</v>
      </c>
      <c r="C6" s="6" t="s">
        <v>218</v>
      </c>
    </row>
    <row r="7" spans="1:3" x14ac:dyDescent="0.25">
      <c r="A7" s="6" t="s">
        <v>219</v>
      </c>
      <c r="B7" s="33" t="s">
        <v>209</v>
      </c>
      <c r="C7" s="6" t="s">
        <v>220</v>
      </c>
    </row>
    <row r="8" spans="1:3" x14ac:dyDescent="0.25">
      <c r="A8" s="6" t="s">
        <v>221</v>
      </c>
      <c r="B8" s="33" t="s">
        <v>209</v>
      </c>
      <c r="C8" s="6" t="s">
        <v>35</v>
      </c>
    </row>
    <row r="9" spans="1:3" x14ac:dyDescent="0.25">
      <c r="A9" s="6" t="s">
        <v>222</v>
      </c>
      <c r="B9" s="34" t="s">
        <v>211</v>
      </c>
      <c r="C9" s="6" t="s">
        <v>223</v>
      </c>
    </row>
    <row r="10" spans="1:3" x14ac:dyDescent="0.25">
      <c r="A10" s="6" t="s">
        <v>224</v>
      </c>
      <c r="B10" s="33" t="s">
        <v>209</v>
      </c>
      <c r="C10" s="6" t="s">
        <v>220</v>
      </c>
    </row>
    <row r="12" ht="24" customHeight="1" spans="1:3" x14ac:dyDescent="0.25">
      <c r="A12" s="5" t="s">
        <v>225</v>
      </c>
      <c r="B12" s="5"/>
      <c r="C12" s="5"/>
    </row>
    <row r="13" spans="1:2" x14ac:dyDescent="0.25">
      <c r="A13" s="6" t="s">
        <v>226</v>
      </c>
      <c r="B13" s="7" t="s">
        <v>227</v>
      </c>
    </row>
    <row r="14" spans="1:2" x14ac:dyDescent="0.25">
      <c r="A14" s="6" t="s">
        <v>228</v>
      </c>
      <c r="B14" s="37" t="s">
        <v>229</v>
      </c>
    </row>
    <row r="16" ht="24" customHeight="1" spans="1:3" x14ac:dyDescent="0.25">
      <c r="A16" s="5" t="s">
        <v>230</v>
      </c>
      <c r="B16" s="5"/>
      <c r="C16" s="5"/>
    </row>
    <row r="17" spans="1:2" x14ac:dyDescent="0.25">
      <c r="A17" s="6" t="s">
        <v>231</v>
      </c>
      <c r="B17" s="18">
        <v>1975000</v>
      </c>
    </row>
    <row r="18" spans="1:2" x14ac:dyDescent="0.25">
      <c r="A18" s="6" t="s">
        <v>232</v>
      </c>
      <c r="B18" s="18">
        <v>1185236</v>
      </c>
    </row>
    <row r="19" spans="1:2" x14ac:dyDescent="0.25">
      <c r="A19" s="6" t="s">
        <v>233</v>
      </c>
      <c r="B19" s="18">
        <v>789764</v>
      </c>
    </row>
    <row r="20" spans="1:2" x14ac:dyDescent="0.25">
      <c r="A20" s="6" t="s">
        <v>234</v>
      </c>
      <c r="B20" s="38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235</v>
      </c>
      <c r="B22" s="18">
        <v>1114764</v>
      </c>
    </row>
    <row r="23" spans="1:2" x14ac:dyDescent="0.25">
      <c r="A23" s="6" t="s">
        <v>236</v>
      </c>
      <c r="B23" s="18">
        <v>250000</v>
      </c>
    </row>
    <row r="24" spans="1:2" x14ac:dyDescent="0.25">
      <c r="A24" s="6" t="s">
        <v>237</v>
      </c>
      <c r="B24" s="7" t="s">
        <v>216</v>
      </c>
    </row>
    <row r="25" spans="1:2" x14ac:dyDescent="0.25">
      <c r="A25" s="6" t="s">
        <v>238</v>
      </c>
      <c r="B25" s="7" t="s">
        <v>239</v>
      </c>
    </row>
    <row r="26" spans="1:2" x14ac:dyDescent="0.25">
      <c r="A26" s="6" t="s">
        <v>240</v>
      </c>
      <c r="B26" s="7" t="s">
        <v>35</v>
      </c>
    </row>
    <row r="27" spans="1:2" x14ac:dyDescent="0.25">
      <c r="A27" s="6" t="s">
        <v>241</v>
      </c>
      <c r="B27" s="18">
        <v>19750</v>
      </c>
    </row>
    <row r="28" spans="1:2" x14ac:dyDescent="0.25">
      <c r="A28" s="6" t="s">
        <v>242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6</v>
      </c>
      <c r="B1" s="35"/>
      <c r="C1" s="35"/>
      <c r="D1" s="35"/>
      <c r="E1" s="35"/>
      <c r="F1" s="35"/>
    </row>
    <row r="2" ht="22" customHeight="1" spans="1:6" x14ac:dyDescent="0.25">
      <c r="A2" s="39" t="s">
        <v>243</v>
      </c>
      <c r="B2" s="39"/>
      <c r="C2" s="39"/>
      <c r="D2" s="39"/>
      <c r="E2" s="39"/>
      <c r="F2" s="39"/>
    </row>
    <row r="3" ht="18" customHeight="1" spans="1:6" x14ac:dyDescent="0.25">
      <c r="A3" s="40" t="s">
        <v>244</v>
      </c>
      <c r="B3" s="40"/>
      <c r="C3" s="40"/>
      <c r="D3" s="40"/>
      <c r="E3" s="40"/>
      <c r="F3" s="40"/>
    </row>
    <row r="4" ht="16" customHeight="1" spans="1:6" x14ac:dyDescent="0.25">
      <c r="A4" s="41" t="s">
        <v>245</v>
      </c>
      <c r="B4" s="41"/>
      <c r="C4" s="41"/>
      <c r="D4" s="41"/>
      <c r="E4" s="41"/>
      <c r="F4" s="41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2">
        <f>Assumptions!$B$17</f>
        <v>100</v>
      </c>
      <c r="C7" s="32">
        <f>Assumptions!$C$17</f>
        <v>130</v>
      </c>
      <c r="D7" s="32">
        <f>Assumptions!$D$17</f>
        <v>160</v>
      </c>
      <c r="E7" s="32">
        <f>Assumptions!$E$17</f>
        <v>185</v>
      </c>
      <c r="F7" s="32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246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247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199</v>
      </c>
      <c r="B16" s="30">
        <v>24.92</v>
      </c>
      <c r="C16" s="30">
        <v>42.49</v>
      </c>
      <c r="D16" s="30">
        <v>61.07</v>
      </c>
      <c r="E16" s="30">
        <v>77.82</v>
      </c>
      <c r="F16" s="30">
        <v>89.55</v>
      </c>
    </row>
    <row r="18" spans="1:6" x14ac:dyDescent="0.25">
      <c r="A18" s="41" t="s">
        <v>248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249</v>
      </c>
      <c r="C3" s="42"/>
    </row>
    <row r="4" ht="28" customHeight="1" spans="2:3" x14ac:dyDescent="0.25">
      <c r="B4" s="43" t="s">
        <v>250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251</v>
      </c>
    </row>
    <row r="9" ht="32" customHeight="1" spans="2:3" x14ac:dyDescent="0.25">
      <c r="B9" s="46" t="s">
        <v>6</v>
      </c>
      <c r="C9" s="46"/>
    </row>
    <row r="10" spans="2:3" x14ac:dyDescent="0.25">
      <c r="B10" s="47" t="s">
        <v>252</v>
      </c>
      <c r="C10" s="47"/>
    </row>
    <row r="12" spans="2:3" x14ac:dyDescent="0.25">
      <c r="B12" s="45" t="s">
        <v>253</v>
      </c>
      <c r="C12" s="48" t="s">
        <v>254</v>
      </c>
    </row>
    <row r="15" ht="24" customHeight="1" spans="1:3" x14ac:dyDescent="0.25">
      <c r="A15" s="5"/>
      <c r="B15" s="5" t="s">
        <v>255</v>
      </c>
      <c r="C15" s="5"/>
    </row>
    <row r="16" spans="2:3" x14ac:dyDescent="0.25">
      <c r="B16" s="13" t="s">
        <v>256</v>
      </c>
      <c r="C16" s="27">
        <v>4323000</v>
      </c>
    </row>
    <row r="17" spans="2:3" x14ac:dyDescent="0.25">
      <c r="B17" s="13" t="s">
        <v>257</v>
      </c>
      <c r="C17" s="27">
        <v>3011259</v>
      </c>
    </row>
    <row r="18" spans="2:3" x14ac:dyDescent="0.25">
      <c r="B18" s="13" t="s">
        <v>201</v>
      </c>
      <c r="C18" s="27">
        <v>9927458</v>
      </c>
    </row>
    <row r="19" spans="2:3" x14ac:dyDescent="0.25">
      <c r="B19" s="13" t="s">
        <v>228</v>
      </c>
      <c r="C19" s="49" t="s">
        <v>258</v>
      </c>
    </row>
    <row r="22" ht="24" customHeight="1" spans="1:3" x14ac:dyDescent="0.25">
      <c r="A22" s="5"/>
      <c r="B22" s="5" t="s">
        <v>259</v>
      </c>
      <c r="C22" s="5"/>
    </row>
    <row r="23" spans="2:3" x14ac:dyDescent="0.25">
      <c r="B23" s="50" t="s">
        <v>260</v>
      </c>
      <c r="C23" s="51"/>
    </row>
    <row r="24" spans="2:3" x14ac:dyDescent="0.25">
      <c r="B24" s="50" t="s">
        <v>261</v>
      </c>
      <c r="C24" s="51"/>
    </row>
    <row r="25" spans="2:3" x14ac:dyDescent="0.25">
      <c r="B25" s="50" t="s">
        <v>262</v>
      </c>
      <c r="C25" s="51"/>
    </row>
    <row r="26" spans="2:3" x14ac:dyDescent="0.25">
      <c r="B26" s="50" t="s">
        <v>263</v>
      </c>
      <c r="C26" s="51"/>
    </row>
    <row r="27" spans="2:3" x14ac:dyDescent="0.25">
      <c r="B27" s="50" t="s">
        <v>170</v>
      </c>
      <c r="C27" s="51"/>
    </row>
    <row r="28" spans="2:3" x14ac:dyDescent="0.25">
      <c r="B28" s="50" t="s">
        <v>264</v>
      </c>
      <c r="C28" s="51"/>
    </row>
    <row r="29" spans="2:3" x14ac:dyDescent="0.25">
      <c r="B29" s="50" t="s">
        <v>265</v>
      </c>
      <c r="C29" s="51"/>
    </row>
    <row r="30" spans="2:3" x14ac:dyDescent="0.25">
      <c r="B30" s="50" t="s">
        <v>266</v>
      </c>
      <c r="C30" s="51"/>
    </row>
    <row r="31" spans="2:3" x14ac:dyDescent="0.25">
      <c r="B31" s="50" t="s">
        <v>267</v>
      </c>
      <c r="C31" s="51"/>
    </row>
    <row r="32" spans="2:3" x14ac:dyDescent="0.25">
      <c r="B32" s="50" t="s">
        <v>268</v>
      </c>
      <c r="C32" s="51"/>
    </row>
    <row r="33" spans="2:3" x14ac:dyDescent="0.25">
      <c r="B33" s="50" t="s">
        <v>269</v>
      </c>
      <c r="C33" s="51"/>
    </row>
    <row r="34" spans="2:3" x14ac:dyDescent="0.25">
      <c r="B34" s="50" t="s">
        <v>270</v>
      </c>
      <c r="C34" s="51"/>
    </row>
    <row r="35" spans="2:3" x14ac:dyDescent="0.25">
      <c r="B35" s="50" t="s">
        <v>271</v>
      </c>
      <c r="C35" s="51"/>
    </row>
    <row r="36" spans="2:3" x14ac:dyDescent="0.25">
      <c r="B36" s="50" t="s">
        <v>272</v>
      </c>
      <c r="C36" s="51"/>
    </row>
    <row r="39" spans="2:3" x14ac:dyDescent="0.25">
      <c r="B39" s="41" t="s">
        <v>248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5" t="s">
        <v>273</v>
      </c>
      <c r="C2" s="35"/>
      <c r="D2" s="35"/>
      <c r="E2" s="35"/>
      <c r="F2" s="35"/>
      <c r="G2" s="35"/>
      <c r="H2" s="35"/>
    </row>
    <row r="3" spans="2:8" x14ac:dyDescent="0.25">
      <c r="B3" s="52" t="s">
        <v>274</v>
      </c>
      <c r="C3" s="52"/>
      <c r="D3" s="52"/>
      <c r="E3" s="52"/>
      <c r="F3" s="52"/>
      <c r="G3" s="52"/>
      <c r="H3" s="52"/>
    </row>
    <row r="4" spans="2:6" x14ac:dyDescent="0.25">
      <c r="B4" s="53" t="s">
        <v>275</v>
      </c>
      <c r="D4" s="54" t="s">
        <v>276</v>
      </c>
      <c r="F4" s="55" t="s">
        <v>277</v>
      </c>
    </row>
    <row r="6" ht="24" customHeight="1" spans="2:8" x14ac:dyDescent="0.25">
      <c r="B6" s="5" t="s">
        <v>278</v>
      </c>
      <c r="C6" s="56" t="s">
        <v>23</v>
      </c>
      <c r="D6" s="56" t="s">
        <v>24</v>
      </c>
      <c r="E6" s="56" t="s">
        <v>25</v>
      </c>
      <c r="F6" s="56" t="s">
        <v>26</v>
      </c>
      <c r="G6" s="56" t="s">
        <v>27</v>
      </c>
      <c r="H6" s="56" t="s">
        <v>279</v>
      </c>
    </row>
    <row r="7" spans="2:7" x14ac:dyDescent="0.25">
      <c r="B7" s="13" t="s">
        <v>280</v>
      </c>
      <c r="C7" s="57">
        <v>100</v>
      </c>
      <c r="D7" s="57">
        <v>130</v>
      </c>
      <c r="E7" s="57">
        <v>160</v>
      </c>
      <c r="F7" s="57">
        <v>185</v>
      </c>
      <c r="G7" s="57">
        <v>200</v>
      </c>
    </row>
    <row r="8" spans="2:7" x14ac:dyDescent="0.25">
      <c r="B8" s="13" t="s">
        <v>168</v>
      </c>
      <c r="C8" s="58">
        <v>1975000</v>
      </c>
      <c r="D8" s="58">
        <v>2612670</v>
      </c>
      <c r="E8" s="58">
        <v>3286760</v>
      </c>
      <c r="F8" s="58">
        <v>3895050</v>
      </c>
      <c r="G8" s="58">
        <v>4323000</v>
      </c>
    </row>
    <row r="9" spans="2:7" x14ac:dyDescent="0.25">
      <c r="B9" s="13" t="s">
        <v>169</v>
      </c>
      <c r="C9" s="58">
        <v>854772</v>
      </c>
      <c r="D9" s="58">
        <v>854772</v>
      </c>
      <c r="E9" s="58">
        <v>854772</v>
      </c>
      <c r="F9" s="58">
        <v>854772</v>
      </c>
      <c r="G9" s="58">
        <v>854772</v>
      </c>
    </row>
    <row r="10" spans="2:7" x14ac:dyDescent="0.25">
      <c r="B10" s="13" t="s">
        <v>170</v>
      </c>
      <c r="C10" s="58">
        <v>271400</v>
      </c>
      <c r="D10" s="58">
        <v>310442</v>
      </c>
      <c r="E10" s="58">
        <v>351598</v>
      </c>
      <c r="F10" s="58">
        <v>389496</v>
      </c>
      <c r="G10" s="58">
        <v>417905</v>
      </c>
    </row>
    <row r="11" spans="2:7" x14ac:dyDescent="0.25">
      <c r="B11" s="13" t="s">
        <v>171</v>
      </c>
      <c r="C11" s="58">
        <v>59064</v>
      </c>
      <c r="D11" s="58">
        <v>44064</v>
      </c>
      <c r="E11" s="58">
        <v>44064</v>
      </c>
      <c r="F11" s="58">
        <v>39064</v>
      </c>
      <c r="G11" s="58">
        <v>39064</v>
      </c>
    </row>
    <row r="12" spans="2:7" x14ac:dyDescent="0.25">
      <c r="B12" s="59" t="s">
        <v>181</v>
      </c>
      <c r="C12" s="60">
        <v>789764</v>
      </c>
      <c r="D12" s="60">
        <v>1403392</v>
      </c>
      <c r="E12" s="60">
        <v>2036326</v>
      </c>
      <c r="F12" s="60">
        <v>2611717</v>
      </c>
      <c r="G12" s="60">
        <v>3011259</v>
      </c>
    </row>
    <row r="13" spans="2:7" x14ac:dyDescent="0.25">
      <c r="B13" s="59" t="s">
        <v>281</v>
      </c>
      <c r="C13" s="60">
        <v>1114764</v>
      </c>
      <c r="D13" s="60">
        <v>2518156</v>
      </c>
      <c r="E13" s="60">
        <v>4554482</v>
      </c>
      <c r="F13" s="60">
        <v>7166199</v>
      </c>
      <c r="G13" s="60">
        <v>10177458</v>
      </c>
    </row>
    <row r="14" spans="2:7" x14ac:dyDescent="0.25">
      <c r="B14" s="59" t="s">
        <v>282</v>
      </c>
      <c r="C14" s="61">
        <v>0.3998805063291139</v>
      </c>
      <c r="D14" s="61">
        <v>0.5371485874603376</v>
      </c>
      <c r="E14" s="61">
        <v>0.6195542114422714</v>
      </c>
      <c r="F14" s="61">
        <v>0.6705220728873827</v>
      </c>
      <c r="G14" s="61">
        <v>0.6965669673837612</v>
      </c>
    </row>
    <row r="15" spans="2:8" x14ac:dyDescent="0.25">
      <c r="B15" s="59" t="s">
        <v>247</v>
      </c>
      <c r="C15" s="62">
        <v>19750</v>
      </c>
      <c r="D15" s="62">
        <v>20097.46153846154</v>
      </c>
      <c r="E15" s="62">
        <v>20542.25</v>
      </c>
      <c r="F15" s="62">
        <v>21054.324324324323</v>
      </c>
      <c r="G15" s="62">
        <v>21615</v>
      </c>
      <c r="H15" s="63" t="s">
        <v>283</v>
      </c>
    </row>
    <row r="16" spans="2:8" x14ac:dyDescent="0.25">
      <c r="B16" s="59" t="s">
        <v>284</v>
      </c>
      <c r="C16" s="61">
        <v>0.4327959493670886</v>
      </c>
      <c r="D16" s="61">
        <v>0.3271641653940222</v>
      </c>
      <c r="E16" s="61">
        <v>0.26006523141330673</v>
      </c>
      <c r="F16" s="61">
        <v>0.21945084145261293</v>
      </c>
      <c r="G16" s="61">
        <v>0.1977265787647467</v>
      </c>
      <c r="H16" s="63" t="s">
        <v>285</v>
      </c>
    </row>
    <row r="17" spans="2:8" x14ac:dyDescent="0.25">
      <c r="B17" s="59" t="s">
        <v>286</v>
      </c>
      <c r="C17" s="61">
        <v>0.0412253164556962</v>
      </c>
      <c r="D17" s="61">
        <v>0.035646522522936305</v>
      </c>
      <c r="E17" s="61">
        <v>0.03209221239153452</v>
      </c>
      <c r="F17" s="61">
        <v>0.02999930681249278</v>
      </c>
      <c r="G17" s="61">
        <v>0.029001040943789035</v>
      </c>
      <c r="H17" s="63" t="s">
        <v>287</v>
      </c>
    </row>
    <row r="18" spans="2:8" x14ac:dyDescent="0.25">
      <c r="B18" s="59" t="s">
        <v>288</v>
      </c>
      <c r="C18" s="61">
        <v>0.42978632911392406</v>
      </c>
      <c r="D18" s="61">
        <v>0.5540140928628567</v>
      </c>
      <c r="E18" s="61">
        <v>0.6329607272815783</v>
      </c>
      <c r="F18" s="61">
        <v>0.6805514691724112</v>
      </c>
      <c r="G18" s="61">
        <v>0.7056032847559565</v>
      </c>
      <c r="H18" s="63" t="s">
        <v>289</v>
      </c>
    </row>
    <row r="19" spans="2:8" x14ac:dyDescent="0.25">
      <c r="B19" s="59" t="s">
        <v>290</v>
      </c>
      <c r="C19" s="64">
        <v>1</v>
      </c>
      <c r="D19" s="64"/>
      <c r="E19" s="64"/>
      <c r="F19" s="64"/>
      <c r="G19" s="64"/>
      <c r="H19" s="63" t="s">
        <v>291</v>
      </c>
    </row>
    <row r="20" spans="2:8" x14ac:dyDescent="0.25">
      <c r="B20" s="59" t="s">
        <v>199</v>
      </c>
      <c r="C20" s="65">
        <v>14.371326019233374</v>
      </c>
      <c r="D20" s="65">
        <v>32.84894698620189</v>
      </c>
      <c r="E20" s="65">
        <v>47.212917574437185</v>
      </c>
      <c r="F20" s="65">
        <v>67.85741347532255</v>
      </c>
      <c r="G20" s="65">
        <v>78.08527032561949</v>
      </c>
      <c r="H20" s="63" t="s">
        <v>292</v>
      </c>
    </row>
    <row r="21" spans="2:8" x14ac:dyDescent="0.25">
      <c r="B21" s="59" t="s">
        <v>293</v>
      </c>
      <c r="C21" s="66" t="s">
        <v>23</v>
      </c>
      <c r="D21" s="66"/>
      <c r="E21" s="66"/>
      <c r="F21" s="66"/>
      <c r="G21" s="66"/>
      <c r="H21" s="63" t="s">
        <v>23</v>
      </c>
    </row>
    <row r="22" spans="2:8" x14ac:dyDescent="0.25">
      <c r="B22" s="59" t="s">
        <v>294</v>
      </c>
      <c r="C22" s="66" t="s">
        <v>295</v>
      </c>
      <c r="D22" s="66"/>
      <c r="E22" s="66"/>
      <c r="F22" s="66"/>
      <c r="G22" s="66"/>
      <c r="H22" s="63" t="s">
        <v>295</v>
      </c>
    </row>
    <row r="24" ht="24" customHeight="1" spans="2:8" x14ac:dyDescent="0.25">
      <c r="B24" s="5" t="s">
        <v>296</v>
      </c>
      <c r="C24" s="5" t="s">
        <v>297</v>
      </c>
      <c r="D24" s="5" t="s">
        <v>298</v>
      </c>
      <c r="E24" s="5"/>
      <c r="F24" s="5" t="s">
        <v>299</v>
      </c>
      <c r="G24" s="5"/>
      <c r="H24" s="5"/>
    </row>
    <row r="25" ht="45" customHeight="1" spans="2:8" x14ac:dyDescent="0.25">
      <c r="B25" s="67" t="s">
        <v>300</v>
      </c>
      <c r="C25" s="68" t="s">
        <v>301</v>
      </c>
      <c r="D25" s="69" t="s">
        <v>302</v>
      </c>
      <c r="E25" s="69"/>
      <c r="F25" s="70" t="s">
        <v>303</v>
      </c>
      <c r="G25" s="70"/>
      <c r="H25" s="70"/>
    </row>
    <row r="26" ht="45" customHeight="1" spans="2:8" x14ac:dyDescent="0.25">
      <c r="B26" s="67" t="s">
        <v>304</v>
      </c>
      <c r="C26" s="68" t="s">
        <v>301</v>
      </c>
      <c r="D26" s="69" t="s">
        <v>305</v>
      </c>
      <c r="E26" s="69"/>
      <c r="F26" s="70" t="s">
        <v>306</v>
      </c>
      <c r="G26" s="70"/>
      <c r="H26" s="70"/>
    </row>
    <row r="27" ht="45" customHeight="1" spans="2:8" x14ac:dyDescent="0.25">
      <c r="B27" s="67" t="s">
        <v>307</v>
      </c>
      <c r="C27" s="68" t="s">
        <v>301</v>
      </c>
      <c r="D27" s="69" t="s">
        <v>308</v>
      </c>
      <c r="E27" s="69"/>
      <c r="F27" s="70" t="s">
        <v>309</v>
      </c>
      <c r="G27" s="70"/>
      <c r="H27" s="70"/>
    </row>
    <row r="28" ht="45" customHeight="1" spans="2:8" x14ac:dyDescent="0.25">
      <c r="B28" s="67" t="s">
        <v>310</v>
      </c>
      <c r="C28" s="68" t="s">
        <v>301</v>
      </c>
      <c r="D28" s="69" t="s">
        <v>311</v>
      </c>
      <c r="E28" s="69"/>
      <c r="F28" s="70" t="s">
        <v>312</v>
      </c>
      <c r="G28" s="70"/>
      <c r="H28" s="70"/>
    </row>
    <row r="29" ht="45" customHeight="1" spans="2:8" x14ac:dyDescent="0.25">
      <c r="B29" s="67" t="s">
        <v>313</v>
      </c>
      <c r="C29" s="68" t="s">
        <v>301</v>
      </c>
      <c r="D29" s="69" t="s">
        <v>314</v>
      </c>
      <c r="E29" s="69"/>
      <c r="F29" s="70" t="s">
        <v>315</v>
      </c>
      <c r="G29" s="70"/>
      <c r="H29" s="70"/>
    </row>
    <row r="30" ht="45" customHeight="1" spans="2:8" x14ac:dyDescent="0.25">
      <c r="B30" s="67" t="s">
        <v>316</v>
      </c>
      <c r="C30" s="68" t="s">
        <v>301</v>
      </c>
      <c r="D30" s="69" t="s">
        <v>317</v>
      </c>
      <c r="E30" s="69"/>
      <c r="F30" s="70" t="s">
        <v>318</v>
      </c>
      <c r="G30" s="70"/>
      <c r="H30" s="70"/>
    </row>
    <row r="31" ht="45" customHeight="1" spans="2:8" x14ac:dyDescent="0.25">
      <c r="B31" s="67" t="s">
        <v>319</v>
      </c>
      <c r="C31" s="68" t="s">
        <v>301</v>
      </c>
      <c r="D31" s="69" t="s">
        <v>320</v>
      </c>
      <c r="E31" s="69"/>
      <c r="F31" s="70" t="s">
        <v>321</v>
      </c>
      <c r="G31" s="70"/>
      <c r="H31" s="70"/>
    </row>
    <row r="33" spans="2:6" x14ac:dyDescent="0.25">
      <c r="B33" s="67" t="s">
        <v>272</v>
      </c>
      <c r="C33" s="59" t="s">
        <v>322</v>
      </c>
      <c r="D33" s="59"/>
      <c r="E33" s="59"/>
      <c r="F33" s="59"/>
    </row>
    <row r="35" spans="2:8" x14ac:dyDescent="0.25">
      <c r="B35" s="71" t="s">
        <v>323</v>
      </c>
      <c r="C35" s="71"/>
      <c r="D35" s="71"/>
      <c r="E35" s="71"/>
      <c r="F35" s="71"/>
      <c r="G35" s="71"/>
      <c r="H35" s="7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