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<sst xmlns="http://schemas.openxmlformats.org/spreadsheetml/2006/main" count="463" uniqueCount="332">
  <si>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</si>
  <si>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</si>
  <si>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</si>
  <si>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</si>
  <si>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</si>
  <si>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</si>
  <si>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</si>
  <si>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</si>
  <si>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</si>
  <si>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</si>
  <si>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</si>
  <si>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</si>
  <si>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</si>
  <si>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</si>
  <si>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</si>
  <si>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</si>
  <si>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</si>
  <si>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</si>
  <si>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</si>
  <si>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</si>
  <si>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</si>
  <si>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</si>
  <si>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</si>
  <si>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</si>
  <si>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</si>
  <si>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</si>
  <si>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</si>
  <si>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</si>
  <si>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</si>
  <si>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</si>
  <si>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</si>
  <si>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</si>
  <si>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</si>
  <si>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</si>
  <si>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</si>
  <si>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</si>
  <si>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</si>
  <si>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</si>
  <si>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</si>
  <si>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</si>
  <si>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</si>
  <si>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</si>
  <si>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</si>
  <si>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</si>
  <si>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</si>
  <si>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</si>
  <si>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</si>
  <si>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</si>
  <si>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</si>
  <si>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</si>
  <si>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</si>
  <si>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</si>
  <si>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</si>
  <si>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</si>
  <si>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</si>
  <si>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</si>
  <si>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</si>
  <si>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</si>
  <si>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</si>
  <si>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</si>
  <si>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</si>
  <si>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</si>
  <si>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</si>
  <si>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</si>
  <si>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</si>
  <si>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</si>
  <si>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</si>
  <si>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</si>
  <si>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</si>
  <si>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</si>
  <si>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</si>
  <si>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</si>
  <si>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</si>
  <si>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</si>
  <si>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</si>
  <si>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</si>
  <si>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</si>
  <si>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</si>
  <si>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</si>
  <si>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</si>
  <si>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</si>
  <si>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</si>
  <si>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</si>
  <si>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</si>
  <si>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</si>
  <si>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</si>
  <si>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</si>
  <si>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</si>
  <si>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</si>
  <si>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</si>
  <si>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</si>
  <si>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</si>
  <si>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</si>
  <si>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</si>
  <si>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</si>
  <si>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</si>
  <si>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</si>
  <si>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</si>
  <si>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</si>
  <si>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</si>
  <si>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</si>
  <si>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</si>
  <si>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</si>
  <si>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</si>
  <si>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</si>
  <si>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</si>
  <si>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</si>
  <si>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</si>
  <si>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</si>
  <si>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</si>
  <si>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</si>
  <si>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</si>
  <si>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</si>
  <si>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</si>
  <si>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</si>
  <si>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</si>
  <si>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</si>
  <si>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</si>
  <si>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</si>
  <si>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</si>
  <si>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</si>
  <si>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</si>
  <si>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</si>
  <si>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</si>
  <si>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</si>
  <si>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</si>
  <si>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</si>
  <si>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</si>
  <si>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</si>
  <si>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</si>
  <si>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</si>
  <si>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</si>
  <si>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</si>
  <si>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</si>
  <si>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</si>
  <si>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</si>
  <si>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</si>
  <si>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</si>
  <si>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</si>
  <si>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</si>
  <si>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</si>
  <si>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</si>
  <si>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</si>
  <si>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</si>
  <si>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</si>
  <si>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</si>
  <si>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</si>
  <si>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</si>
  <si>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</si>
  <si>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</si>
  <si>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</si>
  <si>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</si>
  <si>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</si>
  <si>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</si>
  <si>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</si>
  <si>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</si>
  <si>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</si>
  <si>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</si>
  <si>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</si>
  <si>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</si>
  <si>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</si>
  <si>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</si>
  <si>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</si>
  <si>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</si>
  <si>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</si>
  <si>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</si>
  <si>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</si>
  <si>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</si>
  <si>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</si>
  <si>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</si>
  <si>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</si>
  <si>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</si>
  <si>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</si>
  <si>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</si>
  <si>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</si>
  <si>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</si>
  <si>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</si>
  <si>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</si>
  <si>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</si>
  <si>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</si>
  <si>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</si>
  <si>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</si>
  <si>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</si>
  <si>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</si>
  <si>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</si>
  <si>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</si>
  <si>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</si>
  <si>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</si>
  <si>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</si>
  <si>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</si>
  <si>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</si>
  <si>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</si>
  <si>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</si>
  <si>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</si>
  <si>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</si>
  <si>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</si>
  <si>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</si>
  <si>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</si>
  <si>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</si>
  <si>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</si>
  <si>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</si>
  <si>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</si>
  <si>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</si>
  <si>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</si>
  <si>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</si>
  <si>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</si>
  <si>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</si>
  <si>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</si>
  <si>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</si>
  <si>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</si>
  <si>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</si>
  <si>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</si>
  <si>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</si>
  <si>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</si>
  <si>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</si>
  <si>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</si>
  <si>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</si>
  <si>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1.25x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</si>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</sst>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IF(B5&gt;=1.25,"PASS","FAIL")</f>
        <v>PASS</v>
      </c>
      <c r="C14" s="35" t="str">
        <f>IF(C5&gt;=1.25,"PASS","FAIL")</f>
        <v>PASS</v>
      </c>
      <c r="D14" s="35" t="str">
        <f>IF(D5&gt;=1.25,"PASS","FAIL")</f>
        <v>PASS</v>
      </c>
      <c r="E14" s="35" t="str">
        <f>IF(E5&gt;=1.25,"PASS","FAIL")</f>
        <v>PASS</v>
      </c>
      <c r="F14" s="35" t="str">
        <f>IF(F5&gt;=1.25,"PASS","FAIL")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7" x14ac:dyDescent="0.25">
      <c r="B16" s="61" t="s">
        <v>124</v>
      </c>
      <c r="C16" s="66">
        <v>11602.36</v>
      </c>
      <c r="D16" s="66">
        <v>9225.215384615385</v>
      </c>
      <c r="E16" s="66">
        <v>7752.7125</v>
      </c>
      <c r="F16" s="66">
        <v>6909.902702702702</v>
      </c>
      <c r="G16" s="66">
        <v>6533.705</v>
      </c>
    </row>
    <row r="17" spans="2:7" x14ac:dyDescent="0.25">
      <c r="B17" s="13" t="s">
        <v>286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287</v>
      </c>
      <c r="C18" s="64">
        <v>1364</v>
      </c>
      <c r="D18" s="64">
        <v>1080.7076923076922</v>
      </c>
      <c r="E18" s="64">
        <v>904.4112499999999</v>
      </c>
      <c r="F18" s="64">
        <v>805.6494810810811</v>
      </c>
      <c r="G18" s="64">
        <v>767.5594931</v>
      </c>
      <c r="H18" s="65" t="s">
        <v>288</v>
      </c>
    </row>
    <row r="19" spans="2:7" x14ac:dyDescent="0.25">
      <c r="B19" s="61" t="s">
        <v>289</v>
      </c>
      <c r="C19" s="67">
        <v>7897.64</v>
      </c>
      <c r="D19" s="67">
        <v>10795.323076923078</v>
      </c>
      <c r="E19" s="67">
        <v>12727.0375</v>
      </c>
      <c r="F19" s="67">
        <v>14117.389189189189</v>
      </c>
      <c r="G19" s="67">
        <v>15056.295</v>
      </c>
    </row>
    <row r="20" spans="2:8" x14ac:dyDescent="0.25">
      <c r="B20" s="61" t="s">
        <v>290</v>
      </c>
      <c r="C20" s="63">
        <v>0.4327959493670886</v>
      </c>
      <c r="D20" s="63">
        <v>0.3271641653940222</v>
      </c>
      <c r="E20" s="63">
        <v>0.26006523141330673</v>
      </c>
      <c r="F20" s="63">
        <v>0.21945084145261293</v>
      </c>
      <c r="G20" s="63">
        <v>0.1977265787647467</v>
      </c>
      <c r="H20" s="65" t="s">
        <v>291</v>
      </c>
    </row>
    <row r="21" spans="2:8" x14ac:dyDescent="0.25">
      <c r="B21" s="61" t="s">
        <v>292</v>
      </c>
      <c r="C21" s="63">
        <v>0.0690632911392405</v>
      </c>
      <c r="D21" s="63">
        <v>0.053773342978638713</v>
      </c>
      <c r="E21" s="63">
        <v>0.04402688361790943</v>
      </c>
      <c r="F21" s="63">
        <v>0.038265273616513266</v>
      </c>
      <c r="G21" s="63">
        <v>0.0355105016470044</v>
      </c>
      <c r="H21" s="65" t="s">
        <v>293</v>
      </c>
    </row>
    <row r="22" spans="2:8" x14ac:dyDescent="0.25">
      <c r="B22" s="61" t="s">
        <v>294</v>
      </c>
      <c r="C22" s="63">
        <v>0.42978632911392406</v>
      </c>
      <c r="D22" s="63">
        <v>0.5540140928628567</v>
      </c>
      <c r="E22" s="63">
        <v>0.6329607272815783</v>
      </c>
      <c r="F22" s="63">
        <v>0.6805514691724112</v>
      </c>
      <c r="G22" s="63">
        <v>0.7056032847559565</v>
      </c>
      <c r="H22" s="65" t="s">
        <v>295</v>
      </c>
    </row>
    <row r="23" spans="2:8" x14ac:dyDescent="0.25">
      <c r="B23" s="61" t="s">
        <v>296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297</v>
      </c>
    </row>
    <row r="24" spans="2:8" x14ac:dyDescent="0.25">
      <c r="B24" s="61" t="s">
        <v>201</v>
      </c>
      <c r="C24" s="69">
        <v>24.918623767026773</v>
      </c>
      <c r="D24" s="69">
        <v>42.49224988257398</v>
      </c>
      <c r="E24" s="69">
        <v>61.07298027242837</v>
      </c>
      <c r="F24" s="69">
        <v>77.81769610145608</v>
      </c>
      <c r="G24" s="69">
        <v>89.54682362611555</v>
      </c>
      <c r="H24" s="65" t="s">
        <v>298</v>
      </c>
    </row>
    <row r="25" spans="2:8" x14ac:dyDescent="0.25">
      <c r="B25" s="61" t="s">
        <v>299</v>
      </c>
      <c r="C25" s="30" t="str">
        <f>IF('5-Year P&amp;L'!B9&gt;=0,"✓ Break-even","")</f>
        <v>✓ Break-even</v>
      </c>
      <c r="D25" s="70" t="str">
        <f>IF(AND('5-Year P&amp;L'!C9&gt;=0,'5-Year P&amp;L'!B9&lt;0),"✓ Break-even","")</f>
        <v>0</v>
      </c>
      <c r="E25" s="70" t="str">
        <f>IF(AND('5-Year P&amp;L'!D9&gt;=0,'5-Year P&amp;L'!C9&lt;0),"✓ Break-even","")</f>
        <v>0</v>
      </c>
      <c r="F25" s="70" t="str">
        <f>IF(AND('5-Year P&amp;L'!E9&gt;=0,'5-Year P&amp;L'!D9&lt;0),"✓ Break-even","")</f>
        <v>0</v>
      </c>
      <c r="G25" s="70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300</v>
      </c>
      <c r="C26" s="71">
        <v>12</v>
      </c>
      <c r="D26" s="68">
        <v>25</v>
      </c>
      <c r="E26" s="68">
        <v>44</v>
      </c>
      <c r="F26" s="72" t="s">
        <v>301</v>
      </c>
      <c r="G26" s="72" t="s">
        <v>301</v>
      </c>
      <c r="H26" s="65" t="s">
        <v>302</v>
      </c>
    </row>
    <row r="27" spans="2:8" x14ac:dyDescent="0.25">
      <c r="B27" s="61" t="s">
        <v>206</v>
      </c>
      <c r="C27" s="68">
        <v>351</v>
      </c>
      <c r="D27" s="68">
        <v>766</v>
      </c>
      <c r="E27" s="68">
        <v>1340</v>
      </c>
      <c r="F27" s="68">
        <v>2046</v>
      </c>
      <c r="G27" s="68">
        <v>2843</v>
      </c>
      <c r="H27" s="65" t="s">
        <v>303</v>
      </c>
    </row>
    <row r="29" ht="24" customHeight="1" spans="2:8" x14ac:dyDescent="0.25">
      <c r="B29" s="5" t="s">
        <v>304</v>
      </c>
      <c r="C29" s="5" t="s">
        <v>305</v>
      </c>
      <c r="D29" s="5" t="s">
        <v>306</v>
      </c>
      <c r="E29" s="5"/>
      <c r="F29" s="5" t="s">
        <v>307</v>
      </c>
      <c r="G29" s="5"/>
      <c r="H29" s="5"/>
    </row>
    <row r="30" ht="45" customHeight="1" spans="2:8" x14ac:dyDescent="0.25">
      <c r="B30" s="73" t="s">
        <v>308</v>
      </c>
      <c r="C30" s="30" t="s">
        <v>309</v>
      </c>
      <c r="D30" s="74" t="s">
        <v>310</v>
      </c>
      <c r="E30" s="74"/>
      <c r="F30" s="75" t="s">
        <v>311</v>
      </c>
      <c r="G30" s="75"/>
      <c r="H30" s="75"/>
    </row>
    <row r="31" ht="45" customHeight="1" spans="2:8" x14ac:dyDescent="0.25">
      <c r="B31" s="73" t="s">
        <v>312</v>
      </c>
      <c r="C31" s="30" t="s">
        <v>309</v>
      </c>
      <c r="D31" s="74" t="s">
        <v>313</v>
      </c>
      <c r="E31" s="74"/>
      <c r="F31" s="75" t="s">
        <v>314</v>
      </c>
      <c r="G31" s="75"/>
      <c r="H31" s="75"/>
    </row>
    <row r="32" ht="45" customHeight="1" spans="2:8" x14ac:dyDescent="0.25">
      <c r="B32" s="73" t="s">
        <v>315</v>
      </c>
      <c r="C32" s="30" t="s">
        <v>309</v>
      </c>
      <c r="D32" s="74" t="s">
        <v>316</v>
      </c>
      <c r="E32" s="74"/>
      <c r="F32" s="75" t="s">
        <v>317</v>
      </c>
      <c r="G32" s="75"/>
      <c r="H32" s="75"/>
    </row>
    <row r="33" ht="45" customHeight="1" spans="2:8" x14ac:dyDescent="0.25">
      <c r="B33" s="73" t="s">
        <v>318</v>
      </c>
      <c r="C33" s="30" t="s">
        <v>309</v>
      </c>
      <c r="D33" s="74" t="s">
        <v>319</v>
      </c>
      <c r="E33" s="74"/>
      <c r="F33" s="75" t="s">
        <v>320</v>
      </c>
      <c r="G33" s="75"/>
      <c r="H33" s="75"/>
    </row>
    <row r="34" ht="45" customHeight="1" spans="2:8" x14ac:dyDescent="0.25">
      <c r="B34" s="73" t="s">
        <v>321</v>
      </c>
      <c r="C34" s="30" t="s">
        <v>309</v>
      </c>
      <c r="D34" s="74" t="s">
        <v>322</v>
      </c>
      <c r="E34" s="74"/>
      <c r="F34" s="75" t="s">
        <v>323</v>
      </c>
      <c r="G34" s="75"/>
      <c r="H34" s="75"/>
    </row>
    <row r="35" ht="45" customHeight="1" spans="2:8" x14ac:dyDescent="0.25">
      <c r="B35" s="73" t="s">
        <v>324</v>
      </c>
      <c r="C35" s="30" t="s">
        <v>309</v>
      </c>
      <c r="D35" s="74" t="s">
        <v>325</v>
      </c>
      <c r="E35" s="74"/>
      <c r="F35" s="75" t="s">
        <v>326</v>
      </c>
      <c r="G35" s="75"/>
      <c r="H35" s="75"/>
    </row>
    <row r="36" ht="45" customHeight="1" spans="2:8" x14ac:dyDescent="0.25">
      <c r="B36" s="73" t="s">
        <v>327</v>
      </c>
      <c r="C36" s="30" t="s">
        <v>309</v>
      </c>
      <c r="D36" s="74" t="s">
        <v>328</v>
      </c>
      <c r="E36" s="74"/>
      <c r="F36" s="75" t="s">
        <v>329</v>
      </c>
      <c r="G36" s="75"/>
      <c r="H36" s="75"/>
    </row>
    <row r="38" spans="2:6" x14ac:dyDescent="0.25">
      <c r="B38" s="73" t="s">
        <v>274</v>
      </c>
      <c r="C38" s="61" t="s">
        <v>330</v>
      </c>
      <c r="D38" s="61"/>
      <c r="E38" s="61"/>
      <c r="F38" s="61"/>
    </row>
    <row r="40" spans="2:8" x14ac:dyDescent="0.25">
      <c r="B40" s="76" t="s">
        <v>331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2026-04-29T12:25:06Z</dcterms:created>
  <dcterms:modified xsi:type="dcterms:W3CDTF">2026-04-29T12:25:06Z</dcterms:modified>
</cp:coreProperties>
</file>