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Drivers'!$A1:$F18</definedName>
    <definedName name="_xlnm.Print_Titles" localSheetId="1">'Enrollment &amp; Rev Drivers'!$1:$1</definedName>
    <definedName name="_xlnm.Print_Area" localSheetId="2">'Tuition &amp; Funding Detail'!$A1:$F21</definedName>
    <definedName name="_xlnm.Print_Titles" localSheetId="2">'Tuition &amp; Funding Detail'!$1:$1</definedName>
    <definedName name="_xlnm.Print_Area" localSheetId="3">'Staffing Plan'!$A1:$H25</definedName>
    <definedName name="_xlnm.Print_Titles" localSheetId="3">'Staffing Plan'!$1:$1</definedName>
    <definedName name="_xlnm.Print_Area" localSheetId="4">'Operating Expenses'!$A1:$F14</definedName>
    <definedName name="_xlnm.Print_Titles" localSheetId="4">'Operating Expenses'!$1:$1</definedName>
    <definedName name="_xlnm.Print_Area" localSheetId="5">'Facilities &amp; Occupancy'!$A1:$F10</definedName>
    <definedName name="_xlnm.Print_Titles" localSheetId="5">'Facilities &amp; Occupancy'!$1:$1</definedName>
    <definedName name="_xlnm.Print_Area" localSheetId="6">'Capital Stack &amp; Startup Uses'!$A1:$B18</definedName>
    <definedName name="_xlnm.Print_Titles" localSheetId="6">'Capital Stack &amp; Startup Uses'!$1:$1</definedName>
    <definedName name="_xlnm.Print_Area" localSheetId="7">'Debt Schedule'!$A1:$G16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P&amp;L'!$A1:$F9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Snapshot'!$A1:$C28</definedName>
    <definedName name="_xlnm.Print_Titles" localSheetId="12">'Underwriting Snapshot'!$1:$1</definedName>
    <definedName name="_xlnm.Print_Area" localSheetId="13">'Summary'!$A1:$F18</definedName>
    <definedName name="_xlnm.Print_Titles" localSheetId="13">'Summary'!$1:$1</definedName>
  </definedNames>
  <calcPr calcId="171027" fullCalcOnLoad="1"/>
</workbook>
</file>

<file path=xl/sharedStrings.xml><?xml version="1.0" encoding="utf-8"?>
<sst xmlns="http://schemas.openxmlformats.org/spreadsheetml/2006/main" count="374" uniqueCount="272">
  <si>
    <t>SchoolStack - Assumptions &amp; Drivers</t>
  </si>
  <si>
    <t>Edit the highlighted cells below to update the entire model</t>
  </si>
  <si>
    <t>SCHOOL INFORMATION</t>
  </si>
  <si>
    <t>School Name</t>
  </si>
  <si>
    <t>Heritage Academy</t>
  </si>
  <si>
    <t>State</t>
  </si>
  <si>
    <t>FL</t>
  </si>
  <si>
    <t>School Type</t>
  </si>
  <si>
    <t>Private School</t>
  </si>
  <si>
    <t>Entity Type</t>
  </si>
  <si>
    <t>501(c)(3) Nonprofit</t>
  </si>
  <si>
    <t>School Stage</t>
  </si>
  <si>
    <t>Operating School</t>
  </si>
  <si>
    <t>Year Opened</t>
  </si>
  <si>
    <t>Max Student Capacity</t>
  </si>
  <si>
    <t>Fiscal Year Start</t>
  </si>
  <si>
    <t>July</t>
  </si>
  <si>
    <t>EIN</t>
  </si>
  <si>
    <t>59-9876543</t>
  </si>
  <si>
    <t>Year 1 Operating Months</t>
  </si>
  <si>
    <t>ENROLLMENT BY YEAR</t>
  </si>
  <si>
    <t/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</si>
  <si>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</si>
  <si>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</si>
  <si>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</si>
  <si>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</si>
  <si>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</si>
  <si>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</si>
  <si>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</si>
  <si>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</si>
  <si>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</si>
  <si>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</si>
  <si>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</si>
  <si>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</si>
  <si>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2023-24</t>
  </si>
  <si>
    <t>2024-25</t>
  </si>
  <si>
    <t>2025-26</t>
  </si>
  <si>
    <t>2026-27</t>
  </si>
  <si>
    <t>2027-28</t>
  </si>
  <si>
    <t>Enrollment Growth %</t>
  </si>
  <si>
    <t>-</t>
  </si>
  <si>
    <t>Capacity Utilization %</t>
  </si>
  <si>
    <t>REVENUE PER STUDENT</t>
  </si>
  <si>
    <t>Tuition (per student)</t>
  </si>
  <si>
    <t>Registration Fee (per student)</t>
  </si>
  <si>
    <t>Scholarship Discount (per student)</t>
  </si>
  <si>
    <t>FL FTC Scholarship (per student)</t>
  </si>
  <si>
    <t>After-School Programs (per student)</t>
  </si>
  <si>
    <t>REVENUE MIX SUMMARY</t>
  </si>
  <si>
    <t>Tuition &amp; Student Fees</t>
  </si>
  <si>
    <t>Tuition Offsets</t>
  </si>
  <si>
    <t>School Choice Funding</t>
  </si>
  <si>
    <t>Philanthropy</t>
  </si>
  <si>
    <t>Other Revenue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</si>
  <si>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</si>
  <si>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</si>
  <si>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</si>
  <si>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</si>
  <si>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</si>
  <si>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</si>
  <si>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</si>
  <si>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FUNDING</t>
  </si>
  <si>
    <t>FL FTC Scholarship</t>
  </si>
  <si>
    <t>Total School Choice Funding</t>
  </si>
  <si>
    <t>PHILANTHROPY</t>
  </si>
  <si>
    <t>Foundation Grant</t>
  </si>
  <si>
    <t>Annual Fund</t>
  </si>
  <si>
    <t>Total Philanthropy</t>
  </si>
  <si>
    <t>OTHER REVENUE</t>
  </si>
  <si>
    <t>After-School Programs</t>
  </si>
  <si>
    <t>Total Other Revenue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</si>
  <si>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</si>
  <si>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</si>
  <si>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</si>
  <si>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</si>
  <si>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</si>
  <si>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</si>
  <si>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</si>
  <si>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</si>
  <si>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</si>
  <si>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</si>
  <si>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Head of School</t>
  </si>
  <si>
    <t>School Leadership</t>
  </si>
  <si>
    <t>FT</t>
  </si>
  <si>
    <t>Assistant Principal</t>
  </si>
  <si>
    <t>Teachers</t>
  </si>
  <si>
    <t>Instructional</t>
  </si>
  <si>
    <t>Paraprofessionals</t>
  </si>
  <si>
    <t>School Counselor</t>
  </si>
  <si>
    <t>Student Support</t>
  </si>
  <si>
    <t>Office Manager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</si>
  <si>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</si>
  <si>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</si>
  <si>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</si>
  <si>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</si>
  <si>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</si>
  <si>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</si>
  <si>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</si>
  <si>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</si>
  <si>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</si>
  <si>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</si>
  <si>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</si>
  <si>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</si>
  <si>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</si>
  <si>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</si>
  <si>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</si>
  <si>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</t>
  </si>
  <si>
    <t>Total Instructional / Program</t>
  </si>
  <si>
    <t>TECHNOLOGY</t>
  </si>
  <si>
    <t>Technology</t>
  </si>
  <si>
    <t>Total Technology</t>
  </si>
  <si>
    <t>ADMINISTRATIVE / GENERAL</t>
  </si>
  <si>
    <t>Marketing</t>
  </si>
  <si>
    <t>Professional Development</t>
  </si>
  <si>
    <t>Accounting &amp; Legal</t>
  </si>
  <si>
    <t>Total Administrative / General</t>
  </si>
  <si>
    <t>TOTAL OPERATING EXPENSES</t>
  </si>
  <si>
    <t>OCCUPANCY / FACILITY COSTS</t>
  </si>
  <si>
    <t>Rent</t>
  </si>
  <si>
    <t>Utilities</t>
  </si>
  <si>
    <t>Insurance</t>
  </si>
  <si>
    <t>Maintenance</t>
  </si>
  <si>
    <t>Total Facility Costs</t>
  </si>
  <si>
    <t>Cost per Student</t>
  </si>
  <si>
    <t>% of Revenue</t>
  </si>
  <si>
    <t>SchoolStack - Capital Stack (2023-24)</t>
  </si>
  <si>
    <t>SOURCES OF CAPITAL</t>
  </si>
  <si>
    <t>Founder Equity / Starting Cash</t>
  </si>
  <si>
    <t>Loan: Facility Buildout Loan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</si>
  <si>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</si>
  <si>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</si>
  <si>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</si>
  <si>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</si>
  <si>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</si>
  <si>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Furniture &amp; Equipment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</si>
  <si>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</si>
  <si>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</si>
  <si>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</si>
  <si>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</si>
  <si>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</si>
  <si>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</si>
  <si>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</si>
  <si>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</si>
  <si>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</si>
  <si>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</si>
  <si>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</si>
  <si>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</si>
  <si>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</si>
  <si>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Facility Buildout Loan</t>
  </si>
  <si>
    <t>TOTAL DEBT SERVICE</t>
  </si>
  <si>
    <t>Annual Debt Service</t>
  </si>
  <si>
    <t>Monthly Debt Service</t>
  </si>
  <si>
    <t>AMORTIZATION SCHEDULE (ANNUAL)</t>
  </si>
  <si>
    <t>Year</t>
  </si>
  <si>
    <t>Facility Buildout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</si>
  <si>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</si>
  <si>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</si>
  <si>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</si>
  <si>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</si>
  <si>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</si>
  <si>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</si>
  <si>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</si>
  <si>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</si>
  <si>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</si>
  <si>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</si>
  <si>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</si>
  <si>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2023-24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</si>
  <si>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</si>
  <si>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</si>
  <si>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</si>
  <si>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</si>
  <si>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</si>
  <si>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</si>
  <si>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</si>
  <si>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</si>
  <si>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</si>
  <si>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</si>
  <si>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</si>
  <si>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</si>
  <si>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</si>
  <si>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</si>
  <si>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</si>
  <si>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</si>
  <si>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</si>
  <si>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</si>
  <si>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</si>
  <si>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</si>
  <si>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</si>
  <si>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</si>
  <si>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</si>
  <si>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</si>
  <si>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</si>
  <si>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</si>
  <si>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</si>
  <si>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</si>
  <si>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</si>
  <si>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</si>
  <si>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</si>
  <si>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</si>
  <si>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</si>
  <si>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</si>
  <si>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</si>
  <si>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</si>
  <si>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</si>
  <si>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</si>
  <si>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</si>
  <si>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</si>
  <si>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Positive Net Income</t>
  </si>
  <si>
    <t>PASS</t>
  </si>
  <si>
    <t>Enrollment ≥ 70% Capacity</t>
  </si>
  <si>
    <t>FAIL</t>
  </si>
  <si>
    <t>SchoolStack - Underwriting Snapshot</t>
  </si>
  <si>
    <t>Heritage Academy | Private School | FL</t>
  </si>
  <si>
    <t>POLICY FLAGS</t>
  </si>
  <si>
    <t>DSCR ≥ 1.20x (2023-24)</t>
  </si>
  <si>
    <t>24.92x</t>
  </si>
  <si>
    <t>Min 2 Months Cash Reserve (2023-24)</t>
  </si>
  <si>
    <t>11.9 months</t>
  </si>
  <si>
    <t>Positive Net Income (2023-24)</t>
  </si>
  <si>
    <t>Yes</t>
  </si>
  <si>
    <t>Break-Even Within Projection Period</t>
  </si>
  <si>
    <t>Enrollment ≥ 70% Capacity (2023-24)</t>
  </si>
  <si>
    <t>50%</t>
  </si>
  <si>
    <t>Positive Ending Cash (Final Year)</t>
  </si>
  <si>
    <t>UNDERWRITING ASSESSMENT</t>
  </si>
  <si>
    <t>Flags Passed</t>
  </si>
  <si>
    <t>5 / 6</t>
  </si>
  <si>
    <t>Overall Assessment</t>
  </si>
  <si>
    <t>Conditional</t>
  </si>
  <si>
    <t>KEY METRICS SUMMARY</t>
  </si>
  <si>
    <t>2023-24 Revenue</t>
  </si>
  <si>
    <t>2023-24 Total Expenses</t>
  </si>
  <si>
    <t>2023-24 Net Income</t>
  </si>
  <si>
    <t>2023-24 Net Margin</t>
  </si>
  <si>
    <t>2023-24 Ending Cash</t>
  </si>
  <si>
    <t>Total Debt</t>
  </si>
  <si>
    <t>2023-24 DSCR</t>
  </si>
  <si>
    <t>2023-24 Cash Reserve (Months)</t>
  </si>
  <si>
    <t>11.9</t>
  </si>
  <si>
    <t>Break-Even Year</t>
  </si>
  <si>
    <t>Revenue per Student (2023-24)</t>
  </si>
  <si>
    <t>Cost per Student (2023-24)</t>
  </si>
  <si>
    <t>5-Year Financial Model</t>
  </si>
  <si>
    <t>Private School  |  FL  |  Est. 2023</t>
  </si>
  <si>
    <t>Prepared March 26,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</si>
  <si>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</si>
  <si>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</si>
  <si>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</si>
  <si>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</si>
  <si>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</si>
  <si>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</si>
  <si>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Private School  •  501(c)(3) Nonprofit  •  FL</t>
  </si>
  <si>
    <t>Date Prepared</t>
  </si>
  <si>
    <t>March 26,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</si>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</sst>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19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B7280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D32F2F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2" fontId="5" fillId="4" borderId="2" xfId="0" applyNumberFormat="1" applyFont="1" applyFill="1" applyBorder="1"/>
    <xf numFmtId="164" fontId="5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6" fontId="3" fillId="2" borderId="1" xfId="0" applyNumberFormat="1" applyFont="1" applyFill="1" applyBorder="1"/>
    <xf numFmtId="2" fontId="4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167" fontId="4" fillId="0" borderId="1" xfId="0" applyNumberFormat="1" applyFont="1" applyBorder="1"/>
    <xf numFmtId="168" fontId="4" fillId="0" borderId="1" xfId="0" applyNumberFormat="1" applyFont="1" applyBorder="1"/>
    <xf numFmtId="166" fontId="5" fillId="2" borderId="1" xfId="0" applyNumberFormat="1" applyFont="1" applyFill="1" applyBorder="1"/>
    <xf numFmtId="166" fontId="5" fillId="5" borderId="0" xfId="0" applyNumberFormat="1" applyFont="1" applyFill="1"/>
    <xf numFmtId="0" fontId="7" fillId="0" borderId="0" xfId="0" applyFont="1"/>
    <xf numFmtId="1" fontId="4" fillId="0" borderId="1" xfId="0" applyNumberFormat="1" applyFont="1" applyBorder="1"/>
    <xf numFmtId="166" fontId="5" fillId="0" borderId="1" xfId="0" applyNumberFormat="1" applyFont="1" applyBorder="1"/>
    <xf numFmtId="166" fontId="5" fillId="2" borderId="3" xfId="0" applyNumberFormat="1" applyFont="1" applyFill="1" applyBorder="1"/>
    <xf numFmtId="166" fontId="5" fillId="6" borderId="3" xfId="0" applyNumberFormat="1" applyFont="1" applyFill="1" applyBorder="1"/>
    <xf numFmtId="169" fontId="5" fillId="0" borderId="1" xfId="0" applyNumberFormat="1" applyFont="1" applyBorder="1"/>
    <xf numFmtId="170" fontId="5" fillId="0" borderId="1" xfId="0" applyNumberFormat="1" applyFont="1" applyBorder="1"/>
    <xf numFmtId="164" fontId="4" fillId="0" borderId="1" xfId="0" applyNumberFormat="1" applyFont="1" applyBorder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5" fillId="7" borderId="0" xfId="0" applyFont="1" applyFill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4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3" fillId="0" borderId="0" xfId="0" applyFont="1"/>
    <xf numFmtId="0" fontId="5" fillId="6" borderId="1" xfId="0" applyFont="1" applyFill="1" applyBorder="1"/>
    <xf numFmtId="0" fontId="18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/>
      <c r="C3" s="3"/>
      <c r="D3" s="3"/>
      <c r="E3" s="3"/>
      <c r="F3" s="3"/>
    </row>
    <row r="4" spans="1:2" x14ac:dyDescent="0.25">
      <c r="A4" s="4" t="s">
        <v>3</v>
      </c>
      <c r="B4" s="5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4" t="s">
        <v>7</v>
      </c>
      <c r="B6" s="5" t="s">
        <v>8</v>
      </c>
    </row>
    <row r="7" spans="1:2" x14ac:dyDescent="0.25">
      <c r="A7" s="4" t="s">
        <v>9</v>
      </c>
      <c r="B7" s="5" t="s">
        <v>10</v>
      </c>
    </row>
    <row r="8" spans="1:2" x14ac:dyDescent="0.25">
      <c r="A8" s="4" t="s">
        <v>11</v>
      </c>
      <c r="B8" s="5" t="s">
        <v>12</v>
      </c>
    </row>
    <row r="9" spans="1:2" x14ac:dyDescent="0.25">
      <c r="A9" s="4" t="s">
        <v>13</v>
      </c>
      <c r="B9" s="5">
        <v>2023</v>
      </c>
    </row>
    <row r="10" spans="1:2" x14ac:dyDescent="0.25">
      <c r="A10" s="4" t="s">
        <v>14</v>
      </c>
      <c r="B10" s="5">
        <v>200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>
        <v>12</v>
      </c>
    </row>
    <row r="15" ht="24" customHeight="1" spans="1:6" x14ac:dyDescent="0.25">
      <c r="A15" s="3" t="s">
        <v>20</v>
      </c>
      <c r="B15" s="3"/>
      <c r="C15" s="3"/>
      <c r="D15" s="3"/>
      <c r="E15" s="3"/>
      <c r="F15" s="3"/>
    </row>
    <row r="16" ht="28" customHeight="1" spans="1:6" x14ac:dyDescent="0.25">
      <c r="A16" s="6" t="s">
        <v>21</v>
      </c>
      <c r="B16" s="6" t="s">
        <v>22</v>
      </c>
      <c r="C16" s="6" t="s">
        <v>23</v>
      </c>
      <c r="D16" s="6" t="s">
        <v>24</v>
      </c>
      <c r="E16" s="6" t="s">
        <v>25</v>
      </c>
      <c r="F16" s="6" t="s">
        <v>26</v>
      </c>
    </row>
    <row r="17" spans="1:6" x14ac:dyDescent="0.25">
      <c r="A17" s="5" t="s">
        <v>27</v>
      </c>
      <c r="B17" s="7">
        <v>100</v>
      </c>
      <c r="C17" s="7">
        <v>130</v>
      </c>
      <c r="D17" s="7">
        <v>160</v>
      </c>
      <c r="E17" s="7">
        <v>185</v>
      </c>
      <c r="F17" s="7">
        <v>200</v>
      </c>
    </row>
    <row r="19" ht="24" customHeight="1" spans="1:6" x14ac:dyDescent="0.25">
      <c r="A19" s="3" t="s">
        <v>28</v>
      </c>
      <c r="B19" s="3"/>
      <c r="C19" s="3"/>
      <c r="D19" s="3"/>
      <c r="E19" s="3"/>
      <c r="F19" s="3"/>
    </row>
    <row r="20" spans="1:2" x14ac:dyDescent="0.25">
      <c r="A20" s="4" t="s">
        <v>29</v>
      </c>
      <c r="B20" s="8">
        <v>0</v>
      </c>
    </row>
    <row r="21" spans="1:2" x14ac:dyDescent="0.25">
      <c r="A21" s="4" t="s">
        <v>30</v>
      </c>
      <c r="B21" s="8">
        <v>0</v>
      </c>
    </row>
    <row r="22" spans="1:2" x14ac:dyDescent="0.25">
      <c r="A22" s="4" t="s">
        <v>31</v>
      </c>
      <c r="B22" s="9">
        <v>1</v>
      </c>
    </row>
    <row r="23" spans="1:2" x14ac:dyDescent="0.25">
      <c r="A23" s="4" t="s">
        <v>32</v>
      </c>
      <c r="B23" s="5" t="s">
        <v>33</v>
      </c>
    </row>
  </sheetData>
  <mergeCells count="2">
    <mergeCell ref="A1:F1"/>
    <mergeCell ref="A2:F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27</v>
      </c>
      <c r="B2" s="10">
        <v>100</v>
      </c>
      <c r="C2" s="10">
        <v>130</v>
      </c>
      <c r="D2" s="10">
        <v>160</v>
      </c>
      <c r="E2" s="10">
        <v>185</v>
      </c>
      <c r="F2" s="10">
        <v>200</v>
      </c>
    </row>
    <row r="3" spans="1:6" x14ac:dyDescent="0.25">
      <c r="A3" s="4" t="s">
        <v>39</v>
      </c>
      <c r="B3" s="11" t="s">
        <v>40</v>
      </c>
      <c r="C3" s="12">
        <f>IF(B2=0,"-",(C2-B2)/B2)</f>
        <v>0.3</v>
      </c>
      <c r="D3" s="12">
        <f>IF(C2=0,"-",(D2-C2)/C2)</f>
        <v>0.23</v>
      </c>
      <c r="E3" s="12">
        <f>IF(D2=0,"-",(E2-D2)/D2)</f>
        <v>0.16</v>
      </c>
      <c r="F3" s="12">
        <f>IF(E2=0,"-",(F2-E2)/E2)</f>
        <v>0.08</v>
      </c>
    </row>
    <row r="4" spans="1:6" x14ac:dyDescent="0.25">
      <c r="A4" s="4" t="s">
        <v>41</v>
      </c>
      <c r="B4" s="12">
        <v>0.5</v>
      </c>
      <c r="C4" s="12">
        <v>0.65</v>
      </c>
      <c r="D4" s="12">
        <v>0.8</v>
      </c>
      <c r="E4" s="12">
        <v>0.925</v>
      </c>
      <c r="F4" s="12">
        <v>1</v>
      </c>
    </row>
    <row r="6" ht="24" customHeight="1" spans="1:6" x14ac:dyDescent="0.25">
      <c r="A6" s="3" t="s">
        <v>42</v>
      </c>
      <c r="B6" s="3"/>
      <c r="C6" s="3"/>
      <c r="D6" s="3"/>
      <c r="E6" s="3"/>
      <c r="F6" s="3"/>
    </row>
    <row r="7" spans="1:6" x14ac:dyDescent="0.25">
      <c r="A7" s="4" t="s">
        <v>43</v>
      </c>
      <c r="B7" s="13">
        <v>10500</v>
      </c>
      <c r="C7" s="13">
        <v>10815</v>
      </c>
      <c r="D7" s="13">
        <v>11140</v>
      </c>
      <c r="E7" s="13">
        <v>11474</v>
      </c>
      <c r="F7" s="13">
        <v>11818</v>
      </c>
    </row>
    <row r="8" spans="1:6" x14ac:dyDescent="0.25">
      <c r="A8" s="4" t="s">
        <v>44</v>
      </c>
      <c r="B8" s="13">
        <v>350</v>
      </c>
      <c r="C8" s="13">
        <v>350</v>
      </c>
      <c r="D8" s="13">
        <v>350</v>
      </c>
      <c r="E8" s="13">
        <v>350</v>
      </c>
      <c r="F8" s="13">
        <v>350</v>
      </c>
    </row>
    <row r="9" spans="1:6" x14ac:dyDescent="0.25">
      <c r="A9" s="4" t="s">
        <v>45</v>
      </c>
      <c r="B9" s="13">
        <v>-1050</v>
      </c>
      <c r="C9" s="13">
        <v>-1082</v>
      </c>
      <c r="D9" s="13">
        <v>-1114</v>
      </c>
      <c r="E9" s="13">
        <v>-1147</v>
      </c>
      <c r="F9" s="13">
        <v>-1182</v>
      </c>
    </row>
    <row r="10" spans="1:6" x14ac:dyDescent="0.25">
      <c r="A10" s="4" t="s">
        <v>46</v>
      </c>
      <c r="B10" s="13">
        <v>8700</v>
      </c>
      <c r="C10" s="13">
        <v>8961</v>
      </c>
      <c r="D10" s="13">
        <v>9230</v>
      </c>
      <c r="E10" s="13">
        <v>9507</v>
      </c>
      <c r="F10" s="13">
        <v>9792</v>
      </c>
    </row>
    <row r="11" spans="1:6" x14ac:dyDescent="0.25">
      <c r="A11" s="4" t="s">
        <v>47</v>
      </c>
      <c r="B11" s="13">
        <v>500</v>
      </c>
      <c r="C11" s="13">
        <v>515</v>
      </c>
      <c r="D11" s="13">
        <v>530</v>
      </c>
      <c r="E11" s="13">
        <v>546</v>
      </c>
      <c r="F11" s="13">
        <v>562</v>
      </c>
    </row>
    <row r="13" ht="24" customHeight="1" spans="1:6" x14ac:dyDescent="0.25">
      <c r="A13" s="3" t="s">
        <v>48</v>
      </c>
      <c r="B13" s="3"/>
      <c r="C13" s="3"/>
      <c r="D13" s="3"/>
      <c r="E13" s="3"/>
      <c r="F13" s="3"/>
    </row>
    <row r="14" spans="1:6" x14ac:dyDescent="0.25">
      <c r="A14" s="4" t="s">
        <v>49</v>
      </c>
      <c r="B14" s="13">
        <v>1085000</v>
      </c>
      <c r="C14" s="13">
        <v>1451450</v>
      </c>
      <c r="D14" s="13">
        <v>1838400</v>
      </c>
      <c r="E14" s="13">
        <v>2187440</v>
      </c>
      <c r="F14" s="13">
        <v>2433600</v>
      </c>
    </row>
    <row r="15" spans="1:6" x14ac:dyDescent="0.25">
      <c r="A15" s="4" t="s">
        <v>50</v>
      </c>
      <c r="B15" s="13">
        <v>-105000</v>
      </c>
      <c r="C15" s="13">
        <v>-140660</v>
      </c>
      <c r="D15" s="13">
        <v>-178240</v>
      </c>
      <c r="E15" s="13">
        <v>-212195</v>
      </c>
      <c r="F15" s="13">
        <v>-236400</v>
      </c>
    </row>
    <row r="16" spans="1:6" x14ac:dyDescent="0.25">
      <c r="A16" s="4" t="s">
        <v>51</v>
      </c>
      <c r="B16" s="13">
        <v>870000</v>
      </c>
      <c r="C16" s="13">
        <v>1164930</v>
      </c>
      <c r="D16" s="13">
        <v>1476800</v>
      </c>
      <c r="E16" s="13">
        <v>1758795</v>
      </c>
      <c r="F16" s="13">
        <v>1958400</v>
      </c>
    </row>
    <row r="17" spans="1:6" x14ac:dyDescent="0.25">
      <c r="A17" s="4" t="s">
        <v>52</v>
      </c>
      <c r="B17" s="13">
        <v>75000</v>
      </c>
      <c r="C17" s="13">
        <v>70000</v>
      </c>
      <c r="D17" s="13">
        <v>65000</v>
      </c>
      <c r="E17" s="13">
        <v>60000</v>
      </c>
      <c r="F17" s="13">
        <v>55000</v>
      </c>
    </row>
    <row r="18" spans="1:6" x14ac:dyDescent="0.25">
      <c r="A18" s="4" t="s">
        <v>53</v>
      </c>
      <c r="B18" s="13">
        <v>50000</v>
      </c>
      <c r="C18" s="13">
        <v>66950</v>
      </c>
      <c r="D18" s="13">
        <v>84800</v>
      </c>
      <c r="E18" s="13">
        <v>101010</v>
      </c>
      <c r="F18" s="13">
        <v>112400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27</v>
      </c>
      <c r="B2" s="10">
        <f>Assumptions!$B$17</f>
        <v>100</v>
      </c>
      <c r="C2" s="10">
        <f>Assumptions!$C$17</f>
        <v>130</v>
      </c>
      <c r="D2" s="10">
        <f>Assumptions!$D$17</f>
        <v>160</v>
      </c>
      <c r="E2" s="10">
        <f>Assumptions!$E$17</f>
        <v>185</v>
      </c>
      <c r="F2" s="10">
        <f>Assumptions!$F$17</f>
        <v>200</v>
      </c>
    </row>
    <row r="3" ht="24" customHeight="1" spans="1:6" x14ac:dyDescent="0.25">
      <c r="A3" s="3" t="s">
        <v>54</v>
      </c>
      <c r="B3" s="3"/>
      <c r="C3" s="3"/>
      <c r="D3" s="3"/>
      <c r="E3" s="3"/>
      <c r="F3" s="3"/>
    </row>
    <row r="4" spans="1:6" x14ac:dyDescent="0.25">
      <c r="A4" s="4" t="s">
        <v>55</v>
      </c>
      <c r="B4" s="13">
        <f>ROUND(Assumptions!$B$17*10500,0)</f>
        <v>1050000</v>
      </c>
      <c r="C4" s="13">
        <f>ROUND(Assumptions!$C$17*10815,0)</f>
        <v>1405950</v>
      </c>
      <c r="D4" s="13">
        <f>ROUND(Assumptions!$D$17*11140,0)</f>
        <v>1782400</v>
      </c>
      <c r="E4" s="13">
        <f>ROUND(Assumptions!$E$17*11474,0)</f>
        <v>2122690</v>
      </c>
      <c r="F4" s="13">
        <f>ROUND(Assumptions!$F$17*11818,0)</f>
        <v>2363600</v>
      </c>
    </row>
    <row r="5" spans="1:6" x14ac:dyDescent="0.25">
      <c r="A5" s="4" t="s">
        <v>56</v>
      </c>
      <c r="B5" s="13">
        <f>ROUND(Assumptions!$B$17*350,0)</f>
        <v>35000</v>
      </c>
      <c r="C5" s="13">
        <f>ROUND(Assumptions!$C$17*350,0)</f>
        <v>45500</v>
      </c>
      <c r="D5" s="13">
        <f>ROUND(Assumptions!$D$17*350,0)</f>
        <v>56000</v>
      </c>
      <c r="E5" s="13">
        <f>ROUND(Assumptions!$E$17*350,0)</f>
        <v>64750</v>
      </c>
      <c r="F5" s="13">
        <f>ROUND(Assumptions!$F$17*350,0)</f>
        <v>70000</v>
      </c>
    </row>
    <row r="6" ht="24" customHeight="1" spans="1:6" x14ac:dyDescent="0.25">
      <c r="A6" s="3" t="s">
        <v>57</v>
      </c>
      <c r="B6" s="14">
        <f>SUM(B4:B5)</f>
        <v>1085000</v>
      </c>
      <c r="C6" s="14">
        <f>SUM(C4:C5)</f>
        <v>1451450</v>
      </c>
      <c r="D6" s="14">
        <f>SUM(D4:D5)</f>
        <v>1838400</v>
      </c>
      <c r="E6" s="14">
        <f>SUM(E4:E5)</f>
        <v>2187440</v>
      </c>
      <c r="F6" s="14">
        <f>SUM(F4:F5)</f>
        <v>2433600</v>
      </c>
    </row>
    <row r="7" ht="24" customHeight="1" spans="1:6" x14ac:dyDescent="0.25">
      <c r="A7" s="3" t="s">
        <v>58</v>
      </c>
      <c r="B7" s="3"/>
      <c r="C7" s="3"/>
      <c r="D7" s="3"/>
      <c r="E7" s="3"/>
      <c r="F7" s="3"/>
    </row>
    <row r="8" spans="1:6" x14ac:dyDescent="0.25">
      <c r="A8" s="4" t="s">
        <v>59</v>
      </c>
      <c r="B8" s="13">
        <v>-105000</v>
      </c>
      <c r="C8" s="13">
        <v>-140660</v>
      </c>
      <c r="D8" s="13">
        <v>-178240</v>
      </c>
      <c r="E8" s="13">
        <v>-212195</v>
      </c>
      <c r="F8" s="13">
        <v>-236400</v>
      </c>
    </row>
    <row r="9" ht="24" customHeight="1" spans="1:6" x14ac:dyDescent="0.25">
      <c r="A9" s="3" t="s">
        <v>60</v>
      </c>
      <c r="B9" s="14">
        <f>SUM(B8:B8)</f>
        <v>-105000</v>
      </c>
      <c r="C9" s="14">
        <f>SUM(C8:C8)</f>
        <v>-140660</v>
      </c>
      <c r="D9" s="14">
        <f>SUM(D8:D8)</f>
        <v>-178240</v>
      </c>
      <c r="E9" s="14">
        <f>SUM(E8:E8)</f>
        <v>-212195</v>
      </c>
      <c r="F9" s="14">
        <f>SUM(F8:F8)</f>
        <v>-236400</v>
      </c>
    </row>
    <row r="10" ht="24" customHeight="1" spans="1:6" x14ac:dyDescent="0.25">
      <c r="A10" s="3" t="s">
        <v>61</v>
      </c>
      <c r="B10" s="3"/>
      <c r="C10" s="3"/>
      <c r="D10" s="3"/>
      <c r="E10" s="3"/>
      <c r="F10" s="3"/>
    </row>
    <row r="11" spans="1:6" x14ac:dyDescent="0.25">
      <c r="A11" s="4" t="s">
        <v>62</v>
      </c>
      <c r="B11" s="13">
        <f>ROUND(Assumptions!$B$17*8700,0)</f>
        <v>870000</v>
      </c>
      <c r="C11" s="13">
        <f>ROUND(Assumptions!$C$17*8961,0)</f>
        <v>1164930</v>
      </c>
      <c r="D11" s="13">
        <f>ROUND(Assumptions!$D$17*9230,0)</f>
        <v>1476800</v>
      </c>
      <c r="E11" s="13">
        <f>ROUND(Assumptions!$E$17*9507,0)</f>
        <v>1758795</v>
      </c>
      <c r="F11" s="13">
        <f>ROUND(Assumptions!$F$17*9792,0)</f>
        <v>1958400</v>
      </c>
    </row>
    <row r="12" ht="24" customHeight="1" spans="1:6" x14ac:dyDescent="0.25">
      <c r="A12" s="3" t="s">
        <v>63</v>
      </c>
      <c r="B12" s="14">
        <f>SUM(B11:B11)</f>
        <v>870000</v>
      </c>
      <c r="C12" s="14">
        <f>SUM(C11:C11)</f>
        <v>1164930</v>
      </c>
      <c r="D12" s="14">
        <f>SUM(D11:D11)</f>
        <v>1476800</v>
      </c>
      <c r="E12" s="14">
        <f>SUM(E11:E11)</f>
        <v>1758795</v>
      </c>
      <c r="F12" s="14">
        <f>SUM(F11:F11)</f>
        <v>1958400</v>
      </c>
    </row>
    <row r="13" ht="24" customHeight="1" spans="1:6" x14ac:dyDescent="0.25">
      <c r="A13" s="3" t="s">
        <v>64</v>
      </c>
      <c r="B13" s="3"/>
      <c r="C13" s="3"/>
      <c r="D13" s="3"/>
      <c r="E13" s="3"/>
      <c r="F13" s="3"/>
    </row>
    <row r="14" spans="1:6" x14ac:dyDescent="0.25">
      <c r="A14" s="4" t="s">
        <v>65</v>
      </c>
      <c r="B14" s="13">
        <v>50000</v>
      </c>
      <c r="C14" s="13">
        <v>40000</v>
      </c>
      <c r="D14" s="13">
        <v>30000</v>
      </c>
      <c r="E14" s="13">
        <v>20000</v>
      </c>
      <c r="F14" s="13">
        <v>10000</v>
      </c>
    </row>
    <row r="15" spans="1:6" x14ac:dyDescent="0.25">
      <c r="A15" s="4" t="s">
        <v>66</v>
      </c>
      <c r="B15" s="13">
        <v>25000</v>
      </c>
      <c r="C15" s="13">
        <v>30000</v>
      </c>
      <c r="D15" s="13">
        <v>35000</v>
      </c>
      <c r="E15" s="13">
        <v>40000</v>
      </c>
      <c r="F15" s="13">
        <v>45000</v>
      </c>
    </row>
    <row r="16" ht="24" customHeight="1" spans="1:6" x14ac:dyDescent="0.25">
      <c r="A16" s="3" t="s">
        <v>67</v>
      </c>
      <c r="B16" s="14">
        <f>SUM(B14:B15)</f>
        <v>75000</v>
      </c>
      <c r="C16" s="14">
        <f>SUM(C14:C15)</f>
        <v>70000</v>
      </c>
      <c r="D16" s="14">
        <f>SUM(D14:D15)</f>
        <v>65000</v>
      </c>
      <c r="E16" s="14">
        <f>SUM(E14:E15)</f>
        <v>60000</v>
      </c>
      <c r="F16" s="14">
        <f>SUM(F14:F15)</f>
        <v>55000</v>
      </c>
    </row>
    <row r="17" ht="24" customHeight="1" spans="1:6" x14ac:dyDescent="0.25">
      <c r="A17" s="3" t="s">
        <v>68</v>
      </c>
      <c r="B17" s="3"/>
      <c r="C17" s="3"/>
      <c r="D17" s="3"/>
      <c r="E17" s="3"/>
      <c r="F17" s="3"/>
    </row>
    <row r="18" spans="1:6" x14ac:dyDescent="0.25">
      <c r="A18" s="4" t="s">
        <v>69</v>
      </c>
      <c r="B18" s="13">
        <f>ROUND(Assumptions!$B$17*500,0)</f>
        <v>50000</v>
      </c>
      <c r="C18" s="13">
        <f>ROUND(Assumptions!$C$17*515,0)</f>
        <v>66950</v>
      </c>
      <c r="D18" s="13">
        <f>ROUND(Assumptions!$D$17*530,0)</f>
        <v>84800</v>
      </c>
      <c r="E18" s="13">
        <f>ROUND(Assumptions!$E$17*546,0)</f>
        <v>101010</v>
      </c>
      <c r="F18" s="13">
        <f>ROUND(Assumptions!$F$17*562,0)</f>
        <v>112400</v>
      </c>
    </row>
    <row r="19" ht="24" customHeight="1" spans="1:6" x14ac:dyDescent="0.25">
      <c r="A19" s="3" t="s">
        <v>70</v>
      </c>
      <c r="B19" s="14">
        <f>SUM(B18:B18)</f>
        <v>50000</v>
      </c>
      <c r="C19" s="14">
        <f>SUM(C18:C18)</f>
        <v>66950</v>
      </c>
      <c r="D19" s="14">
        <f>SUM(D18:D18)</f>
        <v>84800</v>
      </c>
      <c r="E19" s="14">
        <f>SUM(E18:E18)</f>
        <v>101010</v>
      </c>
      <c r="F19" s="14">
        <f>SUM(F18:F18)</f>
        <v>112400</v>
      </c>
    </row>
    <row r="21" ht="24" customHeight="1" spans="1:6" x14ac:dyDescent="0.25">
      <c r="A21" s="3" t="s">
        <v>71</v>
      </c>
      <c r="B21" s="14">
        <f>B6+B9+B12+B16+B19</f>
        <v>1975000</v>
      </c>
      <c r="C21" s="14">
        <f>C6+C9+C12+C16+C19</f>
        <v>2612670</v>
      </c>
      <c r="D21" s="14">
        <f>D6+D9+D12+D16+D19</f>
        <v>3286760</v>
      </c>
      <c r="E21" s="14">
        <f>E6+E9+E12+E16+E19</f>
        <v>3895050</v>
      </c>
      <c r="F21" s="14">
        <f>F6+F9+F12+F16+F19</f>
        <v>4323000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72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</row>
    <row r="4" spans="1:8" x14ac:dyDescent="0.25">
      <c r="A4" s="4" t="s">
        <v>81</v>
      </c>
      <c r="B4" s="4" t="s">
        <v>82</v>
      </c>
      <c r="C4" s="4" t="s">
        <v>83</v>
      </c>
      <c r="D4" s="15">
        <v>1</v>
      </c>
      <c r="E4" s="16">
        <v>95000</v>
      </c>
      <c r="F4" s="17">
        <v>0.25</v>
      </c>
      <c r="G4" s="17">
        <v>0.0765</v>
      </c>
      <c r="H4" s="18">
        <v>126018</v>
      </c>
    </row>
    <row r="5" spans="1:8" x14ac:dyDescent="0.25">
      <c r="A5" s="4" t="s">
        <v>84</v>
      </c>
      <c r="B5" s="4" t="s">
        <v>82</v>
      </c>
      <c r="C5" s="4" t="s">
        <v>83</v>
      </c>
      <c r="D5" s="15">
        <v>1</v>
      </c>
      <c r="E5" s="16">
        <v>75000</v>
      </c>
      <c r="F5" s="17">
        <v>0.25</v>
      </c>
      <c r="G5" s="17">
        <v>0.0765</v>
      </c>
      <c r="H5" s="18">
        <v>99488</v>
      </c>
    </row>
    <row r="6" spans="1:8" x14ac:dyDescent="0.25">
      <c r="A6" s="4" t="s">
        <v>85</v>
      </c>
      <c r="B6" s="4" t="s">
        <v>86</v>
      </c>
      <c r="C6" s="4" t="s">
        <v>83</v>
      </c>
      <c r="D6" s="15">
        <v>6</v>
      </c>
      <c r="E6" s="16">
        <v>48000</v>
      </c>
      <c r="F6" s="17">
        <v>0.25</v>
      </c>
      <c r="G6" s="17">
        <v>0.0765</v>
      </c>
      <c r="H6" s="18">
        <v>382032</v>
      </c>
    </row>
    <row r="7" spans="1:8" x14ac:dyDescent="0.25">
      <c r="A7" s="4" t="s">
        <v>87</v>
      </c>
      <c r="B7" s="4" t="s">
        <v>86</v>
      </c>
      <c r="C7" s="4" t="s">
        <v>83</v>
      </c>
      <c r="D7" s="15">
        <v>3</v>
      </c>
      <c r="E7" s="16">
        <v>32000</v>
      </c>
      <c r="F7" s="17">
        <v>0.2</v>
      </c>
      <c r="G7" s="17">
        <v>0.0765</v>
      </c>
      <c r="H7" s="18">
        <v>122544</v>
      </c>
    </row>
    <row r="8" spans="1:8" x14ac:dyDescent="0.25">
      <c r="A8" s="4" t="s">
        <v>88</v>
      </c>
      <c r="B8" s="4" t="s">
        <v>89</v>
      </c>
      <c r="C8" s="4" t="s">
        <v>83</v>
      </c>
      <c r="D8" s="15">
        <v>1</v>
      </c>
      <c r="E8" s="16">
        <v>52000</v>
      </c>
      <c r="F8" s="17">
        <v>0.25</v>
      </c>
      <c r="G8" s="17">
        <v>0.0765</v>
      </c>
      <c r="H8" s="18">
        <v>68978</v>
      </c>
    </row>
    <row r="9" spans="1:8" x14ac:dyDescent="0.25">
      <c r="A9" s="4" t="s">
        <v>90</v>
      </c>
      <c r="B9" s="4" t="s">
        <v>91</v>
      </c>
      <c r="C9" s="4" t="s">
        <v>83</v>
      </c>
      <c r="D9" s="15">
        <v>1</v>
      </c>
      <c r="E9" s="16">
        <v>42000</v>
      </c>
      <c r="F9" s="17">
        <v>0.25</v>
      </c>
      <c r="G9" s="17">
        <v>0.0765</v>
      </c>
      <c r="H9" s="18">
        <v>55713</v>
      </c>
    </row>
    <row r="11" ht="24" customHeight="1" spans="1:8" x14ac:dyDescent="0.25">
      <c r="A11" s="3" t="s">
        <v>92</v>
      </c>
      <c r="B11" s="3"/>
      <c r="C11" s="3"/>
      <c r="D11" s="3"/>
      <c r="E11" s="3"/>
      <c r="F11" s="3"/>
      <c r="G11" s="3"/>
      <c r="H11" s="3"/>
    </row>
    <row r="12" spans="1:2" x14ac:dyDescent="0.25">
      <c r="A12" s="4" t="s">
        <v>93</v>
      </c>
      <c r="B12" s="5">
        <v>6</v>
      </c>
    </row>
    <row r="13" spans="1:2" x14ac:dyDescent="0.25">
      <c r="A13" s="4" t="s">
        <v>94</v>
      </c>
      <c r="B13" s="5">
        <v>13</v>
      </c>
    </row>
    <row r="14" spans="1:2" x14ac:dyDescent="0.25">
      <c r="A14" s="4" t="s">
        <v>95</v>
      </c>
      <c r="B14" s="19">
        <v>648000</v>
      </c>
    </row>
    <row r="15" spans="1:2" x14ac:dyDescent="0.25">
      <c r="A15" s="4" t="s">
        <v>96</v>
      </c>
      <c r="B15" s="19">
        <v>157200</v>
      </c>
    </row>
    <row r="16" spans="1:2" x14ac:dyDescent="0.25">
      <c r="A16" s="4" t="s">
        <v>97</v>
      </c>
      <c r="B16" s="19">
        <v>49572</v>
      </c>
    </row>
    <row r="17" spans="1:2" x14ac:dyDescent="0.25">
      <c r="A17" s="4" t="s">
        <v>98</v>
      </c>
      <c r="B17" s="19">
        <v>0</v>
      </c>
    </row>
    <row r="18" spans="1:2" x14ac:dyDescent="0.25">
      <c r="A18" s="5" t="s">
        <v>99</v>
      </c>
      <c r="B18" s="18">
        <v>854772</v>
      </c>
    </row>
    <row r="20" ht="24" customHeight="1" spans="1:6" x14ac:dyDescent="0.25">
      <c r="A20" s="3" t="s">
        <v>100</v>
      </c>
      <c r="B20" s="3"/>
      <c r="C20" s="3"/>
      <c r="D20" s="3"/>
      <c r="E20" s="3"/>
      <c r="F20" s="3"/>
    </row>
    <row r="21" ht="28" customHeight="1" spans="1:6" x14ac:dyDescent="0.25">
      <c r="A21" s="6" t="s">
        <v>21</v>
      </c>
      <c r="B21" s="6" t="s">
        <v>34</v>
      </c>
      <c r="C21" s="6" t="s">
        <v>35</v>
      </c>
      <c r="D21" s="6" t="s">
        <v>36</v>
      </c>
      <c r="E21" s="6" t="s">
        <v>37</v>
      </c>
      <c r="F21" s="6" t="s">
        <v>38</v>
      </c>
    </row>
    <row r="22" spans="1:6" x14ac:dyDescent="0.25">
      <c r="A22" s="4" t="s">
        <v>101</v>
      </c>
      <c r="B22" s="13">
        <v>854772</v>
      </c>
      <c r="C22" s="13">
        <v>854772</v>
      </c>
      <c r="D22" s="13">
        <v>854772</v>
      </c>
      <c r="E22" s="13">
        <v>854772</v>
      </c>
      <c r="F22" s="13">
        <v>854772</v>
      </c>
    </row>
    <row r="23" spans="1:6" x14ac:dyDescent="0.25">
      <c r="A23" s="4" t="s">
        <v>102</v>
      </c>
      <c r="B23" s="20">
        <f>(1+Assumptions!$B$20)^0</f>
        <v>1</v>
      </c>
      <c r="C23" s="20">
        <f>(1+Assumptions!$B$20)^1</f>
        <v>1</v>
      </c>
      <c r="D23" s="20">
        <f>(1+Assumptions!$B$20)^2</f>
        <v>1</v>
      </c>
      <c r="E23" s="20">
        <f>(1+Assumptions!$B$20)^3</f>
        <v>1</v>
      </c>
      <c r="F23" s="20">
        <f>(1+Assumptions!$B$20)^4</f>
        <v>1</v>
      </c>
    </row>
    <row r="24" spans="1:6" x14ac:dyDescent="0.25">
      <c r="A24" s="4" t="s">
        <v>103</v>
      </c>
      <c r="B24" s="21">
        <f>Assumptions!$B$22</f>
        <v>1</v>
      </c>
      <c r="C24" s="21">
        <v>1</v>
      </c>
      <c r="D24" s="21">
        <v>1</v>
      </c>
      <c r="E24" s="21">
        <v>1</v>
      </c>
      <c r="F24" s="21">
        <v>1</v>
      </c>
    </row>
    <row r="25" ht="24" customHeight="1" spans="1:6" x14ac:dyDescent="0.25">
      <c r="A25" s="3" t="s">
        <v>104</v>
      </c>
      <c r="B25" s="14">
        <f>B22*B23*B24</f>
        <v>854772</v>
      </c>
      <c r="C25" s="14">
        <f>C22*C23*C24</f>
        <v>854772</v>
      </c>
      <c r="D25" s="14">
        <f>D22*D23*D24</f>
        <v>854772</v>
      </c>
      <c r="E25" s="14">
        <f>E22*E23*E24</f>
        <v>854772</v>
      </c>
      <c r="F25" s="14">
        <f>F22*F23*F24</f>
        <v>854772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105</v>
      </c>
      <c r="B2" s="3"/>
      <c r="C2" s="3"/>
      <c r="D2" s="3"/>
      <c r="E2" s="3"/>
      <c r="F2" s="3"/>
    </row>
    <row r="3" spans="1:6" x14ac:dyDescent="0.25">
      <c r="A3" s="4" t="s">
        <v>106</v>
      </c>
      <c r="B3" s="13">
        <f>ROUND(Assumptions!$B$17*600,0)</f>
        <v>60000</v>
      </c>
      <c r="C3" s="13">
        <f>ROUND(Assumptions!$C$17*618,0)</f>
        <v>80340</v>
      </c>
      <c r="D3" s="13">
        <f>ROUND(Assumptions!$D$17*637,0)</f>
        <v>101920</v>
      </c>
      <c r="E3" s="13">
        <f>ROUND(Assumptions!$E$17*656,0)</f>
        <v>121360</v>
      </c>
      <c r="F3" s="13">
        <f>ROUND(Assumptions!$F$17*675,0)</f>
        <v>135000</v>
      </c>
    </row>
    <row r="4" ht="24" customHeight="1" spans="1:6" x14ac:dyDescent="0.25">
      <c r="A4" s="3" t="s">
        <v>107</v>
      </c>
      <c r="B4" s="14">
        <f>SUM(B3:B3)</f>
        <v>60000</v>
      </c>
      <c r="C4" s="14">
        <f>SUM(C3:C3)</f>
        <v>80340</v>
      </c>
      <c r="D4" s="14">
        <f>SUM(D3:D3)</f>
        <v>101920</v>
      </c>
      <c r="E4" s="14">
        <f>SUM(E3:E3)</f>
        <v>121360</v>
      </c>
      <c r="F4" s="14">
        <f>SUM(F3:F3)</f>
        <v>135000</v>
      </c>
    </row>
    <row r="5" ht="24" customHeight="1" spans="1:6" x14ac:dyDescent="0.25">
      <c r="A5" s="3" t="s">
        <v>108</v>
      </c>
      <c r="B5" s="3"/>
      <c r="C5" s="3"/>
      <c r="D5" s="3"/>
      <c r="E5" s="3"/>
      <c r="F5" s="3"/>
    </row>
    <row r="6" spans="1:6" x14ac:dyDescent="0.25">
      <c r="A6" s="4" t="s">
        <v>109</v>
      </c>
      <c r="B6" s="13">
        <f>ROUND(Assumptions!$B$17*400,0)</f>
        <v>40000</v>
      </c>
      <c r="C6" s="13">
        <f>ROUND(Assumptions!$C$17*412,0)</f>
        <v>53560</v>
      </c>
      <c r="D6" s="13">
        <f>ROUND(Assumptions!$D$17*424,0)</f>
        <v>67840</v>
      </c>
      <c r="E6" s="13">
        <f>ROUND(Assumptions!$E$17*437,0)</f>
        <v>80845</v>
      </c>
      <c r="F6" s="13">
        <f>ROUND(Assumptions!$F$17*450,0)</f>
        <v>90000</v>
      </c>
    </row>
    <row r="7" ht="24" customHeight="1" spans="1:6" x14ac:dyDescent="0.25">
      <c r="A7" s="3" t="s">
        <v>110</v>
      </c>
      <c r="B7" s="14">
        <f>SUM(B6:B6)</f>
        <v>40000</v>
      </c>
      <c r="C7" s="14">
        <f>SUM(C6:C6)</f>
        <v>53560</v>
      </c>
      <c r="D7" s="14">
        <f>SUM(D6:D6)</f>
        <v>67840</v>
      </c>
      <c r="E7" s="14">
        <f>SUM(E6:E6)</f>
        <v>80845</v>
      </c>
      <c r="F7" s="14">
        <f>SUM(F6:F6)</f>
        <v>90000</v>
      </c>
    </row>
    <row r="8" ht="24" customHeight="1" spans="1:6" x14ac:dyDescent="0.25">
      <c r="A8" s="3" t="s">
        <v>111</v>
      </c>
      <c r="B8" s="3"/>
      <c r="C8" s="3"/>
      <c r="D8" s="3"/>
      <c r="E8" s="3"/>
      <c r="F8" s="3"/>
    </row>
    <row r="9" spans="1:6" x14ac:dyDescent="0.25">
      <c r="A9" s="4" t="s">
        <v>112</v>
      </c>
      <c r="B9" s="13">
        <v>15000</v>
      </c>
      <c r="C9" s="13">
        <v>15450</v>
      </c>
      <c r="D9" s="13">
        <v>15914</v>
      </c>
      <c r="E9" s="13">
        <v>16391</v>
      </c>
      <c r="F9" s="13">
        <v>16883</v>
      </c>
    </row>
    <row r="10" spans="1:6" x14ac:dyDescent="0.25">
      <c r="A10" s="4" t="s">
        <v>113</v>
      </c>
      <c r="B10" s="13">
        <v>8000</v>
      </c>
      <c r="C10" s="13">
        <v>8240</v>
      </c>
      <c r="D10" s="13">
        <v>8487</v>
      </c>
      <c r="E10" s="13">
        <v>8742</v>
      </c>
      <c r="F10" s="13">
        <v>9004</v>
      </c>
    </row>
    <row r="11" spans="1:6" x14ac:dyDescent="0.25">
      <c r="A11" s="4" t="s">
        <v>114</v>
      </c>
      <c r="B11" s="13">
        <v>12000</v>
      </c>
      <c r="C11" s="13">
        <v>12360</v>
      </c>
      <c r="D11" s="13">
        <v>12731</v>
      </c>
      <c r="E11" s="13">
        <v>13113</v>
      </c>
      <c r="F11" s="13">
        <v>13506</v>
      </c>
    </row>
    <row r="12" ht="24" customHeight="1" spans="1:6" x14ac:dyDescent="0.25">
      <c r="A12" s="3" t="s">
        <v>115</v>
      </c>
      <c r="B12" s="14">
        <f>SUM(B9:B11)</f>
        <v>35000</v>
      </c>
      <c r="C12" s="14">
        <f>SUM(C9:C11)</f>
        <v>36050</v>
      </c>
      <c r="D12" s="14">
        <f>SUM(D9:D11)</f>
        <v>37132</v>
      </c>
      <c r="E12" s="14">
        <f>SUM(E9:E11)</f>
        <v>38246</v>
      </c>
      <c r="F12" s="14">
        <f>SUM(F9:F11)</f>
        <v>39393</v>
      </c>
    </row>
    <row r="14" ht="24" customHeight="1" spans="1:6" x14ac:dyDescent="0.25">
      <c r="A14" s="3" t="s">
        <v>116</v>
      </c>
      <c r="B14" s="14">
        <f>B4+B7+B12</f>
        <v>135000</v>
      </c>
      <c r="C14" s="14">
        <f>C4+C7+C12</f>
        <v>169950</v>
      </c>
      <c r="D14" s="14">
        <f>D4+D7+D12</f>
        <v>206892</v>
      </c>
      <c r="E14" s="14">
        <f>E4+E7+E12</f>
        <v>240451</v>
      </c>
      <c r="F14" s="14">
        <f>F4+F7+F12</f>
        <v>264393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117</v>
      </c>
      <c r="B2" s="3"/>
      <c r="C2" s="3"/>
      <c r="D2" s="3"/>
      <c r="E2" s="3"/>
      <c r="F2" s="3"/>
    </row>
    <row r="3" spans="1:6" x14ac:dyDescent="0.25">
      <c r="A3" s="4" t="s">
        <v>118</v>
      </c>
      <c r="B3" s="13">
        <v>102000</v>
      </c>
      <c r="C3" s="13">
        <v>105060</v>
      </c>
      <c r="D3" s="13">
        <v>108212</v>
      </c>
      <c r="E3" s="13">
        <v>111458</v>
      </c>
      <c r="F3" s="13">
        <v>114802</v>
      </c>
    </row>
    <row r="4" spans="1:6" x14ac:dyDescent="0.25">
      <c r="A4" s="4" t="s">
        <v>119</v>
      </c>
      <c r="B4" s="13">
        <v>14400</v>
      </c>
      <c r="C4" s="13">
        <v>14832</v>
      </c>
      <c r="D4" s="13">
        <v>15276</v>
      </c>
      <c r="E4" s="13">
        <v>15732</v>
      </c>
      <c r="F4" s="13">
        <v>16200</v>
      </c>
    </row>
    <row r="5" spans="1:6" x14ac:dyDescent="0.25">
      <c r="A5" s="4" t="s">
        <v>120</v>
      </c>
      <c r="B5" s="13">
        <v>12000</v>
      </c>
      <c r="C5" s="13">
        <v>12360</v>
      </c>
      <c r="D5" s="13">
        <v>12731</v>
      </c>
      <c r="E5" s="13">
        <v>13113</v>
      </c>
      <c r="F5" s="13">
        <v>13506</v>
      </c>
    </row>
    <row r="6" spans="1:6" x14ac:dyDescent="0.25">
      <c r="A6" s="4" t="s">
        <v>121</v>
      </c>
      <c r="B6" s="13">
        <v>8000</v>
      </c>
      <c r="C6" s="13">
        <v>8240</v>
      </c>
      <c r="D6" s="13">
        <v>8487</v>
      </c>
      <c r="E6" s="13">
        <v>8742</v>
      </c>
      <c r="F6" s="13">
        <v>9004</v>
      </c>
    </row>
    <row r="7" ht="24" customHeight="1" spans="1:6" x14ac:dyDescent="0.25">
      <c r="A7" s="3" t="s">
        <v>122</v>
      </c>
      <c r="B7" s="14">
        <f>SUM(B3:B6)</f>
        <v>136400</v>
      </c>
      <c r="C7" s="14">
        <f>SUM(C3:C6)</f>
        <v>140492</v>
      </c>
      <c r="D7" s="14">
        <f>SUM(D3:D6)</f>
        <v>144706</v>
      </c>
      <c r="E7" s="14">
        <f>SUM(E3:E6)</f>
        <v>149045</v>
      </c>
      <c r="F7" s="14">
        <f>SUM(F3:F6)</f>
        <v>153512</v>
      </c>
    </row>
    <row r="9" spans="1:6" x14ac:dyDescent="0.25">
      <c r="A9" s="4" t="s">
        <v>123</v>
      </c>
      <c r="B9" s="13">
        <v>1364</v>
      </c>
      <c r="C9" s="13">
        <v>1081</v>
      </c>
      <c r="D9" s="13">
        <v>904</v>
      </c>
      <c r="E9" s="13">
        <v>806</v>
      </c>
      <c r="F9" s="13">
        <v>768</v>
      </c>
    </row>
    <row r="10" spans="1:6" x14ac:dyDescent="0.25">
      <c r="A10" s="4" t="s">
        <v>124</v>
      </c>
      <c r="B10" s="12">
        <v>0.0690632911392405</v>
      </c>
      <c r="C10" s="12">
        <v>0.053773342978638713</v>
      </c>
      <c r="D10" s="12">
        <v>0.04402688361790943</v>
      </c>
      <c r="E10" s="12">
        <v>0.038265273616513266</v>
      </c>
      <c r="F10" s="12">
        <v>0.0355105016470044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125</v>
      </c>
      <c r="B1" s="1"/>
    </row>
    <row r="3" ht="24" customHeight="1" spans="1:2" x14ac:dyDescent="0.25">
      <c r="A3" s="3" t="s">
        <v>126</v>
      </c>
      <c r="B3" s="3"/>
    </row>
    <row r="4" spans="1:2" x14ac:dyDescent="0.25">
      <c r="A4" s="4" t="s">
        <v>127</v>
      </c>
      <c r="B4" s="16">
        <v>75000</v>
      </c>
    </row>
    <row r="5" spans="1:2" x14ac:dyDescent="0.25">
      <c r="A5" s="4" t="s">
        <v>128</v>
      </c>
      <c r="B5" s="16">
        <v>250000</v>
      </c>
    </row>
    <row r="6" ht="24" customHeight="1" spans="1:2" x14ac:dyDescent="0.25">
      <c r="A6" s="3" t="s">
        <v>129</v>
      </c>
      <c r="B6" s="22">
        <f>SUM(B4:B5)</f>
        <v>325000</v>
      </c>
    </row>
    <row r="8" ht="24" customHeight="1" spans="1:2" x14ac:dyDescent="0.25">
      <c r="A8" s="3" t="s">
        <v>130</v>
      </c>
      <c r="B8" s="3"/>
    </row>
    <row r="9" spans="1:2" x14ac:dyDescent="0.25">
      <c r="A9" s="4" t="s">
        <v>131</v>
      </c>
      <c r="B9" s="16">
        <v>22733</v>
      </c>
    </row>
    <row r="10" spans="1:2" x14ac:dyDescent="0.25">
      <c r="A10" s="4" t="s">
        <v>132</v>
      </c>
      <c r="B10" s="16">
        <v>20000</v>
      </c>
    </row>
    <row r="11" spans="1:2" x14ac:dyDescent="0.25">
      <c r="A11" s="4" t="s">
        <v>133</v>
      </c>
      <c r="B11" s="16">
        <v>60000</v>
      </c>
    </row>
    <row r="12" spans="1:2" x14ac:dyDescent="0.25">
      <c r="A12" s="4" t="s">
        <v>134</v>
      </c>
      <c r="B12" s="16">
        <v>25000</v>
      </c>
    </row>
    <row r="13" spans="1:2" x14ac:dyDescent="0.25">
      <c r="A13" s="4" t="s">
        <v>135</v>
      </c>
      <c r="B13" s="16">
        <v>187695</v>
      </c>
    </row>
    <row r="14" spans="1:2" x14ac:dyDescent="0.25">
      <c r="A14" s="4" t="s">
        <v>136</v>
      </c>
      <c r="B14" s="16">
        <v>15771</v>
      </c>
    </row>
    <row r="15" ht="24" customHeight="1" spans="1:2" x14ac:dyDescent="0.25">
      <c r="A15" s="3" t="s">
        <v>137</v>
      </c>
      <c r="B15" s="22">
        <f>SUM(B9:B14)</f>
        <v>331199</v>
      </c>
    </row>
    <row r="17" spans="1:2" x14ac:dyDescent="0.25">
      <c r="A17" s="5" t="s">
        <v>138</v>
      </c>
      <c r="B17" s="23">
        <f>B6-B15</f>
        <v>-6199</v>
      </c>
    </row>
    <row r="18" spans="1:1" x14ac:dyDescent="0.25">
      <c r="A18" s="24" t="s">
        <v>139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140</v>
      </c>
      <c r="B1" s="1"/>
      <c r="C1" s="1"/>
      <c r="D1" s="1"/>
      <c r="E1" s="1"/>
      <c r="F1" s="1"/>
      <c r="G1" s="1"/>
    </row>
    <row r="3" ht="28" customHeight="1" spans="1:7" x14ac:dyDescent="0.25">
      <c r="A3" s="6" t="s">
        <v>141</v>
      </c>
      <c r="B3" s="6" t="s">
        <v>142</v>
      </c>
      <c r="C3" s="6" t="s">
        <v>143</v>
      </c>
      <c r="D3" s="6" t="s">
        <v>144</v>
      </c>
      <c r="E3" s="6" t="s">
        <v>145</v>
      </c>
      <c r="F3" s="6" t="s">
        <v>146</v>
      </c>
      <c r="G3" s="6" t="s">
        <v>147</v>
      </c>
    </row>
    <row r="4" spans="1:7" x14ac:dyDescent="0.25">
      <c r="A4" s="4" t="s">
        <v>148</v>
      </c>
      <c r="B4" s="13">
        <v>250000</v>
      </c>
      <c r="C4" s="12">
        <v>0.065</v>
      </c>
      <c r="D4" s="25">
        <v>10</v>
      </c>
      <c r="E4" s="13">
        <v>34064</v>
      </c>
      <c r="F4" s="13">
        <v>2839</v>
      </c>
      <c r="G4" s="13">
        <v>90644</v>
      </c>
    </row>
    <row r="6" ht="24" customHeight="1" spans="1:7" x14ac:dyDescent="0.25">
      <c r="A6" s="3" t="s">
        <v>149</v>
      </c>
      <c r="B6" s="3"/>
      <c r="C6" s="3"/>
      <c r="D6" s="3"/>
      <c r="E6" s="3"/>
      <c r="F6" s="3"/>
      <c r="G6" s="3"/>
    </row>
    <row r="7" spans="1:2" x14ac:dyDescent="0.25">
      <c r="A7" s="5" t="s">
        <v>150</v>
      </c>
      <c r="B7" s="18">
        <v>34064</v>
      </c>
    </row>
    <row r="8" spans="1:2" x14ac:dyDescent="0.25">
      <c r="A8" s="4" t="s">
        <v>151</v>
      </c>
      <c r="B8" s="19">
        <v>2839</v>
      </c>
    </row>
    <row r="10" ht="24" customHeight="1" spans="1:7" x14ac:dyDescent="0.25">
      <c r="A10" s="3" t="s">
        <v>152</v>
      </c>
      <c r="B10" s="3"/>
      <c r="C10" s="3"/>
      <c r="D10" s="3"/>
      <c r="E10" s="3"/>
      <c r="F10" s="3"/>
      <c r="G10" s="3"/>
    </row>
    <row r="11" ht="28" customHeight="1" spans="1:2" x14ac:dyDescent="0.25">
      <c r="A11" s="6" t="s">
        <v>153</v>
      </c>
      <c r="B11" s="6" t="s">
        <v>154</v>
      </c>
    </row>
    <row r="12" spans="1:2" x14ac:dyDescent="0.25">
      <c r="A12" s="4" t="s">
        <v>22</v>
      </c>
      <c r="B12" s="13">
        <v>232186</v>
      </c>
    </row>
    <row r="13" spans="1:2" x14ac:dyDescent="0.25">
      <c r="A13" s="4" t="s">
        <v>23</v>
      </c>
      <c r="B13" s="13">
        <v>213213</v>
      </c>
    </row>
    <row r="14" spans="1:2" x14ac:dyDescent="0.25">
      <c r="A14" s="4" t="s">
        <v>24</v>
      </c>
      <c r="B14" s="13">
        <v>193008</v>
      </c>
    </row>
    <row r="15" spans="1:2" x14ac:dyDescent="0.25">
      <c r="A15" s="4" t="s">
        <v>25</v>
      </c>
      <c r="B15" s="13">
        <v>171489</v>
      </c>
    </row>
    <row r="16" spans="1:2" x14ac:dyDescent="0.25">
      <c r="A16" s="4" t="s">
        <v>26</v>
      </c>
      <c r="B16" s="13">
        <v>148571</v>
      </c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21</v>
      </c>
      <c r="B1" s="6" t="s">
        <v>16</v>
      </c>
      <c r="C1" s="6" t="s">
        <v>155</v>
      </c>
      <c r="D1" s="6" t="s">
        <v>156</v>
      </c>
      <c r="E1" s="6" t="s">
        <v>157</v>
      </c>
      <c r="F1" s="6" t="s">
        <v>158</v>
      </c>
      <c r="G1" s="6" t="s">
        <v>159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165</v>
      </c>
      <c r="N1" s="6" t="s">
        <v>166</v>
      </c>
    </row>
    <row r="2" spans="1:14" x14ac:dyDescent="0.25">
      <c r="A2" s="5" t="s">
        <v>167</v>
      </c>
      <c r="B2" s="13">
        <v>1167917</v>
      </c>
      <c r="C2" s="13">
        <v>72417</v>
      </c>
      <c r="D2" s="13">
        <v>72417</v>
      </c>
      <c r="E2" s="13">
        <v>72417</v>
      </c>
      <c r="F2" s="13">
        <v>72417</v>
      </c>
      <c r="G2" s="13">
        <v>72417</v>
      </c>
      <c r="H2" s="13">
        <v>72417</v>
      </c>
      <c r="I2" s="13">
        <v>72417</v>
      </c>
      <c r="J2" s="13">
        <v>72417</v>
      </c>
      <c r="K2" s="13">
        <v>72417</v>
      </c>
      <c r="L2" s="13">
        <v>72417</v>
      </c>
      <c r="M2" s="13">
        <v>82913</v>
      </c>
      <c r="N2" s="26">
        <f>SUM(B2:M2)</f>
        <v>1975000</v>
      </c>
    </row>
    <row r="3" spans="1:14" x14ac:dyDescent="0.25">
      <c r="A3" s="4" t="s">
        <v>168</v>
      </c>
      <c r="B3" s="13">
        <v>71231</v>
      </c>
      <c r="C3" s="13">
        <v>71231</v>
      </c>
      <c r="D3" s="13">
        <v>71231</v>
      </c>
      <c r="E3" s="13">
        <v>71231</v>
      </c>
      <c r="F3" s="13">
        <v>71231</v>
      </c>
      <c r="G3" s="13">
        <v>71231</v>
      </c>
      <c r="H3" s="13">
        <v>71231</v>
      </c>
      <c r="I3" s="13">
        <v>71231</v>
      </c>
      <c r="J3" s="13">
        <v>71231</v>
      </c>
      <c r="K3" s="13">
        <v>71231</v>
      </c>
      <c r="L3" s="13">
        <v>71231</v>
      </c>
      <c r="M3" s="13">
        <v>71231</v>
      </c>
      <c r="N3" s="13">
        <f>SUM(B3:M3)</f>
        <v>854772</v>
      </c>
    </row>
    <row r="4" spans="1:14" x14ac:dyDescent="0.25">
      <c r="A4" s="4" t="s">
        <v>169</v>
      </c>
      <c r="B4" s="13">
        <v>22617</v>
      </c>
      <c r="C4" s="13">
        <v>22617</v>
      </c>
      <c r="D4" s="13">
        <v>22617</v>
      </c>
      <c r="E4" s="13">
        <v>22617</v>
      </c>
      <c r="F4" s="13">
        <v>22617</v>
      </c>
      <c r="G4" s="13">
        <v>22617</v>
      </c>
      <c r="H4" s="13">
        <v>22617</v>
      </c>
      <c r="I4" s="13">
        <v>22617</v>
      </c>
      <c r="J4" s="13">
        <v>22617</v>
      </c>
      <c r="K4" s="13">
        <v>22617</v>
      </c>
      <c r="L4" s="13">
        <v>22617</v>
      </c>
      <c r="M4" s="13">
        <v>22613</v>
      </c>
      <c r="N4" s="13">
        <f>SUM(B4:M4)</f>
        <v>271400</v>
      </c>
    </row>
    <row r="5" spans="1:14" x14ac:dyDescent="0.25">
      <c r="A5" s="4" t="s">
        <v>170</v>
      </c>
      <c r="B5" s="13">
        <v>4922</v>
      </c>
      <c r="C5" s="13">
        <v>4922</v>
      </c>
      <c r="D5" s="13">
        <v>4922</v>
      </c>
      <c r="E5" s="13">
        <v>4922</v>
      </c>
      <c r="F5" s="13">
        <v>4922</v>
      </c>
      <c r="G5" s="13">
        <v>4922</v>
      </c>
      <c r="H5" s="13">
        <v>4922</v>
      </c>
      <c r="I5" s="13">
        <v>4922</v>
      </c>
      <c r="J5" s="13">
        <v>4922</v>
      </c>
      <c r="K5" s="13">
        <v>4922</v>
      </c>
      <c r="L5" s="13">
        <v>4922</v>
      </c>
      <c r="M5" s="13">
        <v>4922</v>
      </c>
      <c r="N5" s="13">
        <f>SUM(B5:M5)</f>
        <v>59064</v>
      </c>
    </row>
    <row r="6" ht="24" customHeight="1" spans="1:14" x14ac:dyDescent="0.25">
      <c r="A6" s="3" t="s">
        <v>171</v>
      </c>
      <c r="B6" s="22">
        <f>SUM(B3:B5)</f>
        <v>98770</v>
      </c>
      <c r="C6" s="22">
        <f>SUM(C3:C5)</f>
        <v>98770</v>
      </c>
      <c r="D6" s="22">
        <f>SUM(D3:D5)</f>
        <v>98770</v>
      </c>
      <c r="E6" s="22">
        <f>SUM(E3:E5)</f>
        <v>98770</v>
      </c>
      <c r="F6" s="22">
        <f>SUM(F3:F5)</f>
        <v>98770</v>
      </c>
      <c r="G6" s="22">
        <f>SUM(G3:G5)</f>
        <v>98770</v>
      </c>
      <c r="H6" s="22">
        <f>SUM(H3:H5)</f>
        <v>98770</v>
      </c>
      <c r="I6" s="22">
        <f>SUM(I3:I5)</f>
        <v>98770</v>
      </c>
      <c r="J6" s="22">
        <f>SUM(J3:J5)</f>
        <v>98770</v>
      </c>
      <c r="K6" s="22">
        <f>SUM(K3:K5)</f>
        <v>98770</v>
      </c>
      <c r="L6" s="22">
        <f>SUM(L3:L5)</f>
        <v>98770</v>
      </c>
      <c r="M6" s="22">
        <f>SUM(M3:M5)</f>
        <v>98766</v>
      </c>
      <c r="N6" s="22">
        <f>SUM(B6:M6)</f>
        <v>1185236</v>
      </c>
    </row>
    <row r="7" spans="1:14" x14ac:dyDescent="0.25">
      <c r="A7" s="5" t="s">
        <v>172</v>
      </c>
      <c r="B7" s="26">
        <f>B2-B6</f>
        <v>1069147</v>
      </c>
      <c r="C7" s="26">
        <f>C2-C6</f>
        <v>-26353</v>
      </c>
      <c r="D7" s="26">
        <f>D2-D6</f>
        <v>-26353</v>
      </c>
      <c r="E7" s="26">
        <f>E2-E6</f>
        <v>-26353</v>
      </c>
      <c r="F7" s="26">
        <f>F2-F6</f>
        <v>-26353</v>
      </c>
      <c r="G7" s="26">
        <f>G2-G6</f>
        <v>-26353</v>
      </c>
      <c r="H7" s="26">
        <f>H2-H6</f>
        <v>-26353</v>
      </c>
      <c r="I7" s="26">
        <f>I2-I6</f>
        <v>-26353</v>
      </c>
      <c r="J7" s="26">
        <f>J2-J6</f>
        <v>-26353</v>
      </c>
      <c r="K7" s="26">
        <f>K2-K6</f>
        <v>-26353</v>
      </c>
      <c r="L7" s="26">
        <f>L2-L6</f>
        <v>-26353</v>
      </c>
      <c r="M7" s="26">
        <f>M2-M6</f>
        <v>-15853</v>
      </c>
      <c r="N7" s="26">
        <f>SUM(B7:M7)</f>
        <v>789764</v>
      </c>
    </row>
    <row r="8" spans="1:14" x14ac:dyDescent="0.25">
      <c r="A8" s="5" t="s">
        <v>173</v>
      </c>
      <c r="B8" s="26">
        <f>325000+B7</f>
        <v>1394147</v>
      </c>
      <c r="C8" s="26">
        <f>B8+C7</f>
        <v>1367794</v>
      </c>
      <c r="D8" s="26">
        <f>C8+D7</f>
        <v>1341441</v>
      </c>
      <c r="E8" s="26">
        <f>D8+E7</f>
        <v>1315088</v>
      </c>
      <c r="F8" s="26">
        <f>E8+F7</f>
        <v>1288735</v>
      </c>
      <c r="G8" s="26">
        <f>F8+G7</f>
        <v>1262382</v>
      </c>
      <c r="H8" s="26">
        <f>G8+H7</f>
        <v>1236029</v>
      </c>
      <c r="I8" s="26">
        <f>H8+I7</f>
        <v>1209676</v>
      </c>
      <c r="J8" s="26">
        <f>I8+J7</f>
        <v>1183323</v>
      </c>
      <c r="K8" s="26">
        <f>J8+K7</f>
        <v>1156970</v>
      </c>
      <c r="L8" s="26">
        <f>K8+L7</f>
        <v>1130617</v>
      </c>
      <c r="M8" s="26">
        <f>L8+M7</f>
        <v>1114764</v>
      </c>
      <c r="N8" s="26">
        <f>M8</f>
        <v>1114764</v>
      </c>
    </row>
    <row r="10" ht="24" customHeight="1" spans="1:14" x14ac:dyDescent="0.25">
      <c r="A10" s="3" t="s">
        <v>174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2" x14ac:dyDescent="0.25">
      <c r="A11" s="4" t="s">
        <v>175</v>
      </c>
      <c r="B11" s="19">
        <v>325000</v>
      </c>
    </row>
    <row r="12" spans="1:2" x14ac:dyDescent="0.25">
      <c r="A12" s="4" t="s">
        <v>176</v>
      </c>
      <c r="B12" s="18">
        <f>M8</f>
        <v>1114764</v>
      </c>
    </row>
    <row r="13" spans="1:2" x14ac:dyDescent="0.25">
      <c r="A13" s="4" t="s">
        <v>177</v>
      </c>
      <c r="B13" s="19">
        <f>MIN(B8:M8)</f>
        <v>1114764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 t="s">
        <v>178</v>
      </c>
      <c r="B2" s="26">
        <f>'Tuition &amp; Funding Detail'!B21</f>
        <v>1975000</v>
      </c>
      <c r="C2" s="26">
        <f>'Tuition &amp; Funding Detail'!C21</f>
        <v>2612670</v>
      </c>
      <c r="D2" s="26">
        <f>'Tuition &amp; Funding Detail'!D21</f>
        <v>3286760</v>
      </c>
      <c r="E2" s="26">
        <f>'Tuition &amp; Funding Detail'!E21</f>
        <v>3895050</v>
      </c>
      <c r="F2" s="26">
        <f>'Tuition &amp; Funding Detail'!F21</f>
        <v>4323000</v>
      </c>
    </row>
    <row r="3" spans="1:6" x14ac:dyDescent="0.25">
      <c r="A3" s="4" t="s">
        <v>168</v>
      </c>
      <c r="B3" s="13">
        <f>'Staffing Plan'!B25</f>
        <v>854772</v>
      </c>
      <c r="C3" s="13">
        <f>'Staffing Plan'!C25</f>
        <v>854772</v>
      </c>
      <c r="D3" s="13">
        <f>'Staffing Plan'!D25</f>
        <v>854772</v>
      </c>
      <c r="E3" s="13">
        <f>'Staffing Plan'!E25</f>
        <v>854772</v>
      </c>
      <c r="F3" s="13">
        <f>'Staffing Plan'!F25</f>
        <v>854772</v>
      </c>
    </row>
    <row r="4" spans="1:6" x14ac:dyDescent="0.25">
      <c r="A4" s="4" t="s">
        <v>169</v>
      </c>
      <c r="B4" s="13">
        <f>'Operating Expenses'!B14+'Facilities &amp; Occupancy'!B7</f>
        <v>271400</v>
      </c>
      <c r="C4" s="13">
        <f>'Operating Expenses'!C14+'Facilities &amp; Occupancy'!C7</f>
        <v>310442</v>
      </c>
      <c r="D4" s="13">
        <f>'Operating Expenses'!D14+'Facilities &amp; Occupancy'!D7</f>
        <v>351598</v>
      </c>
      <c r="E4" s="13">
        <f>'Operating Expenses'!E14+'Facilities &amp; Occupancy'!E7</f>
        <v>389496</v>
      </c>
      <c r="F4" s="13">
        <f>'Operating Expenses'!F14+'Facilities &amp; Occupancy'!F7</f>
        <v>417905</v>
      </c>
    </row>
    <row r="5" spans="1:6" x14ac:dyDescent="0.25">
      <c r="A5" s="4" t="s">
        <v>179</v>
      </c>
      <c r="B5" s="13">
        <v>59064</v>
      </c>
      <c r="C5" s="13">
        <v>44064</v>
      </c>
      <c r="D5" s="13">
        <v>44064</v>
      </c>
      <c r="E5" s="13">
        <v>39064</v>
      </c>
      <c r="F5" s="13">
        <v>39064</v>
      </c>
    </row>
    <row r="6" ht="24" customHeight="1" spans="1:6" x14ac:dyDescent="0.25">
      <c r="A6" s="3" t="s">
        <v>171</v>
      </c>
      <c r="B6" s="27">
        <f>SUM(B3:B5)</f>
        <v>1185236</v>
      </c>
      <c r="C6" s="27">
        <f>SUM(C3:C5)</f>
        <v>1209278</v>
      </c>
      <c r="D6" s="27">
        <f>SUM(D3:D5)</f>
        <v>1250434</v>
      </c>
      <c r="E6" s="27">
        <f>SUM(E3:E5)</f>
        <v>1283332</v>
      </c>
      <c r="F6" s="27">
        <f>SUM(F3:F5)</f>
        <v>1311741</v>
      </c>
    </row>
    <row r="7" spans="1:6" x14ac:dyDescent="0.25">
      <c r="A7" s="5" t="s">
        <v>180</v>
      </c>
      <c r="B7" s="28">
        <f>B2-B6</f>
        <v>789764</v>
      </c>
      <c r="C7" s="28">
        <f>C2-C6</f>
        <v>1403392</v>
      </c>
      <c r="D7" s="28">
        <f>D2-D6</f>
        <v>2036326</v>
      </c>
      <c r="E7" s="28">
        <f>E2-E6</f>
        <v>2611717</v>
      </c>
      <c r="F7" s="28">
        <f>F2-F6</f>
        <v>3011259</v>
      </c>
    </row>
    <row r="8" spans="1:6" x14ac:dyDescent="0.25">
      <c r="A8" s="4" t="s">
        <v>181</v>
      </c>
      <c r="B8" s="12">
        <f>IF(B2=0,0,B7/B2)</f>
        <v>0.4</v>
      </c>
      <c r="C8" s="12">
        <f>IF(C2=0,0,C7/C2)</f>
        <v>0.54</v>
      </c>
      <c r="D8" s="12">
        <f>IF(D2=0,0,D7/D2)</f>
        <v>0.62</v>
      </c>
      <c r="E8" s="12">
        <f>IF(E2=0,0,E7/E2)</f>
        <v>0.67</v>
      </c>
      <c r="F8" s="12">
        <f>IF(F2=0,0,F7/F2)</f>
        <v>0.7</v>
      </c>
    </row>
    <row r="9" spans="1:6" x14ac:dyDescent="0.25">
      <c r="A9" s="5" t="s">
        <v>182</v>
      </c>
      <c r="B9" s="26">
        <f>B7</f>
        <v>789764</v>
      </c>
      <c r="C9" s="26">
        <f>B9+C7</f>
        <v>2193156</v>
      </c>
      <c r="D9" s="26">
        <f>C9+D7</f>
        <v>4229482</v>
      </c>
      <c r="E9" s="26">
        <f>D9+E7</f>
        <v>6841199</v>
      </c>
      <c r="F9" s="26">
        <f>E9+F7</f>
        <v>9852458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183</v>
      </c>
      <c r="B2" s="3"/>
      <c r="C2" s="3"/>
      <c r="D2" s="3"/>
      <c r="E2" s="3"/>
      <c r="F2" s="3"/>
    </row>
    <row r="3" spans="1:6" x14ac:dyDescent="0.25">
      <c r="A3" s="4" t="s">
        <v>184</v>
      </c>
      <c r="B3" s="13">
        <v>1114764</v>
      </c>
      <c r="C3" s="13">
        <v>2518156</v>
      </c>
      <c r="D3" s="13">
        <v>4554482</v>
      </c>
      <c r="E3" s="13">
        <v>7166199</v>
      </c>
      <c r="F3" s="13">
        <v>10177458</v>
      </c>
    </row>
    <row r="4" spans="1:6" x14ac:dyDescent="0.25">
      <c r="A4" s="4" t="s">
        <v>185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</row>
    <row r="5" ht="24" customHeight="1" spans="1:6" x14ac:dyDescent="0.25">
      <c r="A5" s="3" t="s">
        <v>186</v>
      </c>
      <c r="B5" s="14">
        <f>SUM(B3:B4)</f>
        <v>1114764</v>
      </c>
      <c r="C5" s="14">
        <f>SUM(C3:C4)</f>
        <v>2518156</v>
      </c>
      <c r="D5" s="14">
        <f>SUM(D3:D4)</f>
        <v>4554482</v>
      </c>
      <c r="E5" s="14">
        <f>SUM(E3:E4)</f>
        <v>7166199</v>
      </c>
      <c r="F5" s="14">
        <f>SUM(F3:F4)</f>
        <v>10177458</v>
      </c>
    </row>
    <row r="7" ht="24" customHeight="1" spans="1:6" x14ac:dyDescent="0.25">
      <c r="A7" s="3" t="s">
        <v>187</v>
      </c>
      <c r="B7" s="3"/>
      <c r="C7" s="3"/>
      <c r="D7" s="3"/>
      <c r="E7" s="3"/>
      <c r="F7" s="3"/>
    </row>
    <row r="8" spans="1:6" x14ac:dyDescent="0.25">
      <c r="A8" s="4" t="s">
        <v>188</v>
      </c>
      <c r="B8" s="13">
        <v>232186</v>
      </c>
      <c r="C8" s="13">
        <v>213213</v>
      </c>
      <c r="D8" s="13">
        <v>193008</v>
      </c>
      <c r="E8" s="13">
        <v>171489</v>
      </c>
      <c r="F8" s="13">
        <v>148571</v>
      </c>
    </row>
    <row r="9" spans="1:6" x14ac:dyDescent="0.25">
      <c r="A9" s="4" t="s">
        <v>189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</row>
    <row r="10" ht="24" customHeight="1" spans="1:6" x14ac:dyDescent="0.25">
      <c r="A10" s="3" t="s">
        <v>190</v>
      </c>
      <c r="B10" s="14">
        <f>SUM(B8:B9)</f>
        <v>232186</v>
      </c>
      <c r="C10" s="14">
        <f>SUM(C8:C9)</f>
        <v>213213</v>
      </c>
      <c r="D10" s="14">
        <f>SUM(D8:D9)</f>
        <v>193008</v>
      </c>
      <c r="E10" s="14">
        <f>SUM(E8:E9)</f>
        <v>171489</v>
      </c>
      <c r="F10" s="14">
        <f>SUM(F8:F9)</f>
        <v>148571</v>
      </c>
    </row>
    <row r="12" ht="24" customHeight="1" spans="1:6" x14ac:dyDescent="0.25">
      <c r="A12" s="3" t="s">
        <v>191</v>
      </c>
      <c r="B12" s="3"/>
      <c r="C12" s="3"/>
      <c r="D12" s="3"/>
      <c r="E12" s="3"/>
      <c r="F12" s="3"/>
    </row>
    <row r="13" spans="1:6" x14ac:dyDescent="0.25">
      <c r="A13" s="4" t="s">
        <v>192</v>
      </c>
      <c r="B13" s="13">
        <v>75000</v>
      </c>
      <c r="C13" s="13">
        <v>882578</v>
      </c>
      <c r="D13" s="13">
        <v>2304943</v>
      </c>
      <c r="E13" s="13">
        <v>4361474</v>
      </c>
      <c r="F13" s="13">
        <v>6994710</v>
      </c>
    </row>
    <row r="14" spans="1:6" x14ac:dyDescent="0.25">
      <c r="A14" s="4" t="s">
        <v>193</v>
      </c>
      <c r="B14" s="13">
        <v>807578</v>
      </c>
      <c r="C14" s="13">
        <v>1422365</v>
      </c>
      <c r="D14" s="13">
        <v>2056531</v>
      </c>
      <c r="E14" s="13">
        <v>2633236</v>
      </c>
      <c r="F14" s="13">
        <v>3034177</v>
      </c>
    </row>
    <row r="15" ht="24" customHeight="1" spans="1:6" x14ac:dyDescent="0.25">
      <c r="A15" s="3" t="s">
        <v>194</v>
      </c>
      <c r="B15" s="14">
        <f>B5-B10</f>
        <v>882578</v>
      </c>
      <c r="C15" s="14">
        <f>C5-C10</f>
        <v>2304943</v>
      </c>
      <c r="D15" s="14">
        <f>D5-D10</f>
        <v>4361474</v>
      </c>
      <c r="E15" s="14">
        <f>E5-E10</f>
        <v>6994710</v>
      </c>
      <c r="F15" s="14">
        <f>F5-F10</f>
        <v>10028887</v>
      </c>
    </row>
    <row r="17" spans="1:6" x14ac:dyDescent="0.25">
      <c r="A17" s="5" t="s">
        <v>195</v>
      </c>
      <c r="B17" s="26" t="str">
        <f>B5-B10-B15</f>
        <v>0</v>
      </c>
      <c r="C17" s="26" t="str">
        <f>C5-C10-C15</f>
        <v>0</v>
      </c>
      <c r="D17" s="26" t="str">
        <f>D5-D10-D15</f>
        <v>0</v>
      </c>
      <c r="E17" s="26" t="str">
        <f>E5-E10-E15</f>
        <v>0</v>
      </c>
      <c r="F17" s="26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6" t="s">
        <v>21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ht="24" customHeight="1" spans="1:6" x14ac:dyDescent="0.25">
      <c r="A2" s="3" t="s">
        <v>196</v>
      </c>
      <c r="B2" s="3"/>
      <c r="C2" s="3"/>
      <c r="D2" s="3"/>
      <c r="E2" s="3"/>
      <c r="F2" s="3"/>
    </row>
    <row r="3" spans="1:6" x14ac:dyDescent="0.25">
      <c r="A3" s="4" t="s">
        <v>197</v>
      </c>
      <c r="B3" s="13">
        <v>848828</v>
      </c>
      <c r="C3" s="13">
        <v>1447456</v>
      </c>
      <c r="D3" s="13">
        <v>2080390</v>
      </c>
      <c r="E3" s="13">
        <v>2650782</v>
      </c>
      <c r="F3" s="13">
        <v>3050323</v>
      </c>
    </row>
    <row r="4" spans="1:6" x14ac:dyDescent="0.25">
      <c r="A4" s="4" t="s">
        <v>150</v>
      </c>
      <c r="B4" s="13">
        <v>34064</v>
      </c>
      <c r="C4" s="13">
        <v>34064</v>
      </c>
      <c r="D4" s="13">
        <v>34064</v>
      </c>
      <c r="E4" s="13">
        <v>34064</v>
      </c>
      <c r="F4" s="13">
        <v>34064</v>
      </c>
    </row>
    <row r="5" spans="1:6" x14ac:dyDescent="0.25">
      <c r="A5" s="5" t="s">
        <v>198</v>
      </c>
      <c r="B5" s="29">
        <f>IF(B4=0,"N/A",B3/B4)</f>
        <v>24.92</v>
      </c>
      <c r="C5" s="29">
        <f>IF(C4=0,"N/A",C3/C4)</f>
        <v>42.49</v>
      </c>
      <c r="D5" s="29">
        <f>IF(D4=0,"N/A",D3/D4)</f>
        <v>61.07</v>
      </c>
      <c r="E5" s="29">
        <f>IF(E4=0,"N/A",E3/E4)</f>
        <v>77.82</v>
      </c>
      <c r="F5" s="29">
        <f>IF(F4=0,"N/A",F3/F4)</f>
        <v>89.55</v>
      </c>
    </row>
    <row r="7" ht="24" customHeight="1" spans="1:6" x14ac:dyDescent="0.25">
      <c r="A7" s="3" t="s">
        <v>199</v>
      </c>
      <c r="B7" s="3"/>
      <c r="C7" s="3"/>
      <c r="D7" s="3"/>
      <c r="E7" s="3"/>
      <c r="F7" s="3"/>
    </row>
    <row r="8" spans="1:6" x14ac:dyDescent="0.25">
      <c r="A8" s="4" t="s">
        <v>200</v>
      </c>
      <c r="B8" s="13">
        <v>1114764</v>
      </c>
      <c r="C8" s="13">
        <v>2518156</v>
      </c>
      <c r="D8" s="13">
        <v>4554482</v>
      </c>
      <c r="E8" s="13">
        <v>7166199</v>
      </c>
      <c r="F8" s="13">
        <v>10177458</v>
      </c>
    </row>
    <row r="9" spans="1:6" x14ac:dyDescent="0.25">
      <c r="A9" s="4" t="s">
        <v>201</v>
      </c>
      <c r="B9" s="13">
        <v>93848</v>
      </c>
      <c r="C9" s="13">
        <v>97101</v>
      </c>
      <c r="D9" s="13">
        <v>100531</v>
      </c>
      <c r="E9" s="13">
        <v>103689</v>
      </c>
      <c r="F9" s="13">
        <v>106056</v>
      </c>
    </row>
    <row r="10" spans="1:6" x14ac:dyDescent="0.25">
      <c r="A10" s="5" t="s">
        <v>202</v>
      </c>
      <c r="B10" s="30">
        <f>IF(B9=0,0,B8/B9)</f>
        <v>11.88</v>
      </c>
      <c r="C10" s="30">
        <f>IF(C9=0,0,C8/C9)</f>
        <v>25.93</v>
      </c>
      <c r="D10" s="30">
        <f>IF(D9=0,0,D8/D9)</f>
        <v>45.3</v>
      </c>
      <c r="E10" s="30">
        <f>IF(E9=0,0,E8/E9)</f>
        <v>69.11</v>
      </c>
      <c r="F10" s="30">
        <f>IF(F9=0,0,F8/F9)</f>
        <v>95.96</v>
      </c>
    </row>
    <row r="11" spans="1:6" x14ac:dyDescent="0.25">
      <c r="A11" s="4" t="s">
        <v>203</v>
      </c>
      <c r="B11" s="31">
        <v>361</v>
      </c>
      <c r="C11" s="31">
        <v>789</v>
      </c>
      <c r="D11" s="31">
        <v>1378</v>
      </c>
      <c r="E11" s="31">
        <v>2102</v>
      </c>
      <c r="F11" s="31">
        <v>2919</v>
      </c>
    </row>
    <row r="13" ht="24" customHeight="1" spans="1:6" x14ac:dyDescent="0.25">
      <c r="A13" s="3" t="s">
        <v>204</v>
      </c>
      <c r="B13" s="3"/>
      <c r="C13" s="3"/>
      <c r="D13" s="3"/>
      <c r="E13" s="3"/>
      <c r="F13" s="3"/>
    </row>
    <row r="14" spans="1:6" x14ac:dyDescent="0.25">
      <c r="A14" s="4" t="s">
        <v>205</v>
      </c>
      <c r="B14" s="32" t="str">
        <f>IF(B5&gt;=1.2,"PASS","FAIL")</f>
        <v>PASS</v>
      </c>
      <c r="C14" s="32" t="str">
        <f>IF(C5&gt;=1.2,"PASS","FAIL")</f>
        <v>PASS</v>
      </c>
      <c r="D14" s="32" t="str">
        <f>IF(D5&gt;=1.2,"PASS","FAIL")</f>
        <v>PASS</v>
      </c>
      <c r="E14" s="32" t="str">
        <f>IF(E5&gt;=1.2,"PASS","FAIL")</f>
        <v>PASS</v>
      </c>
      <c r="F14" s="32" t="str">
        <f>IF(F5&gt;=1.2,"PASS","FAIL")</f>
        <v>PASS</v>
      </c>
    </row>
    <row r="15" spans="1:6" x14ac:dyDescent="0.25">
      <c r="A15" s="4" t="s">
        <v>206</v>
      </c>
      <c r="B15" s="32" t="str">
        <f>IF(B10&gt;=2,"PASS","FAIL")</f>
        <v>PASS</v>
      </c>
      <c r="C15" s="32" t="str">
        <f>IF(C10&gt;=2,"PASS","FAIL")</f>
        <v>PASS</v>
      </c>
      <c r="D15" s="32" t="str">
        <f>IF(D10&gt;=2,"PASS","FAIL")</f>
        <v>PASS</v>
      </c>
      <c r="E15" s="32" t="str">
        <f>IF(E10&gt;=2,"PASS","FAIL")</f>
        <v>PASS</v>
      </c>
      <c r="F15" s="32" t="str">
        <f>IF(F10&gt;=2,"PASS","FAIL")</f>
        <v>PASS</v>
      </c>
    </row>
    <row r="16" spans="1:6" x14ac:dyDescent="0.25">
      <c r="A16" s="4" t="s">
        <v>207</v>
      </c>
      <c r="B16" s="32" t="s">
        <v>208</v>
      </c>
      <c r="C16" s="32" t="s">
        <v>208</v>
      </c>
      <c r="D16" s="32" t="s">
        <v>208</v>
      </c>
      <c r="E16" s="32" t="s">
        <v>208</v>
      </c>
      <c r="F16" s="32" t="s">
        <v>208</v>
      </c>
    </row>
    <row r="17" spans="1:6" x14ac:dyDescent="0.25">
      <c r="A17" s="4" t="s">
        <v>209</v>
      </c>
      <c r="B17" s="33" t="s">
        <v>210</v>
      </c>
      <c r="C17" s="33" t="s">
        <v>210</v>
      </c>
      <c r="D17" s="32" t="s">
        <v>208</v>
      </c>
      <c r="E17" s="32" t="s">
        <v>208</v>
      </c>
      <c r="F17" s="32" t="s">
        <v>208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4" t="s">
        <v>211</v>
      </c>
      <c r="B1" s="34"/>
      <c r="C1" s="34"/>
    </row>
    <row r="2" spans="1:3" x14ac:dyDescent="0.25">
      <c r="A2" s="35" t="s">
        <v>212</v>
      </c>
      <c r="B2" s="35"/>
      <c r="C2" s="35"/>
    </row>
    <row r="4" ht="24" customHeight="1" spans="1:3" x14ac:dyDescent="0.25">
      <c r="A4" s="3" t="s">
        <v>213</v>
      </c>
      <c r="B4" s="3"/>
      <c r="C4" s="3"/>
    </row>
    <row r="5" spans="1:3" x14ac:dyDescent="0.25">
      <c r="A5" s="4" t="s">
        <v>214</v>
      </c>
      <c r="B5" s="32" t="s">
        <v>208</v>
      </c>
      <c r="C5" s="4" t="s">
        <v>215</v>
      </c>
    </row>
    <row r="6" spans="1:3" x14ac:dyDescent="0.25">
      <c r="A6" s="4" t="s">
        <v>216</v>
      </c>
      <c r="B6" s="32" t="s">
        <v>208</v>
      </c>
      <c r="C6" s="4" t="s">
        <v>217</v>
      </c>
    </row>
    <row r="7" spans="1:3" x14ac:dyDescent="0.25">
      <c r="A7" s="4" t="s">
        <v>218</v>
      </c>
      <c r="B7" s="32" t="s">
        <v>208</v>
      </c>
      <c r="C7" s="4" t="s">
        <v>219</v>
      </c>
    </row>
    <row r="8" spans="1:3" x14ac:dyDescent="0.25">
      <c r="A8" s="4" t="s">
        <v>220</v>
      </c>
      <c r="B8" s="32" t="s">
        <v>208</v>
      </c>
      <c r="C8" s="4" t="s">
        <v>34</v>
      </c>
    </row>
    <row r="9" spans="1:3" x14ac:dyDescent="0.25">
      <c r="A9" s="4" t="s">
        <v>221</v>
      </c>
      <c r="B9" s="33" t="s">
        <v>210</v>
      </c>
      <c r="C9" s="4" t="s">
        <v>222</v>
      </c>
    </row>
    <row r="10" spans="1:3" x14ac:dyDescent="0.25">
      <c r="A10" s="4" t="s">
        <v>223</v>
      </c>
      <c r="B10" s="32" t="s">
        <v>208</v>
      </c>
      <c r="C10" s="4" t="s">
        <v>219</v>
      </c>
    </row>
    <row r="12" ht="24" customHeight="1" spans="1:3" x14ac:dyDescent="0.25">
      <c r="A12" s="3" t="s">
        <v>224</v>
      </c>
      <c r="B12" s="3"/>
      <c r="C12" s="3"/>
    </row>
    <row r="13" spans="1:2" x14ac:dyDescent="0.25">
      <c r="A13" s="4" t="s">
        <v>225</v>
      </c>
      <c r="B13" s="5" t="s">
        <v>226</v>
      </c>
    </row>
    <row r="14" spans="1:2" x14ac:dyDescent="0.25">
      <c r="A14" s="4" t="s">
        <v>227</v>
      </c>
      <c r="B14" s="36" t="s">
        <v>228</v>
      </c>
    </row>
    <row r="16" ht="24" customHeight="1" spans="1:3" x14ac:dyDescent="0.25">
      <c r="A16" s="3" t="s">
        <v>229</v>
      </c>
      <c r="B16" s="3"/>
      <c r="C16" s="3"/>
    </row>
    <row r="17" spans="1:2" x14ac:dyDescent="0.25">
      <c r="A17" s="4" t="s">
        <v>230</v>
      </c>
      <c r="B17" s="18">
        <v>1975000</v>
      </c>
    </row>
    <row r="18" spans="1:2" x14ac:dyDescent="0.25">
      <c r="A18" s="4" t="s">
        <v>231</v>
      </c>
      <c r="B18" s="18">
        <v>1185236</v>
      </c>
    </row>
    <row r="19" spans="1:2" x14ac:dyDescent="0.25">
      <c r="A19" s="4" t="s">
        <v>232</v>
      </c>
      <c r="B19" s="18">
        <v>789764</v>
      </c>
    </row>
    <row r="20" spans="1:2" x14ac:dyDescent="0.25">
      <c r="A20" s="4" t="s">
        <v>233</v>
      </c>
      <c r="B20" s="37">
        <v>0.3998805063291139</v>
      </c>
    </row>
    <row r="21" spans="1:2" x14ac:dyDescent="0.25">
      <c r="A21" s="4" t="s">
        <v>175</v>
      </c>
      <c r="B21" s="18">
        <v>325000</v>
      </c>
    </row>
    <row r="22" spans="1:2" x14ac:dyDescent="0.25">
      <c r="A22" s="4" t="s">
        <v>234</v>
      </c>
      <c r="B22" s="18">
        <v>1114764</v>
      </c>
    </row>
    <row r="23" spans="1:2" x14ac:dyDescent="0.25">
      <c r="A23" s="4" t="s">
        <v>235</v>
      </c>
      <c r="B23" s="18">
        <v>250000</v>
      </c>
    </row>
    <row r="24" spans="1:2" x14ac:dyDescent="0.25">
      <c r="A24" s="4" t="s">
        <v>236</v>
      </c>
      <c r="B24" s="5" t="s">
        <v>215</v>
      </c>
    </row>
    <row r="25" spans="1:2" x14ac:dyDescent="0.25">
      <c r="A25" s="4" t="s">
        <v>237</v>
      </c>
      <c r="B25" s="5" t="s">
        <v>238</v>
      </c>
    </row>
    <row r="26" spans="1:2" x14ac:dyDescent="0.25">
      <c r="A26" s="4" t="s">
        <v>239</v>
      </c>
      <c r="B26" s="5" t="s">
        <v>34</v>
      </c>
    </row>
    <row r="27" spans="1:2" x14ac:dyDescent="0.25">
      <c r="A27" s="4" t="s">
        <v>240</v>
      </c>
      <c r="B27" s="18">
        <v>19750</v>
      </c>
    </row>
    <row r="28" spans="1:2" x14ac:dyDescent="0.25">
      <c r="A28" s="4" t="s">
        <v>241</v>
      </c>
      <c r="B28" s="18">
        <v>11852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4" t="s">
        <v>4</v>
      </c>
      <c r="B1" s="34"/>
      <c r="C1" s="34"/>
      <c r="D1" s="34"/>
      <c r="E1" s="34"/>
      <c r="F1" s="34"/>
    </row>
    <row r="2" ht="22" customHeight="1" spans="1:6" x14ac:dyDescent="0.25">
      <c r="A2" s="38" t="s">
        <v>242</v>
      </c>
      <c r="B2" s="38"/>
      <c r="C2" s="38"/>
      <c r="D2" s="38"/>
      <c r="E2" s="38"/>
      <c r="F2" s="38"/>
    </row>
    <row r="3" ht="18" customHeight="1" spans="1:6" x14ac:dyDescent="0.25">
      <c r="A3" s="39" t="s">
        <v>243</v>
      </c>
      <c r="B3" s="39"/>
      <c r="C3" s="39"/>
      <c r="D3" s="39"/>
      <c r="E3" s="39"/>
      <c r="F3" s="39"/>
    </row>
    <row r="4" ht="16" customHeight="1" spans="1:6" x14ac:dyDescent="0.25">
      <c r="A4" s="40" t="s">
        <v>244</v>
      </c>
      <c r="B4" s="40"/>
      <c r="C4" s="40"/>
      <c r="D4" s="40"/>
      <c r="E4" s="40"/>
      <c r="F4" s="40"/>
    </row>
    <row r="6" ht="28" customHeight="1" spans="1:6" x14ac:dyDescent="0.25">
      <c r="A6" s="6" t="s">
        <v>21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</row>
    <row r="7" spans="1:6" x14ac:dyDescent="0.25">
      <c r="A7" s="4" t="s">
        <v>27</v>
      </c>
      <c r="B7" s="31">
        <f>Assumptions!$B$17</f>
        <v>100</v>
      </c>
      <c r="C7" s="31">
        <f>Assumptions!$C$17</f>
        <v>130</v>
      </c>
      <c r="D7" s="31">
        <f>Assumptions!$D$17</f>
        <v>160</v>
      </c>
      <c r="E7" s="31">
        <f>Assumptions!$E$17</f>
        <v>185</v>
      </c>
      <c r="F7" s="31">
        <f>Assumptions!$F$17</f>
        <v>200</v>
      </c>
    </row>
    <row r="8" spans="1:6" x14ac:dyDescent="0.25">
      <c r="A8" s="5" t="s">
        <v>178</v>
      </c>
      <c r="B8" s="26">
        <f>'5-Year P&amp;L'!B2</f>
        <v>1975000</v>
      </c>
      <c r="C8" s="26">
        <f>'5-Year P&amp;L'!C2</f>
        <v>2612670</v>
      </c>
      <c r="D8" s="26">
        <f>'5-Year P&amp;L'!D2</f>
        <v>3286760</v>
      </c>
      <c r="E8" s="26">
        <f>'5-Year P&amp;L'!E2</f>
        <v>3895050</v>
      </c>
      <c r="F8" s="26">
        <f>'5-Year P&amp;L'!F2</f>
        <v>4323000</v>
      </c>
    </row>
    <row r="9" spans="1:6" x14ac:dyDescent="0.25">
      <c r="A9" s="4" t="s">
        <v>171</v>
      </c>
      <c r="B9" s="13">
        <f>'5-Year P&amp;L'!B6</f>
        <v>1185236</v>
      </c>
      <c r="C9" s="13">
        <f>'5-Year P&amp;L'!C6</f>
        <v>1209278</v>
      </c>
      <c r="D9" s="13">
        <f>'5-Year P&amp;L'!D6</f>
        <v>1250434</v>
      </c>
      <c r="E9" s="13">
        <f>'5-Year P&amp;L'!E6</f>
        <v>1283332</v>
      </c>
      <c r="F9" s="13">
        <f>'5-Year P&amp;L'!F6</f>
        <v>1311741</v>
      </c>
    </row>
    <row r="10" ht="24" customHeight="1" spans="1:6" x14ac:dyDescent="0.25">
      <c r="A10" s="3" t="s">
        <v>180</v>
      </c>
      <c r="B10" s="22">
        <f>'5-Year P&amp;L'!B7</f>
        <v>789764</v>
      </c>
      <c r="C10" s="22">
        <f>'5-Year P&amp;L'!C7</f>
        <v>1403392</v>
      </c>
      <c r="D10" s="22">
        <f>'5-Year P&amp;L'!D7</f>
        <v>2036326</v>
      </c>
      <c r="E10" s="22">
        <f>'5-Year P&amp;L'!E7</f>
        <v>2611717</v>
      </c>
      <c r="F10" s="22">
        <f>'5-Year P&amp;L'!F7</f>
        <v>3011259</v>
      </c>
    </row>
    <row r="11" spans="1:6" x14ac:dyDescent="0.25">
      <c r="A11" s="4" t="s">
        <v>181</v>
      </c>
      <c r="B11" s="12">
        <f>IF(B8=0,0,B10/B8)</f>
        <v>0.4</v>
      </c>
      <c r="C11" s="12">
        <f>IF(C8=0,0,C10/C8)</f>
        <v>0.54</v>
      </c>
      <c r="D11" s="12">
        <f>IF(D8=0,0,D10/D8)</f>
        <v>0.62</v>
      </c>
      <c r="E11" s="12">
        <f>IF(E8=0,0,E10/E8)</f>
        <v>0.67</v>
      </c>
      <c r="F11" s="12">
        <f>IF(F8=0,0,F10/F8)</f>
        <v>0.7</v>
      </c>
    </row>
    <row r="12" spans="1:6" x14ac:dyDescent="0.25">
      <c r="A12" s="5" t="s">
        <v>182</v>
      </c>
      <c r="B12" s="26">
        <f>B10</f>
        <v>789764</v>
      </c>
      <c r="C12" s="26">
        <f>B12+C10</f>
        <v>2193156</v>
      </c>
      <c r="D12" s="26">
        <f>C12+D10</f>
        <v>4229482</v>
      </c>
      <c r="E12" s="26">
        <f>D12+E10</f>
        <v>6841199</v>
      </c>
      <c r="F12" s="26">
        <f>E12+F10</f>
        <v>9852458</v>
      </c>
    </row>
    <row r="13" spans="1:6" x14ac:dyDescent="0.25">
      <c r="A13" s="5" t="s">
        <v>245</v>
      </c>
      <c r="B13" s="26">
        <v>1114764</v>
      </c>
      <c r="C13" s="26">
        <v>2518156</v>
      </c>
      <c r="D13" s="26">
        <v>4554482</v>
      </c>
      <c r="E13" s="26">
        <v>7166199</v>
      </c>
      <c r="F13" s="26">
        <v>10177458</v>
      </c>
    </row>
    <row r="14" spans="1:6" x14ac:dyDescent="0.25">
      <c r="A14" s="4" t="s">
        <v>246</v>
      </c>
      <c r="B14" s="13">
        <v>19750</v>
      </c>
      <c r="C14" s="13">
        <v>20097</v>
      </c>
      <c r="D14" s="13">
        <v>20542</v>
      </c>
      <c r="E14" s="13">
        <v>21054</v>
      </c>
      <c r="F14" s="13">
        <v>21615</v>
      </c>
    </row>
    <row r="15" spans="1:6" x14ac:dyDescent="0.25">
      <c r="A15" s="4" t="s">
        <v>123</v>
      </c>
      <c r="B15" s="13">
        <v>11852</v>
      </c>
      <c r="C15" s="13">
        <v>9302</v>
      </c>
      <c r="D15" s="13">
        <v>7815</v>
      </c>
      <c r="E15" s="13">
        <v>6937</v>
      </c>
      <c r="F15" s="13">
        <v>6559</v>
      </c>
    </row>
    <row r="16" spans="1:6" x14ac:dyDescent="0.25">
      <c r="A16" s="5" t="s">
        <v>198</v>
      </c>
      <c r="B16" s="29">
        <v>24.92</v>
      </c>
      <c r="C16" s="29">
        <v>42.49</v>
      </c>
      <c r="D16" s="29">
        <v>61.07</v>
      </c>
      <c r="E16" s="29">
        <v>77.82</v>
      </c>
      <c r="F16" s="29">
        <v>89.55</v>
      </c>
    </row>
    <row r="18" spans="1:6" x14ac:dyDescent="0.25">
      <c r="A18" s="40" t="s">
        <v>247</v>
      </c>
      <c r="B18" s="40"/>
      <c r="C18" s="40"/>
      <c r="D18" s="40"/>
      <c r="E18" s="40"/>
      <c r="F18" s="40"/>
    </row>
  </sheetData>
  <mergeCells count="5">
    <mergeCell ref="A1:F1"/>
    <mergeCell ref="A2:F2"/>
    <mergeCell ref="A3:F3"/>
    <mergeCell ref="A4:F4"/>
    <mergeCell ref="A18:F18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1" t="s">
        <v>248</v>
      </c>
      <c r="C3" s="41"/>
    </row>
    <row r="4" ht="28" customHeight="1" spans="2:3" x14ac:dyDescent="0.25">
      <c r="B4" s="42" t="s">
        <v>249</v>
      </c>
      <c r="C4" s="42"/>
    </row>
    <row r="6" ht="4" customHeight="1" spans="2:3" x14ac:dyDescent="0.25">
      <c r="B6" s="43"/>
      <c r="C6" s="43"/>
    </row>
    <row r="8" spans="2:2" x14ac:dyDescent="0.25">
      <c r="B8" s="44" t="s">
        <v>250</v>
      </c>
    </row>
    <row r="9" ht="32" customHeight="1" spans="2:3" x14ac:dyDescent="0.25">
      <c r="B9" s="45" t="s">
        <v>4</v>
      </c>
      <c r="C9" s="45"/>
    </row>
    <row r="10" spans="2:3" x14ac:dyDescent="0.25">
      <c r="B10" s="46" t="s">
        <v>251</v>
      </c>
      <c r="C10" s="46"/>
    </row>
    <row r="12" spans="2:3" x14ac:dyDescent="0.25">
      <c r="B12" s="44" t="s">
        <v>252</v>
      </c>
      <c r="C12" s="47" t="s">
        <v>253</v>
      </c>
    </row>
    <row r="15" ht="24" customHeight="1" spans="1:3" x14ac:dyDescent="0.25">
      <c r="A15" s="3"/>
      <c r="B15" s="3" t="s">
        <v>254</v>
      </c>
      <c r="C15" s="3"/>
    </row>
    <row r="16" spans="2:3" x14ac:dyDescent="0.25">
      <c r="B16" s="11" t="s">
        <v>255</v>
      </c>
      <c r="C16" s="26">
        <v>4323000</v>
      </c>
    </row>
    <row r="17" spans="2:3" x14ac:dyDescent="0.25">
      <c r="B17" s="11" t="s">
        <v>256</v>
      </c>
      <c r="C17" s="26">
        <v>3011259</v>
      </c>
    </row>
    <row r="18" spans="2:3" x14ac:dyDescent="0.25">
      <c r="B18" s="11" t="s">
        <v>200</v>
      </c>
      <c r="C18" s="26">
        <v>9927458</v>
      </c>
    </row>
    <row r="19" spans="2:3" x14ac:dyDescent="0.25">
      <c r="B19" s="11" t="s">
        <v>227</v>
      </c>
      <c r="C19" s="48" t="s">
        <v>257</v>
      </c>
    </row>
    <row r="22" ht="24" customHeight="1" spans="1:3" x14ac:dyDescent="0.25">
      <c r="A22" s="3"/>
      <c r="B22" s="3" t="s">
        <v>258</v>
      </c>
      <c r="C22" s="3"/>
    </row>
    <row r="23" spans="2:3" x14ac:dyDescent="0.25">
      <c r="B23" s="49" t="s">
        <v>259</v>
      </c>
      <c r="C23" s="50"/>
    </row>
    <row r="24" spans="2:3" x14ac:dyDescent="0.25">
      <c r="B24" s="49" t="s">
        <v>260</v>
      </c>
      <c r="C24" s="50"/>
    </row>
    <row r="25" spans="2:3" x14ac:dyDescent="0.25">
      <c r="B25" s="49" t="s">
        <v>261</v>
      </c>
      <c r="C25" s="50"/>
    </row>
    <row r="26" spans="2:3" x14ac:dyDescent="0.25">
      <c r="B26" s="49" t="s">
        <v>262</v>
      </c>
      <c r="C26" s="50"/>
    </row>
    <row r="27" spans="2:3" x14ac:dyDescent="0.25">
      <c r="B27" s="49" t="s">
        <v>169</v>
      </c>
      <c r="C27" s="50"/>
    </row>
    <row r="28" spans="2:3" x14ac:dyDescent="0.25">
      <c r="B28" s="49" t="s">
        <v>263</v>
      </c>
      <c r="C28" s="50"/>
    </row>
    <row r="29" spans="2:3" x14ac:dyDescent="0.25">
      <c r="B29" s="49" t="s">
        <v>264</v>
      </c>
      <c r="C29" s="50"/>
    </row>
    <row r="30" spans="2:3" x14ac:dyDescent="0.25">
      <c r="B30" s="49" t="s">
        <v>265</v>
      </c>
      <c r="C30" s="50"/>
    </row>
    <row r="31" spans="2:3" x14ac:dyDescent="0.25">
      <c r="B31" s="49" t="s">
        <v>266</v>
      </c>
      <c r="C31" s="50"/>
    </row>
    <row r="32" spans="2:3" x14ac:dyDescent="0.25">
      <c r="B32" s="49" t="s">
        <v>267</v>
      </c>
      <c r="C32" s="50"/>
    </row>
    <row r="33" spans="2:3" x14ac:dyDescent="0.25">
      <c r="B33" s="49" t="s">
        <v>268</v>
      </c>
      <c r="C33" s="50"/>
    </row>
    <row r="34" spans="2:3" x14ac:dyDescent="0.25">
      <c r="B34" s="49" t="s">
        <v>269</v>
      </c>
      <c r="C34" s="50"/>
    </row>
    <row r="35" spans="2:3" x14ac:dyDescent="0.25">
      <c r="B35" s="49" t="s">
        <v>270</v>
      </c>
      <c r="C35" s="50"/>
    </row>
    <row r="36" spans="2:3" x14ac:dyDescent="0.25">
      <c r="B36" s="49" t="s">
        <v>271</v>
      </c>
      <c r="C36" s="50"/>
    </row>
    <row r="39" spans="2:3" x14ac:dyDescent="0.25">
      <c r="B39" s="40" t="s">
        <v>247</v>
      </c>
      <c r="C39" s="40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2026-03-26T05:44:23Z</dcterms:created>
  <dcterms:modified xsi:type="dcterms:W3CDTF">2026-03-26T05:44:23Z</dcterms:modified>
</cp:coreProperties>
</file>