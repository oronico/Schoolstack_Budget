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<sst xmlns="http://schemas.openxmlformats.org/spreadsheetml/2006/main" count="459" uniqueCount="326">
  <si>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</si>
  <si>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</si>
  <si>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</si>
  <si>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</si>
  <si>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</si>
  <si>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</si>
  <si>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</si>
  <si>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</si>
  <si>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</si>
  <si>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</si>
  <si>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</si>
  <si>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</si>
  <si>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</si>
  <si>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</si>
  <si>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</si>
  <si>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</si>
  <si>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</si>
  <si>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</si>
  <si>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</si>
  <si>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</si>
  <si>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</si>
  <si>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</si>
  <si>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</si>
  <si>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</si>
  <si>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</si>
  <si>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</si>
  <si>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</si>
  <si>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</si>
  <si>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</si>
  <si>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</si>
  <si>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</si>
  <si>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</si>
  <si>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</si>
  <si>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</si>
  <si>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</si>
  <si>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</si>
  <si>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</si>
  <si>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</si>
  <si>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</si>
  <si>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</si>
  <si>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</si>
  <si>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</si>
  <si>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</si>
  <si>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</si>
  <si>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</si>
  <si>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</si>
  <si>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</si>
  <si>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</si>
  <si>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</si>
  <si>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</si>
  <si>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</si>
  <si>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</si>
  <si>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</si>
  <si>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</si>
  <si>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</si>
  <si>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</si>
  <si>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</si>
  <si>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</si>
  <si>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</si>
  <si>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</si>
  <si>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</si>
  <si>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</si>
  <si>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</si>
  <si>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</si>
  <si>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</si>
  <si>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</si>
  <si>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</si>
  <si>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</si>
  <si>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</si>
  <si>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</si>
  <si>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</si>
  <si>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</si>
  <si>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</si>
  <si>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</si>
  <si>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</si>
  <si>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</si>
  <si>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</si>
  <si>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</si>
  <si>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</si>
  <si>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</si>
  <si>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</si>
  <si>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</si>
  <si>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</si>
  <si>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</si>
  <si>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</si>
  <si>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</si>
  <si>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</si>
  <si>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</si>
  <si>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</si>
  <si>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</si>
  <si>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</si>
  <si>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</si>
  <si>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</si>
  <si>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</si>
  <si>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</si>
  <si>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</si>
  <si>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</si>
  <si>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</si>
  <si>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</si>
  <si>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</si>
  <si>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</si>
  <si>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</si>
  <si>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</si>
  <si>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</si>
  <si>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</si>
  <si>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</si>
  <si>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</si>
  <si>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</si>
  <si>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</si>
  <si>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</si>
  <si>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</si>
  <si>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</si>
  <si>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</si>
  <si>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</si>
  <si>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</si>
  <si>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</si>
  <si>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</si>
  <si>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</si>
  <si>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</si>
  <si>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</si>
  <si>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</si>
  <si>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</si>
  <si>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</si>
  <si>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</si>
  <si>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</si>
  <si>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</si>
  <si>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</si>
  <si>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</si>
  <si>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</si>
  <si>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</si>
  <si>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</si>
  <si>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</si>
  <si>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</si>
  <si>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</si>
  <si>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</si>
  <si>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</si>
  <si>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</si>
  <si>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</si>
  <si>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</si>
  <si>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</si>
  <si>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</si>
  <si>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</si>
  <si>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</si>
  <si>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</si>
  <si>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</si>
  <si>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</si>
  <si>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</si>
  <si>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</si>
  <si>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</si>
  <si>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</si>
  <si>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</si>
  <si>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</si>
  <si>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</si>
  <si>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</si>
  <si>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</si>
  <si>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</si>
  <si>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</si>
  <si>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</si>
  <si>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</si>
  <si>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</si>
  <si>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</si>
  <si>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</si>
  <si>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</si>
  <si>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</si>
  <si>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</si>
  <si>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</si>
  <si>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</si>
  <si>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</si>
  <si>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</si>
  <si>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</si>
  <si>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</si>
  <si>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</si>
  <si>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</si>
  <si>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</si>
  <si>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</si>
  <si>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</si>
  <si>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</si>
  <si>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</si>
  <si>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</si>
  <si>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</si>
  <si>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</si>
  <si>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</si>
  <si>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</si>
  <si>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</si>
  <si>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</si>
  <si>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</si>
  <si>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</si>
  <si>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</si>
  <si>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</si>
  <si>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</si>
  <si>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</si>
  <si>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</si>
  <si>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</si>
  <si>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</si>
  <si>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</si>
  <si>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</si>
  <si>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</si>
  <si>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</si>
  <si>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</si>
  <si>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</si>
  <si>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</si>
  <si>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</si>
  <si>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</si>
  <si>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</si>
  <si>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</si>
  <si>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</si>
  <si>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</si>
  <si>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</si>
  <si>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</si>
  <si>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</si>
  <si>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</si>
  <si>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</si>
  <si>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</si>
  <si>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</si>
  <si>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</si>
  <si>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</si>
  <si>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</si>
  <si>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</si>
  <si>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</si>
  <si>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</si>
  <si>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</si>
  <si>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</si>
  <si>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</si>
  <si>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</si>
  <si>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</si>
  <si>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</si>
  <si>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</si>
  <si>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</si>
  <si>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</si>
  <si>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</si>
  <si>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</si>
  <si>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</si>
  <si>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</si>
  <si>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</si>
  <si>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</si>
  <si>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</si>
  <si>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</si>
  <si>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</si>
  <si>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</si>
  <si>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</si>
  <si>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</si>
  <si>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</si>
  <si>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</si>
  <si>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</si>
  <si>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</si>
  <si>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</si>
  <si>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</si>
  <si>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</si>
  <si>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</si>
  <si>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</si>
  <si>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</si>
  <si>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</si>
  <si>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</si>
  <si>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</si>
  <si>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</si>
  <si>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</si>
  <si>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</si>
  <si>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</si>
  <si>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</si>
  <si>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</si>
  <si>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</si>
  <si>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</si>
  <si>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</si>
  <si>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</si>
  <si>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</si>
  <si>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</si>
  <si>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</si>
  <si>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</si>
  <si>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</si>
  <si>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</si>
  <si>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</si>
  <si>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</si>
  <si>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</si>
  <si>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</si>
  <si>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</si>
  <si>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</si>
  <si>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</si>
  <si>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</si>
  <si>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</si>
  <si>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</si>
  <si>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</si>
  <si>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</si>
  <si>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</si>
  <si>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</si>
  <si>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</si>
  <si>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</si>
  <si>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</si>
  <si>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</si>
  <si>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</si>
  <si>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</si>
  <si>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</si>
  <si>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</si>
  <si>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</si>
  <si>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</si>
  <si>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</si>
  <si>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</si>
  <si>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</si>
  <si>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</si>
  <si>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</si>
  <si>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</si>
  <si>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</si>
  <si>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</si>
  <si>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</si>
  <si>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</si>
  <si>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</si>
  <si>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</si>
  <si>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</si>
  <si>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</si>
  <si>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</si>
  <si>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</si>
  <si>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</si>
  <si>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</si>
  <si>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</si>
  <si>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</si>
  <si>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</si>
  <si>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</si>
  <si>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</si>
  <si>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</si>
  <si>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</si>
  <si>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</si>
  <si>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</si>
  <si>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</si>
  <si>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25.3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</si>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</sst>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261905</v>
      </c>
    </row>
    <row r="15" spans="1:2" x14ac:dyDescent="0.25">
      <c r="A15" s="6" t="s">
        <v>136</v>
      </c>
      <c r="B15" s="22">
        <v>26895</v>
      </c>
    </row>
    <row r="16" ht="24" customHeight="1" spans="1:2" x14ac:dyDescent="0.25">
      <c r="A16" s="5" t="s">
        <v>137</v>
      </c>
      <c r="B16" s="23">
        <f>SUM(B9:B15)</f>
        <v>564800</v>
      </c>
    </row>
    <row r="18" spans="1:2" x14ac:dyDescent="0.25">
      <c r="A18" s="7" t="s">
        <v>138</v>
      </c>
      <c r="B18" s="24">
        <f>B6-B16</f>
        <v>-64800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102643</v>
      </c>
      <c r="C3" s="15">
        <v>102643</v>
      </c>
      <c r="D3" s="15">
        <v>102643</v>
      </c>
      <c r="E3" s="15">
        <v>102643</v>
      </c>
      <c r="F3" s="15">
        <v>102643</v>
      </c>
      <c r="G3" s="15">
        <v>102643</v>
      </c>
      <c r="H3" s="15">
        <v>102643</v>
      </c>
      <c r="I3" s="15">
        <v>102643</v>
      </c>
      <c r="J3" s="15">
        <v>102643</v>
      </c>
      <c r="K3" s="15">
        <v>102644</v>
      </c>
      <c r="L3" s="15">
        <v>0</v>
      </c>
      <c r="M3" s="15">
        <v>0</v>
      </c>
      <c r="N3" s="15">
        <f>SUM(B3:M3)</f>
        <v>1026431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170878</v>
      </c>
      <c r="C6" s="23">
        <f>SUM(C3:C5)</f>
        <v>170878</v>
      </c>
      <c r="D6" s="23">
        <f>SUM(D3:D5)</f>
        <v>170878</v>
      </c>
      <c r="E6" s="23">
        <f>SUM(E3:E5)</f>
        <v>170878</v>
      </c>
      <c r="F6" s="23">
        <f>SUM(F3:F5)</f>
        <v>170878</v>
      </c>
      <c r="G6" s="23">
        <f>SUM(G3:G5)</f>
        <v>170878</v>
      </c>
      <c r="H6" s="23">
        <f>SUM(H3:H5)</f>
        <v>170878</v>
      </c>
      <c r="I6" s="23">
        <f>SUM(I3:I5)</f>
        <v>170878</v>
      </c>
      <c r="J6" s="23">
        <f>SUM(J3:J5)</f>
        <v>170878</v>
      </c>
      <c r="K6" s="23">
        <f>SUM(K3:K5)</f>
        <v>170879</v>
      </c>
      <c r="L6" s="23">
        <f>SUM(L3:L5)</f>
        <v>13735</v>
      </c>
      <c r="M6" s="23">
        <f>SUM(M3:M5)</f>
        <v>13740</v>
      </c>
      <c r="N6" s="23">
        <f>SUM(B6:M6)</f>
        <v>1736256</v>
      </c>
    </row>
    <row r="7" spans="1:14" x14ac:dyDescent="0.25">
      <c r="A7" s="7" t="s">
        <v>171</v>
      </c>
      <c r="B7" s="27">
        <f>B2-B6</f>
        <v>-16278</v>
      </c>
      <c r="C7" s="27">
        <f>C2-C6</f>
        <v>-16278</v>
      </c>
      <c r="D7" s="27">
        <f>D2-D6</f>
        <v>-16278</v>
      </c>
      <c r="E7" s="27">
        <f>E2-E6</f>
        <v>-16278</v>
      </c>
      <c r="F7" s="27">
        <f>F2-F6</f>
        <v>-16278</v>
      </c>
      <c r="G7" s="27">
        <f>G2-G6</f>
        <v>-16278</v>
      </c>
      <c r="H7" s="27">
        <f>H2-H6</f>
        <v>-16278</v>
      </c>
      <c r="I7" s="27">
        <f>I2-I6</f>
        <v>-16278</v>
      </c>
      <c r="J7" s="27">
        <f>J2-J6</f>
        <v>-16278</v>
      </c>
      <c r="K7" s="27">
        <f>K2-K6</f>
        <v>-273946</v>
      </c>
      <c r="L7" s="27">
        <f>L2-L6</f>
        <v>-13735</v>
      </c>
      <c r="M7" s="27">
        <f>M2-M6</f>
        <v>-13740</v>
      </c>
      <c r="N7" s="27">
        <f>SUM(B7:M7)</f>
        <v>-447923</v>
      </c>
    </row>
    <row r="8" spans="1:14" x14ac:dyDescent="0.25">
      <c r="A8" s="7" t="s">
        <v>172</v>
      </c>
      <c r="B8" s="27">
        <f>500000+B7</f>
        <v>483722</v>
      </c>
      <c r="C8" s="27">
        <f>B8+C7</f>
        <v>467444</v>
      </c>
      <c r="D8" s="27">
        <f>C8+D7</f>
        <v>451166</v>
      </c>
      <c r="E8" s="27">
        <f>D8+E7</f>
        <v>434888</v>
      </c>
      <c r="F8" s="27">
        <f>E8+F7</f>
        <v>418610</v>
      </c>
      <c r="G8" s="27">
        <f>F8+G7</f>
        <v>402332</v>
      </c>
      <c r="H8" s="27">
        <f>G8+H7</f>
        <v>386054</v>
      </c>
      <c r="I8" s="27">
        <f>H8+I7</f>
        <v>369776</v>
      </c>
      <c r="J8" s="27">
        <f>I8+J7</f>
        <v>353498</v>
      </c>
      <c r="K8" s="27">
        <f>J8+K7</f>
        <v>79552</v>
      </c>
      <c r="L8" s="27">
        <f>K8+L7</f>
        <v>65817</v>
      </c>
      <c r="M8" s="27">
        <f>L8+M7</f>
        <v>52077</v>
      </c>
      <c r="N8" s="27">
        <f>M8</f>
        <v>52077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52077</v>
      </c>
    </row>
    <row r="13" spans="1:2" x14ac:dyDescent="0.25">
      <c r="A13" s="6" t="s">
        <v>176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1026431</v>
      </c>
      <c r="C3" s="15">
        <f>'Staffing Plan'!C28</f>
        <v>1231718</v>
      </c>
      <c r="D3" s="15">
        <f>'Staffing Plan'!D28</f>
        <v>1231718</v>
      </c>
      <c r="E3" s="15">
        <f>'Staffing Plan'!E28</f>
        <v>1231718</v>
      </c>
      <c r="F3" s="15">
        <f>'Staffing Plan'!F28</f>
        <v>1231718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1736256</v>
      </c>
      <c r="C6" s="28">
        <f>SUM(C3:C5)</f>
        <v>2209403</v>
      </c>
      <c r="D6" s="28">
        <f>SUM(D3:D5)</f>
        <v>2512064</v>
      </c>
      <c r="E6" s="28">
        <f>SUM(E3:E5)</f>
        <v>2745632</v>
      </c>
      <c r="F6" s="28">
        <f>SUM(F3:F5)</f>
        <v>2856467</v>
      </c>
    </row>
    <row r="7" spans="1:6" x14ac:dyDescent="0.25">
      <c r="A7" s="7" t="s">
        <v>179</v>
      </c>
      <c r="B7" s="29">
        <f>B2-B6</f>
        <v>-447923</v>
      </c>
      <c r="C7" s="30">
        <f>C2-C6</f>
        <v>313398</v>
      </c>
      <c r="D7" s="30">
        <f>D2-D6</f>
        <v>1272536</v>
      </c>
      <c r="E7" s="30">
        <f>E2-E6</f>
        <v>2013494</v>
      </c>
      <c r="F7" s="30">
        <f>F2-F6</f>
        <v>2327934</v>
      </c>
    </row>
    <row r="8" spans="1:6" x14ac:dyDescent="0.25">
      <c r="A8" s="6" t="s">
        <v>180</v>
      </c>
      <c r="B8" s="14">
        <f>IF(B2=0,0,B7/B2)</f>
        <v>-0.35</v>
      </c>
      <c r="C8" s="14">
        <f>IF(C2=0,0,C7/C2)</f>
        <v>0.12</v>
      </c>
      <c r="D8" s="14">
        <f>IF(D2=0,0,D7/D2)</f>
        <v>0.34</v>
      </c>
      <c r="E8" s="14">
        <f>IF(E2=0,0,E7/E2)</f>
        <v>0.42</v>
      </c>
      <c r="F8" s="14">
        <f>IF(F2=0,0,F7/F2)</f>
        <v>0.45</v>
      </c>
    </row>
    <row r="9" spans="1:6" x14ac:dyDescent="0.25">
      <c r="A9" s="7" t="s">
        <v>181</v>
      </c>
      <c r="B9" s="27">
        <f>B7</f>
        <v>-447923</v>
      </c>
      <c r="C9" s="27">
        <f>B9+C7</f>
        <v>-134525</v>
      </c>
      <c r="D9" s="27">
        <f>C9+D7</f>
        <v>1138011</v>
      </c>
      <c r="E9" s="27">
        <f>D9+E7</f>
        <v>3151505</v>
      </c>
      <c r="F9" s="27">
        <f>E9+F7</f>
        <v>5479439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52077</v>
      </c>
      <c r="C3" s="15">
        <v>365475</v>
      </c>
      <c r="D3" s="15">
        <v>1638011</v>
      </c>
      <c r="E3" s="15">
        <v>3651505</v>
      </c>
      <c r="F3" s="15">
        <v>5979439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52077</v>
      </c>
      <c r="C5" s="16">
        <f>SUM(C3:C4)</f>
        <v>365475</v>
      </c>
      <c r="D5" s="16">
        <f>SUM(D3:D4)</f>
        <v>1638011</v>
      </c>
      <c r="E5" s="16">
        <f>SUM(E3:E4)</f>
        <v>3651505</v>
      </c>
      <c r="F5" s="16">
        <f>SUM(F3:F4)</f>
        <v>5979439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-426848</v>
      </c>
      <c r="D13" s="15">
        <v>-91164</v>
      </c>
      <c r="E13" s="15">
        <v>1204940</v>
      </c>
      <c r="F13" s="15">
        <v>3243357</v>
      </c>
    </row>
    <row r="14" spans="1:6" x14ac:dyDescent="0.25">
      <c r="A14" s="6" t="s">
        <v>194</v>
      </c>
      <c r="B14" s="15">
        <v>-426848</v>
      </c>
      <c r="C14" s="15">
        <v>335684</v>
      </c>
      <c r="D14" s="15">
        <v>1296104</v>
      </c>
      <c r="E14" s="15">
        <v>2038417</v>
      </c>
      <c r="F14" s="15">
        <v>2354290</v>
      </c>
    </row>
    <row r="15" ht="24" customHeight="1" spans="1:6" x14ac:dyDescent="0.25">
      <c r="A15" s="5" t="s">
        <v>195</v>
      </c>
      <c r="B15" s="16">
        <f>B5-B10</f>
        <v>-426848</v>
      </c>
      <c r="C15" s="16">
        <f>C5-C10</f>
        <v>-91164</v>
      </c>
      <c r="D15" s="16">
        <f>D5-D10</f>
        <v>1204940</v>
      </c>
      <c r="E15" s="16">
        <f>E5-E10</f>
        <v>3243357</v>
      </c>
      <c r="F15" s="16">
        <f>F5-F10</f>
        <v>5597647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-283098</v>
      </c>
      <c r="C3" s="15">
        <v>403222</v>
      </c>
      <c r="D3" s="15">
        <v>1362361</v>
      </c>
      <c r="E3" s="15">
        <v>2088318</v>
      </c>
      <c r="F3" s="15">
        <v>2397758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-5.68</v>
      </c>
      <c r="C5" s="33">
        <f>IF(C4=0,"N/A",C3/C4)</f>
        <v>8.09</v>
      </c>
      <c r="D5" s="33">
        <f>IF(D4=0,"N/A",D3/D4)</f>
        <v>27.34</v>
      </c>
      <c r="E5" s="33">
        <f>IF(E4=0,"N/A",E3/E4)</f>
        <v>41.91</v>
      </c>
      <c r="F5" s="33">
        <f>IF(F4=0,"N/A",F3/F4)</f>
        <v>48.12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52077</v>
      </c>
      <c r="C8" s="15">
        <v>365475</v>
      </c>
      <c r="D8" s="15">
        <v>1638011</v>
      </c>
      <c r="E8" s="15">
        <v>3651505</v>
      </c>
      <c r="F8" s="15">
        <v>5979439</v>
      </c>
    </row>
    <row r="9" spans="1:6" x14ac:dyDescent="0.25">
      <c r="A9" s="6" t="s">
        <v>202</v>
      </c>
      <c r="B9" s="15">
        <v>130953</v>
      </c>
      <c r="C9" s="15">
        <v>176632</v>
      </c>
      <c r="D9" s="15">
        <v>201853</v>
      </c>
      <c r="E9" s="15">
        <v>222567</v>
      </c>
      <c r="F9" s="15">
        <v>232220</v>
      </c>
    </row>
    <row r="10" spans="1:6" x14ac:dyDescent="0.25">
      <c r="A10" s="7" t="s">
        <v>203</v>
      </c>
      <c r="B10" s="34">
        <f>IF(B9=0,0,B8/B9)</f>
        <v>0.4</v>
      </c>
      <c r="C10" s="34">
        <f>IF(C9=0,0,C8/C9)</f>
        <v>2.07</v>
      </c>
      <c r="D10" s="34">
        <f>IF(D9=0,0,D8/D9)</f>
        <v>8.11</v>
      </c>
      <c r="E10" s="34">
        <f>IF(E9=0,0,E8/E9)</f>
        <v>16.41</v>
      </c>
      <c r="F10" s="34">
        <f>IF(F9=0,0,F8/F9)</f>
        <v>25.75</v>
      </c>
    </row>
    <row r="11" spans="1:6" x14ac:dyDescent="0.25">
      <c r="A11" s="6" t="s">
        <v>204</v>
      </c>
      <c r="B11" s="35">
        <v>12</v>
      </c>
      <c r="C11" s="35">
        <v>63</v>
      </c>
      <c r="D11" s="35">
        <v>247</v>
      </c>
      <c r="E11" s="35">
        <v>499</v>
      </c>
      <c r="F11" s="35">
        <v>783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1736256</v>
      </c>
    </row>
    <row r="19" spans="1:2" x14ac:dyDescent="0.25">
      <c r="A19" s="6" t="s">
        <v>234</v>
      </c>
      <c r="B19" s="18">
        <v>-447923</v>
      </c>
    </row>
    <row r="20" spans="1:2" x14ac:dyDescent="0.25">
      <c r="A20" s="6" t="s">
        <v>235</v>
      </c>
      <c r="B20" s="41">
        <v>-0.34767641595767557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52077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1736256</v>
      </c>
      <c r="C9" s="15">
        <f>'5-Year P&amp;L'!C6</f>
        <v>2209403</v>
      </c>
      <c r="D9" s="15">
        <f>'5-Year P&amp;L'!D6</f>
        <v>2512064</v>
      </c>
      <c r="E9" s="15">
        <f>'5-Year P&amp;L'!E6</f>
        <v>2745632</v>
      </c>
      <c r="F9" s="15">
        <f>'5-Year P&amp;L'!F6</f>
        <v>2856467</v>
      </c>
    </row>
    <row r="10" ht="24" customHeight="1" spans="1:6" x14ac:dyDescent="0.25">
      <c r="A10" s="5" t="s">
        <v>179</v>
      </c>
      <c r="B10" s="23">
        <f>'5-Year P&amp;L'!B7</f>
        <v>-447923</v>
      </c>
      <c r="C10" s="23">
        <f>'5-Year P&amp;L'!C7</f>
        <v>313398</v>
      </c>
      <c r="D10" s="23">
        <f>'5-Year P&amp;L'!D7</f>
        <v>1272536</v>
      </c>
      <c r="E10" s="23">
        <f>'5-Year P&amp;L'!E7</f>
        <v>2013494</v>
      </c>
      <c r="F10" s="23">
        <f>'5-Year P&amp;L'!F7</f>
        <v>2327934</v>
      </c>
    </row>
    <row r="11" spans="1:6" x14ac:dyDescent="0.25">
      <c r="A11" s="6" t="s">
        <v>180</v>
      </c>
      <c r="B11" s="14">
        <f>IF(B8=0,0,B10/B8)</f>
        <v>-0.35</v>
      </c>
      <c r="C11" s="14">
        <f>IF(C8=0,0,C10/C8)</f>
        <v>0.12</v>
      </c>
      <c r="D11" s="14">
        <f>IF(D8=0,0,D10/D8)</f>
        <v>0.34</v>
      </c>
      <c r="E11" s="14">
        <f>IF(E8=0,0,E10/E8)</f>
        <v>0.42</v>
      </c>
      <c r="F11" s="14">
        <f>IF(F8=0,0,F10/F8)</f>
        <v>0.45</v>
      </c>
    </row>
    <row r="12" spans="1:6" x14ac:dyDescent="0.25">
      <c r="A12" s="7" t="s">
        <v>181</v>
      </c>
      <c r="B12" s="27">
        <f>B10</f>
        <v>-447923</v>
      </c>
      <c r="C12" s="27">
        <f>B12+C10</f>
        <v>-134525</v>
      </c>
      <c r="D12" s="27">
        <f>C12+D10</f>
        <v>1138011</v>
      </c>
      <c r="E12" s="27">
        <f>D12+E10</f>
        <v>3151505</v>
      </c>
      <c r="F12" s="27">
        <f>E12+F10</f>
        <v>5479439</v>
      </c>
    </row>
    <row r="13" spans="1:6" x14ac:dyDescent="0.25">
      <c r="A13" s="7" t="s">
        <v>247</v>
      </c>
      <c r="B13" s="27">
        <v>52077</v>
      </c>
      <c r="C13" s="27">
        <v>365475</v>
      </c>
      <c r="D13" s="27">
        <v>1638011</v>
      </c>
      <c r="E13" s="27">
        <v>3651505</v>
      </c>
      <c r="F13" s="27">
        <v>5979439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14469</v>
      </c>
      <c r="C15" s="15">
        <v>11047</v>
      </c>
      <c r="D15" s="15">
        <v>8374</v>
      </c>
      <c r="E15" s="15">
        <v>7322</v>
      </c>
      <c r="F15" s="15">
        <v>7141</v>
      </c>
    </row>
    <row r="16" spans="1:6" x14ac:dyDescent="0.25">
      <c r="A16" s="7" t="s">
        <v>199</v>
      </c>
      <c r="B16" s="33">
        <v>-5.68</v>
      </c>
      <c r="C16" s="33">
        <v>8.09</v>
      </c>
      <c r="D16" s="33">
        <v>27.34</v>
      </c>
      <c r="E16" s="33">
        <v>41.91</v>
      </c>
      <c r="F16" s="33">
        <v>48.12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2327934</v>
      </c>
    </row>
    <row r="18" spans="2:3" x14ac:dyDescent="0.25">
      <c r="B18" s="13" t="s">
        <v>201</v>
      </c>
      <c r="C18" s="27">
        <v>5479439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1026431</v>
      </c>
      <c r="D9" s="61">
        <v>1231718</v>
      </c>
      <c r="E9" s="61">
        <v>1231718</v>
      </c>
      <c r="F9" s="61">
        <v>1231718</v>
      </c>
      <c r="G9" s="61">
        <v>1231718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-447923</v>
      </c>
      <c r="D12" s="64">
        <v>313398</v>
      </c>
      <c r="E12" s="64">
        <v>1272536</v>
      </c>
      <c r="F12" s="64">
        <v>2013494</v>
      </c>
      <c r="G12" s="64">
        <v>2327934</v>
      </c>
    </row>
    <row r="13" spans="2:7" x14ac:dyDescent="0.25">
      <c r="B13" s="62" t="s">
        <v>282</v>
      </c>
      <c r="C13" s="64">
        <v>52077</v>
      </c>
      <c r="D13" s="64">
        <v>365475</v>
      </c>
      <c r="E13" s="64">
        <v>1638011</v>
      </c>
      <c r="F13" s="64">
        <v>3651505</v>
      </c>
      <c r="G13" s="64">
        <v>5979439</v>
      </c>
    </row>
    <row r="14" spans="2:7" x14ac:dyDescent="0.25">
      <c r="B14" s="62" t="s">
        <v>283</v>
      </c>
      <c r="C14" s="65">
        <v>-0.34767641595767557</v>
      </c>
      <c r="D14" s="66">
        <v>0.12422625654035199</v>
      </c>
      <c r="E14" s="66">
        <v>0.3362405538233895</v>
      </c>
      <c r="F14" s="66">
        <v>0.42308071336642766</v>
      </c>
      <c r="G14" s="66">
        <v>0.44902669547102847</v>
      </c>
    </row>
    <row r="15" spans="2:8" x14ac:dyDescent="0.25">
      <c r="B15" s="62" t="s">
        <v>248</v>
      </c>
      <c r="C15" s="67">
        <v>10736.108333333334</v>
      </c>
      <c r="D15" s="67">
        <v>12614</v>
      </c>
      <c r="E15" s="67">
        <v>12615.333333333334</v>
      </c>
      <c r="F15" s="67">
        <v>12691</v>
      </c>
      <c r="G15" s="67">
        <v>12961</v>
      </c>
      <c r="H15" s="68" t="s">
        <v>284</v>
      </c>
    </row>
    <row r="16" spans="2:8" x14ac:dyDescent="0.25">
      <c r="B16" s="62" t="s">
        <v>285</v>
      </c>
      <c r="C16" s="65">
        <v>0.7967124959152642</v>
      </c>
      <c r="D16" s="66">
        <v>0.4882345013477089</v>
      </c>
      <c r="E16" s="66">
        <v>0.3254552660783174</v>
      </c>
      <c r="F16" s="66">
        <v>0.25881186142410634</v>
      </c>
      <c r="G16" s="66">
        <v>0.23758159092662604</v>
      </c>
      <c r="H16" s="68" t="s">
        <v>286</v>
      </c>
    </row>
    <row r="17" spans="2:8" x14ac:dyDescent="0.25">
      <c r="B17" s="62" t="s">
        <v>287</v>
      </c>
      <c r="C17" s="69">
        <v>0.21888750812095942</v>
      </c>
      <c r="D17" s="66">
        <v>0.1151339781195497</v>
      </c>
      <c r="E17" s="66">
        <v>0.07904835385509698</v>
      </c>
      <c r="F17" s="66">
        <v>0.06474930412628371</v>
      </c>
      <c r="G17" s="66">
        <v>0.06122075900007716</v>
      </c>
      <c r="H17" s="68" t="s">
        <v>288</v>
      </c>
    </row>
    <row r="18" spans="2:8" x14ac:dyDescent="0.25">
      <c r="B18" s="62" t="s">
        <v>289</v>
      </c>
      <c r="C18" s="65">
        <v>-0.219739772248324</v>
      </c>
      <c r="D18" s="66">
        <v>0.15983114000317108</v>
      </c>
      <c r="E18" s="66">
        <v>0.3599748982719442</v>
      </c>
      <c r="F18" s="66">
        <v>0.4388029312110945</v>
      </c>
      <c r="G18" s="66">
        <v>0.46249479206851324</v>
      </c>
      <c r="H18" s="68" t="s">
        <v>290</v>
      </c>
    </row>
    <row r="19" spans="2:8" x14ac:dyDescent="0.25">
      <c r="B19" s="62" t="s">
        <v>291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8" t="s">
        <v>292</v>
      </c>
    </row>
    <row r="20" spans="2:8" x14ac:dyDescent="0.25">
      <c r="B20" s="62" t="s">
        <v>199</v>
      </c>
      <c r="C20" s="71">
        <v>-5.681846462619167</v>
      </c>
      <c r="D20" s="72">
        <v>8.092764676367285</v>
      </c>
      <c r="E20" s="72">
        <v>27.342920220772704</v>
      </c>
      <c r="F20" s="72">
        <v>41.91305569493226</v>
      </c>
      <c r="G20" s="72">
        <v>48.12359257400903</v>
      </c>
      <c r="H20" s="68" t="s">
        <v>293</v>
      </c>
    </row>
    <row r="21" spans="2:8" x14ac:dyDescent="0.25">
      <c r="B21" s="62" t="s">
        <v>294</v>
      </c>
      <c r="C21" s="73" t="str">
        <f>IF('5-Year P&amp;L'!B9&gt;=0,"✓ Break-even","")</f>
        <v>0</v>
      </c>
      <c r="D21" s="73" t="str">
        <f>IF(AND('5-Year P&amp;L'!C9&gt;=0,'5-Year P&amp;L'!B9&lt;0),"✓ Break-even","")</f>
        <v>0</v>
      </c>
      <c r="E21" s="32" t="str">
        <f>IF(AND('5-Year P&amp;L'!D9&gt;=0,'5-Year P&amp;L'!C9&lt;0),"✓ Break-even","")</f>
        <v>✓ Break-even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8" t="s">
        <v>23</v>
      </c>
    </row>
    <row r="22" spans="2:8" x14ac:dyDescent="0.25">
      <c r="B22" s="62" t="s">
        <v>295</v>
      </c>
      <c r="C22" s="74">
        <v>0</v>
      </c>
      <c r="D22" s="74">
        <v>2</v>
      </c>
      <c r="E22" s="74">
        <v>8</v>
      </c>
      <c r="F22" s="75">
        <v>16</v>
      </c>
      <c r="G22" s="70">
        <v>25</v>
      </c>
      <c r="H22" s="68" t="s">
        <v>296</v>
      </c>
    </row>
    <row r="24" ht="24" customHeight="1" spans="2:8" x14ac:dyDescent="0.25">
      <c r="B24" s="5" t="s">
        <v>297</v>
      </c>
      <c r="C24" s="5" t="s">
        <v>298</v>
      </c>
      <c r="D24" s="5" t="s">
        <v>299</v>
      </c>
      <c r="E24" s="5"/>
      <c r="F24" s="5" t="s">
        <v>300</v>
      </c>
      <c r="G24" s="5"/>
      <c r="H24" s="5"/>
    </row>
    <row r="25" ht="45" customHeight="1" spans="2:8" x14ac:dyDescent="0.25">
      <c r="B25" s="76" t="s">
        <v>301</v>
      </c>
      <c r="C25" s="77" t="s">
        <v>302</v>
      </c>
      <c r="D25" s="78" t="s">
        <v>303</v>
      </c>
      <c r="E25" s="78"/>
      <c r="F25" s="79" t="s">
        <v>304</v>
      </c>
      <c r="G25" s="79"/>
      <c r="H25" s="79"/>
    </row>
    <row r="26" ht="45" customHeight="1" spans="2:8" x14ac:dyDescent="0.25">
      <c r="B26" s="76" t="s">
        <v>305</v>
      </c>
      <c r="C26" s="32" t="s">
        <v>306</v>
      </c>
      <c r="D26" s="78" t="s">
        <v>307</v>
      </c>
      <c r="E26" s="78"/>
      <c r="F26" s="79" t="s">
        <v>308</v>
      </c>
      <c r="G26" s="79"/>
      <c r="H26" s="79"/>
    </row>
    <row r="27" ht="45" customHeight="1" spans="2:8" x14ac:dyDescent="0.25">
      <c r="B27" s="76" t="s">
        <v>309</v>
      </c>
      <c r="C27" s="32" t="s">
        <v>306</v>
      </c>
      <c r="D27" s="78" t="s">
        <v>310</v>
      </c>
      <c r="E27" s="78"/>
      <c r="F27" s="79" t="s">
        <v>311</v>
      </c>
      <c r="G27" s="79"/>
      <c r="H27" s="79"/>
    </row>
    <row r="28" ht="45" customHeight="1" spans="2:8" x14ac:dyDescent="0.25">
      <c r="B28" s="76" t="s">
        <v>312</v>
      </c>
      <c r="C28" s="32" t="s">
        <v>306</v>
      </c>
      <c r="D28" s="78" t="s">
        <v>313</v>
      </c>
      <c r="E28" s="78"/>
      <c r="F28" s="79" t="s">
        <v>314</v>
      </c>
      <c r="G28" s="79"/>
      <c r="H28" s="79"/>
    </row>
    <row r="29" ht="45" customHeight="1" spans="2:8" x14ac:dyDescent="0.25">
      <c r="B29" s="76" t="s">
        <v>315</v>
      </c>
      <c r="C29" s="32" t="s">
        <v>306</v>
      </c>
      <c r="D29" s="78" t="s">
        <v>316</v>
      </c>
      <c r="E29" s="78"/>
      <c r="F29" s="79" t="s">
        <v>317</v>
      </c>
      <c r="G29" s="79"/>
      <c r="H29" s="79"/>
    </row>
    <row r="30" ht="45" customHeight="1" spans="2:8" x14ac:dyDescent="0.25">
      <c r="B30" s="76" t="s">
        <v>318</v>
      </c>
      <c r="C30" s="32" t="s">
        <v>306</v>
      </c>
      <c r="D30" s="78" t="s">
        <v>319</v>
      </c>
      <c r="E30" s="78"/>
      <c r="F30" s="79" t="s">
        <v>320</v>
      </c>
      <c r="G30" s="79"/>
      <c r="H30" s="79"/>
    </row>
    <row r="31" ht="45" customHeight="1" spans="2:8" x14ac:dyDescent="0.25">
      <c r="B31" s="76" t="s">
        <v>321</v>
      </c>
      <c r="C31" s="32" t="s">
        <v>306</v>
      </c>
      <c r="D31" s="78" t="s">
        <v>322</v>
      </c>
      <c r="E31" s="78"/>
      <c r="F31" s="79" t="s">
        <v>323</v>
      </c>
      <c r="G31" s="79"/>
      <c r="H31" s="79"/>
    </row>
    <row r="33" spans="2:6" x14ac:dyDescent="0.25">
      <c r="B33" s="76" t="s">
        <v>273</v>
      </c>
      <c r="C33" s="62" t="s">
        <v>324</v>
      </c>
      <c r="D33" s="62"/>
      <c r="E33" s="62"/>
      <c r="F33" s="62"/>
    </row>
    <row r="35" spans="2:8" x14ac:dyDescent="0.25">
      <c r="B35" s="80" t="s">
        <v>325</v>
      </c>
      <c r="C35" s="80"/>
      <c r="D35" s="80"/>
      <c r="E35" s="80"/>
      <c r="F35" s="80"/>
      <c r="G35" s="80"/>
      <c r="H35" s="8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2026-03-26T13:14:03Z</dcterms:created>
  <dcterms:modified xsi:type="dcterms:W3CDTF">2026-03-26T13:14:03Z</dcterms:modified>
</cp:coreProperties>
</file>