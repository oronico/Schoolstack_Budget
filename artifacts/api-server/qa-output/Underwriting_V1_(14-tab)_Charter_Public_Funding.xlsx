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<sst xmlns="http://schemas.openxmlformats.org/spreadsheetml/2006/main" count="459" uniqueCount="326">
  <si>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</si>
  <si>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</si>
  <si>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</si>
  <si>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</si>
  <si>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</si>
  <si>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</si>
  <si>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</si>
  <si>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</si>
  <si>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</si>
  <si>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</si>
  <si>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</si>
  <si>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</si>
  <si>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</si>
  <si>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</si>
  <si>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</si>
  <si>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</si>
  <si>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</si>
  <si>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</si>
  <si>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</si>
  <si>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</si>
  <si>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</si>
  <si>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</si>
  <si>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</si>
  <si>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</si>
  <si>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</si>
  <si>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</si>
  <si>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</si>
  <si>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</si>
  <si>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</si>
  <si>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</si>
  <si>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</si>
  <si>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</si>
  <si>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</si>
  <si>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</si>
  <si>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</si>
  <si>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</si>
  <si>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</si>
  <si>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</si>
  <si>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</si>
  <si>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</si>
  <si>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</si>
  <si>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</si>
  <si>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</si>
  <si>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</si>
  <si>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</si>
  <si>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</si>
  <si>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</si>
  <si>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</si>
  <si>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</si>
  <si>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</si>
  <si>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</si>
  <si>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</si>
  <si>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</si>
  <si>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</si>
  <si>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</si>
  <si>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</si>
  <si>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</si>
  <si>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</si>
  <si>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</si>
  <si>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</si>
  <si>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</si>
  <si>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</si>
  <si>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</si>
  <si>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</si>
  <si>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</si>
  <si>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</si>
  <si>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</si>
  <si>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</si>
  <si>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</si>
  <si>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</si>
  <si>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</si>
  <si>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</si>
  <si>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</si>
  <si>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</si>
  <si>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</si>
  <si>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</si>
  <si>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</si>
  <si>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</si>
  <si>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</si>
  <si>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</si>
  <si>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</si>
  <si>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</si>
  <si>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</si>
  <si>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</si>
  <si>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</si>
  <si>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</si>
  <si>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</si>
  <si>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</si>
  <si>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</si>
  <si>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</si>
  <si>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</si>
  <si>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</si>
  <si>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</si>
  <si>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</si>
  <si>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</si>
  <si>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</si>
  <si>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</si>
  <si>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</si>
  <si>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</si>
  <si>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</si>
  <si>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</si>
  <si>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</si>
  <si>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</si>
  <si>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</si>
  <si>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</si>
  <si>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</si>
  <si>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</si>
  <si>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</si>
  <si>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</si>
  <si>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</si>
  <si>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</si>
  <si>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</si>
  <si>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</si>
  <si>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</si>
  <si>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</si>
  <si>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</si>
  <si>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</si>
  <si>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</si>
  <si>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</si>
  <si>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</si>
  <si>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</si>
  <si>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</si>
  <si>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</si>
  <si>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</si>
  <si>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</si>
  <si>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</si>
  <si>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</si>
  <si>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</si>
  <si>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</si>
  <si>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</si>
  <si>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</si>
  <si>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</si>
  <si>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</si>
  <si>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</si>
  <si>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</si>
  <si>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</si>
  <si>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</si>
  <si>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</si>
  <si>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</si>
  <si>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</si>
  <si>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</si>
  <si>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</si>
  <si>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</si>
  <si>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</si>
  <si>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</si>
  <si>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</si>
  <si>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</si>
  <si>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</si>
  <si>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</si>
  <si>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</si>
  <si>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</si>
  <si>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</si>
  <si>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</si>
  <si>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</si>
  <si>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</si>
  <si>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</si>
  <si>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</si>
  <si>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</si>
  <si>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</si>
  <si>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</si>
  <si>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</si>
  <si>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</si>
  <si>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</si>
  <si>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</si>
  <si>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</si>
  <si>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</si>
  <si>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</si>
  <si>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</si>
  <si>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</si>
  <si>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</si>
  <si>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</si>
  <si>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</si>
  <si>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</si>
  <si>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</si>
  <si>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</si>
  <si>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</si>
  <si>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</si>
  <si>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</si>
  <si>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</si>
  <si>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</si>
  <si>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</si>
  <si>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</si>
  <si>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</si>
  <si>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</si>
  <si>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</si>
  <si>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</si>
  <si>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</si>
  <si>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</si>
  <si>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</si>
  <si>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</si>
  <si>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</si>
  <si>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</si>
  <si>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</si>
  <si>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</si>
  <si>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</si>
  <si>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</si>
  <si>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</si>
  <si>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</si>
  <si>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</si>
  <si>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</si>
  <si>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</si>
  <si>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</si>
  <si>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</si>
  <si>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</si>
  <si>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</si>
  <si>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</si>
  <si>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</si>
  <si>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</si>
  <si>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</si>
  <si>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</si>
  <si>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</si>
  <si>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</si>
  <si>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</si>
  <si>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</si>
  <si>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</si>
  <si>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</si>
  <si>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</si>
  <si>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</si>
  <si>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</si>
  <si>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</si>
  <si>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</si>
  <si>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</si>
  <si>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</si>
  <si>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</si>
  <si>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</si>
  <si>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</si>
  <si>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</si>
  <si>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</si>
  <si>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</si>
  <si>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</si>
  <si>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</si>
  <si>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</si>
  <si>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</si>
  <si>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</si>
  <si>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</si>
  <si>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</si>
  <si>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</si>
  <si>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</si>
  <si>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</si>
  <si>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</si>
  <si>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</si>
  <si>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</si>
  <si>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</si>
  <si>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</si>
  <si>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</si>
  <si>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</si>
  <si>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</si>
  <si>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</si>
  <si>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</si>
  <si>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</si>
  <si>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</si>
  <si>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</si>
  <si>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</si>
  <si>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</si>
  <si>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</si>
  <si>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</si>
  <si>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</si>
  <si>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</si>
  <si>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</si>
  <si>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</si>
  <si>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</si>
  <si>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</si>
  <si>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</si>
  <si>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</si>
  <si>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</si>
  <si>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</si>
  <si>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</si>
  <si>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</si>
  <si>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</si>
  <si>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</si>
  <si>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</si>
  <si>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</si>
  <si>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</si>
  <si>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</si>
  <si>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</si>
  <si>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</si>
  <si>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</si>
  <si>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</si>
  <si>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</si>
  <si>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</si>
  <si>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</si>
  <si>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</si>
  <si>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</si>
  <si>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</si>
  <si>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</si>
  <si>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</si>
  <si>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</si>
  <si>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</si>
  <si>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</si>
  <si>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</si>
  <si>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</si>
  <si>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</si>
  <si>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</si>
  <si>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</si>
  <si>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</si>
  <si>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</si>
  <si>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</si>
  <si>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</si>
  <si>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</si>
  <si>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</si>
  <si>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</si>
  <si>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</si>
  <si>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</si>
  <si>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</si>
  <si>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</si>
  <si>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</si>
  <si>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● Healthy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</si>
  <si>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</si>
  <si>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</si>
  <si>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</si>
  <si>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</si>
  <si>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</si>
  <si>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</si>
  <si>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</si>
  <si>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</si>
  <si>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</si>
  <si>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</si>
  <si>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</si>
  <si>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</si>
  <si>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</si>
  <si>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</si>
  <si>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</si>
  <si>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25.3 months of reserves by Year 5 — a strong buffer for unexpected costs.</t>
  </si>
  <si>
    <t>Continue growing reserves toward 6 months for best-in-class financial health.</t>
  </si>
  <si>
    <t>6 Healthy  |  1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</si>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</sst>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22" fillId="0" borderId="3" xfId="0" applyFont="1" applyBorder="1" applyAlignment="1">
      <alignment horizontal="center"/>
    </xf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375</v>
      </c>
      <c r="F17" s="9">
        <v>400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375</v>
      </c>
      <c r="F2" s="12">
        <v>400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0.25</v>
      </c>
      <c r="F3" s="14">
        <f>IF(E2=0,"-",(F2-E2)/E2)</f>
        <v>0.07</v>
      </c>
    </row>
    <row r="4" spans="1:6" x14ac:dyDescent="0.25">
      <c r="A4" s="6" t="s">
        <v>42</v>
      </c>
      <c r="B4" s="14">
        <v>0.3</v>
      </c>
      <c r="C4" s="14">
        <v>0.5</v>
      </c>
      <c r="D4" s="14">
        <v>0.75</v>
      </c>
      <c r="E4" s="14">
        <v>0.9375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9500</v>
      </c>
      <c r="C7" s="15">
        <v>9690</v>
      </c>
      <c r="D7" s="15">
        <v>9884</v>
      </c>
      <c r="E7" s="15">
        <v>10081</v>
      </c>
      <c r="F7" s="15">
        <v>10283</v>
      </c>
    </row>
    <row r="8" spans="1:6" x14ac:dyDescent="0.25">
      <c r="A8" s="6" t="s">
        <v>45</v>
      </c>
      <c r="B8" s="15">
        <v>800</v>
      </c>
      <c r="C8" s="15">
        <v>816</v>
      </c>
      <c r="D8" s="15">
        <v>832</v>
      </c>
      <c r="E8" s="15">
        <v>849</v>
      </c>
      <c r="F8" s="15">
        <v>866</v>
      </c>
    </row>
    <row r="9" spans="1:6" x14ac:dyDescent="0.25">
      <c r="A9" s="6" t="s">
        <v>46</v>
      </c>
      <c r="B9" s="15">
        <v>1200</v>
      </c>
      <c r="C9" s="15">
        <v>1224</v>
      </c>
      <c r="D9" s="15">
        <v>1248</v>
      </c>
      <c r="E9" s="15">
        <v>1273</v>
      </c>
      <c r="F9" s="15">
        <v>1299</v>
      </c>
    </row>
    <row r="10" spans="1:6" x14ac:dyDescent="0.25">
      <c r="A10" s="6" t="s">
        <v>47</v>
      </c>
      <c r="B10" s="15">
        <v>300</v>
      </c>
      <c r="C10" s="15">
        <v>309</v>
      </c>
      <c r="D10" s="15">
        <v>318</v>
      </c>
      <c r="E10" s="15">
        <v>328</v>
      </c>
      <c r="F10" s="15">
        <v>338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1380000</v>
      </c>
      <c r="C13" s="15">
        <v>2346000</v>
      </c>
      <c r="D13" s="15">
        <v>3589200</v>
      </c>
      <c r="E13" s="15">
        <v>4576125</v>
      </c>
      <c r="F13" s="15">
        <v>4979200</v>
      </c>
    </row>
    <row r="14" spans="1:6" x14ac:dyDescent="0.25">
      <c r="A14" s="6" t="s">
        <v>50</v>
      </c>
      <c r="B14" s="15">
        <v>130000</v>
      </c>
      <c r="C14" s="15">
        <v>115000</v>
      </c>
      <c r="D14" s="15">
        <v>100000</v>
      </c>
      <c r="E14" s="15">
        <v>60000</v>
      </c>
      <c r="F14" s="15">
        <v>70000</v>
      </c>
    </row>
    <row r="15" spans="1:6" x14ac:dyDescent="0.25">
      <c r="A15" s="6" t="s">
        <v>51</v>
      </c>
      <c r="B15" s="15">
        <v>36000</v>
      </c>
      <c r="C15" s="15">
        <v>61800</v>
      </c>
      <c r="D15" s="15">
        <v>95400</v>
      </c>
      <c r="E15" s="15">
        <v>123000</v>
      </c>
      <c r="F15" s="15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375</v>
      </c>
      <c r="F2" s="12">
        <f>Assumptions!$F$17</f>
        <v>400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ROUND(Assumptions!$B$17*9500,0)</f>
        <v>1140000</v>
      </c>
      <c r="C4" s="15">
        <f>ROUND(Assumptions!$C$17*9690,0)</f>
        <v>1938000</v>
      </c>
      <c r="D4" s="15">
        <f>ROUND(Assumptions!$D$17*9884,0)</f>
        <v>2965200</v>
      </c>
      <c r="E4" s="15">
        <f>ROUND(Assumptions!$E$17*10081,0)</f>
        <v>3780375</v>
      </c>
      <c r="F4" s="15">
        <f>ROUND(Assumptions!$F$17*10283,0)</f>
        <v>4113200</v>
      </c>
    </row>
    <row r="5" spans="1:6" x14ac:dyDescent="0.25">
      <c r="A5" s="6" t="s">
        <v>54</v>
      </c>
      <c r="B5" s="15">
        <f>ROUND(Assumptions!$B$17*800,0)</f>
        <v>96000</v>
      </c>
      <c r="C5" s="15">
        <f>ROUND(Assumptions!$C$17*816,0)</f>
        <v>163200</v>
      </c>
      <c r="D5" s="15">
        <f>ROUND(Assumptions!$D$17*832,0)</f>
        <v>249600</v>
      </c>
      <c r="E5" s="15">
        <f>ROUND(Assumptions!$E$17*849,0)</f>
        <v>318375</v>
      </c>
      <c r="F5" s="15">
        <f>ROUND(Assumptions!$F$17*866,0)</f>
        <v>346400</v>
      </c>
    </row>
    <row r="6" spans="1:6" x14ac:dyDescent="0.25">
      <c r="A6" s="6" t="s">
        <v>55</v>
      </c>
      <c r="B6" s="15">
        <f>ROUND(Assumptions!$B$17*1200,0)</f>
        <v>144000</v>
      </c>
      <c r="C6" s="15">
        <f>ROUND(Assumptions!$C$17*1224,0)</f>
        <v>244800</v>
      </c>
      <c r="D6" s="15">
        <f>ROUND(Assumptions!$D$17*1248,0)</f>
        <v>374400</v>
      </c>
      <c r="E6" s="15">
        <f>ROUND(Assumptions!$E$17*1273,0)</f>
        <v>477375</v>
      </c>
      <c r="F6" s="15">
        <f>ROUND(Assumptions!$F$17*1299,0)</f>
        <v>519600</v>
      </c>
    </row>
    <row r="7" ht="24" customHeight="1" spans="1:6" x14ac:dyDescent="0.25">
      <c r="A7" s="5" t="s">
        <v>56</v>
      </c>
      <c r="B7" s="16">
        <f>SUM(B4:B6)</f>
        <v>1380000</v>
      </c>
      <c r="C7" s="16">
        <f>SUM(C4:C6)</f>
        <v>2346000</v>
      </c>
      <c r="D7" s="16">
        <f>SUM(D4:D6)</f>
        <v>3589200</v>
      </c>
      <c r="E7" s="16">
        <f>SUM(E4:E6)</f>
        <v>4576125</v>
      </c>
      <c r="F7" s="16">
        <f>SUM(F4:F6)</f>
        <v>4979200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100000</v>
      </c>
      <c r="C9" s="15">
        <v>75000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30000</v>
      </c>
      <c r="C10" s="15">
        <v>40000</v>
      </c>
      <c r="D10" s="15">
        <v>50000</v>
      </c>
      <c r="E10" s="15">
        <v>60000</v>
      </c>
      <c r="F10" s="15">
        <v>70000</v>
      </c>
    </row>
    <row r="11" ht="24" customHeight="1" spans="1:6" x14ac:dyDescent="0.25">
      <c r="A11" s="5" t="s">
        <v>60</v>
      </c>
      <c r="B11" s="16">
        <f>SUM(B9:B10)</f>
        <v>130000</v>
      </c>
      <c r="C11" s="16">
        <f>SUM(C9:C10)</f>
        <v>115000</v>
      </c>
      <c r="D11" s="16">
        <f>SUM(D9:D10)</f>
        <v>100000</v>
      </c>
      <c r="E11" s="16">
        <f>SUM(E9:E10)</f>
        <v>60000</v>
      </c>
      <c r="F11" s="16">
        <f>SUM(F9:F10)</f>
        <v>70000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ROUND(Assumptions!$B$17*300,0)</f>
        <v>36000</v>
      </c>
      <c r="C13" s="15">
        <f>ROUND(Assumptions!$C$17*309,0)</f>
        <v>61800</v>
      </c>
      <c r="D13" s="15">
        <f>ROUND(Assumptions!$D$17*318,0)</f>
        <v>95400</v>
      </c>
      <c r="E13" s="15">
        <f>ROUND(Assumptions!$E$17*328,0)</f>
        <v>123000</v>
      </c>
      <c r="F13" s="15">
        <f>ROUND(Assumptions!$F$17*338,0)</f>
        <v>135200</v>
      </c>
    </row>
    <row r="14" ht="24" customHeight="1" spans="1:6" x14ac:dyDescent="0.25">
      <c r="A14" s="5" t="s">
        <v>63</v>
      </c>
      <c r="B14" s="16">
        <f>SUM(B13:B13)</f>
        <v>36000</v>
      </c>
      <c r="C14" s="16">
        <f>SUM(C13:C13)</f>
        <v>61800</v>
      </c>
      <c r="D14" s="16">
        <f>SUM(D13:D13)</f>
        <v>95400</v>
      </c>
      <c r="E14" s="16">
        <f>SUM(E13:E13)</f>
        <v>123000</v>
      </c>
      <c r="F14" s="16">
        <f>SUM(F13:F13)</f>
        <v>135200</v>
      </c>
    </row>
    <row r="16" ht="24" customHeight="1" spans="1:6" x14ac:dyDescent="0.25">
      <c r="A16" s="5" t="s">
        <v>64</v>
      </c>
      <c r="B16" s="16">
        <f>B7+B11+B14</f>
        <v>1546000</v>
      </c>
      <c r="C16" s="16">
        <f>C7+C11+C14</f>
        <v>2522800</v>
      </c>
      <c r="D16" s="16">
        <f>D7+D11+D14</f>
        <v>3784600</v>
      </c>
      <c r="E16" s="16">
        <f>E7+E11+E14</f>
        <v>4759125</v>
      </c>
      <c r="F16" s="16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110000</v>
      </c>
      <c r="F4" s="10">
        <v>0.28</v>
      </c>
      <c r="G4" s="10">
        <v>0.0765</v>
      </c>
      <c r="H4" s="18">
        <v>149215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90000</v>
      </c>
      <c r="F5" s="10">
        <v>0.28</v>
      </c>
      <c r="G5" s="10">
        <v>0.0765</v>
      </c>
      <c r="H5" s="18">
        <v>122085</v>
      </c>
    </row>
    <row r="6" spans="1:8" x14ac:dyDescent="0.25">
      <c r="A6" s="6" t="s">
        <v>78</v>
      </c>
      <c r="B6" s="6" t="s">
        <v>75</v>
      </c>
      <c r="C6" s="6" t="s">
        <v>76</v>
      </c>
      <c r="D6" s="11">
        <v>1</v>
      </c>
      <c r="E6" s="17">
        <v>72000</v>
      </c>
      <c r="F6" s="10">
        <v>0.28</v>
      </c>
      <c r="G6" s="10">
        <v>0.0765</v>
      </c>
      <c r="H6" s="18">
        <v>97668</v>
      </c>
    </row>
    <row r="7" spans="1:8" x14ac:dyDescent="0.25">
      <c r="A7" s="6" t="s">
        <v>79</v>
      </c>
      <c r="B7" s="6" t="s">
        <v>80</v>
      </c>
      <c r="C7" s="6" t="s">
        <v>76</v>
      </c>
      <c r="D7" s="11">
        <v>6</v>
      </c>
      <c r="E7" s="17">
        <v>52000</v>
      </c>
      <c r="F7" s="10">
        <v>0.28</v>
      </c>
      <c r="G7" s="10">
        <v>0.0765</v>
      </c>
      <c r="H7" s="18">
        <v>423228</v>
      </c>
    </row>
    <row r="8" spans="1:8" x14ac:dyDescent="0.25">
      <c r="A8" s="6" t="s">
        <v>81</v>
      </c>
      <c r="B8" s="6" t="s">
        <v>80</v>
      </c>
      <c r="C8" s="6" t="s">
        <v>76</v>
      </c>
      <c r="D8" s="11">
        <v>1</v>
      </c>
      <c r="E8" s="17">
        <v>55000</v>
      </c>
      <c r="F8" s="10">
        <v>0.28</v>
      </c>
      <c r="G8" s="10">
        <v>0.0765</v>
      </c>
      <c r="H8" s="18">
        <v>74608</v>
      </c>
    </row>
    <row r="9" spans="1:8" x14ac:dyDescent="0.25">
      <c r="A9" s="6" t="s">
        <v>82</v>
      </c>
      <c r="B9" s="6" t="s">
        <v>80</v>
      </c>
      <c r="C9" s="6" t="s">
        <v>76</v>
      </c>
      <c r="D9" s="11">
        <v>3</v>
      </c>
      <c r="E9" s="17">
        <v>30000</v>
      </c>
      <c r="F9" s="10">
        <v>0.2</v>
      </c>
      <c r="G9" s="10">
        <v>0.0765</v>
      </c>
      <c r="H9" s="18">
        <v>114885</v>
      </c>
    </row>
    <row r="10" spans="1:8" x14ac:dyDescent="0.25">
      <c r="A10" s="6" t="s">
        <v>83</v>
      </c>
      <c r="B10" s="6" t="s">
        <v>84</v>
      </c>
      <c r="C10" s="6" t="s">
        <v>76</v>
      </c>
      <c r="D10" s="11">
        <v>1</v>
      </c>
      <c r="E10" s="17">
        <v>55000</v>
      </c>
      <c r="F10" s="10">
        <v>0.28</v>
      </c>
      <c r="G10" s="10">
        <v>0.0765</v>
      </c>
      <c r="H10" s="18">
        <v>74608</v>
      </c>
    </row>
    <row r="11" spans="1:8" x14ac:dyDescent="0.25">
      <c r="A11" s="6" t="s">
        <v>85</v>
      </c>
      <c r="B11" s="6" t="s">
        <v>86</v>
      </c>
      <c r="C11" s="6" t="s">
        <v>76</v>
      </c>
      <c r="D11" s="11">
        <v>1</v>
      </c>
      <c r="E11" s="17">
        <v>55000</v>
      </c>
      <c r="F11" s="10">
        <v>0.28</v>
      </c>
      <c r="G11" s="10">
        <v>0.0765</v>
      </c>
      <c r="H11" s="18">
        <v>74608</v>
      </c>
    </row>
    <row r="12" spans="1:8" x14ac:dyDescent="0.25">
      <c r="A12" s="6" t="s">
        <v>87</v>
      </c>
      <c r="B12" s="6" t="s">
        <v>88</v>
      </c>
      <c r="C12" s="6" t="s">
        <v>76</v>
      </c>
      <c r="D12" s="11">
        <v>2</v>
      </c>
      <c r="E12" s="17">
        <v>38000</v>
      </c>
      <c r="F12" s="10">
        <v>0.25</v>
      </c>
      <c r="G12" s="10">
        <v>0.0765</v>
      </c>
      <c r="H12" s="18">
        <v>100814</v>
      </c>
    </row>
    <row r="14" ht="24" customHeight="1" spans="1:8" x14ac:dyDescent="0.25">
      <c r="A14" s="5" t="s">
        <v>89</v>
      </c>
      <c r="B14" s="5"/>
      <c r="C14" s="5"/>
      <c r="D14" s="5"/>
      <c r="E14" s="5"/>
      <c r="F14" s="5"/>
      <c r="G14" s="5"/>
      <c r="H14" s="5"/>
    </row>
    <row r="15" spans="1:2" x14ac:dyDescent="0.25">
      <c r="A15" s="6" t="s">
        <v>90</v>
      </c>
      <c r="B15" s="7">
        <v>9</v>
      </c>
    </row>
    <row r="16" spans="1:2" x14ac:dyDescent="0.25">
      <c r="A16" s="6" t="s">
        <v>91</v>
      </c>
      <c r="B16" s="7">
        <v>17</v>
      </c>
    </row>
    <row r="17" spans="1:2" x14ac:dyDescent="0.25">
      <c r="A17" s="6" t="s">
        <v>92</v>
      </c>
      <c r="B17" s="19">
        <v>915000</v>
      </c>
    </row>
    <row r="18" spans="1:2" x14ac:dyDescent="0.25">
      <c r="A18" s="6" t="s">
        <v>93</v>
      </c>
      <c r="B18" s="19">
        <v>246720</v>
      </c>
    </row>
    <row r="19" spans="1:2" x14ac:dyDescent="0.25">
      <c r="A19" s="6" t="s">
        <v>94</v>
      </c>
      <c r="B19" s="19">
        <v>69998</v>
      </c>
    </row>
    <row r="20" spans="1:2" x14ac:dyDescent="0.25">
      <c r="A20" s="6" t="s">
        <v>95</v>
      </c>
      <c r="B20" s="19">
        <v>0</v>
      </c>
    </row>
    <row r="21" spans="1:2" x14ac:dyDescent="0.25">
      <c r="A21" s="7" t="s">
        <v>96</v>
      </c>
      <c r="B21" s="18">
        <v>1231718</v>
      </c>
    </row>
    <row r="23" ht="24" customHeight="1" spans="1:6" x14ac:dyDescent="0.25">
      <c r="A23" s="5" t="s">
        <v>97</v>
      </c>
      <c r="B23" s="5"/>
      <c r="C23" s="5"/>
      <c r="D23" s="5"/>
      <c r="E23" s="5"/>
      <c r="F23" s="5"/>
    </row>
    <row r="24" ht="28" customHeight="1" spans="1:6" x14ac:dyDescent="0.25">
      <c r="A24" s="8" t="s">
        <v>1</v>
      </c>
      <c r="B24" s="8" t="s">
        <v>35</v>
      </c>
      <c r="C24" s="8" t="s">
        <v>36</v>
      </c>
      <c r="D24" s="8" t="s">
        <v>37</v>
      </c>
      <c r="E24" s="8" t="s">
        <v>38</v>
      </c>
      <c r="F24" s="8" t="s">
        <v>39</v>
      </c>
    </row>
    <row r="25" spans="1:6" x14ac:dyDescent="0.25">
      <c r="A25" s="6" t="s">
        <v>98</v>
      </c>
      <c r="B25" s="15">
        <v>1231718</v>
      </c>
      <c r="C25" s="15">
        <v>1231718</v>
      </c>
      <c r="D25" s="15">
        <v>1231718</v>
      </c>
      <c r="E25" s="15">
        <v>1231718</v>
      </c>
      <c r="F25" s="15">
        <v>1231718</v>
      </c>
    </row>
    <row r="26" spans="1:6" x14ac:dyDescent="0.25">
      <c r="A26" s="6" t="s">
        <v>99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6" t="s">
        <v>100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5" t="s">
        <v>101</v>
      </c>
      <c r="B28" s="16">
        <f>B25*B26*B27</f>
        <v>1026431</v>
      </c>
      <c r="C28" s="16">
        <f>C25*C26*C27</f>
        <v>1231718</v>
      </c>
      <c r="D28" s="16">
        <f>D25*D26*D27</f>
        <v>1231718</v>
      </c>
      <c r="E28" s="16">
        <f>E25*E26*E27</f>
        <v>1231718</v>
      </c>
      <c r="F28" s="16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102</v>
      </c>
      <c r="B2" s="5"/>
      <c r="C2" s="5"/>
      <c r="D2" s="5"/>
      <c r="E2" s="5"/>
      <c r="F2" s="5"/>
    </row>
    <row r="3" spans="1:6" x14ac:dyDescent="0.25">
      <c r="A3" s="6" t="s">
        <v>103</v>
      </c>
      <c r="B3" s="15">
        <f>ROUND(Assumptions!$B$17*700,0)</f>
        <v>84000</v>
      </c>
      <c r="C3" s="15">
        <f>ROUND(Assumptions!$C$17*721,0)</f>
        <v>144200</v>
      </c>
      <c r="D3" s="15">
        <f>ROUND(Assumptions!$D$17*743,0)</f>
        <v>222900</v>
      </c>
      <c r="E3" s="15">
        <f>ROUND(Assumptions!$E$17*765,0)</f>
        <v>286875</v>
      </c>
      <c r="F3" s="15">
        <f>ROUND(Assumptions!$F$17*788,0)</f>
        <v>315200</v>
      </c>
    </row>
    <row r="4" ht="24" customHeight="1" spans="1:6" x14ac:dyDescent="0.25">
      <c r="A4" s="5" t="s">
        <v>104</v>
      </c>
      <c r="B4" s="16">
        <f>SUM(B3:B3)</f>
        <v>84000</v>
      </c>
      <c r="C4" s="16">
        <f>SUM(C3:C3)</f>
        <v>144200</v>
      </c>
      <c r="D4" s="16">
        <f>SUM(D3:D3)</f>
        <v>222900</v>
      </c>
      <c r="E4" s="16">
        <f>SUM(E3:E3)</f>
        <v>286875</v>
      </c>
      <c r="F4" s="16">
        <f>SUM(F3:F3)</f>
        <v>315200</v>
      </c>
    </row>
    <row r="5" ht="24" customHeight="1" spans="1:6" x14ac:dyDescent="0.25">
      <c r="A5" s="5" t="s">
        <v>105</v>
      </c>
      <c r="B5" s="5"/>
      <c r="C5" s="5"/>
      <c r="D5" s="5"/>
      <c r="E5" s="5"/>
      <c r="F5" s="5"/>
    </row>
    <row r="6" spans="1:6" x14ac:dyDescent="0.25">
      <c r="A6" s="6" t="s">
        <v>106</v>
      </c>
      <c r="B6" s="15">
        <f>ROUND(Assumptions!$B$17*500,0)</f>
        <v>60000</v>
      </c>
      <c r="C6" s="15">
        <f>ROUND(Assumptions!$C$17*515,0)</f>
        <v>103000</v>
      </c>
      <c r="D6" s="15">
        <f>ROUND(Assumptions!$D$17*530,0)</f>
        <v>159000</v>
      </c>
      <c r="E6" s="15">
        <f>ROUND(Assumptions!$E$17*546,0)</f>
        <v>204750</v>
      </c>
      <c r="F6" s="15">
        <f>ROUND(Assumptions!$F$17*562,0)</f>
        <v>224800</v>
      </c>
    </row>
    <row r="7" ht="24" customHeight="1" spans="1:6" x14ac:dyDescent="0.25">
      <c r="A7" s="5" t="s">
        <v>107</v>
      </c>
      <c r="B7" s="16">
        <f>SUM(B6:B6)</f>
        <v>60000</v>
      </c>
      <c r="C7" s="16">
        <f>SUM(C6:C6)</f>
        <v>103000</v>
      </c>
      <c r="D7" s="16">
        <f>SUM(D6:D6)</f>
        <v>159000</v>
      </c>
      <c r="E7" s="16">
        <f>SUM(E6:E6)</f>
        <v>204750</v>
      </c>
      <c r="F7" s="16">
        <f>SUM(F6:F6)</f>
        <v>224800</v>
      </c>
    </row>
    <row r="8" ht="24" customHeight="1" spans="1:6" x14ac:dyDescent="0.25">
      <c r="A8" s="5" t="s">
        <v>108</v>
      </c>
      <c r="B8" s="5"/>
      <c r="C8" s="5"/>
      <c r="D8" s="5"/>
      <c r="E8" s="5"/>
      <c r="F8" s="5"/>
    </row>
    <row r="9" spans="1:6" x14ac:dyDescent="0.25">
      <c r="A9" s="6" t="s">
        <v>109</v>
      </c>
      <c r="B9" s="15">
        <v>25000</v>
      </c>
      <c r="C9" s="15">
        <v>25750</v>
      </c>
      <c r="D9" s="15">
        <v>26523</v>
      </c>
      <c r="E9" s="15">
        <v>27318</v>
      </c>
      <c r="F9" s="15">
        <v>28138</v>
      </c>
    </row>
    <row r="10" spans="1:6" x14ac:dyDescent="0.25">
      <c r="A10" s="6" t="s">
        <v>110</v>
      </c>
      <c r="B10" s="15">
        <v>15000</v>
      </c>
      <c r="C10" s="15">
        <v>15450</v>
      </c>
      <c r="D10" s="15">
        <v>15914</v>
      </c>
      <c r="E10" s="15">
        <v>16391</v>
      </c>
      <c r="F10" s="15">
        <v>16883</v>
      </c>
    </row>
    <row r="11" spans="1:6" x14ac:dyDescent="0.25">
      <c r="A11" s="6" t="s">
        <v>111</v>
      </c>
      <c r="B11" s="15">
        <v>20000</v>
      </c>
      <c r="C11" s="15">
        <v>20600</v>
      </c>
      <c r="D11" s="15">
        <v>21218</v>
      </c>
      <c r="E11" s="15">
        <v>21855</v>
      </c>
      <c r="F11" s="15">
        <v>22510</v>
      </c>
    </row>
    <row r="12" spans="1:6" x14ac:dyDescent="0.25">
      <c r="A12" s="6" t="s">
        <v>112</v>
      </c>
      <c r="B12" s="15">
        <f>ROUND(Assumptions!$B$17*800,0)</f>
        <v>96000</v>
      </c>
      <c r="C12" s="15">
        <f>ROUND(Assumptions!$C$17*824,0)</f>
        <v>164800</v>
      </c>
      <c r="D12" s="15">
        <f>ROUND(Assumptions!$D$17*849,0)</f>
        <v>254700</v>
      </c>
      <c r="E12" s="15">
        <f>ROUND(Assumptions!$E$17*874,0)</f>
        <v>327750</v>
      </c>
      <c r="F12" s="15">
        <f>ROUND(Assumptions!$F$17*900,0)</f>
        <v>360000</v>
      </c>
    </row>
    <row r="13" spans="1:6" x14ac:dyDescent="0.25">
      <c r="A13" s="6" t="s">
        <v>113</v>
      </c>
      <c r="B13" s="15">
        <f>ROUND(Assumptions!$B$17*600,0)</f>
        <v>72000</v>
      </c>
      <c r="C13" s="15">
        <f>ROUND(Assumptions!$C$17*618,0)</f>
        <v>123600</v>
      </c>
      <c r="D13" s="15">
        <f>ROUND(Assumptions!$D$17*637,0)</f>
        <v>191100</v>
      </c>
      <c r="E13" s="15">
        <f>ROUND(Assumptions!$E$17*656,0)</f>
        <v>246000</v>
      </c>
      <c r="F13" s="15">
        <f>ROUND(Assumptions!$F$17*675,0)</f>
        <v>270000</v>
      </c>
    </row>
    <row r="14" ht="24" customHeight="1" spans="1:6" x14ac:dyDescent="0.25">
      <c r="A14" s="5" t="s">
        <v>114</v>
      </c>
      <c r="B14" s="16">
        <f>SUM(B9:B13)</f>
        <v>228000</v>
      </c>
      <c r="C14" s="16">
        <f>SUM(C9:C13)</f>
        <v>350200</v>
      </c>
      <c r="D14" s="16">
        <f>SUM(D9:D13)</f>
        <v>509455</v>
      </c>
      <c r="E14" s="16">
        <f>SUM(E9:E13)</f>
        <v>639314</v>
      </c>
      <c r="F14" s="16">
        <f>SUM(F9:F13)</f>
        <v>697531</v>
      </c>
    </row>
    <row r="16" ht="24" customHeight="1" spans="1:6" x14ac:dyDescent="0.25">
      <c r="A16" s="5" t="s">
        <v>115</v>
      </c>
      <c r="B16" s="16">
        <f>B4+B7+B14</f>
        <v>372000</v>
      </c>
      <c r="C16" s="16">
        <f>C4+C7+C14</f>
        <v>597400</v>
      </c>
      <c r="D16" s="16">
        <f>D4+D7+D14</f>
        <v>891355</v>
      </c>
      <c r="E16" s="16">
        <f>E4+E7+E14</f>
        <v>1130939</v>
      </c>
      <c r="F16" s="16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116</v>
      </c>
      <c r="B2" s="5"/>
      <c r="C2" s="5"/>
      <c r="D2" s="5"/>
      <c r="E2" s="5"/>
      <c r="F2" s="5"/>
    </row>
    <row r="3" spans="1:6" x14ac:dyDescent="0.25">
      <c r="A3" s="6" t="s">
        <v>117</v>
      </c>
      <c r="B3" s="15">
        <v>216000</v>
      </c>
      <c r="C3" s="15">
        <v>222480</v>
      </c>
      <c r="D3" s="15">
        <v>229154</v>
      </c>
      <c r="E3" s="15">
        <v>236029</v>
      </c>
      <c r="F3" s="15">
        <v>243110</v>
      </c>
    </row>
    <row r="4" spans="1:6" x14ac:dyDescent="0.25">
      <c r="A4" s="6" t="s">
        <v>118</v>
      </c>
      <c r="B4" s="15">
        <v>30000</v>
      </c>
      <c r="C4" s="15">
        <v>30900</v>
      </c>
      <c r="D4" s="15">
        <v>31824</v>
      </c>
      <c r="E4" s="15">
        <v>32784</v>
      </c>
      <c r="F4" s="15">
        <v>33768</v>
      </c>
    </row>
    <row r="5" spans="1:6" x14ac:dyDescent="0.25">
      <c r="A5" s="6" t="s">
        <v>119</v>
      </c>
      <c r="B5" s="15">
        <v>18000</v>
      </c>
      <c r="C5" s="15">
        <v>18540</v>
      </c>
      <c r="D5" s="15">
        <v>19096</v>
      </c>
      <c r="E5" s="15">
        <v>19669</v>
      </c>
      <c r="F5" s="15">
        <v>20259</v>
      </c>
    </row>
    <row r="6" spans="1:6" x14ac:dyDescent="0.25">
      <c r="A6" s="6" t="s">
        <v>120</v>
      </c>
      <c r="B6" s="15">
        <v>18000</v>
      </c>
      <c r="C6" s="15">
        <v>18540</v>
      </c>
      <c r="D6" s="15">
        <v>19092</v>
      </c>
      <c r="E6" s="15">
        <v>19668</v>
      </c>
      <c r="F6" s="15">
        <v>20256</v>
      </c>
    </row>
    <row r="7" ht="24" customHeight="1" spans="1:6" x14ac:dyDescent="0.25">
      <c r="A7" s="5" t="s">
        <v>121</v>
      </c>
      <c r="B7" s="16">
        <f>SUM(B3:B6)</f>
        <v>282000</v>
      </c>
      <c r="C7" s="16">
        <f>SUM(C3:C6)</f>
        <v>290460</v>
      </c>
      <c r="D7" s="16">
        <f>SUM(D3:D6)</f>
        <v>299166</v>
      </c>
      <c r="E7" s="16">
        <f>SUM(E3:E6)</f>
        <v>308150</v>
      </c>
      <c r="F7" s="16">
        <f>SUM(F3:F6)</f>
        <v>317393</v>
      </c>
    </row>
    <row r="9" spans="1:6" x14ac:dyDescent="0.25">
      <c r="A9" s="6" t="s">
        <v>122</v>
      </c>
      <c r="B9" s="15">
        <v>2350</v>
      </c>
      <c r="C9" s="15">
        <v>1452</v>
      </c>
      <c r="D9" s="15">
        <v>997</v>
      </c>
      <c r="E9" s="15">
        <v>822</v>
      </c>
      <c r="F9" s="15">
        <v>793</v>
      </c>
    </row>
    <row r="10" spans="1:6" x14ac:dyDescent="0.25">
      <c r="A10" s="6" t="s">
        <v>123</v>
      </c>
      <c r="B10" s="14">
        <v>0.21888750812095942</v>
      </c>
      <c r="C10" s="14">
        <v>0.1151339781195497</v>
      </c>
      <c r="D10" s="14">
        <v>0.07904835385509698</v>
      </c>
      <c r="E10" s="14">
        <v>0.06474930412628371</v>
      </c>
      <c r="F10" s="14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124</v>
      </c>
      <c r="B1" s="1"/>
    </row>
    <row r="3" ht="24" customHeight="1" spans="1:2" x14ac:dyDescent="0.25">
      <c r="A3" s="5" t="s">
        <v>125</v>
      </c>
      <c r="B3" s="5"/>
    </row>
    <row r="4" spans="1:2" x14ac:dyDescent="0.25">
      <c r="A4" s="6" t="s">
        <v>126</v>
      </c>
      <c r="B4" s="22">
        <v>0</v>
      </c>
    </row>
    <row r="5" spans="1:2" x14ac:dyDescent="0.25">
      <c r="A5" s="6" t="s">
        <v>127</v>
      </c>
      <c r="B5" s="22">
        <v>500000</v>
      </c>
    </row>
    <row r="6" ht="24" customHeight="1" spans="1:2" x14ac:dyDescent="0.25">
      <c r="A6" s="5" t="s">
        <v>128</v>
      </c>
      <c r="B6" s="23">
        <f>SUM(B4:B5)</f>
        <v>500000</v>
      </c>
    </row>
    <row r="8" ht="24" customHeight="1" spans="1:2" x14ac:dyDescent="0.25">
      <c r="A8" s="5" t="s">
        <v>129</v>
      </c>
      <c r="B8" s="5"/>
    </row>
    <row r="9" spans="1:2" x14ac:dyDescent="0.25">
      <c r="A9" s="6" t="s">
        <v>130</v>
      </c>
      <c r="B9" s="22">
        <v>47000</v>
      </c>
    </row>
    <row r="10" spans="1:2" x14ac:dyDescent="0.25">
      <c r="A10" s="6" t="s">
        <v>131</v>
      </c>
      <c r="B10" s="22">
        <v>30000</v>
      </c>
    </row>
    <row r="11" spans="1:2" x14ac:dyDescent="0.25">
      <c r="A11" s="6" t="s">
        <v>132</v>
      </c>
      <c r="B11" s="22">
        <v>84000</v>
      </c>
    </row>
    <row r="12" spans="1:2" x14ac:dyDescent="0.25">
      <c r="A12" s="6" t="s">
        <v>133</v>
      </c>
      <c r="B12" s="22">
        <v>75000</v>
      </c>
    </row>
    <row r="13" spans="1:2" x14ac:dyDescent="0.25">
      <c r="A13" s="6" t="s">
        <v>134</v>
      </c>
      <c r="B13" s="22">
        <v>40000</v>
      </c>
    </row>
    <row r="14" spans="1:2" x14ac:dyDescent="0.25">
      <c r="A14" s="6" t="s">
        <v>135</v>
      </c>
      <c r="B14" s="22">
        <v>261905</v>
      </c>
    </row>
    <row r="15" spans="1:2" x14ac:dyDescent="0.25">
      <c r="A15" s="6" t="s">
        <v>136</v>
      </c>
      <c r="B15" s="22">
        <v>26895</v>
      </c>
    </row>
    <row r="16" ht="24" customHeight="1" spans="1:2" x14ac:dyDescent="0.25">
      <c r="A16" s="5" t="s">
        <v>137</v>
      </c>
      <c r="B16" s="23">
        <f>SUM(B9:B15)</f>
        <v>564800</v>
      </c>
    </row>
    <row r="18" spans="1:2" x14ac:dyDescent="0.25">
      <c r="A18" s="7" t="s">
        <v>138</v>
      </c>
      <c r="B18" s="24">
        <f>B6-B16</f>
        <v>-64800</v>
      </c>
    </row>
    <row r="19" spans="1:1" x14ac:dyDescent="0.25">
      <c r="A19" s="25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141</v>
      </c>
      <c r="B3" s="8" t="s">
        <v>77</v>
      </c>
      <c r="C3" s="8" t="s">
        <v>142</v>
      </c>
      <c r="D3" s="8" t="s">
        <v>143</v>
      </c>
      <c r="E3" s="8" t="s">
        <v>144</v>
      </c>
      <c r="F3" s="8" t="s">
        <v>145</v>
      </c>
      <c r="G3" s="8" t="s">
        <v>146</v>
      </c>
    </row>
    <row r="4" spans="1:7" x14ac:dyDescent="0.25">
      <c r="A4" s="6" t="s">
        <v>147</v>
      </c>
      <c r="B4" s="17">
        <v>500000</v>
      </c>
      <c r="C4" s="10">
        <v>0.0575</v>
      </c>
      <c r="D4" s="26">
        <v>15</v>
      </c>
      <c r="E4" s="15">
        <v>49825</v>
      </c>
      <c r="F4" s="15">
        <v>4152</v>
      </c>
      <c r="G4" s="15">
        <v>247369</v>
      </c>
    </row>
    <row r="6" ht="24" customHeight="1" spans="1:7" x14ac:dyDescent="0.25">
      <c r="A6" s="5" t="s">
        <v>148</v>
      </c>
      <c r="B6" s="5"/>
      <c r="C6" s="5"/>
      <c r="D6" s="5"/>
      <c r="E6" s="5"/>
      <c r="F6" s="5"/>
      <c r="G6" s="5"/>
    </row>
    <row r="7" spans="1:2" x14ac:dyDescent="0.25">
      <c r="A7" s="7" t="s">
        <v>149</v>
      </c>
      <c r="B7" s="18">
        <v>49825</v>
      </c>
    </row>
    <row r="8" spans="1:2" x14ac:dyDescent="0.25">
      <c r="A8" s="6" t="s">
        <v>150</v>
      </c>
      <c r="B8" s="19">
        <v>4152</v>
      </c>
    </row>
    <row r="10" ht="24" customHeight="1" spans="1:7" x14ac:dyDescent="0.25">
      <c r="A10" s="5" t="s">
        <v>151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152</v>
      </c>
      <c r="B11" s="8" t="s">
        <v>153</v>
      </c>
    </row>
    <row r="12" spans="1:2" x14ac:dyDescent="0.25">
      <c r="A12" s="6" t="s">
        <v>23</v>
      </c>
      <c r="B12" s="15">
        <v>478925</v>
      </c>
    </row>
    <row r="13" spans="1:2" x14ac:dyDescent="0.25">
      <c r="A13" s="6" t="s">
        <v>24</v>
      </c>
      <c r="B13" s="15">
        <v>456639</v>
      </c>
    </row>
    <row r="14" spans="1:2" x14ac:dyDescent="0.25">
      <c r="A14" s="6" t="s">
        <v>25</v>
      </c>
      <c r="B14" s="15">
        <v>433071</v>
      </c>
    </row>
    <row r="15" spans="1:2" x14ac:dyDescent="0.25">
      <c r="A15" s="6" t="s">
        <v>26</v>
      </c>
      <c r="B15" s="15">
        <v>408148</v>
      </c>
    </row>
    <row r="16" spans="1:2" x14ac:dyDescent="0.25">
      <c r="A16" s="6" t="s">
        <v>27</v>
      </c>
      <c r="B16" s="15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154</v>
      </c>
      <c r="D1" s="8" t="s">
        <v>155</v>
      </c>
      <c r="E1" s="8" t="s">
        <v>156</v>
      </c>
      <c r="F1" s="8" t="s">
        <v>157</v>
      </c>
      <c r="G1" s="8" t="s">
        <v>158</v>
      </c>
      <c r="H1" s="8" t="s">
        <v>159</v>
      </c>
      <c r="I1" s="8" t="s">
        <v>160</v>
      </c>
      <c r="J1" s="8" t="s">
        <v>161</v>
      </c>
      <c r="K1" s="8" t="s">
        <v>162</v>
      </c>
      <c r="L1" s="8" t="s">
        <v>163</v>
      </c>
      <c r="M1" s="8" t="s">
        <v>164</v>
      </c>
      <c r="N1" s="8" t="s">
        <v>165</v>
      </c>
    </row>
    <row r="2" spans="1:14" x14ac:dyDescent="0.25">
      <c r="A2" s="7" t="s">
        <v>166</v>
      </c>
      <c r="B2" s="15">
        <v>154600</v>
      </c>
      <c r="C2" s="15">
        <v>154600</v>
      </c>
      <c r="D2" s="15">
        <v>154600</v>
      </c>
      <c r="E2" s="15">
        <v>154600</v>
      </c>
      <c r="F2" s="15">
        <v>154600</v>
      </c>
      <c r="G2" s="15">
        <v>154600</v>
      </c>
      <c r="H2" s="15">
        <v>154600</v>
      </c>
      <c r="I2" s="15">
        <v>154600</v>
      </c>
      <c r="J2" s="15">
        <v>154600</v>
      </c>
      <c r="K2" s="15">
        <v>-103067</v>
      </c>
      <c r="L2" s="15">
        <v>0</v>
      </c>
      <c r="M2" s="15">
        <v>0</v>
      </c>
      <c r="N2" s="27">
        <f>SUM(B2:M2)</f>
        <v>1288333</v>
      </c>
    </row>
    <row r="3" spans="1:14" x14ac:dyDescent="0.25">
      <c r="A3" s="6" t="s">
        <v>167</v>
      </c>
      <c r="B3" s="15">
        <v>102643</v>
      </c>
      <c r="C3" s="15">
        <v>102643</v>
      </c>
      <c r="D3" s="15">
        <v>102643</v>
      </c>
      <c r="E3" s="15">
        <v>102643</v>
      </c>
      <c r="F3" s="15">
        <v>102643</v>
      </c>
      <c r="G3" s="15">
        <v>102643</v>
      </c>
      <c r="H3" s="15">
        <v>102643</v>
      </c>
      <c r="I3" s="15">
        <v>102643</v>
      </c>
      <c r="J3" s="15">
        <v>102643</v>
      </c>
      <c r="K3" s="15">
        <v>102644</v>
      </c>
      <c r="L3" s="15">
        <v>0</v>
      </c>
      <c r="M3" s="15">
        <v>0</v>
      </c>
      <c r="N3" s="15">
        <f>SUM(B3:M3)</f>
        <v>1026431</v>
      </c>
    </row>
    <row r="4" spans="1:14" x14ac:dyDescent="0.25">
      <c r="A4" s="6" t="s">
        <v>168</v>
      </c>
      <c r="B4" s="15">
        <v>54500</v>
      </c>
      <c r="C4" s="15">
        <v>54500</v>
      </c>
      <c r="D4" s="15">
        <v>54500</v>
      </c>
      <c r="E4" s="15">
        <v>54500</v>
      </c>
      <c r="F4" s="15">
        <v>54500</v>
      </c>
      <c r="G4" s="15">
        <v>54500</v>
      </c>
      <c r="H4" s="15">
        <v>54500</v>
      </c>
      <c r="I4" s="15">
        <v>54500</v>
      </c>
      <c r="J4" s="15">
        <v>54500</v>
      </c>
      <c r="K4" s="15">
        <v>54500</v>
      </c>
      <c r="L4" s="15">
        <v>0</v>
      </c>
      <c r="M4" s="15">
        <v>0</v>
      </c>
      <c r="N4" s="15">
        <f>SUM(B4:M4)</f>
        <v>545000</v>
      </c>
    </row>
    <row r="5" spans="1:14" x14ac:dyDescent="0.25">
      <c r="A5" s="6" t="s">
        <v>169</v>
      </c>
      <c r="B5" s="15">
        <v>13735</v>
      </c>
      <c r="C5" s="15">
        <v>13735</v>
      </c>
      <c r="D5" s="15">
        <v>13735</v>
      </c>
      <c r="E5" s="15">
        <v>13735</v>
      </c>
      <c r="F5" s="15">
        <v>13735</v>
      </c>
      <c r="G5" s="15">
        <v>13735</v>
      </c>
      <c r="H5" s="15">
        <v>13735</v>
      </c>
      <c r="I5" s="15">
        <v>13735</v>
      </c>
      <c r="J5" s="15">
        <v>13735</v>
      </c>
      <c r="K5" s="15">
        <v>13735</v>
      </c>
      <c r="L5" s="15">
        <v>13735</v>
      </c>
      <c r="M5" s="15">
        <v>13740</v>
      </c>
      <c r="N5" s="15">
        <f>SUM(B5:M5)</f>
        <v>164825</v>
      </c>
    </row>
    <row r="6" ht="24" customHeight="1" spans="1:14" x14ac:dyDescent="0.25">
      <c r="A6" s="5" t="s">
        <v>170</v>
      </c>
      <c r="B6" s="23">
        <f>SUM(B3:B5)</f>
        <v>170878</v>
      </c>
      <c r="C6" s="23">
        <f>SUM(C3:C5)</f>
        <v>170878</v>
      </c>
      <c r="D6" s="23">
        <f>SUM(D3:D5)</f>
        <v>170878</v>
      </c>
      <c r="E6" s="23">
        <f>SUM(E3:E5)</f>
        <v>170878</v>
      </c>
      <c r="F6" s="23">
        <f>SUM(F3:F5)</f>
        <v>170878</v>
      </c>
      <c r="G6" s="23">
        <f>SUM(G3:G5)</f>
        <v>170878</v>
      </c>
      <c r="H6" s="23">
        <f>SUM(H3:H5)</f>
        <v>170878</v>
      </c>
      <c r="I6" s="23">
        <f>SUM(I3:I5)</f>
        <v>170878</v>
      </c>
      <c r="J6" s="23">
        <f>SUM(J3:J5)</f>
        <v>170878</v>
      </c>
      <c r="K6" s="23">
        <f>SUM(K3:K5)</f>
        <v>170879</v>
      </c>
      <c r="L6" s="23">
        <f>SUM(L3:L5)</f>
        <v>13735</v>
      </c>
      <c r="M6" s="23">
        <f>SUM(M3:M5)</f>
        <v>13740</v>
      </c>
      <c r="N6" s="23">
        <f>SUM(B6:M6)</f>
        <v>1736256</v>
      </c>
    </row>
    <row r="7" spans="1:14" x14ac:dyDescent="0.25">
      <c r="A7" s="7" t="s">
        <v>171</v>
      </c>
      <c r="B7" s="27">
        <f>B2-B6</f>
        <v>-16278</v>
      </c>
      <c r="C7" s="27">
        <f>C2-C6</f>
        <v>-16278</v>
      </c>
      <c r="D7" s="27">
        <f>D2-D6</f>
        <v>-16278</v>
      </c>
      <c r="E7" s="27">
        <f>E2-E6</f>
        <v>-16278</v>
      </c>
      <c r="F7" s="27">
        <f>F2-F6</f>
        <v>-16278</v>
      </c>
      <c r="G7" s="27">
        <f>G2-G6</f>
        <v>-16278</v>
      </c>
      <c r="H7" s="27">
        <f>H2-H6</f>
        <v>-16278</v>
      </c>
      <c r="I7" s="27">
        <f>I2-I6</f>
        <v>-16278</v>
      </c>
      <c r="J7" s="27">
        <f>J2-J6</f>
        <v>-16278</v>
      </c>
      <c r="K7" s="27">
        <f>K2-K6</f>
        <v>-273946</v>
      </c>
      <c r="L7" s="27">
        <f>L2-L6</f>
        <v>-13735</v>
      </c>
      <c r="M7" s="27">
        <f>M2-M6</f>
        <v>-13740</v>
      </c>
      <c r="N7" s="27">
        <f>SUM(B7:M7)</f>
        <v>-447923</v>
      </c>
    </row>
    <row r="8" spans="1:14" x14ac:dyDescent="0.25">
      <c r="A8" s="7" t="s">
        <v>172</v>
      </c>
      <c r="B8" s="27">
        <f>500000+B7</f>
        <v>483722</v>
      </c>
      <c r="C8" s="27">
        <f>B8+C7</f>
        <v>467444</v>
      </c>
      <c r="D8" s="27">
        <f>C8+D7</f>
        <v>451166</v>
      </c>
      <c r="E8" s="27">
        <f>D8+E7</f>
        <v>434888</v>
      </c>
      <c r="F8" s="27">
        <f>E8+F7</f>
        <v>418610</v>
      </c>
      <c r="G8" s="27">
        <f>F8+G7</f>
        <v>402332</v>
      </c>
      <c r="H8" s="27">
        <f>G8+H7</f>
        <v>386054</v>
      </c>
      <c r="I8" s="27">
        <f>H8+I7</f>
        <v>369776</v>
      </c>
      <c r="J8" s="27">
        <f>I8+J7</f>
        <v>353498</v>
      </c>
      <c r="K8" s="27">
        <f>J8+K7</f>
        <v>79552</v>
      </c>
      <c r="L8" s="27">
        <f>K8+L7</f>
        <v>65817</v>
      </c>
      <c r="M8" s="27">
        <f>L8+M7</f>
        <v>52077</v>
      </c>
      <c r="N8" s="27">
        <f>M8</f>
        <v>52077</v>
      </c>
    </row>
    <row r="10" ht="24" customHeight="1" spans="1:14" x14ac:dyDescent="0.25">
      <c r="A10" s="5" t="s">
        <v>173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174</v>
      </c>
      <c r="B11" s="19">
        <v>500000</v>
      </c>
    </row>
    <row r="12" spans="1:2" x14ac:dyDescent="0.25">
      <c r="A12" s="6" t="s">
        <v>175</v>
      </c>
      <c r="B12" s="18">
        <f>M8</f>
        <v>52077</v>
      </c>
    </row>
    <row r="13" spans="1:2" x14ac:dyDescent="0.25">
      <c r="A13" s="6" t="s">
        <v>176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177</v>
      </c>
      <c r="B2" s="27">
        <f>'Tuition &amp; Funding Detail'!B16</f>
        <v>1288333</v>
      </c>
      <c r="C2" s="27">
        <f>'Tuition &amp; Funding Detail'!C16</f>
        <v>2522800</v>
      </c>
      <c r="D2" s="27">
        <f>'Tuition &amp; Funding Detail'!D16</f>
        <v>3784600</v>
      </c>
      <c r="E2" s="27">
        <f>'Tuition &amp; Funding Detail'!E16</f>
        <v>4759125</v>
      </c>
      <c r="F2" s="27">
        <f>'Tuition &amp; Funding Detail'!F16</f>
        <v>5184400</v>
      </c>
    </row>
    <row r="3" spans="1:6" x14ac:dyDescent="0.25">
      <c r="A3" s="6" t="s">
        <v>167</v>
      </c>
      <c r="B3" s="15">
        <f>'Staffing Plan'!B28</f>
        <v>1026431</v>
      </c>
      <c r="C3" s="15">
        <f>'Staffing Plan'!C28</f>
        <v>1231718</v>
      </c>
      <c r="D3" s="15">
        <f>'Staffing Plan'!D28</f>
        <v>1231718</v>
      </c>
      <c r="E3" s="15">
        <f>'Staffing Plan'!E28</f>
        <v>1231718</v>
      </c>
      <c r="F3" s="15">
        <f>'Staffing Plan'!F28</f>
        <v>1231718</v>
      </c>
    </row>
    <row r="4" spans="1:6" x14ac:dyDescent="0.25">
      <c r="A4" s="6" t="s">
        <v>168</v>
      </c>
      <c r="B4" s="15">
        <f>'Operating Expenses'!B16+'Facilities &amp; Occupancy'!B7</f>
        <v>545000</v>
      </c>
      <c r="C4" s="15">
        <f>'Operating Expenses'!C16+'Facilities &amp; Occupancy'!C7</f>
        <v>887860</v>
      </c>
      <c r="D4" s="15">
        <f>'Operating Expenses'!D16+'Facilities &amp; Occupancy'!D7</f>
        <v>1190521</v>
      </c>
      <c r="E4" s="15">
        <f>'Operating Expenses'!E16+'Facilities &amp; Occupancy'!E7</f>
        <v>1439089</v>
      </c>
      <c r="F4" s="15">
        <f>'Operating Expenses'!F16+'Facilities &amp; Occupancy'!F7</f>
        <v>1554924</v>
      </c>
    </row>
    <row r="5" spans="1:6" x14ac:dyDescent="0.25">
      <c r="A5" s="6" t="s">
        <v>178</v>
      </c>
      <c r="B5" s="15">
        <v>164825</v>
      </c>
      <c r="C5" s="15">
        <v>89825</v>
      </c>
      <c r="D5" s="15">
        <v>89825</v>
      </c>
      <c r="E5" s="15">
        <v>74825</v>
      </c>
      <c r="F5" s="15">
        <v>69825</v>
      </c>
    </row>
    <row r="6" ht="24" customHeight="1" spans="1:6" x14ac:dyDescent="0.25">
      <c r="A6" s="5" t="s">
        <v>170</v>
      </c>
      <c r="B6" s="28">
        <f>SUM(B3:B5)</f>
        <v>1736256</v>
      </c>
      <c r="C6" s="28">
        <f>SUM(C3:C5)</f>
        <v>2209403</v>
      </c>
      <c r="D6" s="28">
        <f>SUM(D3:D5)</f>
        <v>2512064</v>
      </c>
      <c r="E6" s="28">
        <f>SUM(E3:E5)</f>
        <v>2745632</v>
      </c>
      <c r="F6" s="28">
        <f>SUM(F3:F5)</f>
        <v>2856467</v>
      </c>
    </row>
    <row r="7" spans="1:6" x14ac:dyDescent="0.25">
      <c r="A7" s="7" t="s">
        <v>179</v>
      </c>
      <c r="B7" s="29">
        <f>B2-B6</f>
        <v>-447923</v>
      </c>
      <c r="C7" s="30">
        <f>C2-C6</f>
        <v>313398</v>
      </c>
      <c r="D7" s="30">
        <f>D2-D6</f>
        <v>1272536</v>
      </c>
      <c r="E7" s="30">
        <f>E2-E6</f>
        <v>2013494</v>
      </c>
      <c r="F7" s="30">
        <f>F2-F6</f>
        <v>2327934</v>
      </c>
    </row>
    <row r="8" spans="1:6" x14ac:dyDescent="0.25">
      <c r="A8" s="6" t="s">
        <v>180</v>
      </c>
      <c r="B8" s="14">
        <f>IF(B2=0,0,B7/B2)</f>
        <v>-0.35</v>
      </c>
      <c r="C8" s="14">
        <f>IF(C2=0,0,C7/C2)</f>
        <v>0.12</v>
      </c>
      <c r="D8" s="14">
        <f>IF(D2=0,0,D7/D2)</f>
        <v>0.34</v>
      </c>
      <c r="E8" s="14">
        <f>IF(E2=0,0,E7/E2)</f>
        <v>0.42</v>
      </c>
      <c r="F8" s="14">
        <f>IF(F2=0,0,F7/F2)</f>
        <v>0.45</v>
      </c>
    </row>
    <row r="9" spans="1:6" x14ac:dyDescent="0.25">
      <c r="A9" s="7" t="s">
        <v>181</v>
      </c>
      <c r="B9" s="27">
        <f>B7</f>
        <v>-447923</v>
      </c>
      <c r="C9" s="27">
        <f>B9+C7</f>
        <v>-134525</v>
      </c>
      <c r="D9" s="27">
        <f>C9+D7</f>
        <v>1138011</v>
      </c>
      <c r="E9" s="27">
        <f>D9+E7</f>
        <v>3151505</v>
      </c>
      <c r="F9" s="27">
        <f>E9+F7</f>
        <v>5479439</v>
      </c>
    </row>
    <row r="10" spans="1:6" x14ac:dyDescent="0.25">
      <c r="A10" s="7" t="s">
        <v>182</v>
      </c>
      <c r="B10" s="31" t="s">
        <v>1</v>
      </c>
      <c r="C10" s="31" t="s">
        <v>1</v>
      </c>
      <c r="D10" s="32" t="s">
        <v>183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52077</v>
      </c>
      <c r="C3" s="15">
        <v>365475</v>
      </c>
      <c r="D3" s="15">
        <v>1638011</v>
      </c>
      <c r="E3" s="15">
        <v>3651505</v>
      </c>
      <c r="F3" s="15">
        <v>5979439</v>
      </c>
    </row>
    <row r="4" spans="1:6" x14ac:dyDescent="0.25">
      <c r="A4" s="6" t="s">
        <v>186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187</v>
      </c>
      <c r="B5" s="16">
        <f>SUM(B3:B4)</f>
        <v>52077</v>
      </c>
      <c r="C5" s="16">
        <f>SUM(C3:C4)</f>
        <v>365475</v>
      </c>
      <c r="D5" s="16">
        <f>SUM(D3:D4)</f>
        <v>1638011</v>
      </c>
      <c r="E5" s="16">
        <f>SUM(E3:E4)</f>
        <v>3651505</v>
      </c>
      <c r="F5" s="16">
        <f>SUM(F3:F4)</f>
        <v>5979439</v>
      </c>
    </row>
    <row r="7" ht="24" customHeight="1" spans="1:6" x14ac:dyDescent="0.25">
      <c r="A7" s="5" t="s">
        <v>188</v>
      </c>
      <c r="B7" s="5"/>
      <c r="C7" s="5"/>
      <c r="D7" s="5"/>
      <c r="E7" s="5"/>
      <c r="F7" s="5"/>
    </row>
    <row r="8" spans="1:6" x14ac:dyDescent="0.25">
      <c r="A8" s="6" t="s">
        <v>189</v>
      </c>
      <c r="B8" s="15">
        <v>478925</v>
      </c>
      <c r="C8" s="15">
        <v>456639</v>
      </c>
      <c r="D8" s="15">
        <v>433071</v>
      </c>
      <c r="E8" s="15">
        <v>408148</v>
      </c>
      <c r="F8" s="15">
        <v>381792</v>
      </c>
    </row>
    <row r="9" spans="1:6" x14ac:dyDescent="0.25">
      <c r="A9" s="6" t="s">
        <v>190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191</v>
      </c>
      <c r="B10" s="16">
        <f>SUM(B8:B9)</f>
        <v>478925</v>
      </c>
      <c r="C10" s="16">
        <f>SUM(C8:C9)</f>
        <v>456639</v>
      </c>
      <c r="D10" s="16">
        <f>SUM(D8:D9)</f>
        <v>433071</v>
      </c>
      <c r="E10" s="16">
        <f>SUM(E8:E9)</f>
        <v>408148</v>
      </c>
      <c r="F10" s="16">
        <f>SUM(F8:F9)</f>
        <v>381792</v>
      </c>
    </row>
    <row r="12" ht="24" customHeight="1" spans="1:6" x14ac:dyDescent="0.25">
      <c r="A12" s="5" t="s">
        <v>192</v>
      </c>
      <c r="B12" s="5"/>
      <c r="C12" s="5"/>
      <c r="D12" s="5"/>
      <c r="E12" s="5"/>
      <c r="F12" s="5"/>
    </row>
    <row r="13" spans="1:6" x14ac:dyDescent="0.25">
      <c r="A13" s="6" t="s">
        <v>193</v>
      </c>
      <c r="B13" s="15">
        <v>0</v>
      </c>
      <c r="C13" s="15">
        <v>-426848</v>
      </c>
      <c r="D13" s="15">
        <v>-91164</v>
      </c>
      <c r="E13" s="15">
        <v>1204940</v>
      </c>
      <c r="F13" s="15">
        <v>3243357</v>
      </c>
    </row>
    <row r="14" spans="1:6" x14ac:dyDescent="0.25">
      <c r="A14" s="6" t="s">
        <v>194</v>
      </c>
      <c r="B14" s="15">
        <v>-426848</v>
      </c>
      <c r="C14" s="15">
        <v>335684</v>
      </c>
      <c r="D14" s="15">
        <v>1296104</v>
      </c>
      <c r="E14" s="15">
        <v>2038417</v>
      </c>
      <c r="F14" s="15">
        <v>2354290</v>
      </c>
    </row>
    <row r="15" ht="24" customHeight="1" spans="1:6" x14ac:dyDescent="0.25">
      <c r="A15" s="5" t="s">
        <v>195</v>
      </c>
      <c r="B15" s="16">
        <f>B5-B10</f>
        <v>-426848</v>
      </c>
      <c r="C15" s="16">
        <f>C5-C10</f>
        <v>-91164</v>
      </c>
      <c r="D15" s="16">
        <f>D5-D10</f>
        <v>1204940</v>
      </c>
      <c r="E15" s="16">
        <f>E5-E10</f>
        <v>3243357</v>
      </c>
      <c r="F15" s="16">
        <f>F5-F10</f>
        <v>5597647</v>
      </c>
    </row>
    <row r="17" spans="1:6" x14ac:dyDescent="0.25">
      <c r="A17" s="7" t="s">
        <v>196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197</v>
      </c>
      <c r="B2" s="5"/>
      <c r="C2" s="5"/>
      <c r="D2" s="5"/>
      <c r="E2" s="5"/>
      <c r="F2" s="5"/>
    </row>
    <row r="3" spans="1:6" x14ac:dyDescent="0.25">
      <c r="A3" s="6" t="s">
        <v>198</v>
      </c>
      <c r="B3" s="15">
        <v>-283098</v>
      </c>
      <c r="C3" s="15">
        <v>403222</v>
      </c>
      <c r="D3" s="15">
        <v>1362361</v>
      </c>
      <c r="E3" s="15">
        <v>2088318</v>
      </c>
      <c r="F3" s="15">
        <v>2397758</v>
      </c>
    </row>
    <row r="4" spans="1:6" x14ac:dyDescent="0.25">
      <c r="A4" s="6" t="s">
        <v>149</v>
      </c>
      <c r="B4" s="15">
        <v>49825</v>
      </c>
      <c r="C4" s="15">
        <v>49825</v>
      </c>
      <c r="D4" s="15">
        <v>49825</v>
      </c>
      <c r="E4" s="15">
        <v>49825</v>
      </c>
      <c r="F4" s="15">
        <v>49825</v>
      </c>
    </row>
    <row r="5" spans="1:6" x14ac:dyDescent="0.25">
      <c r="A5" s="7" t="s">
        <v>199</v>
      </c>
      <c r="B5" s="33">
        <f>IF(B4=0,"N/A",B3/B4)</f>
        <v>-5.68</v>
      </c>
      <c r="C5" s="33">
        <f>IF(C4=0,"N/A",C3/C4)</f>
        <v>8.09</v>
      </c>
      <c r="D5" s="33">
        <f>IF(D4=0,"N/A",D3/D4)</f>
        <v>27.34</v>
      </c>
      <c r="E5" s="33">
        <f>IF(E4=0,"N/A",E3/E4)</f>
        <v>41.91</v>
      </c>
      <c r="F5" s="33">
        <f>IF(F4=0,"N/A",F3/F4)</f>
        <v>48.12</v>
      </c>
    </row>
    <row r="7" ht="24" customHeight="1" spans="1:6" x14ac:dyDescent="0.25">
      <c r="A7" s="5" t="s">
        <v>200</v>
      </c>
      <c r="B7" s="5"/>
      <c r="C7" s="5"/>
      <c r="D7" s="5"/>
      <c r="E7" s="5"/>
      <c r="F7" s="5"/>
    </row>
    <row r="8" spans="1:6" x14ac:dyDescent="0.25">
      <c r="A8" s="6" t="s">
        <v>201</v>
      </c>
      <c r="B8" s="15">
        <v>52077</v>
      </c>
      <c r="C8" s="15">
        <v>365475</v>
      </c>
      <c r="D8" s="15">
        <v>1638011</v>
      </c>
      <c r="E8" s="15">
        <v>3651505</v>
      </c>
      <c r="F8" s="15">
        <v>5979439</v>
      </c>
    </row>
    <row r="9" spans="1:6" x14ac:dyDescent="0.25">
      <c r="A9" s="6" t="s">
        <v>202</v>
      </c>
      <c r="B9" s="15">
        <v>130953</v>
      </c>
      <c r="C9" s="15">
        <v>176632</v>
      </c>
      <c r="D9" s="15">
        <v>201853</v>
      </c>
      <c r="E9" s="15">
        <v>222567</v>
      </c>
      <c r="F9" s="15">
        <v>232220</v>
      </c>
    </row>
    <row r="10" spans="1:6" x14ac:dyDescent="0.25">
      <c r="A10" s="7" t="s">
        <v>203</v>
      </c>
      <c r="B10" s="34">
        <f>IF(B9=0,0,B8/B9)</f>
        <v>0.4</v>
      </c>
      <c r="C10" s="34">
        <f>IF(C9=0,0,C8/C9)</f>
        <v>2.07</v>
      </c>
      <c r="D10" s="34">
        <f>IF(D9=0,0,D8/D9)</f>
        <v>8.11</v>
      </c>
      <c r="E10" s="34">
        <f>IF(E9=0,0,E8/E9)</f>
        <v>16.41</v>
      </c>
      <c r="F10" s="34">
        <f>IF(F9=0,0,F8/F9)</f>
        <v>25.75</v>
      </c>
    </row>
    <row r="11" spans="1:6" x14ac:dyDescent="0.25">
      <c r="A11" s="6" t="s">
        <v>204</v>
      </c>
      <c r="B11" s="35">
        <v>12</v>
      </c>
      <c r="C11" s="35">
        <v>63</v>
      </c>
      <c r="D11" s="35">
        <v>247</v>
      </c>
      <c r="E11" s="35">
        <v>499</v>
      </c>
      <c r="F11" s="35">
        <v>783</v>
      </c>
    </row>
    <row r="13" ht="24" customHeight="1" spans="1:6" x14ac:dyDescent="0.25">
      <c r="A13" s="5" t="s">
        <v>205</v>
      </c>
      <c r="B13" s="5"/>
      <c r="C13" s="5"/>
      <c r="D13" s="5"/>
      <c r="E13" s="5"/>
      <c r="F13" s="5"/>
    </row>
    <row r="14" spans="1:6" x14ac:dyDescent="0.25">
      <c r="A14" s="6" t="s">
        <v>206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207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208</v>
      </c>
      <c r="B16" s="36" t="s">
        <v>209</v>
      </c>
      <c r="C16" s="37" t="s">
        <v>210</v>
      </c>
      <c r="D16" s="37" t="s">
        <v>210</v>
      </c>
      <c r="E16" s="37" t="s">
        <v>210</v>
      </c>
      <c r="F16" s="37" t="s">
        <v>210</v>
      </c>
    </row>
    <row r="17" spans="1:6" x14ac:dyDescent="0.25">
      <c r="A17" s="6" t="s">
        <v>211</v>
      </c>
      <c r="B17" s="36" t="s">
        <v>209</v>
      </c>
      <c r="C17" s="36" t="s">
        <v>209</v>
      </c>
      <c r="D17" s="37" t="s">
        <v>210</v>
      </c>
      <c r="E17" s="37" t="s">
        <v>210</v>
      </c>
      <c r="F17" s="37" t="s">
        <v>210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212</v>
      </c>
      <c r="B1" s="38"/>
      <c r="C1" s="38"/>
    </row>
    <row r="2" spans="1:3" x14ac:dyDescent="0.25">
      <c r="A2" s="39" t="s">
        <v>213</v>
      </c>
      <c r="B2" s="39"/>
      <c r="C2" s="39"/>
    </row>
    <row r="4" ht="24" customHeight="1" spans="1:3" x14ac:dyDescent="0.25">
      <c r="A4" s="5" t="s">
        <v>214</v>
      </c>
      <c r="B4" s="5"/>
      <c r="C4" s="5"/>
    </row>
    <row r="5" spans="1:3" x14ac:dyDescent="0.25">
      <c r="A5" s="6" t="s">
        <v>215</v>
      </c>
      <c r="B5" s="36" t="s">
        <v>209</v>
      </c>
      <c r="C5" s="6" t="s">
        <v>216</v>
      </c>
    </row>
    <row r="6" spans="1:3" x14ac:dyDescent="0.25">
      <c r="A6" s="6" t="s">
        <v>217</v>
      </c>
      <c r="B6" s="36" t="s">
        <v>209</v>
      </c>
      <c r="C6" s="6" t="s">
        <v>218</v>
      </c>
    </row>
    <row r="7" spans="1:3" x14ac:dyDescent="0.25">
      <c r="A7" s="6" t="s">
        <v>219</v>
      </c>
      <c r="B7" s="36" t="s">
        <v>209</v>
      </c>
      <c r="C7" s="6" t="s">
        <v>220</v>
      </c>
    </row>
    <row r="8" spans="1:3" x14ac:dyDescent="0.25">
      <c r="A8" s="6" t="s">
        <v>221</v>
      </c>
      <c r="B8" s="37" t="s">
        <v>210</v>
      </c>
      <c r="C8" s="6" t="s">
        <v>36</v>
      </c>
    </row>
    <row r="9" spans="1:3" x14ac:dyDescent="0.25">
      <c r="A9" s="6" t="s">
        <v>222</v>
      </c>
      <c r="B9" s="36" t="s">
        <v>209</v>
      </c>
      <c r="C9" s="6" t="s">
        <v>223</v>
      </c>
    </row>
    <row r="10" spans="1:3" x14ac:dyDescent="0.25">
      <c r="A10" s="6" t="s">
        <v>224</v>
      </c>
      <c r="B10" s="37" t="s">
        <v>210</v>
      </c>
      <c r="C10" s="6" t="s">
        <v>225</v>
      </c>
    </row>
    <row r="12" ht="24" customHeight="1" spans="1:3" x14ac:dyDescent="0.25">
      <c r="A12" s="5" t="s">
        <v>226</v>
      </c>
      <c r="B12" s="5"/>
      <c r="C12" s="5"/>
    </row>
    <row r="13" spans="1:2" x14ac:dyDescent="0.25">
      <c r="A13" s="6" t="s">
        <v>227</v>
      </c>
      <c r="B13" s="7" t="s">
        <v>228</v>
      </c>
    </row>
    <row r="14" spans="1:2" x14ac:dyDescent="0.25">
      <c r="A14" s="6" t="s">
        <v>229</v>
      </c>
      <c r="B14" s="40" t="s">
        <v>230</v>
      </c>
    </row>
    <row r="16" ht="24" customHeight="1" spans="1:3" x14ac:dyDescent="0.25">
      <c r="A16" s="5" t="s">
        <v>231</v>
      </c>
      <c r="B16" s="5"/>
      <c r="C16" s="5"/>
    </row>
    <row r="17" spans="1:2" x14ac:dyDescent="0.25">
      <c r="A17" s="6" t="s">
        <v>232</v>
      </c>
      <c r="B17" s="18">
        <v>1288333</v>
      </c>
    </row>
    <row r="18" spans="1:2" x14ac:dyDescent="0.25">
      <c r="A18" s="6" t="s">
        <v>233</v>
      </c>
      <c r="B18" s="18">
        <v>1736256</v>
      </c>
    </row>
    <row r="19" spans="1:2" x14ac:dyDescent="0.25">
      <c r="A19" s="6" t="s">
        <v>234</v>
      </c>
      <c r="B19" s="18">
        <v>-447923</v>
      </c>
    </row>
    <row r="20" spans="1:2" x14ac:dyDescent="0.25">
      <c r="A20" s="6" t="s">
        <v>235</v>
      </c>
      <c r="B20" s="41">
        <v>-0.34767641595767557</v>
      </c>
    </row>
    <row r="21" spans="1:2" x14ac:dyDescent="0.25">
      <c r="A21" s="6" t="s">
        <v>174</v>
      </c>
      <c r="B21" s="18">
        <v>500000</v>
      </c>
    </row>
    <row r="22" spans="1:2" x14ac:dyDescent="0.25">
      <c r="A22" s="6" t="s">
        <v>236</v>
      </c>
      <c r="B22" s="18">
        <v>52077</v>
      </c>
    </row>
    <row r="23" spans="1:2" x14ac:dyDescent="0.25">
      <c r="A23" s="6" t="s">
        <v>237</v>
      </c>
      <c r="B23" s="18">
        <v>500000</v>
      </c>
    </row>
    <row r="24" spans="1:2" x14ac:dyDescent="0.25">
      <c r="A24" s="6" t="s">
        <v>238</v>
      </c>
      <c r="B24" s="7" t="s">
        <v>216</v>
      </c>
    </row>
    <row r="25" spans="1:2" x14ac:dyDescent="0.25">
      <c r="A25" s="6" t="s">
        <v>239</v>
      </c>
      <c r="B25" s="7" t="s">
        <v>240</v>
      </c>
    </row>
    <row r="26" spans="1:2" x14ac:dyDescent="0.25">
      <c r="A26" s="6" t="s">
        <v>241</v>
      </c>
      <c r="B26" s="7" t="s">
        <v>36</v>
      </c>
    </row>
    <row r="27" spans="1:2" x14ac:dyDescent="0.25">
      <c r="A27" s="6" t="s">
        <v>242</v>
      </c>
      <c r="B27" s="18">
        <v>10736</v>
      </c>
    </row>
    <row r="28" spans="1:2" x14ac:dyDescent="0.25">
      <c r="A28" s="6" t="s">
        <v>243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244</v>
      </c>
      <c r="B2" s="42"/>
      <c r="C2" s="42"/>
      <c r="D2" s="42"/>
      <c r="E2" s="42"/>
      <c r="F2" s="42"/>
    </row>
    <row r="3" ht="18" customHeight="1" spans="1:6" x14ac:dyDescent="0.25">
      <c r="A3" s="43" t="s">
        <v>245</v>
      </c>
      <c r="B3" s="43"/>
      <c r="C3" s="43"/>
      <c r="D3" s="43"/>
      <c r="E3" s="43"/>
      <c r="F3" s="43"/>
    </row>
    <row r="4" ht="16" customHeight="1" spans="1:6" x14ac:dyDescent="0.25">
      <c r="A4" s="44" t="s">
        <v>246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375</v>
      </c>
      <c r="F7" s="35">
        <f>Assumptions!$F$17</f>
        <v>400</v>
      </c>
    </row>
    <row r="8" spans="1:6" x14ac:dyDescent="0.25">
      <c r="A8" s="7" t="s">
        <v>177</v>
      </c>
      <c r="B8" s="27">
        <f>'5-Year P&amp;L'!B2</f>
        <v>1288333</v>
      </c>
      <c r="C8" s="27">
        <f>'5-Year P&amp;L'!C2</f>
        <v>2522800</v>
      </c>
      <c r="D8" s="27">
        <f>'5-Year P&amp;L'!D2</f>
        <v>3784600</v>
      </c>
      <c r="E8" s="27">
        <f>'5-Year P&amp;L'!E2</f>
        <v>4759125</v>
      </c>
      <c r="F8" s="27">
        <f>'5-Year P&amp;L'!F2</f>
        <v>5184400</v>
      </c>
    </row>
    <row r="9" spans="1:6" x14ac:dyDescent="0.25">
      <c r="A9" s="6" t="s">
        <v>170</v>
      </c>
      <c r="B9" s="15">
        <f>'5-Year P&amp;L'!B6</f>
        <v>1736256</v>
      </c>
      <c r="C9" s="15">
        <f>'5-Year P&amp;L'!C6</f>
        <v>2209403</v>
      </c>
      <c r="D9" s="15">
        <f>'5-Year P&amp;L'!D6</f>
        <v>2512064</v>
      </c>
      <c r="E9" s="15">
        <f>'5-Year P&amp;L'!E6</f>
        <v>2745632</v>
      </c>
      <c r="F9" s="15">
        <f>'5-Year P&amp;L'!F6</f>
        <v>2856467</v>
      </c>
    </row>
    <row r="10" ht="24" customHeight="1" spans="1:6" x14ac:dyDescent="0.25">
      <c r="A10" s="5" t="s">
        <v>179</v>
      </c>
      <c r="B10" s="23">
        <f>'5-Year P&amp;L'!B7</f>
        <v>-447923</v>
      </c>
      <c r="C10" s="23">
        <f>'5-Year P&amp;L'!C7</f>
        <v>313398</v>
      </c>
      <c r="D10" s="23">
        <f>'5-Year P&amp;L'!D7</f>
        <v>1272536</v>
      </c>
      <c r="E10" s="23">
        <f>'5-Year P&amp;L'!E7</f>
        <v>2013494</v>
      </c>
      <c r="F10" s="23">
        <f>'5-Year P&amp;L'!F7</f>
        <v>2327934</v>
      </c>
    </row>
    <row r="11" spans="1:6" x14ac:dyDescent="0.25">
      <c r="A11" s="6" t="s">
        <v>180</v>
      </c>
      <c r="B11" s="14">
        <f>IF(B8=0,0,B10/B8)</f>
        <v>-0.35</v>
      </c>
      <c r="C11" s="14">
        <f>IF(C8=0,0,C10/C8)</f>
        <v>0.12</v>
      </c>
      <c r="D11" s="14">
        <f>IF(D8=0,0,D10/D8)</f>
        <v>0.34</v>
      </c>
      <c r="E11" s="14">
        <f>IF(E8=0,0,E10/E8)</f>
        <v>0.42</v>
      </c>
      <c r="F11" s="14">
        <f>IF(F8=0,0,F10/F8)</f>
        <v>0.45</v>
      </c>
    </row>
    <row r="12" spans="1:6" x14ac:dyDescent="0.25">
      <c r="A12" s="7" t="s">
        <v>181</v>
      </c>
      <c r="B12" s="27">
        <f>B10</f>
        <v>-447923</v>
      </c>
      <c r="C12" s="27">
        <f>B12+C10</f>
        <v>-134525</v>
      </c>
      <c r="D12" s="27">
        <f>C12+D10</f>
        <v>1138011</v>
      </c>
      <c r="E12" s="27">
        <f>D12+E10</f>
        <v>3151505</v>
      </c>
      <c r="F12" s="27">
        <f>E12+F10</f>
        <v>5479439</v>
      </c>
    </row>
    <row r="13" spans="1:6" x14ac:dyDescent="0.25">
      <c r="A13" s="7" t="s">
        <v>247</v>
      </c>
      <c r="B13" s="27">
        <v>52077</v>
      </c>
      <c r="C13" s="27">
        <v>365475</v>
      </c>
      <c r="D13" s="27">
        <v>1638011</v>
      </c>
      <c r="E13" s="27">
        <v>3651505</v>
      </c>
      <c r="F13" s="27">
        <v>5979439</v>
      </c>
    </row>
    <row r="14" spans="1:6" x14ac:dyDescent="0.25">
      <c r="A14" s="6" t="s">
        <v>248</v>
      </c>
      <c r="B14" s="15">
        <v>10736</v>
      </c>
      <c r="C14" s="15">
        <v>12614</v>
      </c>
      <c r="D14" s="15">
        <v>12615</v>
      </c>
      <c r="E14" s="15">
        <v>12691</v>
      </c>
      <c r="F14" s="15">
        <v>12961</v>
      </c>
    </row>
    <row r="15" spans="1:6" x14ac:dyDescent="0.25">
      <c r="A15" s="6" t="s">
        <v>122</v>
      </c>
      <c r="B15" s="15">
        <v>14469</v>
      </c>
      <c r="C15" s="15">
        <v>11047</v>
      </c>
      <c r="D15" s="15">
        <v>8374</v>
      </c>
      <c r="E15" s="15">
        <v>7322</v>
      </c>
      <c r="F15" s="15">
        <v>7141</v>
      </c>
    </row>
    <row r="16" spans="1:6" x14ac:dyDescent="0.25">
      <c r="A16" s="7" t="s">
        <v>199</v>
      </c>
      <c r="B16" s="33">
        <v>-5.68</v>
      </c>
      <c r="C16" s="33">
        <v>8.09</v>
      </c>
      <c r="D16" s="33">
        <v>27.34</v>
      </c>
      <c r="E16" s="33">
        <v>41.91</v>
      </c>
      <c r="F16" s="33">
        <v>48.12</v>
      </c>
    </row>
    <row r="18" spans="1:6" x14ac:dyDescent="0.25">
      <c r="A18" s="44" t="s">
        <v>249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250</v>
      </c>
      <c r="C3" s="45"/>
    </row>
    <row r="4" ht="28" customHeight="1" spans="2:3" x14ac:dyDescent="0.25">
      <c r="B4" s="46" t="s">
        <v>251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252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253</v>
      </c>
      <c r="C10" s="50"/>
    </row>
    <row r="12" spans="2:3" x14ac:dyDescent="0.25">
      <c r="B12" s="48" t="s">
        <v>254</v>
      </c>
      <c r="C12" s="51" t="s">
        <v>255</v>
      </c>
    </row>
    <row r="15" ht="24" customHeight="1" spans="1:3" x14ac:dyDescent="0.25">
      <c r="A15" s="5"/>
      <c r="B15" s="5" t="s">
        <v>256</v>
      </c>
      <c r="C15" s="5"/>
    </row>
    <row r="16" spans="2:3" x14ac:dyDescent="0.25">
      <c r="B16" s="13" t="s">
        <v>257</v>
      </c>
      <c r="C16" s="27">
        <v>5184400</v>
      </c>
    </row>
    <row r="17" spans="2:3" x14ac:dyDescent="0.25">
      <c r="B17" s="13" t="s">
        <v>258</v>
      </c>
      <c r="C17" s="27">
        <v>2327934</v>
      </c>
    </row>
    <row r="18" spans="2:3" x14ac:dyDescent="0.25">
      <c r="B18" s="13" t="s">
        <v>201</v>
      </c>
      <c r="C18" s="27">
        <v>5479439</v>
      </c>
    </row>
    <row r="19" spans="2:3" x14ac:dyDescent="0.25">
      <c r="B19" s="13" t="s">
        <v>229</v>
      </c>
      <c r="C19" s="52" t="s">
        <v>259</v>
      </c>
    </row>
    <row r="22" ht="24" customHeight="1" spans="1:3" x14ac:dyDescent="0.25">
      <c r="A22" s="5"/>
      <c r="B22" s="5" t="s">
        <v>260</v>
      </c>
      <c r="C22" s="5"/>
    </row>
    <row r="23" spans="2:3" x14ac:dyDescent="0.25">
      <c r="B23" s="53" t="s">
        <v>261</v>
      </c>
      <c r="C23" s="54"/>
    </row>
    <row r="24" spans="2:3" x14ac:dyDescent="0.25">
      <c r="B24" s="53" t="s">
        <v>262</v>
      </c>
      <c r="C24" s="54"/>
    </row>
    <row r="25" spans="2:3" x14ac:dyDescent="0.25">
      <c r="B25" s="53" t="s">
        <v>263</v>
      </c>
      <c r="C25" s="54"/>
    </row>
    <row r="26" spans="2:3" x14ac:dyDescent="0.25">
      <c r="B26" s="53" t="s">
        <v>264</v>
      </c>
      <c r="C26" s="54"/>
    </row>
    <row r="27" spans="2:3" x14ac:dyDescent="0.25">
      <c r="B27" s="53" t="s">
        <v>168</v>
      </c>
      <c r="C27" s="54"/>
    </row>
    <row r="28" spans="2:3" x14ac:dyDescent="0.25">
      <c r="B28" s="53" t="s">
        <v>265</v>
      </c>
      <c r="C28" s="54"/>
    </row>
    <row r="29" spans="2:3" x14ac:dyDescent="0.25">
      <c r="B29" s="53" t="s">
        <v>266</v>
      </c>
      <c r="C29" s="54"/>
    </row>
    <row r="30" spans="2:3" x14ac:dyDescent="0.25">
      <c r="B30" s="53" t="s">
        <v>267</v>
      </c>
      <c r="C30" s="54"/>
    </row>
    <row r="31" spans="2:3" x14ac:dyDescent="0.25">
      <c r="B31" s="53" t="s">
        <v>268</v>
      </c>
      <c r="C31" s="54"/>
    </row>
    <row r="32" spans="2:3" x14ac:dyDescent="0.25">
      <c r="B32" s="53" t="s">
        <v>269</v>
      </c>
      <c r="C32" s="54"/>
    </row>
    <row r="33" spans="2:3" x14ac:dyDescent="0.25">
      <c r="B33" s="53" t="s">
        <v>270</v>
      </c>
      <c r="C33" s="54"/>
    </row>
    <row r="34" spans="2:3" x14ac:dyDescent="0.25">
      <c r="B34" s="53" t="s">
        <v>271</v>
      </c>
      <c r="C34" s="54"/>
    </row>
    <row r="35" spans="2:3" x14ac:dyDescent="0.25">
      <c r="B35" s="53" t="s">
        <v>272</v>
      </c>
      <c r="C35" s="54"/>
    </row>
    <row r="36" spans="2:3" x14ac:dyDescent="0.25">
      <c r="B36" s="53" t="s">
        <v>273</v>
      </c>
      <c r="C36" s="54"/>
    </row>
    <row r="39" spans="2:3" x14ac:dyDescent="0.25">
      <c r="B39" s="44" t="s">
        <v>249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274</v>
      </c>
      <c r="C2" s="38"/>
      <c r="D2" s="38"/>
      <c r="E2" s="38"/>
      <c r="F2" s="38"/>
      <c r="G2" s="38"/>
      <c r="H2" s="38"/>
    </row>
    <row r="3" spans="2:8" x14ac:dyDescent="0.25">
      <c r="B3" s="55" t="s">
        <v>275</v>
      </c>
      <c r="C3" s="55"/>
      <c r="D3" s="55"/>
      <c r="E3" s="55"/>
      <c r="F3" s="55"/>
      <c r="G3" s="55"/>
      <c r="H3" s="55"/>
    </row>
    <row r="4" spans="2:6" x14ac:dyDescent="0.25">
      <c r="B4" s="56" t="s">
        <v>276</v>
      </c>
      <c r="D4" s="57" t="s">
        <v>277</v>
      </c>
      <c r="F4" s="58" t="s">
        <v>278</v>
      </c>
    </row>
    <row r="6" ht="24" customHeight="1" spans="2:8" x14ac:dyDescent="0.25">
      <c r="B6" s="5" t="s">
        <v>279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280</v>
      </c>
    </row>
    <row r="7" spans="2:7" x14ac:dyDescent="0.25">
      <c r="B7" s="13" t="s">
        <v>281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3" t="s">
        <v>166</v>
      </c>
      <c r="C8" s="61">
        <v>1288333</v>
      </c>
      <c r="D8" s="61">
        <v>2522800</v>
      </c>
      <c r="E8" s="61">
        <v>3784600</v>
      </c>
      <c r="F8" s="61">
        <v>4759125</v>
      </c>
      <c r="G8" s="61">
        <v>5184400</v>
      </c>
    </row>
    <row r="9" spans="2:7" x14ac:dyDescent="0.25">
      <c r="B9" s="13" t="s">
        <v>167</v>
      </c>
      <c r="C9" s="61">
        <v>1026431</v>
      </c>
      <c r="D9" s="61">
        <v>1231718</v>
      </c>
      <c r="E9" s="61">
        <v>1231718</v>
      </c>
      <c r="F9" s="61">
        <v>1231718</v>
      </c>
      <c r="G9" s="61">
        <v>1231718</v>
      </c>
    </row>
    <row r="10" spans="2:7" x14ac:dyDescent="0.25">
      <c r="B10" s="13" t="s">
        <v>168</v>
      </c>
      <c r="C10" s="61">
        <v>545000</v>
      </c>
      <c r="D10" s="61">
        <v>887860</v>
      </c>
      <c r="E10" s="61">
        <v>1190521</v>
      </c>
      <c r="F10" s="61">
        <v>1439089</v>
      </c>
      <c r="G10" s="61">
        <v>1554924</v>
      </c>
    </row>
    <row r="11" spans="2:7" x14ac:dyDescent="0.25">
      <c r="B11" s="13" t="s">
        <v>169</v>
      </c>
      <c r="C11" s="61">
        <v>49825</v>
      </c>
      <c r="D11" s="61">
        <v>49825</v>
      </c>
      <c r="E11" s="61">
        <v>49825</v>
      </c>
      <c r="F11" s="61">
        <v>49825</v>
      </c>
      <c r="G11" s="61">
        <v>49825</v>
      </c>
    </row>
    <row r="12" spans="2:7" x14ac:dyDescent="0.25">
      <c r="B12" s="62" t="s">
        <v>179</v>
      </c>
      <c r="C12" s="63">
        <v>-447923</v>
      </c>
      <c r="D12" s="64">
        <v>313398</v>
      </c>
      <c r="E12" s="64">
        <v>1272536</v>
      </c>
      <c r="F12" s="64">
        <v>2013494</v>
      </c>
      <c r="G12" s="64">
        <v>2327934</v>
      </c>
    </row>
    <row r="13" spans="2:7" x14ac:dyDescent="0.25">
      <c r="B13" s="62" t="s">
        <v>282</v>
      </c>
      <c r="C13" s="64">
        <v>52077</v>
      </c>
      <c r="D13" s="64">
        <v>365475</v>
      </c>
      <c r="E13" s="64">
        <v>1638011</v>
      </c>
      <c r="F13" s="64">
        <v>3651505</v>
      </c>
      <c r="G13" s="64">
        <v>5979439</v>
      </c>
    </row>
    <row r="14" spans="2:7" x14ac:dyDescent="0.25">
      <c r="B14" s="62" t="s">
        <v>283</v>
      </c>
      <c r="C14" s="65">
        <v>-0.34767641595767557</v>
      </c>
      <c r="D14" s="66">
        <v>0.12422625654035199</v>
      </c>
      <c r="E14" s="66">
        <v>0.3362405538233895</v>
      </c>
      <c r="F14" s="66">
        <v>0.42308071336642766</v>
      </c>
      <c r="G14" s="66">
        <v>0.44902669547102847</v>
      </c>
    </row>
    <row r="15" spans="2:8" x14ac:dyDescent="0.25">
      <c r="B15" s="62" t="s">
        <v>248</v>
      </c>
      <c r="C15" s="67">
        <v>10736.108333333334</v>
      </c>
      <c r="D15" s="67">
        <v>12614</v>
      </c>
      <c r="E15" s="67">
        <v>12615.333333333334</v>
      </c>
      <c r="F15" s="67">
        <v>12691</v>
      </c>
      <c r="G15" s="67">
        <v>12961</v>
      </c>
      <c r="H15" s="68" t="s">
        <v>284</v>
      </c>
    </row>
    <row r="16" spans="2:8" x14ac:dyDescent="0.25">
      <c r="B16" s="62" t="s">
        <v>285</v>
      </c>
      <c r="C16" s="65">
        <v>0.7967124959152642</v>
      </c>
      <c r="D16" s="66">
        <v>0.4882345013477089</v>
      </c>
      <c r="E16" s="66">
        <v>0.3254552660783174</v>
      </c>
      <c r="F16" s="66">
        <v>0.25881186142410634</v>
      </c>
      <c r="G16" s="66">
        <v>0.23758159092662604</v>
      </c>
      <c r="H16" s="68" t="s">
        <v>286</v>
      </c>
    </row>
    <row r="17" spans="2:8" x14ac:dyDescent="0.25">
      <c r="B17" s="62" t="s">
        <v>287</v>
      </c>
      <c r="C17" s="69">
        <v>0.21888750812095942</v>
      </c>
      <c r="D17" s="66">
        <v>0.1151339781195497</v>
      </c>
      <c r="E17" s="66">
        <v>0.07904835385509698</v>
      </c>
      <c r="F17" s="66">
        <v>0.06474930412628371</v>
      </c>
      <c r="G17" s="66">
        <v>0.06122075900007716</v>
      </c>
      <c r="H17" s="68" t="s">
        <v>288</v>
      </c>
    </row>
    <row r="18" spans="2:8" x14ac:dyDescent="0.25">
      <c r="B18" s="62" t="s">
        <v>289</v>
      </c>
      <c r="C18" s="65">
        <v>-0.219739772248324</v>
      </c>
      <c r="D18" s="66">
        <v>0.15983114000317108</v>
      </c>
      <c r="E18" s="66">
        <v>0.3599748982719442</v>
      </c>
      <c r="F18" s="66">
        <v>0.4388029312110945</v>
      </c>
      <c r="G18" s="66">
        <v>0.46249479206851324</v>
      </c>
      <c r="H18" s="68" t="s">
        <v>290</v>
      </c>
    </row>
    <row r="19" spans="2:8" x14ac:dyDescent="0.25">
      <c r="B19" s="62" t="s">
        <v>291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8" t="s">
        <v>292</v>
      </c>
    </row>
    <row r="20" spans="2:8" x14ac:dyDescent="0.25">
      <c r="B20" s="62" t="s">
        <v>199</v>
      </c>
      <c r="C20" s="71">
        <v>-5.681846462619167</v>
      </c>
      <c r="D20" s="72">
        <v>8.092764676367285</v>
      </c>
      <c r="E20" s="72">
        <v>27.342920220772704</v>
      </c>
      <c r="F20" s="72">
        <v>41.91305569493226</v>
      </c>
      <c r="G20" s="72">
        <v>48.12359257400903</v>
      </c>
      <c r="H20" s="68" t="s">
        <v>293</v>
      </c>
    </row>
    <row r="21" spans="2:8" x14ac:dyDescent="0.25">
      <c r="B21" s="62" t="s">
        <v>294</v>
      </c>
      <c r="C21" s="73" t="str">
        <f>IF('5-Year P&amp;L'!B9&gt;=0,"✓ Break-even","")</f>
        <v>0</v>
      </c>
      <c r="D21" s="73" t="str">
        <f>IF(AND('5-Year P&amp;L'!C9&gt;=0,'5-Year P&amp;L'!B9&lt;0),"✓ Break-even","")</f>
        <v>0</v>
      </c>
      <c r="E21" s="32" t="str">
        <f>IF(AND('5-Year P&amp;L'!D9&gt;=0,'5-Year P&amp;L'!C9&lt;0),"✓ Break-even","")</f>
        <v>✓ Break-even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8" t="s">
        <v>23</v>
      </c>
    </row>
    <row r="22" spans="2:8" x14ac:dyDescent="0.25">
      <c r="B22" s="62" t="s">
        <v>295</v>
      </c>
      <c r="C22" s="74">
        <v>0</v>
      </c>
      <c r="D22" s="74">
        <v>2</v>
      </c>
      <c r="E22" s="74">
        <v>8</v>
      </c>
      <c r="F22" s="75">
        <v>16</v>
      </c>
      <c r="G22" s="70">
        <v>25</v>
      </c>
      <c r="H22" s="68" t="s">
        <v>296</v>
      </c>
    </row>
    <row r="24" ht="24" customHeight="1" spans="2:8" x14ac:dyDescent="0.25">
      <c r="B24" s="5" t="s">
        <v>297</v>
      </c>
      <c r="C24" s="5" t="s">
        <v>298</v>
      </c>
      <c r="D24" s="5" t="s">
        <v>299</v>
      </c>
      <c r="E24" s="5"/>
      <c r="F24" s="5" t="s">
        <v>300</v>
      </c>
      <c r="G24" s="5"/>
      <c r="H24" s="5"/>
    </row>
    <row r="25" ht="45" customHeight="1" spans="2:8" x14ac:dyDescent="0.25">
      <c r="B25" s="76" t="s">
        <v>301</v>
      </c>
      <c r="C25" s="77" t="s">
        <v>302</v>
      </c>
      <c r="D25" s="78" t="s">
        <v>303</v>
      </c>
      <c r="E25" s="78"/>
      <c r="F25" s="79" t="s">
        <v>304</v>
      </c>
      <c r="G25" s="79"/>
      <c r="H25" s="79"/>
    </row>
    <row r="26" ht="45" customHeight="1" spans="2:8" x14ac:dyDescent="0.25">
      <c r="B26" s="76" t="s">
        <v>305</v>
      </c>
      <c r="C26" s="32" t="s">
        <v>306</v>
      </c>
      <c r="D26" s="78" t="s">
        <v>307</v>
      </c>
      <c r="E26" s="78"/>
      <c r="F26" s="79" t="s">
        <v>308</v>
      </c>
      <c r="G26" s="79"/>
      <c r="H26" s="79"/>
    </row>
    <row r="27" ht="45" customHeight="1" spans="2:8" x14ac:dyDescent="0.25">
      <c r="B27" s="76" t="s">
        <v>309</v>
      </c>
      <c r="C27" s="32" t="s">
        <v>306</v>
      </c>
      <c r="D27" s="78" t="s">
        <v>310</v>
      </c>
      <c r="E27" s="78"/>
      <c r="F27" s="79" t="s">
        <v>311</v>
      </c>
      <c r="G27" s="79"/>
      <c r="H27" s="79"/>
    </row>
    <row r="28" ht="45" customHeight="1" spans="2:8" x14ac:dyDescent="0.25">
      <c r="B28" s="76" t="s">
        <v>312</v>
      </c>
      <c r="C28" s="32" t="s">
        <v>306</v>
      </c>
      <c r="D28" s="78" t="s">
        <v>313</v>
      </c>
      <c r="E28" s="78"/>
      <c r="F28" s="79" t="s">
        <v>314</v>
      </c>
      <c r="G28" s="79"/>
      <c r="H28" s="79"/>
    </row>
    <row r="29" ht="45" customHeight="1" spans="2:8" x14ac:dyDescent="0.25">
      <c r="B29" s="76" t="s">
        <v>315</v>
      </c>
      <c r="C29" s="32" t="s">
        <v>306</v>
      </c>
      <c r="D29" s="78" t="s">
        <v>316</v>
      </c>
      <c r="E29" s="78"/>
      <c r="F29" s="79" t="s">
        <v>317</v>
      </c>
      <c r="G29" s="79"/>
      <c r="H29" s="79"/>
    </row>
    <row r="30" ht="45" customHeight="1" spans="2:8" x14ac:dyDescent="0.25">
      <c r="B30" s="76" t="s">
        <v>318</v>
      </c>
      <c r="C30" s="32" t="s">
        <v>306</v>
      </c>
      <c r="D30" s="78" t="s">
        <v>319</v>
      </c>
      <c r="E30" s="78"/>
      <c r="F30" s="79" t="s">
        <v>320</v>
      </c>
      <c r="G30" s="79"/>
      <c r="H30" s="79"/>
    </row>
    <row r="31" ht="45" customHeight="1" spans="2:8" x14ac:dyDescent="0.25">
      <c r="B31" s="76" t="s">
        <v>321</v>
      </c>
      <c r="C31" s="32" t="s">
        <v>306</v>
      </c>
      <c r="D31" s="78" t="s">
        <v>322</v>
      </c>
      <c r="E31" s="78"/>
      <c r="F31" s="79" t="s">
        <v>323</v>
      </c>
      <c r="G31" s="79"/>
      <c r="H31" s="79"/>
    </row>
    <row r="33" spans="2:6" x14ac:dyDescent="0.25">
      <c r="B33" s="76" t="s">
        <v>273</v>
      </c>
      <c r="C33" s="62" t="s">
        <v>324</v>
      </c>
      <c r="D33" s="62"/>
      <c r="E33" s="62"/>
      <c r="F33" s="62"/>
    </row>
    <row r="35" spans="2:8" x14ac:dyDescent="0.25">
      <c r="B35" s="80" t="s">
        <v>325</v>
      </c>
      <c r="C35" s="80"/>
      <c r="D35" s="80"/>
      <c r="E35" s="80"/>
      <c r="F35" s="80"/>
      <c r="G35" s="80"/>
      <c r="H35" s="80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2026-03-26T22:14:46Z</dcterms:created>
  <dcterms:modified xsi:type="dcterms:W3CDTF">2026-03-26T22:14:46Z</dcterms:modified>
</cp:coreProperties>
</file>