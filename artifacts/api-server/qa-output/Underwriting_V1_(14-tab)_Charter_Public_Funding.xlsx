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<sst xmlns="http://schemas.openxmlformats.org/spreadsheetml/2006/main" count="460" uniqueCount="326">
  <si>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</si>
  <si>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</si>
  <si>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</si>
  <si>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</si>
  <si>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</si>
  <si>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</si>
  <si>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</si>
  <si>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</si>
  <si>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</si>
  <si>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</si>
  <si>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</si>
  <si>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</si>
  <si>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</si>
  <si>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</si>
  <si>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</si>
  <si>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</si>
  <si>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</si>
  <si>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</si>
  <si>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</si>
  <si>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</si>
  <si>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</si>
  <si>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</si>
  <si>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</si>
  <si>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</si>
  <si>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</si>
  <si>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</si>
  <si>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</si>
  <si>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</si>
  <si>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</si>
  <si>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</si>
  <si>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</si>
  <si>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</si>
  <si>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</si>
  <si>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</si>
  <si>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</si>
  <si>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</si>
  <si>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</si>
  <si>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</si>
  <si>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</si>
  <si>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</si>
  <si>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</si>
  <si>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</si>
  <si>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</si>
  <si>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</si>
  <si>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</si>
  <si>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</si>
  <si>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</si>
  <si>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</si>
  <si>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</si>
  <si>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</si>
  <si>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</si>
  <si>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</si>
  <si>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</si>
  <si>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</si>
  <si>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</si>
  <si>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</si>
  <si>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</si>
  <si>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</si>
  <si>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</si>
  <si>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</si>
  <si>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</si>
  <si>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</si>
  <si>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</si>
  <si>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</si>
  <si>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</si>
  <si>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</si>
  <si>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</si>
  <si>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</si>
  <si>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</si>
  <si>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</si>
  <si>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</si>
  <si>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</si>
  <si>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</si>
  <si>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</si>
  <si>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</si>
  <si>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</si>
  <si>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</si>
  <si>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</si>
  <si>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</si>
  <si>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</si>
  <si>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</si>
  <si>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</si>
  <si>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</si>
  <si>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</si>
  <si>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</si>
  <si>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</si>
  <si>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</si>
  <si>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</si>
  <si>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</si>
  <si>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</si>
  <si>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</si>
  <si>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</si>
  <si>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</si>
  <si>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</si>
  <si>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</si>
  <si>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</si>
  <si>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</si>
  <si>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</si>
  <si>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</si>
  <si>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</si>
  <si>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</si>
  <si>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</si>
  <si>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</si>
  <si>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</si>
  <si>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</si>
  <si>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</si>
  <si>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</si>
  <si>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</si>
  <si>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</si>
  <si>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</si>
  <si>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</si>
  <si>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</si>
  <si>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</si>
  <si>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</si>
  <si>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</si>
  <si>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</si>
  <si>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</si>
  <si>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</si>
  <si>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</si>
  <si>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</si>
  <si>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</si>
  <si>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</si>
  <si>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</si>
  <si>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</si>
  <si>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</si>
  <si>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</si>
  <si>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</si>
  <si>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</si>
  <si>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</si>
  <si>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</si>
  <si>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</si>
  <si>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</si>
  <si>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</si>
  <si>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</si>
  <si>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</si>
  <si>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</si>
  <si>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</si>
  <si>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</si>
  <si>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</si>
  <si>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</si>
  <si>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</si>
  <si>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</si>
  <si>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</si>
  <si>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</si>
  <si>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</si>
  <si>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</si>
  <si>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</si>
  <si>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</si>
  <si>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</si>
  <si>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</si>
  <si>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</si>
  <si>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</si>
  <si>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</si>
  <si>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</si>
  <si>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</si>
  <si>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</si>
  <si>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</si>
  <si>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</si>
  <si>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</si>
  <si>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</si>
  <si>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</si>
  <si>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</si>
  <si>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</si>
  <si>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</si>
  <si>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</si>
  <si>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</si>
  <si>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</si>
  <si>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</si>
  <si>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</si>
  <si>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</si>
  <si>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</si>
  <si>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</si>
  <si>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</si>
  <si>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</si>
  <si>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</si>
  <si>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</si>
  <si>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</si>
  <si>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</si>
  <si>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</si>
  <si>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</si>
  <si>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</si>
  <si>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</si>
  <si>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</si>
  <si>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</si>
  <si>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</si>
  <si>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</si>
  <si>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</si>
  <si>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</si>
  <si>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</si>
  <si>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</si>
  <si>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</si>
  <si>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</si>
  <si>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</si>
  <si>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</si>
  <si>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</si>
  <si>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</si>
  <si>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</si>
  <si>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</si>
  <si>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</si>
  <si>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</si>
  <si>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</si>
  <si>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</si>
  <si>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</si>
  <si>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</si>
  <si>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</si>
  <si>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</si>
  <si>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</si>
  <si>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</si>
  <si>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</si>
  <si>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</si>
  <si>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</si>
  <si>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</si>
  <si>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</si>
  <si>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</si>
  <si>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</si>
  <si>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</si>
  <si>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</si>
  <si>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</si>
  <si>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</si>
  <si>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</si>
  <si>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</si>
  <si>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</si>
  <si>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</si>
  <si>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</si>
  <si>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</si>
  <si>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</si>
  <si>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</si>
  <si>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</si>
  <si>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</si>
  <si>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</si>
  <si>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</si>
  <si>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</si>
  <si>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</si>
  <si>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</si>
  <si>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</si>
  <si>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</si>
  <si>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</si>
  <si>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</si>
  <si>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</si>
  <si>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</si>
  <si>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</si>
  <si>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</si>
  <si>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</si>
  <si>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</si>
  <si>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</si>
  <si>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</si>
  <si>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</si>
  <si>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</si>
  <si>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</si>
  <si>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</si>
  <si>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</si>
  <si>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</si>
  <si>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</si>
  <si>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</si>
  <si>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</si>
  <si>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</si>
  <si>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</si>
  <si>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</si>
  <si>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</si>
  <si>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</si>
  <si>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</si>
  <si>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</si>
  <si>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</si>
  <si>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</si>
  <si>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</si>
  <si>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</si>
  <si>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</si>
  <si>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</si>
  <si>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</si>
  <si>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</si>
  <si>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</si>
  <si>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</si>
  <si>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</si>
  <si>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</si>
  <si>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</si>
  <si>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</si>
  <si>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</si>
  <si>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</si>
  <si>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</si>
  <si>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</si>
  <si>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</si>
  <si>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</si>
  <si>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</si>
  <si>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</si>
  <si>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</si>
  <si>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</si>
  <si>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</si>
  <si>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</si>
  <si>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</si>
  <si>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</si>
  <si>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</si>
  <si>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</si>
  <si>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</si>
  <si>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</si>
  <si>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</si>
  <si>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</si>
  <si>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</si>
  <si>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</si>
  <si>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</si>
  <si>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</si>
  <si>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</si>
  <si>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</si>
  <si>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</si>
  <si>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</si>
  <si>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</si>
  <si>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</si>
  <si>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</si>
  <si>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</si>
  <si>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</si>
  <si>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</si>
  <si>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</si>
  <si>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</si>
  <si>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</si>
  <si>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</si>
  <si>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</si>
  <si>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</si>
  <si>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34.34x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</si>
  <si>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</si>
  <si>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</si>
  <si>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</si>
  <si>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</si>
  <si>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</si>
  <si>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25.1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</si>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</sst>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9" fillId="0" borderId="3" xfId="0" applyNumberFormat="1" applyFont="1" applyBorder="1"/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9" fillId="0" borderId="3" xfId="0" applyFont="1" applyBorder="1"/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164825</v>
      </c>
      <c r="D11" s="61">
        <v>89825</v>
      </c>
      <c r="E11" s="61">
        <v>89825</v>
      </c>
      <c r="F11" s="61">
        <v>74825</v>
      </c>
      <c r="G11" s="61">
        <v>69825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6">
        <v>0.12690818289991795</v>
      </c>
      <c r="D17" s="66">
        <v>0.10558030759473601</v>
      </c>
      <c r="E17" s="66">
        <v>0.09437095069492152</v>
      </c>
      <c r="F17" s="66">
        <v>0.09071556220943976</v>
      </c>
      <c r="G17" s="66">
        <v>0.08997708510145823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69">
        <v>3</v>
      </c>
      <c r="D19" s="69"/>
      <c r="E19" s="69"/>
      <c r="F19" s="69"/>
      <c r="G19" s="69"/>
      <c r="H19" s="68" t="s">
        <v>292</v>
      </c>
    </row>
    <row r="20" spans="2:8" x14ac:dyDescent="0.25">
      <c r="B20" s="62" t="s">
        <v>199</v>
      </c>
      <c r="C20" s="70">
        <v>-1.7175671166388593</v>
      </c>
      <c r="D20" s="71">
        <v>4.488973003061509</v>
      </c>
      <c r="E20" s="71">
        <v>15.16683551349847</v>
      </c>
      <c r="F20" s="71">
        <v>27.909361844303376</v>
      </c>
      <c r="G20" s="71">
        <v>34.33953455066237</v>
      </c>
      <c r="H20" s="68" t="s">
        <v>293</v>
      </c>
    </row>
    <row r="21" spans="2:8" x14ac:dyDescent="0.25">
      <c r="B21" s="62" t="s">
        <v>294</v>
      </c>
      <c r="C21" s="72" t="str">
        <f>IF('5-Year P&amp;L'!B9&gt;=0,"✓ Break-even","")</f>
        <v>0</v>
      </c>
      <c r="D21" s="72" t="str">
        <f>IF('5-Year P&amp;L'!C9&gt;=0,"✓ Break-even","")</f>
        <v>0</v>
      </c>
      <c r="E21" s="32" t="str">
        <f>IF('5-Year P&amp;L'!D9&gt;=0,"✓ Break-even","")</f>
        <v>✓ Break-even</v>
      </c>
      <c r="F21" s="72" t="str">
        <f>IF('5-Year P&amp;L'!E9&gt;=0,"✓ Break-even","")</f>
        <v>0</v>
      </c>
      <c r="G21" s="72" t="str">
        <f>IF('5-Year P&amp;L'!F9&gt;=0,"✓ Break-even","")</f>
        <v>0</v>
      </c>
      <c r="H21" s="68" t="s">
        <v>23</v>
      </c>
    </row>
    <row r="22" spans="2:8" x14ac:dyDescent="0.25">
      <c r="B22" s="62" t="s">
        <v>295</v>
      </c>
      <c r="C22" s="73" t="s">
        <v>296</v>
      </c>
      <c r="D22" s="73"/>
      <c r="E22" s="73"/>
      <c r="F22" s="73"/>
      <c r="G22" s="73"/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4" t="s">
        <v>301</v>
      </c>
      <c r="C25" s="75" t="s">
        <v>302</v>
      </c>
      <c r="D25" s="76" t="s">
        <v>303</v>
      </c>
      <c r="E25" s="76"/>
      <c r="F25" s="77" t="s">
        <v>304</v>
      </c>
      <c r="G25" s="77"/>
      <c r="H25" s="77"/>
    </row>
    <row r="26" ht="45" customHeight="1" spans="2:8" x14ac:dyDescent="0.25">
      <c r="B26" s="74" t="s">
        <v>305</v>
      </c>
      <c r="C26" s="32" t="s">
        <v>306</v>
      </c>
      <c r="D26" s="76" t="s">
        <v>307</v>
      </c>
      <c r="E26" s="76"/>
      <c r="F26" s="77" t="s">
        <v>308</v>
      </c>
      <c r="G26" s="77"/>
      <c r="H26" s="77"/>
    </row>
    <row r="27" ht="45" customHeight="1" spans="2:8" x14ac:dyDescent="0.25">
      <c r="B27" s="74" t="s">
        <v>309</v>
      </c>
      <c r="C27" s="32" t="s">
        <v>306</v>
      </c>
      <c r="D27" s="76" t="s">
        <v>310</v>
      </c>
      <c r="E27" s="76"/>
      <c r="F27" s="77" t="s">
        <v>311</v>
      </c>
      <c r="G27" s="77"/>
      <c r="H27" s="77"/>
    </row>
    <row r="28" ht="45" customHeight="1" spans="2:8" x14ac:dyDescent="0.25">
      <c r="B28" s="74" t="s">
        <v>312</v>
      </c>
      <c r="C28" s="32" t="s">
        <v>306</v>
      </c>
      <c r="D28" s="76" t="s">
        <v>313</v>
      </c>
      <c r="E28" s="76"/>
      <c r="F28" s="77" t="s">
        <v>314</v>
      </c>
      <c r="G28" s="77"/>
      <c r="H28" s="77"/>
    </row>
    <row r="29" ht="45" customHeight="1" spans="2:8" x14ac:dyDescent="0.25">
      <c r="B29" s="74" t="s">
        <v>315</v>
      </c>
      <c r="C29" s="32" t="s">
        <v>306</v>
      </c>
      <c r="D29" s="76" t="s">
        <v>316</v>
      </c>
      <c r="E29" s="76"/>
      <c r="F29" s="77" t="s">
        <v>317</v>
      </c>
      <c r="G29" s="77"/>
      <c r="H29" s="77"/>
    </row>
    <row r="30" ht="45" customHeight="1" spans="2:8" x14ac:dyDescent="0.25">
      <c r="B30" s="74" t="s">
        <v>318</v>
      </c>
      <c r="C30" s="32" t="s">
        <v>306</v>
      </c>
      <c r="D30" s="76" t="s">
        <v>319</v>
      </c>
      <c r="E30" s="76"/>
      <c r="F30" s="77" t="s">
        <v>320</v>
      </c>
      <c r="G30" s="77"/>
      <c r="H30" s="77"/>
    </row>
    <row r="31" ht="45" customHeight="1" spans="2:8" x14ac:dyDescent="0.25">
      <c r="B31" s="74" t="s">
        <v>321</v>
      </c>
      <c r="C31" s="32" t="s">
        <v>306</v>
      </c>
      <c r="D31" s="76" t="s">
        <v>322</v>
      </c>
      <c r="E31" s="76"/>
      <c r="F31" s="77" t="s">
        <v>323</v>
      </c>
      <c r="G31" s="77"/>
      <c r="H31" s="77"/>
    </row>
    <row r="33" spans="2:6" x14ac:dyDescent="0.25">
      <c r="B33" s="74" t="s">
        <v>273</v>
      </c>
      <c r="C33" s="62" t="s">
        <v>324</v>
      </c>
      <c r="D33" s="62"/>
      <c r="E33" s="62"/>
      <c r="F33" s="62"/>
    </row>
    <row r="35" spans="2:8" x14ac:dyDescent="0.25">
      <c r="B35" s="78" t="s">
        <v>325</v>
      </c>
      <c r="C35" s="78"/>
      <c r="D35" s="78"/>
      <c r="E35" s="78"/>
      <c r="F35" s="78"/>
      <c r="G35" s="78"/>
      <c r="H35" s="78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2026-03-26T12:33:17Z</dcterms:created>
  <dcterms:modified xsi:type="dcterms:W3CDTF">2026-03-26T12:33:17Z</dcterms:modified>
</cp:coreProperties>
</file>