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<sst xmlns="http://schemas.openxmlformats.org/spreadsheetml/2006/main" count="455" uniqueCount="323">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</sst>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0" fillId="0" borderId="3" xfId="0" applyFont="1" applyBorder="1"/>
    <xf numFmtId="164" fontId="23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21" fillId="0" borderId="3" xfId="0" applyFont="1" applyBorder="1"/>
    <xf numFmtId="0" fontId="3" fillId="0" borderId="3" xfId="0" applyFont="1" applyBorder="1"/>
    <xf numFmtId="0" fontId="21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0" fillId="0" borderId="3" xfId="0" applyFont="1" applyBorder="1" applyAlignment="1">
      <alignment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185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186</v>
      </c>
      <c r="B7" s="5"/>
      <c r="C7" s="5"/>
      <c r="D7" s="5"/>
      <c r="E7" s="5"/>
      <c r="F7" s="5"/>
    </row>
    <row r="8" spans="1:6" x14ac:dyDescent="0.25">
      <c r="A8" s="6" t="s">
        <v>187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188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189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190</v>
      </c>
      <c r="B12" s="5"/>
      <c r="C12" s="5"/>
      <c r="D12" s="5"/>
      <c r="E12" s="5"/>
      <c r="F12" s="5"/>
    </row>
    <row r="13" spans="1:6" x14ac:dyDescent="0.25">
      <c r="A13" s="6" t="s">
        <v>191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192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193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194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195</v>
      </c>
      <c r="B2" s="5"/>
      <c r="C2" s="5"/>
      <c r="D2" s="5"/>
      <c r="E2" s="5"/>
      <c r="F2" s="5"/>
    </row>
    <row r="3" spans="1:6" x14ac:dyDescent="0.25">
      <c r="A3" s="6" t="s">
        <v>196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197</v>
      </c>
      <c r="B5" s="31">
        <f>IF(B4=0,"N/A",B3/B4)</f>
        <v>-5.68</v>
      </c>
      <c r="C5" s="31">
        <f>IF(C4=0,"N/A",C3/C4)</f>
        <v>8.09</v>
      </c>
      <c r="D5" s="31">
        <f>IF(D4=0,"N/A",D3/D4)</f>
        <v>27.34</v>
      </c>
      <c r="E5" s="31">
        <f>IF(E4=0,"N/A",E3/E4)</f>
        <v>41.91</v>
      </c>
      <c r="F5" s="31">
        <f>IF(F4=0,"N/A",F3/F4)</f>
        <v>48.12</v>
      </c>
    </row>
    <row r="7" ht="24" customHeight="1" spans="1:6" x14ac:dyDescent="0.25">
      <c r="A7" s="5" t="s">
        <v>198</v>
      </c>
      <c r="B7" s="5"/>
      <c r="C7" s="5"/>
      <c r="D7" s="5"/>
      <c r="E7" s="5"/>
      <c r="F7" s="5"/>
    </row>
    <row r="8" spans="1:6" x14ac:dyDescent="0.25">
      <c r="A8" s="6" t="s">
        <v>199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200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201</v>
      </c>
      <c r="B10" s="32">
        <f>IF(B9=0,0,B8/B9)</f>
        <v>0.4</v>
      </c>
      <c r="C10" s="32">
        <f>IF(C9=0,0,C8/C9)</f>
        <v>2.07</v>
      </c>
      <c r="D10" s="32">
        <f>IF(D9=0,0,D8/D9)</f>
        <v>8.11</v>
      </c>
      <c r="E10" s="32">
        <f>IF(E9=0,0,E8/E9)</f>
        <v>16.41</v>
      </c>
      <c r="F10" s="32">
        <f>IF(F9=0,0,F8/F9)</f>
        <v>25.75</v>
      </c>
    </row>
    <row r="11" spans="1:6" x14ac:dyDescent="0.25">
      <c r="A11" s="6" t="s">
        <v>202</v>
      </c>
      <c r="B11" s="33">
        <v>12</v>
      </c>
      <c r="C11" s="33">
        <v>63</v>
      </c>
      <c r="D11" s="33">
        <v>247</v>
      </c>
      <c r="E11" s="33">
        <v>499</v>
      </c>
      <c r="F11" s="33">
        <v>783</v>
      </c>
    </row>
    <row r="13" ht="24" customHeight="1" spans="1:6" x14ac:dyDescent="0.25">
      <c r="A13" s="5" t="s">
        <v>203</v>
      </c>
      <c r="B13" s="5"/>
      <c r="C13" s="5"/>
      <c r="D13" s="5"/>
      <c r="E13" s="5"/>
      <c r="F13" s="5"/>
    </row>
    <row r="14" spans="1:6" x14ac:dyDescent="0.25">
      <c r="A14" s="6" t="s">
        <v>204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205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206</v>
      </c>
      <c r="B16" s="34" t="s">
        <v>207</v>
      </c>
      <c r="C16" s="35" t="s">
        <v>208</v>
      </c>
      <c r="D16" s="35" t="s">
        <v>208</v>
      </c>
      <c r="E16" s="35" t="s">
        <v>208</v>
      </c>
      <c r="F16" s="35" t="s">
        <v>208</v>
      </c>
    </row>
    <row r="17" spans="1:6" x14ac:dyDescent="0.25">
      <c r="A17" s="6" t="s">
        <v>209</v>
      </c>
      <c r="B17" s="34" t="s">
        <v>207</v>
      </c>
      <c r="C17" s="34" t="s">
        <v>207</v>
      </c>
      <c r="D17" s="35" t="s">
        <v>208</v>
      </c>
      <c r="E17" s="35" t="s">
        <v>208</v>
      </c>
      <c r="F17" s="35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210</v>
      </c>
      <c r="B1" s="36"/>
      <c r="C1" s="36"/>
    </row>
    <row r="2" spans="1:3" x14ac:dyDescent="0.25">
      <c r="A2" s="37" t="s">
        <v>211</v>
      </c>
      <c r="B2" s="37"/>
      <c r="C2" s="37"/>
    </row>
    <row r="4" ht="24" customHeight="1" spans="1:3" x14ac:dyDescent="0.25">
      <c r="A4" s="5" t="s">
        <v>212</v>
      </c>
      <c r="B4" s="5"/>
      <c r="C4" s="5"/>
    </row>
    <row r="5" spans="1:3" x14ac:dyDescent="0.25">
      <c r="A5" s="6" t="s">
        <v>213</v>
      </c>
      <c r="B5" s="34" t="s">
        <v>207</v>
      </c>
      <c r="C5" s="6" t="s">
        <v>214</v>
      </c>
    </row>
    <row r="6" spans="1:3" x14ac:dyDescent="0.25">
      <c r="A6" s="6" t="s">
        <v>215</v>
      </c>
      <c r="B6" s="34" t="s">
        <v>207</v>
      </c>
      <c r="C6" s="6" t="s">
        <v>216</v>
      </c>
    </row>
    <row r="7" spans="1:3" x14ac:dyDescent="0.25">
      <c r="A7" s="6" t="s">
        <v>217</v>
      </c>
      <c r="B7" s="34" t="s">
        <v>207</v>
      </c>
      <c r="C7" s="6" t="s">
        <v>218</v>
      </c>
    </row>
    <row r="8" spans="1:3" x14ac:dyDescent="0.25">
      <c r="A8" s="6" t="s">
        <v>219</v>
      </c>
      <c r="B8" s="35" t="s">
        <v>208</v>
      </c>
      <c r="C8" s="6" t="s">
        <v>36</v>
      </c>
    </row>
    <row r="9" spans="1:3" x14ac:dyDescent="0.25">
      <c r="A9" s="6" t="s">
        <v>220</v>
      </c>
      <c r="B9" s="34" t="s">
        <v>207</v>
      </c>
      <c r="C9" s="6" t="s">
        <v>221</v>
      </c>
    </row>
    <row r="10" spans="1:3" x14ac:dyDescent="0.25">
      <c r="A10" s="6" t="s">
        <v>222</v>
      </c>
      <c r="B10" s="35" t="s">
        <v>208</v>
      </c>
      <c r="C10" s="6" t="s">
        <v>223</v>
      </c>
    </row>
    <row r="12" ht="24" customHeight="1" spans="1:3" x14ac:dyDescent="0.25">
      <c r="A12" s="5" t="s">
        <v>224</v>
      </c>
      <c r="B12" s="5"/>
      <c r="C12" s="5"/>
    </row>
    <row r="13" spans="1:2" x14ac:dyDescent="0.25">
      <c r="A13" s="6" t="s">
        <v>225</v>
      </c>
      <c r="B13" s="7" t="s">
        <v>226</v>
      </c>
    </row>
    <row r="14" spans="1:2" x14ac:dyDescent="0.25">
      <c r="A14" s="6" t="s">
        <v>227</v>
      </c>
      <c r="B14" s="38" t="s">
        <v>228</v>
      </c>
    </row>
    <row r="16" ht="24" customHeight="1" spans="1:3" x14ac:dyDescent="0.25">
      <c r="A16" s="5" t="s">
        <v>229</v>
      </c>
      <c r="B16" s="5"/>
      <c r="C16" s="5"/>
    </row>
    <row r="17" spans="1:2" x14ac:dyDescent="0.25">
      <c r="A17" s="6" t="s">
        <v>230</v>
      </c>
      <c r="B17" s="18">
        <v>1288333</v>
      </c>
    </row>
    <row r="18" spans="1:2" x14ac:dyDescent="0.25">
      <c r="A18" s="6" t="s">
        <v>231</v>
      </c>
      <c r="B18" s="18">
        <v>1736256</v>
      </c>
    </row>
    <row r="19" spans="1:2" x14ac:dyDescent="0.25">
      <c r="A19" s="6" t="s">
        <v>232</v>
      </c>
      <c r="B19" s="18">
        <v>-447923</v>
      </c>
    </row>
    <row r="20" spans="1:2" x14ac:dyDescent="0.25">
      <c r="A20" s="6" t="s">
        <v>233</v>
      </c>
      <c r="B20" s="39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234</v>
      </c>
      <c r="B22" s="18">
        <v>52077</v>
      </c>
    </row>
    <row r="23" spans="1:2" x14ac:dyDescent="0.25">
      <c r="A23" s="6" t="s">
        <v>235</v>
      </c>
      <c r="B23" s="18">
        <v>500000</v>
      </c>
    </row>
    <row r="24" spans="1:2" x14ac:dyDescent="0.25">
      <c r="A24" s="6" t="s">
        <v>236</v>
      </c>
      <c r="B24" s="7" t="s">
        <v>214</v>
      </c>
    </row>
    <row r="25" spans="1:2" x14ac:dyDescent="0.25">
      <c r="A25" s="6" t="s">
        <v>237</v>
      </c>
      <c r="B25" s="7" t="s">
        <v>238</v>
      </c>
    </row>
    <row r="26" spans="1:2" x14ac:dyDescent="0.25">
      <c r="A26" s="6" t="s">
        <v>239</v>
      </c>
      <c r="B26" s="7" t="s">
        <v>36</v>
      </c>
    </row>
    <row r="27" spans="1:2" x14ac:dyDescent="0.25">
      <c r="A27" s="6" t="s">
        <v>240</v>
      </c>
      <c r="B27" s="18">
        <v>10736</v>
      </c>
    </row>
    <row r="28" spans="1:2" x14ac:dyDescent="0.25">
      <c r="A28" s="6" t="s">
        <v>241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242</v>
      </c>
      <c r="B2" s="40"/>
      <c r="C2" s="40"/>
      <c r="D2" s="40"/>
      <c r="E2" s="40"/>
      <c r="F2" s="40"/>
    </row>
    <row r="3" ht="18" customHeight="1" spans="1:6" x14ac:dyDescent="0.25">
      <c r="A3" s="41" t="s">
        <v>243</v>
      </c>
      <c r="B3" s="41"/>
      <c r="C3" s="41"/>
      <c r="D3" s="41"/>
      <c r="E3" s="41"/>
      <c r="F3" s="41"/>
    </row>
    <row r="4" ht="16" customHeight="1" spans="1:6" x14ac:dyDescent="0.25">
      <c r="A4" s="42" t="s">
        <v>244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375</v>
      </c>
      <c r="F7" s="33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245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246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197</v>
      </c>
      <c r="B16" s="31">
        <v>-5.68</v>
      </c>
      <c r="C16" s="31">
        <v>8.09</v>
      </c>
      <c r="D16" s="31">
        <v>27.34</v>
      </c>
      <c r="E16" s="31">
        <v>41.91</v>
      </c>
      <c r="F16" s="31">
        <v>48.12</v>
      </c>
    </row>
    <row r="18" spans="1:6" x14ac:dyDescent="0.25">
      <c r="A18" s="42" t="s">
        <v>247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248</v>
      </c>
      <c r="C3" s="43"/>
    </row>
    <row r="4" ht="28" customHeight="1" spans="2:3" x14ac:dyDescent="0.25">
      <c r="B4" s="44" t="s">
        <v>249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250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251</v>
      </c>
      <c r="C10" s="48"/>
    </row>
    <row r="12" spans="2:3" x14ac:dyDescent="0.25">
      <c r="B12" s="46" t="s">
        <v>252</v>
      </c>
      <c r="C12" s="49" t="s">
        <v>253</v>
      </c>
    </row>
    <row r="15" ht="24" customHeight="1" spans="1:3" x14ac:dyDescent="0.25">
      <c r="A15" s="5"/>
      <c r="B15" s="5" t="s">
        <v>254</v>
      </c>
      <c r="C15" s="5"/>
    </row>
    <row r="16" spans="2:3" x14ac:dyDescent="0.25">
      <c r="B16" s="13" t="s">
        <v>255</v>
      </c>
      <c r="C16" s="27">
        <v>5184400</v>
      </c>
    </row>
    <row r="17" spans="2:3" x14ac:dyDescent="0.25">
      <c r="B17" s="13" t="s">
        <v>256</v>
      </c>
      <c r="C17" s="27">
        <v>2327934</v>
      </c>
    </row>
    <row r="18" spans="2:3" x14ac:dyDescent="0.25">
      <c r="B18" s="13" t="s">
        <v>199</v>
      </c>
      <c r="C18" s="27">
        <v>5479439</v>
      </c>
    </row>
    <row r="19" spans="2:3" x14ac:dyDescent="0.25">
      <c r="B19" s="13" t="s">
        <v>227</v>
      </c>
      <c r="C19" s="50" t="s">
        <v>257</v>
      </c>
    </row>
    <row r="22" ht="24" customHeight="1" spans="1:3" x14ac:dyDescent="0.25">
      <c r="A22" s="5"/>
      <c r="B22" s="5" t="s">
        <v>258</v>
      </c>
      <c r="C22" s="5"/>
    </row>
    <row r="23" spans="2:3" x14ac:dyDescent="0.25">
      <c r="B23" s="51" t="s">
        <v>259</v>
      </c>
      <c r="C23" s="52"/>
    </row>
    <row r="24" spans="2:3" x14ac:dyDescent="0.25">
      <c r="B24" s="51" t="s">
        <v>260</v>
      </c>
      <c r="C24" s="52"/>
    </row>
    <row r="25" spans="2:3" x14ac:dyDescent="0.25">
      <c r="B25" s="51" t="s">
        <v>261</v>
      </c>
      <c r="C25" s="52"/>
    </row>
    <row r="26" spans="2:3" x14ac:dyDescent="0.25">
      <c r="B26" s="51" t="s">
        <v>262</v>
      </c>
      <c r="C26" s="52"/>
    </row>
    <row r="27" spans="2:3" x14ac:dyDescent="0.25">
      <c r="B27" s="51" t="s">
        <v>168</v>
      </c>
      <c r="C27" s="52"/>
    </row>
    <row r="28" spans="2:3" x14ac:dyDescent="0.25">
      <c r="B28" s="51" t="s">
        <v>263</v>
      </c>
      <c r="C28" s="52"/>
    </row>
    <row r="29" spans="2:3" x14ac:dyDescent="0.25">
      <c r="B29" s="51" t="s">
        <v>264</v>
      </c>
      <c r="C29" s="52"/>
    </row>
    <row r="30" spans="2:3" x14ac:dyDescent="0.25">
      <c r="B30" s="51" t="s">
        <v>265</v>
      </c>
      <c r="C30" s="52"/>
    </row>
    <row r="31" spans="2:3" x14ac:dyDescent="0.25">
      <c r="B31" s="51" t="s">
        <v>266</v>
      </c>
      <c r="C31" s="52"/>
    </row>
    <row r="32" spans="2:3" x14ac:dyDescent="0.25">
      <c r="B32" s="51" t="s">
        <v>267</v>
      </c>
      <c r="C32" s="52"/>
    </row>
    <row r="33" spans="2:3" x14ac:dyDescent="0.25">
      <c r="B33" s="51" t="s">
        <v>268</v>
      </c>
      <c r="C33" s="52"/>
    </row>
    <row r="34" spans="2:3" x14ac:dyDescent="0.25">
      <c r="B34" s="51" t="s">
        <v>269</v>
      </c>
      <c r="C34" s="52"/>
    </row>
    <row r="35" spans="2:3" x14ac:dyDescent="0.25">
      <c r="B35" s="51" t="s">
        <v>270</v>
      </c>
      <c r="C35" s="52"/>
    </row>
    <row r="36" spans="2:3" x14ac:dyDescent="0.25">
      <c r="B36" s="51" t="s">
        <v>271</v>
      </c>
      <c r="C36" s="52"/>
    </row>
    <row r="39" spans="2:3" x14ac:dyDescent="0.25">
      <c r="B39" s="42" t="s">
        <v>247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6" t="s">
        <v>272</v>
      </c>
      <c r="C2" s="36"/>
      <c r="D2" s="36"/>
      <c r="E2" s="36"/>
      <c r="F2" s="36"/>
      <c r="G2" s="36"/>
      <c r="H2" s="36"/>
    </row>
    <row r="3" spans="2:8" x14ac:dyDescent="0.25">
      <c r="B3" s="53" t="s">
        <v>273</v>
      </c>
      <c r="C3" s="53"/>
      <c r="D3" s="53"/>
      <c r="E3" s="53"/>
      <c r="F3" s="53"/>
      <c r="G3" s="53"/>
      <c r="H3" s="53"/>
    </row>
    <row r="4" spans="2:6" x14ac:dyDescent="0.25">
      <c r="B4" s="54" t="s">
        <v>274</v>
      </c>
      <c r="D4" s="55" t="s">
        <v>275</v>
      </c>
      <c r="F4" s="56" t="s">
        <v>276</v>
      </c>
    </row>
    <row r="6" ht="24" customHeight="1" spans="2:8" x14ac:dyDescent="0.25">
      <c r="B6" s="5" t="s">
        <v>277</v>
      </c>
      <c r="C6" s="57" t="s">
        <v>23</v>
      </c>
      <c r="D6" s="57" t="s">
        <v>24</v>
      </c>
      <c r="E6" s="57" t="s">
        <v>25</v>
      </c>
      <c r="F6" s="57" t="s">
        <v>26</v>
      </c>
      <c r="G6" s="57" t="s">
        <v>27</v>
      </c>
      <c r="H6" s="57" t="s">
        <v>278</v>
      </c>
    </row>
    <row r="7" spans="2:7" x14ac:dyDescent="0.25">
      <c r="B7" s="13" t="s">
        <v>279</v>
      </c>
      <c r="C7" s="58">
        <v>120</v>
      </c>
      <c r="D7" s="58">
        <v>200</v>
      </c>
      <c r="E7" s="58">
        <v>300</v>
      </c>
      <c r="F7" s="58">
        <v>375</v>
      </c>
      <c r="G7" s="58">
        <v>400</v>
      </c>
    </row>
    <row r="8" spans="2:7" x14ac:dyDescent="0.25">
      <c r="B8" s="13" t="s">
        <v>166</v>
      </c>
      <c r="C8" s="59">
        <v>1288333</v>
      </c>
      <c r="D8" s="59">
        <v>2522800</v>
      </c>
      <c r="E8" s="59">
        <v>3784600</v>
      </c>
      <c r="F8" s="59">
        <v>4759125</v>
      </c>
      <c r="G8" s="59">
        <v>5184400</v>
      </c>
    </row>
    <row r="9" spans="2:7" x14ac:dyDescent="0.25">
      <c r="B9" s="13" t="s">
        <v>167</v>
      </c>
      <c r="C9" s="59">
        <v>1026431</v>
      </c>
      <c r="D9" s="59">
        <v>1231718</v>
      </c>
      <c r="E9" s="59">
        <v>1231718</v>
      </c>
      <c r="F9" s="59">
        <v>1231718</v>
      </c>
      <c r="G9" s="59">
        <v>1231718</v>
      </c>
    </row>
    <row r="10" spans="2:7" x14ac:dyDescent="0.25">
      <c r="B10" s="13" t="s">
        <v>168</v>
      </c>
      <c r="C10" s="59">
        <v>545000</v>
      </c>
      <c r="D10" s="59">
        <v>887860</v>
      </c>
      <c r="E10" s="59">
        <v>1190521</v>
      </c>
      <c r="F10" s="59">
        <v>1439089</v>
      </c>
      <c r="G10" s="59">
        <v>1554924</v>
      </c>
    </row>
    <row r="11" spans="2:7" x14ac:dyDescent="0.25">
      <c r="B11" s="13" t="s">
        <v>169</v>
      </c>
      <c r="C11" s="59">
        <v>164825</v>
      </c>
      <c r="D11" s="59">
        <v>89825</v>
      </c>
      <c r="E11" s="59">
        <v>89825</v>
      </c>
      <c r="F11" s="59">
        <v>74825</v>
      </c>
      <c r="G11" s="59">
        <v>69825</v>
      </c>
    </row>
    <row r="12" spans="2:7" x14ac:dyDescent="0.25">
      <c r="B12" s="60" t="s">
        <v>179</v>
      </c>
      <c r="C12" s="61">
        <v>-447923</v>
      </c>
      <c r="D12" s="62">
        <v>313398</v>
      </c>
      <c r="E12" s="62">
        <v>1272536</v>
      </c>
      <c r="F12" s="62">
        <v>2013494</v>
      </c>
      <c r="G12" s="62">
        <v>2327934</v>
      </c>
    </row>
    <row r="13" spans="2:7" x14ac:dyDescent="0.25">
      <c r="B13" s="60" t="s">
        <v>280</v>
      </c>
      <c r="C13" s="62">
        <v>52077</v>
      </c>
      <c r="D13" s="62">
        <v>365475</v>
      </c>
      <c r="E13" s="62">
        <v>1638011</v>
      </c>
      <c r="F13" s="62">
        <v>3651505</v>
      </c>
      <c r="G13" s="62">
        <v>5979439</v>
      </c>
    </row>
    <row r="14" spans="2:7" x14ac:dyDescent="0.25">
      <c r="B14" s="60" t="s">
        <v>281</v>
      </c>
      <c r="C14" s="63">
        <v>-0.34767641595767557</v>
      </c>
      <c r="D14" s="64">
        <v>0.12422625654035199</v>
      </c>
      <c r="E14" s="64">
        <v>0.3362405538233895</v>
      </c>
      <c r="F14" s="64">
        <v>0.42308071336642766</v>
      </c>
      <c r="G14" s="64">
        <v>0.44902669547102847</v>
      </c>
    </row>
    <row r="15" spans="2:8" x14ac:dyDescent="0.25">
      <c r="B15" s="60" t="s">
        <v>246</v>
      </c>
      <c r="C15" s="65">
        <v>10736.108333333334</v>
      </c>
      <c r="D15" s="65">
        <v>12614</v>
      </c>
      <c r="E15" s="65">
        <v>12615.333333333334</v>
      </c>
      <c r="F15" s="65">
        <v>12691</v>
      </c>
      <c r="G15" s="65">
        <v>12961</v>
      </c>
      <c r="H15" s="66" t="s">
        <v>282</v>
      </c>
    </row>
    <row r="16" spans="2:8" x14ac:dyDescent="0.25">
      <c r="B16" s="60" t="s">
        <v>283</v>
      </c>
      <c r="C16" s="63">
        <v>0.7967124959152642</v>
      </c>
      <c r="D16" s="64">
        <v>0.4882345013477089</v>
      </c>
      <c r="E16" s="64">
        <v>0.3254552660783174</v>
      </c>
      <c r="F16" s="64">
        <v>0.25881186142410634</v>
      </c>
      <c r="G16" s="64">
        <v>0.23758159092662604</v>
      </c>
      <c r="H16" s="66" t="s">
        <v>284</v>
      </c>
    </row>
    <row r="17" spans="2:8" x14ac:dyDescent="0.25">
      <c r="B17" s="60" t="s">
        <v>285</v>
      </c>
      <c r="C17" s="64">
        <v>0.12690818289991795</v>
      </c>
      <c r="D17" s="64">
        <v>0.10558030759473601</v>
      </c>
      <c r="E17" s="64">
        <v>0.09437095069492152</v>
      </c>
      <c r="F17" s="64">
        <v>0.09071556220943976</v>
      </c>
      <c r="G17" s="64">
        <v>0.08997708510145823</v>
      </c>
      <c r="H17" s="66" t="s">
        <v>286</v>
      </c>
    </row>
    <row r="18" spans="2:8" x14ac:dyDescent="0.25">
      <c r="B18" s="60" t="s">
        <v>287</v>
      </c>
      <c r="C18" s="63">
        <v>-0.219739772248324</v>
      </c>
      <c r="D18" s="64">
        <v>0.15983114000317108</v>
      </c>
      <c r="E18" s="64">
        <v>0.3599748982719442</v>
      </c>
      <c r="F18" s="64">
        <v>0.4388029312110945</v>
      </c>
      <c r="G18" s="64">
        <v>0.46249479206851324</v>
      </c>
      <c r="H18" s="66" t="s">
        <v>288</v>
      </c>
    </row>
    <row r="19" spans="2:8" x14ac:dyDescent="0.25">
      <c r="B19" s="60" t="s">
        <v>289</v>
      </c>
      <c r="C19" s="67">
        <v>1</v>
      </c>
      <c r="D19" s="67"/>
      <c r="E19" s="67"/>
      <c r="F19" s="67"/>
      <c r="G19" s="67"/>
      <c r="H19" s="66" t="s">
        <v>290</v>
      </c>
    </row>
    <row r="20" spans="2:8" x14ac:dyDescent="0.25">
      <c r="B20" s="60" t="s">
        <v>197</v>
      </c>
      <c r="C20" s="68">
        <v>-1.7175671166388593</v>
      </c>
      <c r="D20" s="69">
        <v>4.488973003061509</v>
      </c>
      <c r="E20" s="69">
        <v>15.16683551349847</v>
      </c>
      <c r="F20" s="69">
        <v>27.909361844303376</v>
      </c>
      <c r="G20" s="69">
        <v>34.33953455066237</v>
      </c>
      <c r="H20" s="66" t="s">
        <v>291</v>
      </c>
    </row>
    <row r="21" spans="2:8" x14ac:dyDescent="0.25">
      <c r="B21" s="60" t="s">
        <v>292</v>
      </c>
      <c r="C21" s="70" t="s">
        <v>24</v>
      </c>
      <c r="D21" s="70"/>
      <c r="E21" s="70"/>
      <c r="F21" s="70"/>
      <c r="G21" s="70"/>
      <c r="H21" s="66" t="s">
        <v>23</v>
      </c>
    </row>
    <row r="22" spans="2:8" x14ac:dyDescent="0.25">
      <c r="B22" s="60" t="s">
        <v>293</v>
      </c>
      <c r="C22" s="70" t="s">
        <v>294</v>
      </c>
      <c r="D22" s="70"/>
      <c r="E22" s="70"/>
      <c r="F22" s="70"/>
      <c r="G22" s="70"/>
      <c r="H22" s="66" t="s">
        <v>294</v>
      </c>
    </row>
    <row r="24" ht="24" customHeight="1" spans="2:8" x14ac:dyDescent="0.25">
      <c r="B24" s="5" t="s">
        <v>295</v>
      </c>
      <c r="C24" s="5" t="s">
        <v>296</v>
      </c>
      <c r="D24" s="5" t="s">
        <v>297</v>
      </c>
      <c r="E24" s="5"/>
      <c r="F24" s="5" t="s">
        <v>298</v>
      </c>
      <c r="G24" s="5"/>
      <c r="H24" s="5"/>
    </row>
    <row r="25" ht="45" customHeight="1" spans="2:8" x14ac:dyDescent="0.25">
      <c r="B25" s="71" t="s">
        <v>299</v>
      </c>
      <c r="C25" s="72" t="s">
        <v>300</v>
      </c>
      <c r="D25" s="73" t="s">
        <v>301</v>
      </c>
      <c r="E25" s="73"/>
      <c r="F25" s="74" t="s">
        <v>302</v>
      </c>
      <c r="G25" s="74"/>
      <c r="H25" s="74"/>
    </row>
    <row r="26" ht="45" customHeight="1" spans="2:8" x14ac:dyDescent="0.25">
      <c r="B26" s="71" t="s">
        <v>303</v>
      </c>
      <c r="C26" s="72" t="s">
        <v>300</v>
      </c>
      <c r="D26" s="73" t="s">
        <v>304</v>
      </c>
      <c r="E26" s="73"/>
      <c r="F26" s="74" t="s">
        <v>305</v>
      </c>
      <c r="G26" s="74"/>
      <c r="H26" s="74"/>
    </row>
    <row r="27" ht="45" customHeight="1" spans="2:8" x14ac:dyDescent="0.25">
      <c r="B27" s="71" t="s">
        <v>306</v>
      </c>
      <c r="C27" s="72" t="s">
        <v>300</v>
      </c>
      <c r="D27" s="73" t="s">
        <v>307</v>
      </c>
      <c r="E27" s="73"/>
      <c r="F27" s="74" t="s">
        <v>308</v>
      </c>
      <c r="G27" s="74"/>
      <c r="H27" s="74"/>
    </row>
    <row r="28" ht="45" customHeight="1" spans="2:8" x14ac:dyDescent="0.25">
      <c r="B28" s="71" t="s">
        <v>309</v>
      </c>
      <c r="C28" s="72" t="s">
        <v>300</v>
      </c>
      <c r="D28" s="73" t="s">
        <v>310</v>
      </c>
      <c r="E28" s="73"/>
      <c r="F28" s="74" t="s">
        <v>311</v>
      </c>
      <c r="G28" s="74"/>
      <c r="H28" s="74"/>
    </row>
    <row r="29" ht="45" customHeight="1" spans="2:8" x14ac:dyDescent="0.25">
      <c r="B29" s="71" t="s">
        <v>312</v>
      </c>
      <c r="C29" s="72" t="s">
        <v>300</v>
      </c>
      <c r="D29" s="73" t="s">
        <v>313</v>
      </c>
      <c r="E29" s="73"/>
      <c r="F29" s="74" t="s">
        <v>314</v>
      </c>
      <c r="G29" s="74"/>
      <c r="H29" s="74"/>
    </row>
    <row r="30" ht="45" customHeight="1" spans="2:8" x14ac:dyDescent="0.25">
      <c r="B30" s="71" t="s">
        <v>315</v>
      </c>
      <c r="C30" s="72" t="s">
        <v>300</v>
      </c>
      <c r="D30" s="73" t="s">
        <v>316</v>
      </c>
      <c r="E30" s="73"/>
      <c r="F30" s="74" t="s">
        <v>317</v>
      </c>
      <c r="G30" s="74"/>
      <c r="H30" s="74"/>
    </row>
    <row r="31" ht="45" customHeight="1" spans="2:8" x14ac:dyDescent="0.25">
      <c r="B31" s="71" t="s">
        <v>318</v>
      </c>
      <c r="C31" s="72" t="s">
        <v>300</v>
      </c>
      <c r="D31" s="73" t="s">
        <v>319</v>
      </c>
      <c r="E31" s="73"/>
      <c r="F31" s="74" t="s">
        <v>320</v>
      </c>
      <c r="G31" s="74"/>
      <c r="H31" s="74"/>
    </row>
    <row r="33" spans="2:6" x14ac:dyDescent="0.25">
      <c r="B33" s="71" t="s">
        <v>271</v>
      </c>
      <c r="C33" s="60" t="s">
        <v>321</v>
      </c>
      <c r="D33" s="60"/>
      <c r="E33" s="60"/>
      <c r="F33" s="60"/>
    </row>
    <row r="35" spans="2:8" x14ac:dyDescent="0.25">
      <c r="B35" s="75" t="s">
        <v>322</v>
      </c>
      <c r="C35" s="75"/>
      <c r="D35" s="75"/>
      <c r="E35" s="75"/>
      <c r="F35" s="75"/>
      <c r="G35" s="75"/>
      <c r="H35" s="7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