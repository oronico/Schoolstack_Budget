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Enrollment &amp; Rev Drivers" state="visible" r:id="rId5"/>
    <sheet sheetId="3" name="Tuition &amp; Funding Detail" state="visible" r:id="rId6"/>
    <sheet sheetId="4" name="Staffing Plan" state="visible" r:id="rId7"/>
    <sheet sheetId="5" name="Operating Expenses" state="visible" r:id="rId8"/>
    <sheet sheetId="6" name="Facilities &amp; Occupancy" state="visible" r:id="rId9"/>
    <sheet sheetId="7" name="Capital Stack &amp; Startup Uses" state="visible" r:id="rId10"/>
    <sheet sheetId="8" name="Debt Schedule" state="visible" r:id="rId11"/>
    <sheet sheetId="9" name="Cash Flow Monthly Y1" state="visible" r:id="rId12"/>
    <sheet sheetId="10" name="5-Year P&amp;L" state="visible" r:id="rId13"/>
    <sheet sheetId="11" name="5-Year Balance Sheet" state="visible" r:id="rId14"/>
    <sheet sheetId="12" name="DSCR &amp; Covenants" state="visible" r:id="rId15"/>
    <sheet sheetId="13" name="Underwriting Snapshot" state="visible" r:id="rId16"/>
    <sheet sheetId="14" name="Summary" state="visible" r:id="rId17"/>
    <sheet sheetId="15" name="Cover" state="visible" r:id="rId18"/>
  </sheets>
  <definedNames>
    <definedName name="_xlnm.Print_Area" localSheetId="0">'Assumptions'!$A1:$F23</definedName>
    <definedName name="_xlnm.Print_Titles" localSheetId="0">'Assumptions'!$1:$1</definedName>
    <definedName name="_xlnm.Print_Area" localSheetId="1">'Enrollment &amp; Rev Drivers'!$A1:$F15</definedName>
    <definedName name="_xlnm.Print_Titles" localSheetId="1">'Enrollment &amp; Rev Drivers'!$1:$1</definedName>
    <definedName name="_xlnm.Print_Area" localSheetId="2">'Tuition &amp; Funding Detail'!$A1:$F16</definedName>
    <definedName name="_xlnm.Print_Titles" localSheetId="2">'Tuition &amp; Funding Detail'!$1:$1</definedName>
    <definedName name="_xlnm.Print_Area" localSheetId="3">'Staffing Plan'!$A1:$H28</definedName>
    <definedName name="_xlnm.Print_Titles" localSheetId="3">'Staffing Plan'!$1:$1</definedName>
    <definedName name="_xlnm.Print_Area" localSheetId="4">'Operating Expenses'!$A1:$F16</definedName>
    <definedName name="_xlnm.Print_Titles" localSheetId="4">'Operating Expenses'!$1:$1</definedName>
    <definedName name="_xlnm.Print_Area" localSheetId="5">'Facilities &amp; Occupancy'!$A1:$F10</definedName>
    <definedName name="_xlnm.Print_Titles" localSheetId="5">'Facilities &amp; Occupancy'!$1:$1</definedName>
    <definedName name="_xlnm.Print_Area" localSheetId="6">'Capital Stack &amp; Startup Uses'!$A1:$B19</definedName>
    <definedName name="_xlnm.Print_Titles" localSheetId="6">'Capital Stack &amp; Startup Uses'!$1:$1</definedName>
    <definedName name="_xlnm.Print_Area" localSheetId="7">'Debt Schedule'!$A1:$G16</definedName>
    <definedName name="_xlnm.Print_Titles" localSheetId="7">'Debt Schedule'!$1:$1</definedName>
    <definedName name="_xlnm.Print_Area" localSheetId="8">'Cash Flow Monthly Y1'!$A1:$N13</definedName>
    <definedName name="_xlnm.Print_Titles" localSheetId="8">'Cash Flow Monthly Y1'!$1:$1</definedName>
    <definedName name="_xlnm.Print_Area" localSheetId="9">'5-Year P&amp;L'!$A1:$F9</definedName>
    <definedName name="_xlnm.Print_Titles" localSheetId="9">'5-Year P&amp;L'!$1:$1</definedName>
    <definedName name="_xlnm.Print_Area" localSheetId="10">'5-Year Balance Sheet'!$A1:$F17</definedName>
    <definedName name="_xlnm.Print_Titles" localSheetId="10">'5-Year Balance Sheet'!$1:$1</definedName>
    <definedName name="_xlnm.Print_Area" localSheetId="11">'DSCR &amp; Covenants'!$A1:$F17</definedName>
    <definedName name="_xlnm.Print_Titles" localSheetId="11">'DSCR &amp; Covenants'!$1:$1</definedName>
    <definedName name="_xlnm.Print_Area" localSheetId="12">'Underwriting Snapshot'!$A1:$C28</definedName>
    <definedName name="_xlnm.Print_Titles" localSheetId="12">'Underwriting Snapshot'!$1:$1</definedName>
    <definedName name="_xlnm.Print_Area" localSheetId="13">'Summary'!$A1:$F18</definedName>
    <definedName name="_xlnm.Print_Titles" localSheetId="13">'Summary'!$1:$1</definedName>
  </definedNames>
  <calcPr calcId="171027" fullCalcOnLoad="1"/>
</workbook>
</file>

<file path=xl/sharedStrings.xml><?xml version="1.0" encoding="utf-8"?>
<sst xmlns="http://schemas.openxmlformats.org/spreadsheetml/2006/main" count="379" uniqueCount="271">
  <si>
    <t>SchoolStack - Assumptions &amp; Drivers</t>
  </si>
  <si>
    <t>Edit the highlighted cells below to update the entire model</t>
  </si>
  <si>
    <t>SCHOOL INFORMATION</t>
  </si>
  <si>
    <t>School Name</t>
  </si>
  <si>
    <t>Civic Scholars Charter</t>
  </si>
  <si>
    <t>State</t>
  </si>
  <si>
    <t>OH</t>
  </si>
  <si>
    <t>School Type</t>
  </si>
  <si>
    <t>Charter School</t>
  </si>
  <si>
    <t>Entity Type</t>
  </si>
  <si>
    <t>501(c)(3) Nonprofit</t>
  </si>
  <si>
    <t>School Stage</t>
  </si>
  <si>
    <t>New School</t>
  </si>
  <si>
    <t>Planned Opening Year</t>
  </si>
  <si>
    <t/>
  </si>
  <si>
    <t>Max Student Capacity</t>
  </si>
  <si>
    <t>Fiscal Year Start</t>
  </si>
  <si>
    <t>July</t>
  </si>
  <si>
    <t>EIN</t>
  </si>
  <si>
    <t>31-5551234</t>
  </si>
  <si>
    <t>Year 1 Operating Months</t>
  </si>
  <si>
    <t>ENROLLMENT BY YEAR</t>
  </si>
  <si>
    <t>Year 1</t>
  </si>
  <si>
    <t>Year 2</t>
  </si>
  <si>
    <t>Year 3</t>
  </si>
  <si>
    <t>Year 4</t>
  </si>
  <si>
    <t>Year 5</t>
  </si>
  <si>
    <t>Students</t>
  </si>
  <si>
    <t>GROWTH &amp; ESCALATION RATES</t>
  </si>
  <si>
    <t>Salary Escalation</t>
  </si>
  <si>
    <t>Cost Inflation</t>
  </si>
  <si>
    <t>Year 1 Proration Factor</t>
  </si>
  <si>
    <t>Projection Period</t>
  </si>
  <si>
    <t>5 Years</t>
  </si>
  <si>
    <t>2026-27</t>
  </si>
  <si>
    <t>2027-28</t>
  </si>
  <si>
    <t>2028-29</t>
  </si>
  <si>
    <t>2029-30</t>
  </si>
  <si>
    <t>2030-31</t>
  </si>
  <si>
    <t>Enrollment Growth %</t>
  </si>
  <si>
    <t>-</t>
  </si>
  <si>
    <t>Capacity Utilization %</t>
  </si>
  <si>
    <t>REVENUE PER STUDENT</t>
  </si>
  <si>
    <t>State Per-Pupil Funding (per student)</t>
  </si>
  <si>
    <t>Federal Title I (per student)</t>
  </si>
  <si>
    <t>Special Education Funding (per student)</t>
  </si>
  <si>
    <t>Food Service Revenue (per student)</t>
  </si>
  <si>
    <t>REVENUE MIX SUMMARY</t>
  </si>
  <si>
    <t>Public Funding</t>
  </si>
  <si>
    <t>Philanthropy</t>
  </si>
  <si>
    <t>Other Revenue</t>
  </si>
  <si>
    <t>PUBLIC FUNDING</t>
  </si>
  <si>
    <t>State Per-Pupil Funding</t>
  </si>
  <si>
    <t>Federal Title I</t>
  </si>
  <si>
    <t>Special Education Funding</t>
  </si>
  <si>
    <t>Total Public Funding</t>
  </si>
  <si>
    <t>PHILANTHROPY</t>
  </si>
  <si>
    <t>CSP Startup Grant</t>
  </si>
  <si>
    <t>Annual Fundraising</t>
  </si>
  <si>
    <t>Total Philanthropy</t>
  </si>
  <si>
    <t>OTHER REVENUE</t>
  </si>
  <si>
    <t>Food Service Revenue</t>
  </si>
  <si>
    <t>Total Other Revenue</t>
  </si>
  <si>
    <t>TOTAL NET REVENUE</t>
  </si>
  <si>
    <t>SchoolStack - Staffing Plan</t>
  </si>
  <si>
    <t>Role</t>
  </si>
  <si>
    <t>Function</t>
  </si>
  <si>
    <t>Type</t>
  </si>
  <si>
    <t>FTE</t>
  </si>
  <si>
    <t>Annual Rate</t>
  </si>
  <si>
    <t>Benefits %</t>
  </si>
  <si>
    <t>Payroll Tax %</t>
  </si>
  <si>
    <t>Total Cost</t>
  </si>
  <si>
    <t>Executive Director</t>
  </si>
  <si>
    <t>School Leadership</t>
  </si>
  <si>
    <t>FT</t>
  </si>
  <si>
    <t>Principal</t>
  </si>
  <si>
    <t>Dean of Students</t>
  </si>
  <si>
    <t>Core Teachers</t>
  </si>
  <si>
    <t>Instructional</t>
  </si>
  <si>
    <t>Special Education Teacher</t>
  </si>
  <si>
    <t>Instructional Aides</t>
  </si>
  <si>
    <t>School Counselor</t>
  </si>
  <si>
    <t>Student Support</t>
  </si>
  <si>
    <t>Operations Manager</t>
  </si>
  <si>
    <t>Operations</t>
  </si>
  <si>
    <t>Office Staff</t>
  </si>
  <si>
    <t>Administrative</t>
  </si>
  <si>
    <t>PERSONNEL COST SUMMARY</t>
  </si>
  <si>
    <t>Total Headcount</t>
  </si>
  <si>
    <t>Total FTE</t>
  </si>
  <si>
    <t>Salaries &amp; Wages</t>
  </si>
  <si>
    <t>Benefits</t>
  </si>
  <si>
    <t>Payroll Taxes</t>
  </si>
  <si>
    <t>Contracted Personnel</t>
  </si>
  <si>
    <t>Total Base Personnel Cost</t>
  </si>
  <si>
    <t>MULTI-YEAR PERSONNEL PROJECTION</t>
  </si>
  <si>
    <t>Base Cost</t>
  </si>
  <si>
    <t>Escalation Factor</t>
  </si>
  <si>
    <t>Proration</t>
  </si>
  <si>
    <t>Total Personnel</t>
  </si>
  <si>
    <t>INSTRUCTIONAL / PROGRAM</t>
  </si>
  <si>
    <t>Curriculum &amp; Textbooks</t>
  </si>
  <si>
    <t>Total Instructional / Program</t>
  </si>
  <si>
    <t>TECHNOLOGY</t>
  </si>
  <si>
    <t>Technology &amp; Devices</t>
  </si>
  <si>
    <t>Total Technology</t>
  </si>
  <si>
    <t>ADMINISTRATIVE / GENERAL</t>
  </si>
  <si>
    <t>Marketing &amp; Recruitment</t>
  </si>
  <si>
    <t>Professional Development</t>
  </si>
  <si>
    <t>Legal &amp; Compliance</t>
  </si>
  <si>
    <t>Food Service</t>
  </si>
  <si>
    <t>Transportation</t>
  </si>
  <si>
    <t>Total Administrative / General</t>
  </si>
  <si>
    <t>TOTAL OPERATING EXPENSES</t>
  </si>
  <si>
    <t>OCCUPANCY / FACILITY COSTS</t>
  </si>
  <si>
    <t>Facility Lease</t>
  </si>
  <si>
    <t>Utilities</t>
  </si>
  <si>
    <t>Insurance</t>
  </si>
  <si>
    <t>Janitorial</t>
  </si>
  <si>
    <t>Total Facility Costs</t>
  </si>
  <si>
    <t>Cost per Student</t>
  </si>
  <si>
    <t>% of Revenue</t>
  </si>
  <si>
    <t>SchoolStack - Capital Stack (2026-27)</t>
  </si>
  <si>
    <t>SOURCES OF CAPITAL</t>
  </si>
  <si>
    <t>Founder Equity / Starting Cash</t>
  </si>
  <si>
    <t>Loan: Facility Improvement Loan</t>
  </si>
  <si>
    <t>TOTAL CAPITAL SOURCES</t>
  </si>
  <si>
    <t>STARTUP / PRE-OPENING USES</t>
  </si>
  <si>
    <t>Deposits &amp; Prepaid Occupancy (2 mo)</t>
  </si>
  <si>
    <t>Equipment / FF&amp;E / Technology</t>
  </si>
  <si>
    <t>Curriculum &amp; Program Launch Costs</t>
  </si>
  <si>
    <t>FF&amp;E Purchase</t>
  </si>
  <si>
    <t>Technology Infrastructure</t>
  </si>
  <si>
    <t>Working Capital Reserve (2 mo)</t>
  </si>
  <si>
    <t>Contingency (5%)</t>
  </si>
  <si>
    <t>TOTAL STARTUP USES</t>
  </si>
  <si>
    <t>CAPITAL SURPLUS / (GAP)</t>
  </si>
  <si>
    <t>⚠ Funding gap - additional capital needed</t>
  </si>
  <si>
    <t>SchoolStack - Debt Schedule</t>
  </si>
  <si>
    <t>Loan / Facility</t>
  </si>
  <si>
    <t>Rate</t>
  </si>
  <si>
    <t>Term (yrs)</t>
  </si>
  <si>
    <t>Annual Payment</t>
  </si>
  <si>
    <t>Monthly Payment</t>
  </si>
  <si>
    <t>Total Interest</t>
  </si>
  <si>
    <t>Facility Improvement Loan</t>
  </si>
  <si>
    <t>TOTAL DEBT SERVICE</t>
  </si>
  <si>
    <t>Annual Debt Service</t>
  </si>
  <si>
    <t>Monthly Debt Service</t>
  </si>
  <si>
    <t>AMORTIZATION SCHEDULE (ANNUAL)</t>
  </si>
  <si>
    <t>Year</t>
  </si>
  <si>
    <t>Facility Improvement Loan Balance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</si>
  <si>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</si>
  <si>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</si>
  <si>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</si>
  <si>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</si>
  <si>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</si>
  <si>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</si>
  <si>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</si>
  <si>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</si>
  <si>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</si>
  <si>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</si>
  <si>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</si>
  <si>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2026-27 Total</t>
  </si>
  <si>
    <t>Revenue</t>
  </si>
  <si>
    <t>Personnel</t>
  </si>
  <si>
    <t>Operating Expenses</t>
  </si>
  <si>
    <t>Debt Service</t>
  </si>
  <si>
    <t>Total Expenses</t>
  </si>
  <si>
    <t>Net Cash Flow</t>
  </si>
  <si>
    <t>Cumulative Cash</t>
  </si>
  <si>
    <t>CASH FLOW METRICS</t>
  </si>
  <si>
    <t>Starting Cash</t>
  </si>
  <si>
    <t>Ending Cash (Month 12)</t>
  </si>
  <si>
    <t>Minimum Cash Month</t>
  </si>
  <si>
    <t>Total Revenue</t>
  </si>
  <si>
    <t>Capital &amp; Debt Service</t>
  </si>
  <si>
    <t>Net Income</t>
  </si>
  <si>
    <t>Net Margin %</t>
  </si>
  <si>
    <t>Cumulative Net Income</t>
  </si>
  <si>
    <t>ASSETS</t>
  </si>
  <si>
    <t>Cash &amp; Equivalents</t>
  </si>
  <si>
    <t>Other Assets</t>
  </si>
  <si>
    <t>Total Assets</t>
  </si>
  <si>
    <t>LIABILITIES</t>
  </si>
  <si>
    <t>Debt Outstanding</t>
  </si>
  <si>
    <t>Other Liabilities</t>
  </si>
  <si>
    <t>Total Liabilities</t>
  </si>
  <si>
    <t>EQUITY / NET ASSETS</t>
  </si>
  <si>
    <t>Beginning Net Position</t>
  </si>
  <si>
    <t>Change in Net Position</t>
  </si>
  <si>
    <t>Total Equity / Net Assets</t>
  </si>
  <si>
    <t>BALANCE CHECK (Assets − Liab − Equity)</t>
  </si>
  <si>
    <t>DEBT SERVICE COVERAGE RATIO (DSCR)</t>
  </si>
  <si>
    <t>Net Operating Income (NOI)</t>
  </si>
  <si>
    <t>DSCR</t>
  </si>
  <si>
    <t>LIQUIDITY METRICS</t>
  </si>
  <si>
    <t>Ending Cash Balance</t>
  </si>
  <si>
    <t>Monthly Operating Cost</t>
  </si>
  <si>
    <t>Cash Reserve (Months)</t>
  </si>
  <si>
    <t>Days Cash on Hand</t>
  </si>
  <si>
    <t>COVENANT CHECKS</t>
  </si>
  <si>
    <t>DSCR ≥ 1.20x</t>
  </si>
  <si>
    <t>Cash Reserve ≥ 2.0 Months</t>
  </si>
  <si>
    <t>Positive Net Income</t>
  </si>
  <si>
    <t>FAIL</t>
  </si>
  <si>
    <t>PASS</t>
  </si>
  <si>
    <t>Enrollment ≥ 70% Capacity</t>
  </si>
  <si>
    <t>SchoolStack - Underwriting Snapshot</t>
  </si>
  <si>
    <t>Civic Scholars Charter | Charter School | OH</t>
  </si>
  <si>
    <t>POLICY FLAGS</t>
  </si>
  <si>
    <t>DSCR ≥ 1.20x (2026-27)</t>
  </si>
  <si>
    <t>-5.68x</t>
  </si>
  <si>
    <t>Min 2 Months Cash Reserve (2026-27)</t>
  </si>
  <si>
    <t>0.4 months</t>
  </si>
  <si>
    <t>Positive Net Income (2026-27)</t>
  </si>
  <si>
    <t>No</t>
  </si>
  <si>
    <t>Break-Even Within Projection Period</t>
  </si>
  <si>
    <t>Enrollment ≥ 70% Capacity (2026-27)</t>
  </si>
  <si>
    <t>30%</t>
  </si>
  <si>
    <t>Positive Ending Cash (Final Year)</t>
  </si>
  <si>
    <t>Yes</t>
  </si>
  <si>
    <t>UNDERWRITING ASSESSMENT</t>
  </si>
  <si>
    <t>Flags Passed</t>
  </si>
  <si>
    <t>2 / 6</t>
  </si>
  <si>
    <t>Overall Assessment</t>
  </si>
  <si>
    <t>Not Ready</t>
  </si>
  <si>
    <t>KEY METRICS SUMMARY</t>
  </si>
  <si>
    <t>2026-27 Revenue</t>
  </si>
  <si>
    <t>2026-27 Total Expenses</t>
  </si>
  <si>
    <t>2026-27 Net Income</t>
  </si>
  <si>
    <t>2026-27 Net Margin</t>
  </si>
  <si>
    <t>2026-27 Ending Cash</t>
  </si>
  <si>
    <t>Total Debt</t>
  </si>
  <si>
    <t>2026-27 DSCR</t>
  </si>
  <si>
    <t>2026-27 Cash Reserve (Months)</t>
  </si>
  <si>
    <t>0.4</t>
  </si>
  <si>
    <t>Break-Even Year</t>
  </si>
  <si>
    <t>Revenue per Student (2026-27)</t>
  </si>
  <si>
    <t>Cost per Student (2026-27)</t>
  </si>
  <si>
    <t>5-Year Financial Model</t>
  </si>
  <si>
    <t>Charter School  |  OH  |  Est. 2026</t>
  </si>
  <si>
    <t>Prepared March 17, 2026</t>
  </si>
  <si>
    <t>Cash Balance</t>
  </si>
  <si>
    <t>Revenue per Student</t>
  </si>
  <si>
    <t>Generated by SchoolStack Budget  •  budget.schoolstack.ai</t>
  </si>
  <si>
    <t>SchoolStack Budget</t>
  </si>
  <si>
    <t>Underwriting Package</t>
  </si>
  <si>
    <t>Prepared for</t>
  </si>
  <si>
    <t>Charter School  •  501(c)(3) Nonprofit  •  OH</t>
  </si>
  <si>
    <t>Date Prepared</t>
  </si>
  <si>
    <t>March 17, 2026</t>
  </si>
  <si>
    <t>UNDERWRITING HIGHLIGHTS</t>
  </si>
  <si>
    <t>Year 5 Revenue</t>
  </si>
  <si>
    <t>Year 5 Net Income</t>
  </si>
  <si>
    <t>Strong</t>
  </si>
  <si>
    <t>TABLE OF CONTENTS</t>
  </si>
  <si>
    <t>Assumptions</t>
  </si>
  <si>
    <t>Enrollment &amp; Rev Drivers</t>
  </si>
  <si>
    <t>Tuition &amp; Funding Detail</t>
  </si>
  <si>
    <t>Staffing Plan</t>
  </si>
  <si>
    <t>Facilities &amp; Occupancy</t>
  </si>
  <si>
    <t>Capital Stack &amp; Startup Uses</t>
  </si>
  <si>
    <t>Debt Schedule</t>
  </si>
  <si>
    <t>Cash Flow Monthly Y1</t>
  </si>
  <si>
    <t>5-Year P&amp;L</t>
  </si>
  <si>
    <t>5-Year Balance Sheet</t>
  </si>
  <si>
    <t>DSCR &amp; Covenants</t>
  </si>
  <si>
    <t>Underwriting Snapshot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</si>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</sst>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#,##0;#,##0;&quot;-&quot;"/>
    <numFmt numFmtId="165" formatCode="0.0%;[Red](0.0%);&quot;-&quot;"/>
    <numFmt numFmtId="166" formatCode="_(&quot;$&quot;* #,##0_);_(&quot;$&quot;* (#,##0);_(&quot;$&quot;* &quot;-&quot;??_);_(@_)"/>
    <numFmt numFmtId="167" formatCode="0.0000"/>
    <numFmt numFmtId="168" formatCode="0.000"/>
    <numFmt numFmtId="169" formatCode="0.00x"/>
    <numFmt numFmtId="170" formatCode="0.0"/>
  </numFmts>
  <fonts count="19" x14ac:knownFonts="1">
    <font>
      <color theme="1"/>
      <family val="2"/>
      <scheme val="minor"/>
      <sz val="11"/>
      <name val="Calibri"/>
    </font>
    <font>
      <b/>
      <color rgb="FF1E293B"/>
      <sz val="14"/>
      <name val="Calibri"/>
    </font>
    <font>
      <i/>
      <color rgb="FF6B7280"/>
      <sz val="11"/>
      <name val="Calibri"/>
    </font>
    <font>
      <b/>
      <color rgb="FF1E293B"/>
      <sz val="11"/>
      <name val="Calibri"/>
    </font>
    <font>
      <sz val="11"/>
      <name val="Calibri"/>
    </font>
    <font>
      <b/>
      <sz val="11"/>
      <name val="Calibri"/>
    </font>
    <font>
      <b/>
      <color rgb="FFFFFFFF"/>
      <sz val="11"/>
      <name val="Calibri"/>
    </font>
    <font>
      <i/>
      <color rgb="FFD32F2F"/>
      <sz val="11"/>
      <name val="Calibri"/>
    </font>
    <font>
      <b/>
      <color rgb="FF1E293B"/>
      <sz val="16"/>
      <name val="Calibri"/>
    </font>
    <font>
      <color rgb="FF64748B"/>
      <sz val="12"/>
      <name val="Calibri"/>
    </font>
    <font>
      <b/>
      <color rgb="FF1E293B"/>
      <sz val="13"/>
      <name val="Calibri"/>
    </font>
    <font>
      <color rgb="FF6B7280"/>
      <sz val="11"/>
      <name val="Calibri"/>
    </font>
    <font>
      <i/>
      <color rgb="FF9CA3AF"/>
      <sz val="11"/>
      <name val="Calibri"/>
    </font>
    <font>
      <b/>
      <color rgb="FF1E293B"/>
      <sz val="24"/>
      <name val="Calibri"/>
    </font>
    <font>
      <b/>
      <color rgb="FF64748B"/>
      <sz val="16"/>
      <name val="Calibri"/>
    </font>
    <font>
      <color rgb="FF94A3B8"/>
      <sz val="11"/>
      <name val="Calibri"/>
    </font>
    <font>
      <b/>
      <color rgb="FF1E293B"/>
      <sz val="18"/>
      <name val="Calibri"/>
    </font>
    <font>
      <color rgb="FF64748B"/>
      <sz val="11"/>
      <name val="Calibri"/>
    </font>
    <font>
      <u/>
      <color rgb="FF2563EB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8EDF2"/>
      </patternFill>
    </fill>
    <fill>
      <patternFill patternType="solid">
        <fgColor rgb="FF1E293B"/>
      </patternFill>
    </fill>
    <fill>
      <patternFill patternType="solid">
        <fgColor rgb="FFFFFDE8"/>
      </patternFill>
    </fill>
    <fill>
      <patternFill patternType="solid">
        <fgColor rgb="FFFCE4EC"/>
      </patternFill>
    </fill>
    <fill>
      <patternFill patternType="solid">
        <fgColor rgb="FFE8F5E9"/>
      </patternFill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D97706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  <border>
      <left/>
      <right/>
      <top/>
      <bottom style="medium">
        <color rgb="FFD97706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164" fontId="5" fillId="4" borderId="2" xfId="0" applyNumberFormat="1" applyFont="1" applyFill="1" applyBorder="1"/>
    <xf numFmtId="165" fontId="5" fillId="4" borderId="2" xfId="0" applyNumberFormat="1" applyFont="1" applyFill="1" applyBorder="1"/>
    <xf numFmtId="2" fontId="5" fillId="4" borderId="2" xfId="0" applyNumberFormat="1" applyFont="1" applyFill="1" applyBorder="1"/>
    <xf numFmtId="164" fontId="5" fillId="0" borderId="1" xfId="0" applyNumberFormat="1" applyFont="1" applyBorder="1"/>
    <xf numFmtId="0" fontId="4" fillId="0" borderId="1" xfId="0" applyFont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166" fontId="3" fillId="2" borderId="1" xfId="0" applyNumberFormat="1" applyFont="1" applyFill="1" applyBorder="1"/>
    <xf numFmtId="2" fontId="4" fillId="0" borderId="0" xfId="0" applyNumberFormat="1" applyFont="1"/>
    <xf numFmtId="166" fontId="4" fillId="0" borderId="0" xfId="0" applyNumberFormat="1" applyFont="1"/>
    <xf numFmtId="165" fontId="4" fillId="0" borderId="0" xfId="0" applyNumberFormat="1" applyFont="1"/>
    <xf numFmtId="166" fontId="5" fillId="0" borderId="0" xfId="0" applyNumberFormat="1" applyFont="1"/>
    <xf numFmtId="166" fontId="0" fillId="0" borderId="0" xfId="0" applyNumberFormat="1"/>
    <xf numFmtId="167" fontId="4" fillId="0" borderId="1" xfId="0" applyNumberFormat="1" applyFont="1" applyBorder="1"/>
    <xf numFmtId="168" fontId="4" fillId="0" borderId="1" xfId="0" applyNumberFormat="1" applyFont="1" applyBorder="1"/>
    <xf numFmtId="166" fontId="5" fillId="2" borderId="1" xfId="0" applyNumberFormat="1" applyFont="1" applyFill="1" applyBorder="1"/>
    <xf numFmtId="166" fontId="5" fillId="5" borderId="0" xfId="0" applyNumberFormat="1" applyFont="1" applyFill="1"/>
    <xf numFmtId="0" fontId="7" fillId="0" borderId="0" xfId="0" applyFont="1"/>
    <xf numFmtId="1" fontId="4" fillId="0" borderId="1" xfId="0" applyNumberFormat="1" applyFont="1" applyBorder="1"/>
    <xf numFmtId="166" fontId="5" fillId="0" borderId="1" xfId="0" applyNumberFormat="1" applyFont="1" applyBorder="1"/>
    <xf numFmtId="166" fontId="5" fillId="2" borderId="3" xfId="0" applyNumberFormat="1" applyFont="1" applyFill="1" applyBorder="1"/>
    <xf numFmtId="166" fontId="5" fillId="5" borderId="3" xfId="0" applyNumberFormat="1" applyFont="1" applyFill="1" applyBorder="1"/>
    <xf numFmtId="166" fontId="5" fillId="6" borderId="3" xfId="0" applyNumberFormat="1" applyFont="1" applyFill="1" applyBorder="1"/>
    <xf numFmtId="169" fontId="5" fillId="0" borderId="1" xfId="0" applyNumberFormat="1" applyFont="1" applyBorder="1"/>
    <xf numFmtId="170" fontId="5" fillId="0" borderId="1" xfId="0" applyNumberFormat="1" applyFont="1" applyBorder="1"/>
    <xf numFmtId="164" fontId="4" fillId="0" borderId="1" xfId="0" applyNumberFormat="1" applyFont="1" applyBorder="1"/>
    <xf numFmtId="0" fontId="5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8" fillId="0" borderId="0" xfId="0" applyFont="1"/>
    <xf numFmtId="0" fontId="9" fillId="0" borderId="0" xfId="0" applyFont="1"/>
    <xf numFmtId="0" fontId="5" fillId="5" borderId="0" xfId="0" applyFont="1" applyFill="1"/>
    <xf numFmtId="165" fontId="5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0" borderId="4" xfId="0" applyBorder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3" fillId="0" borderId="0" xfId="0" applyFont="1"/>
    <xf numFmtId="0" fontId="5" fillId="6" borderId="1" xfId="0" applyFont="1" applyFill="1" applyBorder="1"/>
    <xf numFmtId="0" fontId="18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ssumptions&apos;!A1" TargetMode="External"/><Relationship Id="rId2" Type="http://schemas.openxmlformats.org/officeDocument/2006/relationships/hyperlink" Target="#&apos;Enrollment &amp; Rev Drivers&apos;!A1" TargetMode="External"/><Relationship Id="rId3" Type="http://schemas.openxmlformats.org/officeDocument/2006/relationships/hyperlink" Target="#&apos;Tuition &amp; Funding Detail&apos;!A1" TargetMode="External"/><Relationship Id="rId4" Type="http://schemas.openxmlformats.org/officeDocument/2006/relationships/hyperlink" Target="#&apos;Staffing Plan&apos;!A1" TargetMode="External"/><Relationship Id="rId5" Type="http://schemas.openxmlformats.org/officeDocument/2006/relationships/hyperlink" Target="#&apos;Operating Expenses&apos;!A1" TargetMode="External"/><Relationship Id="rId6" Type="http://schemas.openxmlformats.org/officeDocument/2006/relationships/hyperlink" Target="#&apos;Facilities &amp; Occupancy&apos;!A1" TargetMode="External"/><Relationship Id="rId7" Type="http://schemas.openxmlformats.org/officeDocument/2006/relationships/hyperlink" Target="#&apos;Capital Stack &amp; Startup Uses&apos;!A1" TargetMode="External"/><Relationship Id="rId8" Type="http://schemas.openxmlformats.org/officeDocument/2006/relationships/hyperlink" Target="#&apos;Debt Schedule&apos;!A1" TargetMode="External"/><Relationship Id="rId9" Type="http://schemas.openxmlformats.org/officeDocument/2006/relationships/hyperlink" Target="#&apos;Cash Flow Monthly Y1&apos;!A1" TargetMode="External"/><Relationship Id="rId10" Type="http://schemas.openxmlformats.org/officeDocument/2006/relationships/hyperlink" Target="#&apos;5-Year P&amp;L&apos;!A1" TargetMode="External"/><Relationship Id="rId11" Type="http://schemas.openxmlformats.org/officeDocument/2006/relationships/hyperlink" Target="#&apos;5-Year Balance Sheet&apos;!A1" TargetMode="External"/><Relationship Id="rId12" Type="http://schemas.openxmlformats.org/officeDocument/2006/relationships/hyperlink" Target="#&apos;DSCR &amp; Covenants&apos;!A1" TargetMode="External"/><Relationship Id="rId13" Type="http://schemas.openxmlformats.org/officeDocument/2006/relationships/hyperlink" Target="#&apos;Underwriting Snapshot&apos;!A1" TargetMode="External"/><Relationship Id="rId14" Type="http://schemas.openxmlformats.org/officeDocument/2006/relationships/hyperlink" Target="#&apos;Summary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3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8" customWidth="1"/>
    <col min="2" max="6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4" customHeight="1" spans="1:6" x14ac:dyDescent="0.25">
      <c r="A3" s="3" t="s">
        <v>2</v>
      </c>
      <c r="B3" s="3"/>
      <c r="C3" s="3"/>
      <c r="D3" s="3"/>
      <c r="E3" s="3"/>
      <c r="F3" s="3"/>
    </row>
    <row r="4" spans="1:2" x14ac:dyDescent="0.25">
      <c r="A4" s="4" t="s">
        <v>3</v>
      </c>
      <c r="B4" s="5" t="s">
        <v>4</v>
      </c>
    </row>
    <row r="5" spans="1:2" x14ac:dyDescent="0.25">
      <c r="A5" s="4" t="s">
        <v>5</v>
      </c>
      <c r="B5" s="5" t="s">
        <v>6</v>
      </c>
    </row>
    <row r="6" spans="1:2" x14ac:dyDescent="0.25">
      <c r="A6" s="4" t="s">
        <v>7</v>
      </c>
      <c r="B6" s="5" t="s">
        <v>8</v>
      </c>
    </row>
    <row r="7" spans="1:2" x14ac:dyDescent="0.25">
      <c r="A7" s="4" t="s">
        <v>9</v>
      </c>
      <c r="B7" s="5" t="s">
        <v>10</v>
      </c>
    </row>
    <row r="8" spans="1:2" x14ac:dyDescent="0.25">
      <c r="A8" s="4" t="s">
        <v>11</v>
      </c>
      <c r="B8" s="5" t="s">
        <v>12</v>
      </c>
    </row>
    <row r="9" spans="1:2" x14ac:dyDescent="0.25">
      <c r="A9" s="4" t="s">
        <v>13</v>
      </c>
      <c r="B9" s="5" t="s">
        <v>14</v>
      </c>
    </row>
    <row r="10" spans="1:2" x14ac:dyDescent="0.25">
      <c r="A10" s="4" t="s">
        <v>15</v>
      </c>
      <c r="B10" s="5">
        <v>400</v>
      </c>
    </row>
    <row r="11" spans="1:2" x14ac:dyDescent="0.25">
      <c r="A11" s="4" t="s">
        <v>16</v>
      </c>
      <c r="B11" s="5" t="s">
        <v>17</v>
      </c>
    </row>
    <row r="12" spans="1:2" x14ac:dyDescent="0.25">
      <c r="A12" s="4" t="s">
        <v>18</v>
      </c>
      <c r="B12" s="5" t="s">
        <v>19</v>
      </c>
    </row>
    <row r="13" spans="1:2" x14ac:dyDescent="0.25">
      <c r="A13" s="4" t="s">
        <v>20</v>
      </c>
      <c r="B13" s="5">
        <v>10</v>
      </c>
    </row>
    <row r="15" ht="24" customHeight="1" spans="1:6" x14ac:dyDescent="0.25">
      <c r="A15" s="3" t="s">
        <v>21</v>
      </c>
      <c r="B15" s="3"/>
      <c r="C15" s="3"/>
      <c r="D15" s="3"/>
      <c r="E15" s="3"/>
      <c r="F15" s="3"/>
    </row>
    <row r="16" ht="28" customHeight="1" spans="1:6" x14ac:dyDescent="0.25">
      <c r="A16" s="6" t="s">
        <v>14</v>
      </c>
      <c r="B16" s="6" t="s">
        <v>22</v>
      </c>
      <c r="C16" s="6" t="s">
        <v>23</v>
      </c>
      <c r="D16" s="6" t="s">
        <v>24</v>
      </c>
      <c r="E16" s="6" t="s">
        <v>25</v>
      </c>
      <c r="F16" s="6" t="s">
        <v>26</v>
      </c>
    </row>
    <row r="17" spans="1:6" x14ac:dyDescent="0.25">
      <c r="A17" s="5" t="s">
        <v>27</v>
      </c>
      <c r="B17" s="7">
        <v>120</v>
      </c>
      <c r="C17" s="7">
        <v>200</v>
      </c>
      <c r="D17" s="7">
        <v>300</v>
      </c>
      <c r="E17" s="7">
        <v>375</v>
      </c>
      <c r="F17" s="7">
        <v>400</v>
      </c>
    </row>
    <row r="19" ht="24" customHeight="1" spans="1:6" x14ac:dyDescent="0.25">
      <c r="A19" s="3" t="s">
        <v>28</v>
      </c>
      <c r="B19" s="3"/>
      <c r="C19" s="3"/>
      <c r="D19" s="3"/>
      <c r="E19" s="3"/>
      <c r="F19" s="3"/>
    </row>
    <row r="20" spans="1:2" x14ac:dyDescent="0.25">
      <c r="A20" s="4" t="s">
        <v>29</v>
      </c>
      <c r="B20" s="8">
        <v>0</v>
      </c>
    </row>
    <row r="21" spans="1:2" x14ac:dyDescent="0.25">
      <c r="A21" s="4" t="s">
        <v>30</v>
      </c>
      <c r="B21" s="8">
        <v>0</v>
      </c>
    </row>
    <row r="22" spans="1:2" x14ac:dyDescent="0.25">
      <c r="A22" s="4" t="s">
        <v>31</v>
      </c>
      <c r="B22" s="9">
        <v>0.8333333333333334</v>
      </c>
    </row>
    <row r="23" spans="1:2" x14ac:dyDescent="0.25">
      <c r="A23" s="4" t="s">
        <v>32</v>
      </c>
      <c r="B23" s="5" t="s">
        <v>33</v>
      </c>
    </row>
  </sheetData>
  <mergeCells count="2">
    <mergeCell ref="A1:F1"/>
    <mergeCell ref="A2:F2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&amp;L&amp;10&amp;BCivic Scholars Charter&amp;R&amp;8&amp;IAssumptions</oddHeader>
    <oddFooter>&amp;L&amp;8Built by SchoolStack Budget  •  budget.schoolstack.ai&amp;C&amp;8Page &amp;P of &amp;N&amp;R&amp;8&amp;D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6" t="s">
        <v>14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38</v>
      </c>
    </row>
    <row r="2" spans="1:6" x14ac:dyDescent="0.25">
      <c r="A2" s="5" t="s">
        <v>27</v>
      </c>
      <c r="B2" s="10">
        <v>120</v>
      </c>
      <c r="C2" s="10">
        <v>200</v>
      </c>
      <c r="D2" s="10">
        <v>300</v>
      </c>
      <c r="E2" s="10">
        <v>375</v>
      </c>
      <c r="F2" s="10">
        <v>400</v>
      </c>
    </row>
    <row r="3" spans="1:6" x14ac:dyDescent="0.25">
      <c r="A3" s="4" t="s">
        <v>39</v>
      </c>
      <c r="B3" s="11" t="s">
        <v>40</v>
      </c>
      <c r="C3" s="12">
        <f>IF(B2=0,"-",(C2-B2)/B2)</f>
        <v>0.67</v>
      </c>
      <c r="D3" s="12">
        <f>IF(C2=0,"-",(D2-C2)/C2)</f>
        <v>0.5</v>
      </c>
      <c r="E3" s="12">
        <f>IF(D2=0,"-",(E2-D2)/D2)</f>
        <v>0.25</v>
      </c>
      <c r="F3" s="12">
        <f>IF(E2=0,"-",(F2-E2)/E2)</f>
        <v>0.07</v>
      </c>
    </row>
    <row r="4" spans="1:6" x14ac:dyDescent="0.25">
      <c r="A4" s="4" t="s">
        <v>41</v>
      </c>
      <c r="B4" s="12">
        <v>0.3</v>
      </c>
      <c r="C4" s="12">
        <v>0.5</v>
      </c>
      <c r="D4" s="12">
        <v>0.75</v>
      </c>
      <c r="E4" s="12">
        <v>0.9375</v>
      </c>
      <c r="F4" s="12">
        <v>1</v>
      </c>
    </row>
    <row r="6" ht="24" customHeight="1" spans="1:6" x14ac:dyDescent="0.25">
      <c r="A6" s="3" t="s">
        <v>42</v>
      </c>
      <c r="B6" s="3"/>
      <c r="C6" s="3"/>
      <c r="D6" s="3"/>
      <c r="E6" s="3"/>
      <c r="F6" s="3"/>
    </row>
    <row r="7" spans="1:6" x14ac:dyDescent="0.25">
      <c r="A7" s="4" t="s">
        <v>43</v>
      </c>
      <c r="B7" s="13">
        <v>9500</v>
      </c>
      <c r="C7" s="13">
        <v>9690</v>
      </c>
      <c r="D7" s="13">
        <v>9884</v>
      </c>
      <c r="E7" s="13">
        <v>10081</v>
      </c>
      <c r="F7" s="13">
        <v>10283</v>
      </c>
    </row>
    <row r="8" spans="1:6" x14ac:dyDescent="0.25">
      <c r="A8" s="4" t="s">
        <v>44</v>
      </c>
      <c r="B8" s="13">
        <v>800</v>
      </c>
      <c r="C8" s="13">
        <v>816</v>
      </c>
      <c r="D8" s="13">
        <v>832</v>
      </c>
      <c r="E8" s="13">
        <v>849</v>
      </c>
      <c r="F8" s="13">
        <v>866</v>
      </c>
    </row>
    <row r="9" spans="1:6" x14ac:dyDescent="0.25">
      <c r="A9" s="4" t="s">
        <v>45</v>
      </c>
      <c r="B9" s="13">
        <v>1200</v>
      </c>
      <c r="C9" s="13">
        <v>1224</v>
      </c>
      <c r="D9" s="13">
        <v>1248</v>
      </c>
      <c r="E9" s="13">
        <v>1273</v>
      </c>
      <c r="F9" s="13">
        <v>1299</v>
      </c>
    </row>
    <row r="10" spans="1:6" x14ac:dyDescent="0.25">
      <c r="A10" s="4" t="s">
        <v>46</v>
      </c>
      <c r="B10" s="13">
        <v>300</v>
      </c>
      <c r="C10" s="13">
        <v>309</v>
      </c>
      <c r="D10" s="13">
        <v>318</v>
      </c>
      <c r="E10" s="13">
        <v>328</v>
      </c>
      <c r="F10" s="13">
        <v>338</v>
      </c>
    </row>
    <row r="12" ht="24" customHeight="1" spans="1:6" x14ac:dyDescent="0.25">
      <c r="A12" s="3" t="s">
        <v>47</v>
      </c>
      <c r="B12" s="3"/>
      <c r="C12" s="3"/>
      <c r="D12" s="3"/>
      <c r="E12" s="3"/>
      <c r="F12" s="3"/>
    </row>
    <row r="13" spans="1:6" x14ac:dyDescent="0.25">
      <c r="A13" s="4" t="s">
        <v>48</v>
      </c>
      <c r="B13" s="13">
        <v>1380000</v>
      </c>
      <c r="C13" s="13">
        <v>2346000</v>
      </c>
      <c r="D13" s="13">
        <v>3589200</v>
      </c>
      <c r="E13" s="13">
        <v>4576125</v>
      </c>
      <c r="F13" s="13">
        <v>4979200</v>
      </c>
    </row>
    <row r="14" spans="1:6" x14ac:dyDescent="0.25">
      <c r="A14" s="4" t="s">
        <v>49</v>
      </c>
      <c r="B14" s="13">
        <v>130000</v>
      </c>
      <c r="C14" s="13">
        <v>115000</v>
      </c>
      <c r="D14" s="13">
        <v>100000</v>
      </c>
      <c r="E14" s="13">
        <v>60000</v>
      </c>
      <c r="F14" s="13">
        <v>70000</v>
      </c>
    </row>
    <row r="15" spans="1:6" x14ac:dyDescent="0.25">
      <c r="A15" s="4" t="s">
        <v>50</v>
      </c>
      <c r="B15" s="13">
        <v>36000</v>
      </c>
      <c r="C15" s="13">
        <v>61800</v>
      </c>
      <c r="D15" s="13">
        <v>95400</v>
      </c>
      <c r="E15" s="13">
        <v>123000</v>
      </c>
      <c r="F15" s="13">
        <v>135200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&amp;L&amp;10&amp;BCivic Scholars Charter&amp;R&amp;8&amp;IEnrollment &amp; Rev Drivers</oddHeader>
    <oddFooter>&amp;L&amp;8Built by SchoolStack Budget  •  budget.schoolstack.ai&amp;C&amp;8Page &amp;P of &amp;N&amp;R&amp;8&amp;D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6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6" t="s">
        <v>14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38</v>
      </c>
    </row>
    <row r="2" spans="1:6" x14ac:dyDescent="0.25">
      <c r="A2" s="5" t="s">
        <v>27</v>
      </c>
      <c r="B2" s="10">
        <f>Assumptions!$B$17</f>
        <v>120</v>
      </c>
      <c r="C2" s="10">
        <f>Assumptions!$C$17</f>
        <v>200</v>
      </c>
      <c r="D2" s="10">
        <f>Assumptions!$D$17</f>
        <v>300</v>
      </c>
      <c r="E2" s="10">
        <f>Assumptions!$E$17</f>
        <v>375</v>
      </c>
      <c r="F2" s="10">
        <f>Assumptions!$F$17</f>
        <v>400</v>
      </c>
    </row>
    <row r="3" ht="24" customHeight="1" spans="1:6" x14ac:dyDescent="0.25">
      <c r="A3" s="3" t="s">
        <v>51</v>
      </c>
      <c r="B3" s="3"/>
      <c r="C3" s="3"/>
      <c r="D3" s="3"/>
      <c r="E3" s="3"/>
      <c r="F3" s="3"/>
    </row>
    <row r="4" spans="1:6" x14ac:dyDescent="0.25">
      <c r="A4" s="4" t="s">
        <v>52</v>
      </c>
      <c r="B4" s="13">
        <f>ROUND(Assumptions!$B$17*9500,0)</f>
        <v>1140000</v>
      </c>
      <c r="C4" s="13">
        <f>ROUND(Assumptions!$C$17*9690,0)</f>
        <v>1938000</v>
      </c>
      <c r="D4" s="13">
        <f>ROUND(Assumptions!$D$17*9884,0)</f>
        <v>2965200</v>
      </c>
      <c r="E4" s="13">
        <f>ROUND(Assumptions!$E$17*10081,0)</f>
        <v>3780375</v>
      </c>
      <c r="F4" s="13">
        <f>ROUND(Assumptions!$F$17*10283,0)</f>
        <v>4113200</v>
      </c>
    </row>
    <row r="5" spans="1:6" x14ac:dyDescent="0.25">
      <c r="A5" s="4" t="s">
        <v>53</v>
      </c>
      <c r="B5" s="13">
        <f>ROUND(Assumptions!$B$17*800,0)</f>
        <v>96000</v>
      </c>
      <c r="C5" s="13">
        <f>ROUND(Assumptions!$C$17*816,0)</f>
        <v>163200</v>
      </c>
      <c r="D5" s="13">
        <f>ROUND(Assumptions!$D$17*832,0)</f>
        <v>249600</v>
      </c>
      <c r="E5" s="13">
        <f>ROUND(Assumptions!$E$17*849,0)</f>
        <v>318375</v>
      </c>
      <c r="F5" s="13">
        <f>ROUND(Assumptions!$F$17*866,0)</f>
        <v>346400</v>
      </c>
    </row>
    <row r="6" spans="1:6" x14ac:dyDescent="0.25">
      <c r="A6" s="4" t="s">
        <v>54</v>
      </c>
      <c r="B6" s="13">
        <f>ROUND(Assumptions!$B$17*1200,0)</f>
        <v>144000</v>
      </c>
      <c r="C6" s="13">
        <f>ROUND(Assumptions!$C$17*1224,0)</f>
        <v>244800</v>
      </c>
      <c r="D6" s="13">
        <f>ROUND(Assumptions!$D$17*1248,0)</f>
        <v>374400</v>
      </c>
      <c r="E6" s="13">
        <f>ROUND(Assumptions!$E$17*1273,0)</f>
        <v>477375</v>
      </c>
      <c r="F6" s="13">
        <f>ROUND(Assumptions!$F$17*1299,0)</f>
        <v>519600</v>
      </c>
    </row>
    <row r="7" ht="24" customHeight="1" spans="1:6" x14ac:dyDescent="0.25">
      <c r="A7" s="3" t="s">
        <v>55</v>
      </c>
      <c r="B7" s="14">
        <f>SUM(B4:B6)</f>
        <v>1380000</v>
      </c>
      <c r="C7" s="14">
        <f>SUM(C4:C6)</f>
        <v>2346000</v>
      </c>
      <c r="D7" s="14">
        <f>SUM(D4:D6)</f>
        <v>3589200</v>
      </c>
      <c r="E7" s="14">
        <f>SUM(E4:E6)</f>
        <v>4576125</v>
      </c>
      <c r="F7" s="14">
        <f>SUM(F4:F6)</f>
        <v>4979200</v>
      </c>
    </row>
    <row r="8" ht="24" customHeight="1" spans="1:6" x14ac:dyDescent="0.25">
      <c r="A8" s="3" t="s">
        <v>56</v>
      </c>
      <c r="B8" s="3"/>
      <c r="C8" s="3"/>
      <c r="D8" s="3"/>
      <c r="E8" s="3"/>
      <c r="F8" s="3"/>
    </row>
    <row r="9" spans="1:6" x14ac:dyDescent="0.25">
      <c r="A9" s="4" t="s">
        <v>57</v>
      </c>
      <c r="B9" s="13">
        <v>100000</v>
      </c>
      <c r="C9" s="13">
        <v>75000</v>
      </c>
      <c r="D9" s="13">
        <v>50000</v>
      </c>
      <c r="E9" s="13">
        <v>0</v>
      </c>
      <c r="F9" s="13">
        <v>0</v>
      </c>
    </row>
    <row r="10" spans="1:6" x14ac:dyDescent="0.25">
      <c r="A10" s="4" t="s">
        <v>58</v>
      </c>
      <c r="B10" s="13">
        <v>30000</v>
      </c>
      <c r="C10" s="13">
        <v>40000</v>
      </c>
      <c r="D10" s="13">
        <v>50000</v>
      </c>
      <c r="E10" s="13">
        <v>60000</v>
      </c>
      <c r="F10" s="13">
        <v>70000</v>
      </c>
    </row>
    <row r="11" ht="24" customHeight="1" spans="1:6" x14ac:dyDescent="0.25">
      <c r="A11" s="3" t="s">
        <v>59</v>
      </c>
      <c r="B11" s="14">
        <f>SUM(B9:B10)</f>
        <v>130000</v>
      </c>
      <c r="C11" s="14">
        <f>SUM(C9:C10)</f>
        <v>115000</v>
      </c>
      <c r="D11" s="14">
        <f>SUM(D9:D10)</f>
        <v>100000</v>
      </c>
      <c r="E11" s="14">
        <f>SUM(E9:E10)</f>
        <v>60000</v>
      </c>
      <c r="F11" s="14">
        <f>SUM(F9:F10)</f>
        <v>70000</v>
      </c>
    </row>
    <row r="12" ht="24" customHeight="1" spans="1:6" x14ac:dyDescent="0.25">
      <c r="A12" s="3" t="s">
        <v>60</v>
      </c>
      <c r="B12" s="3"/>
      <c r="C12" s="3"/>
      <c r="D12" s="3"/>
      <c r="E12" s="3"/>
      <c r="F12" s="3"/>
    </row>
    <row r="13" spans="1:6" x14ac:dyDescent="0.25">
      <c r="A13" s="4" t="s">
        <v>61</v>
      </c>
      <c r="B13" s="13">
        <f>ROUND(Assumptions!$B$17*300,0)</f>
        <v>36000</v>
      </c>
      <c r="C13" s="13">
        <f>ROUND(Assumptions!$C$17*309,0)</f>
        <v>61800</v>
      </c>
      <c r="D13" s="13">
        <f>ROUND(Assumptions!$D$17*318,0)</f>
        <v>95400</v>
      </c>
      <c r="E13" s="13">
        <f>ROUND(Assumptions!$E$17*328,0)</f>
        <v>123000</v>
      </c>
      <c r="F13" s="13">
        <f>ROUND(Assumptions!$F$17*338,0)</f>
        <v>135200</v>
      </c>
    </row>
    <row r="14" ht="24" customHeight="1" spans="1:6" x14ac:dyDescent="0.25">
      <c r="A14" s="3" t="s">
        <v>62</v>
      </c>
      <c r="B14" s="14">
        <f>SUM(B13:B13)</f>
        <v>36000</v>
      </c>
      <c r="C14" s="14">
        <f>SUM(C13:C13)</f>
        <v>61800</v>
      </c>
      <c r="D14" s="14">
        <f>SUM(D13:D13)</f>
        <v>95400</v>
      </c>
      <c r="E14" s="14">
        <f>SUM(E13:E13)</f>
        <v>123000</v>
      </c>
      <c r="F14" s="14">
        <f>SUM(F13:F13)</f>
        <v>135200</v>
      </c>
    </row>
    <row r="16" ht="24" customHeight="1" spans="1:6" x14ac:dyDescent="0.25">
      <c r="A16" s="3" t="s">
        <v>63</v>
      </c>
      <c r="B16" s="14">
        <f>B7+B11+B14</f>
        <v>1546000</v>
      </c>
      <c r="C16" s="14">
        <f>C7+C11+C14</f>
        <v>2522800</v>
      </c>
      <c r="D16" s="14">
        <f>D7+D11+D14</f>
        <v>3784600</v>
      </c>
      <c r="E16" s="14">
        <f>E7+E11+E14</f>
        <v>4759125</v>
      </c>
      <c r="F16" s="14">
        <f>F7+F11+F14</f>
        <v>5184400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&amp;L&amp;10&amp;BCivic Scholars Charter&amp;R&amp;8&amp;ITuition &amp; Funding Detail</oddHeader>
    <oddFooter>&amp;L&amp;8Built by SchoolStack Budget  •  budget.schoolstack.ai&amp;C&amp;8Page &amp;P of &amp;N&amp;R&amp;8&amp;D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6" width="18" customWidth="1"/>
  </cols>
  <sheetData>
    <row r="1" ht="32" customHeight="1" spans="1:8" x14ac:dyDescent="0.25">
      <c r="A1" s="1" t="s">
        <v>64</v>
      </c>
      <c r="B1" s="1"/>
      <c r="C1" s="1"/>
      <c r="D1" s="1"/>
      <c r="E1" s="1"/>
      <c r="F1" s="1"/>
      <c r="G1" s="1"/>
      <c r="H1" s="1"/>
    </row>
    <row r="3" ht="28" customHeight="1" spans="1:8" x14ac:dyDescent="0.25">
      <c r="A3" s="6" t="s">
        <v>65</v>
      </c>
      <c r="B3" s="6" t="s">
        <v>66</v>
      </c>
      <c r="C3" s="6" t="s">
        <v>67</v>
      </c>
      <c r="D3" s="6" t="s">
        <v>68</v>
      </c>
      <c r="E3" s="6" t="s">
        <v>69</v>
      </c>
      <c r="F3" s="6" t="s">
        <v>70</v>
      </c>
      <c r="G3" s="6" t="s">
        <v>71</v>
      </c>
      <c r="H3" s="6" t="s">
        <v>72</v>
      </c>
    </row>
    <row r="4" spans="1:8" x14ac:dyDescent="0.25">
      <c r="A4" s="4" t="s">
        <v>73</v>
      </c>
      <c r="B4" s="4" t="s">
        <v>74</v>
      </c>
      <c r="C4" s="4" t="s">
        <v>75</v>
      </c>
      <c r="D4" s="15">
        <v>1</v>
      </c>
      <c r="E4" s="16">
        <v>110000</v>
      </c>
      <c r="F4" s="17">
        <v>0.28</v>
      </c>
      <c r="G4" s="17">
        <v>0.0765</v>
      </c>
      <c r="H4" s="18">
        <v>149215</v>
      </c>
    </row>
    <row r="5" spans="1:8" x14ac:dyDescent="0.25">
      <c r="A5" s="4" t="s">
        <v>76</v>
      </c>
      <c r="B5" s="4" t="s">
        <v>74</v>
      </c>
      <c r="C5" s="4" t="s">
        <v>75</v>
      </c>
      <c r="D5" s="15">
        <v>1</v>
      </c>
      <c r="E5" s="16">
        <v>90000</v>
      </c>
      <c r="F5" s="17">
        <v>0.28</v>
      </c>
      <c r="G5" s="17">
        <v>0.0765</v>
      </c>
      <c r="H5" s="18">
        <v>122085</v>
      </c>
    </row>
    <row r="6" spans="1:8" x14ac:dyDescent="0.25">
      <c r="A6" s="4" t="s">
        <v>77</v>
      </c>
      <c r="B6" s="4" t="s">
        <v>74</v>
      </c>
      <c r="C6" s="4" t="s">
        <v>75</v>
      </c>
      <c r="D6" s="15">
        <v>1</v>
      </c>
      <c r="E6" s="16">
        <v>72000</v>
      </c>
      <c r="F6" s="17">
        <v>0.28</v>
      </c>
      <c r="G6" s="17">
        <v>0.0765</v>
      </c>
      <c r="H6" s="18">
        <v>97668</v>
      </c>
    </row>
    <row r="7" spans="1:8" x14ac:dyDescent="0.25">
      <c r="A7" s="4" t="s">
        <v>78</v>
      </c>
      <c r="B7" s="4" t="s">
        <v>79</v>
      </c>
      <c r="C7" s="4" t="s">
        <v>75</v>
      </c>
      <c r="D7" s="15">
        <v>6</v>
      </c>
      <c r="E7" s="16">
        <v>52000</v>
      </c>
      <c r="F7" s="17">
        <v>0.28</v>
      </c>
      <c r="G7" s="17">
        <v>0.0765</v>
      </c>
      <c r="H7" s="18">
        <v>423228</v>
      </c>
    </row>
    <row r="8" spans="1:8" x14ac:dyDescent="0.25">
      <c r="A8" s="4" t="s">
        <v>80</v>
      </c>
      <c r="B8" s="4" t="s">
        <v>79</v>
      </c>
      <c r="C8" s="4" t="s">
        <v>75</v>
      </c>
      <c r="D8" s="15">
        <v>1</v>
      </c>
      <c r="E8" s="16">
        <v>55000</v>
      </c>
      <c r="F8" s="17">
        <v>0.28</v>
      </c>
      <c r="G8" s="17">
        <v>0.0765</v>
      </c>
      <c r="H8" s="18">
        <v>74608</v>
      </c>
    </row>
    <row r="9" spans="1:8" x14ac:dyDescent="0.25">
      <c r="A9" s="4" t="s">
        <v>81</v>
      </c>
      <c r="B9" s="4" t="s">
        <v>79</v>
      </c>
      <c r="C9" s="4" t="s">
        <v>75</v>
      </c>
      <c r="D9" s="15">
        <v>3</v>
      </c>
      <c r="E9" s="16">
        <v>30000</v>
      </c>
      <c r="F9" s="17">
        <v>0.2</v>
      </c>
      <c r="G9" s="17">
        <v>0.0765</v>
      </c>
      <c r="H9" s="18">
        <v>114885</v>
      </c>
    </row>
    <row r="10" spans="1:8" x14ac:dyDescent="0.25">
      <c r="A10" s="4" t="s">
        <v>82</v>
      </c>
      <c r="B10" s="4" t="s">
        <v>83</v>
      </c>
      <c r="C10" s="4" t="s">
        <v>75</v>
      </c>
      <c r="D10" s="15">
        <v>1</v>
      </c>
      <c r="E10" s="16">
        <v>55000</v>
      </c>
      <c r="F10" s="17">
        <v>0.28</v>
      </c>
      <c r="G10" s="17">
        <v>0.0765</v>
      </c>
      <c r="H10" s="18">
        <v>74608</v>
      </c>
    </row>
    <row r="11" spans="1:8" x14ac:dyDescent="0.25">
      <c r="A11" s="4" t="s">
        <v>84</v>
      </c>
      <c r="B11" s="4" t="s">
        <v>85</v>
      </c>
      <c r="C11" s="4" t="s">
        <v>75</v>
      </c>
      <c r="D11" s="15">
        <v>1</v>
      </c>
      <c r="E11" s="16">
        <v>55000</v>
      </c>
      <c r="F11" s="17">
        <v>0.28</v>
      </c>
      <c r="G11" s="17">
        <v>0.0765</v>
      </c>
      <c r="H11" s="18">
        <v>74608</v>
      </c>
    </row>
    <row r="12" spans="1:8" x14ac:dyDescent="0.25">
      <c r="A12" s="4" t="s">
        <v>86</v>
      </c>
      <c r="B12" s="4" t="s">
        <v>87</v>
      </c>
      <c r="C12" s="4" t="s">
        <v>75</v>
      </c>
      <c r="D12" s="15">
        <v>2</v>
      </c>
      <c r="E12" s="16">
        <v>38000</v>
      </c>
      <c r="F12" s="17">
        <v>0.25</v>
      </c>
      <c r="G12" s="17">
        <v>0.0765</v>
      </c>
      <c r="H12" s="18">
        <v>100814</v>
      </c>
    </row>
    <row r="14" ht="24" customHeight="1" spans="1:8" x14ac:dyDescent="0.25">
      <c r="A14" s="3" t="s">
        <v>88</v>
      </c>
      <c r="B14" s="3"/>
      <c r="C14" s="3"/>
      <c r="D14" s="3"/>
      <c r="E14" s="3"/>
      <c r="F14" s="3"/>
      <c r="G14" s="3"/>
      <c r="H14" s="3"/>
    </row>
    <row r="15" spans="1:2" x14ac:dyDescent="0.25">
      <c r="A15" s="4" t="s">
        <v>89</v>
      </c>
      <c r="B15" s="5">
        <v>9</v>
      </c>
    </row>
    <row r="16" spans="1:2" x14ac:dyDescent="0.25">
      <c r="A16" s="4" t="s">
        <v>90</v>
      </c>
      <c r="B16" s="5">
        <v>17</v>
      </c>
    </row>
    <row r="17" spans="1:2" x14ac:dyDescent="0.25">
      <c r="A17" s="4" t="s">
        <v>91</v>
      </c>
      <c r="B17" s="19">
        <v>915000</v>
      </c>
    </row>
    <row r="18" spans="1:2" x14ac:dyDescent="0.25">
      <c r="A18" s="4" t="s">
        <v>92</v>
      </c>
      <c r="B18" s="19">
        <v>246720</v>
      </c>
    </row>
    <row r="19" spans="1:2" x14ac:dyDescent="0.25">
      <c r="A19" s="4" t="s">
        <v>93</v>
      </c>
      <c r="B19" s="19">
        <v>69998</v>
      </c>
    </row>
    <row r="20" spans="1:2" x14ac:dyDescent="0.25">
      <c r="A20" s="4" t="s">
        <v>94</v>
      </c>
      <c r="B20" s="19">
        <v>0</v>
      </c>
    </row>
    <row r="21" spans="1:2" x14ac:dyDescent="0.25">
      <c r="A21" s="5" t="s">
        <v>95</v>
      </c>
      <c r="B21" s="18">
        <v>1231718</v>
      </c>
    </row>
    <row r="23" ht="24" customHeight="1" spans="1:6" x14ac:dyDescent="0.25">
      <c r="A23" s="3" t="s">
        <v>96</v>
      </c>
      <c r="B23" s="3"/>
      <c r="C23" s="3"/>
      <c r="D23" s="3"/>
      <c r="E23" s="3"/>
      <c r="F23" s="3"/>
    </row>
    <row r="24" ht="28" customHeight="1" spans="1:6" x14ac:dyDescent="0.25">
      <c r="A24" s="6" t="s">
        <v>14</v>
      </c>
      <c r="B24" s="6" t="s">
        <v>34</v>
      </c>
      <c r="C24" s="6" t="s">
        <v>35</v>
      </c>
      <c r="D24" s="6" t="s">
        <v>36</v>
      </c>
      <c r="E24" s="6" t="s">
        <v>37</v>
      </c>
      <c r="F24" s="6" t="s">
        <v>38</v>
      </c>
    </row>
    <row r="25" spans="1:6" x14ac:dyDescent="0.25">
      <c r="A25" s="4" t="s">
        <v>97</v>
      </c>
      <c r="B25" s="13">
        <v>1231718</v>
      </c>
      <c r="C25" s="13">
        <v>1231718</v>
      </c>
      <c r="D25" s="13">
        <v>1231718</v>
      </c>
      <c r="E25" s="13">
        <v>1231718</v>
      </c>
      <c r="F25" s="13">
        <v>1231718</v>
      </c>
    </row>
    <row r="26" spans="1:6" x14ac:dyDescent="0.25">
      <c r="A26" s="4" t="s">
        <v>98</v>
      </c>
      <c r="B26" s="20">
        <f>(1+Assumptions!$B$20)^0</f>
        <v>1</v>
      </c>
      <c r="C26" s="20">
        <f>(1+Assumptions!$B$20)^1</f>
        <v>1</v>
      </c>
      <c r="D26" s="20">
        <f>(1+Assumptions!$B$20)^2</f>
        <v>1</v>
      </c>
      <c r="E26" s="20">
        <f>(1+Assumptions!$B$20)^3</f>
        <v>1</v>
      </c>
      <c r="F26" s="20">
        <f>(1+Assumptions!$B$20)^4</f>
        <v>1</v>
      </c>
    </row>
    <row r="27" spans="1:6" x14ac:dyDescent="0.25">
      <c r="A27" s="4" t="s">
        <v>99</v>
      </c>
      <c r="B27" s="21">
        <f>Assumptions!$B$22</f>
        <v>0.83</v>
      </c>
      <c r="C27" s="21">
        <v>1</v>
      </c>
      <c r="D27" s="21">
        <v>1</v>
      </c>
      <c r="E27" s="21">
        <v>1</v>
      </c>
      <c r="F27" s="21">
        <v>1</v>
      </c>
    </row>
    <row r="28" ht="24" customHeight="1" spans="1:6" x14ac:dyDescent="0.25">
      <c r="A28" s="3" t="s">
        <v>100</v>
      </c>
      <c r="B28" s="14">
        <f>B25*B26*B27</f>
        <v>1026431</v>
      </c>
      <c r="C28" s="14">
        <f>C25*C26*C27</f>
        <v>1231718</v>
      </c>
      <c r="D28" s="14">
        <f>D25*D26*D27</f>
        <v>1231718</v>
      </c>
      <c r="E28" s="14">
        <f>E25*E26*E27</f>
        <v>1231718</v>
      </c>
      <c r="F28" s="14">
        <f>F25*F26*F27</f>
        <v>1231718</v>
      </c>
    </row>
  </sheetData>
  <mergeCells count="1">
    <mergeCell ref="A1:H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&amp;L&amp;10&amp;BCivic Scholars Charter&amp;R&amp;8&amp;IStaffing Plan</oddHeader>
    <oddFooter>&amp;L&amp;8Built by SchoolStack Budget  •  budget.schoolstack.ai&amp;C&amp;8Page &amp;P of &amp;N&amp;R&amp;8&amp;D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6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6" t="s">
        <v>14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38</v>
      </c>
    </row>
    <row r="2" ht="24" customHeight="1" spans="1:6" x14ac:dyDescent="0.25">
      <c r="A2" s="3" t="s">
        <v>101</v>
      </c>
      <c r="B2" s="3"/>
      <c r="C2" s="3"/>
      <c r="D2" s="3"/>
      <c r="E2" s="3"/>
      <c r="F2" s="3"/>
    </row>
    <row r="3" spans="1:6" x14ac:dyDescent="0.25">
      <c r="A3" s="4" t="s">
        <v>102</v>
      </c>
      <c r="B3" s="13">
        <f>ROUND(Assumptions!$B$17*700,0)</f>
        <v>84000</v>
      </c>
      <c r="C3" s="13">
        <f>ROUND(Assumptions!$C$17*721,0)</f>
        <v>144200</v>
      </c>
      <c r="D3" s="13">
        <f>ROUND(Assumptions!$D$17*743,0)</f>
        <v>222900</v>
      </c>
      <c r="E3" s="13">
        <f>ROUND(Assumptions!$E$17*765,0)</f>
        <v>286875</v>
      </c>
      <c r="F3" s="13">
        <f>ROUND(Assumptions!$F$17*788,0)</f>
        <v>315200</v>
      </c>
    </row>
    <row r="4" ht="24" customHeight="1" spans="1:6" x14ac:dyDescent="0.25">
      <c r="A4" s="3" t="s">
        <v>103</v>
      </c>
      <c r="B4" s="14">
        <f>SUM(B3:B3)</f>
        <v>84000</v>
      </c>
      <c r="C4" s="14">
        <f>SUM(C3:C3)</f>
        <v>144200</v>
      </c>
      <c r="D4" s="14">
        <f>SUM(D3:D3)</f>
        <v>222900</v>
      </c>
      <c r="E4" s="14">
        <f>SUM(E3:E3)</f>
        <v>286875</v>
      </c>
      <c r="F4" s="14">
        <f>SUM(F3:F3)</f>
        <v>315200</v>
      </c>
    </row>
    <row r="5" ht="24" customHeight="1" spans="1:6" x14ac:dyDescent="0.25">
      <c r="A5" s="3" t="s">
        <v>104</v>
      </c>
      <c r="B5" s="3"/>
      <c r="C5" s="3"/>
      <c r="D5" s="3"/>
      <c r="E5" s="3"/>
      <c r="F5" s="3"/>
    </row>
    <row r="6" spans="1:6" x14ac:dyDescent="0.25">
      <c r="A6" s="4" t="s">
        <v>105</v>
      </c>
      <c r="B6" s="13">
        <f>ROUND(Assumptions!$B$17*500,0)</f>
        <v>60000</v>
      </c>
      <c r="C6" s="13">
        <f>ROUND(Assumptions!$C$17*515,0)</f>
        <v>103000</v>
      </c>
      <c r="D6" s="13">
        <f>ROUND(Assumptions!$D$17*530,0)</f>
        <v>159000</v>
      </c>
      <c r="E6" s="13">
        <f>ROUND(Assumptions!$E$17*546,0)</f>
        <v>204750</v>
      </c>
      <c r="F6" s="13">
        <f>ROUND(Assumptions!$F$17*562,0)</f>
        <v>224800</v>
      </c>
    </row>
    <row r="7" ht="24" customHeight="1" spans="1:6" x14ac:dyDescent="0.25">
      <c r="A7" s="3" t="s">
        <v>106</v>
      </c>
      <c r="B7" s="14">
        <f>SUM(B6:B6)</f>
        <v>60000</v>
      </c>
      <c r="C7" s="14">
        <f>SUM(C6:C6)</f>
        <v>103000</v>
      </c>
      <c r="D7" s="14">
        <f>SUM(D6:D6)</f>
        <v>159000</v>
      </c>
      <c r="E7" s="14">
        <f>SUM(E6:E6)</f>
        <v>204750</v>
      </c>
      <c r="F7" s="14">
        <f>SUM(F6:F6)</f>
        <v>224800</v>
      </c>
    </row>
    <row r="8" ht="24" customHeight="1" spans="1:6" x14ac:dyDescent="0.25">
      <c r="A8" s="3" t="s">
        <v>107</v>
      </c>
      <c r="B8" s="3"/>
      <c r="C8" s="3"/>
      <c r="D8" s="3"/>
      <c r="E8" s="3"/>
      <c r="F8" s="3"/>
    </row>
    <row r="9" spans="1:6" x14ac:dyDescent="0.25">
      <c r="A9" s="4" t="s">
        <v>108</v>
      </c>
      <c r="B9" s="13">
        <v>25000</v>
      </c>
      <c r="C9" s="13">
        <v>25750</v>
      </c>
      <c r="D9" s="13">
        <v>26523</v>
      </c>
      <c r="E9" s="13">
        <v>27318</v>
      </c>
      <c r="F9" s="13">
        <v>28138</v>
      </c>
    </row>
    <row r="10" spans="1:6" x14ac:dyDescent="0.25">
      <c r="A10" s="4" t="s">
        <v>109</v>
      </c>
      <c r="B10" s="13">
        <v>15000</v>
      </c>
      <c r="C10" s="13">
        <v>15450</v>
      </c>
      <c r="D10" s="13">
        <v>15914</v>
      </c>
      <c r="E10" s="13">
        <v>16391</v>
      </c>
      <c r="F10" s="13">
        <v>16883</v>
      </c>
    </row>
    <row r="11" spans="1:6" x14ac:dyDescent="0.25">
      <c r="A11" s="4" t="s">
        <v>110</v>
      </c>
      <c r="B11" s="13">
        <v>20000</v>
      </c>
      <c r="C11" s="13">
        <v>20600</v>
      </c>
      <c r="D11" s="13">
        <v>21218</v>
      </c>
      <c r="E11" s="13">
        <v>21855</v>
      </c>
      <c r="F11" s="13">
        <v>22510</v>
      </c>
    </row>
    <row r="12" spans="1:6" x14ac:dyDescent="0.25">
      <c r="A12" s="4" t="s">
        <v>111</v>
      </c>
      <c r="B12" s="13">
        <f>ROUND(Assumptions!$B$17*800,0)</f>
        <v>96000</v>
      </c>
      <c r="C12" s="13">
        <f>ROUND(Assumptions!$C$17*824,0)</f>
        <v>164800</v>
      </c>
      <c r="D12" s="13">
        <f>ROUND(Assumptions!$D$17*849,0)</f>
        <v>254700</v>
      </c>
      <c r="E12" s="13">
        <f>ROUND(Assumptions!$E$17*874,0)</f>
        <v>327750</v>
      </c>
      <c r="F12" s="13">
        <f>ROUND(Assumptions!$F$17*900,0)</f>
        <v>360000</v>
      </c>
    </row>
    <row r="13" spans="1:6" x14ac:dyDescent="0.25">
      <c r="A13" s="4" t="s">
        <v>112</v>
      </c>
      <c r="B13" s="13">
        <f>ROUND(Assumptions!$B$17*600,0)</f>
        <v>72000</v>
      </c>
      <c r="C13" s="13">
        <f>ROUND(Assumptions!$C$17*618,0)</f>
        <v>123600</v>
      </c>
      <c r="D13" s="13">
        <f>ROUND(Assumptions!$D$17*637,0)</f>
        <v>191100</v>
      </c>
      <c r="E13" s="13">
        <f>ROUND(Assumptions!$E$17*656,0)</f>
        <v>246000</v>
      </c>
      <c r="F13" s="13">
        <f>ROUND(Assumptions!$F$17*675,0)</f>
        <v>270000</v>
      </c>
    </row>
    <row r="14" ht="24" customHeight="1" spans="1:6" x14ac:dyDescent="0.25">
      <c r="A14" s="3" t="s">
        <v>113</v>
      </c>
      <c r="B14" s="14">
        <f>SUM(B9:B13)</f>
        <v>228000</v>
      </c>
      <c r="C14" s="14">
        <f>SUM(C9:C13)</f>
        <v>350200</v>
      </c>
      <c r="D14" s="14">
        <f>SUM(D9:D13)</f>
        <v>509455</v>
      </c>
      <c r="E14" s="14">
        <f>SUM(E9:E13)</f>
        <v>639314</v>
      </c>
      <c r="F14" s="14">
        <f>SUM(F9:F13)</f>
        <v>697531</v>
      </c>
    </row>
    <row r="16" ht="24" customHeight="1" spans="1:6" x14ac:dyDescent="0.25">
      <c r="A16" s="3" t="s">
        <v>114</v>
      </c>
      <c r="B16" s="14">
        <f>B4+B7+B14</f>
        <v>372000</v>
      </c>
      <c r="C16" s="14">
        <f>C4+C7+C14</f>
        <v>597400</v>
      </c>
      <c r="D16" s="14">
        <f>D4+D7+D14</f>
        <v>891355</v>
      </c>
      <c r="E16" s="14">
        <f>E4+E7+E14</f>
        <v>1130939</v>
      </c>
      <c r="F16" s="14">
        <f>F4+F7+F14</f>
        <v>1237531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&amp;L&amp;10&amp;BCivic Scholars Charter&amp;R&amp;8&amp;IOperating Expenses</oddHeader>
    <oddFooter>&amp;L&amp;8Built by SchoolStack Budget  •  budget.schoolstack.ai&amp;C&amp;8Page &amp;P of &amp;N&amp;R&amp;8&amp;D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6" t="s">
        <v>14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38</v>
      </c>
    </row>
    <row r="2" ht="24" customHeight="1" spans="1:6" x14ac:dyDescent="0.25">
      <c r="A2" s="3" t="s">
        <v>115</v>
      </c>
      <c r="B2" s="3"/>
      <c r="C2" s="3"/>
      <c r="D2" s="3"/>
      <c r="E2" s="3"/>
      <c r="F2" s="3"/>
    </row>
    <row r="3" spans="1:6" x14ac:dyDescent="0.25">
      <c r="A3" s="4" t="s">
        <v>116</v>
      </c>
      <c r="B3" s="13">
        <v>216000</v>
      </c>
      <c r="C3" s="13">
        <v>222480</v>
      </c>
      <c r="D3" s="13">
        <v>229154</v>
      </c>
      <c r="E3" s="13">
        <v>236029</v>
      </c>
      <c r="F3" s="13">
        <v>243110</v>
      </c>
    </row>
    <row r="4" spans="1:6" x14ac:dyDescent="0.25">
      <c r="A4" s="4" t="s">
        <v>117</v>
      </c>
      <c r="B4" s="13">
        <v>30000</v>
      </c>
      <c r="C4" s="13">
        <v>30900</v>
      </c>
      <c r="D4" s="13">
        <v>31824</v>
      </c>
      <c r="E4" s="13">
        <v>32784</v>
      </c>
      <c r="F4" s="13">
        <v>33768</v>
      </c>
    </row>
    <row r="5" spans="1:6" x14ac:dyDescent="0.25">
      <c r="A5" s="4" t="s">
        <v>118</v>
      </c>
      <c r="B5" s="13">
        <v>18000</v>
      </c>
      <c r="C5" s="13">
        <v>18540</v>
      </c>
      <c r="D5" s="13">
        <v>19096</v>
      </c>
      <c r="E5" s="13">
        <v>19669</v>
      </c>
      <c r="F5" s="13">
        <v>20259</v>
      </c>
    </row>
    <row r="6" spans="1:6" x14ac:dyDescent="0.25">
      <c r="A6" s="4" t="s">
        <v>119</v>
      </c>
      <c r="B6" s="13">
        <v>18000</v>
      </c>
      <c r="C6" s="13">
        <v>18540</v>
      </c>
      <c r="D6" s="13">
        <v>19092</v>
      </c>
      <c r="E6" s="13">
        <v>19668</v>
      </c>
      <c r="F6" s="13">
        <v>20256</v>
      </c>
    </row>
    <row r="7" ht="24" customHeight="1" spans="1:6" x14ac:dyDescent="0.25">
      <c r="A7" s="3" t="s">
        <v>120</v>
      </c>
      <c r="B7" s="14">
        <f>SUM(B3:B6)</f>
        <v>282000</v>
      </c>
      <c r="C7" s="14">
        <f>SUM(C3:C6)</f>
        <v>290460</v>
      </c>
      <c r="D7" s="14">
        <f>SUM(D3:D6)</f>
        <v>299166</v>
      </c>
      <c r="E7" s="14">
        <f>SUM(E3:E6)</f>
        <v>308150</v>
      </c>
      <c r="F7" s="14">
        <f>SUM(F3:F6)</f>
        <v>317393</v>
      </c>
    </row>
    <row r="9" spans="1:6" x14ac:dyDescent="0.25">
      <c r="A9" s="4" t="s">
        <v>121</v>
      </c>
      <c r="B9" s="13">
        <v>2350</v>
      </c>
      <c r="C9" s="13">
        <v>1452</v>
      </c>
      <c r="D9" s="13">
        <v>997</v>
      </c>
      <c r="E9" s="13">
        <v>822</v>
      </c>
      <c r="F9" s="13">
        <v>793</v>
      </c>
    </row>
    <row r="10" spans="1:6" x14ac:dyDescent="0.25">
      <c r="A10" s="4" t="s">
        <v>122</v>
      </c>
      <c r="B10" s="12">
        <v>0.21888750812095942</v>
      </c>
      <c r="C10" s="12">
        <v>0.1151339781195497</v>
      </c>
      <c r="D10" s="12">
        <v>0.07904835385509698</v>
      </c>
      <c r="E10" s="12">
        <v>0.06474930412628371</v>
      </c>
      <c r="F10" s="12">
        <v>0.06122075900007716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&amp;L&amp;10&amp;BCivic Scholars Charter&amp;R&amp;8&amp;IFacilities &amp; Occupancy</oddHeader>
    <oddFooter>&amp;L&amp;8Built by SchoolStack Budget  •  budget.schoolstack.ai&amp;C&amp;8Page &amp;P of &amp;N&amp;R&amp;8&amp;D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9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4" customWidth="1"/>
    <col min="2" max="2" width="22" customWidth="1"/>
  </cols>
  <sheetData>
    <row r="1" ht="32" customHeight="1" spans="1:2" x14ac:dyDescent="0.25">
      <c r="A1" s="1" t="s">
        <v>123</v>
      </c>
      <c r="B1" s="1"/>
    </row>
    <row r="3" ht="24" customHeight="1" spans="1:2" x14ac:dyDescent="0.25">
      <c r="A3" s="3" t="s">
        <v>124</v>
      </c>
      <c r="B3" s="3"/>
    </row>
    <row r="4" spans="1:2" x14ac:dyDescent="0.25">
      <c r="A4" s="4" t="s">
        <v>125</v>
      </c>
      <c r="B4" s="16">
        <v>0</v>
      </c>
    </row>
    <row r="5" spans="1:2" x14ac:dyDescent="0.25">
      <c r="A5" s="4" t="s">
        <v>126</v>
      </c>
      <c r="B5" s="16">
        <v>500000</v>
      </c>
    </row>
    <row r="6" ht="24" customHeight="1" spans="1:2" x14ac:dyDescent="0.25">
      <c r="A6" s="3" t="s">
        <v>127</v>
      </c>
      <c r="B6" s="22">
        <f>SUM(B4:B5)</f>
        <v>500000</v>
      </c>
    </row>
    <row r="8" ht="24" customHeight="1" spans="1:2" x14ac:dyDescent="0.25">
      <c r="A8" s="3" t="s">
        <v>128</v>
      </c>
      <c r="B8" s="3"/>
    </row>
    <row r="9" spans="1:2" x14ac:dyDescent="0.25">
      <c r="A9" s="4" t="s">
        <v>129</v>
      </c>
      <c r="B9" s="16">
        <v>47000</v>
      </c>
    </row>
    <row r="10" spans="1:2" x14ac:dyDescent="0.25">
      <c r="A10" s="4" t="s">
        <v>130</v>
      </c>
      <c r="B10" s="16">
        <v>30000</v>
      </c>
    </row>
    <row r="11" spans="1:2" x14ac:dyDescent="0.25">
      <c r="A11" s="4" t="s">
        <v>131</v>
      </c>
      <c r="B11" s="16">
        <v>84000</v>
      </c>
    </row>
    <row r="12" spans="1:2" x14ac:dyDescent="0.25">
      <c r="A12" s="4" t="s">
        <v>132</v>
      </c>
      <c r="B12" s="16">
        <v>75000</v>
      </c>
    </row>
    <row r="13" spans="1:2" x14ac:dyDescent="0.25">
      <c r="A13" s="4" t="s">
        <v>133</v>
      </c>
      <c r="B13" s="16">
        <v>40000</v>
      </c>
    </row>
    <row r="14" spans="1:2" x14ac:dyDescent="0.25">
      <c r="A14" s="4" t="s">
        <v>134</v>
      </c>
      <c r="B14" s="16">
        <v>261905</v>
      </c>
    </row>
    <row r="15" spans="1:2" x14ac:dyDescent="0.25">
      <c r="A15" s="4" t="s">
        <v>135</v>
      </c>
      <c r="B15" s="16">
        <v>26895</v>
      </c>
    </row>
    <row r="16" ht="24" customHeight="1" spans="1:2" x14ac:dyDescent="0.25">
      <c r="A16" s="3" t="s">
        <v>136</v>
      </c>
      <c r="B16" s="22">
        <f>SUM(B9:B15)</f>
        <v>564800</v>
      </c>
    </row>
    <row r="18" spans="1:2" x14ac:dyDescent="0.25">
      <c r="A18" s="5" t="s">
        <v>137</v>
      </c>
      <c r="B18" s="23">
        <f>B6-B16</f>
        <v>-64800</v>
      </c>
    </row>
    <row r="19" spans="1:1" x14ac:dyDescent="0.25">
      <c r="A19" s="24" t="s">
        <v>138</v>
      </c>
    </row>
  </sheetData>
  <mergeCells count="1">
    <mergeCell ref="A1:B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&amp;L&amp;10&amp;BCivic Scholars Charter&amp;R&amp;8&amp;ICapital Stack &amp; Startup Uses</oddHeader>
    <oddFooter>&amp;L&amp;8Built by SchoolStack Budget  •  budget.schoolstack.ai&amp;C&amp;8Page &amp;P of &amp;N&amp;R&amp;8&amp;D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6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2" width="18" customWidth="1"/>
    <col min="3" max="4" width="14" customWidth="1"/>
    <col min="5" max="7" width="18" customWidth="1"/>
  </cols>
  <sheetData>
    <row r="1" ht="32" customHeight="1" spans="1:7" x14ac:dyDescent="0.25">
      <c r="A1" s="1" t="s">
        <v>139</v>
      </c>
      <c r="B1" s="1"/>
      <c r="C1" s="1"/>
      <c r="D1" s="1"/>
      <c r="E1" s="1"/>
      <c r="F1" s="1"/>
      <c r="G1" s="1"/>
    </row>
    <row r="3" ht="28" customHeight="1" spans="1:7" x14ac:dyDescent="0.25">
      <c r="A3" s="6" t="s">
        <v>140</v>
      </c>
      <c r="B3" s="6" t="s">
        <v>76</v>
      </c>
      <c r="C3" s="6" t="s">
        <v>141</v>
      </c>
      <c r="D3" s="6" t="s">
        <v>142</v>
      </c>
      <c r="E3" s="6" t="s">
        <v>143</v>
      </c>
      <c r="F3" s="6" t="s">
        <v>144</v>
      </c>
      <c r="G3" s="6" t="s">
        <v>145</v>
      </c>
    </row>
    <row r="4" spans="1:7" x14ac:dyDescent="0.25">
      <c r="A4" s="4" t="s">
        <v>146</v>
      </c>
      <c r="B4" s="13">
        <v>500000</v>
      </c>
      <c r="C4" s="12">
        <v>0.0575</v>
      </c>
      <c r="D4" s="25">
        <v>15</v>
      </c>
      <c r="E4" s="13">
        <v>49825</v>
      </c>
      <c r="F4" s="13">
        <v>4152</v>
      </c>
      <c r="G4" s="13">
        <v>247369</v>
      </c>
    </row>
    <row r="6" ht="24" customHeight="1" spans="1:7" x14ac:dyDescent="0.25">
      <c r="A6" s="3" t="s">
        <v>147</v>
      </c>
      <c r="B6" s="3"/>
      <c r="C6" s="3"/>
      <c r="D6" s="3"/>
      <c r="E6" s="3"/>
      <c r="F6" s="3"/>
      <c r="G6" s="3"/>
    </row>
    <row r="7" spans="1:2" x14ac:dyDescent="0.25">
      <c r="A7" s="5" t="s">
        <v>148</v>
      </c>
      <c r="B7" s="18">
        <v>49825</v>
      </c>
    </row>
    <row r="8" spans="1:2" x14ac:dyDescent="0.25">
      <c r="A8" s="4" t="s">
        <v>149</v>
      </c>
      <c r="B8" s="19">
        <v>4152</v>
      </c>
    </row>
    <row r="10" ht="24" customHeight="1" spans="1:7" x14ac:dyDescent="0.25">
      <c r="A10" s="3" t="s">
        <v>150</v>
      </c>
      <c r="B10" s="3"/>
      <c r="C10" s="3"/>
      <c r="D10" s="3"/>
      <c r="E10" s="3"/>
      <c r="F10" s="3"/>
      <c r="G10" s="3"/>
    </row>
    <row r="11" ht="28" customHeight="1" spans="1:2" x14ac:dyDescent="0.25">
      <c r="A11" s="6" t="s">
        <v>151</v>
      </c>
      <c r="B11" s="6" t="s">
        <v>152</v>
      </c>
    </row>
    <row r="12" spans="1:2" x14ac:dyDescent="0.25">
      <c r="A12" s="4" t="s">
        <v>22</v>
      </c>
      <c r="B12" s="13">
        <v>478925</v>
      </c>
    </row>
    <row r="13" spans="1:2" x14ac:dyDescent="0.25">
      <c r="A13" s="4" t="s">
        <v>23</v>
      </c>
      <c r="B13" s="13">
        <v>456639</v>
      </c>
    </row>
    <row r="14" spans="1:2" x14ac:dyDescent="0.25">
      <c r="A14" s="4" t="s">
        <v>24</v>
      </c>
      <c r="B14" s="13">
        <v>433071</v>
      </c>
    </row>
    <row r="15" spans="1:2" x14ac:dyDescent="0.25">
      <c r="A15" s="4" t="s">
        <v>25</v>
      </c>
      <c r="B15" s="13">
        <v>408148</v>
      </c>
    </row>
    <row r="16" spans="1:2" x14ac:dyDescent="0.25">
      <c r="A16" s="4" t="s">
        <v>26</v>
      </c>
      <c r="B16" s="13">
        <v>381792</v>
      </c>
    </row>
  </sheetData>
  <mergeCells count="1">
    <mergeCell ref="A1:G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&amp;L&amp;10&amp;BCivic Scholars Charter&amp;R&amp;8&amp;IDebt Schedule</oddHeader>
    <oddFooter>&amp;L&amp;8Built by SchoolStack Budget  •  budget.schoolstack.ai&amp;C&amp;8Page &amp;P of &amp;N&amp;R&amp;8&amp;D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3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</cols>
  <sheetData>
    <row r="1" ht="28" customHeight="1" spans="1:14" x14ac:dyDescent="0.25">
      <c r="A1" s="6" t="s">
        <v>14</v>
      </c>
      <c r="B1" s="6" t="s">
        <v>17</v>
      </c>
      <c r="C1" s="6" t="s">
        <v>153</v>
      </c>
      <c r="D1" s="6" t="s">
        <v>154</v>
      </c>
      <c r="E1" s="6" t="s">
        <v>155</v>
      </c>
      <c r="F1" s="6" t="s">
        <v>156</v>
      </c>
      <c r="G1" s="6" t="s">
        <v>157</v>
      </c>
      <c r="H1" s="6" t="s">
        <v>158</v>
      </c>
      <c r="I1" s="6" t="s">
        <v>159</v>
      </c>
      <c r="J1" s="6" t="s">
        <v>160</v>
      </c>
      <c r="K1" s="6" t="s">
        <v>161</v>
      </c>
      <c r="L1" s="6" t="s">
        <v>162</v>
      </c>
      <c r="M1" s="6" t="s">
        <v>163</v>
      </c>
      <c r="N1" s="6" t="s">
        <v>164</v>
      </c>
    </row>
    <row r="2" spans="1:14" x14ac:dyDescent="0.25">
      <c r="A2" s="5" t="s">
        <v>165</v>
      </c>
      <c r="B2" s="13">
        <v>154600</v>
      </c>
      <c r="C2" s="13">
        <v>154600</v>
      </c>
      <c r="D2" s="13">
        <v>154600</v>
      </c>
      <c r="E2" s="13">
        <v>154600</v>
      </c>
      <c r="F2" s="13">
        <v>154600</v>
      </c>
      <c r="G2" s="13">
        <v>154600</v>
      </c>
      <c r="H2" s="13">
        <v>154600</v>
      </c>
      <c r="I2" s="13">
        <v>154600</v>
      </c>
      <c r="J2" s="13">
        <v>154600</v>
      </c>
      <c r="K2" s="13">
        <v>-103067</v>
      </c>
      <c r="L2" s="13">
        <v>0</v>
      </c>
      <c r="M2" s="13">
        <v>0</v>
      </c>
      <c r="N2" s="26">
        <f>SUM(B2:M2)</f>
        <v>1288333</v>
      </c>
    </row>
    <row r="3" spans="1:14" x14ac:dyDescent="0.25">
      <c r="A3" s="4" t="s">
        <v>166</v>
      </c>
      <c r="B3" s="13">
        <v>102643</v>
      </c>
      <c r="C3" s="13">
        <v>102643</v>
      </c>
      <c r="D3" s="13">
        <v>102643</v>
      </c>
      <c r="E3" s="13">
        <v>102643</v>
      </c>
      <c r="F3" s="13">
        <v>102643</v>
      </c>
      <c r="G3" s="13">
        <v>102643</v>
      </c>
      <c r="H3" s="13">
        <v>102643</v>
      </c>
      <c r="I3" s="13">
        <v>102643</v>
      </c>
      <c r="J3" s="13">
        <v>102643</v>
      </c>
      <c r="K3" s="13">
        <v>102644</v>
      </c>
      <c r="L3" s="13">
        <v>0</v>
      </c>
      <c r="M3" s="13">
        <v>0</v>
      </c>
      <c r="N3" s="13">
        <f>SUM(B3:M3)</f>
        <v>1026431</v>
      </c>
    </row>
    <row r="4" spans="1:14" x14ac:dyDescent="0.25">
      <c r="A4" s="4" t="s">
        <v>167</v>
      </c>
      <c r="B4" s="13">
        <v>54500</v>
      </c>
      <c r="C4" s="13">
        <v>54500</v>
      </c>
      <c r="D4" s="13">
        <v>54500</v>
      </c>
      <c r="E4" s="13">
        <v>54500</v>
      </c>
      <c r="F4" s="13">
        <v>54500</v>
      </c>
      <c r="G4" s="13">
        <v>54500</v>
      </c>
      <c r="H4" s="13">
        <v>54500</v>
      </c>
      <c r="I4" s="13">
        <v>54500</v>
      </c>
      <c r="J4" s="13">
        <v>54500</v>
      </c>
      <c r="K4" s="13">
        <v>54500</v>
      </c>
      <c r="L4" s="13">
        <v>0</v>
      </c>
      <c r="M4" s="13">
        <v>0</v>
      </c>
      <c r="N4" s="13">
        <f>SUM(B4:M4)</f>
        <v>545000</v>
      </c>
    </row>
    <row r="5" spans="1:14" x14ac:dyDescent="0.25">
      <c r="A5" s="4" t="s">
        <v>168</v>
      </c>
      <c r="B5" s="13">
        <v>13735</v>
      </c>
      <c r="C5" s="13">
        <v>13735</v>
      </c>
      <c r="D5" s="13">
        <v>13735</v>
      </c>
      <c r="E5" s="13">
        <v>13735</v>
      </c>
      <c r="F5" s="13">
        <v>13735</v>
      </c>
      <c r="G5" s="13">
        <v>13735</v>
      </c>
      <c r="H5" s="13">
        <v>13735</v>
      </c>
      <c r="I5" s="13">
        <v>13735</v>
      </c>
      <c r="J5" s="13">
        <v>13735</v>
      </c>
      <c r="K5" s="13">
        <v>13735</v>
      </c>
      <c r="L5" s="13">
        <v>13735</v>
      </c>
      <c r="M5" s="13">
        <v>13740</v>
      </c>
      <c r="N5" s="13">
        <f>SUM(B5:M5)</f>
        <v>164825</v>
      </c>
    </row>
    <row r="6" ht="24" customHeight="1" spans="1:14" x14ac:dyDescent="0.25">
      <c r="A6" s="3" t="s">
        <v>169</v>
      </c>
      <c r="B6" s="22">
        <f>SUM(B3:B5)</f>
        <v>170878</v>
      </c>
      <c r="C6" s="22">
        <f>SUM(C3:C5)</f>
        <v>170878</v>
      </c>
      <c r="D6" s="22">
        <f>SUM(D3:D5)</f>
        <v>170878</v>
      </c>
      <c r="E6" s="22">
        <f>SUM(E3:E5)</f>
        <v>170878</v>
      </c>
      <c r="F6" s="22">
        <f>SUM(F3:F5)</f>
        <v>170878</v>
      </c>
      <c r="G6" s="22">
        <f>SUM(G3:G5)</f>
        <v>170878</v>
      </c>
      <c r="H6" s="22">
        <f>SUM(H3:H5)</f>
        <v>170878</v>
      </c>
      <c r="I6" s="22">
        <f>SUM(I3:I5)</f>
        <v>170878</v>
      </c>
      <c r="J6" s="22">
        <f>SUM(J3:J5)</f>
        <v>170878</v>
      </c>
      <c r="K6" s="22">
        <f>SUM(K3:K5)</f>
        <v>170879</v>
      </c>
      <c r="L6" s="22">
        <f>SUM(L3:L5)</f>
        <v>13735</v>
      </c>
      <c r="M6" s="22">
        <f>SUM(M3:M5)</f>
        <v>13740</v>
      </c>
      <c r="N6" s="22">
        <f>SUM(B6:M6)</f>
        <v>1736256</v>
      </c>
    </row>
    <row r="7" spans="1:14" x14ac:dyDescent="0.25">
      <c r="A7" s="5" t="s">
        <v>170</v>
      </c>
      <c r="B7" s="26">
        <f>B2-B6</f>
        <v>-16278</v>
      </c>
      <c r="C7" s="26">
        <f>C2-C6</f>
        <v>-16278</v>
      </c>
      <c r="D7" s="26">
        <f>D2-D6</f>
        <v>-16278</v>
      </c>
      <c r="E7" s="26">
        <f>E2-E6</f>
        <v>-16278</v>
      </c>
      <c r="F7" s="26">
        <f>F2-F6</f>
        <v>-16278</v>
      </c>
      <c r="G7" s="26">
        <f>G2-G6</f>
        <v>-16278</v>
      </c>
      <c r="H7" s="26">
        <f>H2-H6</f>
        <v>-16278</v>
      </c>
      <c r="I7" s="26">
        <f>I2-I6</f>
        <v>-16278</v>
      </c>
      <c r="J7" s="26">
        <f>J2-J6</f>
        <v>-16278</v>
      </c>
      <c r="K7" s="26">
        <f>K2-K6</f>
        <v>-273946</v>
      </c>
      <c r="L7" s="26">
        <f>L2-L6</f>
        <v>-13735</v>
      </c>
      <c r="M7" s="26">
        <f>M2-M6</f>
        <v>-13740</v>
      </c>
      <c r="N7" s="26">
        <f>SUM(B7:M7)</f>
        <v>-447923</v>
      </c>
    </row>
    <row r="8" spans="1:14" x14ac:dyDescent="0.25">
      <c r="A8" s="5" t="s">
        <v>171</v>
      </c>
      <c r="B8" s="26">
        <f>500000+B7</f>
        <v>483722</v>
      </c>
      <c r="C8" s="26">
        <f>B8+C7</f>
        <v>467444</v>
      </c>
      <c r="D8" s="26">
        <f>C8+D7</f>
        <v>451166</v>
      </c>
      <c r="E8" s="26">
        <f>D8+E7</f>
        <v>434888</v>
      </c>
      <c r="F8" s="26">
        <f>E8+F7</f>
        <v>418610</v>
      </c>
      <c r="G8" s="26">
        <f>F8+G7</f>
        <v>402332</v>
      </c>
      <c r="H8" s="26">
        <f>G8+H7</f>
        <v>386054</v>
      </c>
      <c r="I8" s="26">
        <f>H8+I7</f>
        <v>369776</v>
      </c>
      <c r="J8" s="26">
        <f>I8+J7</f>
        <v>353498</v>
      </c>
      <c r="K8" s="26">
        <f>J8+K7</f>
        <v>79552</v>
      </c>
      <c r="L8" s="26">
        <f>K8+L7</f>
        <v>65817</v>
      </c>
      <c r="M8" s="26">
        <f>L8+M7</f>
        <v>52077</v>
      </c>
      <c r="N8" s="26">
        <f>M8</f>
        <v>52077</v>
      </c>
    </row>
    <row r="10" ht="24" customHeight="1" spans="1:14" x14ac:dyDescent="0.25">
      <c r="A10" s="3" t="s">
        <v>172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2" x14ac:dyDescent="0.25">
      <c r="A11" s="4" t="s">
        <v>173</v>
      </c>
      <c r="B11" s="19">
        <v>500000</v>
      </c>
    </row>
    <row r="12" spans="1:2" x14ac:dyDescent="0.25">
      <c r="A12" s="4" t="s">
        <v>174</v>
      </c>
      <c r="B12" s="18">
        <f>M8</f>
        <v>52077</v>
      </c>
    </row>
    <row r="13" spans="1:2" x14ac:dyDescent="0.25">
      <c r="A13" s="4" t="s">
        <v>175</v>
      </c>
      <c r="B13" s="19">
        <f>MIN(B8:M8)</f>
        <v>52077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&amp;L&amp;10&amp;BCivic Scholars Charter&amp;R&amp;8&amp;ICash Flow Monthly Y1</oddHeader>
    <oddFooter>&amp;L&amp;8Built by SchoolStack Budget  •  budget.schoolstack.ai&amp;C&amp;8Page &amp;P of &amp;N&amp;R&amp;8&amp;D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28" customHeight="1" spans="1:6" x14ac:dyDescent="0.25">
      <c r="A1" s="6" t="s">
        <v>14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38</v>
      </c>
    </row>
    <row r="2" spans="1:6" x14ac:dyDescent="0.25">
      <c r="A2" s="5" t="s">
        <v>176</v>
      </c>
      <c r="B2" s="26">
        <f>'Tuition &amp; Funding Detail'!B16</f>
        <v>1288333</v>
      </c>
      <c r="C2" s="26">
        <f>'Tuition &amp; Funding Detail'!C16</f>
        <v>2522800</v>
      </c>
      <c r="D2" s="26">
        <f>'Tuition &amp; Funding Detail'!D16</f>
        <v>3784600</v>
      </c>
      <c r="E2" s="26">
        <f>'Tuition &amp; Funding Detail'!E16</f>
        <v>4759125</v>
      </c>
      <c r="F2" s="26">
        <f>'Tuition &amp; Funding Detail'!F16</f>
        <v>5184400</v>
      </c>
    </row>
    <row r="3" spans="1:6" x14ac:dyDescent="0.25">
      <c r="A3" s="4" t="s">
        <v>166</v>
      </c>
      <c r="B3" s="13">
        <f>'Staffing Plan'!B28</f>
        <v>1026431</v>
      </c>
      <c r="C3" s="13">
        <f>'Staffing Plan'!C28</f>
        <v>1231718</v>
      </c>
      <c r="D3" s="13">
        <f>'Staffing Plan'!D28</f>
        <v>1231718</v>
      </c>
      <c r="E3" s="13">
        <f>'Staffing Plan'!E28</f>
        <v>1231718</v>
      </c>
      <c r="F3" s="13">
        <f>'Staffing Plan'!F28</f>
        <v>1231718</v>
      </c>
    </row>
    <row r="4" spans="1:6" x14ac:dyDescent="0.25">
      <c r="A4" s="4" t="s">
        <v>167</v>
      </c>
      <c r="B4" s="13">
        <f>'Operating Expenses'!B16+'Facilities &amp; Occupancy'!B7</f>
        <v>545000</v>
      </c>
      <c r="C4" s="13">
        <f>'Operating Expenses'!C16+'Facilities &amp; Occupancy'!C7</f>
        <v>887860</v>
      </c>
      <c r="D4" s="13">
        <f>'Operating Expenses'!D16+'Facilities &amp; Occupancy'!D7</f>
        <v>1190521</v>
      </c>
      <c r="E4" s="13">
        <f>'Operating Expenses'!E16+'Facilities &amp; Occupancy'!E7</f>
        <v>1439089</v>
      </c>
      <c r="F4" s="13">
        <f>'Operating Expenses'!F16+'Facilities &amp; Occupancy'!F7</f>
        <v>1554924</v>
      </c>
    </row>
    <row r="5" spans="1:6" x14ac:dyDescent="0.25">
      <c r="A5" s="4" t="s">
        <v>177</v>
      </c>
      <c r="B5" s="13">
        <v>164825</v>
      </c>
      <c r="C5" s="13">
        <v>89825</v>
      </c>
      <c r="D5" s="13">
        <v>89825</v>
      </c>
      <c r="E5" s="13">
        <v>74825</v>
      </c>
      <c r="F5" s="13">
        <v>69825</v>
      </c>
    </row>
    <row r="6" ht="24" customHeight="1" spans="1:6" x14ac:dyDescent="0.25">
      <c r="A6" s="3" t="s">
        <v>169</v>
      </c>
      <c r="B6" s="27">
        <f>SUM(B3:B5)</f>
        <v>1736256</v>
      </c>
      <c r="C6" s="27">
        <f>SUM(C3:C5)</f>
        <v>2209403</v>
      </c>
      <c r="D6" s="27">
        <f>SUM(D3:D5)</f>
        <v>2512064</v>
      </c>
      <c r="E6" s="27">
        <f>SUM(E3:E5)</f>
        <v>2745632</v>
      </c>
      <c r="F6" s="27">
        <f>SUM(F3:F5)</f>
        <v>2856467</v>
      </c>
    </row>
    <row r="7" spans="1:6" x14ac:dyDescent="0.25">
      <c r="A7" s="5" t="s">
        <v>178</v>
      </c>
      <c r="B7" s="28">
        <f>B2-B6</f>
        <v>-447923</v>
      </c>
      <c r="C7" s="29">
        <f>C2-C6</f>
        <v>313398</v>
      </c>
      <c r="D7" s="29">
        <f>D2-D6</f>
        <v>1272536</v>
      </c>
      <c r="E7" s="29">
        <f>E2-E6</f>
        <v>2013494</v>
      </c>
      <c r="F7" s="29">
        <f>F2-F6</f>
        <v>2327934</v>
      </c>
    </row>
    <row r="8" spans="1:6" x14ac:dyDescent="0.25">
      <c r="A8" s="4" t="s">
        <v>179</v>
      </c>
      <c r="B8" s="12">
        <f>IF(B2=0,0,B7/B2)</f>
        <v>-0.35</v>
      </c>
      <c r="C8" s="12">
        <f>IF(C2=0,0,C7/C2)</f>
        <v>0.12</v>
      </c>
      <c r="D8" s="12">
        <f>IF(D2=0,0,D7/D2)</f>
        <v>0.34</v>
      </c>
      <c r="E8" s="12">
        <f>IF(E2=0,0,E7/E2)</f>
        <v>0.42</v>
      </c>
      <c r="F8" s="12">
        <f>IF(F2=0,0,F7/F2)</f>
        <v>0.45</v>
      </c>
    </row>
    <row r="9" spans="1:6" x14ac:dyDescent="0.25">
      <c r="A9" s="5" t="s">
        <v>180</v>
      </c>
      <c r="B9" s="26">
        <f>B7</f>
        <v>-447923</v>
      </c>
      <c r="C9" s="26">
        <f>B9+C7</f>
        <v>-134525</v>
      </c>
      <c r="D9" s="26">
        <f>C9+D7</f>
        <v>1138011</v>
      </c>
      <c r="E9" s="26">
        <f>D9+E7</f>
        <v>3151505</v>
      </c>
      <c r="F9" s="26">
        <f>E9+F7</f>
        <v>5479439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&amp;L&amp;10&amp;BCivic Scholars Charter&amp;R&amp;8&amp;I5-Year P&amp;L</oddHeader>
    <oddFooter>&amp;L&amp;8Built by SchoolStack Budget  •  budget.schoolstack.ai&amp;C&amp;8Page &amp;P of &amp;N&amp;R&amp;8&amp;D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28" customHeight="1" spans="1:6" x14ac:dyDescent="0.25">
      <c r="A1" s="6" t="s">
        <v>14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38</v>
      </c>
    </row>
    <row r="2" ht="24" customHeight="1" spans="1:6" x14ac:dyDescent="0.25">
      <c r="A2" s="3" t="s">
        <v>181</v>
      </c>
      <c r="B2" s="3"/>
      <c r="C2" s="3"/>
      <c r="D2" s="3"/>
      <c r="E2" s="3"/>
      <c r="F2" s="3"/>
    </row>
    <row r="3" spans="1:6" x14ac:dyDescent="0.25">
      <c r="A3" s="4" t="s">
        <v>182</v>
      </c>
      <c r="B3" s="13">
        <v>52077</v>
      </c>
      <c r="C3" s="13">
        <v>365475</v>
      </c>
      <c r="D3" s="13">
        <v>1638011</v>
      </c>
      <c r="E3" s="13">
        <v>3651505</v>
      </c>
      <c r="F3" s="13">
        <v>5979439</v>
      </c>
    </row>
    <row r="4" spans="1:6" x14ac:dyDescent="0.25">
      <c r="A4" s="4" t="s">
        <v>183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</row>
    <row r="5" ht="24" customHeight="1" spans="1:6" x14ac:dyDescent="0.25">
      <c r="A5" s="3" t="s">
        <v>184</v>
      </c>
      <c r="B5" s="14">
        <f>SUM(B3:B4)</f>
        <v>52077</v>
      </c>
      <c r="C5" s="14">
        <f>SUM(C3:C4)</f>
        <v>365475</v>
      </c>
      <c r="D5" s="14">
        <f>SUM(D3:D4)</f>
        <v>1638011</v>
      </c>
      <c r="E5" s="14">
        <f>SUM(E3:E4)</f>
        <v>3651505</v>
      </c>
      <c r="F5" s="14">
        <f>SUM(F3:F4)</f>
        <v>5979439</v>
      </c>
    </row>
    <row r="7" ht="24" customHeight="1" spans="1:6" x14ac:dyDescent="0.25">
      <c r="A7" s="3" t="s">
        <v>185</v>
      </c>
      <c r="B7" s="3"/>
      <c r="C7" s="3"/>
      <c r="D7" s="3"/>
      <c r="E7" s="3"/>
      <c r="F7" s="3"/>
    </row>
    <row r="8" spans="1:6" x14ac:dyDescent="0.25">
      <c r="A8" s="4" t="s">
        <v>186</v>
      </c>
      <c r="B8" s="13">
        <v>478925</v>
      </c>
      <c r="C8" s="13">
        <v>456639</v>
      </c>
      <c r="D8" s="13">
        <v>433071</v>
      </c>
      <c r="E8" s="13">
        <v>408148</v>
      </c>
      <c r="F8" s="13">
        <v>381792</v>
      </c>
    </row>
    <row r="9" spans="1:6" x14ac:dyDescent="0.25">
      <c r="A9" s="4" t="s">
        <v>187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</row>
    <row r="10" ht="24" customHeight="1" spans="1:6" x14ac:dyDescent="0.25">
      <c r="A10" s="3" t="s">
        <v>188</v>
      </c>
      <c r="B10" s="14">
        <f>SUM(B8:B9)</f>
        <v>478925</v>
      </c>
      <c r="C10" s="14">
        <f>SUM(C8:C9)</f>
        <v>456639</v>
      </c>
      <c r="D10" s="14">
        <f>SUM(D8:D9)</f>
        <v>433071</v>
      </c>
      <c r="E10" s="14">
        <f>SUM(E8:E9)</f>
        <v>408148</v>
      </c>
      <c r="F10" s="14">
        <f>SUM(F8:F9)</f>
        <v>381792</v>
      </c>
    </row>
    <row r="12" ht="24" customHeight="1" spans="1:6" x14ac:dyDescent="0.25">
      <c r="A12" s="3" t="s">
        <v>189</v>
      </c>
      <c r="B12" s="3"/>
      <c r="C12" s="3"/>
      <c r="D12" s="3"/>
      <c r="E12" s="3"/>
      <c r="F12" s="3"/>
    </row>
    <row r="13" spans="1:6" x14ac:dyDescent="0.25">
      <c r="A13" s="4" t="s">
        <v>190</v>
      </c>
      <c r="B13" s="13">
        <v>0</v>
      </c>
      <c r="C13" s="13">
        <v>-426848</v>
      </c>
      <c r="D13" s="13">
        <v>-91164</v>
      </c>
      <c r="E13" s="13">
        <v>1204940</v>
      </c>
      <c r="F13" s="13">
        <v>3243357</v>
      </c>
    </row>
    <row r="14" spans="1:6" x14ac:dyDescent="0.25">
      <c r="A14" s="4" t="s">
        <v>191</v>
      </c>
      <c r="B14" s="13">
        <v>-426848</v>
      </c>
      <c r="C14" s="13">
        <v>335684</v>
      </c>
      <c r="D14" s="13">
        <v>1296104</v>
      </c>
      <c r="E14" s="13">
        <v>2038417</v>
      </c>
      <c r="F14" s="13">
        <v>2354290</v>
      </c>
    </row>
    <row r="15" ht="24" customHeight="1" spans="1:6" x14ac:dyDescent="0.25">
      <c r="A15" s="3" t="s">
        <v>192</v>
      </c>
      <c r="B15" s="14">
        <f>B5-B10</f>
        <v>-426848</v>
      </c>
      <c r="C15" s="14">
        <f>C5-C10</f>
        <v>-91164</v>
      </c>
      <c r="D15" s="14">
        <f>D5-D10</f>
        <v>1204940</v>
      </c>
      <c r="E15" s="14">
        <f>E5-E10</f>
        <v>3243357</v>
      </c>
      <c r="F15" s="14">
        <f>F5-F10</f>
        <v>5597647</v>
      </c>
    </row>
    <row r="17" spans="1:6" x14ac:dyDescent="0.25">
      <c r="A17" s="5" t="s">
        <v>193</v>
      </c>
      <c r="B17" s="26" t="str">
        <f>B5-B10-B15</f>
        <v>0</v>
      </c>
      <c r="C17" s="26" t="str">
        <f>C5-C10-C15</f>
        <v>0</v>
      </c>
      <c r="D17" s="26" t="str">
        <f>D5-D10-D15</f>
        <v>0</v>
      </c>
      <c r="E17" s="26" t="str">
        <f>E5-E10-E15</f>
        <v>0</v>
      </c>
      <c r="F17" s="26" t="str">
        <f>F5-F10-F15</f>
        <v>0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&amp;L&amp;10&amp;BCivic Scholars Charter&amp;R&amp;8&amp;I5-Year Balance Sheet</oddHeader>
    <oddFooter>&amp;L&amp;8Built by SchoolStack Budget  •  budget.schoolstack.ai&amp;C&amp;8Page &amp;P of &amp;N&amp;R&amp;8&amp;D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8" customWidth="1"/>
    <col min="2" max="6" width="18" customWidth="1"/>
  </cols>
  <sheetData>
    <row r="1" ht="28" customHeight="1" spans="1:6" x14ac:dyDescent="0.25">
      <c r="A1" s="6" t="s">
        <v>14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38</v>
      </c>
    </row>
    <row r="2" ht="24" customHeight="1" spans="1:6" x14ac:dyDescent="0.25">
      <c r="A2" s="3" t="s">
        <v>194</v>
      </c>
      <c r="B2" s="3"/>
      <c r="C2" s="3"/>
      <c r="D2" s="3"/>
      <c r="E2" s="3"/>
      <c r="F2" s="3"/>
    </row>
    <row r="3" spans="1:6" x14ac:dyDescent="0.25">
      <c r="A3" s="4" t="s">
        <v>195</v>
      </c>
      <c r="B3" s="13">
        <v>-283098</v>
      </c>
      <c r="C3" s="13">
        <v>403222</v>
      </c>
      <c r="D3" s="13">
        <v>1362361</v>
      </c>
      <c r="E3" s="13">
        <v>2088318</v>
      </c>
      <c r="F3" s="13">
        <v>2397758</v>
      </c>
    </row>
    <row r="4" spans="1:6" x14ac:dyDescent="0.25">
      <c r="A4" s="4" t="s">
        <v>148</v>
      </c>
      <c r="B4" s="13">
        <v>49825</v>
      </c>
      <c r="C4" s="13">
        <v>49825</v>
      </c>
      <c r="D4" s="13">
        <v>49825</v>
      </c>
      <c r="E4" s="13">
        <v>49825</v>
      </c>
      <c r="F4" s="13">
        <v>49825</v>
      </c>
    </row>
    <row r="5" spans="1:6" x14ac:dyDescent="0.25">
      <c r="A5" s="5" t="s">
        <v>196</v>
      </c>
      <c r="B5" s="30">
        <f>IF(B4=0,"N/A",B3/B4)</f>
        <v>-5.68</v>
      </c>
      <c r="C5" s="30">
        <f>IF(C4=0,"N/A",C3/C4)</f>
        <v>8.09</v>
      </c>
      <c r="D5" s="30">
        <f>IF(D4=0,"N/A",D3/D4)</f>
        <v>27.34</v>
      </c>
      <c r="E5" s="30">
        <f>IF(E4=0,"N/A",E3/E4)</f>
        <v>41.91</v>
      </c>
      <c r="F5" s="30">
        <f>IF(F4=0,"N/A",F3/F4)</f>
        <v>48.12</v>
      </c>
    </row>
    <row r="7" ht="24" customHeight="1" spans="1:6" x14ac:dyDescent="0.25">
      <c r="A7" s="3" t="s">
        <v>197</v>
      </c>
      <c r="B7" s="3"/>
      <c r="C7" s="3"/>
      <c r="D7" s="3"/>
      <c r="E7" s="3"/>
      <c r="F7" s="3"/>
    </row>
    <row r="8" spans="1:6" x14ac:dyDescent="0.25">
      <c r="A8" s="4" t="s">
        <v>198</v>
      </c>
      <c r="B8" s="13">
        <v>52077</v>
      </c>
      <c r="C8" s="13">
        <v>365475</v>
      </c>
      <c r="D8" s="13">
        <v>1638011</v>
      </c>
      <c r="E8" s="13">
        <v>3651505</v>
      </c>
      <c r="F8" s="13">
        <v>5979439</v>
      </c>
    </row>
    <row r="9" spans="1:6" x14ac:dyDescent="0.25">
      <c r="A9" s="4" t="s">
        <v>199</v>
      </c>
      <c r="B9" s="13">
        <v>130953</v>
      </c>
      <c r="C9" s="13">
        <v>176632</v>
      </c>
      <c r="D9" s="13">
        <v>201853</v>
      </c>
      <c r="E9" s="13">
        <v>222567</v>
      </c>
      <c r="F9" s="13">
        <v>232220</v>
      </c>
    </row>
    <row r="10" spans="1:6" x14ac:dyDescent="0.25">
      <c r="A10" s="5" t="s">
        <v>200</v>
      </c>
      <c r="B10" s="31">
        <f>IF(B9=0,0,B8/B9)</f>
        <v>0.4</v>
      </c>
      <c r="C10" s="31">
        <f>IF(C9=0,0,C8/C9)</f>
        <v>2.07</v>
      </c>
      <c r="D10" s="31">
        <f>IF(D9=0,0,D8/D9)</f>
        <v>8.11</v>
      </c>
      <c r="E10" s="31">
        <f>IF(E9=0,0,E8/E9)</f>
        <v>16.41</v>
      </c>
      <c r="F10" s="31">
        <f>IF(F9=0,0,F8/F9)</f>
        <v>25.75</v>
      </c>
    </row>
    <row r="11" spans="1:6" x14ac:dyDescent="0.25">
      <c r="A11" s="4" t="s">
        <v>201</v>
      </c>
      <c r="B11" s="32">
        <v>12</v>
      </c>
      <c r="C11" s="32">
        <v>63</v>
      </c>
      <c r="D11" s="32">
        <v>247</v>
      </c>
      <c r="E11" s="32">
        <v>499</v>
      </c>
      <c r="F11" s="32">
        <v>783</v>
      </c>
    </row>
    <row r="13" ht="24" customHeight="1" spans="1:6" x14ac:dyDescent="0.25">
      <c r="A13" s="3" t="s">
        <v>202</v>
      </c>
      <c r="B13" s="3"/>
      <c r="C13" s="3"/>
      <c r="D13" s="3"/>
      <c r="E13" s="3"/>
      <c r="F13" s="3"/>
    </row>
    <row r="14" spans="1:6" x14ac:dyDescent="0.25">
      <c r="A14" s="4" t="s">
        <v>203</v>
      </c>
      <c r="B14" s="33" t="str">
        <f>IF(B5&gt;=1.2,"PASS","FAIL")</f>
        <v>FAIL</v>
      </c>
      <c r="C14" s="34" t="str">
        <f>IF(C5&gt;=1.2,"PASS","FAIL")</f>
        <v>PASS</v>
      </c>
      <c r="D14" s="34" t="str">
        <f>IF(D5&gt;=1.2,"PASS","FAIL")</f>
        <v>PASS</v>
      </c>
      <c r="E14" s="34" t="str">
        <f>IF(E5&gt;=1.2,"PASS","FAIL")</f>
        <v>PASS</v>
      </c>
      <c r="F14" s="34" t="str">
        <f>IF(F5&gt;=1.2,"PASS","FAIL")</f>
        <v>PASS</v>
      </c>
    </row>
    <row r="15" spans="1:6" x14ac:dyDescent="0.25">
      <c r="A15" s="4" t="s">
        <v>204</v>
      </c>
      <c r="B15" s="33" t="str">
        <f>IF(B10&gt;=2,"PASS","FAIL")</f>
        <v>FAIL</v>
      </c>
      <c r="C15" s="34" t="str">
        <f>IF(C10&gt;=2,"PASS","FAIL")</f>
        <v>PASS</v>
      </c>
      <c r="D15" s="34" t="str">
        <f>IF(D10&gt;=2,"PASS","FAIL")</f>
        <v>PASS</v>
      </c>
      <c r="E15" s="34" t="str">
        <f>IF(E10&gt;=2,"PASS","FAIL")</f>
        <v>PASS</v>
      </c>
      <c r="F15" s="34" t="str">
        <f>IF(F10&gt;=2,"PASS","FAIL")</f>
        <v>PASS</v>
      </c>
    </row>
    <row r="16" spans="1:6" x14ac:dyDescent="0.25">
      <c r="A16" s="4" t="s">
        <v>205</v>
      </c>
      <c r="B16" s="33" t="s">
        <v>206</v>
      </c>
      <c r="C16" s="34" t="s">
        <v>207</v>
      </c>
      <c r="D16" s="34" t="s">
        <v>207</v>
      </c>
      <c r="E16" s="34" t="s">
        <v>207</v>
      </c>
      <c r="F16" s="34" t="s">
        <v>207</v>
      </c>
    </row>
    <row r="17" spans="1:6" x14ac:dyDescent="0.25">
      <c r="A17" s="4" t="s">
        <v>208</v>
      </c>
      <c r="B17" s="33" t="s">
        <v>206</v>
      </c>
      <c r="C17" s="33" t="s">
        <v>206</v>
      </c>
      <c r="D17" s="34" t="s">
        <v>207</v>
      </c>
      <c r="E17" s="34" t="s">
        <v>207</v>
      </c>
      <c r="F17" s="34" t="s">
        <v>207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&amp;L&amp;10&amp;BCivic Scholars Charter&amp;R&amp;8&amp;IDSCR &amp; Covenants</oddHeader>
    <oddFooter>&amp;L&amp;8Built by SchoolStack Budget  •  budget.schoolstack.ai&amp;C&amp;8Page &amp;P of &amp;N&amp;R&amp;8&amp;D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8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2" width="25" customWidth="1"/>
    <col min="3" max="3" width="16" customWidth="1"/>
  </cols>
  <sheetData>
    <row r="1" ht="36" customHeight="1" spans="1:3" x14ac:dyDescent="0.25">
      <c r="A1" s="35" t="s">
        <v>209</v>
      </c>
      <c r="B1" s="35"/>
      <c r="C1" s="35"/>
    </row>
    <row r="2" spans="1:3" x14ac:dyDescent="0.25">
      <c r="A2" s="36" t="s">
        <v>210</v>
      </c>
      <c r="B2" s="36"/>
      <c r="C2" s="36"/>
    </row>
    <row r="4" ht="24" customHeight="1" spans="1:3" x14ac:dyDescent="0.25">
      <c r="A4" s="3" t="s">
        <v>211</v>
      </c>
      <c r="B4" s="3"/>
      <c r="C4" s="3"/>
    </row>
    <row r="5" spans="1:3" x14ac:dyDescent="0.25">
      <c r="A5" s="4" t="s">
        <v>212</v>
      </c>
      <c r="B5" s="33" t="s">
        <v>206</v>
      </c>
      <c r="C5" s="4" t="s">
        <v>213</v>
      </c>
    </row>
    <row r="6" spans="1:3" x14ac:dyDescent="0.25">
      <c r="A6" s="4" t="s">
        <v>214</v>
      </c>
      <c r="B6" s="33" t="s">
        <v>206</v>
      </c>
      <c r="C6" s="4" t="s">
        <v>215</v>
      </c>
    </row>
    <row r="7" spans="1:3" x14ac:dyDescent="0.25">
      <c r="A7" s="4" t="s">
        <v>216</v>
      </c>
      <c r="B7" s="33" t="s">
        <v>206</v>
      </c>
      <c r="C7" s="4" t="s">
        <v>217</v>
      </c>
    </row>
    <row r="8" spans="1:3" x14ac:dyDescent="0.25">
      <c r="A8" s="4" t="s">
        <v>218</v>
      </c>
      <c r="B8" s="34" t="s">
        <v>207</v>
      </c>
      <c r="C8" s="4" t="s">
        <v>35</v>
      </c>
    </row>
    <row r="9" spans="1:3" x14ac:dyDescent="0.25">
      <c r="A9" s="4" t="s">
        <v>219</v>
      </c>
      <c r="B9" s="33" t="s">
        <v>206</v>
      </c>
      <c r="C9" s="4" t="s">
        <v>220</v>
      </c>
    </row>
    <row r="10" spans="1:3" x14ac:dyDescent="0.25">
      <c r="A10" s="4" t="s">
        <v>221</v>
      </c>
      <c r="B10" s="34" t="s">
        <v>207</v>
      </c>
      <c r="C10" s="4" t="s">
        <v>222</v>
      </c>
    </row>
    <row r="12" ht="24" customHeight="1" spans="1:3" x14ac:dyDescent="0.25">
      <c r="A12" s="3" t="s">
        <v>223</v>
      </c>
      <c r="B12" s="3"/>
      <c r="C12" s="3"/>
    </row>
    <row r="13" spans="1:2" x14ac:dyDescent="0.25">
      <c r="A13" s="4" t="s">
        <v>224</v>
      </c>
      <c r="B13" s="5" t="s">
        <v>225</v>
      </c>
    </row>
    <row r="14" spans="1:2" x14ac:dyDescent="0.25">
      <c r="A14" s="4" t="s">
        <v>226</v>
      </c>
      <c r="B14" s="37" t="s">
        <v>227</v>
      </c>
    </row>
    <row r="16" ht="24" customHeight="1" spans="1:3" x14ac:dyDescent="0.25">
      <c r="A16" s="3" t="s">
        <v>228</v>
      </c>
      <c r="B16" s="3"/>
      <c r="C16" s="3"/>
    </row>
    <row r="17" spans="1:2" x14ac:dyDescent="0.25">
      <c r="A17" s="4" t="s">
        <v>229</v>
      </c>
      <c r="B17" s="18">
        <v>1288333</v>
      </c>
    </row>
    <row r="18" spans="1:2" x14ac:dyDescent="0.25">
      <c r="A18" s="4" t="s">
        <v>230</v>
      </c>
      <c r="B18" s="18">
        <v>1736256</v>
      </c>
    </row>
    <row r="19" spans="1:2" x14ac:dyDescent="0.25">
      <c r="A19" s="4" t="s">
        <v>231</v>
      </c>
      <c r="B19" s="18">
        <v>-447923</v>
      </c>
    </row>
    <row r="20" spans="1:2" x14ac:dyDescent="0.25">
      <c r="A20" s="4" t="s">
        <v>232</v>
      </c>
      <c r="B20" s="38">
        <v>-0.34767641595767557</v>
      </c>
    </row>
    <row r="21" spans="1:2" x14ac:dyDescent="0.25">
      <c r="A21" s="4" t="s">
        <v>173</v>
      </c>
      <c r="B21" s="18">
        <v>500000</v>
      </c>
    </row>
    <row r="22" spans="1:2" x14ac:dyDescent="0.25">
      <c r="A22" s="4" t="s">
        <v>233</v>
      </c>
      <c r="B22" s="18">
        <v>52077</v>
      </c>
    </row>
    <row r="23" spans="1:2" x14ac:dyDescent="0.25">
      <c r="A23" s="4" t="s">
        <v>234</v>
      </c>
      <c r="B23" s="18">
        <v>500000</v>
      </c>
    </row>
    <row r="24" spans="1:2" x14ac:dyDescent="0.25">
      <c r="A24" s="4" t="s">
        <v>235</v>
      </c>
      <c r="B24" s="5" t="s">
        <v>213</v>
      </c>
    </row>
    <row r="25" spans="1:2" x14ac:dyDescent="0.25">
      <c r="A25" s="4" t="s">
        <v>236</v>
      </c>
      <c r="B25" s="5" t="s">
        <v>237</v>
      </c>
    </row>
    <row r="26" spans="1:2" x14ac:dyDescent="0.25">
      <c r="A26" s="4" t="s">
        <v>238</v>
      </c>
      <c r="B26" s="5" t="s">
        <v>35</v>
      </c>
    </row>
    <row r="27" spans="1:2" x14ac:dyDescent="0.25">
      <c r="A27" s="4" t="s">
        <v>239</v>
      </c>
      <c r="B27" s="18">
        <v>10736</v>
      </c>
    </row>
    <row r="28" spans="1:2" x14ac:dyDescent="0.25">
      <c r="A28" s="4" t="s">
        <v>240</v>
      </c>
      <c r="B28" s="18">
        <v>14469</v>
      </c>
    </row>
  </sheetData>
  <mergeCells count="2">
    <mergeCell ref="A1:C1"/>
    <mergeCell ref="A2:C2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&amp;L&amp;10&amp;BCivic Scholars Charter&amp;R&amp;8&amp;IUnderwriting Snapshot</oddHeader>
    <oddFooter>&amp;L&amp;8Built by SchoolStack Budget  •  budget.schoolstack.ai&amp;C&amp;8Page &amp;P of &amp;N&amp;R&amp;8&amp;D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8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28" customHeight="1" spans="1:6" x14ac:dyDescent="0.25">
      <c r="A1" s="35" t="s">
        <v>4</v>
      </c>
      <c r="B1" s="35"/>
      <c r="C1" s="35"/>
      <c r="D1" s="35"/>
      <c r="E1" s="35"/>
      <c r="F1" s="35"/>
    </row>
    <row r="2" ht="22" customHeight="1" spans="1:6" x14ac:dyDescent="0.25">
      <c r="A2" s="39" t="s">
        <v>241</v>
      </c>
      <c r="B2" s="39"/>
      <c r="C2" s="39"/>
      <c r="D2" s="39"/>
      <c r="E2" s="39"/>
      <c r="F2" s="39"/>
    </row>
    <row r="3" ht="18" customHeight="1" spans="1:6" x14ac:dyDescent="0.25">
      <c r="A3" s="40" t="s">
        <v>242</v>
      </c>
      <c r="B3" s="40"/>
      <c r="C3" s="40"/>
      <c r="D3" s="40"/>
      <c r="E3" s="40"/>
      <c r="F3" s="40"/>
    </row>
    <row r="4" ht="16" customHeight="1" spans="1:6" x14ac:dyDescent="0.25">
      <c r="A4" s="41" t="s">
        <v>243</v>
      </c>
      <c r="B4" s="41"/>
      <c r="C4" s="41"/>
      <c r="D4" s="41"/>
      <c r="E4" s="41"/>
      <c r="F4" s="41"/>
    </row>
    <row r="6" ht="28" customHeight="1" spans="1:6" x14ac:dyDescent="0.25">
      <c r="A6" s="6" t="s">
        <v>14</v>
      </c>
      <c r="B6" s="6" t="s">
        <v>34</v>
      </c>
      <c r="C6" s="6" t="s">
        <v>35</v>
      </c>
      <c r="D6" s="6" t="s">
        <v>36</v>
      </c>
      <c r="E6" s="6" t="s">
        <v>37</v>
      </c>
      <c r="F6" s="6" t="s">
        <v>38</v>
      </c>
    </row>
    <row r="7" spans="1:6" x14ac:dyDescent="0.25">
      <c r="A7" s="4" t="s">
        <v>27</v>
      </c>
      <c r="B7" s="32">
        <f>Assumptions!$B$17</f>
        <v>120</v>
      </c>
      <c r="C7" s="32">
        <f>Assumptions!$C$17</f>
        <v>200</v>
      </c>
      <c r="D7" s="32">
        <f>Assumptions!$D$17</f>
        <v>300</v>
      </c>
      <c r="E7" s="32">
        <f>Assumptions!$E$17</f>
        <v>375</v>
      </c>
      <c r="F7" s="32">
        <f>Assumptions!$F$17</f>
        <v>400</v>
      </c>
    </row>
    <row r="8" spans="1:6" x14ac:dyDescent="0.25">
      <c r="A8" s="5" t="s">
        <v>176</v>
      </c>
      <c r="B8" s="26">
        <f>'5-Year P&amp;L'!B2</f>
        <v>1288333</v>
      </c>
      <c r="C8" s="26">
        <f>'5-Year P&amp;L'!C2</f>
        <v>2522800</v>
      </c>
      <c r="D8" s="26">
        <f>'5-Year P&amp;L'!D2</f>
        <v>3784600</v>
      </c>
      <c r="E8" s="26">
        <f>'5-Year P&amp;L'!E2</f>
        <v>4759125</v>
      </c>
      <c r="F8" s="26">
        <f>'5-Year P&amp;L'!F2</f>
        <v>5184400</v>
      </c>
    </row>
    <row r="9" spans="1:6" x14ac:dyDescent="0.25">
      <c r="A9" s="4" t="s">
        <v>169</v>
      </c>
      <c r="B9" s="13">
        <f>'5-Year P&amp;L'!B6</f>
        <v>1736256</v>
      </c>
      <c r="C9" s="13">
        <f>'5-Year P&amp;L'!C6</f>
        <v>2209403</v>
      </c>
      <c r="D9" s="13">
        <f>'5-Year P&amp;L'!D6</f>
        <v>2512064</v>
      </c>
      <c r="E9" s="13">
        <f>'5-Year P&amp;L'!E6</f>
        <v>2745632</v>
      </c>
      <c r="F9" s="13">
        <f>'5-Year P&amp;L'!F6</f>
        <v>2856467</v>
      </c>
    </row>
    <row r="10" ht="24" customHeight="1" spans="1:6" x14ac:dyDescent="0.25">
      <c r="A10" s="3" t="s">
        <v>178</v>
      </c>
      <c r="B10" s="22">
        <f>'5-Year P&amp;L'!B7</f>
        <v>-447923</v>
      </c>
      <c r="C10" s="22">
        <f>'5-Year P&amp;L'!C7</f>
        <v>313398</v>
      </c>
      <c r="D10" s="22">
        <f>'5-Year P&amp;L'!D7</f>
        <v>1272536</v>
      </c>
      <c r="E10" s="22">
        <f>'5-Year P&amp;L'!E7</f>
        <v>2013494</v>
      </c>
      <c r="F10" s="22">
        <f>'5-Year P&amp;L'!F7</f>
        <v>2327934</v>
      </c>
    </row>
    <row r="11" spans="1:6" x14ac:dyDescent="0.25">
      <c r="A11" s="4" t="s">
        <v>179</v>
      </c>
      <c r="B11" s="12">
        <f>IF(B8=0,0,B10/B8)</f>
        <v>-0.35</v>
      </c>
      <c r="C11" s="12">
        <f>IF(C8=0,0,C10/C8)</f>
        <v>0.12</v>
      </c>
      <c r="D11" s="12">
        <f>IF(D8=0,0,D10/D8)</f>
        <v>0.34</v>
      </c>
      <c r="E11" s="12">
        <f>IF(E8=0,0,E10/E8)</f>
        <v>0.42</v>
      </c>
      <c r="F11" s="12">
        <f>IF(F8=0,0,F10/F8)</f>
        <v>0.45</v>
      </c>
    </row>
    <row r="12" spans="1:6" x14ac:dyDescent="0.25">
      <c r="A12" s="5" t="s">
        <v>180</v>
      </c>
      <c r="B12" s="26">
        <f>B10</f>
        <v>-447923</v>
      </c>
      <c r="C12" s="26">
        <f>B12+C10</f>
        <v>-134525</v>
      </c>
      <c r="D12" s="26">
        <f>C12+D10</f>
        <v>1138011</v>
      </c>
      <c r="E12" s="26">
        <f>D12+E10</f>
        <v>3151505</v>
      </c>
      <c r="F12" s="26">
        <f>E12+F10</f>
        <v>5479439</v>
      </c>
    </row>
    <row r="13" spans="1:6" x14ac:dyDescent="0.25">
      <c r="A13" s="5" t="s">
        <v>244</v>
      </c>
      <c r="B13" s="26">
        <v>52077</v>
      </c>
      <c r="C13" s="26">
        <v>365475</v>
      </c>
      <c r="D13" s="26">
        <v>1638011</v>
      </c>
      <c r="E13" s="26">
        <v>3651505</v>
      </c>
      <c r="F13" s="26">
        <v>5979439</v>
      </c>
    </row>
    <row r="14" spans="1:6" x14ac:dyDescent="0.25">
      <c r="A14" s="4" t="s">
        <v>245</v>
      </c>
      <c r="B14" s="13">
        <v>10736</v>
      </c>
      <c r="C14" s="13">
        <v>12614</v>
      </c>
      <c r="D14" s="13">
        <v>12615</v>
      </c>
      <c r="E14" s="13">
        <v>12691</v>
      </c>
      <c r="F14" s="13">
        <v>12961</v>
      </c>
    </row>
    <row r="15" spans="1:6" x14ac:dyDescent="0.25">
      <c r="A15" s="4" t="s">
        <v>121</v>
      </c>
      <c r="B15" s="13">
        <v>14469</v>
      </c>
      <c r="C15" s="13">
        <v>11047</v>
      </c>
      <c r="D15" s="13">
        <v>8374</v>
      </c>
      <c r="E15" s="13">
        <v>7322</v>
      </c>
      <c r="F15" s="13">
        <v>7141</v>
      </c>
    </row>
    <row r="16" spans="1:6" x14ac:dyDescent="0.25">
      <c r="A16" s="5" t="s">
        <v>196</v>
      </c>
      <c r="B16" s="30">
        <v>-5.68</v>
      </c>
      <c r="C16" s="30">
        <v>8.09</v>
      </c>
      <c r="D16" s="30">
        <v>27.34</v>
      </c>
      <c r="E16" s="30">
        <v>41.91</v>
      </c>
      <c r="F16" s="30">
        <v>48.12</v>
      </c>
    </row>
    <row r="18" spans="1:6" x14ac:dyDescent="0.25">
      <c r="A18" s="41" t="s">
        <v>246</v>
      </c>
      <c r="B18" s="41"/>
      <c r="C18" s="41"/>
      <c r="D18" s="41"/>
      <c r="E18" s="41"/>
      <c r="F18" s="41"/>
    </row>
  </sheetData>
  <mergeCells count="5">
    <mergeCell ref="A1:F1"/>
    <mergeCell ref="A2:F2"/>
    <mergeCell ref="A3:F3"/>
    <mergeCell ref="A4:F4"/>
    <mergeCell ref="A18:F18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&amp;L&amp;10&amp;BCivic Scholars Charter&amp;R&amp;8&amp;ISummary</oddHeader>
    <oddFooter>&amp;L&amp;8Built by SchoolStack Budget  •  budget.schoolstack.ai&amp;C&amp;8Page &amp;P of &amp;N&amp;R&amp;8&amp;D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9"/>
  <sheetFormatPr defaultRowHeight="15" outlineLevelRow="0" outlineLevelCol="0" x14ac:dyDescent="55"/>
  <cols>
    <col min="1" max="1" width="5" customWidth="1"/>
    <col min="2" max="2" width="38" customWidth="1"/>
    <col min="3" max="3" width="30" customWidth="1"/>
    <col min="4" max="4" width="5" customWidth="1"/>
  </cols>
  <sheetData>
    <row r="1" ht="20" customHeight="1" x14ac:dyDescent="0.25"/>
    <row r="2" ht="10" customHeight="1" x14ac:dyDescent="0.25"/>
    <row r="3" ht="40" customHeight="1" spans="2:3" x14ac:dyDescent="0.25">
      <c r="B3" s="42" t="s">
        <v>247</v>
      </c>
      <c r="C3" s="42"/>
    </row>
    <row r="4" ht="28" customHeight="1" spans="2:3" x14ac:dyDescent="0.25">
      <c r="B4" s="43" t="s">
        <v>248</v>
      </c>
      <c r="C4" s="43"/>
    </row>
    <row r="6" ht="4" customHeight="1" spans="2:3" x14ac:dyDescent="0.25">
      <c r="B6" s="44"/>
      <c r="C6" s="44"/>
    </row>
    <row r="8" spans="2:2" x14ac:dyDescent="0.25">
      <c r="B8" s="45" t="s">
        <v>249</v>
      </c>
    </row>
    <row r="9" ht="32" customHeight="1" spans="2:3" x14ac:dyDescent="0.25">
      <c r="B9" s="46" t="s">
        <v>4</v>
      </c>
      <c r="C9" s="46"/>
    </row>
    <row r="10" spans="2:3" x14ac:dyDescent="0.25">
      <c r="B10" s="47" t="s">
        <v>250</v>
      </c>
      <c r="C10" s="47"/>
    </row>
    <row r="12" spans="2:3" x14ac:dyDescent="0.25">
      <c r="B12" s="45" t="s">
        <v>251</v>
      </c>
      <c r="C12" s="48" t="s">
        <v>252</v>
      </c>
    </row>
    <row r="15" ht="24" customHeight="1" spans="1:3" x14ac:dyDescent="0.25">
      <c r="A15" s="3"/>
      <c r="B15" s="3" t="s">
        <v>253</v>
      </c>
      <c r="C15" s="3"/>
    </row>
    <row r="16" spans="2:3" x14ac:dyDescent="0.25">
      <c r="B16" s="11" t="s">
        <v>254</v>
      </c>
      <c r="C16" s="26">
        <v>5184400</v>
      </c>
    </row>
    <row r="17" spans="2:3" x14ac:dyDescent="0.25">
      <c r="B17" s="11" t="s">
        <v>255</v>
      </c>
      <c r="C17" s="26">
        <v>2327934</v>
      </c>
    </row>
    <row r="18" spans="2:3" x14ac:dyDescent="0.25">
      <c r="B18" s="11" t="s">
        <v>198</v>
      </c>
      <c r="C18" s="26">
        <v>5479439</v>
      </c>
    </row>
    <row r="19" spans="2:3" x14ac:dyDescent="0.25">
      <c r="B19" s="11" t="s">
        <v>226</v>
      </c>
      <c r="C19" s="49" t="s">
        <v>256</v>
      </c>
    </row>
    <row r="22" ht="24" customHeight="1" spans="1:3" x14ac:dyDescent="0.25">
      <c r="A22" s="3"/>
      <c r="B22" s="3" t="s">
        <v>257</v>
      </c>
      <c r="C22" s="3"/>
    </row>
    <row r="23" spans="2:3" x14ac:dyDescent="0.25">
      <c r="B23" s="50" t="s">
        <v>258</v>
      </c>
      <c r="C23" s="51"/>
    </row>
    <row r="24" spans="2:3" x14ac:dyDescent="0.25">
      <c r="B24" s="50" t="s">
        <v>259</v>
      </c>
      <c r="C24" s="51"/>
    </row>
    <row r="25" spans="2:3" x14ac:dyDescent="0.25">
      <c r="B25" s="50" t="s">
        <v>260</v>
      </c>
      <c r="C25" s="51"/>
    </row>
    <row r="26" spans="2:3" x14ac:dyDescent="0.25">
      <c r="B26" s="50" t="s">
        <v>261</v>
      </c>
      <c r="C26" s="51"/>
    </row>
    <row r="27" spans="2:3" x14ac:dyDescent="0.25">
      <c r="B27" s="50" t="s">
        <v>167</v>
      </c>
      <c r="C27" s="51"/>
    </row>
    <row r="28" spans="2:3" x14ac:dyDescent="0.25">
      <c r="B28" s="50" t="s">
        <v>262</v>
      </c>
      <c r="C28" s="51"/>
    </row>
    <row r="29" spans="2:3" x14ac:dyDescent="0.25">
      <c r="B29" s="50" t="s">
        <v>263</v>
      </c>
      <c r="C29" s="51"/>
    </row>
    <row r="30" spans="2:3" x14ac:dyDescent="0.25">
      <c r="B30" s="50" t="s">
        <v>264</v>
      </c>
      <c r="C30" s="51"/>
    </row>
    <row r="31" spans="2:3" x14ac:dyDescent="0.25">
      <c r="B31" s="50" t="s">
        <v>265</v>
      </c>
      <c r="C31" s="51"/>
    </row>
    <row r="32" spans="2:3" x14ac:dyDescent="0.25">
      <c r="B32" s="50" t="s">
        <v>266</v>
      </c>
      <c r="C32" s="51"/>
    </row>
    <row r="33" spans="2:3" x14ac:dyDescent="0.25">
      <c r="B33" s="50" t="s">
        <v>267</v>
      </c>
      <c r="C33" s="51"/>
    </row>
    <row r="34" spans="2:3" x14ac:dyDescent="0.25">
      <c r="B34" s="50" t="s">
        <v>268</v>
      </c>
      <c r="C34" s="51"/>
    </row>
    <row r="35" spans="2:3" x14ac:dyDescent="0.25">
      <c r="B35" s="50" t="s">
        <v>269</v>
      </c>
      <c r="C35" s="51"/>
    </row>
    <row r="36" spans="2:3" x14ac:dyDescent="0.25">
      <c r="B36" s="50" t="s">
        <v>270</v>
      </c>
      <c r="C36" s="51"/>
    </row>
    <row r="39" spans="2:3" x14ac:dyDescent="0.25">
      <c r="B39" s="41" t="s">
        <v>246</v>
      </c>
      <c r="C39" s="41"/>
    </row>
  </sheetData>
  <mergeCells count="5">
    <mergeCell ref="B3:C3"/>
    <mergeCell ref="B4:C4"/>
    <mergeCell ref="B9:C9"/>
    <mergeCell ref="B10:C10"/>
    <mergeCell ref="B39:C39"/>
  </mergeCells>
  <hyperlinks>
    <hyperlink ref="B23" r:id="rId1" location="#'Assumptions'!A1"/>
    <hyperlink ref="B24" r:id="rId2" location="#'Enrollment &amp; Rev Drivers'!A1"/>
    <hyperlink ref="B25" r:id="rId3" location="#'Tuition &amp; Funding Detail'!A1"/>
    <hyperlink ref="B26" r:id="rId4" location="#'Staffing Plan'!A1"/>
    <hyperlink ref="B27" r:id="rId5" location="#'Operating Expenses'!A1"/>
    <hyperlink ref="B28" r:id="rId6" location="#'Facilities &amp; Occupancy'!A1"/>
    <hyperlink ref="B29" r:id="rId7" location="#'Capital Stack &amp; Startup Uses'!A1"/>
    <hyperlink ref="B30" r:id="rId8" location="#'Debt Schedule'!A1"/>
    <hyperlink ref="B31" r:id="rId9" location="#'Cash Flow Monthly Y1'!A1"/>
    <hyperlink ref="B32" r:id="rId10" location="#'5-Year P&amp;L'!A1"/>
    <hyperlink ref="B33" r:id="rId11" location="#'5-Year Balance Sheet'!A1"/>
    <hyperlink ref="B34" r:id="rId12" location="#'DSCR &amp; Covenants'!A1"/>
    <hyperlink ref="B35" r:id="rId13" location="#'Underwriting Snapshot'!A1"/>
    <hyperlink ref="B36" r:id="rId14" location="#'Summary'!A1"/>
  </hyperlinks>
  <pageMargins left="0.75" right="0.75" top="1" bottom="1" header="0.3" footer="0.3"/>
  <pageSetup paperSize="1" orientation="portrait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Assumptions</vt:lpstr>
      <vt:lpstr>Enrollment &amp; Rev Drivers</vt:lpstr>
      <vt:lpstr>Tuition &amp; Funding Detail</vt:lpstr>
      <vt:lpstr>Staffing Plan</vt:lpstr>
      <vt:lpstr>Operating Expenses</vt:lpstr>
      <vt:lpstr>Facilities &amp; Occupancy</vt:lpstr>
      <vt:lpstr>Capital Stack &amp; Startup Uses</vt:lpstr>
      <vt:lpstr>Debt Schedule</vt:lpstr>
      <vt:lpstr>Cash Flow Monthly Y1</vt:lpstr>
      <vt:lpstr>5-Year P&amp;L</vt:lpstr>
      <vt:lpstr>5-Year Balance Sheet</vt:lpstr>
      <vt:lpstr>DSCR &amp; Covenants</vt:lpstr>
      <vt:lpstr>Underwriting Snapshot</vt:lpstr>
      <vt:lpstr>Summary</vt:lpstr>
      <vt:lpstr>Cover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 - Underwriting Export</dc:creator>
  <dc:title/>
  <dc:subject/>
  <dc:description/>
  <cp:keywords/>
  <cp:category/>
  <cp:lastModifiedBy>Unknown</cp:lastModifiedBy>
  <dcterms:created xsi:type="dcterms:W3CDTF">2026-03-17T17:38:19Z</dcterms:created>
  <dcterms:modified xsi:type="dcterms:W3CDTF">2026-03-17T17:38:19Z</dcterms:modified>
</cp:coreProperties>
</file>