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<sst xmlns="http://schemas.openxmlformats.org/spreadsheetml/2006/main" count="466" uniqueCount="331">
  <si>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</si>
  <si>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</si>
  <si>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</si>
  <si>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</si>
  <si>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</si>
  <si>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</si>
  <si>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</si>
  <si>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</si>
  <si>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</si>
  <si>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</si>
  <si>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</si>
  <si>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</si>
  <si>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</si>
  <si>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</si>
  <si>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</si>
  <si>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</si>
  <si>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</si>
  <si>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</si>
  <si>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</si>
  <si>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</si>
  <si>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</si>
  <si>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</si>
  <si>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</si>
  <si>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</si>
  <si>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</si>
  <si>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</si>
  <si>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</si>
  <si>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</si>
  <si>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</si>
  <si>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</si>
  <si>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</si>
  <si>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</si>
  <si>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</si>
  <si>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</si>
  <si>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</si>
  <si>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</si>
  <si>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</si>
  <si>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</si>
  <si>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</si>
  <si>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</si>
  <si>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</si>
  <si>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</si>
  <si>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</si>
  <si>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</si>
  <si>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</si>
  <si>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</si>
  <si>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</si>
  <si>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</si>
  <si>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</si>
  <si>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</si>
  <si>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</si>
  <si>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</si>
  <si>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</si>
  <si>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</si>
  <si>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</si>
  <si>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</si>
  <si>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</si>
  <si>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</si>
  <si>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</si>
  <si>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</si>
  <si>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</si>
  <si>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</si>
  <si>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</si>
  <si>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</si>
  <si>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</si>
  <si>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</si>
  <si>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</si>
  <si>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</si>
  <si>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</si>
  <si>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</si>
  <si>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</si>
  <si>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</si>
  <si>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</si>
  <si>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</si>
  <si>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</si>
  <si>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</si>
  <si>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</si>
  <si>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</si>
  <si>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</si>
  <si>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</si>
  <si>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</si>
  <si>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</si>
  <si>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</si>
  <si>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</si>
  <si>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</si>
  <si>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</si>
  <si>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</si>
  <si>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</si>
  <si>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</si>
  <si>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</si>
  <si>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</si>
  <si>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</si>
  <si>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</si>
  <si>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</si>
  <si>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</si>
  <si>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</si>
  <si>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</si>
  <si>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</si>
  <si>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</si>
  <si>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</si>
  <si>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</si>
  <si>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</si>
  <si>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</si>
  <si>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</si>
  <si>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</si>
  <si>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</si>
  <si>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</si>
  <si>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</si>
  <si>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</si>
  <si>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</si>
  <si>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</si>
  <si>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</si>
  <si>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</si>
  <si>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</si>
  <si>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</si>
  <si>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</si>
  <si>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</si>
  <si>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</si>
  <si>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</si>
  <si>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</si>
  <si>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</si>
  <si>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</si>
  <si>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</si>
  <si>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</si>
  <si>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</si>
  <si>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</si>
  <si>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</si>
  <si>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</si>
  <si>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</si>
  <si>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</si>
  <si>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</si>
  <si>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</si>
  <si>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</si>
  <si>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</si>
  <si>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</si>
  <si>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</si>
  <si>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</si>
  <si>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</si>
  <si>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</si>
  <si>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</si>
  <si>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</si>
  <si>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</si>
  <si>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</si>
  <si>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</si>
  <si>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</si>
  <si>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</si>
  <si>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</si>
  <si>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</si>
  <si>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</si>
  <si>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</si>
  <si>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</si>
  <si>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</si>
  <si>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</si>
  <si>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</si>
  <si>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</si>
  <si>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</si>
  <si>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</si>
  <si>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</si>
  <si>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</si>
  <si>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</si>
  <si>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</si>
  <si>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</si>
  <si>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</si>
  <si>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</si>
  <si>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</si>
  <si>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</si>
  <si>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</si>
  <si>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</si>
  <si>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</si>
  <si>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</si>
  <si>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</si>
  <si>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</si>
  <si>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</si>
  <si>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</si>
  <si>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</si>
  <si>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</si>
  <si>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</si>
  <si>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</si>
  <si>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</si>
  <si>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</si>
  <si>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</si>
  <si>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</si>
  <si>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</si>
  <si>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</si>
  <si>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</si>
  <si>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</si>
  <si>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</si>
  <si>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</si>
  <si>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</si>
  <si>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</si>
  <si>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</si>
  <si>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</si>
  <si>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</si>
  <si>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</si>
  <si>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</si>
  <si>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</si>
  <si>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</si>
  <si>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</si>
  <si>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</si>
  <si>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</si>
  <si>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</si>
  <si>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</si>
  <si>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</si>
  <si>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</si>
  <si>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</si>
  <si>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</si>
  <si>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</si>
  <si>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</si>
  <si>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</si>
  <si>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</si>
  <si>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</si>
  <si>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</si>
  <si>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</si>
  <si>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</si>
  <si>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</si>
  <si>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1.25x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</si>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</sst>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IF(B5&gt;=1.25,"PASS","FAIL")</f>
        <v>FAIL</v>
      </c>
      <c r="C14" s="37" t="str">
        <f>IF(C5&gt;=1.25,"PASS","FAIL")</f>
        <v>PASS</v>
      </c>
      <c r="D14" s="37" t="str">
        <f>IF(D5&gt;=1.25,"PASS","FAIL")</f>
        <v>PASS</v>
      </c>
      <c r="E14" s="37" t="str">
        <f>IF(E5&gt;=1.25,"PASS","FAIL")</f>
        <v>PASS</v>
      </c>
      <c r="F14" s="37" t="str">
        <f>IF(F5&gt;=1.25,"PASS","FAIL")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7" x14ac:dyDescent="0.25">
      <c r="B16" s="62" t="s">
        <v>122</v>
      </c>
      <c r="C16" s="70">
        <v>13265.541666666666</v>
      </c>
      <c r="D16" s="70">
        <v>12081.43</v>
      </c>
      <c r="E16" s="70">
        <v>10121.226666666667</v>
      </c>
      <c r="F16" s="70">
        <v>9418.184</v>
      </c>
      <c r="G16" s="70">
        <v>9295.48</v>
      </c>
    </row>
    <row r="17" spans="2:7" x14ac:dyDescent="0.25">
      <c r="B17" s="13" t="s">
        <v>285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286</v>
      </c>
      <c r="C18" s="71">
        <v>2350</v>
      </c>
      <c r="D18" s="68">
        <v>1452.3</v>
      </c>
      <c r="E18" s="68">
        <v>997.2213333333334</v>
      </c>
      <c r="F18" s="68">
        <v>821.7334186666667</v>
      </c>
      <c r="G18" s="68">
        <v>793.4822574000001</v>
      </c>
      <c r="H18" s="69" t="s">
        <v>287</v>
      </c>
    </row>
    <row r="19" spans="2:7" x14ac:dyDescent="0.25">
      <c r="B19" s="62" t="s">
        <v>288</v>
      </c>
      <c r="C19" s="72">
        <v>-3487.766666666667</v>
      </c>
      <c r="D19" s="73">
        <v>332.575</v>
      </c>
      <c r="E19" s="73">
        <v>2360.7733333333335</v>
      </c>
      <c r="F19" s="73">
        <v>3206.152</v>
      </c>
      <c r="G19" s="73">
        <v>3615.5225</v>
      </c>
    </row>
    <row r="20" spans="2:8" x14ac:dyDescent="0.25">
      <c r="B20" s="62" t="s">
        <v>289</v>
      </c>
      <c r="C20" s="65">
        <v>0.7738992946699339</v>
      </c>
      <c r="D20" s="66">
        <v>0.5860952116695735</v>
      </c>
      <c r="E20" s="67">
        <v>0.47456058764466524</v>
      </c>
      <c r="F20" s="67">
        <v>0.429260630893284</v>
      </c>
      <c r="G20" s="67">
        <v>0.4076543090810894</v>
      </c>
      <c r="H20" s="69" t="s">
        <v>290</v>
      </c>
    </row>
    <row r="21" spans="2:8" x14ac:dyDescent="0.25">
      <c r="B21" s="62" t="s">
        <v>291</v>
      </c>
      <c r="C21" s="66">
        <v>0.21888750812095942</v>
      </c>
      <c r="D21" s="67">
        <v>0.1151339781195497</v>
      </c>
      <c r="E21" s="67">
        <v>0.07904835385509698</v>
      </c>
      <c r="F21" s="67">
        <v>0.06474930412628371</v>
      </c>
      <c r="G21" s="67">
        <v>0.06122075900007716</v>
      </c>
      <c r="H21" s="69" t="s">
        <v>292</v>
      </c>
    </row>
    <row r="22" spans="2:8" x14ac:dyDescent="0.25">
      <c r="B22" s="62" t="s">
        <v>293</v>
      </c>
      <c r="C22" s="65">
        <v>-0.1969265710029938</v>
      </c>
      <c r="D22" s="66">
        <v>0.061970429681306484</v>
      </c>
      <c r="E22" s="67">
        <v>0.21086957670559636</v>
      </c>
      <c r="F22" s="67">
        <v>0.26835416174191684</v>
      </c>
      <c r="G22" s="67">
        <v>0.29242207391404984</v>
      </c>
      <c r="H22" s="69" t="s">
        <v>294</v>
      </c>
    </row>
    <row r="23" spans="2:8" x14ac:dyDescent="0.25">
      <c r="B23" s="62" t="s">
        <v>295</v>
      </c>
      <c r="C23" s="74">
        <v>3</v>
      </c>
      <c r="D23" s="74">
        <v>3</v>
      </c>
      <c r="E23" s="74">
        <v>3</v>
      </c>
      <c r="F23" s="74">
        <v>3</v>
      </c>
      <c r="G23" s="74">
        <v>3</v>
      </c>
      <c r="H23" s="69" t="s">
        <v>296</v>
      </c>
    </row>
    <row r="24" spans="2:8" x14ac:dyDescent="0.25">
      <c r="B24" s="62" t="s">
        <v>199</v>
      </c>
      <c r="C24" s="75">
        <v>-5.091961866532865</v>
      </c>
      <c r="D24" s="76">
        <v>3.137762167586553</v>
      </c>
      <c r="E24" s="76">
        <v>16.017200200702458</v>
      </c>
      <c r="F24" s="76">
        <v>25.632333166081285</v>
      </c>
      <c r="G24" s="76">
        <v>30.42715504264927</v>
      </c>
      <c r="H24" s="69" t="s">
        <v>297</v>
      </c>
    </row>
    <row r="25" spans="2:8" x14ac:dyDescent="0.25">
      <c r="B25" s="62" t="s">
        <v>298</v>
      </c>
      <c r="C25" s="77" t="str">
        <f>IF('5-Year P&amp;L'!B9&gt;=0,"✓ Break-even","")</f>
        <v>0</v>
      </c>
      <c r="D25" s="77" t="str">
        <f>IF(AND('5-Year P&amp;L'!C9&gt;=0,'5-Year P&amp;L'!B9&lt;0),"✓ Break-even","")</f>
        <v>0</v>
      </c>
      <c r="E25" s="32" t="str">
        <f>IF(AND('5-Year P&amp;L'!D9&gt;=0,'5-Year P&amp;L'!C9&lt;0),"✓ Break-even","")</f>
        <v>✓ Break-even</v>
      </c>
      <c r="F25" s="77" t="str">
        <f>IF(AND('5-Year P&amp;L'!E9&gt;=0,'5-Year P&amp;L'!D9&lt;0),"✓ Break-even","")</f>
        <v>0</v>
      </c>
      <c r="G25" s="77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299</v>
      </c>
      <c r="C26" s="78">
        <v>1</v>
      </c>
      <c r="D26" s="78">
        <v>1</v>
      </c>
      <c r="E26" s="78">
        <v>3</v>
      </c>
      <c r="F26" s="78">
        <v>7</v>
      </c>
      <c r="G26" s="78">
        <v>11</v>
      </c>
      <c r="H26" s="69" t="s">
        <v>300</v>
      </c>
    </row>
    <row r="27" spans="2:8" x14ac:dyDescent="0.25">
      <c r="B27" s="62" t="s">
        <v>204</v>
      </c>
      <c r="C27" s="78">
        <v>19</v>
      </c>
      <c r="D27" s="78">
        <v>22</v>
      </c>
      <c r="E27" s="74">
        <v>103</v>
      </c>
      <c r="F27" s="74">
        <v>213</v>
      </c>
      <c r="G27" s="74">
        <v>344</v>
      </c>
      <c r="H27" s="69" t="s">
        <v>301</v>
      </c>
    </row>
    <row r="29" ht="24" customHeight="1" spans="2:8" x14ac:dyDescent="0.25">
      <c r="B29" s="5" t="s">
        <v>302</v>
      </c>
      <c r="C29" s="5" t="s">
        <v>303</v>
      </c>
      <c r="D29" s="5" t="s">
        <v>304</v>
      </c>
      <c r="E29" s="5"/>
      <c r="F29" s="5" t="s">
        <v>305</v>
      </c>
      <c r="G29" s="5"/>
      <c r="H29" s="5"/>
    </row>
    <row r="30" ht="45" customHeight="1" spans="2:8" x14ac:dyDescent="0.25">
      <c r="B30" s="79" t="s">
        <v>306</v>
      </c>
      <c r="C30" s="80" t="s">
        <v>307</v>
      </c>
      <c r="D30" s="81" t="s">
        <v>308</v>
      </c>
      <c r="E30" s="81"/>
      <c r="F30" s="82" t="s">
        <v>309</v>
      </c>
      <c r="G30" s="82"/>
      <c r="H30" s="82"/>
    </row>
    <row r="31" ht="45" customHeight="1" spans="2:8" x14ac:dyDescent="0.25">
      <c r="B31" s="79" t="s">
        <v>310</v>
      </c>
      <c r="C31" s="32" t="s">
        <v>311</v>
      </c>
      <c r="D31" s="81" t="s">
        <v>312</v>
      </c>
      <c r="E31" s="81"/>
      <c r="F31" s="82" t="s">
        <v>313</v>
      </c>
      <c r="G31" s="82"/>
      <c r="H31" s="82"/>
    </row>
    <row r="32" ht="45" customHeight="1" spans="2:8" x14ac:dyDescent="0.25">
      <c r="B32" s="79" t="s">
        <v>314</v>
      </c>
      <c r="C32" s="32" t="s">
        <v>311</v>
      </c>
      <c r="D32" s="81" t="s">
        <v>315</v>
      </c>
      <c r="E32" s="81"/>
      <c r="F32" s="82" t="s">
        <v>316</v>
      </c>
      <c r="G32" s="82"/>
      <c r="H32" s="82"/>
    </row>
    <row r="33" ht="45" customHeight="1" spans="2:8" x14ac:dyDescent="0.25">
      <c r="B33" s="79" t="s">
        <v>317</v>
      </c>
      <c r="C33" s="32" t="s">
        <v>311</v>
      </c>
      <c r="D33" s="81" t="s">
        <v>318</v>
      </c>
      <c r="E33" s="81"/>
      <c r="F33" s="82" t="s">
        <v>319</v>
      </c>
      <c r="G33" s="82"/>
      <c r="H33" s="82"/>
    </row>
    <row r="34" ht="45" customHeight="1" spans="2:8" x14ac:dyDescent="0.25">
      <c r="B34" s="79" t="s">
        <v>320</v>
      </c>
      <c r="C34" s="32" t="s">
        <v>311</v>
      </c>
      <c r="D34" s="81" t="s">
        <v>321</v>
      </c>
      <c r="E34" s="81"/>
      <c r="F34" s="82" t="s">
        <v>322</v>
      </c>
      <c r="G34" s="82"/>
      <c r="H34" s="82"/>
    </row>
    <row r="35" ht="45" customHeight="1" spans="2:8" x14ac:dyDescent="0.25">
      <c r="B35" s="79" t="s">
        <v>323</v>
      </c>
      <c r="C35" s="32" t="s">
        <v>311</v>
      </c>
      <c r="D35" s="81" t="s">
        <v>324</v>
      </c>
      <c r="E35" s="81"/>
      <c r="F35" s="82" t="s">
        <v>325</v>
      </c>
      <c r="G35" s="82"/>
      <c r="H35" s="82"/>
    </row>
    <row r="36" ht="45" customHeight="1" spans="2:8" x14ac:dyDescent="0.25">
      <c r="B36" s="79" t="s">
        <v>326</v>
      </c>
      <c r="C36" s="32" t="s">
        <v>311</v>
      </c>
      <c r="D36" s="81" t="s">
        <v>327</v>
      </c>
      <c r="E36" s="81"/>
      <c r="F36" s="82" t="s">
        <v>328</v>
      </c>
      <c r="G36" s="82"/>
      <c r="H36" s="82"/>
    </row>
    <row r="38" spans="2:6" x14ac:dyDescent="0.25">
      <c r="B38" s="79" t="s">
        <v>273</v>
      </c>
      <c r="C38" s="62" t="s">
        <v>329</v>
      </c>
      <c r="D38" s="62"/>
      <c r="E38" s="62"/>
      <c r="F38" s="62"/>
    </row>
    <row r="40" spans="2:8" x14ac:dyDescent="0.25">
      <c r="B40" s="83" t="s">
        <v>330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2026-04-29T01:01:49Z</dcterms:created>
  <dcterms:modified xsi:type="dcterms:W3CDTF">2026-04-29T01:01:49Z</dcterms:modified>
</cp:coreProperties>
</file>