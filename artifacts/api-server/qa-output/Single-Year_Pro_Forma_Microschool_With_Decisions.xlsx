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Revenue" state="visible" r:id="rId5"/>
    <sheet sheetId="3" name="Personnel" state="visible" r:id="rId6"/>
    <sheet sheetId="4" name="Operating Expenses" state="visible" r:id="rId7"/>
    <sheet sheetId="5" name="P&amp;L Summary" state="visible" r:id="rId8"/>
    <sheet sheetId="6" name="Decision History" state="visible" r:id="rId9"/>
  </sheets>
  <definedNames>
    <definedName name="_xlnm.Print_Area" localSheetId="0">'Assumptions'!$A1:$E11</definedName>
    <definedName name="_xlnm.Print_Titles" localSheetId="0">'Assumptions'!$1:$1</definedName>
    <definedName name="_xlnm.Print_Area" localSheetId="1">'Revenue'!$A1:$N7</definedName>
    <definedName name="_xlnm.Print_Titles" localSheetId="1">'Revenue'!$1:$1</definedName>
    <definedName name="_xlnm.Print_Area" localSheetId="2">'Personnel'!$A1:$N5</definedName>
    <definedName name="_xlnm.Print_Titles" localSheetId="2">'Personnel'!$1:$1</definedName>
    <definedName name="_xlnm.Print_Area" localSheetId="3">'Operating Expenses'!$A1:$N8</definedName>
    <definedName name="_xlnm.Print_Titles" localSheetId="3">'Operating Expenses'!$1:$1</definedName>
    <definedName name="_xlnm.Print_Area" localSheetId="4">'P&amp;L Summary'!$A1:$N7</definedName>
    <definedName name="_xlnm.Print_Titles" localSheetId="4">'P&amp;L Summary'!$1:$1</definedName>
    <definedName name="_xlnm.Print_Area" localSheetId="5">'Decision History'!$A1:$H11</definedName>
    <definedName name="_xlnm.Print_Titles" localSheetId="5">'Decision History'!$1:$1</definedName>
  </definedNames>
  <calcPr calcId="171027"/>
</workbook>
</file>

<file path=xl/sharedStrings.xml><?xml version="1.0" encoding="utf-8"?>
<sst xmlns="http://schemas.openxmlformats.org/spreadsheetml/2006/main" count="138" uniqueCount="88">
  <si>
    <t>Year 1 Budget Assumptions</t>
  </si>
  <si>
    <t/>
  </si>
  <si>
    <t>Editable assumption — change this value</t>
  </si>
  <si>
    <t>Calculated — driven by formula</t>
  </si>
  <si>
    <t>School Name</t>
  </si>
  <si>
    <t>Bright Horizons Microschool</t>
  </si>
  <si>
    <t>School Type</t>
  </si>
  <si>
    <t>microschool</t>
  </si>
  <si>
    <t>KEY ASSUMPTIONS</t>
  </si>
  <si>
    <t>Enrollment</t>
  </si>
  <si>
    <t>Salary Escalation</t>
  </si>
  <si>
    <t>Cost Inflation</t>
  </si>
  <si>
    <t>Year 1 Proration Factor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</si>
  <si>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</si>
  <si>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</si>
  <si>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</si>
  <si>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</si>
  <si>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</si>
  <si>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</si>
  <si>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</si>
  <si>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</si>
  <si>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</si>
  <si>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</si>
  <si>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</si>
  <si>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</si>
  <si>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Year 1 Total</t>
  </si>
  <si>
    <t>Tuition</t>
  </si>
  <si>
    <t>Registration Fee</t>
  </si>
  <si>
    <t>AZ ESA Funds</t>
  </si>
  <si>
    <t>Annual Fundraising</t>
  </si>
  <si>
    <t>Scholarship Discount</t>
  </si>
  <si>
    <t>TOTAL REVENUE</t>
  </si>
  <si>
    <t>Founder / Head of School</t>
  </si>
  <si>
    <t>Lead Teacher</t>
  </si>
  <si>
    <t>Teaching Assistant</t>
  </si>
  <si>
    <t>TOTAL PERSONNEL</t>
  </si>
  <si>
    <t>Rent</t>
  </si>
  <si>
    <t>Utilities</t>
  </si>
  <si>
    <t>Insurance</t>
  </si>
  <si>
    <t>Curriculum &amp; Materials</t>
  </si>
  <si>
    <t>Technology</t>
  </si>
  <si>
    <t>Marketing</t>
  </si>
  <si>
    <t>TOTAL OPERATING EXPENSES</t>
  </si>
  <si>
    <t>Total Revenue</t>
  </si>
  <si>
    <t>Personnel</t>
  </si>
  <si>
    <t>Operating Expenses</t>
  </si>
  <si>
    <t>Capital &amp; Debt</t>
  </si>
  <si>
    <t>Total Expenses</t>
  </si>
  <si>
    <t>Profit / (Loss)</t>
  </si>
  <si>
    <t>Decision History</t>
  </si>
  <si>
    <t>Track record of 5 tracked decisions (2 pursued, 1 on hold, 2 declined). Each entry shows the modeled change, the outcome the team logged, and any retrospective notes captured after the fact.</t>
  </si>
  <si>
    <t>Decision</t>
  </si>
  <si>
    <t>Type</t>
  </si>
  <si>
    <t>Outcome</t>
  </si>
  <si>
    <t>Applied to base model?</t>
  </si>
  <si>
    <t>Outcome logged</t>
  </si>
  <si>
    <t>Modeled change</t>
  </si>
  <si>
    <t>What happened (retrospective)</t>
  </si>
  <si>
    <t>Add Middle School program</t>
  </si>
  <si>
    <t>Add a program</t>
  </si>
  <si>
    <t>Pursued</t>
  </si>
  <si>
    <t>[APPLIED] Folded into the base model on Apr 12, 2025</t>
  </si>
  <si>
    <t>Apr 10, 2025</t>
  </si>
  <si>
    <t xml:space="preserve">• Program: Middle School (6-8)
• Tuition $14,000/yr
• Adds 72 cumulative students (5 yrs)
• +2 FTE</t>
  </si>
  <si>
    <t>Launched in fall 2025; enrollment hit plan within 1 student.</t>
  </si>
  <si>
    <t>Increase retention focus</t>
  </si>
  <si>
    <t>Change enrollment</t>
  </si>
  <si>
    <t>[PENDING] Pending apply to base model</t>
  </si>
  <si>
    <t>Mar 5, 2025</t>
  </si>
  <si>
    <t xml:space="preserve">• Enrollment +14 cumulative
• Retention 92%</t>
  </si>
  <si>
    <t>Retention initiatives approved; planner will reflect after Q2 board review.</t>
  </si>
  <si>
    <t>Evaluate downtown campus</t>
  </si>
  <si>
    <t>Evaluate a site</t>
  </si>
  <si>
    <t>On hold</t>
  </si>
  <si>
    <t>—</t>
  </si>
  <si>
    <t>Mar 25, 2025</t>
  </si>
  <si>
    <t xml:space="preserve">• Rent $8,500/mo
• Rent escalation 4%
• Sqft +1500
• Fit-out $75,000 (Y1)</t>
  </si>
  <si>
    <t>Landlord negotiations paused while waiting on city zoning ruling.</t>
  </si>
  <si>
    <t>Reduce K cohort</t>
  </si>
  <si>
    <t>Declined</t>
  </si>
  <si>
    <t>Mar 15, 2025</t>
  </si>
  <si>
    <t xml:space="preserve">• Enrollment -8 cumulative
• Tuition $-500/student</t>
  </si>
  <si>
    <t>Board declined; enrollment goals retained as originally modeled.</t>
  </si>
  <si>
    <t>Move to larger building</t>
  </si>
  <si>
    <t>Feb 10, 2025</t>
  </si>
  <si>
    <t xml:space="preserve">• Rent $12,000/mo
• Sqft +4000</t>
  </si>
  <si>
    <t>Costs out of reach; revisited next year after capital campaign.</t>
  </si>
  <si>
    <t>Generated by SchoolStack Budget (budget.schoolstack.ai)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</si>
</sst>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#,##0;&quot;-&quot;"/>
    <numFmt numFmtId="165" formatCode="0.0%"/>
    <numFmt numFmtId="166" formatCode="_(&quot;$&quot;* #,##0_);_(&quot;$&quot;* (#,##0);_(&quot;$&quot;* &quot;-&quot;??_);_(@_)"/>
  </numFmts>
  <fonts count="9" x14ac:knownFonts="1">
    <font>
      <color theme="1"/>
      <family val="2"/>
      <scheme val="minor"/>
      <sz val="11"/>
      <name val="Calibri"/>
    </font>
    <font>
      <b/>
      <color rgb="FF1E293B"/>
      <sz val="11"/>
      <name val="Calibri"/>
    </font>
    <font>
      <i/>
      <color rgb="FF666666"/>
      <sz val="11"/>
      <name val="Calibri"/>
    </font>
    <font>
      <sz val="11"/>
      <name val="Calibri"/>
    </font>
    <font>
      <color rgb="FF1E3A5F"/>
      <sz val="11"/>
      <name val="Calibri"/>
    </font>
    <font>
      <b/>
      <color rgb="FFFFFFFF"/>
      <sz val="11"/>
      <name val="Calibri"/>
    </font>
    <font>
      <b/>
      <sz val="11"/>
      <name val="Calibri"/>
    </font>
    <font>
      <b/>
      <color rgb="FF1E293B"/>
      <sz val="14"/>
      <name val="Calibri"/>
    </font>
    <font>
      <i/>
      <color rgb="FF6B7280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CE4EC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93C5FD"/>
      </bottom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0" fontId="2" fillId="0" borderId="0" xfId="0" applyFont="1"/>
    <xf numFmtId="0" fontId="0" fillId="4" borderId="3" xfId="0" applyFill="1" applyBorder="1"/>
    <xf numFmtId="0" fontId="3" fillId="0" borderId="0" xfId="0" applyFont="1"/>
    <xf numFmtId="164" fontId="4" fillId="3" borderId="2" xfId="0" applyNumberFormat="1" applyFont="1" applyFill="1" applyBorder="1"/>
    <xf numFmtId="165" fontId="4" fillId="3" borderId="2" xfId="0" applyNumberFormat="1" applyFont="1" applyFill="1" applyBorder="1"/>
    <xf numFmtId="2" fontId="4" fillId="3" borderId="2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6" fontId="3" fillId="0" borderId="1" xfId="0" applyNumberFormat="1" applyFont="1" applyBorder="1"/>
    <xf numFmtId="166" fontId="6" fillId="2" borderId="1" xfId="0" applyNumberFormat="1" applyFont="1" applyFill="1" applyBorder="1"/>
    <xf numFmtId="0" fontId="6" fillId="0" borderId="0" xfId="0" applyFont="1"/>
    <xf numFmtId="166" fontId="6" fillId="0" borderId="1" xfId="0" applyNumberFormat="1" applyFont="1" applyBorder="1"/>
    <xf numFmtId="166" fontId="6" fillId="2" borderId="4" xfId="0" applyNumberFormat="1" applyFont="1" applyFill="1" applyBorder="1"/>
    <xf numFmtId="166" fontId="6" fillId="6" borderId="4" xfId="0" applyNumberFormat="1" applyFont="1" applyFill="1" applyBorder="1"/>
    <xf numFmtId="0" fontId="7" fillId="0" borderId="0" xfId="0" applyFont="1"/>
    <xf numFmtId="0" fontId="8" fillId="0" borderId="0" xfId="0" applyFont="1" applyAlignment="1">
      <alignment vertical="top" wrapText="1"/>
    </xf>
    <xf numFmtId="0" fontId="5" fillId="5" borderId="1" xfId="0" applyFont="1" applyFill="1" applyBorder="1" applyAlignment="1">
      <alignment horizontal="left" vertical="center" wrapText="1"/>
    </xf>
    <xf numFmtId="0" fontId="0" fillId="6" borderId="0" xfId="0" applyFill="1"/>
    <xf numFmtId="0" fontId="6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6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0" fillId="7" borderId="0" xfId="0" applyFill="1"/>
    <xf numFmtId="0" fontId="1" fillId="7" borderId="1" xfId="0" applyFont="1" applyFill="1" applyBorder="1" applyAlignment="1">
      <alignment horizontal="center" vertical="top"/>
    </xf>
    <xf numFmtId="0" fontId="0" fillId="8" borderId="0" xfId="0" applyFill="1"/>
    <xf numFmtId="0" fontId="1" fillId="8" borderId="1" xfId="0" applyFont="1" applyFill="1" applyBorder="1" applyAlignment="1">
      <alignment horizontal="center"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5" customWidth="1"/>
    <col min="2" max="2" width="20" customWidth="1"/>
  </cols>
  <sheetData>
    <row r="1" ht="24" customHeight="1" spans="1:2" x14ac:dyDescent="0.25">
      <c r="A1" s="1" t="s">
        <v>0</v>
      </c>
      <c r="B1" s="1"/>
    </row>
    <row r="2" spans="1:5" x14ac:dyDescent="0.25">
      <c r="A2" s="2" t="s">
        <v>1</v>
      </c>
      <c r="B2" s="3" t="s">
        <v>2</v>
      </c>
      <c r="D2" s="4" t="s">
        <v>1</v>
      </c>
      <c r="E2" s="3" t="s">
        <v>3</v>
      </c>
    </row>
    <row r="4" spans="1:2" x14ac:dyDescent="0.25">
      <c r="A4" s="5" t="s">
        <v>4</v>
      </c>
      <c r="B4" t="s">
        <v>5</v>
      </c>
    </row>
    <row r="5" spans="1:2" x14ac:dyDescent="0.25">
      <c r="A5" s="5" t="s">
        <v>6</v>
      </c>
      <c r="B5" t="s">
        <v>7</v>
      </c>
    </row>
    <row r="7" ht="24" customHeight="1" spans="1:2" x14ac:dyDescent="0.25">
      <c r="A7" s="1" t="s">
        <v>8</v>
      </c>
      <c r="B7" s="1"/>
    </row>
    <row r="8" spans="1:2" x14ac:dyDescent="0.25">
      <c r="A8" s="5" t="s">
        <v>9</v>
      </c>
      <c r="B8" s="6">
        <v>12</v>
      </c>
    </row>
    <row r="9" spans="1:2" x14ac:dyDescent="0.25">
      <c r="A9" s="5" t="s">
        <v>10</v>
      </c>
      <c r="B9" s="7">
        <v>0.03</v>
      </c>
    </row>
    <row r="10" spans="1:2" x14ac:dyDescent="0.25">
      <c r="A10" s="5" t="s">
        <v>11</v>
      </c>
      <c r="B10" s="7">
        <v>0.025</v>
      </c>
    </row>
    <row r="11" spans="1:2" x14ac:dyDescent="0.25">
      <c r="A11" s="5" t="s">
        <v>12</v>
      </c>
      <c r="B11" s="8">
        <v>0.8333333333333334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Microschool&amp;R&amp;8&amp;IAssumptions</oddHeader>
    <oddFooter>&amp;L&amp;8Built by SchoolStack Budget  •  budget.schoolstack.ai&amp;C&amp;8Page &amp;P of &amp;N&amp;R&amp;8&amp;D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5" t="s">
        <v>26</v>
      </c>
      <c r="B2" s="10">
        <v>14400</v>
      </c>
      <c r="C2" s="10">
        <v>14400</v>
      </c>
      <c r="D2" s="10">
        <v>14400</v>
      </c>
      <c r="E2" s="10">
        <v>14400</v>
      </c>
      <c r="F2" s="10">
        <v>14400</v>
      </c>
      <c r="G2" s="10">
        <v>14400</v>
      </c>
      <c r="H2" s="10">
        <v>14400</v>
      </c>
      <c r="I2" s="10">
        <v>14400</v>
      </c>
      <c r="J2" s="10">
        <v>14400</v>
      </c>
      <c r="K2" s="10">
        <v>14400</v>
      </c>
      <c r="L2" s="10">
        <v>0</v>
      </c>
      <c r="M2" s="10">
        <v>0</v>
      </c>
      <c r="N2" s="10">
        <f>SUM(B2:M2)</f>
        <v>120000</v>
      </c>
    </row>
    <row r="3" spans="1:14" x14ac:dyDescent="0.25">
      <c r="A3" s="5" t="s">
        <v>27</v>
      </c>
      <c r="B3" s="10">
        <v>300</v>
      </c>
      <c r="C3" s="10">
        <v>300</v>
      </c>
      <c r="D3" s="10">
        <v>300</v>
      </c>
      <c r="E3" s="10">
        <v>300</v>
      </c>
      <c r="F3" s="10">
        <v>300</v>
      </c>
      <c r="G3" s="10">
        <v>300</v>
      </c>
      <c r="H3" s="10">
        <v>300</v>
      </c>
      <c r="I3" s="10">
        <v>300</v>
      </c>
      <c r="J3" s="10">
        <v>300</v>
      </c>
      <c r="K3" s="10">
        <v>300</v>
      </c>
      <c r="L3" s="10">
        <v>0</v>
      </c>
      <c r="M3" s="10">
        <v>0</v>
      </c>
      <c r="N3" s="10">
        <f>SUM(B3:M3)</f>
        <v>2500</v>
      </c>
    </row>
    <row r="4" spans="1:14" x14ac:dyDescent="0.25">
      <c r="A4" s="5" t="s">
        <v>28</v>
      </c>
      <c r="B4" s="10">
        <v>8400</v>
      </c>
      <c r="C4" s="10">
        <v>8400</v>
      </c>
      <c r="D4" s="10">
        <v>8400</v>
      </c>
      <c r="E4" s="10">
        <v>8400</v>
      </c>
      <c r="F4" s="10">
        <v>8400</v>
      </c>
      <c r="G4" s="10">
        <v>8400</v>
      </c>
      <c r="H4" s="10">
        <v>8400</v>
      </c>
      <c r="I4" s="10">
        <v>8400</v>
      </c>
      <c r="J4" s="10">
        <v>8400</v>
      </c>
      <c r="K4" s="10">
        <v>8400</v>
      </c>
      <c r="L4" s="10">
        <v>0</v>
      </c>
      <c r="M4" s="10">
        <v>0</v>
      </c>
      <c r="N4" s="10">
        <f>SUM(B4:M4)</f>
        <v>70000</v>
      </c>
    </row>
    <row r="5" spans="1:14" x14ac:dyDescent="0.25">
      <c r="A5" s="5" t="s">
        <v>29</v>
      </c>
      <c r="B5" s="10">
        <v>500</v>
      </c>
      <c r="C5" s="10">
        <v>500</v>
      </c>
      <c r="D5" s="10">
        <v>500</v>
      </c>
      <c r="E5" s="10">
        <v>500</v>
      </c>
      <c r="F5" s="10">
        <v>500</v>
      </c>
      <c r="G5" s="10">
        <v>500</v>
      </c>
      <c r="H5" s="10">
        <v>500</v>
      </c>
      <c r="I5" s="10">
        <v>500</v>
      </c>
      <c r="J5" s="10">
        <v>500</v>
      </c>
      <c r="K5" s="10">
        <v>500</v>
      </c>
      <c r="L5" s="10">
        <v>0</v>
      </c>
      <c r="M5" s="10">
        <v>0</v>
      </c>
      <c r="N5" s="10">
        <f>SUM(B5:M5)</f>
        <v>4167</v>
      </c>
    </row>
    <row r="6" spans="1:14" x14ac:dyDescent="0.25">
      <c r="A6" s="5" t="s">
        <v>30</v>
      </c>
      <c r="B6" s="10">
        <v>1</v>
      </c>
      <c r="C6" s="10">
        <v>1</v>
      </c>
      <c r="D6" s="10">
        <v>1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  <c r="K6" s="10">
        <v>1</v>
      </c>
      <c r="L6" s="10">
        <v>0</v>
      </c>
      <c r="M6" s="10">
        <v>0</v>
      </c>
      <c r="N6" s="10">
        <f>SUM(B6:M6)</f>
        <v>8</v>
      </c>
    </row>
    <row r="7" ht="24" customHeight="1" spans="1:14" x14ac:dyDescent="0.25">
      <c r="A7" s="1" t="s">
        <v>31</v>
      </c>
      <c r="B7" s="11">
        <f>SUM(B2:B6)</f>
        <v>155900</v>
      </c>
      <c r="C7" s="11">
        <f>SUM(C2:C6)</f>
        <v>7460</v>
      </c>
      <c r="D7" s="11">
        <f>SUM(D2:D6)</f>
        <v>7460</v>
      </c>
      <c r="E7" s="11">
        <f>SUM(E2:E6)</f>
        <v>7460</v>
      </c>
      <c r="F7" s="11">
        <f>SUM(F2:F6)</f>
        <v>7460</v>
      </c>
      <c r="G7" s="11">
        <f>SUM(G2:G6)</f>
        <v>7460</v>
      </c>
      <c r="H7" s="11">
        <f>SUM(H2:H6)</f>
        <v>7460</v>
      </c>
      <c r="I7" s="11">
        <f>SUM(I2:I6)</f>
        <v>7460</v>
      </c>
      <c r="J7" s="11">
        <f>SUM(J2:J6)</f>
        <v>7460</v>
      </c>
      <c r="K7" s="11">
        <f>SUM(K2:K6)</f>
        <v>7460</v>
      </c>
      <c r="L7" s="11">
        <f>SUM(L2:L6)</f>
        <v>-1440</v>
      </c>
      <c r="M7" s="11" t="str">
        <f>SUM(M2:M6)</f>
        <v>0</v>
      </c>
      <c r="N7" s="11">
        <f>SUM(B7:M7)</f>
        <v>221600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Microschool&amp;R&amp;8&amp;IRevenue</oddHeader>
    <oddFooter>&amp;L&amp;8Built by SchoolStack Budget  •  budget.schoolstack.ai&amp;C&amp;8Page &amp;P of &amp;N&amp;R&amp;8&amp;D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5" t="s">
        <v>32</v>
      </c>
      <c r="B2" s="10">
        <v>131313</v>
      </c>
      <c r="C2" s="10">
        <v>131313</v>
      </c>
      <c r="D2" s="10">
        <v>131313</v>
      </c>
      <c r="E2" s="10">
        <v>131313</v>
      </c>
      <c r="F2" s="10">
        <v>131313</v>
      </c>
      <c r="G2" s="10">
        <v>131313</v>
      </c>
      <c r="H2" s="10">
        <v>131313</v>
      </c>
      <c r="I2" s="10">
        <v>131313</v>
      </c>
      <c r="J2" s="10">
        <v>131313</v>
      </c>
      <c r="K2" s="10">
        <v>131313</v>
      </c>
      <c r="L2" s="10">
        <v>0</v>
      </c>
      <c r="M2" s="10">
        <v>0</v>
      </c>
      <c r="N2" s="10">
        <f>SUM(B2:M2)</f>
        <v>1313125</v>
      </c>
    </row>
    <row r="3" spans="1:14" x14ac:dyDescent="0.25">
      <c r="A3" s="5" t="s">
        <v>33</v>
      </c>
      <c r="B3" s="10">
        <v>107438</v>
      </c>
      <c r="C3" s="10">
        <v>107438</v>
      </c>
      <c r="D3" s="10">
        <v>107438</v>
      </c>
      <c r="E3" s="10">
        <v>107438</v>
      </c>
      <c r="F3" s="10">
        <v>107438</v>
      </c>
      <c r="G3" s="10">
        <v>107438</v>
      </c>
      <c r="H3" s="10">
        <v>107438</v>
      </c>
      <c r="I3" s="10">
        <v>107438</v>
      </c>
      <c r="J3" s="10">
        <v>107438</v>
      </c>
      <c r="K3" s="10">
        <v>107438</v>
      </c>
      <c r="L3" s="10">
        <v>0</v>
      </c>
      <c r="M3" s="10">
        <v>0</v>
      </c>
      <c r="N3" s="10">
        <f>SUM(B3:M3)</f>
        <v>1074375</v>
      </c>
    </row>
    <row r="4" spans="1:14" x14ac:dyDescent="0.25">
      <c r="A4" s="5" t="s">
        <v>34</v>
      </c>
      <c r="B4" s="10">
        <v>10092</v>
      </c>
      <c r="C4" s="10">
        <v>10092</v>
      </c>
      <c r="D4" s="10">
        <v>10092</v>
      </c>
      <c r="E4" s="10">
        <v>10092</v>
      </c>
      <c r="F4" s="10">
        <v>10092</v>
      </c>
      <c r="G4" s="10">
        <v>10092</v>
      </c>
      <c r="H4" s="10">
        <v>10092</v>
      </c>
      <c r="I4" s="10">
        <v>10092</v>
      </c>
      <c r="J4" s="10">
        <v>10092</v>
      </c>
      <c r="K4" s="10">
        <v>10092</v>
      </c>
      <c r="L4" s="10">
        <v>0</v>
      </c>
      <c r="M4" s="10">
        <v>0</v>
      </c>
      <c r="N4" s="10">
        <f>SUM(B4:M4)</f>
        <v>100917</v>
      </c>
    </row>
    <row r="5" ht="24" customHeight="1" spans="1:14" x14ac:dyDescent="0.25">
      <c r="A5" s="1" t="s">
        <v>35</v>
      </c>
      <c r="B5" s="11" t="str">
        <f>SUM(B2:B4)</f>
        <v>0</v>
      </c>
      <c r="C5" s="11" t="str">
        <f>SUM(C2:C4)</f>
        <v>0</v>
      </c>
      <c r="D5" s="11" t="str">
        <f>SUM(D2:D4)</f>
        <v>0</v>
      </c>
      <c r="E5" s="11" t="str">
        <f>SUM(E2:E4)</f>
        <v>0</v>
      </c>
      <c r="F5" s="11" t="str">
        <f>SUM(F2:F4)</f>
        <v>0</v>
      </c>
      <c r="G5" s="11" t="str">
        <f>SUM(G2:G4)</f>
        <v>0</v>
      </c>
      <c r="H5" s="11" t="str">
        <f>SUM(H2:H4)</f>
        <v>0</v>
      </c>
      <c r="I5" s="11" t="str">
        <f>SUM(I2:I4)</f>
        <v>0</v>
      </c>
      <c r="J5" s="11" t="str">
        <f>SUM(J2:J4)</f>
        <v>0</v>
      </c>
      <c r="K5" s="11" t="str">
        <f>SUM(K2:K4)</f>
        <v>0</v>
      </c>
      <c r="L5" s="11" t="str">
        <f>SUM(L2:L4)</f>
        <v>0</v>
      </c>
      <c r="M5" s="11" t="str">
        <f>SUM(M2:M4)</f>
        <v>0</v>
      </c>
      <c r="N5" s="11" t="str">
        <f>SUM(B5:M5)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Microschool&amp;R&amp;8&amp;IPersonnel</oddHeader>
    <oddFooter>&amp;L&amp;8Built by SchoolStack Budget  •  budget.schoolstack.ai&amp;C&amp;8Page &amp;P of &amp;N&amp;R&amp;8&amp;D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5" t="s">
        <v>36</v>
      </c>
      <c r="B2" s="10">
        <v>2500</v>
      </c>
      <c r="C2" s="10">
        <v>2500</v>
      </c>
      <c r="D2" s="10">
        <v>2500</v>
      </c>
      <c r="E2" s="10">
        <v>2500</v>
      </c>
      <c r="F2" s="10">
        <v>2500</v>
      </c>
      <c r="G2" s="10">
        <v>2500</v>
      </c>
      <c r="H2" s="10">
        <v>2500</v>
      </c>
      <c r="I2" s="10">
        <v>2500</v>
      </c>
      <c r="J2" s="10">
        <v>2500</v>
      </c>
      <c r="K2" s="10">
        <v>2500</v>
      </c>
      <c r="L2" s="10">
        <v>0</v>
      </c>
      <c r="M2" s="10">
        <v>0</v>
      </c>
      <c r="N2" s="10">
        <f>SUM(B2:M2)</f>
        <v>25000</v>
      </c>
    </row>
    <row r="3" spans="1:14" x14ac:dyDescent="0.25">
      <c r="A3" s="5" t="s">
        <v>37</v>
      </c>
      <c r="B3" s="10">
        <v>300</v>
      </c>
      <c r="C3" s="10">
        <v>300</v>
      </c>
      <c r="D3" s="10">
        <v>300</v>
      </c>
      <c r="E3" s="10">
        <v>300</v>
      </c>
      <c r="F3" s="10">
        <v>300</v>
      </c>
      <c r="G3" s="10">
        <v>300</v>
      </c>
      <c r="H3" s="10">
        <v>300</v>
      </c>
      <c r="I3" s="10">
        <v>300</v>
      </c>
      <c r="J3" s="10">
        <v>300</v>
      </c>
      <c r="K3" s="10">
        <v>300</v>
      </c>
      <c r="L3" s="10">
        <v>0</v>
      </c>
      <c r="M3" s="10">
        <v>0</v>
      </c>
      <c r="N3" s="10">
        <f>SUM(B3:M3)</f>
        <v>3000</v>
      </c>
    </row>
    <row r="4" spans="1:14" x14ac:dyDescent="0.25">
      <c r="A4" s="5" t="s">
        <v>38</v>
      </c>
      <c r="B4" s="10">
        <v>200</v>
      </c>
      <c r="C4" s="10">
        <v>200</v>
      </c>
      <c r="D4" s="10">
        <v>200</v>
      </c>
      <c r="E4" s="10">
        <v>200</v>
      </c>
      <c r="F4" s="10">
        <v>200</v>
      </c>
      <c r="G4" s="10">
        <v>200</v>
      </c>
      <c r="H4" s="10">
        <v>200</v>
      </c>
      <c r="I4" s="10">
        <v>200</v>
      </c>
      <c r="J4" s="10">
        <v>200</v>
      </c>
      <c r="K4" s="10">
        <v>200</v>
      </c>
      <c r="L4" s="10">
        <v>0</v>
      </c>
      <c r="M4" s="10">
        <v>0</v>
      </c>
      <c r="N4" s="10">
        <f>SUM(B4:M4)</f>
        <v>2000</v>
      </c>
    </row>
    <row r="5" spans="1:14" x14ac:dyDescent="0.25">
      <c r="A5" s="5" t="s">
        <v>39</v>
      </c>
      <c r="B5" s="10">
        <v>500</v>
      </c>
      <c r="C5" s="10">
        <v>500</v>
      </c>
      <c r="D5" s="10">
        <v>500</v>
      </c>
      <c r="E5" s="10">
        <v>500</v>
      </c>
      <c r="F5" s="10">
        <v>500</v>
      </c>
      <c r="G5" s="10">
        <v>500</v>
      </c>
      <c r="H5" s="10">
        <v>500</v>
      </c>
      <c r="I5" s="10">
        <v>500</v>
      </c>
      <c r="J5" s="10">
        <v>500</v>
      </c>
      <c r="K5" s="10">
        <v>500</v>
      </c>
      <c r="L5" s="10">
        <v>0</v>
      </c>
      <c r="M5" s="10">
        <v>0</v>
      </c>
      <c r="N5" s="10">
        <f>SUM(B5:M5)</f>
        <v>5000</v>
      </c>
    </row>
    <row r="6" spans="1:14" x14ac:dyDescent="0.25">
      <c r="A6" s="5" t="s">
        <v>40</v>
      </c>
      <c r="B6" s="10">
        <v>300</v>
      </c>
      <c r="C6" s="10">
        <v>300</v>
      </c>
      <c r="D6" s="10">
        <v>300</v>
      </c>
      <c r="E6" s="10">
        <v>300</v>
      </c>
      <c r="F6" s="10">
        <v>300</v>
      </c>
      <c r="G6" s="10">
        <v>300</v>
      </c>
      <c r="H6" s="10">
        <v>300</v>
      </c>
      <c r="I6" s="10">
        <v>300</v>
      </c>
      <c r="J6" s="10">
        <v>300</v>
      </c>
      <c r="K6" s="10">
        <v>300</v>
      </c>
      <c r="L6" s="10">
        <v>0</v>
      </c>
      <c r="M6" s="10">
        <v>0</v>
      </c>
      <c r="N6" s="10">
        <f>SUM(B6:M6)</f>
        <v>3000</v>
      </c>
    </row>
    <row r="7" spans="1:14" x14ac:dyDescent="0.25">
      <c r="A7" s="5" t="s">
        <v>41</v>
      </c>
      <c r="B7" s="10">
        <v>250</v>
      </c>
      <c r="C7" s="10">
        <v>250</v>
      </c>
      <c r="D7" s="10">
        <v>250</v>
      </c>
      <c r="E7" s="10">
        <v>250</v>
      </c>
      <c r="F7" s="10">
        <v>250</v>
      </c>
      <c r="G7" s="10">
        <v>250</v>
      </c>
      <c r="H7" s="10">
        <v>250</v>
      </c>
      <c r="I7" s="10">
        <v>250</v>
      </c>
      <c r="J7" s="10">
        <v>250</v>
      </c>
      <c r="K7" s="10">
        <v>250</v>
      </c>
      <c r="L7" s="10">
        <v>0</v>
      </c>
      <c r="M7" s="10">
        <v>0</v>
      </c>
      <c r="N7" s="10">
        <f>SUM(B7:M7)</f>
        <v>2500</v>
      </c>
    </row>
    <row r="8" ht="24" customHeight="1" spans="1:14" x14ac:dyDescent="0.25">
      <c r="A8" s="1" t="s">
        <v>42</v>
      </c>
      <c r="B8" s="11" t="str">
        <f>SUM(B2:B7)</f>
        <v>0</v>
      </c>
      <c r="C8" s="11" t="str">
        <f>SUM(C2:C7)</f>
        <v>0</v>
      </c>
      <c r="D8" s="11" t="str">
        <f>SUM(D2:D7)</f>
        <v>0</v>
      </c>
      <c r="E8" s="11" t="str">
        <f>SUM(E2:E7)</f>
        <v>0</v>
      </c>
      <c r="F8" s="11" t="str">
        <f>SUM(F2:F7)</f>
        <v>0</v>
      </c>
      <c r="G8" s="11" t="str">
        <f>SUM(G2:G7)</f>
        <v>0</v>
      </c>
      <c r="H8" s="11" t="str">
        <f>SUM(H2:H7)</f>
        <v>0</v>
      </c>
      <c r="I8" s="11" t="str">
        <f>SUM(I2:I7)</f>
        <v>0</v>
      </c>
      <c r="J8" s="11" t="str">
        <f>SUM(J2:J7)</f>
        <v>0</v>
      </c>
      <c r="K8" s="11" t="str">
        <f>SUM(K2:K7)</f>
        <v>0</v>
      </c>
      <c r="L8" s="11" t="str">
        <f>SUM(L2:L7)</f>
        <v>0</v>
      </c>
      <c r="M8" s="11" t="str">
        <f>SUM(M2:M7)</f>
        <v>0</v>
      </c>
      <c r="N8" s="11" t="str">
        <f>SUM(B8:M8)</f>
        <v>0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Microschool&amp;R&amp;8&amp;IOperating Expenses</oddHeader>
    <oddFooter>&amp;L&amp;8Built by SchoolStack Budget  •  budget.schoolstack.ai&amp;C&amp;8Page &amp;P of &amp;N&amp;R&amp;8&amp;D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</cols>
  <sheetData>
    <row r="1" ht="28" customHeight="1" spans="1:14" x14ac:dyDescent="0.25">
      <c r="A1" s="9" t="s">
        <v>1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</row>
    <row r="2" spans="1:14" x14ac:dyDescent="0.25">
      <c r="A2" s="12" t="s">
        <v>43</v>
      </c>
      <c r="B2" s="13">
        <f>Revenue!B7</f>
        <v>155900</v>
      </c>
      <c r="C2" s="13">
        <f>Revenue!C7</f>
        <v>7460</v>
      </c>
      <c r="D2" s="13">
        <f>Revenue!D7</f>
        <v>7460</v>
      </c>
      <c r="E2" s="13">
        <f>Revenue!E7</f>
        <v>7460</v>
      </c>
      <c r="F2" s="13">
        <f>Revenue!F7</f>
        <v>7460</v>
      </c>
      <c r="G2" s="13">
        <f>Revenue!G7</f>
        <v>7460</v>
      </c>
      <c r="H2" s="13">
        <f>Revenue!H7</f>
        <v>7460</v>
      </c>
      <c r="I2" s="13">
        <f>Revenue!I7</f>
        <v>7460</v>
      </c>
      <c r="J2" s="13">
        <f>Revenue!J7</f>
        <v>7460</v>
      </c>
      <c r="K2" s="13">
        <f>Revenue!K7</f>
        <v>7460</v>
      </c>
      <c r="L2" s="13">
        <f>Revenue!L7</f>
        <v>-1440</v>
      </c>
      <c r="M2" s="13" t="str">
        <f>Revenue!M7</f>
        <v>0</v>
      </c>
      <c r="N2" s="13">
        <f>SUM(B2:M2)</f>
        <v>221600</v>
      </c>
    </row>
    <row r="3" spans="1:14" x14ac:dyDescent="0.25">
      <c r="A3" s="5" t="s">
        <v>44</v>
      </c>
      <c r="B3" s="10">
        <f>Personnel!B5</f>
        <v>11893</v>
      </c>
      <c r="C3" s="10">
        <f>Personnel!C5</f>
        <v>11893</v>
      </c>
      <c r="D3" s="10">
        <f>Personnel!D5</f>
        <v>11893</v>
      </c>
      <c r="E3" s="10">
        <f>Personnel!E5</f>
        <v>11893</v>
      </c>
      <c r="F3" s="10">
        <f>Personnel!F5</f>
        <v>11893</v>
      </c>
      <c r="G3" s="10">
        <f>Personnel!G5</f>
        <v>11893</v>
      </c>
      <c r="H3" s="10">
        <f>Personnel!H5</f>
        <v>11893</v>
      </c>
      <c r="I3" s="10">
        <f>Personnel!I5</f>
        <v>11893</v>
      </c>
      <c r="J3" s="10">
        <f>Personnel!J5</f>
        <v>11893</v>
      </c>
      <c r="K3" s="10">
        <f>Personnel!K5</f>
        <v>11893</v>
      </c>
      <c r="L3" s="10" t="str">
        <f>Personnel!L5</f>
        <v>0</v>
      </c>
      <c r="M3" s="10" t="str">
        <f>Personnel!M5</f>
        <v>0</v>
      </c>
      <c r="N3" s="10">
        <f>SUM(B3:M3)</f>
        <v>118934</v>
      </c>
    </row>
    <row r="4" spans="1:14" x14ac:dyDescent="0.25">
      <c r="A4" s="5" t="s">
        <v>45</v>
      </c>
      <c r="B4" s="10">
        <f>'Operating Expenses'!B8</f>
        <v>4050</v>
      </c>
      <c r="C4" s="10">
        <f>'Operating Expenses'!C8</f>
        <v>4050</v>
      </c>
      <c r="D4" s="10">
        <f>'Operating Expenses'!D8</f>
        <v>4050</v>
      </c>
      <c r="E4" s="10">
        <f>'Operating Expenses'!E8</f>
        <v>4050</v>
      </c>
      <c r="F4" s="10">
        <f>'Operating Expenses'!F8</f>
        <v>4050</v>
      </c>
      <c r="G4" s="10">
        <f>'Operating Expenses'!G8</f>
        <v>4050</v>
      </c>
      <c r="H4" s="10">
        <f>'Operating Expenses'!H8</f>
        <v>4050</v>
      </c>
      <c r="I4" s="10">
        <f>'Operating Expenses'!I8</f>
        <v>4050</v>
      </c>
      <c r="J4" s="10">
        <f>'Operating Expenses'!J8</f>
        <v>4050</v>
      </c>
      <c r="K4" s="10">
        <f>'Operating Expenses'!K8</f>
        <v>4050</v>
      </c>
      <c r="L4" s="10" t="str">
        <f>'Operating Expenses'!L8</f>
        <v>0</v>
      </c>
      <c r="M4" s="10" t="str">
        <f>'Operating Expenses'!M8</f>
        <v>0</v>
      </c>
      <c r="N4" s="10">
        <f>SUM(B4:M4)</f>
        <v>40500</v>
      </c>
    </row>
    <row r="5" spans="1:14" x14ac:dyDescent="0.25">
      <c r="A5" s="5" t="s">
        <v>46</v>
      </c>
      <c r="B5" s="10">
        <v>580</v>
      </c>
      <c r="C5" s="10">
        <v>580</v>
      </c>
      <c r="D5" s="10">
        <v>580</v>
      </c>
      <c r="E5" s="10">
        <v>580</v>
      </c>
      <c r="F5" s="10">
        <v>580</v>
      </c>
      <c r="G5" s="10">
        <v>580</v>
      </c>
      <c r="H5" s="10">
        <v>580</v>
      </c>
      <c r="I5" s="10">
        <v>580</v>
      </c>
      <c r="J5" s="10">
        <v>580</v>
      </c>
      <c r="K5" s="10">
        <v>580</v>
      </c>
      <c r="L5" s="10">
        <v>580</v>
      </c>
      <c r="M5" s="10">
        <v>580</v>
      </c>
      <c r="N5" s="10">
        <f>SUM(B5:M5)</f>
        <v>6960</v>
      </c>
    </row>
    <row r="6" ht="24" customHeight="1" spans="1:14" x14ac:dyDescent="0.25">
      <c r="A6" s="1" t="s">
        <v>47</v>
      </c>
      <c r="B6" s="14" t="str">
        <f>SUM(B3:B5)</f>
        <v>0</v>
      </c>
      <c r="C6" s="14" t="str">
        <f>SUM(C3:C5)</f>
        <v>0</v>
      </c>
      <c r="D6" s="14" t="str">
        <f>SUM(D3:D5)</f>
        <v>0</v>
      </c>
      <c r="E6" s="14" t="str">
        <f>SUM(E3:E5)</f>
        <v>0</v>
      </c>
      <c r="F6" s="14" t="str">
        <f>SUM(F3:F5)</f>
        <v>0</v>
      </c>
      <c r="G6" s="14" t="str">
        <f>SUM(G3:G5)</f>
        <v>0</v>
      </c>
      <c r="H6" s="14" t="str">
        <f>SUM(H3:H5)</f>
        <v>0</v>
      </c>
      <c r="I6" s="14" t="str">
        <f>SUM(I3:I5)</f>
        <v>0</v>
      </c>
      <c r="J6" s="14" t="str">
        <f>SUM(J3:J5)</f>
        <v>0</v>
      </c>
      <c r="K6" s="14" t="str">
        <f>SUM(K3:K5)</f>
        <v>0</v>
      </c>
      <c r="L6" s="14" t="str">
        <f>SUM(L3:L5)</f>
        <v>0</v>
      </c>
      <c r="M6" s="14" t="str">
        <f>SUM(M3:M5)</f>
        <v>0</v>
      </c>
      <c r="N6" s="14">
        <f>SUM(B6:M6)</f>
        <v>166394</v>
      </c>
    </row>
    <row r="7" spans="1:14" x14ac:dyDescent="0.25">
      <c r="A7" s="12" t="s">
        <v>48</v>
      </c>
      <c r="B7" s="15" t="str">
        <f>B2-B6</f>
        <v>0</v>
      </c>
      <c r="C7" s="15" t="str">
        <f>C2-C6</f>
        <v>0</v>
      </c>
      <c r="D7" s="15" t="str">
        <f>D2-D6</f>
        <v>0</v>
      </c>
      <c r="E7" s="15" t="str">
        <f>E2-E6</f>
        <v>0</v>
      </c>
      <c r="F7" s="15" t="str">
        <f>F2-F6</f>
        <v>0</v>
      </c>
      <c r="G7" s="15" t="str">
        <f>G2-G6</f>
        <v>0</v>
      </c>
      <c r="H7" s="15" t="str">
        <f>H2-H6</f>
        <v>0</v>
      </c>
      <c r="I7" s="15" t="str">
        <f>I2-I6</f>
        <v>0</v>
      </c>
      <c r="J7" s="15" t="str">
        <f>J2-J6</f>
        <v>0</v>
      </c>
      <c r="K7" s="15" t="str">
        <f>K2-K6</f>
        <v>0</v>
      </c>
      <c r="L7" s="15" t="str">
        <f>L2-L6</f>
        <v>0</v>
      </c>
      <c r="M7" s="15" t="str">
        <f>M2-M6</f>
        <v>0</v>
      </c>
      <c r="N7" s="15">
        <f>N2-N6</f>
        <v>18273</v>
      </c>
    </row>
  </sheetData>
  <pageMargins left="0.7" right="0.7" top="0.75" bottom="0.75" header="0.3" footer="0.3"/>
  <pageSetup paperSize="1" orientation="portrait" horizontalDpi="4294967295" verticalDpi="4294967295" scale="100" fitToWidth="1" fitToHeight="0"/>
  <headerFooter>
    <oddHeader>&amp;L&amp;10&amp;BBright Horizons Microschool&amp;R&amp;8&amp;IP&amp;L Summary</oddHeader>
    <oddFooter>&amp;L&amp;8Built by SchoolStack Budget  •  budget.schoolstack.ai&amp;C&amp;8Page &amp;P of &amp;N&amp;R&amp;8&amp;D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A1:H11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 outlineLevelRow="0" outlineLevelCol="0" x14ac:dyDescent="55"/>
  <cols>
    <col min="1" max="1" width="3" customWidth="1"/>
    <col min="2" max="2" width="30" customWidth="1"/>
    <col min="3" max="3" width="22" customWidth="1"/>
    <col min="4" max="4" width="14" customWidth="1"/>
    <col min="5" max="5" width="30" customWidth="1"/>
    <col min="6" max="6" width="18" customWidth="1"/>
    <col min="7" max="7" width="38" customWidth="1"/>
    <col min="8" max="8" width="50" customWidth="1"/>
  </cols>
  <sheetData>
    <row r="1" ht="24" customHeight="1" spans="2:8" x14ac:dyDescent="0.25">
      <c r="B1" s="16" t="s">
        <v>49</v>
      </c>
      <c r="C1" s="16"/>
      <c r="D1" s="16"/>
      <c r="E1" s="16"/>
      <c r="F1" s="16"/>
      <c r="G1" s="16"/>
      <c r="H1" s="16"/>
    </row>
    <row r="2" ht="44" customHeight="1" spans="2:8" x14ac:dyDescent="0.25">
      <c r="B2" s="17" t="s">
        <v>50</v>
      </c>
      <c r="C2" s="17"/>
      <c r="D2" s="17"/>
      <c r="E2" s="17"/>
      <c r="F2" s="17"/>
      <c r="G2" s="17"/>
      <c r="H2" s="17"/>
    </row>
    <row r="4" ht="28" customHeight="1" spans="2:8" x14ac:dyDescent="0.25">
      <c r="B4" s="18" t="s">
        <v>51</v>
      </c>
      <c r="C4" s="18" t="s">
        <v>52</v>
      </c>
      <c r="D4" s="18" t="s">
        <v>53</v>
      </c>
      <c r="E4" s="18" t="s">
        <v>54</v>
      </c>
      <c r="F4" s="18" t="s">
        <v>55</v>
      </c>
      <c r="G4" s="18" t="s">
        <v>56</v>
      </c>
      <c r="H4" s="18" t="s">
        <v>57</v>
      </c>
    </row>
    <row r="5" ht="64" customHeight="1" spans="1:8" x14ac:dyDescent="0.25">
      <c r="A5" s="19"/>
      <c r="B5" s="20" t="s">
        <v>58</v>
      </c>
      <c r="C5" s="21" t="s">
        <v>59</v>
      </c>
      <c r="D5" s="22" t="s">
        <v>60</v>
      </c>
      <c r="E5" s="21" t="s">
        <v>61</v>
      </c>
      <c r="F5" s="23" t="s">
        <v>62</v>
      </c>
      <c r="G5" s="21" t="s">
        <v>63</v>
      </c>
      <c r="H5" s="21" t="s">
        <v>64</v>
      </c>
    </row>
    <row r="6" ht="32" customHeight="1" spans="1:8" x14ac:dyDescent="0.25">
      <c r="A6" s="19"/>
      <c r="B6" s="20" t="s">
        <v>65</v>
      </c>
      <c r="C6" s="21" t="s">
        <v>66</v>
      </c>
      <c r="D6" s="22" t="s">
        <v>60</v>
      </c>
      <c r="E6" s="21" t="s">
        <v>67</v>
      </c>
      <c r="F6" s="23" t="s">
        <v>68</v>
      </c>
      <c r="G6" s="21" t="s">
        <v>69</v>
      </c>
      <c r="H6" s="21" t="s">
        <v>70</v>
      </c>
    </row>
    <row r="7" ht="64" customHeight="1" spans="1:8" x14ac:dyDescent="0.25">
      <c r="A7" s="24"/>
      <c r="B7" s="20" t="s">
        <v>71</v>
      </c>
      <c r="C7" s="21" t="s">
        <v>72</v>
      </c>
      <c r="D7" s="25" t="s">
        <v>73</v>
      </c>
      <c r="E7" s="21" t="s">
        <v>74</v>
      </c>
      <c r="F7" s="23" t="s">
        <v>75</v>
      </c>
      <c r="G7" s="21" t="s">
        <v>76</v>
      </c>
      <c r="H7" s="21" t="s">
        <v>77</v>
      </c>
    </row>
    <row r="8" ht="32" customHeight="1" spans="1:8" x14ac:dyDescent="0.25">
      <c r="A8" s="26"/>
      <c r="B8" s="20" t="s">
        <v>78</v>
      </c>
      <c r="C8" s="21" t="s">
        <v>66</v>
      </c>
      <c r="D8" s="27" t="s">
        <v>79</v>
      </c>
      <c r="E8" s="21" t="s">
        <v>74</v>
      </c>
      <c r="F8" s="23" t="s">
        <v>80</v>
      </c>
      <c r="G8" s="21" t="s">
        <v>81</v>
      </c>
      <c r="H8" s="21" t="s">
        <v>82</v>
      </c>
    </row>
    <row r="9" ht="32" customHeight="1" spans="1:8" x14ac:dyDescent="0.25">
      <c r="A9" s="26"/>
      <c r="B9" s="20" t="s">
        <v>83</v>
      </c>
      <c r="C9" s="21" t="s">
        <v>72</v>
      </c>
      <c r="D9" s="27" t="s">
        <v>79</v>
      </c>
      <c r="E9" s="21" t="s">
        <v>74</v>
      </c>
      <c r="F9" s="23" t="s">
        <v>84</v>
      </c>
      <c r="G9" s="21" t="s">
        <v>85</v>
      </c>
      <c r="H9" s="21" t="s">
        <v>86</v>
      </c>
    </row>
    <row r="11" spans="2:8" x14ac:dyDescent="0.25">
      <c r="B11" s="28" t="s">
        <v>87</v>
      </c>
      <c r="C11" s="28"/>
      <c r="D11" s="28"/>
      <c r="E11" s="28"/>
      <c r="F11" s="28"/>
      <c r="G11" s="28"/>
      <c r="H11" s="28"/>
    </row>
  </sheetData>
  <mergeCells count="3">
    <mergeCell ref="B1:H1"/>
    <mergeCell ref="B2:H2"/>
    <mergeCell ref="B11:H11"/>
  </mergeCells>
  <pageMargins left="0.5" right="0.5" top="0.75" bottom="0.75" header="0.3" footer="0.3"/>
  <pageSetup paperSize="1" orientation="landscape" fitToWidth="1" fitToHeight="0"/>
  <headerFooter>
    <oddHeader>&amp;L&amp;10&amp;BBright Horizons Microschool&amp;R&amp;8&amp;IDecision History</oddHeader>
    <oddFooter>&amp;L&amp;8Built by SchoolStack Budget  •  budget.schoolstack.ai&amp;C&amp;8Page &amp;P of &amp;N&amp;R&amp;8&amp;D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Revenue</vt:lpstr>
      <vt:lpstr>Personnel</vt:lpstr>
      <vt:lpstr>Operating Expenses</vt:lpstr>
      <vt:lpstr>P&amp;L Summary</vt:lpstr>
      <vt:lpstr>Decision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2026-05-01T17:42:48Z</dcterms:created>
  <dcterms:modified xsi:type="dcterms:W3CDTF">2026-05-01T17:42:48Z</dcterms:modified>
</cp:coreProperties>
</file>