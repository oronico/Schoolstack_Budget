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<sst xmlns="http://schemas.openxmlformats.org/spreadsheetml/2006/main" count="271" uniqueCount="214">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</sst>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162</v>
      </c>
      <c r="D4" s="42" t="s">
        <v>163</v>
      </c>
      <c r="F4" s="43" t="s">
        <v>164</v>
      </c>
    </row>
    <row r="6" ht="24" customHeight="1" spans="2:8" x14ac:dyDescent="0.25">
      <c r="B6" s="44" t="s">
        <v>165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166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167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168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169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170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171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172</v>
      </c>
    </row>
    <row r="16" spans="2:8" x14ac:dyDescent="0.25">
      <c r="B16" s="28" t="s">
        <v>173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174</v>
      </c>
    </row>
    <row r="17" spans="2:8" x14ac:dyDescent="0.25">
      <c r="B17" s="28" t="s">
        <v>175</v>
      </c>
      <c r="C17" s="51">
        <v>0.1370854271356784</v>
      </c>
      <c r="D17" s="51">
        <v>0.10750183643486777</v>
      </c>
      <c r="E17" s="51">
        <v>0.08841671693210401</v>
      </c>
      <c r="F17" s="51">
        <v>0.07703448305026303</v>
      </c>
      <c r="G17" s="51">
        <v>0.0715395923420222</v>
      </c>
      <c r="H17" s="50" t="s">
        <v>176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177</v>
      </c>
    </row>
    <row r="19" spans="2:8" x14ac:dyDescent="0.25">
      <c r="B19" s="28" t="s">
        <v>178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179</v>
      </c>
    </row>
    <row r="20" spans="2:8" x14ac:dyDescent="0.25">
      <c r="B20" s="28" t="s">
        <v>180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181</v>
      </c>
    </row>
    <row r="21" spans="2:8" x14ac:dyDescent="0.25">
      <c r="B21" s="28" t="s">
        <v>182</v>
      </c>
      <c r="C21" s="55" t="str">
        <f>IF('5-Year P&amp;L'!C24&gt;=0,"✓ Break-even","")</f>
        <v>0</v>
      </c>
      <c r="D21" s="55" t="str">
        <f>IF(AND('5-Year P&amp;L'!D24&gt;=0,'5-Year P&amp;L'!C24&lt;0),"✓ Break-even","")</f>
        <v>0</v>
      </c>
      <c r="E21" s="55" t="str">
        <f>IF(AND('5-Year P&amp;L'!E24&gt;=0,'5-Year P&amp;L'!D24&lt;0),"✓ Break-even","")</f>
        <v>0</v>
      </c>
      <c r="F21" s="55" t="str">
        <f>IF(AND('5-Year P&amp;L'!F24&gt;=0,'5-Year P&amp;L'!E24&lt;0),"✓ Break-even","")</f>
        <v>0</v>
      </c>
      <c r="G21" s="55" t="str">
        <f>IF(AND('5-Year P&amp;L'!G24&gt;=0,'5-Year P&amp;L'!F24&lt;0),"✓ Break-even","")</f>
        <v>0</v>
      </c>
      <c r="H21" s="50" t="s">
        <v>96</v>
      </c>
    </row>
    <row r="22" spans="2:8" x14ac:dyDescent="0.25">
      <c r="B22" s="28" t="s">
        <v>183</v>
      </c>
      <c r="C22" s="56">
        <v>-1</v>
      </c>
      <c r="D22" s="56">
        <v>-1</v>
      </c>
      <c r="E22" s="56">
        <v>-1</v>
      </c>
      <c r="F22" s="56">
        <v>0</v>
      </c>
      <c r="G22" s="56">
        <v>-1</v>
      </c>
      <c r="H22" s="50" t="s">
        <v>184</v>
      </c>
    </row>
    <row r="24" ht="24" customHeight="1" spans="2:8" x14ac:dyDescent="0.25">
      <c r="B24" s="44" t="s">
        <v>185</v>
      </c>
      <c r="C24" s="44" t="s">
        <v>186</v>
      </c>
      <c r="D24" s="44" t="s">
        <v>187</v>
      </c>
      <c r="E24" s="44"/>
      <c r="F24" s="44" t="s">
        <v>188</v>
      </c>
      <c r="G24" s="44"/>
      <c r="H24" s="44"/>
    </row>
    <row r="25" ht="45" customHeight="1" spans="2:8" x14ac:dyDescent="0.25">
      <c r="B25" s="57" t="s">
        <v>189</v>
      </c>
      <c r="C25" s="58" t="s">
        <v>190</v>
      </c>
      <c r="D25" s="59" t="s">
        <v>191</v>
      </c>
      <c r="E25" s="59"/>
      <c r="F25" s="60" t="s">
        <v>192</v>
      </c>
      <c r="G25" s="60"/>
      <c r="H25" s="60"/>
    </row>
    <row r="26" ht="45" customHeight="1" spans="2:8" x14ac:dyDescent="0.25">
      <c r="B26" s="57" t="s">
        <v>193</v>
      </c>
      <c r="C26" s="58" t="s">
        <v>190</v>
      </c>
      <c r="D26" s="59" t="s">
        <v>194</v>
      </c>
      <c r="E26" s="59"/>
      <c r="F26" s="60" t="s">
        <v>195</v>
      </c>
      <c r="G26" s="60"/>
      <c r="H26" s="60"/>
    </row>
    <row r="27" ht="45" customHeight="1" spans="2:8" x14ac:dyDescent="0.25">
      <c r="B27" s="57" t="s">
        <v>196</v>
      </c>
      <c r="C27" s="58" t="s">
        <v>190</v>
      </c>
      <c r="D27" s="59" t="s">
        <v>197</v>
      </c>
      <c r="E27" s="59"/>
      <c r="F27" s="60" t="s">
        <v>198</v>
      </c>
      <c r="G27" s="60"/>
      <c r="H27" s="60"/>
    </row>
    <row r="28" ht="45" customHeight="1" spans="2:8" x14ac:dyDescent="0.25">
      <c r="B28" s="57" t="s">
        <v>199</v>
      </c>
      <c r="C28" s="61" t="s">
        <v>200</v>
      </c>
      <c r="D28" s="59" t="s">
        <v>201</v>
      </c>
      <c r="E28" s="59"/>
      <c r="F28" s="60" t="s">
        <v>202</v>
      </c>
      <c r="G28" s="60"/>
      <c r="H28" s="60"/>
    </row>
    <row r="29" ht="45" customHeight="1" spans="2:8" x14ac:dyDescent="0.25">
      <c r="B29" s="57" t="s">
        <v>203</v>
      </c>
      <c r="C29" s="58" t="s">
        <v>190</v>
      </c>
      <c r="D29" s="59" t="s">
        <v>204</v>
      </c>
      <c r="E29" s="59"/>
      <c r="F29" s="60" t="s">
        <v>205</v>
      </c>
      <c r="G29" s="60"/>
      <c r="H29" s="60"/>
    </row>
    <row r="30" ht="45" customHeight="1" spans="2:8" x14ac:dyDescent="0.25">
      <c r="B30" s="57" t="s">
        <v>206</v>
      </c>
      <c r="C30" s="61" t="s">
        <v>200</v>
      </c>
      <c r="D30" s="59" t="s">
        <v>207</v>
      </c>
      <c r="E30" s="59"/>
      <c r="F30" s="60" t="s">
        <v>208</v>
      </c>
      <c r="G30" s="60"/>
      <c r="H30" s="60"/>
    </row>
    <row r="31" ht="45" customHeight="1" spans="2:8" x14ac:dyDescent="0.25">
      <c r="B31" s="57" t="s">
        <v>209</v>
      </c>
      <c r="C31" s="58" t="s">
        <v>190</v>
      </c>
      <c r="D31" s="59" t="s">
        <v>210</v>
      </c>
      <c r="E31" s="59"/>
      <c r="F31" s="60" t="s">
        <v>211</v>
      </c>
      <c r="G31" s="60"/>
      <c r="H31" s="60"/>
    </row>
    <row r="33" spans="2:6" x14ac:dyDescent="0.25">
      <c r="B33" s="57" t="s">
        <v>39</v>
      </c>
      <c r="C33" s="28" t="s">
        <v>212</v>
      </c>
      <c r="D33" s="28"/>
      <c r="E33" s="28"/>
      <c r="F33" s="28"/>
    </row>
    <row r="35" spans="2:8" x14ac:dyDescent="0.25">
      <c r="B35" s="62" t="s">
        <v>213</v>
      </c>
      <c r="C35" s="62"/>
      <c r="D35" s="62"/>
      <c r="E35" s="62"/>
      <c r="F35" s="62"/>
      <c r="G35" s="62"/>
      <c r="H35" s="62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2026-03-26T12:59:15Z</dcterms:created>
  <dcterms:modified xsi:type="dcterms:W3CDTF">2026-03-26T12:59:15Z</dcterms:modified>
</cp:coreProperties>
</file>