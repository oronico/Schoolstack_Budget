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<sst xmlns="http://schemas.openxmlformats.org/spreadsheetml/2006/main" count="241" uniqueCount="192">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</sst>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18" fillId="0" borderId="4" xfId="0" applyFont="1" applyBorder="1"/>
    <xf numFmtId="0" fontId="4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127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128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129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130</v>
      </c>
      <c r="C10" s="33">
        <f>IF(C8&gt;0,C4/C8,IF(C4&gt;0,99.9,0))</f>
        <v>-1.70774068</v>
      </c>
      <c r="D10" s="33">
        <f>IF(D8&gt;0,D4/D8,IF(D4&gt;0,99.9,0))</f>
        <v>0.3525305</v>
      </c>
      <c r="E10" s="34">
        <f>IF(E8&gt;0,E4/E8,IF(E4&gt;0,99.9,0))</f>
        <v>1.26333434</v>
      </c>
      <c r="F10" s="34">
        <f>IF(F8&gt;0,F4/F8,IF(F4&gt;0,99.9,0))</f>
        <v>1.87167088</v>
      </c>
      <c r="G10" s="33">
        <f>IF(G8&gt;0,G4/G8,IF(G4&gt;0,99.9,0))</f>
        <v>0.38568409</v>
      </c>
    </row>
    <row r="12" spans="2:7" x14ac:dyDescent="0.25">
      <c r="B12" s="25" t="s">
        <v>131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132</v>
      </c>
      <c r="C14" s="35">
        <f>Assumptions!D57+C12</f>
        <v>-84931.05983267</v>
      </c>
      <c r="D14" s="35">
        <f>C14+D12</f>
        <v>-123173.45299868</v>
      </c>
      <c r="E14" s="35">
        <f>D14+E12</f>
        <v>-107619.77016469</v>
      </c>
      <c r="F14" s="35">
        <f>E14+F12</f>
        <v>-56135.05862743</v>
      </c>
      <c r="G14" s="35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135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136</v>
      </c>
      <c r="C6" s="36">
        <f>C4+C5</f>
        <v>14</v>
      </c>
      <c r="D6" s="36">
        <f>D4+D5</f>
        <v>16</v>
      </c>
      <c r="E6" s="36">
        <f>E4+E5</f>
        <v>19</v>
      </c>
      <c r="F6" s="36">
        <f>F4+F5</f>
        <v>21</v>
      </c>
      <c r="G6" s="36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250000</v>
      </c>
    </row>
    <row r="4" spans="2:3" x14ac:dyDescent="0.25">
      <c r="B4" s="25" t="s">
        <v>139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140</v>
      </c>
      <c r="C6" s="37">
        <f>IF(Assumptions!D59&gt;0,PMT(Assumptions!D60/12,Assumptions!D61*12,-Assumptions!D59)*12,0)</f>
        <v>34064.39316601</v>
      </c>
    </row>
    <row r="8" spans="2:3" x14ac:dyDescent="0.25">
      <c r="B8" s="25" t="s">
        <v>141</v>
      </c>
      <c r="C8" s="33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143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144</v>
      </c>
      <c r="C9" s="27">
        <f>Drivers!G10</f>
        <v>2145936.2104</v>
      </c>
    </row>
    <row r="10" spans="2:3" x14ac:dyDescent="0.25">
      <c r="B10" s="25" t="s">
        <v>145</v>
      </c>
      <c r="C10" s="38">
        <f>'5-Year P&amp;L'!G16</f>
        <v>22780.19693646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9" t="s">
        <v>148</v>
      </c>
      <c r="C5" s="40" t="s">
        <v>96</v>
      </c>
      <c r="D5" s="40" t="s">
        <v>97</v>
      </c>
      <c r="E5" s="40" t="s">
        <v>98</v>
      </c>
      <c r="F5" s="40" t="s">
        <v>99</v>
      </c>
      <c r="G5" s="40" t="s">
        <v>100</v>
      </c>
    </row>
    <row r="6" spans="2:7" x14ac:dyDescent="0.25">
      <c r="B6" s="25" t="s">
        <v>101</v>
      </c>
      <c r="C6" s="26">
        <v>100</v>
      </c>
      <c r="D6" s="26">
        <v>130</v>
      </c>
      <c r="E6" s="26">
        <v>160</v>
      </c>
      <c r="F6" s="26">
        <v>185</v>
      </c>
      <c r="G6" s="26">
        <v>200</v>
      </c>
    </row>
    <row r="7" spans="2:7" x14ac:dyDescent="0.25">
      <c r="B7" s="25" t="s">
        <v>149</v>
      </c>
      <c r="C7" s="27">
        <v>995000</v>
      </c>
      <c r="D7" s="27">
        <v>1306880</v>
      </c>
      <c r="E7" s="27">
        <v>1636644.8</v>
      </c>
      <c r="F7" s="27">
        <v>1934821.354</v>
      </c>
      <c r="G7" s="27">
        <v>2145936.2104</v>
      </c>
    </row>
    <row r="8" spans="2:7" x14ac:dyDescent="0.25">
      <c r="B8" s="25" t="s">
        <v>150</v>
      </c>
      <c r="C8" s="27">
        <v>824466.6666666666</v>
      </c>
      <c r="D8" s="27">
        <v>951514</v>
      </c>
      <c r="E8" s="27">
        <v>1138133.52</v>
      </c>
      <c r="F8" s="27">
        <v>1280821.7409333333</v>
      </c>
      <c r="G8" s="27">
        <v>1431046.934954667</v>
      </c>
    </row>
    <row r="9" spans="2:7" x14ac:dyDescent="0.25">
      <c r="B9" s="25" t="s">
        <v>151</v>
      </c>
      <c r="C9" s="27">
        <v>271400</v>
      </c>
      <c r="D9" s="27">
        <v>334544</v>
      </c>
      <c r="E9" s="27">
        <v>423893.20399999997</v>
      </c>
      <c r="F9" s="27">
        <v>543450.5083634</v>
      </c>
      <c r="G9" s="27">
        <v>692109.0785088772</v>
      </c>
    </row>
    <row r="10" spans="2:7" x14ac:dyDescent="0.25">
      <c r="B10" s="25" t="s">
        <v>152</v>
      </c>
      <c r="C10" s="27">
        <v>59064.39316600799</v>
      </c>
      <c r="D10" s="27">
        <v>59064.39316600799</v>
      </c>
      <c r="E10" s="27">
        <v>59064.39316600799</v>
      </c>
      <c r="F10" s="27">
        <v>59064.39316600799</v>
      </c>
      <c r="G10" s="27">
        <v>59064.39316600799</v>
      </c>
    </row>
    <row r="11" spans="2:7" x14ac:dyDescent="0.25">
      <c r="B11" s="28" t="s">
        <v>153</v>
      </c>
      <c r="C11" s="30">
        <v>-159931.0598326745</v>
      </c>
      <c r="D11" s="30">
        <v>-38242.39316600799</v>
      </c>
      <c r="E11" s="31">
        <v>15553.682833992127</v>
      </c>
      <c r="F11" s="31">
        <v>51484.71153725888</v>
      </c>
      <c r="G11" s="30">
        <v>-36284.19622955197</v>
      </c>
    </row>
    <row r="12" spans="2:7" x14ac:dyDescent="0.25">
      <c r="B12" s="28" t="s">
        <v>154</v>
      </c>
      <c r="C12" s="30">
        <v>-84931.05983267451</v>
      </c>
      <c r="D12" s="30">
        <v>-123173.45299868251</v>
      </c>
      <c r="E12" s="30">
        <v>-107619.77016469039</v>
      </c>
      <c r="F12" s="30">
        <v>-56135.05862743151</v>
      </c>
      <c r="G12" s="30">
        <v>-92419.25485698348</v>
      </c>
    </row>
    <row r="13" spans="2:7" x14ac:dyDescent="0.25">
      <c r="B13" s="28" t="s">
        <v>155</v>
      </c>
      <c r="C13" s="41">
        <v>-0.1607347335001754</v>
      </c>
      <c r="D13" s="41">
        <v>-0.029262360098867523</v>
      </c>
      <c r="E13" s="42">
        <v>0.009503395504016587</v>
      </c>
      <c r="F13" s="42">
        <v>0.026609542752265323</v>
      </c>
      <c r="G13" s="41">
        <v>-0.016908329359328268</v>
      </c>
    </row>
    <row r="14" spans="2:7" x14ac:dyDescent="0.25">
      <c r="B14" s="28" t="s">
        <v>156</v>
      </c>
      <c r="C14" s="27">
        <v>9950</v>
      </c>
      <c r="D14" s="27">
        <v>10052.923076923076</v>
      </c>
      <c r="E14" s="27">
        <v>10229.03</v>
      </c>
      <c r="F14" s="27">
        <v>10458.493805405406</v>
      </c>
      <c r="G14" s="27">
        <v>10729.681052000002</v>
      </c>
    </row>
    <row r="15" spans="2:7" x14ac:dyDescent="0.25">
      <c r="B15" s="28" t="s">
        <v>157</v>
      </c>
      <c r="C15" s="41">
        <v>0.8286097152428811</v>
      </c>
      <c r="D15" s="41">
        <v>0.7280806194906954</v>
      </c>
      <c r="E15" s="41">
        <v>0.6954065537005952</v>
      </c>
      <c r="F15" s="41">
        <v>0.6619844970624266</v>
      </c>
      <c r="G15" s="41">
        <v>0.6668636877551553</v>
      </c>
    </row>
    <row r="16" spans="2:7" x14ac:dyDescent="0.25">
      <c r="B16" s="28" t="s">
        <v>158</v>
      </c>
      <c r="C16" s="43">
        <v>0.08182914572864322</v>
      </c>
      <c r="D16" s="43">
        <v>0.0767960333006856</v>
      </c>
      <c r="E16" s="43">
        <v>0.07770040341068507</v>
      </c>
      <c r="F16" s="43">
        <v>0.0842636722878654</v>
      </c>
      <c r="G16" s="43">
        <v>0.09675624212238845</v>
      </c>
    </row>
    <row r="17" spans="2:7" x14ac:dyDescent="0.25">
      <c r="B17" s="28" t="s">
        <v>124</v>
      </c>
      <c r="C17" s="41">
        <v>-0.10137353433835843</v>
      </c>
      <c r="D17" s="42">
        <v>0.015932602840352597</v>
      </c>
      <c r="E17" s="42">
        <v>0.04559210159712117</v>
      </c>
      <c r="F17" s="42">
        <v>0.057136595311355426</v>
      </c>
      <c r="G17" s="42">
        <v>0.010615505170216507</v>
      </c>
    </row>
    <row r="18" spans="2:7" x14ac:dyDescent="0.25">
      <c r="B18" s="28" t="s">
        <v>159</v>
      </c>
      <c r="C18" s="44">
        <v>-1.7077406752181137</v>
      </c>
      <c r="D18" s="44">
        <v>0.35253049906865414</v>
      </c>
      <c r="E18" s="45">
        <v>1.2633343373269994</v>
      </c>
      <c r="F18" s="45">
        <v>1.871670879484945</v>
      </c>
      <c r="G18" s="44">
        <v>0.38568409350163607</v>
      </c>
    </row>
    <row r="19" spans="2:7" x14ac:dyDescent="0.25">
      <c r="B19" s="28" t="s">
        <v>160</v>
      </c>
      <c r="C19" s="46" t="s">
        <v>98</v>
      </c>
      <c r="D19" s="46"/>
      <c r="E19" s="46"/>
      <c r="F19" s="46"/>
      <c r="G19" s="46"/>
    </row>
    <row r="20" spans="2:7" x14ac:dyDescent="0.25">
      <c r="B20" s="28" t="s">
        <v>161</v>
      </c>
      <c r="C20" s="47" t="s">
        <v>162</v>
      </c>
      <c r="D20" s="47"/>
      <c r="E20" s="47"/>
      <c r="F20" s="47"/>
      <c r="G20" s="47"/>
    </row>
    <row r="22" ht="24" customHeight="1" spans="2:7" x14ac:dyDescent="0.25">
      <c r="B22" s="39" t="s">
        <v>163</v>
      </c>
      <c r="C22" s="39" t="s">
        <v>164</v>
      </c>
      <c r="D22" s="39" t="s">
        <v>165</v>
      </c>
      <c r="E22" s="39"/>
      <c r="F22" s="39" t="s">
        <v>166</v>
      </c>
      <c r="G22" s="39"/>
    </row>
    <row r="23" ht="45" customHeight="1" spans="2:7" x14ac:dyDescent="0.25">
      <c r="B23" s="48" t="s">
        <v>167</v>
      </c>
      <c r="C23" s="49" t="s">
        <v>168</v>
      </c>
      <c r="D23" s="50" t="s">
        <v>169</v>
      </c>
      <c r="E23" s="50"/>
      <c r="F23" s="51" t="s">
        <v>170</v>
      </c>
      <c r="G23" s="51"/>
    </row>
    <row r="24" ht="45" customHeight="1" spans="2:7" x14ac:dyDescent="0.25">
      <c r="B24" s="48" t="s">
        <v>171</v>
      </c>
      <c r="C24" s="49" t="s">
        <v>168</v>
      </c>
      <c r="D24" s="50" t="s">
        <v>172</v>
      </c>
      <c r="E24" s="50"/>
      <c r="F24" s="51" t="s">
        <v>173</v>
      </c>
      <c r="G24" s="51"/>
    </row>
    <row r="25" ht="45" customHeight="1" spans="2:7" x14ac:dyDescent="0.25">
      <c r="B25" s="48" t="s">
        <v>174</v>
      </c>
      <c r="C25" s="49" t="s">
        <v>168</v>
      </c>
      <c r="D25" s="50" t="s">
        <v>175</v>
      </c>
      <c r="E25" s="50"/>
      <c r="F25" s="51" t="s">
        <v>176</v>
      </c>
      <c r="G25" s="51"/>
    </row>
    <row r="26" ht="45" customHeight="1" spans="2:7" x14ac:dyDescent="0.25">
      <c r="B26" s="48" t="s">
        <v>177</v>
      </c>
      <c r="C26" s="52" t="s">
        <v>178</v>
      </c>
      <c r="D26" s="50" t="s">
        <v>179</v>
      </c>
      <c r="E26" s="50"/>
      <c r="F26" s="51" t="s">
        <v>180</v>
      </c>
      <c r="G26" s="51"/>
    </row>
    <row r="27" ht="45" customHeight="1" spans="2:7" x14ac:dyDescent="0.25">
      <c r="B27" s="48" t="s">
        <v>181</v>
      </c>
      <c r="C27" s="49" t="s">
        <v>168</v>
      </c>
      <c r="D27" s="50" t="s">
        <v>182</v>
      </c>
      <c r="E27" s="50"/>
      <c r="F27" s="51" t="s">
        <v>183</v>
      </c>
      <c r="G27" s="51"/>
    </row>
    <row r="28" ht="45" customHeight="1" spans="2:7" x14ac:dyDescent="0.25">
      <c r="B28" s="48" t="s">
        <v>184</v>
      </c>
      <c r="C28" s="52" t="s">
        <v>178</v>
      </c>
      <c r="D28" s="50" t="s">
        <v>185</v>
      </c>
      <c r="E28" s="50"/>
      <c r="F28" s="51" t="s">
        <v>186</v>
      </c>
      <c r="G28" s="51"/>
    </row>
    <row r="29" ht="45" customHeight="1" spans="2:7" x14ac:dyDescent="0.25">
      <c r="B29" s="48" t="s">
        <v>187</v>
      </c>
      <c r="C29" s="49" t="s">
        <v>168</v>
      </c>
      <c r="D29" s="50" t="s">
        <v>188</v>
      </c>
      <c r="E29" s="50"/>
      <c r="F29" s="51" t="s">
        <v>189</v>
      </c>
      <c r="G29" s="51"/>
    </row>
    <row r="31" spans="2:5" x14ac:dyDescent="0.25">
      <c r="B31" s="48" t="s">
        <v>39</v>
      </c>
      <c r="C31" s="28" t="s">
        <v>190</v>
      </c>
      <c r="D31" s="28"/>
      <c r="E31" s="28"/>
    </row>
    <row r="33" spans="2:7" x14ac:dyDescent="0.25">
      <c r="B33" s="53" t="s">
        <v>191</v>
      </c>
      <c r="C33" s="53"/>
      <c r="D33" s="53"/>
      <c r="E33" s="53"/>
      <c r="F33" s="53"/>
      <c r="G33" s="53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