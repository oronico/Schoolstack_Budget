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activeTab="1"/>
  </bookViews>
  <sheets>
    <sheet name="Cover" sheetId="8" r:id="rId11"/>
    <sheet sheetId="1" name="Assumptions" state="visible" r:id="rId4"/>
    <sheet sheetId="2" name="Drivers" state="visible" r:id="rId5"/>
    <sheet sheetId="3" name="5-Year P&amp;L" state="visible" r:id="rId6"/>
    <sheet sheetId="4" name="Cash Flow &amp; DSCR" state="visible" r:id="rId7"/>
    <sheet sheetId="5" name="Staffing" state="visible" r:id="rId8"/>
    <sheet sheetId="6" name="Loan Snapshot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<sst xmlns="http://schemas.openxmlformats.org/spreadsheetml/2006/main">
  <si>
    <t>SchoolStack Budget — Lender Pro Forma Assumptions</t>
  </si>
  <si>
    <t>SCHOOL PROFILE</t>
  </si>
  <si>
    <t>School Name</t>
  </si>
  <si>
    <t>State</t>
  </si>
  <si>
    <t>School Type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</si>
  <si>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</si>
  <si>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</si>
  <si>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</si>
  <si>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</si>
  <si>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</si>
  <si>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</si>
  <si>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</si>
  <si>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</si>
  <si>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</si>
  <si>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</si>
  <si>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</si>
  <si>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</si>
  <si>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</si>
  <si>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</si>
  <si>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</si>
  <si>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</si>
  <si>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</si>
  <si>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</si>
  <si>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</si>
  <si>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</si>
  <si>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</si>
  <si>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</si>
  <si>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</si>
  <si>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</si>
  <si>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</si>
  <si>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</si>
  <si>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</si>
  <si>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</si>
  <si>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</si>
  <si>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</si>
  <si>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</si>
  <si>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</si>
  <si>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</si>
  <si>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</si>
  <si>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</si>
  <si>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</si>
  <si>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</si>
  <si>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</si>
  <si>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</si>
  <si>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</si>
  <si>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</si>
  <si>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</si>
  <si>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</si>
  <si>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</si>
  <si>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</si>
  <si>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</si>
  <si>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</si>
  <si>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</si>
  <si>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</si>
  <si>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</si>
  <si>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</si>
  <si>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</si>
  <si>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</si>
  <si>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</si>
  <si>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</si>
  <si>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</si>
  <si>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</si>
  <si>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</si>
  <si>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</si>
  <si>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</si>
  <si>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</si>
  <si>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</si>
  <si>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</si>
  <si>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</si>
  <si>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</si>
  <si>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</si>
  <si>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</si>
  <si>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</si>
  <si>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</si>
  <si>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</si>
  <si>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</si>
  <si>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</si>
  <si>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</si>
  <si>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</si>
  <si>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</si>
  <si>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</si>
  <si>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</si>
  <si>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</si>
  <si>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</si>
  <si>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</si>
  <si>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</si>
  <si>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</si>
  <si>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</si>
  <si>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</si>
  <si>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</si>
  <si>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</si>
  <si>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</si>
  <si>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</si>
  <si>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</si>
  <si>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</si>
  <si>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</si>
  <si>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</si>
  <si>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</si>
  <si>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</si>
  <si>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</si>
  <si>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(schoolstack.ai)</t>
  </si>
  <si>
    <t xml:space="preserve">SCHOOLSTACK BUDGET</t>
  </si>
  <si>
    <t xml:space="preserve">Lender-Ready Pro Forma</t>
  </si>
  <si>
    <t xml:space="preserve">Heritage Academy</t>
  </si>
  <si>
    <t xml:space="preserve">TABLE OF CONTENTS</t>
  </si>
  <si>
    <t xml:space="preserve">Assumptions</t>
  </si>
  <si>
    <t xml:space="preserve">Drivers</t>
  </si>
  <si>
    <t xml:space="preserve">5-Year P&amp;L</t>
  </si>
  <si>
    <t xml:space="preserve">Cash Flow &amp; DSCR</t>
  </si>
  <si>
    <t xml:space="preserve">Staffing</t>
  </si>
  <si>
    <t xml:space="preserve">Loan Snapshot</t>
  </si>
  <si>
    <t xml:space="preserve">Summary</t>
  </si>
  <si>
    <t xml:space="preserve">Generated March 16, 2026</t>
  </si>
  <si>
    <t xml:space="preserve">Generated by SchoolStack Budget  •  budget.schoolstack.ai</t>
  </si>
  <si>
    <t xml:space="preserve">FL</t>
  </si>
  <si>
    <t xml:space="preserve">Private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</si>
</sst>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>
    <numFmt numFmtId="164" formatCode="$#,##0"/>
    <numFmt numFmtId="165" formatCode="0.0%"/>
    <numFmt numFmtId="166" formatCode="0.0"/>
    <numFmt numFmtId="167" formatCode="0.00&quot;x&quot;"/>
  </numFmts>
  <fonts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1E293B"/>
      <sz val="10"/>
      <name val="Calibri"/>
    </font>
    <font>
      <b/>
      <color rgb="FF1E293B"/>
      <sz val="10"/>
      <name val="Calibri"/>
    </font>
    <font>
      <i/>
      <color rgb="FF94A3B8"/>
      <sz val="10"/>
      <name val="Calibri"/>
    </font>
    <font>
      <b/>
      <color rgb="FFFFFFFF"/>
      <sz val="10"/>
    </font>
    <font>
      <i/>
      <color rgb="FF1E293B"/>
      <sz val="10"/>
      <name val="Calibri"/>
    </font>
    <font>
      <b/>
      <color rgb="FFFFFFFF"/>
      <sz val="12"/>
    </font>
    <font>
      <b/>
      <color rgb="FFFFFFFF"/>
      <sz val="14"/>
    </font>
    <font>
      <i/>
      <color rgb="FF94A3B8"/>
      <sz val="8"/>
    </font>
    <font>
      <name val="Calibri"/>
      <sz val="22"/>
      <b/>
      <color rgb="1E293B"/>
    </font>
    <font>
      <name val="Calibri"/>
      <sz val="14"/>
      <color rgb="328555"/>
    </font>
    <font>
      <name val="Calibri"/>
      <sz val="16"/>
      <b/>
      <color rgb="1E293B"/>
    </font>
    <font>
      <name val="Calibri"/>
      <sz val="11"/>
      <b/>
      <color rgb="1E293B"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9"/>
      <i/>
      <color rgb="6B7280"/>
    </font>
    <font>
      <name val="Calibri"/>
      <sz val="9"/>
      <i/>
      <color rgb="6B7280"/>
    </font>
  </fonts>
  <fills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AF9F7"/>
      </patternFill>
    </fill>
    <fill>
      <patternFill patternType="solid">
        <fgColor rgb="FF0D9488"/>
      </patternFill>
    </fill>
    <fill>
      <patternFill patternType="solid">
        <fgColor rgb="FFD97706"/>
      </patternFill>
    </fill>
    <fill>
      <patternFill patternType="solid">
        <fgColor rgb="FFF1F5F9"/>
      </patternFill>
    </fill>
    <fill>
      <patternFill patternType="solid">
        <fgColor rgb="FF16A34A"/>
      </patternFill>
    </fill>
    <fill/>
    <fill/>
    <fill/>
    <fill/>
    <fill/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32855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3" fontId="3" fillId="3" borderId="0" xfId="0" applyNumberFormat="1" applyFont="1" applyFill="1"/>
    <xf numFmtId="0" fontId="2" fillId="4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2" fillId="5" borderId="0" xfId="0" applyFont="1" applyFill="1"/>
    <xf numFmtId="166" fontId="3" fillId="3" borderId="0" xfId="0" applyNumberFormat="1" applyFont="1" applyFill="1"/>
    <xf numFmtId="0" fontId="0" fillId="2" borderId="0" xfId="0" applyFill="1"/>
    <xf numFmtId="0" fontId="4" fillId="0" borderId="0" xfId="0" applyFont="1"/>
    <xf numFmtId="3" fontId="0" fillId="0" borderId="0" xfId="0" applyNumberFormat="1"/>
    <xf numFmtId="0" fontId="3" fillId="0" borderId="0" xfId="0" applyFont="1"/>
    <xf numFmtId="164" fontId="0" fillId="0" borderId="0" xfId="0" applyNumberFormat="1"/>
    <xf numFmtId="0" fontId="5" fillId="0" borderId="0" xfId="0" applyFont="1"/>
    <xf numFmtId="0" fontId="4" fillId="6" borderId="0" xfId="0" applyFont="1" applyFill="1"/>
    <xf numFmtId="164" fontId="4" fillId="6" borderId="0" xfId="0" applyNumberFormat="1" applyFont="1" applyFill="1"/>
    <xf numFmtId="164" fontId="6" fillId="2" borderId="0" xfId="0" applyNumberFormat="1" applyFont="1" applyFill="1"/>
    <xf numFmtId="0" fontId="7" fillId="0" borderId="0" xfId="0" applyFont="1"/>
    <xf numFmtId="165" fontId="7" fillId="0" borderId="0" xfId="0" applyNumberFormat="1" applyFont="1"/>
    <xf numFmtId="164" fontId="4" fillId="0" borderId="0" xfId="0" applyNumberFormat="1" applyFont="1"/>
    <xf numFmtId="0" fontId="2" fillId="7" borderId="0" xfId="0" applyFont="1" applyFill="1"/>
    <xf numFmtId="167" fontId="8" fillId="7" borderId="0" xfId="0" applyNumberFormat="1" applyFont="1" applyFill="1"/>
    <xf numFmtId="0" fontId="0" fillId="5" borderId="0" xfId="0" applyFill="1"/>
    <xf numFmtId="166" fontId="0" fillId="0" borderId="0" xfId="0" applyNumberFormat="1"/>
    <xf numFmtId="166" fontId="0" fillId="6" borderId="0" xfId="0" applyNumberFormat="1" applyFill="1"/>
    <xf numFmtId="164" fontId="3" fillId="0" borderId="0" xfId="0" applyNumberFormat="1" applyFont="1"/>
    <xf numFmtId="165" fontId="3" fillId="0" borderId="0" xfId="0" applyNumberFormat="1" applyFont="1"/>
    <xf numFmtId="3" fontId="3" fillId="0" borderId="0" xfId="0" applyNumberFormat="1" applyFont="1"/>
    <xf numFmtId="167" fontId="9" fillId="7" borderId="0" xfId="0" applyNumberFormat="1" applyFont="1" applyFill="1"/>
    <xf numFmtId="0" fontId="10" fillId="0" borderId="0" xfId="0" applyFont="1"/>
    <xf fontId="11" fillId="8" borderId="1" applyFont="1" applyFill="1" applyBorder="1"/>
    <xf fontId="12" fillId="9" borderId="2" applyFont="1" applyFill="1" applyBorder="1"/>
    <xf fontId="13" fillId="10" borderId="3" applyFont="1" applyFill="1" applyBorder="1"/>
    <xf fontId="14" fillId="11" borderId="4" applyFont="1" applyFill="1" applyBorder="1"/>
    <xf fontId="15" fillId="12" borderId="5" applyFont="1" applyFill="1" applyBorder="1"/>
    <xf fontId="16" fillId="13" borderId="6" applyFont="1" applyFill="1" applyBorder="1"/>
    <xf fontId="17" fillId="14" borderId="7" applyFont="1" applyFill="1" applyBorder="1"/>
    <xf fontId="18" fillId="15" borderId="8" applyFont="1" applyFill="1" applyBorder="1"/>
    <xf fontId="19" fillId="16" borderId="9" applyFont="1" applyFill="1" applyBorder="1"/>
    <xf fontId="20" fillId="17" borderId="10" applyFont="1" applyFill="1" applyBorder="1"/>
    <xf fontId="21" fillId="18" borderId="11" applyFont="1" applyFill="1" applyBorder="1"/>
    <xf fontId="22" fillId="19" borderId="12" applyFont="1" applyFill="1" applyBorder="1"/>
    <xf fontId="23" fillId="20" borderId="13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5" customWidth="1"/>
    <col min="2" max="2" width="35" customWidth="1"/>
    <col min="3" max="3" width="30" customWidth="1"/>
    <col min="4" max="4" width="5" customWidth="1"/>
  </cols>
  <sheetData>
    <row r="3">
      <c r="B3" t="s" s="32">
        <v>101</v>
      </c>
      <c r="C3"/>
    </row>
    <row r="4">
      <c r="B4" t="s" s="33">
        <v>102</v>
      </c>
      <c r="C4"/>
    </row>
    <row r="6">
      <c r="B6" t="s" s="34">
        <v>103</v>
      </c>
      <c r="C6"/>
    </row>
    <row r="8">
      <c r="B8" t="s" s="35">
        <v>104</v>
      </c>
      <c r="C8"/>
    </row>
    <row r="9">
      <c r="B9" t="s" s="36">
        <v>105</v>
      </c>
    </row>
    <row r="10">
      <c r="B10" t="s" s="37">
        <v>106</v>
      </c>
    </row>
    <row r="11">
      <c r="B11" t="s" s="38">
        <v>107</v>
      </c>
    </row>
    <row r="12">
      <c r="B12" t="s" s="39">
        <v>108</v>
      </c>
    </row>
    <row r="13">
      <c r="B13" t="s" s="40">
        <v>109</v>
      </c>
    </row>
    <row r="14">
      <c r="B14" t="s" s="41">
        <v>110</v>
      </c>
    </row>
    <row r="15">
      <c r="B15" t="s" s="42">
        <v>111</v>
      </c>
    </row>
    <row r="18">
      <c r="B18" t="s" s="43">
        <v>112</v>
      </c>
      <c r="C18"/>
    </row>
    <row r="19">
      <c r="B19" t="s" s="44">
        <v>113</v>
      </c>
      <c r="C19"/>
    </row>
  </sheetData>
  <mergeCells>
    <mergeCell ref="B3:C3"/>
    <mergeCell ref="B4:C4"/>
    <mergeCell ref="B6:C6"/>
    <mergeCell ref="B8:C8"/>
    <mergeCell ref="B18:C18"/>
    <mergeCell ref="B19:C19"/>
  </mergeCel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6" customWidth="1"/>
    <col min="3" max="3" width="36" customWidth="1"/>
    <col min="4" max="4" width="22" customWidth="1"/>
  </cols>
  <sheetData>
    <row r="1" spans="2:4" x14ac:dyDescent="0.25">
      <c r="B1" t="s" s="1">
        <v>0</v>
      </c>
      <c r="C1" s="1"/>
      <c r="D1" s="1"/>
    </row>
    <row r="3" spans="2:4" x14ac:dyDescent="0.25">
      <c r="B3" t="s" s="2">
        <v>1</v>
      </c>
      <c r="C3" s="2"/>
      <c r="D3" s="2"/>
    </row>
    <row r="5" spans="3:4" x14ac:dyDescent="0.25">
      <c r="C5" t="s" s="3">
        <v>2</v>
      </c>
      <c r="D5" t="s" s="3">
        <v>103</v>
      </c>
    </row>
    <row r="6" spans="3:4" x14ac:dyDescent="0.25">
      <c r="C6" t="s" s="3">
        <v>3</v>
      </c>
      <c r="D6" t="s" s="3">
        <v>114</v>
      </c>
    </row>
    <row r="7" spans="3:4" x14ac:dyDescent="0.25">
      <c r="C7" t="s" s="3">
        <v>4</v>
      </c>
      <c r="D7" t="s" s="3">
        <v>115</v>
      </c>
    </row>
    <row r="8" spans="3:4" x14ac:dyDescent="0.25">
      <c r="C8" t="s" s="3">
        <v>5</v>
      </c>
      <c r="D8" s="4">
        <v>2023</v>
      </c>
    </row>
    <row r="10" spans="2:4" x14ac:dyDescent="0.25">
      <c r="B10" t="s" s="5">
        <v>6</v>
      </c>
      <c r="C10" s="5"/>
      <c r="D10" s="5"/>
    </row>
    <row r="12" spans="3:4" x14ac:dyDescent="0.25">
      <c r="C12" t="s" s="3">
        <v>7</v>
      </c>
      <c r="D12" s="4">
        <v>100</v>
      </c>
    </row>
    <row r="13" spans="3:4" x14ac:dyDescent="0.25">
      <c r="C13" t="s" s="3">
        <v>8</v>
      </c>
      <c r="D13" s="4">
        <v>130</v>
      </c>
    </row>
    <row r="14" spans="3:4" x14ac:dyDescent="0.25">
      <c r="C14" t="s" s="3">
        <v>9</v>
      </c>
      <c r="D14" s="4">
        <v>160</v>
      </c>
    </row>
    <row r="15" spans="3:4" x14ac:dyDescent="0.25">
      <c r="C15" t="s" s="3">
        <v>10</v>
      </c>
      <c r="D15" s="4">
        <v>185</v>
      </c>
    </row>
    <row r="16" spans="3:4" x14ac:dyDescent="0.25">
      <c r="C16" t="s" s="3">
        <v>11</v>
      </c>
      <c r="D16" s="4">
        <v>200</v>
      </c>
    </row>
    <row r="18" spans="2:4" x14ac:dyDescent="0.25">
      <c r="B18" t="s" s="5">
        <v>12</v>
      </c>
      <c r="C18" s="5"/>
      <c r="D18" s="5"/>
    </row>
    <row r="20" spans="3:4" x14ac:dyDescent="0.25">
      <c r="C20" t="s" s="3">
        <v>13</v>
      </c>
      <c r="D20" s="6">
        <v>0</v>
      </c>
    </row>
    <row r="21" spans="3:4" x14ac:dyDescent="0.25">
      <c r="C21" t="s" s="3">
        <v>14</v>
      </c>
      <c r="D21" s="7">
        <v>0.03</v>
      </c>
    </row>
    <row r="22" spans="3:4" x14ac:dyDescent="0.25">
      <c r="C22" t="s" s="3">
        <v>15</v>
      </c>
      <c r="D22" s="6">
        <v>8700</v>
      </c>
    </row>
    <row r="23" spans="3:4" x14ac:dyDescent="0.25">
      <c r="C23" t="s" s="3">
        <v>16</v>
      </c>
      <c r="D23" s="7">
        <v>0.03</v>
      </c>
    </row>
    <row r="24" spans="3:4" x14ac:dyDescent="0.25">
      <c r="C24" t="s" s="3">
        <v>17</v>
      </c>
      <c r="D24" s="6">
        <v>500</v>
      </c>
    </row>
    <row r="25" spans="3:4" x14ac:dyDescent="0.25">
      <c r="C25" t="s" s="3">
        <v>18</v>
      </c>
      <c r="D25" s="7">
        <v>0.03</v>
      </c>
    </row>
    <row r="26" spans="3:4" x14ac:dyDescent="0.25">
      <c r="C26" t="s" s="3">
        <v>19</v>
      </c>
      <c r="D26" s="7">
        <v>0.95</v>
      </c>
    </row>
    <row r="27" spans="3:4" x14ac:dyDescent="0.25">
      <c r="C27" t="s" s="3">
        <v>20</v>
      </c>
      <c r="D27" s="6">
        <v>75000</v>
      </c>
    </row>
    <row r="28" spans="3:4" x14ac:dyDescent="0.25">
      <c r="C28" t="s" s="3">
        <v>21</v>
      </c>
      <c r="D28" s="7">
        <v>0</v>
      </c>
    </row>
    <row r="30" spans="2:4" x14ac:dyDescent="0.25">
      <c r="B30" t="s" s="8">
        <v>22</v>
      </c>
      <c r="C30" s="8"/>
      <c r="D30" s="8"/>
    </row>
    <row r="32" spans="3:4" x14ac:dyDescent="0.25">
      <c r="C32" t="s" s="3">
        <v>23</v>
      </c>
      <c r="D32" s="4">
        <v>11</v>
      </c>
    </row>
    <row r="33" spans="3:4" x14ac:dyDescent="0.25">
      <c r="C33" t="s" s="3">
        <v>24</v>
      </c>
      <c r="D33" s="6">
        <v>40000</v>
      </c>
    </row>
    <row r="34" spans="3:4" x14ac:dyDescent="0.25">
      <c r="C34" t="s" s="3">
        <v>25</v>
      </c>
      <c r="D34" s="7">
        <v>0.03</v>
      </c>
    </row>
    <row r="35" spans="3:4" x14ac:dyDescent="0.25">
      <c r="C35" t="s" s="3">
        <v>26</v>
      </c>
      <c r="D35" s="9">
        <v>4</v>
      </c>
    </row>
    <row r="36" spans="3:4" x14ac:dyDescent="0.25">
      <c r="C36" t="s" s="3">
        <v>27</v>
      </c>
      <c r="D36" s="9">
        <v>4</v>
      </c>
    </row>
    <row r="37" spans="3:4" x14ac:dyDescent="0.25">
      <c r="C37" t="s" s="3">
        <v>28</v>
      </c>
      <c r="D37" s="9">
        <v>4</v>
      </c>
    </row>
    <row r="38" spans="3:4" x14ac:dyDescent="0.25">
      <c r="C38" t="s" s="3">
        <v>29</v>
      </c>
      <c r="D38" s="9">
        <v>4</v>
      </c>
    </row>
    <row r="39" spans="3:4" x14ac:dyDescent="0.25">
      <c r="C39" t="s" s="3">
        <v>30</v>
      </c>
      <c r="D39" s="9">
        <v>4</v>
      </c>
    </row>
    <row r="40" spans="3:4" x14ac:dyDescent="0.25">
      <c r="C40" t="s" s="3">
        <v>31</v>
      </c>
      <c r="D40" s="6">
        <v>66000</v>
      </c>
    </row>
    <row r="41" spans="3:4" x14ac:dyDescent="0.25">
      <c r="C41" t="s" s="3">
        <v>32</v>
      </c>
      <c r="D41" s="7">
        <v>0.03</v>
      </c>
    </row>
    <row r="42" spans="3:4" x14ac:dyDescent="0.25">
      <c r="C42" t="s" s="3">
        <v>33</v>
      </c>
      <c r="D42" s="7">
        <v>0.24166666666666667</v>
      </c>
    </row>
    <row r="44" spans="2:4" x14ac:dyDescent="0.25">
      <c r="B44" t="s" s="8">
        <v>34</v>
      </c>
      <c r="C44" s="8"/>
      <c r="D44" s="8"/>
    </row>
    <row r="46" spans="3:4" x14ac:dyDescent="0.25">
      <c r="C46" t="s" s="3">
        <v>35</v>
      </c>
      <c r="D46" s="6">
        <v>102000</v>
      </c>
    </row>
    <row r="47" spans="3:4" x14ac:dyDescent="0.25">
      <c r="C47" t="s" s="3">
        <v>36</v>
      </c>
      <c r="D47" s="7">
        <v>0.03</v>
      </c>
    </row>
    <row r="48" spans="3:4" x14ac:dyDescent="0.25">
      <c r="C48" t="s" s="3">
        <v>37</v>
      </c>
      <c r="D48" s="6">
        <v>34400</v>
      </c>
    </row>
    <row r="49" spans="3:4" x14ac:dyDescent="0.25">
      <c r="C49" t="s" s="3">
        <v>38</v>
      </c>
      <c r="D49" s="7">
        <v>0.03</v>
      </c>
    </row>
    <row r="50" spans="3:4" x14ac:dyDescent="0.25">
      <c r="C50" t="s" s="3">
        <v>39</v>
      </c>
      <c r="D50" s="6">
        <v>600</v>
      </c>
    </row>
    <row r="51" spans="3:4" x14ac:dyDescent="0.25">
      <c r="C51" t="s" s="3">
        <v>40</v>
      </c>
      <c r="D51" s="7">
        <v>0.339</v>
      </c>
    </row>
    <row r="52" spans="3:4" x14ac:dyDescent="0.25">
      <c r="C52" t="s" s="3">
        <v>41</v>
      </c>
      <c r="D52" s="6">
        <v>75000</v>
      </c>
    </row>
    <row r="53" spans="3:4" x14ac:dyDescent="0.25">
      <c r="C53" t="s" s="3">
        <v>42</v>
      </c>
      <c r="D53" s="7">
        <v>0.1948</v>
      </c>
    </row>
    <row r="55" spans="2:4" x14ac:dyDescent="0.25">
      <c r="B55" t="s" s="2">
        <v>43</v>
      </c>
      <c r="C55" s="2"/>
      <c r="D55" s="2"/>
    </row>
    <row r="57" spans="3:4" x14ac:dyDescent="0.25">
      <c r="C57" t="s" s="3">
        <v>44</v>
      </c>
      <c r="D57" s="6">
        <v>75000</v>
      </c>
    </row>
    <row r="58" spans="3:4" x14ac:dyDescent="0.25">
      <c r="C58" t="s" s="3">
        <v>45</v>
      </c>
      <c r="D58" s="6">
        <v>25000</v>
      </c>
    </row>
    <row r="59" spans="3:4" x14ac:dyDescent="0.25">
      <c r="C59" t="s" s="3">
        <v>46</v>
      </c>
      <c r="D59" s="6">
        <v>250000</v>
      </c>
    </row>
    <row r="60" spans="3:4" x14ac:dyDescent="0.25">
      <c r="C60" t="s" s="3">
        <v>47</v>
      </c>
      <c r="D60" s="7">
        <v>0.065</v>
      </c>
    </row>
    <row r="61" spans="3:4" x14ac:dyDescent="0.25">
      <c r="C61" t="s" s="3">
        <v>48</v>
      </c>
      <c r="D61" s="4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49</v>
      </c>
      <c r="C1" s="1"/>
      <c r="D1" s="1"/>
      <c r="E1" s="1"/>
      <c r="F1" s="1"/>
      <c r="G1" s="1"/>
    </row>
    <row r="3" spans="2:7" x14ac:dyDescent="0.25"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 spans="2:7" x14ac:dyDescent="0.25">
      <c r="B5" t="s" s="13">
        <v>56</v>
      </c>
      <c r="C5" s="14">
        <f>=Assumptions!D11*Assumptions!D18</f>
      </c>
      <c r="D5" s="14">
        <f>=Assumptions!D12*Assumptions!D18*(1+Assumptions!D19)^1</f>
      </c>
      <c r="E5" s="14">
        <f>=Assumptions!D13*Assumptions!D18*(1+Assumptions!D19)^2</f>
      </c>
      <c r="F5" s="14">
        <f>=Assumptions!D14*Assumptions!D18*(1+Assumptions!D19)^3</f>
      </c>
      <c r="G5" s="14">
        <f>=Assumptions!D15*Assumptions!D18*(1+Assumptions!D19)^4</f>
      </c>
    </row>
    <row r="6" spans="2:7" x14ac:dyDescent="0.25">
      <c r="B6" t="s" s="15">
        <v>57</v>
      </c>
      <c r="C6" s="14">
        <f>=C5*Assumptions!D24</f>
      </c>
      <c r="D6" s="14">
        <f>=D5*Assumptions!D24</f>
      </c>
      <c r="E6" s="14">
        <f>=E5*Assumptions!D24</f>
      </c>
      <c r="F6" s="14">
        <f>=F5*Assumptions!D24</f>
      </c>
      <c r="G6" s="14">
        <f>=G5*Assumptions!D24</f>
      </c>
    </row>
    <row r="7" spans="2:7" x14ac:dyDescent="0.25">
      <c r="B7" t="s" s="13">
        <v>58</v>
      </c>
      <c r="C7" s="14">
        <f>=Assumptions!D11*Assumptions!D20</f>
      </c>
      <c r="D7" s="14">
        <f>=Assumptions!D12*Assumptions!D20*(1+Assumptions!D21)^1</f>
      </c>
      <c r="E7" s="14">
        <f>=Assumptions!D13*Assumptions!D20*(1+Assumptions!D21)^2</f>
      </c>
      <c r="F7" s="14">
        <f>=Assumptions!D14*Assumptions!D20*(1+Assumptions!D21)^3</f>
      </c>
      <c r="G7" s="14">
        <f>=Assumptions!D15*Assumptions!D20*(1+Assumptions!D21)^4</f>
      </c>
    </row>
    <row r="8" spans="2:7" x14ac:dyDescent="0.25">
      <c r="B8" t="s" s="13">
        <v>59</v>
      </c>
      <c r="C8" s="14">
        <f>=Assumptions!D11*Assumptions!D22</f>
      </c>
      <c r="D8" s="14">
        <f>=Assumptions!D12*Assumptions!D22*(1+Assumptions!D23)^1</f>
      </c>
      <c r="E8" s="14">
        <f>=Assumptions!D13*Assumptions!D22*(1+Assumptions!D23)^2</f>
      </c>
      <c r="F8" s="14">
        <f>=Assumptions!D14*Assumptions!D22*(1+Assumptions!D23)^3</f>
      </c>
      <c r="G8" s="14">
        <f>=Assumptions!D15*Assumptions!D22*(1+Assumptions!D23)^4</f>
      </c>
    </row>
    <row r="9" spans="2:7" x14ac:dyDescent="0.25">
      <c r="B9" t="s" s="13">
        <v>60</v>
      </c>
      <c r="C9" s="14">
        <f>=Assumptions!D25</f>
      </c>
      <c r="D9" s="14">
        <f>=Assumptions!D25*(1+Assumptions!D26)^1</f>
      </c>
      <c r="E9" s="14">
        <f>=Assumptions!D25*(1+Assumptions!D26)^2</f>
      </c>
      <c r="F9" s="14">
        <f>=Assumptions!D25*(1+Assumptions!D26)^3</f>
      </c>
      <c r="G9" s="14">
        <f>=Assumptions!D25*(1+Assumptions!D26)^4</f>
      </c>
    </row>
    <row r="10" spans="2:7" x14ac:dyDescent="0.25">
      <c r="B10" t="s" s="16">
        <v>61</v>
      </c>
      <c r="C10" s="17">
        <f>=C6+C7+C8+C9</f>
      </c>
      <c r="D10" s="17">
        <f>=D6+D7+D8+D9</f>
      </c>
      <c r="E10" s="17">
        <f>=E6+E7+E8+E9</f>
      </c>
      <c r="F10" s="17">
        <f>=F6+F7+F8+F9</f>
      </c>
      <c r="G10" s="17">
        <f>=G6+G7+G8+G9</f>
      </c>
    </row>
    <row r="12" spans="2:7" x14ac:dyDescent="0.25">
      <c r="B12" t="s" s="13">
        <v>62</v>
      </c>
      <c r="C12" s="12">
        <f>=CEILING(Assumptions!D11/Assumptions!D29,1)</f>
      </c>
      <c r="D12" s="12">
        <f>=CEILING(Assumptions!D12/Assumptions!D29,1)</f>
      </c>
      <c r="E12" s="12">
        <f>=CEILING(Assumptions!D13/Assumptions!D29,1)</f>
      </c>
      <c r="F12" s="12">
        <f>=CEILING(Assumptions!D14/Assumptions!D29,1)</f>
      </c>
      <c r="G12" s="12">
        <f>=CEILING(Assumptions!D15/Assumptions!D29,1)</f>
      </c>
    </row>
    <row r="13" spans="2:7" x14ac:dyDescent="0.25">
      <c r="B13" t="s" s="13">
        <v>63</v>
      </c>
      <c r="C13" s="14">
        <f>=C12*Assumptions!D30</f>
      </c>
      <c r="D13" s="14">
        <f>=D12*Assumptions!D30*(1+Assumptions!D31)^1</f>
      </c>
      <c r="E13" s="14">
        <f>=E12*Assumptions!D30*(1+Assumptions!D31)^2</f>
      </c>
      <c r="F13" s="14">
        <f>=F12*Assumptions!D30*(1+Assumptions!D31)^3</f>
      </c>
      <c r="G13" s="14">
        <f>=G12*Assumptions!D30*(1+Assumptions!D31)^4</f>
      </c>
    </row>
    <row r="14" spans="2:7" x14ac:dyDescent="0.25">
      <c r="B14" t="s" s="13">
        <v>64</v>
      </c>
      <c r="C14" s="14">
        <f>=Assumptions!D32*Assumptions!D37</f>
      </c>
      <c r="D14" s="14">
        <f>=Assumptions!D33*Assumptions!D37*(1+Assumptions!D38)^1</f>
      </c>
      <c r="E14" s="14">
        <f>=Assumptions!D34*Assumptions!D37*(1+Assumptions!D38)^2</f>
      </c>
      <c r="F14" s="14">
        <f>=Assumptions!D35*Assumptions!D37*(1+Assumptions!D38)^3</f>
      </c>
      <c r="G14" s="14">
        <f>=Assumptions!D36*Assumptions!D37*(1+Assumptions!D38)^4</f>
      </c>
    </row>
    <row r="15" spans="2:7" x14ac:dyDescent="0.25">
      <c r="B15" t="s" s="13">
        <v>65</v>
      </c>
      <c r="C15" s="14">
        <f>=(C13+C14)*Assumptions!D39</f>
      </c>
      <c r="D15" s="14">
        <f>=(D13+D14)*Assumptions!D39</f>
      </c>
      <c r="E15" s="14">
        <f>=(E13+E14)*Assumptions!D39</f>
      </c>
      <c r="F15" s="14">
        <f>=(F13+F14)*Assumptions!D39</f>
      </c>
      <c r="G15" s="14">
        <f>=(G13+G14)*Assumptions!D39</f>
      </c>
    </row>
    <row r="16" spans="2:7" x14ac:dyDescent="0.25">
      <c r="B16" t="s" s="16">
        <v>66</v>
      </c>
      <c r="C16" s="17">
        <f>=C13+C14+C15</f>
      </c>
      <c r="D16" s="17">
        <f>=D13+D14+D15</f>
      </c>
      <c r="E16" s="17">
        <f>=E13+E14+E15</f>
      </c>
      <c r="F16" s="17">
        <f>=F13+F14+F15</f>
      </c>
      <c r="G16" s="17">
        <f>=G13+G14+G15</f>
      </c>
    </row>
    <row r="18" spans="2:7" x14ac:dyDescent="0.25">
      <c r="B18" t="s" s="13">
        <v>67</v>
      </c>
      <c r="C18" s="14">
        <f>=Assumptions!D42</f>
      </c>
      <c r="D18" s="14">
        <f>=Assumptions!D42*(1+Assumptions!D43)^1</f>
      </c>
      <c r="E18" s="14">
        <f>=Assumptions!D42*(1+Assumptions!D43)^2</f>
      </c>
      <c r="F18" s="14">
        <f>=Assumptions!D42*(1+Assumptions!D43)^3</f>
      </c>
      <c r="G18" s="14">
        <f>=Assumptions!D42*(1+Assumptions!D43)^4</f>
      </c>
    </row>
    <row r="19" spans="2:7" x14ac:dyDescent="0.25">
      <c r="B19" t="s" s="13">
        <v>68</v>
      </c>
      <c r="C19" s="14">
        <f>=Assumptions!D44</f>
      </c>
      <c r="D19" s="14">
        <f>=Assumptions!D44*(1+Assumptions!D45)^1</f>
      </c>
      <c r="E19" s="14">
        <f>=Assumptions!D44*(1+Assumptions!D45)^2</f>
      </c>
      <c r="F19" s="14">
        <f>=Assumptions!D44*(1+Assumptions!D45)^3</f>
      </c>
      <c r="G19" s="14">
        <f>=Assumptions!D44*(1+Assumptions!D45)^4</f>
      </c>
    </row>
    <row r="20" spans="2:7" x14ac:dyDescent="0.25">
      <c r="B20" t="s" s="13">
        <v>69</v>
      </c>
      <c r="C20" s="14">
        <f>=Assumptions!D11*Assumptions!D46</f>
      </c>
      <c r="D20" s="14">
        <f>=Assumptions!D12*Assumptions!D46*(1+Assumptions!D47)^1</f>
      </c>
      <c r="E20" s="14">
        <f>=Assumptions!D13*Assumptions!D46*(1+Assumptions!D47)^2</f>
      </c>
      <c r="F20" s="14">
        <f>=Assumptions!D14*Assumptions!D46*(1+Assumptions!D47)^3</f>
      </c>
      <c r="G20" s="14">
        <f>=Assumptions!D15*Assumptions!D46*(1+Assumptions!D47)^4</f>
      </c>
    </row>
    <row r="21" spans="2:7" x14ac:dyDescent="0.25">
      <c r="B21" t="s" s="13">
        <v>70</v>
      </c>
      <c r="C21" s="14">
        <f>=Assumptions!D48</f>
      </c>
      <c r="D21" s="14">
        <f>=Assumptions!D48*(1+Assumptions!D49)^1</f>
      </c>
      <c r="E21" s="14">
        <f>=Assumptions!D48*(1+Assumptions!D49)^2</f>
      </c>
      <c r="F21" s="14">
        <f>=Assumptions!D48*(1+Assumptions!D49)^3</f>
      </c>
      <c r="G21" s="14">
        <f>=Assumptions!D48*(1+Assumptions!D49)^4</f>
      </c>
    </row>
    <row r="22" spans="2:7" x14ac:dyDescent="0.25">
      <c r="B22" t="s" s="16">
        <v>71</v>
      </c>
      <c r="C22" s="17">
        <f>=C18+C19+C20+C21</f>
      </c>
      <c r="D22" s="17">
        <f>=D18+D19+D20+D21</f>
      </c>
      <c r="E22" s="17">
        <f>=E18+E19+E20+E21</f>
      </c>
      <c r="F22" s="17">
        <f>=F18+F19+F20+F21</f>
      </c>
      <c r="G22" s="17">
        <f>=G18+G19+G20+G21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72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>
      <c r="A5"/>
    </row>
    <row r="6" spans="2:7" x14ac:dyDescent="0.25">
      <c r="A6"/>
      <c r="B6" t="s" s="13">
        <v>56</v>
      </c>
      <c r="C6" s="14">
        <f>=Drivers!C6</f>
      </c>
      <c r="D6" s="14">
        <f>=Drivers!D6</f>
      </c>
      <c r="E6" s="14">
        <f>=Drivers!E6</f>
      </c>
      <c r="F6" s="14">
        <f>=Drivers!F6</f>
      </c>
      <c r="G6" s="14">
        <f>=Drivers!G6</f>
      </c>
    </row>
    <row r="7" spans="2:7" x14ac:dyDescent="0.25">
      <c r="A7"/>
      <c r="B7" t="s" s="13">
        <v>73</v>
      </c>
      <c r="C7" s="14">
        <f>=Drivers!C7</f>
      </c>
      <c r="D7" s="14">
        <f>=Drivers!D7</f>
      </c>
      <c r="E7" s="14">
        <f>=Drivers!E7</f>
      </c>
      <c r="F7" s="14">
        <f>=Drivers!F7</f>
      </c>
      <c r="G7" s="14">
        <f>=Drivers!G7</f>
      </c>
    </row>
    <row r="8" spans="2:7" x14ac:dyDescent="0.25">
      <c r="A8"/>
      <c r="B8" t="s" s="13">
        <v>74</v>
      </c>
      <c r="C8" s="14">
        <f>=Drivers!C8</f>
      </c>
      <c r="D8" s="14">
        <f>=Drivers!D8</f>
      </c>
      <c r="E8" s="14">
        <f>=Drivers!E8</f>
      </c>
      <c r="F8" s="14">
        <f>=Drivers!F8</f>
      </c>
      <c r="G8" s="14">
        <f>=Drivers!G8</f>
      </c>
    </row>
    <row r="9" spans="2:7" x14ac:dyDescent="0.25">
      <c r="A9"/>
      <c r="B9" t="s" s="13">
        <v>60</v>
      </c>
      <c r="C9" s="14">
        <f>=Drivers!C9</f>
      </c>
      <c r="D9" s="14">
        <f>=Drivers!D9</f>
      </c>
      <c r="E9" s="14">
        <f>=Drivers!E9</f>
      </c>
      <c r="F9" s="14">
        <f>=Drivers!F9</f>
      </c>
      <c r="G9" s="14">
        <f>=Drivers!G9</f>
      </c>
    </row>
    <row r="10" spans="2:7" x14ac:dyDescent="0.25">
      <c r="A10"/>
      <c r="B10" t="s" s="16">
        <v>61</v>
      </c>
      <c r="C10" s="17">
        <f>=Drivers!C10</f>
      </c>
      <c r="D10" s="17">
        <f>=Drivers!D10</f>
      </c>
      <c r="E10" s="17">
        <f>=Drivers!E10</f>
      </c>
      <c r="F10" s="17">
        <f>=Drivers!F10</f>
      </c>
      <c r="G10" s="17">
        <f>=Drivers!G10</f>
      </c>
    </row>
    <row r="11">
      <c r="A11"/>
    </row>
    <row r="12" spans="2:7" x14ac:dyDescent="0.25">
      <c r="A12"/>
      <c r="B12" t="s" s="16">
        <v>75</v>
      </c>
      <c r="C12" s="17">
        <f>=Drivers!C16</f>
      </c>
      <c r="D12" s="17">
        <f>=Drivers!D16</f>
      </c>
      <c r="E12" s="17">
        <f>=Drivers!E16</f>
      </c>
      <c r="F12" s="17">
        <f>=Drivers!F16</f>
      </c>
      <c r="G12" s="17">
        <f>=Drivers!G16</f>
      </c>
    </row>
    <row r="13" spans="2:7" x14ac:dyDescent="0.25">
      <c r="A13"/>
      <c r="B13" t="s" s="16">
        <v>71</v>
      </c>
      <c r="C13" s="17">
        <f>=Drivers!C22</f>
      </c>
      <c r="D13" s="17">
        <f>=Drivers!D22</f>
      </c>
      <c r="E13" s="17">
        <f>=Drivers!E22</f>
      </c>
      <c r="F13" s="17">
        <f>=Drivers!F22</f>
      </c>
      <c r="G13" s="17">
        <f>=Drivers!G22</f>
      </c>
    </row>
    <row r="14">
      <c r="A14"/>
    </row>
    <row r="15" spans="2:7" x14ac:dyDescent="0.25">
      <c r="A15"/>
      <c r="B15" t="s" s="16">
        <v>76</v>
      </c>
      <c r="C15" s="17">
        <f>=C12+C13</f>
      </c>
      <c r="D15" s="17">
        <f>=D12+D13</f>
      </c>
      <c r="E15" s="17">
        <f>=E12+E13</f>
      </c>
      <c r="F15" s="17">
        <f>=F12+F13</f>
      </c>
      <c r="G15" s="17">
        <f>=G12+G13</f>
      </c>
    </row>
    <row r="16" spans="2:7" x14ac:dyDescent="0.25">
      <c r="A16"/>
      <c r="B16" t="s" s="2">
        <v>77</v>
      </c>
      <c r="C16" s="18">
        <f>=C10-C15</f>
      </c>
      <c r="D16" s="18">
        <f>=D10-D15</f>
      </c>
      <c r="E16" s="18">
        <f>=E10-E15</f>
      </c>
      <c r="F16" s="18">
        <f>=F10-F15</f>
      </c>
      <c r="G16" s="18">
        <f>=G10-G15</f>
      </c>
    </row>
    <row r="17" spans="2:7" x14ac:dyDescent="0.25">
      <c r="A17"/>
      <c r="B17" t="s" s="19">
        <v>78</v>
      </c>
      <c r="C17" s="20">
        <f>=IF(C10&gt;0,C16/C10,0)</f>
      </c>
      <c r="D17" s="20">
        <f>=IF(D10&gt;0,D16/D10,0)</f>
      </c>
      <c r="E17" s="20">
        <f>=IF(E10&gt;0,E16/E10,0)</f>
      </c>
      <c r="F17" s="20">
        <f>=IF(F10&gt;0,F16/F10,0)</f>
      </c>
      <c r="G17" s="20">
        <f>=IF(G10&gt;0,G16/G10,0)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79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80</v>
      </c>
      <c r="C4" s="21">
        <f>='5-Year P&amp;L'!C16</f>
      </c>
      <c r="D4" s="21">
        <f>='5-Year P&amp;L'!D16</f>
      </c>
      <c r="E4" s="21">
        <f>='5-Year P&amp;L'!E16</f>
      </c>
      <c r="F4" s="21">
        <f>='5-Year P&amp;L'!F16</f>
      </c>
      <c r="G4" s="21">
        <f>='5-Year P&amp;L'!G16</f>
      </c>
    </row>
    <row r="5">
      <c r="A5"/>
    </row>
    <row r="6" spans="2:7" x14ac:dyDescent="0.25">
      <c r="A6"/>
      <c r="B6" t="s" s="13">
        <v>81</v>
      </c>
      <c r="C6" s="14">
        <f>=Assumptions!D53</f>
      </c>
      <c r="D6" s="14">
        <f>=Assumptions!D53</f>
      </c>
      <c r="E6" s="14">
        <f>=Assumptions!D53</f>
      </c>
      <c r="F6" s="14">
        <f>=Assumptions!D53</f>
      </c>
      <c r="G6" s="14">
        <f>=Assumptions!D53</f>
      </c>
    </row>
    <row r="7" spans="2:7" x14ac:dyDescent="0.25">
      <c r="A7"/>
      <c r="B7" t="s" s="13">
        <v>82</v>
      </c>
      <c r="C7" s="14">
        <f>=IF(Assumptions!D54&gt;0,PMT(Assumptions!D55/12,Assumptions!D56*12,-Assumptions!D54)*12,0)</f>
      </c>
      <c r="D7" s="14">
        <f>=IF(Assumptions!D54&gt;0,PMT(Assumptions!D55/12,Assumptions!D56*12,-Assumptions!D54)*12,0)</f>
      </c>
      <c r="E7" s="14">
        <f>=IF(Assumptions!D54&gt;0,PMT(Assumptions!D55/12,Assumptions!D56*12,-Assumptions!D54)*12,0)</f>
      </c>
      <c r="F7" s="14">
        <f>=IF(Assumptions!D54&gt;0,PMT(Assumptions!D55/12,Assumptions!D56*12,-Assumptions!D54)*12,0)</f>
      </c>
      <c r="G7" s="14">
        <f>=IF(Assumptions!D54&gt;0,PMT(Assumptions!D55/12,Assumptions!D56*12,-Assumptions!D54)*12,0)</f>
      </c>
    </row>
    <row r="8" spans="2:7" x14ac:dyDescent="0.25">
      <c r="A8"/>
      <c r="B8" t="s" s="16">
        <v>83</v>
      </c>
      <c r="C8" s="17">
        <f>=C6+C7</f>
      </c>
      <c r="D8" s="17">
        <f>=D6+D7</f>
      </c>
      <c r="E8" s="17">
        <f>=E6+E7</f>
      </c>
      <c r="F8" s="17">
        <f>=F6+F7</f>
      </c>
      <c r="G8" s="17">
        <f>=G6+G7</f>
      </c>
    </row>
    <row r="9">
      <c r="A9"/>
    </row>
    <row r="10" spans="2:7" x14ac:dyDescent="0.25">
      <c r="A10"/>
      <c r="B10" t="s" s="22">
        <v>84</v>
      </c>
      <c r="C10" s="23">
        <f>=IF(C8&gt;0,C4/C8,IF(C4&gt;0,99.9,0))</f>
      </c>
      <c r="D10" s="23">
        <f>=IF(D8&gt;0,D4/D8,IF(D4&gt;0,99.9,0))</f>
      </c>
      <c r="E10" s="23">
        <f>=IF(E8&gt;0,E4/E8,IF(E4&gt;0,99.9,0))</f>
      </c>
      <c r="F10" s="23">
        <f>=IF(F8&gt;0,F4/F8,IF(F4&gt;0,99.9,0))</f>
      </c>
      <c r="G10" s="23">
        <f>=IF(G8&gt;0,G4/G8,IF(G4&gt;0,99.9,0))</f>
      </c>
    </row>
    <row r="11">
      <c r="A11"/>
    </row>
    <row r="12" spans="2:7" x14ac:dyDescent="0.25">
      <c r="A12"/>
      <c r="B12" t="s" s="11">
        <v>85</v>
      </c>
      <c r="C12" s="21">
        <f>=C4-C8</f>
      </c>
      <c r="D12" s="21">
        <f>=D4-D8</f>
      </c>
      <c r="E12" s="21">
        <f>=E4-E8</f>
      </c>
      <c r="F12" s="21">
        <f>=F4-F8</f>
      </c>
      <c r="G12" s="21">
        <f>=G4-G8</f>
      </c>
    </row>
    <row r="13">
      <c r="A13"/>
    </row>
    <row r="14" spans="2:7" x14ac:dyDescent="0.25">
      <c r="A14"/>
      <c r="B14" t="s" s="16">
        <v>86</v>
      </c>
      <c r="C14" s="17">
        <f>=Assumptions!D52+C12</f>
      </c>
      <c r="D14" s="17">
        <f>=C14+D12</f>
      </c>
      <c r="E14" s="17">
        <f>=D14+E12</f>
      </c>
      <c r="F14" s="17">
        <f>=E14+F12</f>
      </c>
      <c r="G14" s="17">
        <f>=F14+G12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87</v>
      </c>
      <c r="C1" s="1"/>
      <c r="D1" s="1"/>
      <c r="E1" s="1"/>
      <c r="F1" s="1"/>
      <c r="G1" s="1"/>
    </row>
    <row r="3" spans="2:7" x14ac:dyDescent="0.25">
      <c r="B3" s="24"/>
      <c r="C3" t="s" s="8">
        <v>50</v>
      </c>
      <c r="D3" t="s" s="8">
        <v>51</v>
      </c>
      <c r="E3" t="s" s="8">
        <v>52</v>
      </c>
      <c r="F3" t="s" s="8">
        <v>53</v>
      </c>
      <c r="G3" t="s" s="8">
        <v>54</v>
      </c>
    </row>
    <row r="4" spans="2:7" x14ac:dyDescent="0.25">
      <c r="B4" t="s" s="13">
        <v>88</v>
      </c>
      <c r="C4" s="12">
        <f>=Drivers!C12</f>
      </c>
      <c r="D4" s="12">
        <f>=Drivers!D12</f>
      </c>
      <c r="E4" s="12">
        <f>=Drivers!E12</f>
      </c>
      <c r="F4" s="12">
        <f>=Drivers!F12</f>
      </c>
      <c r="G4" s="12">
        <f>=Drivers!G12</f>
      </c>
    </row>
    <row r="5" spans="2:7" x14ac:dyDescent="0.25">
      <c r="B5" t="s" s="13">
        <v>89</v>
      </c>
      <c r="C5" s="25">
        <f>=Assumptions!D32</f>
      </c>
      <c r="D5" s="25">
        <f>=Assumptions!D33</f>
      </c>
      <c r="E5" s="25">
        <f>=Assumptions!D34</f>
      </c>
      <c r="F5" s="25">
        <f>=Assumptions!D35</f>
      </c>
      <c r="G5" s="25">
        <f>=Assumptions!D36</f>
      </c>
    </row>
    <row r="6" spans="2:7" x14ac:dyDescent="0.25">
      <c r="B6" t="s" s="16">
        <v>90</v>
      </c>
      <c r="C6" s="26">
        <f>=C4+C5</f>
      </c>
      <c r="D6" s="26">
        <f>=D4+D5</f>
      </c>
      <c r="E6" s="26">
        <f>=E4+E5</f>
      </c>
      <c r="F6" s="26">
        <f>=F4+F5</f>
      </c>
      <c r="G6" s="26">
        <f>=G4+G5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B1" t="s" s="1">
        <v>91</v>
      </c>
      <c r="C1" s="1"/>
    </row>
    <row r="3" spans="2:3" x14ac:dyDescent="0.25">
      <c r="B3" t="s" s="13">
        <v>92</v>
      </c>
      <c r="C3" s="27">
        <f>=Assumptions!D54</f>
      </c>
    </row>
    <row r="4" spans="2:3" x14ac:dyDescent="0.25">
      <c r="B4" t="s" s="13">
        <v>93</v>
      </c>
      <c r="C4" s="28">
        <f>=Assumptions!D55</f>
      </c>
    </row>
    <row r="5" spans="2:3" x14ac:dyDescent="0.25">
      <c r="B5" t="s" s="13">
        <v>48</v>
      </c>
      <c r="C5" s="29">
        <f>=Assumptions!D56</f>
      </c>
    </row>
    <row r="6" spans="2:3" x14ac:dyDescent="0.25">
      <c r="B6" t="s" s="11">
        <v>94</v>
      </c>
      <c r="C6" s="21">
        <f>=IF(Assumptions!D54&gt;0,PMT(Assumptions!D55/12,Assumptions!D56*12,-Assumptions!D54)*12,0)</f>
      </c>
    </row>
    <row r="8" spans="2:3" x14ac:dyDescent="0.25">
      <c r="B8" t="s" s="22">
        <v>95</v>
      </c>
      <c r="C8" s="30">
        <f>='Cash Flow &amp; DSCR'!C10</f>
      </c>
    </row>
  </sheetData>
  <mergeCells count="1">
    <mergeCell ref="B1:C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A1"/>
      <c r="B1" t="s" s="1">
        <v>96</v>
      </c>
      <c r="C1" s="1"/>
    </row>
    <row r="2">
      <c r="A2"/>
    </row>
    <row r="3" spans="2:3" x14ac:dyDescent="0.25">
      <c r="A3"/>
      <c r="B3" t="s" s="13">
        <v>2</v>
      </c>
      <c r="C3">
        <f>=Assumptions!D5</f>
      </c>
    </row>
    <row r="4" spans="2:3" x14ac:dyDescent="0.25">
      <c r="A4"/>
      <c r="B4" t="s" s="13">
        <v>4</v>
      </c>
      <c r="C4">
        <f>=Assumptions!D7</f>
      </c>
    </row>
    <row r="5" spans="2:3" x14ac:dyDescent="0.25">
      <c r="A5"/>
      <c r="B5" t="s" s="13">
        <v>3</v>
      </c>
      <c r="C5">
        <f>=Assumptions!D6</f>
      </c>
    </row>
    <row r="6" spans="2:3" x14ac:dyDescent="0.25">
      <c r="A6"/>
      <c r="B6" t="s" s="13">
        <v>97</v>
      </c>
      <c r="C6">
        <f>=Assumptions!D8</f>
      </c>
    </row>
    <row r="7">
      <c r="A7"/>
    </row>
    <row r="8" spans="2:3" x14ac:dyDescent="0.25">
      <c r="A8"/>
      <c r="B8" t="s" s="13">
        <v>11</v>
      </c>
      <c r="C8" s="12">
        <f>=Assumptions!D15</f>
      </c>
    </row>
    <row r="9" spans="2:3" x14ac:dyDescent="0.25">
      <c r="A9"/>
      <c r="B9" t="s" s="13">
        <v>98</v>
      </c>
      <c r="C9" s="14">
        <f>=Drivers!G10</f>
      </c>
    </row>
    <row r="10" spans="2:3" x14ac:dyDescent="0.25">
      <c r="A10"/>
      <c r="B10" t="s" s="13">
        <v>99</v>
      </c>
      <c r="C10" s="14">
        <f>='5-Year P&amp;L'!G16</f>
      </c>
    </row>
    <row r="11">
      <c r="A11"/>
    </row>
    <row r="12" spans="2:3" x14ac:dyDescent="0.25">
      <c r="A12"/>
      <c r="B12" t="s" s="31">
        <v>100</v>
      </c>
      <c r="C12" s="31"/>
    </row>
  </sheetData>
  <mergeCells count="2">
    <mergeCell ref="B1:C1"/>
    <mergeCell ref="B12:C12"/>
  </mergeCells>
  <pageMargins left="0.25" right="0.25" top="0.5" bottom="0.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2026-03-14T17:42:56Z</dcterms:created>
  <dcterms:modified xsi:type="dcterms:W3CDTF">2026-03-14T17:42:56Z</dcterms:modified>
</cp:coreProperties>
</file>