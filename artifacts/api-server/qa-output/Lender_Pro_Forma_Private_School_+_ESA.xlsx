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<sst xmlns="http://schemas.openxmlformats.org/spreadsheetml/2006/main" count="459" uniqueCount="259">
  <si>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</si>
  <si>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</si>
  <si>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</si>
  <si>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</si>
  <si>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</si>
  <si>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</si>
  <si>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</si>
  <si>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</si>
  <si>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</si>
  <si>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</si>
  <si>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</si>
  <si>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</si>
  <si>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</si>
  <si>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</si>
  <si>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</si>
  <si>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</si>
  <si>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</si>
  <si>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</si>
  <si>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</si>
  <si>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</si>
  <si>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</si>
  <si>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</si>
  <si>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</si>
  <si>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</si>
  <si>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</si>
  <si>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</si>
  <si>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</si>
  <si>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</si>
  <si>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</si>
  <si>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</si>
  <si>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</si>
  <si>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</si>
  <si>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</si>
  <si>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</si>
  <si>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</si>
  <si>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</si>
  <si>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</si>
  <si>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</si>
  <si>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</si>
  <si>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</si>
  <si>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</si>
  <si>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</si>
  <si>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</si>
  <si>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</si>
  <si>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</si>
  <si>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</si>
  <si>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</si>
  <si>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</si>
  <si>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</si>
  <si>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</si>
  <si>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</si>
  <si>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</si>
  <si>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</si>
  <si>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</si>
  <si>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</si>
  <si>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</si>
  <si>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</si>
  <si>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</si>
  <si>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</si>
  <si>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</si>
  <si>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</si>
  <si>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</si>
  <si>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</si>
  <si>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</si>
  <si>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</si>
  <si>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</si>
  <si>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</si>
  <si>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</si>
  <si>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</si>
  <si>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</si>
  <si>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</si>
  <si>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</si>
  <si>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</si>
  <si>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</si>
  <si>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</si>
  <si>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</si>
  <si>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</si>
  <si>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</si>
  <si>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</si>
  <si>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</si>
  <si>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</si>
  <si>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</si>
  <si>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</si>
  <si>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</si>
  <si>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</si>
  <si>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</si>
  <si>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</si>
  <si>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</si>
  <si>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</si>
  <si>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</si>
  <si>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</si>
  <si>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</si>
  <si>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</si>
  <si>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</si>
  <si>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</si>
  <si>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</si>
  <si>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</si>
  <si>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</si>
  <si>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</si>
  <si>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</si>
  <si>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</si>
  <si>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</si>
  <si>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</si>
  <si>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</si>
  <si>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</si>
  <si>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</si>
  <si>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</si>
  <si>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</si>
  <si>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</si>
  <si>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</si>
  <si>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</si>
  <si>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</si>
  <si>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</si>
  <si>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</si>
  <si>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</si>
  <si>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</si>
  <si>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</si>
  <si>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</si>
  <si>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</si>
  <si>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</si>
  <si>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</si>
  <si>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</si>
  <si>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</si>
  <si>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</si>
  <si>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</si>
  <si>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</si>
  <si>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</si>
  <si>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</si>
  <si>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</si>
  <si>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</si>
  <si>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</si>
  <si>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</si>
  <si>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</si>
  <si>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</si>
  <si>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</si>
  <si>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</si>
  <si>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</si>
  <si>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</si>
  <si>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</si>
  <si>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</si>
  <si>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</si>
  <si>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</si>
  <si>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</si>
  <si>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</si>
  <si>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</si>
  <si>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</si>
  <si>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</si>
  <si>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</si>
  <si>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</si>
  <si>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</si>
  <si>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</si>
  <si>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</si>
  <si>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</si>
  <si>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</si>
  <si>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</si>
  <si>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</si>
  <si>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</si>
  <si>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</si>
  <si>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</si>
  <si>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</si>
  <si>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</si>
  <si>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</si>
  <si>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</si>
  <si>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</si>
  <si>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</si>
  <si>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</si>
  <si>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</si>
  <si>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</si>
  <si>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</si>
  <si>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</si>
  <si>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</si>
  <si>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</si>
  <si>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</si>
  <si>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</si>
  <si>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</si>
  <si>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</si>
  <si>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</si>
  <si>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</si>
  <si>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</si>
  <si>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</si>
  <si>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</si>
  <si>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</si>
  <si>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</si>
  <si>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</si>
  <si>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</si>
  <si>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</si>
  <si>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</si>
  <si>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</si>
  <si>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</si>
  <si>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</si>
  <si>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</si>
  <si>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</si>
  <si>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</si>
  <si>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</si>
  <si>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</si>
  <si>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</si>
  <si>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</si>
  <si>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</si>
  <si>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</si>
  <si>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</si>
  <si>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</si>
  <si>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</si>
  <si>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</si>
  <si>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</si>
  <si>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</si>
  <si>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</si>
  <si>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</si>
  <si>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</si>
  <si>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</si>
  <si>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</si>
  <si>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</si>
  <si>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</si>
  <si>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</si>
  <si>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</si>
  <si>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</si>
  <si>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</si>
  <si>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</si>
  <si>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</si>
  <si>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</si>
  <si>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</si>
  <si>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</si>
  <si>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</si>
  <si>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</si>
  <si>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</si>
  <si>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</si>
  <si>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</si>
  <si>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</si>
  <si>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</si>
  <si>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</si>
  <si>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</si>
  <si>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</si>
  <si>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</si>
  <si>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</si>
  <si>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</si>
  <si>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</si>
  <si>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</si>
  <si>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</si>
  <si>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</si>
  <si>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</si>
  <si>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</si>
  <si>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</si>
  <si>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</si>
  <si>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</si>
  <si>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33%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</si>
  <si>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</si>
  <si>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</si>
  <si>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</si>
  <si>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</si>
  <si>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</si>
  <si>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38.40x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</si>
  <si>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</si>
  <si>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</si>
  <si>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</si>
  <si>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</si>
  <si>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</si>
  <si>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45.1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</si>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</sst>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FFFFFF"/>
      <sz val="14"/>
      <name val="Calibri"/>
    </font>
    <font>
      <i/>
      <color rgb="FF6B7280"/>
      <sz val="9"/>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E8EDF2"/>
      </patternFill>
    </fill>
    <fill>
      <patternFill patternType="solid">
        <fgColor rgb="FFFFF8E1"/>
      </patternFill>
    </fill>
    <fill>
      <patternFill patternType="solid">
        <fgColor rgb="FFFCE4EC"/>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17" fillId="0" borderId="4" xfId="0" applyFont="1" applyBorder="1" applyAlignment="1">
      <alignment horizontal="center"/>
    </xf>
    <xf numFmtId="0" fontId="0" fillId="0" borderId="4" xfId="0" applyBorder="1" applyAlignment="1">
      <alignment horizontal="center"/>
    </xf>
    <xf numFmtId="167" fontId="16" fillId="3" borderId="4" xfId="0" applyNumberFormat="1" applyFont="1" applyFill="1" applyBorder="1" applyAlignment="1">
      <alignment horizontal="right"/>
    </xf>
    <xf numFmtId="0" fontId="4" fillId="6" borderId="0" xfId="0" applyFont="1" applyFill="1"/>
    <xf numFmtId="165" fontId="16" fillId="7"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6" fillId="3" borderId="4" xfId="0" applyNumberFormat="1" applyFont="1" applyFill="1" applyBorder="1" applyAlignment="1">
      <alignment horizontal="right"/>
    </xf>
    <xf numFmtId="0" fontId="18"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6" borderId="4" xfId="0" applyFont="1" applyFill="1" applyBorder="1" applyAlignment="1">
      <alignment horizontal="left" vertical="center" indent="1"/>
    </xf>
    <xf numFmtId="0" fontId="19" fillId="0" borderId="0" xfId="0" applyFont="1" applyAlignment="1">
      <alignment vertical="top" wrapText="1" indent="1"/>
    </xf>
    <xf numFmtId="0" fontId="16" fillId="0" borderId="4" xfId="0" applyFont="1" applyBorder="1" applyAlignment="1">
      <alignment horizontal="right"/>
    </xf>
    <xf numFmtId="164" fontId="6" fillId="3" borderId="4" xfId="0" applyNumberFormat="1" applyFont="1" applyFill="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17" fillId="0" borderId="0" xfId="0" applyFont="1"/>
    <xf numFmtId="0" fontId="20" fillId="0" borderId="0" xfId="0" applyFont="1"/>
    <xf numFmtId="0" fontId="21" fillId="0" borderId="0" xfId="0" applyFont="1"/>
    <xf numFmtId="0" fontId="4" fillId="6" borderId="4" xfId="0" applyFont="1" applyFill="1" applyBorder="1"/>
    <xf numFmtId="0" fontId="4" fillId="6" borderId="4" xfId="0" applyFont="1" applyFill="1" applyBorder="1" applyAlignment="1">
      <alignment horizontal="center"/>
    </xf>
    <xf numFmtId="166" fontId="16" fillId="3"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4" fontId="16" fillId="3"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8" borderId="5" xfId="0" applyNumberFormat="1" applyFont="1" applyFill="1" applyBorder="1" applyAlignment="1">
      <alignment horizontal="right"/>
    </xf>
    <xf numFmtId="164" fontId="16" fillId="7" borderId="5" xfId="0" applyNumberFormat="1" applyFont="1" applyFill="1" applyBorder="1" applyAlignment="1">
      <alignment horizontal="right"/>
    </xf>
    <xf numFmtId="0" fontId="4" fillId="0" borderId="4" xfId="0" applyFont="1" applyBorder="1"/>
    <xf numFmtId="0" fontId="6" fillId="0" borderId="4" xfId="0" applyFont="1" applyBorder="1" applyAlignment="1">
      <alignment wrapText="1"/>
    </xf>
    <xf numFmtId="0" fontId="10" fillId="0" borderId="4" xfId="0" applyFont="1" applyBorder="1" applyAlignment="1">
      <alignment wrapText="1"/>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10500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f>Assumptions!D12*Assumptions!D20</f>
        <v>1050000</v>
      </c>
      <c r="D5" s="27">
        <f>Assumptions!D13*Assumptions!D20*(1+Assumptions!D21)^1</f>
        <v>1405950</v>
      </c>
      <c r="E5" s="27">
        <f>Assumptions!D14*Assumptions!D20*(1+Assumptions!D21)^2</f>
        <v>1782312</v>
      </c>
      <c r="F5" s="27">
        <f>Assumptions!D15*Assumptions!D20*(1+Assumptions!D21)^3</f>
        <v>2122622.1975</v>
      </c>
      <c r="G5" s="27">
        <f>Assumptions!D16*Assumptions!D20*(1+Assumptions!D21)^4</f>
        <v>2363568.501</v>
      </c>
    </row>
    <row r="6" spans="2:7" x14ac:dyDescent="0.25">
      <c r="B6" s="25" t="s">
        <v>103</v>
      </c>
      <c r="C6" s="27">
        <f>C5*Assumptions!D26</f>
        <v>997500</v>
      </c>
      <c r="D6" s="27">
        <f>D5*Assumptions!D26</f>
        <v>1335652.5</v>
      </c>
      <c r="E6" s="27">
        <f>E5*Assumptions!D26</f>
        <v>1693196.4</v>
      </c>
      <c r="F6" s="27">
        <f>F5*Assumptions!D26</f>
        <v>2016491.087625</v>
      </c>
      <c r="G6" s="27">
        <f>G5*Assumptions!D26</f>
        <v>2245390.07595</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1992500</v>
      </c>
      <c r="D10" s="29">
        <f>D6+D7+D8+D9</f>
        <v>2642532.5</v>
      </c>
      <c r="E10" s="29">
        <f>E6+E7+E8+E9</f>
        <v>3329841.2</v>
      </c>
      <c r="F10" s="29">
        <f>F6+F7+F8+F9</f>
        <v>3951312.441625</v>
      </c>
      <c r="G10" s="29">
        <f>G6+G7+G8+G9</f>
        <v>4391326.28635</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f>Drivers!C6</f>
        <v>997500</v>
      </c>
      <c r="D6" s="27">
        <f>Drivers!D6</f>
        <v>1335652.5</v>
      </c>
      <c r="E6" s="27">
        <f>Drivers!E6</f>
        <v>1693196.4</v>
      </c>
      <c r="F6" s="27">
        <f>Drivers!F6</f>
        <v>2016491.087625</v>
      </c>
      <c r="G6" s="27">
        <f>Drivers!G6</f>
        <v>2245390.07595</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1992500</v>
      </c>
      <c r="D10" s="29">
        <f>Drivers!D10</f>
        <v>2642532.5</v>
      </c>
      <c r="E10" s="29">
        <f>Drivers!E10</f>
        <v>3329841.2</v>
      </c>
      <c r="F10" s="29">
        <f>Drivers!F10</f>
        <v>3951312.441625</v>
      </c>
      <c r="G10" s="29">
        <f>Drivers!G10</f>
        <v>4391326.28635</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896633.33333333</v>
      </c>
      <c r="D16" s="30">
        <f>D10-D15</f>
        <v>1356474.5</v>
      </c>
      <c r="E16" s="30">
        <f>E10-E15</f>
        <v>1767814.476</v>
      </c>
      <c r="F16" s="30">
        <f>F10-F15</f>
        <v>2127040.19232827</v>
      </c>
      <c r="G16" s="30">
        <f>G10-G15</f>
        <v>2268170.27288646</v>
      </c>
    </row>
    <row r="17" spans="2:7" x14ac:dyDescent="0.25">
      <c r="B17" s="25" t="s">
        <v>124</v>
      </c>
      <c r="C17" s="31">
        <f>IF(C10&gt;0,C16/C10,0)</f>
        <v>0.45000418</v>
      </c>
      <c r="D17" s="31">
        <f>IF(D10&gt;0,D16/D10,0)</f>
        <v>0.51332368</v>
      </c>
      <c r="E17" s="31">
        <f>IF(E10&gt;0,E16/E10,0)</f>
        <v>0.53090054</v>
      </c>
      <c r="F17" s="31">
        <f>IF(F10&gt;0,F16/F10,0)</f>
        <v>0.53831233</v>
      </c>
      <c r="G17" s="31">
        <f>IF(G10&gt;0,G16/G10,0)</f>
        <v>0.51651144</v>
      </c>
    </row>
    <row r="19" spans="2:7" x14ac:dyDescent="0.25">
      <c r="B19" s="25" t="s">
        <v>125</v>
      </c>
      <c r="C19" s="27">
        <v>15710</v>
      </c>
      <c r="D19" s="27">
        <v>14480</v>
      </c>
      <c r="E19" s="27">
        <v>13169</v>
      </c>
      <c r="F19" s="27">
        <v>11769</v>
      </c>
      <c r="G19" s="27">
        <v>10276</v>
      </c>
    </row>
    <row r="20" spans="2:7" x14ac:dyDescent="0.25">
      <c r="B20" s="25" t="s">
        <v>126</v>
      </c>
      <c r="C20" s="27">
        <f>'Cash Flow &amp; DSCR'!C9-C19</f>
        <v>43354.8138866</v>
      </c>
      <c r="D20" s="27">
        <f>'Cash Flow &amp; DSCR'!D9-D19</f>
        <v>44584.06976575</v>
      </c>
      <c r="E20" s="27">
        <f>'Cash Flow &amp; DSCR'!E9-E19</f>
        <v>45895.65118771</v>
      </c>
      <c r="F20" s="27">
        <f>'Cash Flow &amp; DSCR'!F9-F19</f>
        <v>47295.07164655</v>
      </c>
      <c r="G20" s="27">
        <f>'Cash Flow &amp; DSCR'!G9-G19</f>
        <v>48788.21388525</v>
      </c>
    </row>
    <row r="22" spans="2:7" x14ac:dyDescent="0.25">
      <c r="B22" s="28" t="s">
        <v>127</v>
      </c>
      <c r="C22" s="30">
        <f>C16-C19-C20</f>
        <v>837568.94016733</v>
      </c>
      <c r="D22" s="30">
        <f>D16-D19-D20</f>
        <v>1297410.10683399</v>
      </c>
      <c r="E22" s="30">
        <f>E16-E19-E20</f>
        <v>1708750.08283399</v>
      </c>
      <c r="F22" s="30">
        <f>F16-F19-F20</f>
        <v>2067975.79916226</v>
      </c>
      <c r="G22" s="30">
        <f>G16-G19-G20</f>
        <v>2209105.87972045</v>
      </c>
    </row>
    <row r="23" spans="2:7" x14ac:dyDescent="0.25">
      <c r="B23" s="25" t="s">
        <v>128</v>
      </c>
      <c r="C23" s="31">
        <f>IF(C10&gt;0,C22/C10,0)</f>
        <v>0.42036082</v>
      </c>
      <c r="D23" s="31">
        <f>IF(D10&gt;0,D22/D10,0)</f>
        <v>0.49097224</v>
      </c>
      <c r="E23" s="31">
        <f>IF(E10&gt;0,E22/E10,0)</f>
        <v>0.51316263</v>
      </c>
      <c r="F23" s="31">
        <f>IF(F10&gt;0,F22/F10,0)</f>
        <v>0.52336428</v>
      </c>
      <c r="G23" s="31">
        <f>IF(G10&gt;0,G22/G10,0)</f>
        <v>0.5030612</v>
      </c>
    </row>
    <row r="25" spans="2:7" x14ac:dyDescent="0.25">
      <c r="B25" s="28" t="s">
        <v>129</v>
      </c>
      <c r="C25" s="32">
        <f>C22</f>
        <v>837568.94016733</v>
      </c>
      <c r="D25" s="32">
        <f>C25+D22</f>
        <v>2134979.04700132</v>
      </c>
      <c r="E25" s="32">
        <f>D25+E22</f>
        <v>3843729.12983531</v>
      </c>
      <c r="F25" s="32">
        <f>E25+F22</f>
        <v>5911704.92899757</v>
      </c>
      <c r="G25" s="32">
        <f>F25+G22</f>
        <v>8120810.80871802</v>
      </c>
    </row>
    <row r="26" spans="2:7" x14ac:dyDescent="0.25">
      <c r="B26" s="28" t="s">
        <v>130</v>
      </c>
      <c r="C26" s="33" t="s">
        <v>131</v>
      </c>
      <c r="D26" s="34" t="s">
        <v>7</v>
      </c>
      <c r="E26" s="34" t="s">
        <v>7</v>
      </c>
      <c r="F26" s="34" t="s">
        <v>7</v>
      </c>
      <c r="G26"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132</v>
      </c>
      <c r="C1" s="13"/>
      <c r="D1" s="13"/>
      <c r="E1" s="13"/>
      <c r="F1" s="13"/>
      <c r="G1" s="13"/>
    </row>
    <row r="3" ht="24" customHeight="1" spans="2:7" x14ac:dyDescent="0.25">
      <c r="B3" s="23"/>
      <c r="C3" s="24" t="s">
        <v>96</v>
      </c>
      <c r="D3" s="24" t="s">
        <v>97</v>
      </c>
      <c r="E3" s="24" t="s">
        <v>98</v>
      </c>
      <c r="F3" s="24" t="s">
        <v>99</v>
      </c>
      <c r="G3" s="24" t="s">
        <v>100</v>
      </c>
    </row>
    <row r="4" spans="2:7" x14ac:dyDescent="0.25">
      <c r="B4" s="28" t="s">
        <v>133</v>
      </c>
      <c r="C4" s="32">
        <f>Assumptions!D57</f>
        <v>75000</v>
      </c>
      <c r="D4" s="32">
        <f>C16</f>
        <v>912568.94016733</v>
      </c>
      <c r="E4" s="32">
        <f>D16</f>
        <v>2209979.04700132</v>
      </c>
      <c r="F4" s="32">
        <f>E16</f>
        <v>3918729.12983531</v>
      </c>
      <c r="G4" s="32">
        <f>F16</f>
        <v>5986704.92899757</v>
      </c>
    </row>
    <row r="5" spans="2:7" x14ac:dyDescent="0.25">
      <c r="B5" s="25" t="s">
        <v>134</v>
      </c>
      <c r="C5" s="27">
        <f>'5-Year P&amp;L'!C16</f>
        <v>896633.33333333</v>
      </c>
      <c r="D5" s="27">
        <f>'5-Year P&amp;L'!D16</f>
        <v>1356474.5</v>
      </c>
      <c r="E5" s="27">
        <f>'5-Year P&amp;L'!E16</f>
        <v>1767814.476</v>
      </c>
      <c r="F5" s="27">
        <f>'5-Year P&amp;L'!F16</f>
        <v>2127040.19232827</v>
      </c>
      <c r="G5" s="27">
        <f>'5-Year P&amp;L'!G16</f>
        <v>2268170.27288646</v>
      </c>
    </row>
    <row r="7" spans="2:7" x14ac:dyDescent="0.25">
      <c r="B7" s="25" t="s">
        <v>135</v>
      </c>
      <c r="C7" s="27">
        <f>Assumptions!D58</f>
        <v>25000</v>
      </c>
      <c r="D7" s="27">
        <f>Assumptions!D58</f>
        <v>25000</v>
      </c>
      <c r="E7" s="27">
        <f>Assumptions!D58</f>
        <v>25000</v>
      </c>
      <c r="F7" s="27">
        <f>Assumptions!D58</f>
        <v>25000</v>
      </c>
      <c r="G7" s="27">
        <f>Assumptions!D58</f>
        <v>25000</v>
      </c>
    </row>
    <row r="8" spans="2:7" x14ac:dyDescent="0.25">
      <c r="B8" s="25" t="s">
        <v>136</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137</v>
      </c>
      <c r="C9" s="29">
        <f>C7+C8</f>
        <v>59064.39316601</v>
      </c>
      <c r="D9" s="29">
        <f>D7+D8</f>
        <v>59064.39316601</v>
      </c>
      <c r="E9" s="29">
        <f>E7+E8</f>
        <v>59064.39316601</v>
      </c>
      <c r="F9" s="29">
        <f>F7+F8</f>
        <v>59064.39316601</v>
      </c>
      <c r="G9" s="29">
        <f>G7+G8</f>
        <v>59064.39316601</v>
      </c>
    </row>
    <row r="11" spans="2:7" x14ac:dyDescent="0.25">
      <c r="B11" s="28" t="s">
        <v>138</v>
      </c>
      <c r="C11" s="35">
        <f>IF(C9&gt;0,C5/C9,IF(C5&gt;0,99.9,0))</f>
        <v>15.18060688</v>
      </c>
      <c r="D11" s="35">
        <f>IF(D9&gt;0,D5/D9,IF(D5&gt;0,99.9,0))</f>
        <v>22.96602788</v>
      </c>
      <c r="E11" s="35">
        <f>IF(E9&gt;0,E5/E9,IF(E5&gt;0,99.9,0))</f>
        <v>29.93029101</v>
      </c>
      <c r="F11" s="35">
        <f>IF(F9&gt;0,F5/F9,IF(F5&gt;0,99.9,0))</f>
        <v>36.0122246</v>
      </c>
      <c r="G11" s="35">
        <f>IF(G9&gt;0,G5/G9,IF(G5&gt;0,99.9,0))</f>
        <v>38.40165202</v>
      </c>
    </row>
    <row r="13" spans="2:7" x14ac:dyDescent="0.25">
      <c r="B13" s="25" t="s">
        <v>139</v>
      </c>
      <c r="C13" s="27">
        <f>C5-C9</f>
        <v>837568.94016733</v>
      </c>
      <c r="D13" s="27">
        <f>D5-D9</f>
        <v>1297410.10683399</v>
      </c>
      <c r="E13" s="27">
        <f>E5-E9</f>
        <v>1708750.08283399</v>
      </c>
      <c r="F13" s="27">
        <f>F5-F9</f>
        <v>2067975.79916226</v>
      </c>
      <c r="G13" s="27">
        <f>G5-G9</f>
        <v>2209105.87972045</v>
      </c>
    </row>
    <row r="14" spans="2:7" x14ac:dyDescent="0.25">
      <c r="B14" s="28" t="s">
        <v>140</v>
      </c>
      <c r="C14" s="32">
        <f>C5-C9</f>
        <v>837568.94016733</v>
      </c>
      <c r="D14" s="32">
        <f>D5-D9</f>
        <v>1297410.10683399</v>
      </c>
      <c r="E14" s="32">
        <f>E5-E9</f>
        <v>1708750.08283399</v>
      </c>
      <c r="F14" s="32">
        <f>F5-F9</f>
        <v>2067975.79916226</v>
      </c>
      <c r="G14" s="32">
        <f>G5-G9</f>
        <v>2209105.87972045</v>
      </c>
    </row>
    <row r="16" spans="2:7" x14ac:dyDescent="0.25">
      <c r="B16" s="28" t="s">
        <v>141</v>
      </c>
      <c r="C16" s="30">
        <f>C4+C14</f>
        <v>912568.94016733</v>
      </c>
      <c r="D16" s="30">
        <f>D4+D14</f>
        <v>2209979.04700132</v>
      </c>
      <c r="E16" s="30">
        <f>E4+E14</f>
        <v>3918729.12983531</v>
      </c>
      <c r="F16" s="30">
        <f>F4+F14</f>
        <v>5986704.92899757</v>
      </c>
      <c r="G16" s="30">
        <f>G4+G14</f>
        <v>8195810.80871802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142</v>
      </c>
      <c r="C1" s="13"/>
      <c r="D1" s="13"/>
      <c r="E1" s="13"/>
      <c r="F1" s="13"/>
      <c r="G1" s="13"/>
    </row>
    <row r="2" spans="2:7" x14ac:dyDescent="0.25">
      <c r="B2" s="3" t="s">
        <v>143</v>
      </c>
      <c r="C2" s="3"/>
      <c r="D2" s="3"/>
      <c r="E2" s="3"/>
      <c r="F2" s="3"/>
      <c r="G2" s="3"/>
    </row>
    <row r="4" ht="24" customHeight="1" spans="2:7" x14ac:dyDescent="0.25">
      <c r="B4" s="23"/>
      <c r="C4" s="24" t="s">
        <v>96</v>
      </c>
      <c r="D4" s="24" t="s">
        <v>97</v>
      </c>
      <c r="E4" s="24" t="s">
        <v>98</v>
      </c>
      <c r="F4" s="24" t="s">
        <v>99</v>
      </c>
      <c r="G4" s="24" t="s">
        <v>100</v>
      </c>
    </row>
    <row r="5" spans="2:7" x14ac:dyDescent="0.25">
      <c r="B5" s="36" t="s">
        <v>144</v>
      </c>
      <c r="C5" s="36"/>
      <c r="D5" s="36"/>
      <c r="E5" s="36"/>
      <c r="F5" s="36"/>
      <c r="G5" s="36"/>
    </row>
    <row r="6" spans="2:7" x14ac:dyDescent="0.25">
      <c r="B6" s="25" t="s">
        <v>145</v>
      </c>
      <c r="C6" s="27">
        <v>1050000</v>
      </c>
      <c r="D6" s="27">
        <v>1405950</v>
      </c>
      <c r="E6" s="27">
        <v>1782312</v>
      </c>
      <c r="F6" s="27">
        <v>2122622.1975</v>
      </c>
      <c r="G6" s="27">
        <v>2363568.501</v>
      </c>
    </row>
    <row r="7" spans="2:7" x14ac:dyDescent="0.25">
      <c r="B7" s="25" t="s">
        <v>146</v>
      </c>
      <c r="C7" s="27">
        <v>997500</v>
      </c>
      <c r="D7" s="27">
        <v>1335652.5</v>
      </c>
      <c r="E7" s="27">
        <v>1693196.4</v>
      </c>
      <c r="F7" s="27">
        <v>2016491.0876249997</v>
      </c>
      <c r="G7" s="27">
        <v>2245390.07595</v>
      </c>
    </row>
    <row r="8" spans="2:7" x14ac:dyDescent="0.25">
      <c r="B8" s="28" t="s">
        <v>147</v>
      </c>
      <c r="C8" s="37">
        <f>C6-C7</f>
        <v>52500</v>
      </c>
      <c r="D8" s="37">
        <f>D6-D7</f>
        <v>70297.5</v>
      </c>
      <c r="E8" s="37">
        <f>E6-E7</f>
        <v>89115.6</v>
      </c>
      <c r="F8" s="37">
        <f>F6-F7</f>
        <v>106131.109875</v>
      </c>
      <c r="G8" s="37">
        <f>G6-G7</f>
        <v>118178.42505</v>
      </c>
    </row>
    <row r="9" spans="2:7" x14ac:dyDescent="0.25">
      <c r="B9" s="28" t="s">
        <v>148</v>
      </c>
      <c r="C9" s="29">
        <f>C7*30/365</f>
        <v>81986.30136986</v>
      </c>
      <c r="D9" s="29">
        <f>D7*30/365</f>
        <v>109779.65753425</v>
      </c>
      <c r="E9" s="29">
        <f>E7*30/365</f>
        <v>139166.82739726</v>
      </c>
      <c r="F9" s="29">
        <f>F7*30/365</f>
        <v>165738.99350342</v>
      </c>
      <c r="G9" s="29">
        <f>G7*30/365</f>
        <v>184552.60898219</v>
      </c>
    </row>
    <row r="11" spans="2:7" x14ac:dyDescent="0.25">
      <c r="B11" s="36" t="s">
        <v>149</v>
      </c>
      <c r="C11" s="36"/>
      <c r="D11" s="36"/>
      <c r="E11" s="36"/>
      <c r="F11" s="36"/>
      <c r="G11" s="36"/>
    </row>
    <row r="12" spans="2:7" x14ac:dyDescent="0.25">
      <c r="B12" s="25" t="s">
        <v>150</v>
      </c>
      <c r="C12" s="27">
        <v>912568.9401673255</v>
      </c>
      <c r="D12" s="27">
        <v>2209979.0470013176</v>
      </c>
      <c r="E12" s="27">
        <v>3918729.12983531</v>
      </c>
      <c r="F12" s="27">
        <v>5986704.928997569</v>
      </c>
      <c r="G12" s="27">
        <v>8195810.808718016</v>
      </c>
    </row>
    <row r="13" spans="2:7" x14ac:dyDescent="0.25">
      <c r="B13" s="25" t="s">
        <v>151</v>
      </c>
      <c r="C13" s="27">
        <v>0</v>
      </c>
      <c r="D13" s="27">
        <v>0</v>
      </c>
      <c r="E13" s="27">
        <v>0</v>
      </c>
      <c r="F13" s="27">
        <v>0</v>
      </c>
      <c r="G13" s="27">
        <v>0</v>
      </c>
    </row>
    <row r="14" spans="2:7" x14ac:dyDescent="0.25">
      <c r="B14" s="28" t="s">
        <v>152</v>
      </c>
      <c r="C14" s="30">
        <f>C12-C13</f>
        <v>912568.94016733</v>
      </c>
      <c r="D14" s="30">
        <f>D12-D13</f>
        <v>2209979.04700132</v>
      </c>
      <c r="E14" s="30">
        <f>E12-E13</f>
        <v>3918729.12983531</v>
      </c>
      <c r="F14" s="30">
        <f>F12-F13</f>
        <v>5986704.92899757</v>
      </c>
      <c r="G14" s="30">
        <f>G12-G13</f>
        <v>8195810.80871802</v>
      </c>
    </row>
    <row r="16" spans="2:7" x14ac:dyDescent="0.25">
      <c r="B16" s="38" t="s">
        <v>153</v>
      </c>
      <c r="C16" s="38"/>
      <c r="D16" s="38"/>
      <c r="E16" s="38"/>
      <c r="F16" s="38"/>
      <c r="G16" s="38"/>
    </row>
    <row r="17" spans="2:7" x14ac:dyDescent="0.25">
      <c r="B17" s="38"/>
      <c r="C17" s="38"/>
      <c r="D17" s="38"/>
      <c r="E17" s="38"/>
      <c r="F17" s="38"/>
      <c r="G17" s="38"/>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154</v>
      </c>
      <c r="C1" s="13"/>
      <c r="D1" s="13"/>
      <c r="E1" s="13"/>
      <c r="F1" s="13"/>
      <c r="G1" s="13"/>
    </row>
    <row r="3" ht="24" customHeight="1" spans="2:7" x14ac:dyDescent="0.25">
      <c r="B3" s="23"/>
      <c r="C3" s="24" t="s">
        <v>96</v>
      </c>
      <c r="D3" s="24" t="s">
        <v>97</v>
      </c>
      <c r="E3" s="24" t="s">
        <v>98</v>
      </c>
      <c r="F3" s="24" t="s">
        <v>99</v>
      </c>
      <c r="G3" s="24" t="s">
        <v>100</v>
      </c>
    </row>
    <row r="4" spans="2:7" x14ac:dyDescent="0.25">
      <c r="B4" s="25" t="s">
        <v>155</v>
      </c>
      <c r="C4" s="26">
        <f>Drivers!C12</f>
        <v>10</v>
      </c>
      <c r="D4" s="26">
        <f>Drivers!D12</f>
        <v>12</v>
      </c>
      <c r="E4" s="26">
        <f>Drivers!E12</f>
        <v>15</v>
      </c>
      <c r="F4" s="26">
        <f>Drivers!F12</f>
        <v>17</v>
      </c>
      <c r="G4" s="26">
        <f>Drivers!G12</f>
        <v>19</v>
      </c>
    </row>
    <row r="5" spans="2:7" x14ac:dyDescent="0.25">
      <c r="B5" s="25" t="s">
        <v>156</v>
      </c>
      <c r="C5" s="26">
        <f>Assumptions!D35</f>
        <v>4</v>
      </c>
      <c r="D5" s="26">
        <f>Assumptions!D36</f>
        <v>4</v>
      </c>
      <c r="E5" s="26">
        <f>Assumptions!D37</f>
        <v>4</v>
      </c>
      <c r="F5" s="26">
        <f>Assumptions!D38</f>
        <v>4</v>
      </c>
      <c r="G5" s="26">
        <f>Assumptions!D39</f>
        <v>4</v>
      </c>
    </row>
    <row r="6" spans="2:7" x14ac:dyDescent="0.25">
      <c r="B6" s="28" t="s">
        <v>157</v>
      </c>
      <c r="C6" s="39">
        <f>C4+C5</f>
        <v>14</v>
      </c>
      <c r="D6" s="39">
        <f>D4+D5</f>
        <v>16</v>
      </c>
      <c r="E6" s="39">
        <f>E4+E5</f>
        <v>19</v>
      </c>
      <c r="F6" s="39">
        <f>F4+F5</f>
        <v>21</v>
      </c>
      <c r="G6" s="39">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158</v>
      </c>
      <c r="C1" s="13"/>
    </row>
    <row r="3" spans="2:3" x14ac:dyDescent="0.25">
      <c r="B3" s="25" t="s">
        <v>159</v>
      </c>
      <c r="C3" s="27">
        <f>Assumptions!D59</f>
        <v>250000</v>
      </c>
    </row>
    <row r="4" spans="2:3" x14ac:dyDescent="0.25">
      <c r="B4" s="25" t="s">
        <v>160</v>
      </c>
      <c r="C4" s="31">
        <f>Assumptions!D60</f>
        <v>0.065</v>
      </c>
    </row>
    <row r="5" spans="2:3" x14ac:dyDescent="0.25">
      <c r="B5" s="25" t="s">
        <v>94</v>
      </c>
      <c r="C5" s="26">
        <f>Assumptions!D61</f>
        <v>10</v>
      </c>
    </row>
    <row r="6" spans="2:3" x14ac:dyDescent="0.25">
      <c r="B6" s="25" t="s">
        <v>161</v>
      </c>
      <c r="C6" s="32">
        <f>IF(Assumptions!D59&gt;0,PMT(Assumptions!D60/12,Assumptions!D61*12,-Assumptions!D59)*12,0)</f>
        <v>34064.39316601</v>
      </c>
    </row>
    <row r="8" spans="2:3" x14ac:dyDescent="0.25">
      <c r="B8" s="25" t="s">
        <v>162</v>
      </c>
      <c r="C8" s="35">
        <f>'Cash Flow &amp; DSCR'!C11</f>
        <v>15.18060688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163</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164</v>
      </c>
      <c r="C6" s="25">
        <f>Assumptions!D8</f>
        <v>2023</v>
      </c>
    </row>
    <row r="8" spans="2:3" x14ac:dyDescent="0.25">
      <c r="B8" s="25" t="s">
        <v>57</v>
      </c>
      <c r="C8" s="26">
        <f>Assumptions!D16</f>
        <v>200</v>
      </c>
    </row>
    <row r="9" spans="2:3" x14ac:dyDescent="0.25">
      <c r="B9" s="25" t="s">
        <v>165</v>
      </c>
      <c r="C9" s="27">
        <f>Drivers!G10</f>
        <v>4391326.28635</v>
      </c>
    </row>
    <row r="10" spans="2:3" x14ac:dyDescent="0.25">
      <c r="B10" s="25" t="s">
        <v>166</v>
      </c>
      <c r="C10" s="40">
        <f>'5-Year P&amp;L'!G16</f>
        <v>2268170.27288646</v>
      </c>
    </row>
    <row r="12" ht="24" customHeight="1" spans="2:3" x14ac:dyDescent="0.25">
      <c r="B12" s="41" t="s">
        <v>167</v>
      </c>
      <c r="C12" s="23"/>
    </row>
    <row r="13" spans="2:3" x14ac:dyDescent="0.25">
      <c r="B13" s="25" t="s">
        <v>168</v>
      </c>
      <c r="C13" s="42">
        <f>IF(Drivers!G10&gt;0,'5-Year P&amp;L'!G21/Drivers!G10,0)</f>
        <v>0.5030612</v>
      </c>
    </row>
    <row r="14" spans="2:3" x14ac:dyDescent="0.25">
      <c r="B14" s="25" t="s">
        <v>169</v>
      </c>
      <c r="C14" s="31">
        <f>IF(Drivers!G10&gt;0,Drivers!G16/Drivers!G10,0)</f>
        <v>0.32588035</v>
      </c>
    </row>
    <row r="15" spans="2:3" x14ac:dyDescent="0.25">
      <c r="B15" s="25" t="s">
        <v>170</v>
      </c>
      <c r="C15" s="27">
        <f>IF(Assumptions!D16&gt;0,Drivers!G10/Assumptions!D16,0)</f>
        <v>21957</v>
      </c>
    </row>
    <row r="16" spans="2:3" x14ac:dyDescent="0.25">
      <c r="B16" s="25" t="s">
        <v>171</v>
      </c>
      <c r="C16" s="27">
        <f>IF(Assumptions!D16&gt;0,('5-Year P&amp;L'!G12+'5-Year P&amp;L'!G13)/Assumptions!D16,0)</f>
        <v>10616</v>
      </c>
    </row>
    <row r="17" spans="2:3" x14ac:dyDescent="0.25">
      <c r="B17" s="25" t="s">
        <v>172</v>
      </c>
      <c r="C17" s="35">
        <f>'Cash Flow &amp; DSCR'!C11</f>
        <v>15.18060688</v>
      </c>
    </row>
    <row r="18" spans="2:3" x14ac:dyDescent="0.25">
      <c r="B18" s="25" t="s">
        <v>173</v>
      </c>
      <c r="C18" s="35">
        <f>'Cash Flow &amp; DSCR'!G11</f>
        <v>38.40165202</v>
      </c>
    </row>
    <row r="19" spans="2:3" x14ac:dyDescent="0.25">
      <c r="B19" s="25" t="s">
        <v>174</v>
      </c>
      <c r="C19" s="43">
        <v>304</v>
      </c>
    </row>
    <row r="21" spans="2:3" x14ac:dyDescent="0.25">
      <c r="B21" s="12" t="s">
        <v>175</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4" t="s">
        <v>176</v>
      </c>
      <c r="B1" s="44"/>
      <c r="C1" s="44"/>
      <c r="D1" s="44"/>
      <c r="E1" s="44"/>
      <c r="F1" s="44"/>
      <c r="G1" s="44"/>
      <c r="H1" s="44"/>
    </row>
    <row r="2" ht="28" customHeight="1" spans="1:8" x14ac:dyDescent="0.25">
      <c r="A2" s="45" t="s">
        <v>177</v>
      </c>
      <c r="B2" s="45"/>
      <c r="C2" s="45"/>
      <c r="D2" s="45"/>
      <c r="E2" s="45"/>
      <c r="F2" s="45"/>
      <c r="G2" s="45"/>
      <c r="H2" s="45"/>
    </row>
    <row r="4" ht="18" customHeight="1" spans="1:8" x14ac:dyDescent="0.25">
      <c r="A4" s="46" t="s">
        <v>178</v>
      </c>
      <c r="B4" s="46" t="s">
        <v>179</v>
      </c>
      <c r="C4" s="47" t="s">
        <v>96</v>
      </c>
      <c r="D4" s="47" t="s">
        <v>97</v>
      </c>
      <c r="E4" s="47" t="s">
        <v>98</v>
      </c>
      <c r="F4" s="47" t="s">
        <v>99</v>
      </c>
      <c r="G4" s="47" t="s">
        <v>100</v>
      </c>
      <c r="H4" s="47" t="s">
        <v>180</v>
      </c>
    </row>
    <row r="5" ht="18" customHeight="1" spans="1:8" x14ac:dyDescent="0.25">
      <c r="A5" s="48" t="s">
        <v>181</v>
      </c>
      <c r="B5" s="48"/>
      <c r="C5" s="48"/>
      <c r="D5" s="48"/>
      <c r="E5" s="48"/>
      <c r="F5" s="48"/>
      <c r="G5" s="48"/>
      <c r="H5" s="48"/>
    </row>
    <row r="6" ht="24" customHeight="1" spans="1:8" x14ac:dyDescent="0.25">
      <c r="A6" s="49" t="s">
        <v>182</v>
      </c>
      <c r="B6" s="49"/>
      <c r="C6" s="49"/>
      <c r="D6" s="49"/>
      <c r="E6" s="49"/>
      <c r="F6" s="49"/>
      <c r="G6" s="49"/>
      <c r="H6" s="49"/>
    </row>
    <row r="7" spans="1:8" x14ac:dyDescent="0.25">
      <c r="A7" s="25" t="s">
        <v>7</v>
      </c>
      <c r="B7" s="25" t="s">
        <v>127</v>
      </c>
      <c r="C7" s="27">
        <v>737263.6068339921</v>
      </c>
      <c r="D7" s="27">
        <v>1333094.106833992</v>
      </c>
      <c r="E7" s="27">
        <v>1947205.806833992</v>
      </c>
      <c r="F7" s="27">
        <v>2505582.952833992</v>
      </c>
      <c r="G7" s="27">
        <v>2893078.708213992</v>
      </c>
      <c r="H7" s="50" t="s">
        <v>183</v>
      </c>
    </row>
    <row r="8" spans="1:8" x14ac:dyDescent="0.25">
      <c r="A8" s="25" t="s">
        <v>7</v>
      </c>
      <c r="B8" s="25" t="s">
        <v>184</v>
      </c>
      <c r="C8" s="51">
        <v>22.64</v>
      </c>
      <c r="D8" s="26">
        <v>40.13</v>
      </c>
      <c r="E8" s="26">
        <v>58.16</v>
      </c>
      <c r="F8" s="26">
        <v>74.55</v>
      </c>
      <c r="G8" s="26">
        <v>85.93</v>
      </c>
      <c r="H8" s="50" t="s">
        <v>183</v>
      </c>
    </row>
    <row r="9" spans="1:8" x14ac:dyDescent="0.25">
      <c r="A9" s="25" t="s">
        <v>7</v>
      </c>
      <c r="B9" s="25" t="s">
        <v>141</v>
      </c>
      <c r="C9" s="27">
        <v>812263.6068339921</v>
      </c>
      <c r="D9" s="27">
        <v>2145357.713667984</v>
      </c>
      <c r="E9" s="27">
        <v>4092563.520501976</v>
      </c>
      <c r="F9" s="27">
        <v>6598146.473335968</v>
      </c>
      <c r="G9" s="27">
        <v>9491225.18154996</v>
      </c>
      <c r="H9" s="50" t="s">
        <v>183</v>
      </c>
    </row>
    <row r="10" spans="1:8" x14ac:dyDescent="0.25">
      <c r="A10" s="25" t="s">
        <v>7</v>
      </c>
      <c r="B10" s="25" t="s">
        <v>185</v>
      </c>
      <c r="C10" s="26">
        <v>59</v>
      </c>
      <c r="D10" s="26">
        <v>58</v>
      </c>
      <c r="E10" s="26">
        <v>57</v>
      </c>
      <c r="F10" s="26">
        <v>56</v>
      </c>
      <c r="G10" s="26">
        <v>55</v>
      </c>
      <c r="H10" s="50" t="s">
        <v>183</v>
      </c>
    </row>
    <row r="11" spans="1:8" x14ac:dyDescent="0.25">
      <c r="A11" s="52" t="s">
        <v>7</v>
      </c>
      <c r="B11" s="25" t="s">
        <v>186</v>
      </c>
      <c r="C11" s="26">
        <v>60</v>
      </c>
      <c r="D11" s="52" t="s">
        <v>7</v>
      </c>
      <c r="E11" s="52" t="s">
        <v>7</v>
      </c>
      <c r="F11" s="52" t="s">
        <v>7</v>
      </c>
      <c r="G11" s="52" t="s">
        <v>7</v>
      </c>
      <c r="H11" s="53" t="s">
        <v>183</v>
      </c>
    </row>
    <row r="12" spans="1:8" x14ac:dyDescent="0.25">
      <c r="A12" s="52" t="s">
        <v>7</v>
      </c>
      <c r="B12" s="25" t="s">
        <v>187</v>
      </c>
      <c r="C12" s="54" t="s">
        <v>96</v>
      </c>
      <c r="D12" s="52" t="s">
        <v>7</v>
      </c>
      <c r="E12" s="52" t="s">
        <v>7</v>
      </c>
      <c r="F12" s="52" t="s">
        <v>7</v>
      </c>
      <c r="G12" s="52" t="s">
        <v>7</v>
      </c>
      <c r="H12" s="50" t="s">
        <v>183</v>
      </c>
    </row>
    <row r="14" ht="18" customHeight="1" spans="1:8" x14ac:dyDescent="0.25">
      <c r="A14" s="48" t="s">
        <v>188</v>
      </c>
      <c r="B14" s="48"/>
      <c r="C14" s="48"/>
      <c r="D14" s="48"/>
      <c r="E14" s="48"/>
      <c r="F14" s="48"/>
      <c r="G14" s="48"/>
      <c r="H14" s="48"/>
    </row>
    <row r="15" ht="24" customHeight="1" spans="1:8" x14ac:dyDescent="0.25">
      <c r="A15" s="49" t="s">
        <v>189</v>
      </c>
      <c r="B15" s="49"/>
      <c r="C15" s="49"/>
      <c r="D15" s="49"/>
      <c r="E15" s="49"/>
      <c r="F15" s="49"/>
      <c r="G15" s="49"/>
      <c r="H15" s="49"/>
    </row>
    <row r="16" spans="1:8" x14ac:dyDescent="0.25">
      <c r="A16" s="25" t="s">
        <v>7</v>
      </c>
      <c r="B16" s="25" t="s">
        <v>127</v>
      </c>
      <c r="C16" s="27">
        <v>562513.6068339921</v>
      </c>
      <c r="D16" s="27">
        <v>1099246.856833992</v>
      </c>
      <c r="E16" s="27">
        <v>1650917.806833992</v>
      </c>
      <c r="F16" s="27">
        <v>2162443.5528339916</v>
      </c>
      <c r="G16" s="27">
        <v>2500596.708213992</v>
      </c>
      <c r="H16" s="32">
        <v>-174750</v>
      </c>
    </row>
    <row r="17" spans="1:8" x14ac:dyDescent="0.25">
      <c r="A17" s="25" t="s">
        <v>7</v>
      </c>
      <c r="B17" s="25" t="s">
        <v>184</v>
      </c>
      <c r="C17" s="51">
        <v>17.51</v>
      </c>
      <c r="D17" s="26">
        <v>33.27</v>
      </c>
      <c r="E17" s="26">
        <v>49.46</v>
      </c>
      <c r="F17" s="26">
        <v>64.48</v>
      </c>
      <c r="G17" s="26">
        <v>74.41</v>
      </c>
      <c r="H17" s="53">
        <v>-5.129999999999999</v>
      </c>
    </row>
    <row r="18" spans="1:8" x14ac:dyDescent="0.25">
      <c r="A18" s="25" t="s">
        <v>7</v>
      </c>
      <c r="B18" s="25" t="s">
        <v>141</v>
      </c>
      <c r="C18" s="27">
        <v>637513.6068339921</v>
      </c>
      <c r="D18" s="27">
        <v>1736760.4636679841</v>
      </c>
      <c r="E18" s="27">
        <v>3387678.270501976</v>
      </c>
      <c r="F18" s="27">
        <v>5550121.823335968</v>
      </c>
      <c r="G18" s="27">
        <v>8050718.53154996</v>
      </c>
      <c r="H18" s="32">
        <v>-174750</v>
      </c>
    </row>
    <row r="19" spans="1:8" x14ac:dyDescent="0.25">
      <c r="A19" s="25" t="s">
        <v>7</v>
      </c>
      <c r="B19" s="25" t="s">
        <v>185</v>
      </c>
      <c r="C19" s="26">
        <v>58</v>
      </c>
      <c r="D19" s="26">
        <v>58</v>
      </c>
      <c r="E19" s="26">
        <v>57</v>
      </c>
      <c r="F19" s="26">
        <v>56</v>
      </c>
      <c r="G19" s="26">
        <v>55</v>
      </c>
      <c r="H19" s="53">
        <v>-1</v>
      </c>
    </row>
    <row r="20" spans="1:8" x14ac:dyDescent="0.25">
      <c r="A20" s="52" t="s">
        <v>7</v>
      </c>
      <c r="B20" s="25" t="s">
        <v>186</v>
      </c>
      <c r="C20" s="26">
        <v>60</v>
      </c>
      <c r="D20" s="52" t="s">
        <v>7</v>
      </c>
      <c r="E20" s="52" t="s">
        <v>7</v>
      </c>
      <c r="F20" s="52" t="s">
        <v>7</v>
      </c>
      <c r="G20" s="52" t="s">
        <v>7</v>
      </c>
      <c r="H20" s="53">
        <v>0</v>
      </c>
    </row>
    <row r="21" spans="1:8" x14ac:dyDescent="0.25">
      <c r="A21" s="52" t="s">
        <v>7</v>
      </c>
      <c r="B21" s="25" t="s">
        <v>187</v>
      </c>
      <c r="C21" s="54" t="s">
        <v>96</v>
      </c>
      <c r="D21" s="52" t="s">
        <v>7</v>
      </c>
      <c r="E21" s="52" t="s">
        <v>7</v>
      </c>
      <c r="F21" s="52" t="s">
        <v>7</v>
      </c>
      <c r="G21" s="52" t="s">
        <v>7</v>
      </c>
      <c r="H21" s="50" t="s">
        <v>190</v>
      </c>
    </row>
    <row r="23" ht="18" customHeight="1" spans="1:8" x14ac:dyDescent="0.25">
      <c r="A23" s="48" t="s">
        <v>191</v>
      </c>
      <c r="B23" s="48"/>
      <c r="C23" s="48"/>
      <c r="D23" s="48"/>
      <c r="E23" s="48"/>
      <c r="F23" s="48"/>
      <c r="G23" s="48"/>
      <c r="H23" s="48"/>
    </row>
    <row r="24" ht="24" customHeight="1" spans="1:8" x14ac:dyDescent="0.25">
      <c r="A24" s="49" t="s">
        <v>192</v>
      </c>
      <c r="B24" s="49"/>
      <c r="C24" s="49"/>
      <c r="D24" s="49"/>
      <c r="E24" s="49"/>
      <c r="F24" s="49"/>
      <c r="G24" s="49"/>
      <c r="H24" s="49"/>
    </row>
    <row r="25" spans="1:8" x14ac:dyDescent="0.25">
      <c r="A25" s="25" t="s">
        <v>7</v>
      </c>
      <c r="B25" s="25" t="s">
        <v>127</v>
      </c>
      <c r="C25" s="27">
        <v>387763.60683399206</v>
      </c>
      <c r="D25" s="27">
        <v>865399.6068339921</v>
      </c>
      <c r="E25" s="27">
        <v>1354629.806833992</v>
      </c>
      <c r="F25" s="27">
        <v>1800240.8528339919</v>
      </c>
      <c r="G25" s="27">
        <v>2108114.708213992</v>
      </c>
      <c r="H25" s="32">
        <v>-349500</v>
      </c>
    </row>
    <row r="26" spans="1:8" x14ac:dyDescent="0.25">
      <c r="A26" s="25" t="s">
        <v>7</v>
      </c>
      <c r="B26" s="25" t="s">
        <v>184</v>
      </c>
      <c r="C26" s="51">
        <v>12.38</v>
      </c>
      <c r="D26" s="26">
        <v>26.4</v>
      </c>
      <c r="E26" s="26">
        <v>40.77</v>
      </c>
      <c r="F26" s="26">
        <v>53.85</v>
      </c>
      <c r="G26" s="26">
        <v>62.89</v>
      </c>
      <c r="H26" s="53">
        <v>-10.26</v>
      </c>
    </row>
    <row r="27" spans="1:8" x14ac:dyDescent="0.25">
      <c r="A27" s="25" t="s">
        <v>7</v>
      </c>
      <c r="B27" s="25" t="s">
        <v>141</v>
      </c>
      <c r="C27" s="27">
        <v>462763.60683399206</v>
      </c>
      <c r="D27" s="27">
        <v>1328163.2136679841</v>
      </c>
      <c r="E27" s="27">
        <v>2682793.020501976</v>
      </c>
      <c r="F27" s="27">
        <v>4483033.873335968</v>
      </c>
      <c r="G27" s="27">
        <v>6591148.581549959</v>
      </c>
      <c r="H27" s="32">
        <v>-349500</v>
      </c>
    </row>
    <row r="28" spans="1:8" x14ac:dyDescent="0.25">
      <c r="A28" s="25" t="s">
        <v>7</v>
      </c>
      <c r="B28" s="25" t="s">
        <v>185</v>
      </c>
      <c r="C28" s="26">
        <v>58</v>
      </c>
      <c r="D28" s="26">
        <v>58</v>
      </c>
      <c r="E28" s="26">
        <v>57</v>
      </c>
      <c r="F28" s="26">
        <v>56</v>
      </c>
      <c r="G28" s="26">
        <v>55</v>
      </c>
      <c r="H28" s="53">
        <v>-1</v>
      </c>
    </row>
    <row r="29" spans="1:8" x14ac:dyDescent="0.25">
      <c r="A29" s="52" t="s">
        <v>7</v>
      </c>
      <c r="B29" s="25" t="s">
        <v>186</v>
      </c>
      <c r="C29" s="26">
        <v>60</v>
      </c>
      <c r="D29" s="52" t="s">
        <v>7</v>
      </c>
      <c r="E29" s="52" t="s">
        <v>7</v>
      </c>
      <c r="F29" s="52" t="s">
        <v>7</v>
      </c>
      <c r="G29" s="52" t="s">
        <v>7</v>
      </c>
      <c r="H29" s="53">
        <v>0</v>
      </c>
    </row>
    <row r="30" spans="1:8" x14ac:dyDescent="0.25">
      <c r="A30" s="52" t="s">
        <v>7</v>
      </c>
      <c r="B30" s="25" t="s">
        <v>187</v>
      </c>
      <c r="C30" s="54" t="s">
        <v>96</v>
      </c>
      <c r="D30" s="52" t="s">
        <v>7</v>
      </c>
      <c r="E30" s="52" t="s">
        <v>7</v>
      </c>
      <c r="F30" s="52" t="s">
        <v>7</v>
      </c>
      <c r="G30" s="52" t="s">
        <v>7</v>
      </c>
      <c r="H30" s="50" t="s">
        <v>190</v>
      </c>
    </row>
    <row r="32" ht="18" customHeight="1" spans="1:8" x14ac:dyDescent="0.25">
      <c r="A32" s="48" t="s">
        <v>193</v>
      </c>
      <c r="B32" s="48"/>
      <c r="C32" s="48"/>
      <c r="D32" s="48"/>
      <c r="E32" s="48"/>
      <c r="F32" s="48"/>
      <c r="G32" s="48"/>
      <c r="H32" s="48"/>
    </row>
    <row r="33" ht="24" customHeight="1" spans="1:8" x14ac:dyDescent="0.25">
      <c r="A33" s="49" t="s">
        <v>194</v>
      </c>
      <c r="B33" s="49"/>
      <c r="C33" s="49"/>
      <c r="D33" s="49"/>
      <c r="E33" s="49"/>
      <c r="F33" s="49"/>
      <c r="G33" s="49"/>
      <c r="H33" s="49"/>
    </row>
    <row r="34" spans="1:8" x14ac:dyDescent="0.25">
      <c r="A34" s="25" t="s">
        <v>7</v>
      </c>
      <c r="B34" s="25" t="s">
        <v>127</v>
      </c>
      <c r="C34" s="27">
        <v>519763.60683399206</v>
      </c>
      <c r="D34" s="27">
        <v>1333094.106833992</v>
      </c>
      <c r="E34" s="27">
        <v>1947205.806833992</v>
      </c>
      <c r="F34" s="27">
        <v>2505582.952833992</v>
      </c>
      <c r="G34" s="27">
        <v>2893078.708213992</v>
      </c>
      <c r="H34" s="32">
        <v>-217500</v>
      </c>
    </row>
    <row r="35" spans="1:8" x14ac:dyDescent="0.25">
      <c r="A35" s="25" t="s">
        <v>7</v>
      </c>
      <c r="B35" s="25" t="s">
        <v>184</v>
      </c>
      <c r="C35" s="51">
        <v>16.26</v>
      </c>
      <c r="D35" s="26">
        <v>40.13</v>
      </c>
      <c r="E35" s="26">
        <v>58.16</v>
      </c>
      <c r="F35" s="26">
        <v>74.55</v>
      </c>
      <c r="G35" s="26">
        <v>85.93</v>
      </c>
      <c r="H35" s="53">
        <v>-6.379999999999999</v>
      </c>
    </row>
    <row r="36" spans="1:8" x14ac:dyDescent="0.25">
      <c r="A36" s="25" t="s">
        <v>7</v>
      </c>
      <c r="B36" s="25" t="s">
        <v>141</v>
      </c>
      <c r="C36" s="27">
        <v>594763.6068339921</v>
      </c>
      <c r="D36" s="27">
        <v>1927857.7136679841</v>
      </c>
      <c r="E36" s="27">
        <v>3875063.520501976</v>
      </c>
      <c r="F36" s="27">
        <v>6380646.473335968</v>
      </c>
      <c r="G36" s="27">
        <v>9273725.18154996</v>
      </c>
      <c r="H36" s="32">
        <v>-217500</v>
      </c>
    </row>
    <row r="37" spans="1:8" x14ac:dyDescent="0.25">
      <c r="A37" s="25" t="s">
        <v>7</v>
      </c>
      <c r="B37" s="25" t="s">
        <v>185</v>
      </c>
      <c r="C37" s="26">
        <v>67</v>
      </c>
      <c r="D37" s="26">
        <v>58</v>
      </c>
      <c r="E37" s="26">
        <v>57</v>
      </c>
      <c r="F37" s="26">
        <v>56</v>
      </c>
      <c r="G37" s="26">
        <v>55</v>
      </c>
      <c r="H37" s="53">
        <v>8</v>
      </c>
    </row>
    <row r="38" spans="1:8" x14ac:dyDescent="0.25">
      <c r="A38" s="52" t="s">
        <v>7</v>
      </c>
      <c r="B38" s="25" t="s">
        <v>186</v>
      </c>
      <c r="C38" s="26">
        <v>60</v>
      </c>
      <c r="D38" s="52" t="s">
        <v>7</v>
      </c>
      <c r="E38" s="52" t="s">
        <v>7</v>
      </c>
      <c r="F38" s="52" t="s">
        <v>7</v>
      </c>
      <c r="G38" s="52" t="s">
        <v>7</v>
      </c>
      <c r="H38" s="53">
        <v>0</v>
      </c>
    </row>
    <row r="39" spans="1:8" x14ac:dyDescent="0.25">
      <c r="A39" s="52" t="s">
        <v>7</v>
      </c>
      <c r="B39" s="25" t="s">
        <v>187</v>
      </c>
      <c r="C39" s="54" t="s">
        <v>96</v>
      </c>
      <c r="D39" s="52" t="s">
        <v>7</v>
      </c>
      <c r="E39" s="52" t="s">
        <v>7</v>
      </c>
      <c r="F39" s="52" t="s">
        <v>7</v>
      </c>
      <c r="G39" s="52" t="s">
        <v>7</v>
      </c>
      <c r="H39" s="50" t="s">
        <v>190</v>
      </c>
    </row>
    <row r="41" ht="18" customHeight="1" spans="1:8" x14ac:dyDescent="0.25">
      <c r="A41" s="48" t="s">
        <v>195</v>
      </c>
      <c r="B41" s="48"/>
      <c r="C41" s="48"/>
      <c r="D41" s="48"/>
      <c r="E41" s="48"/>
      <c r="F41" s="48"/>
      <c r="G41" s="48"/>
      <c r="H41" s="48"/>
    </row>
    <row r="42" ht="24" customHeight="1" spans="1:8" x14ac:dyDescent="0.25">
      <c r="A42" s="49" t="s">
        <v>196</v>
      </c>
      <c r="B42" s="49"/>
      <c r="C42" s="49"/>
      <c r="D42" s="49"/>
      <c r="E42" s="49"/>
      <c r="F42" s="49"/>
      <c r="G42" s="49"/>
      <c r="H42" s="49"/>
    </row>
    <row r="43" spans="1:8" x14ac:dyDescent="0.25">
      <c r="A43" s="25" t="s">
        <v>7</v>
      </c>
      <c r="B43" s="25" t="s">
        <v>127</v>
      </c>
      <c r="C43" s="27">
        <v>703163.6068339921</v>
      </c>
      <c r="D43" s="27">
        <v>1297971.106833992</v>
      </c>
      <c r="E43" s="27">
        <v>1911029.356833992</v>
      </c>
      <c r="F43" s="27">
        <v>2468321.664333992</v>
      </c>
      <c r="G43" s="27">
        <v>2854700.733558992</v>
      </c>
      <c r="H43" s="32">
        <v>-34100</v>
      </c>
    </row>
    <row r="44" spans="1:8" x14ac:dyDescent="0.25">
      <c r="A44" s="25" t="s">
        <v>7</v>
      </c>
      <c r="B44" s="25" t="s">
        <v>184</v>
      </c>
      <c r="C44" s="51">
        <v>21.64</v>
      </c>
      <c r="D44" s="26">
        <v>39.1</v>
      </c>
      <c r="E44" s="26">
        <v>57.1</v>
      </c>
      <c r="F44" s="26">
        <v>73.46</v>
      </c>
      <c r="G44" s="26">
        <v>84.8</v>
      </c>
      <c r="H44" s="53">
        <v>-1</v>
      </c>
    </row>
    <row r="45" spans="1:8" x14ac:dyDescent="0.25">
      <c r="A45" s="25" t="s">
        <v>7</v>
      </c>
      <c r="B45" s="25" t="s">
        <v>141</v>
      </c>
      <c r="C45" s="27">
        <v>778163.6068339921</v>
      </c>
      <c r="D45" s="27">
        <v>2076134.7136679841</v>
      </c>
      <c r="E45" s="27">
        <v>3987164.070501976</v>
      </c>
      <c r="F45" s="27">
        <v>6455485.734835968</v>
      </c>
      <c r="G45" s="27">
        <v>9310186.468394961</v>
      </c>
      <c r="H45" s="32">
        <v>-34100</v>
      </c>
    </row>
    <row r="46" spans="1:8" x14ac:dyDescent="0.25">
      <c r="A46" s="25" t="s">
        <v>7</v>
      </c>
      <c r="B46" s="25" t="s">
        <v>185</v>
      </c>
      <c r="C46" s="26">
        <v>61</v>
      </c>
      <c r="D46" s="26">
        <v>60</v>
      </c>
      <c r="E46" s="26">
        <v>59</v>
      </c>
      <c r="F46" s="26">
        <v>58</v>
      </c>
      <c r="G46" s="26">
        <v>57</v>
      </c>
      <c r="H46" s="53">
        <v>2</v>
      </c>
    </row>
    <row r="47" spans="1:8" x14ac:dyDescent="0.25">
      <c r="A47" s="52" t="s">
        <v>7</v>
      </c>
      <c r="B47" s="25" t="s">
        <v>186</v>
      </c>
      <c r="C47" s="26">
        <v>60</v>
      </c>
      <c r="D47" s="52" t="s">
        <v>7</v>
      </c>
      <c r="E47" s="52" t="s">
        <v>7</v>
      </c>
      <c r="F47" s="52" t="s">
        <v>7</v>
      </c>
      <c r="G47" s="52" t="s">
        <v>7</v>
      </c>
      <c r="H47" s="53">
        <v>0</v>
      </c>
    </row>
    <row r="48" spans="1:8" x14ac:dyDescent="0.25">
      <c r="A48" s="52" t="s">
        <v>7</v>
      </c>
      <c r="B48" s="25" t="s">
        <v>187</v>
      </c>
      <c r="C48" s="54" t="s">
        <v>96</v>
      </c>
      <c r="D48" s="52" t="s">
        <v>7</v>
      </c>
      <c r="E48" s="52" t="s">
        <v>7</v>
      </c>
      <c r="F48" s="52" t="s">
        <v>7</v>
      </c>
      <c r="G48" s="52" t="s">
        <v>7</v>
      </c>
      <c r="H48" s="50" t="s">
        <v>190</v>
      </c>
    </row>
    <row r="50" ht="18" customHeight="1" spans="1:8" x14ac:dyDescent="0.25">
      <c r="A50" s="48" t="s">
        <v>197</v>
      </c>
      <c r="B50" s="48"/>
      <c r="C50" s="48"/>
      <c r="D50" s="48"/>
      <c r="E50" s="48"/>
      <c r="F50" s="48"/>
      <c r="G50" s="48"/>
      <c r="H50" s="48"/>
    </row>
    <row r="51" ht="24" customHeight="1" spans="1:8" x14ac:dyDescent="0.25">
      <c r="A51" s="49" t="s">
        <v>198</v>
      </c>
      <c r="B51" s="49"/>
      <c r="C51" s="49"/>
      <c r="D51" s="49"/>
      <c r="E51" s="49"/>
      <c r="F51" s="49"/>
      <c r="G51" s="49"/>
      <c r="H51" s="49"/>
    </row>
    <row r="52" spans="1:8" x14ac:dyDescent="0.25">
      <c r="A52" s="25" t="s">
        <v>7</v>
      </c>
      <c r="B52" s="25" t="s">
        <v>127</v>
      </c>
      <c r="C52" s="27">
        <v>677571.1068339921</v>
      </c>
      <c r="D52" s="27">
        <v>1273401.606833992</v>
      </c>
      <c r="E52" s="27">
        <v>1834453.306833992</v>
      </c>
      <c r="F52" s="27">
        <v>2392830.452833992</v>
      </c>
      <c r="G52" s="27">
        <v>2780326.208213992</v>
      </c>
      <c r="H52" s="32">
        <v>-59692.5</v>
      </c>
    </row>
    <row r="53" spans="1:8" x14ac:dyDescent="0.25">
      <c r="A53" s="25" t="s">
        <v>7</v>
      </c>
      <c r="B53" s="25" t="s">
        <v>184</v>
      </c>
      <c r="C53" s="51">
        <v>20.89</v>
      </c>
      <c r="D53" s="26">
        <v>38.38</v>
      </c>
      <c r="E53" s="26">
        <v>54.85</v>
      </c>
      <c r="F53" s="26">
        <v>71.24</v>
      </c>
      <c r="G53" s="26">
        <v>82.62</v>
      </c>
      <c r="H53" s="53">
        <v>-1.75</v>
      </c>
    </row>
    <row r="54" spans="1:8" x14ac:dyDescent="0.25">
      <c r="A54" s="25" t="s">
        <v>7</v>
      </c>
      <c r="B54" s="25" t="s">
        <v>141</v>
      </c>
      <c r="C54" s="27">
        <v>812263.6068339921</v>
      </c>
      <c r="D54" s="27">
        <v>2145357.713667984</v>
      </c>
      <c r="E54" s="27">
        <v>4092563.520501976</v>
      </c>
      <c r="F54" s="27">
        <v>6598146.473335968</v>
      </c>
      <c r="G54" s="27">
        <v>9491225.18154996</v>
      </c>
      <c r="H54" s="32">
        <v>0</v>
      </c>
    </row>
    <row r="55" spans="1:8" x14ac:dyDescent="0.25">
      <c r="A55" s="25" t="s">
        <v>7</v>
      </c>
      <c r="B55" s="25" t="s">
        <v>185</v>
      </c>
      <c r="C55" s="26">
        <v>59</v>
      </c>
      <c r="D55" s="26">
        <v>58</v>
      </c>
      <c r="E55" s="26">
        <v>57</v>
      </c>
      <c r="F55" s="26">
        <v>56</v>
      </c>
      <c r="G55" s="26">
        <v>55</v>
      </c>
      <c r="H55" s="53">
        <v>0</v>
      </c>
    </row>
    <row r="56" spans="1:8" x14ac:dyDescent="0.25">
      <c r="A56" s="52" t="s">
        <v>7</v>
      </c>
      <c r="B56" s="25" t="s">
        <v>186</v>
      </c>
      <c r="C56" s="26">
        <v>60</v>
      </c>
      <c r="D56" s="52" t="s">
        <v>7</v>
      </c>
      <c r="E56" s="52" t="s">
        <v>7</v>
      </c>
      <c r="F56" s="52" t="s">
        <v>7</v>
      </c>
      <c r="G56" s="52" t="s">
        <v>7</v>
      </c>
      <c r="H56" s="53">
        <v>0</v>
      </c>
    </row>
    <row r="57" spans="1:8" x14ac:dyDescent="0.25">
      <c r="A57" s="52" t="s">
        <v>7</v>
      </c>
      <c r="B57" s="25" t="s">
        <v>187</v>
      </c>
      <c r="C57" s="54" t="s">
        <v>96</v>
      </c>
      <c r="D57" s="52" t="s">
        <v>7</v>
      </c>
      <c r="E57" s="52" t="s">
        <v>7</v>
      </c>
      <c r="F57" s="52" t="s">
        <v>7</v>
      </c>
      <c r="G57" s="52" t="s">
        <v>7</v>
      </c>
      <c r="H57" s="50" t="s">
        <v>190</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5" t="s">
        <v>200</v>
      </c>
      <c r="C2" s="55"/>
      <c r="D2" s="55"/>
      <c r="E2" s="55"/>
      <c r="F2" s="55"/>
      <c r="G2" s="55"/>
      <c r="H2" s="55"/>
    </row>
    <row r="4" ht="30" customHeight="1" spans="2:8" x14ac:dyDescent="0.25">
      <c r="B4" s="38" t="s">
        <v>201</v>
      </c>
      <c r="C4" s="38"/>
      <c r="D4" s="38"/>
      <c r="E4" s="38"/>
      <c r="F4" s="38"/>
      <c r="G4" s="38"/>
      <c r="H4" s="38"/>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6" t="s">
        <v>203</v>
      </c>
      <c r="D4" s="57" t="s">
        <v>204</v>
      </c>
      <c r="F4" s="58" t="s">
        <v>205</v>
      </c>
    </row>
    <row r="6" ht="24" customHeight="1" spans="2:8" x14ac:dyDescent="0.25">
      <c r="B6" s="59" t="s">
        <v>179</v>
      </c>
      <c r="C6" s="60" t="s">
        <v>96</v>
      </c>
      <c r="D6" s="60" t="s">
        <v>97</v>
      </c>
      <c r="E6" s="60" t="s">
        <v>98</v>
      </c>
      <c r="F6" s="60" t="s">
        <v>99</v>
      </c>
      <c r="G6" s="60" t="s">
        <v>100</v>
      </c>
      <c r="H6" s="60" t="s">
        <v>206</v>
      </c>
    </row>
    <row r="7" spans="2:7" x14ac:dyDescent="0.25">
      <c r="B7" s="25" t="s">
        <v>101</v>
      </c>
      <c r="C7" s="26">
        <v>100</v>
      </c>
      <c r="D7" s="26">
        <v>130</v>
      </c>
      <c r="E7" s="26">
        <v>160</v>
      </c>
      <c r="F7" s="26">
        <v>185</v>
      </c>
      <c r="G7" s="26">
        <v>200</v>
      </c>
    </row>
    <row r="8" spans="2:7" x14ac:dyDescent="0.25">
      <c r="B8" s="25" t="s">
        <v>207</v>
      </c>
      <c r="C8" s="27">
        <v>1992500</v>
      </c>
      <c r="D8" s="27">
        <v>2642532.5</v>
      </c>
      <c r="E8" s="27">
        <v>3329841.2</v>
      </c>
      <c r="F8" s="27">
        <v>3951312.4416249995</v>
      </c>
      <c r="G8" s="27">
        <v>4391326.28635</v>
      </c>
    </row>
    <row r="9" spans="2:7" x14ac:dyDescent="0.25">
      <c r="B9" s="25" t="s">
        <v>208</v>
      </c>
      <c r="C9" s="27">
        <v>824466.6666666666</v>
      </c>
      <c r="D9" s="27">
        <v>951514</v>
      </c>
      <c r="E9" s="27">
        <v>1138133.52</v>
      </c>
      <c r="F9" s="27">
        <v>1280821.7409333333</v>
      </c>
      <c r="G9" s="27">
        <v>1431046.934954667</v>
      </c>
    </row>
    <row r="10" spans="2:7" x14ac:dyDescent="0.25">
      <c r="B10" s="25" t="s">
        <v>209</v>
      </c>
      <c r="C10" s="27">
        <v>271400</v>
      </c>
      <c r="D10" s="27">
        <v>334544</v>
      </c>
      <c r="E10" s="27">
        <v>423893.20399999997</v>
      </c>
      <c r="F10" s="27">
        <v>543450.5083634</v>
      </c>
      <c r="G10" s="27">
        <v>692109.0785088772</v>
      </c>
    </row>
    <row r="11" spans="2:7" x14ac:dyDescent="0.25">
      <c r="B11" s="25" t="s">
        <v>210</v>
      </c>
      <c r="C11" s="27">
        <v>59064.39316600799</v>
      </c>
      <c r="D11" s="27">
        <v>59064.39316600799</v>
      </c>
      <c r="E11" s="27">
        <v>59064.39316600799</v>
      </c>
      <c r="F11" s="27">
        <v>59064.39316600799</v>
      </c>
      <c r="G11" s="27">
        <v>59064.39316600799</v>
      </c>
    </row>
    <row r="12" spans="2:7" x14ac:dyDescent="0.25">
      <c r="B12" s="28" t="s">
        <v>127</v>
      </c>
      <c r="C12" s="30">
        <v>837568.9401673255</v>
      </c>
      <c r="D12" s="30">
        <v>1297410.106833992</v>
      </c>
      <c r="E12" s="30">
        <v>1708750.0828339923</v>
      </c>
      <c r="F12" s="30">
        <v>2067975.7991622584</v>
      </c>
      <c r="G12" s="30">
        <v>2209105.8797204476</v>
      </c>
    </row>
    <row r="13" spans="2:7" x14ac:dyDescent="0.25">
      <c r="B13" s="28" t="s">
        <v>141</v>
      </c>
      <c r="C13" s="30">
        <v>912568.9401673255</v>
      </c>
      <c r="D13" s="30">
        <v>2209979.0470013176</v>
      </c>
      <c r="E13" s="30">
        <v>3918729.12983531</v>
      </c>
      <c r="F13" s="30">
        <v>5986704.928997569</v>
      </c>
      <c r="G13" s="30">
        <v>8195810.808718016</v>
      </c>
    </row>
    <row r="14" spans="2:7" x14ac:dyDescent="0.25">
      <c r="B14" s="28" t="s">
        <v>128</v>
      </c>
      <c r="C14" s="61">
        <v>0.42036082317055234</v>
      </c>
      <c r="D14" s="61">
        <v>0.49097224228424513</v>
      </c>
      <c r="E14" s="61">
        <v>0.5131626345526604</v>
      </c>
      <c r="F14" s="61">
        <v>0.523364282048977</v>
      </c>
      <c r="G14" s="61">
        <v>0.5030612019396584</v>
      </c>
    </row>
    <row r="15" spans="2:8" x14ac:dyDescent="0.25">
      <c r="B15" s="28" t="s">
        <v>211</v>
      </c>
      <c r="C15" s="62">
        <v>19925</v>
      </c>
      <c r="D15" s="62">
        <v>20327.173076923078</v>
      </c>
      <c r="E15" s="62">
        <v>20811.5075</v>
      </c>
      <c r="F15" s="62">
        <v>21358.445630405404</v>
      </c>
      <c r="G15" s="62">
        <v>21956.63143175</v>
      </c>
      <c r="H15" s="63" t="s">
        <v>212</v>
      </c>
    </row>
    <row r="16" spans="2:7" x14ac:dyDescent="0.25">
      <c r="B16" s="28" t="s">
        <v>213</v>
      </c>
      <c r="C16" s="32">
        <v>11549.310598326745</v>
      </c>
      <c r="D16" s="32">
        <v>10347.095332046214</v>
      </c>
      <c r="E16" s="32">
        <v>10131.819482287548</v>
      </c>
      <c r="F16" s="32">
        <v>10180.198067366167</v>
      </c>
      <c r="G16" s="32">
        <v>10911.102033147761</v>
      </c>
    </row>
    <row r="17" spans="2:7" x14ac:dyDescent="0.25">
      <c r="B17" s="25" t="s">
        <v>214</v>
      </c>
      <c r="C17" s="27">
        <v>600</v>
      </c>
      <c r="D17" s="27">
        <v>803.4</v>
      </c>
      <c r="E17" s="27">
        <v>1075.7526</v>
      </c>
      <c r="F17" s="27">
        <v>1440.4327313999997</v>
      </c>
      <c r="G17" s="27">
        <v>1928.7394273446</v>
      </c>
    </row>
    <row r="18" spans="2:8" x14ac:dyDescent="0.25">
      <c r="B18" s="25" t="s">
        <v>215</v>
      </c>
      <c r="C18" s="62">
        <v>1364</v>
      </c>
      <c r="D18" s="62">
        <v>1080.7076923076922</v>
      </c>
      <c r="E18" s="62">
        <v>904.4172499999999</v>
      </c>
      <c r="F18" s="62">
        <v>805.6646637837837</v>
      </c>
      <c r="G18" s="62">
        <v>767.5970084200001</v>
      </c>
      <c r="H18" s="63" t="s">
        <v>216</v>
      </c>
    </row>
    <row r="19" spans="2:7" x14ac:dyDescent="0.25">
      <c r="B19" s="28" t="s">
        <v>217</v>
      </c>
      <c r="C19" s="40">
        <v>8375.689401673255</v>
      </c>
      <c r="D19" s="40">
        <v>9980.077744876862</v>
      </c>
      <c r="E19" s="40">
        <v>10679.688017712451</v>
      </c>
      <c r="F19" s="40">
        <v>11178.247563039235</v>
      </c>
      <c r="G19" s="40">
        <v>11045.529398602237</v>
      </c>
    </row>
    <row r="20" spans="2:8" x14ac:dyDescent="0.25">
      <c r="B20" s="28" t="s">
        <v>218</v>
      </c>
      <c r="C20" s="61">
        <v>0.4137850271852781</v>
      </c>
      <c r="D20" s="61">
        <v>0.3600765553498396</v>
      </c>
      <c r="E20" s="61">
        <v>0.34179813740066645</v>
      </c>
      <c r="F20" s="61">
        <v>0.32415096499091023</v>
      </c>
      <c r="G20" s="61">
        <v>0.3258803472205957</v>
      </c>
      <c r="H20" s="63" t="s">
        <v>219</v>
      </c>
    </row>
    <row r="21" spans="2:8" x14ac:dyDescent="0.25">
      <c r="B21" s="28" t="s">
        <v>220</v>
      </c>
      <c r="C21" s="61">
        <v>0.06845671267252196</v>
      </c>
      <c r="D21" s="61">
        <v>0.05316566589058034</v>
      </c>
      <c r="E21" s="61">
        <v>0.04345755587383566</v>
      </c>
      <c r="F21" s="61">
        <v>0.03772112810666604</v>
      </c>
      <c r="G21" s="61">
        <v>0.034959689094659116</v>
      </c>
      <c r="H21" s="63" t="s">
        <v>221</v>
      </c>
    </row>
    <row r="22" spans="2:8" x14ac:dyDescent="0.25">
      <c r="B22" s="28" t="s">
        <v>124</v>
      </c>
      <c r="C22" s="61">
        <v>0.45000418235048106</v>
      </c>
      <c r="D22" s="61">
        <v>0.5133236771922389</v>
      </c>
      <c r="E22" s="61">
        <v>0.5309005354369452</v>
      </c>
      <c r="F22" s="61">
        <v>0.538312326284557</v>
      </c>
      <c r="G22" s="61">
        <v>0.5165114420982191</v>
      </c>
      <c r="H22" s="63" t="s">
        <v>222</v>
      </c>
    </row>
    <row r="23" spans="2:8" x14ac:dyDescent="0.25">
      <c r="B23" s="28" t="s">
        <v>223</v>
      </c>
      <c r="C23" s="64">
        <v>4</v>
      </c>
      <c r="D23" s="64">
        <v>4</v>
      </c>
      <c r="E23" s="64">
        <v>4</v>
      </c>
      <c r="F23" s="64">
        <v>4</v>
      </c>
      <c r="G23" s="64">
        <v>4</v>
      </c>
      <c r="H23" s="63" t="s">
        <v>224</v>
      </c>
    </row>
    <row r="24" spans="2:8" x14ac:dyDescent="0.25">
      <c r="B24" s="28" t="s">
        <v>184</v>
      </c>
      <c r="C24" s="65">
        <v>15.18060688125977</v>
      </c>
      <c r="D24" s="65">
        <v>22.966027877192538</v>
      </c>
      <c r="E24" s="65">
        <v>29.930291013594818</v>
      </c>
      <c r="F24" s="65">
        <v>36.012224596127645</v>
      </c>
      <c r="G24" s="65">
        <v>38.401652015817284</v>
      </c>
      <c r="H24" s="63" t="s">
        <v>225</v>
      </c>
    </row>
    <row r="25" spans="2:8" x14ac:dyDescent="0.25">
      <c r="B25" s="28" t="s">
        <v>226</v>
      </c>
      <c r="C25" s="33" t="str">
        <f>IF('5-Year P&amp;L'!C24&gt;=0,"✓ Break-even","")</f>
        <v>✓ Break-even</v>
      </c>
      <c r="D25" s="66" t="str">
        <f>IF(AND('5-Year P&amp;L'!D24&gt;=0,'5-Year P&amp;L'!C24&lt;0),"✓ Break-even","")</f>
        <v>0</v>
      </c>
      <c r="E25" s="66" t="str">
        <f>IF(AND('5-Year P&amp;L'!E24&gt;=0,'5-Year P&amp;L'!D24&lt;0),"✓ Break-even","")</f>
        <v>0</v>
      </c>
      <c r="F25" s="66" t="str">
        <f>IF(AND('5-Year P&amp;L'!F24&gt;=0,'5-Year P&amp;L'!E24&lt;0),"✓ Break-even","")</f>
        <v>0</v>
      </c>
      <c r="G25" s="66" t="str">
        <f>IF(AND('5-Year P&amp;L'!G24&gt;=0,'5-Year P&amp;L'!F24&lt;0),"✓ Break-even","")</f>
        <v>0</v>
      </c>
      <c r="H25" s="63" t="s">
        <v>96</v>
      </c>
    </row>
    <row r="26" spans="2:8" x14ac:dyDescent="0.25">
      <c r="B26" s="28" t="s">
        <v>227</v>
      </c>
      <c r="C26" s="67">
        <v>9</v>
      </c>
      <c r="D26" s="68">
        <v>20</v>
      </c>
      <c r="E26" s="64">
        <v>29</v>
      </c>
      <c r="F26" s="64">
        <v>38</v>
      </c>
      <c r="G26" s="64">
        <v>45</v>
      </c>
      <c r="H26" s="63" t="s">
        <v>228</v>
      </c>
    </row>
    <row r="27" spans="2:8" x14ac:dyDescent="0.25">
      <c r="B27" s="28" t="s">
        <v>229</v>
      </c>
      <c r="C27" s="64">
        <v>288</v>
      </c>
      <c r="D27" s="64">
        <v>600</v>
      </c>
      <c r="E27" s="64">
        <v>882</v>
      </c>
      <c r="F27" s="64">
        <v>1160</v>
      </c>
      <c r="G27" s="64">
        <v>1371</v>
      </c>
      <c r="H27" s="63" t="s">
        <v>230</v>
      </c>
    </row>
    <row r="29" ht="24" customHeight="1" spans="2:9" x14ac:dyDescent="0.25">
      <c r="B29" s="59" t="s">
        <v>231</v>
      </c>
      <c r="C29" s="59" t="s">
        <v>232</v>
      </c>
      <c r="D29" s="59" t="s">
        <v>233</v>
      </c>
      <c r="E29" s="59"/>
      <c r="F29" s="59" t="s">
        <v>234</v>
      </c>
      <c r="G29" s="59"/>
      <c r="H29" s="59"/>
      <c r="I29" s="59"/>
    </row>
    <row r="30" ht="45" customHeight="1" spans="2:9" x14ac:dyDescent="0.25">
      <c r="B30" s="69" t="s">
        <v>235</v>
      </c>
      <c r="C30" s="33" t="s">
        <v>236</v>
      </c>
      <c r="D30" s="70" t="s">
        <v>237</v>
      </c>
      <c r="E30" s="70"/>
      <c r="F30" s="71" t="s">
        <v>238</v>
      </c>
      <c r="G30" s="71"/>
      <c r="H30" s="71"/>
      <c r="I30" s="71"/>
    </row>
    <row r="31" ht="45" customHeight="1" spans="2:9" x14ac:dyDescent="0.25">
      <c r="B31" s="69" t="s">
        <v>239</v>
      </c>
      <c r="C31" s="33" t="s">
        <v>236</v>
      </c>
      <c r="D31" s="70" t="s">
        <v>240</v>
      </c>
      <c r="E31" s="70"/>
      <c r="F31" s="71" t="s">
        <v>241</v>
      </c>
      <c r="G31" s="71"/>
      <c r="H31" s="71"/>
      <c r="I31" s="71"/>
    </row>
    <row r="32" ht="45" customHeight="1" spans="2:9" x14ac:dyDescent="0.25">
      <c r="B32" s="69" t="s">
        <v>242</v>
      </c>
      <c r="C32" s="33" t="s">
        <v>236</v>
      </c>
      <c r="D32" s="70" t="s">
        <v>243</v>
      </c>
      <c r="E32" s="70"/>
      <c r="F32" s="71" t="s">
        <v>244</v>
      </c>
      <c r="G32" s="71"/>
      <c r="H32" s="71"/>
      <c r="I32" s="71"/>
    </row>
    <row r="33" ht="45" customHeight="1" spans="2:9" x14ac:dyDescent="0.25">
      <c r="B33" s="69" t="s">
        <v>245</v>
      </c>
      <c r="C33" s="33" t="s">
        <v>236</v>
      </c>
      <c r="D33" s="70" t="s">
        <v>246</v>
      </c>
      <c r="E33" s="70"/>
      <c r="F33" s="71" t="s">
        <v>247</v>
      </c>
      <c r="G33" s="71"/>
      <c r="H33" s="71"/>
      <c r="I33" s="71"/>
    </row>
    <row r="34" ht="45" customHeight="1" spans="2:9" x14ac:dyDescent="0.25">
      <c r="B34" s="69" t="s">
        <v>248</v>
      </c>
      <c r="C34" s="33" t="s">
        <v>236</v>
      </c>
      <c r="D34" s="70" t="s">
        <v>249</v>
      </c>
      <c r="E34" s="70"/>
      <c r="F34" s="71" t="s">
        <v>250</v>
      </c>
      <c r="G34" s="71"/>
      <c r="H34" s="71"/>
      <c r="I34" s="71"/>
    </row>
    <row r="35" ht="45" customHeight="1" spans="2:9" x14ac:dyDescent="0.25">
      <c r="B35" s="69" t="s">
        <v>251</v>
      </c>
      <c r="C35" s="33" t="s">
        <v>236</v>
      </c>
      <c r="D35" s="70" t="s">
        <v>252</v>
      </c>
      <c r="E35" s="70"/>
      <c r="F35" s="71" t="s">
        <v>253</v>
      </c>
      <c r="G35" s="71"/>
      <c r="H35" s="71"/>
      <c r="I35" s="71"/>
    </row>
    <row r="36" ht="45" customHeight="1" spans="2:9" x14ac:dyDescent="0.25">
      <c r="B36" s="69" t="s">
        <v>254</v>
      </c>
      <c r="C36" s="33" t="s">
        <v>236</v>
      </c>
      <c r="D36" s="70" t="s">
        <v>255</v>
      </c>
      <c r="E36" s="70"/>
      <c r="F36" s="71" t="s">
        <v>256</v>
      </c>
      <c r="G36" s="71"/>
      <c r="H36" s="71"/>
      <c r="I36" s="71"/>
    </row>
    <row r="38" spans="2:6" x14ac:dyDescent="0.25">
      <c r="B38" s="69" t="s">
        <v>39</v>
      </c>
      <c r="C38" s="28" t="s">
        <v>257</v>
      </c>
      <c r="D38" s="28"/>
      <c r="E38" s="28"/>
      <c r="F38" s="28"/>
    </row>
    <row r="40" spans="2:9" x14ac:dyDescent="0.25">
      <c r="B40" s="72" t="s">
        <v>258</v>
      </c>
      <c r="C40" s="72"/>
      <c r="D40" s="72"/>
      <c r="E40" s="72"/>
      <c r="F40" s="72"/>
      <c r="G40" s="72"/>
      <c r="H40" s="72"/>
      <c r="I40" s="7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