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<sst xmlns="http://schemas.openxmlformats.org/spreadsheetml/2006/main" count="239" uniqueCount="191">
  <si>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</si>
  <si>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</si>
  <si>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</si>
  <si>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</si>
  <si>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</si>
  <si>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</si>
  <si>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</si>
  <si>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</si>
  <si>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</si>
  <si>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</si>
  <si>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</si>
  <si>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</si>
  <si>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</si>
  <si>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</si>
  <si>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</si>
  <si>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</si>
  <si>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</si>
  <si>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</si>
  <si>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</si>
  <si>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</si>
  <si>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</si>
  <si>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</si>
  <si>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</si>
  <si>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</si>
  <si>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</si>
  <si>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</si>
  <si>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</si>
  <si>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</si>
  <si>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</si>
  <si>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</si>
  <si>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</si>
  <si>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</si>
  <si>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</si>
  <si>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</si>
  <si>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</si>
  <si>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</si>
  <si>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</si>
  <si>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</si>
  <si>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</si>
  <si>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</si>
  <si>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</si>
  <si>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</si>
  <si>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</si>
  <si>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</si>
  <si>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</si>
  <si>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</si>
  <si>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</si>
  <si>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</si>
  <si>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</si>
  <si>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</si>
  <si>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</si>
  <si>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</si>
  <si>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</si>
  <si>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</si>
  <si>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</si>
  <si>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</si>
  <si>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</si>
  <si>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</si>
  <si>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</si>
  <si>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</si>
  <si>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</si>
  <si>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</si>
  <si>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</si>
  <si>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</si>
  <si>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</si>
  <si>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</si>
  <si>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</si>
  <si>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</si>
  <si>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</si>
  <si>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</si>
  <si>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</si>
  <si>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</si>
  <si>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</si>
  <si>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</si>
  <si>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</si>
  <si>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</si>
  <si>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</si>
  <si>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</si>
  <si>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</si>
  <si>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</si>
  <si>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</si>
  <si>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</si>
  <si>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</si>
  <si>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</si>
  <si>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</si>
  <si>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</si>
  <si>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</si>
  <si>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</si>
  <si>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</si>
  <si>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</si>
  <si>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</si>
  <si>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</si>
  <si>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</si>
  <si>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</si>
  <si>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</si>
  <si>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</si>
  <si>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</si>
  <si>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</si>
  <si>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</si>
  <si>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</si>
  <si>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</si>
  <si>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</si>
  <si>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</si>
  <si>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</si>
  <si>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</si>
  <si>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</si>
  <si>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</si>
  <si>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</si>
  <si>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</si>
  <si>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</si>
  <si>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</si>
  <si>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</si>
  <si>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</si>
  <si>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</si>
  <si>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</si>
  <si>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</si>
  <si>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</si>
  <si>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</si>
  <si>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</si>
  <si>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</si>
  <si>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</si>
  <si>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</si>
  <si>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</si>
  <si>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</si>
  <si>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</si>
  <si>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</si>
  <si>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</si>
  <si>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</si>
  <si>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</si>
  <si>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</si>
  <si>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</si>
  <si>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</si>
  <si>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</si>
  <si>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</si>
  <si>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</si>
  <si>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</si>
  <si>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</si>
  <si>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</si>
  <si>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</si>
  <si>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</si>
  <si>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</si>
  <si>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</si>
  <si>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</si>
  <si>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</si>
  <si>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</si>
  <si>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</si>
  <si>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</si>
  <si>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</si>
  <si>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</si>
  <si>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</si>
  <si>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</si>
  <si>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</si>
  <si>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</si>
  <si>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</si>
  <si>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</si>
  <si>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</si>
  <si>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</si>
  <si>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</si>
  <si>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</si>
  <si>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</si>
  <si>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</si>
  <si>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5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</si>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</sst>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5" fontId="15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7" fontId="15" fillId="3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165" fontId="15" fillId="3" borderId="3" xfId="0" applyNumberFormat="1" applyFont="1" applyFill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167" fontId="15" fillId="3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17" fillId="0" borderId="3" xfId="0" applyFont="1" applyBorder="1"/>
    <xf numFmtId="0" fontId="4" fillId="0" borderId="3" xfId="0" applyFont="1" applyBorder="1"/>
    <xf numFmtId="0" fontId="17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6" fillId="0" borderId="3" xfId="0" applyFont="1" applyBorder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2023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100</v>
      </c>
    </row>
    <row r="13" spans="3:4" x14ac:dyDescent="0.25">
      <c r="C13" s="17" t="s">
        <v>53</v>
      </c>
      <c r="D13" s="19">
        <v>130</v>
      </c>
    </row>
    <row r="14" spans="3:4" x14ac:dyDescent="0.25">
      <c r="C14" s="17" t="s">
        <v>54</v>
      </c>
      <c r="D14" s="19">
        <v>160</v>
      </c>
    </row>
    <row r="15" spans="3:4" x14ac:dyDescent="0.25">
      <c r="C15" s="17" t="s">
        <v>55</v>
      </c>
      <c r="D15" s="19">
        <v>185</v>
      </c>
    </row>
    <row r="16" spans="3:4" x14ac:dyDescent="0.25">
      <c r="C16" s="17" t="s">
        <v>56</v>
      </c>
      <c r="D16" s="19">
        <v>200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8700</v>
      </c>
    </row>
    <row r="23" spans="3:4" x14ac:dyDescent="0.25">
      <c r="C23" s="17" t="s">
        <v>61</v>
      </c>
      <c r="D23" s="21">
        <v>0.03</v>
      </c>
    </row>
    <row r="24" spans="3:4" x14ac:dyDescent="0.25">
      <c r="C24" s="17" t="s">
        <v>62</v>
      </c>
      <c r="D24" s="20">
        <v>500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75000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11</v>
      </c>
    </row>
    <row r="33" spans="3:4" x14ac:dyDescent="0.25">
      <c r="C33" s="17" t="s">
        <v>69</v>
      </c>
      <c r="D33" s="20">
        <v>40000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4</v>
      </c>
    </row>
    <row r="36" spans="3:4" x14ac:dyDescent="0.25">
      <c r="C36" s="17" t="s">
        <v>72</v>
      </c>
      <c r="D36" s="19">
        <v>4</v>
      </c>
    </row>
    <row r="37" spans="3:4" x14ac:dyDescent="0.25">
      <c r="C37" s="17" t="s">
        <v>73</v>
      </c>
      <c r="D37" s="19">
        <v>4</v>
      </c>
    </row>
    <row r="38" spans="3:4" x14ac:dyDescent="0.25">
      <c r="C38" s="17" t="s">
        <v>74</v>
      </c>
      <c r="D38" s="19">
        <v>4</v>
      </c>
    </row>
    <row r="39" spans="3:4" x14ac:dyDescent="0.25">
      <c r="C39" s="17" t="s">
        <v>75</v>
      </c>
      <c r="D39" s="19">
        <v>4</v>
      </c>
    </row>
    <row r="40" spans="3:4" x14ac:dyDescent="0.25">
      <c r="C40" s="17" t="s">
        <v>76</v>
      </c>
      <c r="D40" s="20">
        <v>66000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0.24166666666666667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102000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34400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600</v>
      </c>
    </row>
    <row r="51" spans="3:4" x14ac:dyDescent="0.25">
      <c r="C51" s="17" t="s">
        <v>85</v>
      </c>
      <c r="D51" s="21">
        <v>0.339</v>
      </c>
    </row>
    <row r="52" spans="3:4" x14ac:dyDescent="0.25">
      <c r="C52" s="17" t="s">
        <v>86</v>
      </c>
      <c r="D52" s="20">
        <v>75000</v>
      </c>
    </row>
    <row r="53" spans="3:4" x14ac:dyDescent="0.25">
      <c r="C53" s="17" t="s">
        <v>87</v>
      </c>
      <c r="D53" s="21">
        <v>0.1948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75000</v>
      </c>
    </row>
    <row r="58" spans="3:4" x14ac:dyDescent="0.25">
      <c r="C58" s="17" t="s">
        <v>90</v>
      </c>
      <c r="D58" s="20">
        <v>25000</v>
      </c>
    </row>
    <row r="59" spans="3:4" x14ac:dyDescent="0.25">
      <c r="C59" s="17" t="s">
        <v>91</v>
      </c>
      <c r="D59" s="20">
        <v>250000</v>
      </c>
    </row>
    <row r="60" spans="3:4" x14ac:dyDescent="0.25">
      <c r="C60" s="17" t="s">
        <v>92</v>
      </c>
      <c r="D60" s="21">
        <v>0.065</v>
      </c>
    </row>
    <row r="61" spans="3:4" x14ac:dyDescent="0.25">
      <c r="C61" s="17" t="s">
        <v>93</v>
      </c>
      <c r="D61" s="19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100</v>
      </c>
      <c r="D4" s="25">
        <f>Assumptions!D13</f>
        <v>130</v>
      </c>
      <c r="E4" s="25">
        <f>Assumptions!D14</f>
        <v>160</v>
      </c>
      <c r="F4" s="25">
        <f>Assumptions!D15</f>
        <v>185</v>
      </c>
      <c r="G4" s="25">
        <f>Assumptions!D16</f>
        <v>200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870000</v>
      </c>
      <c r="D7" s="26">
        <f>Assumptions!D13*Assumptions!D22*(1+Assumptions!D23)^1</f>
        <v>1164930</v>
      </c>
      <c r="E7" s="26">
        <f>Assumptions!D14*Assumptions!D22*(1+Assumptions!D23)^2</f>
        <v>1476772.8</v>
      </c>
      <c r="F7" s="26">
        <f>Assumptions!D15*Assumptions!D22*(1+Assumptions!D23)^3</f>
        <v>1758744.1065</v>
      </c>
      <c r="G7" s="26">
        <f>Assumptions!D16*Assumptions!D22*(1+Assumptions!D23)^4</f>
        <v>1958385.3294</v>
      </c>
    </row>
    <row r="8" spans="2:7" x14ac:dyDescent="0.25">
      <c r="B8" s="24" t="s">
        <v>104</v>
      </c>
      <c r="C8" s="26">
        <f>Assumptions!D12*Assumptions!D24</f>
        <v>50000</v>
      </c>
      <c r="D8" s="26">
        <f>Assumptions!D13*Assumptions!D24*(1+Assumptions!D25)^1</f>
        <v>66950</v>
      </c>
      <c r="E8" s="26">
        <f>Assumptions!D14*Assumptions!D24*(1+Assumptions!D25)^2</f>
        <v>84872</v>
      </c>
      <c r="F8" s="26">
        <f>Assumptions!D15*Assumptions!D24*(1+Assumptions!D25)^3</f>
        <v>101077.2475</v>
      </c>
      <c r="G8" s="26">
        <f>Assumptions!D16*Assumptions!D24*(1+Assumptions!D25)^4</f>
        <v>112550.881</v>
      </c>
    </row>
    <row r="9" spans="2:7" x14ac:dyDescent="0.25">
      <c r="B9" s="24" t="s">
        <v>105</v>
      </c>
      <c r="C9" s="26">
        <f>Assumptions!D27</f>
        <v>75000</v>
      </c>
      <c r="D9" s="26">
        <f>Assumptions!D27*(1+Assumptions!D28)^1</f>
        <v>75000</v>
      </c>
      <c r="E9" s="26">
        <f>Assumptions!D27*(1+Assumptions!D28)^2</f>
        <v>75000</v>
      </c>
      <c r="F9" s="26">
        <f>Assumptions!D27*(1+Assumptions!D28)^3</f>
        <v>75000</v>
      </c>
      <c r="G9" s="26">
        <f>Assumptions!D27*(1+Assumptions!D28)^4</f>
        <v>75000</v>
      </c>
    </row>
    <row r="10" spans="2:7" x14ac:dyDescent="0.25">
      <c r="B10" s="27" t="s">
        <v>106</v>
      </c>
      <c r="C10" s="28">
        <f>C6+C7+C8+C9</f>
        <v>995000</v>
      </c>
      <c r="D10" s="28">
        <f>D6+D7+D8+D9</f>
        <v>1306880</v>
      </c>
      <c r="E10" s="28">
        <f>E6+E7+E8+E9</f>
        <v>1636644.8</v>
      </c>
      <c r="F10" s="28">
        <f>F6+F7+F8+F9</f>
        <v>1934821.354</v>
      </c>
      <c r="G10" s="28">
        <f>G6+G7+G8+G9</f>
        <v>2145936.2104</v>
      </c>
    </row>
    <row r="12" spans="2:7" x14ac:dyDescent="0.25">
      <c r="B12" s="24" t="s">
        <v>107</v>
      </c>
      <c r="C12" s="25">
        <f>CEILING(Assumptions!D12/Assumptions!D32,1)</f>
        <v>10</v>
      </c>
      <c r="D12" s="25">
        <f>CEILING(Assumptions!D13/Assumptions!D32,1)</f>
        <v>12</v>
      </c>
      <c r="E12" s="25">
        <f>CEILING(Assumptions!D14/Assumptions!D32,1)</f>
        <v>15</v>
      </c>
      <c r="F12" s="25">
        <f>CEILING(Assumptions!D15/Assumptions!D32,1)</f>
        <v>17</v>
      </c>
      <c r="G12" s="25">
        <f>CEILING(Assumptions!D16/Assumptions!D32,1)</f>
        <v>19</v>
      </c>
    </row>
    <row r="13" spans="2:7" x14ac:dyDescent="0.25">
      <c r="B13" s="24" t="s">
        <v>108</v>
      </c>
      <c r="C13" s="26">
        <f>C12*Assumptions!D33</f>
        <v>400000</v>
      </c>
      <c r="D13" s="26">
        <f>D12*Assumptions!D33*(1+Assumptions!D34)^1</f>
        <v>494400</v>
      </c>
      <c r="E13" s="26">
        <f>E12*Assumptions!D33*(1+Assumptions!D34)^2</f>
        <v>636540</v>
      </c>
      <c r="F13" s="26">
        <f>F12*Assumptions!D33*(1+Assumptions!D34)^3</f>
        <v>743054.36</v>
      </c>
      <c r="G13" s="26">
        <f>G12*Assumptions!D33*(1+Assumptions!D34)^4</f>
        <v>855386.6956</v>
      </c>
    </row>
    <row r="14" spans="2:7" x14ac:dyDescent="0.25">
      <c r="B14" s="24" t="s">
        <v>109</v>
      </c>
      <c r="C14" s="26">
        <f>Assumptions!D35*Assumptions!D40</f>
        <v>264000</v>
      </c>
      <c r="D14" s="26">
        <f>Assumptions!D36*Assumptions!D40*(1+Assumptions!D41)^1</f>
        <v>271920</v>
      </c>
      <c r="E14" s="26">
        <f>Assumptions!D37*Assumptions!D40*(1+Assumptions!D41)^2</f>
        <v>280077.6</v>
      </c>
      <c r="F14" s="26">
        <f>Assumptions!D38*Assumptions!D40*(1+Assumptions!D41)^3</f>
        <v>288479.928</v>
      </c>
      <c r="G14" s="26">
        <f>Assumptions!D39*Assumptions!D40*(1+Assumptions!D41)^4</f>
        <v>297134.32584</v>
      </c>
    </row>
    <row r="15" spans="2:7" x14ac:dyDescent="0.25">
      <c r="B15" s="24" t="s">
        <v>110</v>
      </c>
      <c r="C15" s="26">
        <f>(C13+C14)*Assumptions!D42</f>
        <v>160466.66666667</v>
      </c>
      <c r="D15" s="26">
        <f>(D13+D14)*Assumptions!D42</f>
        <v>185194</v>
      </c>
      <c r="E15" s="26">
        <f>(E13+E14)*Assumptions!D42</f>
        <v>221515.92</v>
      </c>
      <c r="F15" s="26">
        <f>(F13+F14)*Assumptions!D42</f>
        <v>249287.45293333</v>
      </c>
      <c r="G15" s="26">
        <f>(G13+G14)*Assumptions!D42</f>
        <v>278525.91351467</v>
      </c>
    </row>
    <row r="16" spans="2:7" x14ac:dyDescent="0.25">
      <c r="B16" s="27" t="s">
        <v>111</v>
      </c>
      <c r="C16" s="28">
        <f>C13+C14+C15</f>
        <v>824466.66666667</v>
      </c>
      <c r="D16" s="28">
        <f>D13+D14+D15</f>
        <v>951514</v>
      </c>
      <c r="E16" s="28">
        <f>E13+E14+E15</f>
        <v>1138133.52</v>
      </c>
      <c r="F16" s="28">
        <f>F13+F14+F15</f>
        <v>1280821.74093333</v>
      </c>
      <c r="G16" s="28">
        <f>G13+G14+G15</f>
        <v>1431046.93495467</v>
      </c>
    </row>
    <row r="18" spans="2:7" x14ac:dyDescent="0.25">
      <c r="B18" s="24" t="s">
        <v>112</v>
      </c>
      <c r="C18" s="26">
        <f>Assumptions!D46</f>
        <v>102000</v>
      </c>
      <c r="D18" s="26">
        <f>Assumptions!D46*(1+Assumptions!D47)^1</f>
        <v>105060</v>
      </c>
      <c r="E18" s="26">
        <f>Assumptions!D46*(1+Assumptions!D47)^2</f>
        <v>108211.8</v>
      </c>
      <c r="F18" s="26">
        <f>Assumptions!D46*(1+Assumptions!D47)^3</f>
        <v>111458.154</v>
      </c>
      <c r="G18" s="26">
        <f>Assumptions!D46*(1+Assumptions!D47)^4</f>
        <v>114801.89862</v>
      </c>
    </row>
    <row r="19" spans="2:7" x14ac:dyDescent="0.25">
      <c r="B19" s="24" t="s">
        <v>113</v>
      </c>
      <c r="C19" s="26">
        <f>Assumptions!D48</f>
        <v>34400</v>
      </c>
      <c r="D19" s="26">
        <f>Assumptions!D48*(1+Assumptions!D49)^1</f>
        <v>35432</v>
      </c>
      <c r="E19" s="26">
        <f>Assumptions!D48*(1+Assumptions!D49)^2</f>
        <v>36494.96</v>
      </c>
      <c r="F19" s="26">
        <f>Assumptions!D48*(1+Assumptions!D49)^3</f>
        <v>37589.8088</v>
      </c>
      <c r="G19" s="26">
        <f>Assumptions!D48*(1+Assumptions!D49)^4</f>
        <v>38717.503064</v>
      </c>
    </row>
    <row r="20" spans="2:7" x14ac:dyDescent="0.25">
      <c r="B20" s="24" t="s">
        <v>114</v>
      </c>
      <c r="C20" s="26">
        <f>Assumptions!D12*Assumptions!D50</f>
        <v>60000</v>
      </c>
      <c r="D20" s="26">
        <f>Assumptions!D13*Assumptions!D50*(1+Assumptions!D51)^1</f>
        <v>104442</v>
      </c>
      <c r="E20" s="26">
        <f>Assumptions!D14*Assumptions!D50*(1+Assumptions!D51)^2</f>
        <v>172120.416</v>
      </c>
      <c r="F20" s="26">
        <f>Assumptions!D15*Assumptions!D50*(1+Assumptions!D51)^3</f>
        <v>266480.055309</v>
      </c>
      <c r="G20" s="26">
        <f>Assumptions!D16*Assumptions!D50*(1+Assumptions!D51)^4</f>
        <v>385747.88546892</v>
      </c>
    </row>
    <row r="21" spans="2:7" x14ac:dyDescent="0.25">
      <c r="B21" s="24" t="s">
        <v>115</v>
      </c>
      <c r="C21" s="26">
        <f>Assumptions!D52</f>
        <v>75000</v>
      </c>
      <c r="D21" s="26">
        <f>Assumptions!D52*(1+Assumptions!D53)^1</f>
        <v>89610</v>
      </c>
      <c r="E21" s="26">
        <f>Assumptions!D52*(1+Assumptions!D53)^2</f>
        <v>107066.028</v>
      </c>
      <c r="F21" s="26">
        <f>Assumptions!D52*(1+Assumptions!D53)^3</f>
        <v>127922.4902544</v>
      </c>
      <c r="G21" s="26">
        <f>Assumptions!D52*(1+Assumptions!D53)^4</f>
        <v>152841.79135596</v>
      </c>
    </row>
    <row r="22" spans="2:7" x14ac:dyDescent="0.25">
      <c r="B22" s="27" t="s">
        <v>116</v>
      </c>
      <c r="C22" s="28">
        <f>C18+C19+C20+C21</f>
        <v>271400</v>
      </c>
      <c r="D22" s="28">
        <f>D18+D19+D20+D21</f>
        <v>334544</v>
      </c>
      <c r="E22" s="28">
        <f>E18+E19+E20+E21</f>
        <v>423893.204</v>
      </c>
      <c r="F22" s="28">
        <f>F18+F19+F20+F21</f>
        <v>543450.5083634</v>
      </c>
      <c r="G22" s="28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100</v>
      </c>
      <c r="D5" s="25">
        <f>Drivers!D4</f>
        <v>130</v>
      </c>
      <c r="E5" s="25">
        <f>Drivers!E4</f>
        <v>160</v>
      </c>
      <c r="F5" s="25">
        <f>Drivers!F4</f>
        <v>185</v>
      </c>
      <c r="G5" s="25">
        <f>Drivers!G4</f>
        <v>200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870000</v>
      </c>
      <c r="D7" s="26">
        <f>Drivers!D7</f>
        <v>1164930</v>
      </c>
      <c r="E7" s="26">
        <f>Drivers!E7</f>
        <v>1476772.8</v>
      </c>
      <c r="F7" s="26">
        <f>Drivers!F7</f>
        <v>1758744.1065</v>
      </c>
      <c r="G7" s="26">
        <f>Drivers!G7</f>
        <v>1958385.3294</v>
      </c>
    </row>
    <row r="8" spans="2:7" x14ac:dyDescent="0.25">
      <c r="B8" s="24" t="s">
        <v>119</v>
      </c>
      <c r="C8" s="26">
        <f>Drivers!C8</f>
        <v>50000</v>
      </c>
      <c r="D8" s="26">
        <f>Drivers!D8</f>
        <v>66950</v>
      </c>
      <c r="E8" s="26">
        <f>Drivers!E8</f>
        <v>84872</v>
      </c>
      <c r="F8" s="26">
        <f>Drivers!F8</f>
        <v>101077.2475</v>
      </c>
      <c r="G8" s="26">
        <f>Drivers!G8</f>
        <v>112550.881</v>
      </c>
    </row>
    <row r="9" spans="2:7" x14ac:dyDescent="0.25">
      <c r="B9" s="24" t="s">
        <v>105</v>
      </c>
      <c r="C9" s="26">
        <f>Drivers!C9</f>
        <v>75000</v>
      </c>
      <c r="D9" s="26">
        <f>Drivers!D9</f>
        <v>75000</v>
      </c>
      <c r="E9" s="26">
        <f>Drivers!E9</f>
        <v>75000</v>
      </c>
      <c r="F9" s="26">
        <f>Drivers!F9</f>
        <v>75000</v>
      </c>
      <c r="G9" s="26">
        <f>Drivers!G9</f>
        <v>75000</v>
      </c>
    </row>
    <row r="10" spans="2:7" x14ac:dyDescent="0.25">
      <c r="B10" s="27" t="s">
        <v>106</v>
      </c>
      <c r="C10" s="28">
        <f>Drivers!C10</f>
        <v>995000</v>
      </c>
      <c r="D10" s="28">
        <f>Drivers!D10</f>
        <v>1306880</v>
      </c>
      <c r="E10" s="28">
        <f>Drivers!E10</f>
        <v>1636644.8</v>
      </c>
      <c r="F10" s="28">
        <f>Drivers!F10</f>
        <v>1934821.354</v>
      </c>
      <c r="G10" s="28">
        <f>Drivers!G10</f>
        <v>2145936.2104</v>
      </c>
    </row>
    <row r="12" spans="2:7" x14ac:dyDescent="0.25">
      <c r="B12" s="24" t="s">
        <v>120</v>
      </c>
      <c r="C12" s="26">
        <f>Drivers!C16</f>
        <v>824466.66666667</v>
      </c>
      <c r="D12" s="26">
        <f>Drivers!D16</f>
        <v>951514</v>
      </c>
      <c r="E12" s="26">
        <f>Drivers!E16</f>
        <v>1138133.52</v>
      </c>
      <c r="F12" s="26">
        <f>Drivers!F16</f>
        <v>1280821.74093333</v>
      </c>
      <c r="G12" s="26">
        <f>Drivers!G16</f>
        <v>1431046.93495467</v>
      </c>
    </row>
    <row r="13" spans="2:7" x14ac:dyDescent="0.25">
      <c r="B13" s="24" t="s">
        <v>116</v>
      </c>
      <c r="C13" s="26">
        <f>Drivers!C22</f>
        <v>271400</v>
      </c>
      <c r="D13" s="26">
        <f>Drivers!D22</f>
        <v>334544</v>
      </c>
      <c r="E13" s="26">
        <f>Drivers!E22</f>
        <v>423893.204</v>
      </c>
      <c r="F13" s="26">
        <f>Drivers!F22</f>
        <v>543450.5083634</v>
      </c>
      <c r="G13" s="26">
        <f>Drivers!G22</f>
        <v>692109.07850888</v>
      </c>
    </row>
    <row r="15" spans="2:7" x14ac:dyDescent="0.25">
      <c r="B15" s="27" t="s">
        <v>121</v>
      </c>
      <c r="C15" s="28">
        <f>C12+C13</f>
        <v>1095866.66666667</v>
      </c>
      <c r="D15" s="28">
        <f>D12+D13</f>
        <v>1286058</v>
      </c>
      <c r="E15" s="28">
        <f>E12+E13</f>
        <v>1562026.724</v>
      </c>
      <c r="F15" s="28">
        <f>F12+F13</f>
        <v>1824272.24929673</v>
      </c>
      <c r="G15" s="28">
        <f>G12+G13</f>
        <v>2123156.01346354</v>
      </c>
    </row>
    <row r="16" spans="2:7" x14ac:dyDescent="0.25">
      <c r="B16" s="27" t="s">
        <v>122</v>
      </c>
      <c r="C16" s="29">
        <f>C10-C15</f>
        <v>-100866.66666667</v>
      </c>
      <c r="D16" s="30">
        <f>D10-D15</f>
        <v>20822</v>
      </c>
      <c r="E16" s="30">
        <f>E10-E15</f>
        <v>74618.076</v>
      </c>
      <c r="F16" s="30">
        <f>F10-F15</f>
        <v>110549.10470327</v>
      </c>
      <c r="G16" s="30">
        <f>G10-G15</f>
        <v>22780.19693646</v>
      </c>
    </row>
    <row r="17" spans="2:7" x14ac:dyDescent="0.25">
      <c r="B17" s="24" t="s">
        <v>123</v>
      </c>
      <c r="C17" s="31">
        <f>IF(C10&gt;0,C16/C10,0)</f>
        <v>-0.10137353</v>
      </c>
      <c r="D17" s="31">
        <f>IF(D10&gt;0,D16/D10,0)</f>
        <v>0.0159326</v>
      </c>
      <c r="E17" s="31">
        <f>IF(E10&gt;0,E16/E10,0)</f>
        <v>0.0455921</v>
      </c>
      <c r="F17" s="31">
        <f>IF(F10&gt;0,F16/F10,0)</f>
        <v>0.0571366</v>
      </c>
      <c r="G17" s="31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-100866.66666667</v>
      </c>
      <c r="D4" s="26">
        <f>'5-Year P&amp;L'!D16</f>
        <v>20822</v>
      </c>
      <c r="E4" s="26">
        <f>'5-Year P&amp;L'!E16</f>
        <v>74618.076</v>
      </c>
      <c r="F4" s="26">
        <f>'5-Year P&amp;L'!F16</f>
        <v>110549.10470327</v>
      </c>
      <c r="G4" s="26">
        <f>'5-Year P&amp;L'!G16</f>
        <v>22780.19693646</v>
      </c>
    </row>
    <row r="6" spans="2:7" x14ac:dyDescent="0.25">
      <c r="B6" s="24" t="s">
        <v>126</v>
      </c>
      <c r="C6" s="26">
        <f>Assumptions!D58</f>
        <v>25000</v>
      </c>
      <c r="D6" s="26">
        <f>Assumptions!D58</f>
        <v>25000</v>
      </c>
      <c r="E6" s="26">
        <f>Assumptions!D58</f>
        <v>25000</v>
      </c>
      <c r="F6" s="26">
        <f>Assumptions!D58</f>
        <v>25000</v>
      </c>
      <c r="G6" s="26">
        <f>Assumptions!D58</f>
        <v>25000</v>
      </c>
    </row>
    <row r="7" spans="2:7" x14ac:dyDescent="0.25">
      <c r="B7" s="24" t="s">
        <v>127</v>
      </c>
      <c r="C7" s="26">
        <f>IF(Assumptions!D59&gt;0,PMT(Assumptions!D60/12,Assumptions!D61*12,-Assumptions!D59)*12,0)</f>
        <v>34064.39316601</v>
      </c>
      <c r="D7" s="26">
        <f>IF(Assumptions!D59&gt;0,PMT(Assumptions!D60/12,Assumptions!D61*12,-Assumptions!D59)*12,0)</f>
        <v>34064.39316601</v>
      </c>
      <c r="E7" s="26">
        <f>IF(Assumptions!D59&gt;0,PMT(Assumptions!D60/12,Assumptions!D61*12,-Assumptions!D59)*12,0)</f>
        <v>34064.39316601</v>
      </c>
      <c r="F7" s="26">
        <f>IF(Assumptions!D59&gt;0,PMT(Assumptions!D60/12,Assumptions!D61*12,-Assumptions!D59)*12,0)</f>
        <v>34064.39316601</v>
      </c>
      <c r="G7" s="26">
        <f>IF(Assumptions!D59&gt;0,PMT(Assumptions!D60/12,Assumptions!D61*12,-Assumptions!D59)*12,0)</f>
        <v>34064.39316601</v>
      </c>
    </row>
    <row r="8" spans="2:7" x14ac:dyDescent="0.25">
      <c r="B8" s="27" t="s">
        <v>128</v>
      </c>
      <c r="C8" s="28">
        <f>C6+C7</f>
        <v>59064.39316601</v>
      </c>
      <c r="D8" s="28">
        <f>D6+D7</f>
        <v>59064.39316601</v>
      </c>
      <c r="E8" s="28">
        <f>E6+E7</f>
        <v>59064.39316601</v>
      </c>
      <c r="F8" s="28">
        <f>F6+F7</f>
        <v>59064.39316601</v>
      </c>
      <c r="G8" s="28">
        <f>G6+G7</f>
        <v>59064.39316601</v>
      </c>
    </row>
    <row r="10" spans="2:7" x14ac:dyDescent="0.25">
      <c r="B10" s="27" t="s">
        <v>129</v>
      </c>
      <c r="C10" s="32">
        <f>IF(C8&gt;0,C4/C8,IF(C4&gt;0,99.9,0))</f>
        <v>-1.70774068</v>
      </c>
      <c r="D10" s="32">
        <f>IF(D8&gt;0,D4/D8,IF(D4&gt;0,99.9,0))</f>
        <v>0.3525305</v>
      </c>
      <c r="E10" s="33">
        <f>IF(E8&gt;0,E4/E8,IF(E4&gt;0,99.9,0))</f>
        <v>1.26333434</v>
      </c>
      <c r="F10" s="33">
        <f>IF(F8&gt;0,F4/F8,IF(F4&gt;0,99.9,0))</f>
        <v>1.87167088</v>
      </c>
      <c r="G10" s="32">
        <f>IF(G8&gt;0,G4/G8,IF(G4&gt;0,99.9,0))</f>
        <v>0.38568409</v>
      </c>
    </row>
    <row r="12" spans="2:7" x14ac:dyDescent="0.25">
      <c r="B12" s="24" t="s">
        <v>130</v>
      </c>
      <c r="C12" s="26">
        <f>C4-C8</f>
        <v>-159931.05983267</v>
      </c>
      <c r="D12" s="26">
        <f>D4-D8</f>
        <v>-38242.39316601</v>
      </c>
      <c r="E12" s="26">
        <f>E4-E8</f>
        <v>15553.68283399</v>
      </c>
      <c r="F12" s="26">
        <f>F4-F8</f>
        <v>51484.71153726</v>
      </c>
      <c r="G12" s="26">
        <f>G4-G8</f>
        <v>-36284.19622955</v>
      </c>
    </row>
    <row r="14" spans="2:7" x14ac:dyDescent="0.25">
      <c r="B14" s="27" t="s">
        <v>131</v>
      </c>
      <c r="C14" s="34">
        <f>Assumptions!D57+C12</f>
        <v>-84931.05983267</v>
      </c>
      <c r="D14" s="34">
        <f>C14+D12</f>
        <v>-123173.45299868</v>
      </c>
      <c r="E14" s="34">
        <f>D14+E12</f>
        <v>-107619.77016469</v>
      </c>
      <c r="F14" s="34">
        <f>E14+F12</f>
        <v>-56135.05862743</v>
      </c>
      <c r="G14" s="34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10</v>
      </c>
      <c r="D4" s="25">
        <f>Drivers!D12</f>
        <v>12</v>
      </c>
      <c r="E4" s="25">
        <f>Drivers!E12</f>
        <v>15</v>
      </c>
      <c r="F4" s="25">
        <f>Drivers!F12</f>
        <v>17</v>
      </c>
      <c r="G4" s="25">
        <f>Drivers!G12</f>
        <v>19</v>
      </c>
    </row>
    <row r="5" spans="2:7" x14ac:dyDescent="0.25">
      <c r="B5" s="24" t="s">
        <v>134</v>
      </c>
      <c r="C5" s="25">
        <f>Assumptions!D35</f>
        <v>4</v>
      </c>
      <c r="D5" s="25">
        <f>Assumptions!D36</f>
        <v>4</v>
      </c>
      <c r="E5" s="25">
        <f>Assumptions!D37</f>
        <v>4</v>
      </c>
      <c r="F5" s="25">
        <f>Assumptions!D38</f>
        <v>4</v>
      </c>
      <c r="G5" s="25">
        <f>Assumptions!D39</f>
        <v>4</v>
      </c>
    </row>
    <row r="6" spans="2:7" x14ac:dyDescent="0.25">
      <c r="B6" s="27" t="s">
        <v>135</v>
      </c>
      <c r="C6" s="35">
        <f>C4+C5</f>
        <v>14</v>
      </c>
      <c r="D6" s="35">
        <f>D4+D5</f>
        <v>16</v>
      </c>
      <c r="E6" s="35">
        <f>E4+E5</f>
        <v>19</v>
      </c>
      <c r="F6" s="35">
        <f>F4+F5</f>
        <v>21</v>
      </c>
      <c r="G6" s="35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250000</v>
      </c>
    </row>
    <row r="4" spans="2:3" x14ac:dyDescent="0.25">
      <c r="B4" s="24" t="s">
        <v>138</v>
      </c>
      <c r="C4" s="31">
        <f>Assumptions!D60</f>
        <v>0.065</v>
      </c>
    </row>
    <row r="5" spans="2:3" x14ac:dyDescent="0.25">
      <c r="B5" s="24" t="s">
        <v>93</v>
      </c>
      <c r="C5" s="25">
        <f>Assumptions!D61</f>
        <v>10</v>
      </c>
    </row>
    <row r="6" spans="2:3" x14ac:dyDescent="0.25">
      <c r="B6" s="24" t="s">
        <v>139</v>
      </c>
      <c r="C6" s="36">
        <f>IF(Assumptions!D59&gt;0,PMT(Assumptions!D60/12,Assumptions!D61*12,-Assumptions!D59)*12,0)</f>
        <v>34064.39316601</v>
      </c>
    </row>
    <row r="8" spans="2:3" x14ac:dyDescent="0.25">
      <c r="B8" s="24" t="s">
        <v>140</v>
      </c>
      <c r="C8" s="32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Heritage Academy</v>
      </c>
    </row>
    <row r="4" spans="2:3" x14ac:dyDescent="0.25">
      <c r="B4" s="24" t="s">
        <v>48</v>
      </c>
      <c r="C4" s="24" t="str">
        <f>Assumptions!D7</f>
        <v>Private School</v>
      </c>
    </row>
    <row r="5" spans="2:3" x14ac:dyDescent="0.25">
      <c r="B5" s="24" t="s">
        <v>46</v>
      </c>
      <c r="C5" s="24" t="str">
        <f>Assumptions!D6</f>
        <v>FL</v>
      </c>
    </row>
    <row r="6" spans="2:3" x14ac:dyDescent="0.25">
      <c r="B6" s="24" t="s">
        <v>142</v>
      </c>
      <c r="C6" s="24">
        <f>Assumptions!D8</f>
        <v>2023</v>
      </c>
    </row>
    <row r="8" spans="2:3" x14ac:dyDescent="0.25">
      <c r="B8" s="24" t="s">
        <v>56</v>
      </c>
      <c r="C8" s="25">
        <f>Assumptions!D16</f>
        <v>200</v>
      </c>
    </row>
    <row r="9" spans="2:3" x14ac:dyDescent="0.25">
      <c r="B9" s="24" t="s">
        <v>143</v>
      </c>
      <c r="C9" s="26">
        <f>Drivers!G10</f>
        <v>2145936.2104</v>
      </c>
    </row>
    <row r="10" spans="2:3" x14ac:dyDescent="0.25">
      <c r="B10" s="24" t="s">
        <v>144</v>
      </c>
      <c r="C10" s="37">
        <f>'5-Year P&amp;L'!G16</f>
        <v>22780.19693646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8" t="s">
        <v>147</v>
      </c>
      <c r="C5" s="39" t="s">
        <v>95</v>
      </c>
      <c r="D5" s="39" t="s">
        <v>96</v>
      </c>
      <c r="E5" s="39" t="s">
        <v>97</v>
      </c>
      <c r="F5" s="39" t="s">
        <v>98</v>
      </c>
      <c r="G5" s="39" t="s">
        <v>99</v>
      </c>
    </row>
    <row r="6" spans="2:7" x14ac:dyDescent="0.25">
      <c r="B6" s="24" t="s">
        <v>100</v>
      </c>
      <c r="C6" s="25">
        <v>100</v>
      </c>
      <c r="D6" s="25">
        <v>130</v>
      </c>
      <c r="E6" s="25">
        <v>160</v>
      </c>
      <c r="F6" s="25">
        <v>185</v>
      </c>
      <c r="G6" s="25">
        <v>200</v>
      </c>
    </row>
    <row r="7" spans="2:7" x14ac:dyDescent="0.25">
      <c r="B7" s="24" t="s">
        <v>148</v>
      </c>
      <c r="C7" s="26">
        <v>995000</v>
      </c>
      <c r="D7" s="26">
        <v>1306880</v>
      </c>
      <c r="E7" s="26">
        <v>1636644.8</v>
      </c>
      <c r="F7" s="26">
        <v>1934821.354</v>
      </c>
      <c r="G7" s="26">
        <v>2145936.2104</v>
      </c>
    </row>
    <row r="8" spans="2:7" x14ac:dyDescent="0.25">
      <c r="B8" s="24" t="s">
        <v>149</v>
      </c>
      <c r="C8" s="26">
        <v>824466.6666666666</v>
      </c>
      <c r="D8" s="26">
        <v>951514</v>
      </c>
      <c r="E8" s="26">
        <v>1138133.52</v>
      </c>
      <c r="F8" s="26">
        <v>1280821.7409333333</v>
      </c>
      <c r="G8" s="26">
        <v>1431046.934954667</v>
      </c>
    </row>
    <row r="9" spans="2:7" x14ac:dyDescent="0.25">
      <c r="B9" s="24" t="s">
        <v>150</v>
      </c>
      <c r="C9" s="26">
        <v>271400</v>
      </c>
      <c r="D9" s="26">
        <v>334544</v>
      </c>
      <c r="E9" s="26">
        <v>423893.20399999997</v>
      </c>
      <c r="F9" s="26">
        <v>543450.5083634</v>
      </c>
      <c r="G9" s="26">
        <v>692109.0785088772</v>
      </c>
    </row>
    <row r="10" spans="2:7" x14ac:dyDescent="0.25">
      <c r="B10" s="24" t="s">
        <v>151</v>
      </c>
      <c r="C10" s="26">
        <v>59064.39316600799</v>
      </c>
      <c r="D10" s="26">
        <v>59064.39316600799</v>
      </c>
      <c r="E10" s="26">
        <v>59064.39316600799</v>
      </c>
      <c r="F10" s="26">
        <v>59064.39316600799</v>
      </c>
      <c r="G10" s="26">
        <v>59064.39316600799</v>
      </c>
    </row>
    <row r="11" spans="2:7" x14ac:dyDescent="0.25">
      <c r="B11" s="27" t="s">
        <v>152</v>
      </c>
      <c r="C11" s="29">
        <v>-159931.0598326745</v>
      </c>
      <c r="D11" s="29">
        <v>-38242.39316600799</v>
      </c>
      <c r="E11" s="30">
        <v>15553.682833992127</v>
      </c>
      <c r="F11" s="30">
        <v>51484.71153725888</v>
      </c>
      <c r="G11" s="29">
        <v>-36284.19622955197</v>
      </c>
    </row>
    <row r="12" spans="2:7" x14ac:dyDescent="0.25">
      <c r="B12" s="27" t="s">
        <v>153</v>
      </c>
      <c r="C12" s="29">
        <v>-84931.05983267451</v>
      </c>
      <c r="D12" s="29">
        <v>-123173.45299868251</v>
      </c>
      <c r="E12" s="29">
        <v>-107619.77016469039</v>
      </c>
      <c r="F12" s="29">
        <v>-56135.05862743151</v>
      </c>
      <c r="G12" s="29">
        <v>-92419.25485698348</v>
      </c>
    </row>
    <row r="13" spans="2:7" x14ac:dyDescent="0.25">
      <c r="B13" s="27" t="s">
        <v>154</v>
      </c>
      <c r="C13" s="40">
        <v>-0.1607347335001754</v>
      </c>
      <c r="D13" s="40">
        <v>-0.029262360098867523</v>
      </c>
      <c r="E13" s="41">
        <v>0.009503395504016587</v>
      </c>
      <c r="F13" s="41">
        <v>0.026609542752265323</v>
      </c>
      <c r="G13" s="40">
        <v>-0.016908329359328268</v>
      </c>
    </row>
    <row r="14" spans="2:7" x14ac:dyDescent="0.25">
      <c r="B14" s="27" t="s">
        <v>155</v>
      </c>
      <c r="C14" s="26">
        <v>9950</v>
      </c>
      <c r="D14" s="26">
        <v>10052.923076923076</v>
      </c>
      <c r="E14" s="26">
        <v>10229.03</v>
      </c>
      <c r="F14" s="26">
        <v>10458.493805405406</v>
      </c>
      <c r="G14" s="26">
        <v>10729.681052000002</v>
      </c>
    </row>
    <row r="15" spans="2:7" x14ac:dyDescent="0.25">
      <c r="B15" s="27" t="s">
        <v>156</v>
      </c>
      <c r="C15" s="40">
        <v>0.8286097152428811</v>
      </c>
      <c r="D15" s="40">
        <v>0.7280806194906954</v>
      </c>
      <c r="E15" s="40">
        <v>0.6954065537005952</v>
      </c>
      <c r="F15" s="40">
        <v>0.6619844970624266</v>
      </c>
      <c r="G15" s="40">
        <v>0.6668636877551553</v>
      </c>
    </row>
    <row r="16" spans="2:7" x14ac:dyDescent="0.25">
      <c r="B16" s="27" t="s">
        <v>157</v>
      </c>
      <c r="C16" s="42">
        <v>0.08182914572864322</v>
      </c>
      <c r="D16" s="42">
        <v>0.0767960333006856</v>
      </c>
      <c r="E16" s="42">
        <v>0.07770040341068507</v>
      </c>
      <c r="F16" s="42">
        <v>0.0842636722878654</v>
      </c>
      <c r="G16" s="42">
        <v>0.09675624212238845</v>
      </c>
    </row>
    <row r="17" spans="2:7" x14ac:dyDescent="0.25">
      <c r="B17" s="27" t="s">
        <v>123</v>
      </c>
      <c r="C17" s="40">
        <v>-0.10137353433835843</v>
      </c>
      <c r="D17" s="41">
        <v>0.015932602840352597</v>
      </c>
      <c r="E17" s="41">
        <v>0.04559210159712117</v>
      </c>
      <c r="F17" s="41">
        <v>0.057136595311355426</v>
      </c>
      <c r="G17" s="41">
        <v>0.010615505170216507</v>
      </c>
    </row>
    <row r="18" spans="2:7" x14ac:dyDescent="0.25">
      <c r="B18" s="27" t="s">
        <v>158</v>
      </c>
      <c r="C18" s="43">
        <v>-1.7077406752181137</v>
      </c>
      <c r="D18" s="43">
        <v>0.35253049906865414</v>
      </c>
      <c r="E18" s="44">
        <v>1.2633343373269994</v>
      </c>
      <c r="F18" s="44">
        <v>1.871670879484945</v>
      </c>
      <c r="G18" s="43">
        <v>0.38568409350163607</v>
      </c>
    </row>
    <row r="19" spans="2:7" x14ac:dyDescent="0.25">
      <c r="B19" s="27" t="s">
        <v>159</v>
      </c>
      <c r="C19" s="45" t="s">
        <v>97</v>
      </c>
      <c r="D19" s="45"/>
      <c r="E19" s="45"/>
      <c r="F19" s="45"/>
      <c r="G19" s="45"/>
    </row>
    <row r="20" spans="2:7" x14ac:dyDescent="0.25">
      <c r="B20" s="27" t="s">
        <v>160</v>
      </c>
      <c r="C20" s="46" t="s">
        <v>161</v>
      </c>
      <c r="D20" s="46"/>
      <c r="E20" s="46"/>
      <c r="F20" s="46"/>
      <c r="G20" s="46"/>
    </row>
    <row r="22" ht="24" customHeight="1" spans="2:7" x14ac:dyDescent="0.25">
      <c r="B22" s="38" t="s">
        <v>162</v>
      </c>
      <c r="C22" s="38" t="s">
        <v>163</v>
      </c>
      <c r="D22" s="38" t="s">
        <v>164</v>
      </c>
      <c r="E22" s="38"/>
      <c r="F22" s="38" t="s">
        <v>165</v>
      </c>
      <c r="G22" s="38"/>
    </row>
    <row r="23" ht="45" customHeight="1" spans="2:7" x14ac:dyDescent="0.25">
      <c r="B23" s="47" t="s">
        <v>166</v>
      </c>
      <c r="C23" s="48" t="s">
        <v>167</v>
      </c>
      <c r="D23" s="49" t="s">
        <v>168</v>
      </c>
      <c r="E23" s="49"/>
      <c r="F23" s="50" t="s">
        <v>169</v>
      </c>
      <c r="G23" s="50"/>
    </row>
    <row r="24" ht="45" customHeight="1" spans="2:7" x14ac:dyDescent="0.25">
      <c r="B24" s="47" t="s">
        <v>170</v>
      </c>
      <c r="C24" s="48" t="s">
        <v>167</v>
      </c>
      <c r="D24" s="49" t="s">
        <v>171</v>
      </c>
      <c r="E24" s="49"/>
      <c r="F24" s="50" t="s">
        <v>172</v>
      </c>
      <c r="G24" s="50"/>
    </row>
    <row r="25" ht="45" customHeight="1" spans="2:7" x14ac:dyDescent="0.25">
      <c r="B25" s="47" t="s">
        <v>173</v>
      </c>
      <c r="C25" s="48" t="s">
        <v>167</v>
      </c>
      <c r="D25" s="49" t="s">
        <v>174</v>
      </c>
      <c r="E25" s="49"/>
      <c r="F25" s="50" t="s">
        <v>175</v>
      </c>
      <c r="G25" s="50"/>
    </row>
    <row r="26" ht="45" customHeight="1" spans="2:7" x14ac:dyDescent="0.25">
      <c r="B26" s="47" t="s">
        <v>176</v>
      </c>
      <c r="C26" s="51" t="s">
        <v>177</v>
      </c>
      <c r="D26" s="49" t="s">
        <v>178</v>
      </c>
      <c r="E26" s="49"/>
      <c r="F26" s="50" t="s">
        <v>179</v>
      </c>
      <c r="G26" s="50"/>
    </row>
    <row r="27" ht="45" customHeight="1" spans="2:7" x14ac:dyDescent="0.25">
      <c r="B27" s="47" t="s">
        <v>180</v>
      </c>
      <c r="C27" s="48" t="s">
        <v>167</v>
      </c>
      <c r="D27" s="49" t="s">
        <v>181</v>
      </c>
      <c r="E27" s="49"/>
      <c r="F27" s="50" t="s">
        <v>182</v>
      </c>
      <c r="G27" s="50"/>
    </row>
    <row r="28" ht="45" customHeight="1" spans="2:7" x14ac:dyDescent="0.25">
      <c r="B28" s="47" t="s">
        <v>183</v>
      </c>
      <c r="C28" s="51" t="s">
        <v>177</v>
      </c>
      <c r="D28" s="49" t="s">
        <v>184</v>
      </c>
      <c r="E28" s="49"/>
      <c r="F28" s="50" t="s">
        <v>185</v>
      </c>
      <c r="G28" s="50"/>
    </row>
    <row r="29" ht="45" customHeight="1" spans="2:7" x14ac:dyDescent="0.25">
      <c r="B29" s="47" t="s">
        <v>186</v>
      </c>
      <c r="C29" s="48" t="s">
        <v>167</v>
      </c>
      <c r="D29" s="49" t="s">
        <v>187</v>
      </c>
      <c r="E29" s="49"/>
      <c r="F29" s="50" t="s">
        <v>188</v>
      </c>
      <c r="G29" s="50"/>
    </row>
    <row r="31" spans="2:5" x14ac:dyDescent="0.25">
      <c r="B31" s="47" t="s">
        <v>39</v>
      </c>
      <c r="C31" s="27" t="s">
        <v>189</v>
      </c>
      <c r="D31" s="27"/>
      <c r="E31" s="27"/>
    </row>
    <row r="33" spans="2:7" x14ac:dyDescent="0.25">
      <c r="B33" s="52" t="s">
        <v>190</v>
      </c>
      <c r="C33" s="52"/>
      <c r="D33" s="52"/>
      <c r="E33" s="52"/>
      <c r="F33" s="52"/>
      <c r="G33" s="52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2026-03-26T06:14:02Z</dcterms:created>
  <dcterms:modified xsi:type="dcterms:W3CDTF">2026-03-26T06:14:02Z</dcterms:modified>
</cp:coreProperties>
</file>