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<sst xmlns="http://schemas.openxmlformats.org/spreadsheetml/2006/main" count="260" uniqueCount="207">
  <si>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</si>
  <si>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</si>
  <si>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</si>
  <si>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</si>
  <si>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</si>
  <si>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</si>
  <si>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</si>
  <si>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</si>
  <si>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</si>
  <si>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</si>
  <si>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</si>
  <si>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</si>
  <si>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</si>
  <si>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</si>
  <si>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</si>
  <si>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</si>
  <si>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</si>
  <si>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</si>
  <si>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</si>
  <si>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</si>
  <si>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</si>
  <si>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</si>
  <si>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</si>
  <si>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</si>
  <si>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</si>
  <si>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</si>
  <si>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</si>
  <si>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</si>
  <si>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</si>
  <si>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</si>
  <si>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</si>
  <si>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</si>
  <si>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</si>
  <si>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</si>
  <si>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</si>
  <si>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</si>
  <si>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</si>
  <si>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</si>
  <si>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</si>
  <si>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</si>
  <si>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</si>
  <si>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</si>
  <si>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</si>
  <si>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</si>
  <si>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</si>
  <si>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</si>
  <si>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</si>
  <si>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</si>
  <si>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</si>
  <si>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</si>
  <si>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</si>
  <si>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</si>
  <si>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</si>
  <si>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</si>
  <si>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</si>
  <si>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</si>
  <si>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</si>
  <si>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</si>
  <si>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</si>
  <si>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</si>
  <si>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</si>
  <si>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</si>
  <si>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</si>
  <si>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</si>
  <si>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</si>
  <si>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</si>
  <si>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</si>
  <si>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</si>
  <si>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</si>
  <si>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</si>
  <si>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</si>
  <si>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</si>
  <si>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</si>
  <si>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</si>
  <si>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</si>
  <si>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</si>
  <si>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</si>
  <si>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</si>
  <si>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</si>
  <si>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</si>
  <si>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</si>
  <si>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</si>
  <si>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</si>
  <si>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</si>
  <si>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</si>
  <si>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</si>
  <si>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</si>
  <si>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</si>
  <si>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</si>
  <si>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</si>
  <si>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</si>
  <si>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</si>
  <si>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</si>
  <si>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</si>
  <si>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</si>
  <si>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</si>
  <si>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</si>
  <si>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</si>
  <si>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</si>
  <si>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</si>
  <si>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</si>
  <si>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</si>
  <si>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</si>
  <si>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</si>
  <si>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</si>
  <si>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</si>
  <si>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</si>
  <si>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</si>
  <si>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</si>
  <si>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</si>
  <si>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</si>
  <si>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</si>
  <si>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</si>
  <si>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</si>
  <si>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</si>
  <si>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</si>
  <si>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</si>
  <si>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</si>
  <si>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</si>
  <si>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</si>
  <si>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</si>
  <si>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</si>
  <si>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</si>
  <si>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</si>
  <si>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</si>
  <si>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</si>
  <si>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</si>
  <si>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✓ 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</si>
  <si>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</si>
  <si>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</si>
  <si>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</si>
  <si>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</si>
  <si>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</si>
  <si>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</si>
  <si>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</si>
  <si>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</si>
  <si>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</si>
  <si>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</si>
  <si>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</si>
  <si>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</si>
  <si>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</si>
  <si>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</si>
  <si>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</si>
  <si>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</si>
  <si>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</si>
  <si>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</si>
  <si>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</si>
  <si>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</si>
  <si>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</si>
  <si>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</si>
  <si>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</si>
  <si>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</si>
  <si>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</si>
  <si>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</si>
  <si>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</si>
  <si>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</si>
  <si>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</si>
  <si>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</si>
  <si>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</si>
  <si>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</si>
  <si>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</si>
  <si>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</si>
  <si>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</si>
  <si>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</si>
  <si>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</si>
  <si>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</si>
  <si>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</si>
  <si>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</si>
  <si>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</si>
  <si>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</si>
  <si>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</si>
  <si>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</si>
  <si>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</si>
  <si>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</si>
  <si>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</si>
  <si>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</si>
  <si>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5 months</t>
  </si>
  <si>
    <t>60+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</si>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</sst>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17" fillId="0" borderId="4" xfId="0" applyFont="1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7" fillId="0" borderId="4" xfId="0" applyNumberFormat="1" applyFont="1" applyBorder="1"/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0" fontId="19" fillId="0" borderId="4" xfId="0" applyFont="1" applyBorder="1"/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8" t="s">
        <v>125</v>
      </c>
      <c r="C19" s="33">
        <f>C16</f>
        <v>-100866.66666667</v>
      </c>
      <c r="D19" s="33">
        <f>C19+D16</f>
        <v>-80044.66666667</v>
      </c>
      <c r="E19" s="33">
        <f>D19+E16</f>
        <v>-5426.59066667</v>
      </c>
      <c r="F19" s="33">
        <f>E19+F16</f>
        <v>105122.5140366</v>
      </c>
      <c r="G19" s="33">
        <f>F19+G16</f>
        <v>127902.71097306</v>
      </c>
    </row>
    <row r="20" spans="2:7" x14ac:dyDescent="0.25">
      <c r="B20" s="28" t="s">
        <v>126</v>
      </c>
      <c r="C20" s="34" t="s">
        <v>7</v>
      </c>
      <c r="D20" s="34" t="s">
        <v>7</v>
      </c>
      <c r="E20" s="34" t="s">
        <v>7</v>
      </c>
      <c r="F20" s="35" t="s">
        <v>127</v>
      </c>
      <c r="G20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129</v>
      </c>
      <c r="C4" s="27">
        <f>'5-Year P&amp;L'!C16</f>
        <v>-100866.66666667</v>
      </c>
      <c r="D4" s="27">
        <f>'5-Year P&amp;L'!D16</f>
        <v>20822</v>
      </c>
      <c r="E4" s="27">
        <f>'5-Year P&amp;L'!E16</f>
        <v>74618.076</v>
      </c>
      <c r="F4" s="27">
        <f>'5-Year P&amp;L'!F16</f>
        <v>110549.10470327</v>
      </c>
      <c r="G4" s="27">
        <f>'5-Year P&amp;L'!G16</f>
        <v>22780.19693646</v>
      </c>
    </row>
    <row r="6" spans="2:7" x14ac:dyDescent="0.25">
      <c r="B6" s="25" t="s">
        <v>130</v>
      </c>
      <c r="C6" s="27">
        <f>Assumptions!D58</f>
        <v>25000</v>
      </c>
      <c r="D6" s="27">
        <f>Assumptions!D58</f>
        <v>25000</v>
      </c>
      <c r="E6" s="27">
        <f>Assumptions!D58</f>
        <v>25000</v>
      </c>
      <c r="F6" s="27">
        <f>Assumptions!D58</f>
        <v>25000</v>
      </c>
      <c r="G6" s="27">
        <f>Assumptions!D58</f>
        <v>25000</v>
      </c>
    </row>
    <row r="7" spans="2:7" x14ac:dyDescent="0.25">
      <c r="B7" s="25" t="s">
        <v>131</v>
      </c>
      <c r="C7" s="27">
        <f>IF(Assumptions!D59&gt;0,PMT(Assumptions!D60/12,Assumptions!D61*12,-Assumptions!D59)*12,0)</f>
        <v>34064.39316601</v>
      </c>
      <c r="D7" s="27">
        <f>IF(Assumptions!D59&gt;0,PMT(Assumptions!D60/12,Assumptions!D61*12,-Assumptions!D59)*12,0)</f>
        <v>34064.39316601</v>
      </c>
      <c r="E7" s="27">
        <f>IF(Assumptions!D59&gt;0,PMT(Assumptions!D60/12,Assumptions!D61*12,-Assumptions!D59)*12,0)</f>
        <v>34064.39316601</v>
      </c>
      <c r="F7" s="27">
        <f>IF(Assumptions!D59&gt;0,PMT(Assumptions!D60/12,Assumptions!D61*12,-Assumptions!D59)*12,0)</f>
        <v>34064.39316601</v>
      </c>
      <c r="G7" s="27">
        <f>IF(Assumptions!D59&gt;0,PMT(Assumptions!D60/12,Assumptions!D61*12,-Assumptions!D59)*12,0)</f>
        <v>34064.39316601</v>
      </c>
    </row>
    <row r="8" spans="2:7" x14ac:dyDescent="0.25">
      <c r="B8" s="28" t="s">
        <v>132</v>
      </c>
      <c r="C8" s="29">
        <f>C6+C7</f>
        <v>59064.39316601</v>
      </c>
      <c r="D8" s="29">
        <f>D6+D7</f>
        <v>59064.39316601</v>
      </c>
      <c r="E8" s="29">
        <f>E6+E7</f>
        <v>59064.39316601</v>
      </c>
      <c r="F8" s="29">
        <f>F6+F7</f>
        <v>59064.39316601</v>
      </c>
      <c r="G8" s="29">
        <f>G6+G7</f>
        <v>59064.39316601</v>
      </c>
    </row>
    <row r="10" spans="2:7" x14ac:dyDescent="0.25">
      <c r="B10" s="28" t="s">
        <v>133</v>
      </c>
      <c r="C10" s="36">
        <f>IF(C8&gt;0,C4/C8,IF(C4&gt;0,99.9,0))</f>
        <v>-1.70774068</v>
      </c>
      <c r="D10" s="36">
        <f>IF(D8&gt;0,D4/D8,IF(D4&gt;0,99.9,0))</f>
        <v>0.3525305</v>
      </c>
      <c r="E10" s="37">
        <f>IF(E8&gt;0,E4/E8,IF(E4&gt;0,99.9,0))</f>
        <v>1.26333434</v>
      </c>
      <c r="F10" s="37">
        <f>IF(F8&gt;0,F4/F8,IF(F4&gt;0,99.9,0))</f>
        <v>1.87167088</v>
      </c>
      <c r="G10" s="36">
        <f>IF(G8&gt;0,G4/G8,IF(G4&gt;0,99.9,0))</f>
        <v>0.38568409</v>
      </c>
    </row>
    <row r="12" spans="2:7" x14ac:dyDescent="0.25">
      <c r="B12" s="25" t="s">
        <v>134</v>
      </c>
      <c r="C12" s="27">
        <f>C4-C8</f>
        <v>-159931.05983267</v>
      </c>
      <c r="D12" s="27">
        <f>D4-D8</f>
        <v>-38242.39316601</v>
      </c>
      <c r="E12" s="27">
        <f>E4-E8</f>
        <v>15553.68283399</v>
      </c>
      <c r="F12" s="27">
        <f>F4-F8</f>
        <v>51484.71153726</v>
      </c>
      <c r="G12" s="27">
        <f>G4-G8</f>
        <v>-36284.19622955</v>
      </c>
    </row>
    <row r="14" spans="2:7" x14ac:dyDescent="0.25">
      <c r="B14" s="28" t="s">
        <v>135</v>
      </c>
      <c r="C14" s="38">
        <f>Assumptions!D57+C12</f>
        <v>-84931.05983267</v>
      </c>
      <c r="D14" s="38">
        <f>C14+D12</f>
        <v>-123173.45299868</v>
      </c>
      <c r="E14" s="38">
        <f>D14+E12</f>
        <v>-107619.77016469</v>
      </c>
      <c r="F14" s="38">
        <f>E14+F12</f>
        <v>-56135.05862743</v>
      </c>
      <c r="G14" s="38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137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138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139</v>
      </c>
      <c r="C6" s="39">
        <f>C4+C5</f>
        <v>14</v>
      </c>
      <c r="D6" s="39">
        <f>D4+D5</f>
        <v>16</v>
      </c>
      <c r="E6" s="39">
        <f>E4+E5</f>
        <v>19</v>
      </c>
      <c r="F6" s="39">
        <f>F4+F5</f>
        <v>21</v>
      </c>
      <c r="G6" s="39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140</v>
      </c>
      <c r="C1" s="13"/>
    </row>
    <row r="3" spans="2:3" x14ac:dyDescent="0.25">
      <c r="B3" s="25" t="s">
        <v>141</v>
      </c>
      <c r="C3" s="27">
        <f>Assumptions!D59</f>
        <v>250000</v>
      </c>
    </row>
    <row r="4" spans="2:3" x14ac:dyDescent="0.25">
      <c r="B4" s="25" t="s">
        <v>142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143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144</v>
      </c>
      <c r="C8" s="36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145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146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147</v>
      </c>
      <c r="C9" s="27">
        <f>Drivers!G10</f>
        <v>2145936.2104</v>
      </c>
    </row>
    <row r="10" spans="2:3" x14ac:dyDescent="0.25">
      <c r="B10" s="25" t="s">
        <v>148</v>
      </c>
      <c r="C10" s="40">
        <f>'5-Year P&amp;L'!G16</f>
        <v>22780.19693646</v>
      </c>
    </row>
    <row r="12" spans="2:3" x14ac:dyDescent="0.25">
      <c r="B12" s="12" t="s">
        <v>149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150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151</v>
      </c>
      <c r="D4" s="42" t="s">
        <v>152</v>
      </c>
      <c r="F4" s="43" t="s">
        <v>153</v>
      </c>
    </row>
    <row r="6" ht="24" customHeight="1" spans="2:8" x14ac:dyDescent="0.25">
      <c r="B6" s="44" t="s">
        <v>154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155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156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157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158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159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160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161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162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163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164</v>
      </c>
    </row>
    <row r="16" spans="2:8" x14ac:dyDescent="0.25">
      <c r="B16" s="28" t="s">
        <v>165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166</v>
      </c>
    </row>
    <row r="17" spans="2:8" x14ac:dyDescent="0.25">
      <c r="B17" s="28" t="s">
        <v>167</v>
      </c>
      <c r="C17" s="51">
        <v>0.08182914572864322</v>
      </c>
      <c r="D17" s="51">
        <v>0.0767960333006856</v>
      </c>
      <c r="E17" s="51">
        <v>0.07770040341068507</v>
      </c>
      <c r="F17" s="51">
        <v>0.0842636722878654</v>
      </c>
      <c r="G17" s="51">
        <v>0.09675624212238845</v>
      </c>
      <c r="H17" s="50" t="s">
        <v>168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169</v>
      </c>
    </row>
    <row r="19" spans="2:8" x14ac:dyDescent="0.25">
      <c r="B19" s="28" t="s">
        <v>170</v>
      </c>
      <c r="C19" s="52">
        <v>3</v>
      </c>
      <c r="D19" s="52"/>
      <c r="E19" s="52"/>
      <c r="F19" s="52"/>
      <c r="G19" s="52"/>
      <c r="H19" s="50" t="s">
        <v>171</v>
      </c>
    </row>
    <row r="20" spans="2:8" x14ac:dyDescent="0.25">
      <c r="B20" s="28" t="s">
        <v>172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173</v>
      </c>
    </row>
    <row r="21" spans="2:8" x14ac:dyDescent="0.25">
      <c r="B21" s="28" t="s">
        <v>174</v>
      </c>
      <c r="C21" s="55" t="str">
        <f>IF('5-Year P&amp;L'!C19&gt;=0,"✓ Break-even","")</f>
        <v>0</v>
      </c>
      <c r="D21" s="55" t="str">
        <f>IF('5-Year P&amp;L'!D19&gt;=0,"✓ Break-even","")</f>
        <v>0</v>
      </c>
      <c r="E21" s="55" t="str">
        <f>IF('5-Year P&amp;L'!E19&gt;=0,"✓ Break-even","")</f>
        <v>0</v>
      </c>
      <c r="F21" s="55" t="str">
        <f>IF('5-Year P&amp;L'!F19&gt;=0,"✓ Break-even","")</f>
        <v>0</v>
      </c>
      <c r="G21" s="55" t="str">
        <f>IF('5-Year P&amp;L'!G19&gt;=0,"✓ Break-even","")</f>
        <v>0</v>
      </c>
      <c r="H21" s="50" t="s">
        <v>96</v>
      </c>
    </row>
    <row r="22" spans="2:8" x14ac:dyDescent="0.25">
      <c r="B22" s="28" t="s">
        <v>175</v>
      </c>
      <c r="C22" s="56" t="s">
        <v>176</v>
      </c>
      <c r="D22" s="56"/>
      <c r="E22" s="56"/>
      <c r="F22" s="56"/>
      <c r="G22" s="56"/>
      <c r="H22" s="50" t="s">
        <v>177</v>
      </c>
    </row>
    <row r="24" ht="24" customHeight="1" spans="2:8" x14ac:dyDescent="0.25">
      <c r="B24" s="44" t="s">
        <v>178</v>
      </c>
      <c r="C24" s="44" t="s">
        <v>179</v>
      </c>
      <c r="D24" s="44" t="s">
        <v>180</v>
      </c>
      <c r="E24" s="44"/>
      <c r="F24" s="44" t="s">
        <v>181</v>
      </c>
      <c r="G24" s="44"/>
      <c r="H24" s="44"/>
    </row>
    <row r="25" ht="45" customHeight="1" spans="2:8" x14ac:dyDescent="0.25">
      <c r="B25" s="57" t="s">
        <v>182</v>
      </c>
      <c r="C25" s="58" t="s">
        <v>183</v>
      </c>
      <c r="D25" s="59" t="s">
        <v>184</v>
      </c>
      <c r="E25" s="59"/>
      <c r="F25" s="60" t="s">
        <v>185</v>
      </c>
      <c r="G25" s="60"/>
      <c r="H25" s="60"/>
    </row>
    <row r="26" ht="45" customHeight="1" spans="2:8" x14ac:dyDescent="0.25">
      <c r="B26" s="57" t="s">
        <v>186</v>
      </c>
      <c r="C26" s="58" t="s">
        <v>183</v>
      </c>
      <c r="D26" s="59" t="s">
        <v>187</v>
      </c>
      <c r="E26" s="59"/>
      <c r="F26" s="60" t="s">
        <v>188</v>
      </c>
      <c r="G26" s="60"/>
      <c r="H26" s="60"/>
    </row>
    <row r="27" ht="45" customHeight="1" spans="2:8" x14ac:dyDescent="0.25">
      <c r="B27" s="57" t="s">
        <v>189</v>
      </c>
      <c r="C27" s="58" t="s">
        <v>183</v>
      </c>
      <c r="D27" s="59" t="s">
        <v>190</v>
      </c>
      <c r="E27" s="59"/>
      <c r="F27" s="60" t="s">
        <v>191</v>
      </c>
      <c r="G27" s="60"/>
      <c r="H27" s="60"/>
    </row>
    <row r="28" ht="45" customHeight="1" spans="2:8" x14ac:dyDescent="0.25">
      <c r="B28" s="57" t="s">
        <v>192</v>
      </c>
      <c r="C28" s="35" t="s">
        <v>193</v>
      </c>
      <c r="D28" s="59" t="s">
        <v>194</v>
      </c>
      <c r="E28" s="59"/>
      <c r="F28" s="60" t="s">
        <v>195</v>
      </c>
      <c r="G28" s="60"/>
      <c r="H28" s="60"/>
    </row>
    <row r="29" ht="45" customHeight="1" spans="2:8" x14ac:dyDescent="0.25">
      <c r="B29" s="57" t="s">
        <v>196</v>
      </c>
      <c r="C29" s="58" t="s">
        <v>183</v>
      </c>
      <c r="D29" s="59" t="s">
        <v>197</v>
      </c>
      <c r="E29" s="59"/>
      <c r="F29" s="60" t="s">
        <v>198</v>
      </c>
      <c r="G29" s="60"/>
      <c r="H29" s="60"/>
    </row>
    <row r="30" ht="45" customHeight="1" spans="2:8" x14ac:dyDescent="0.25">
      <c r="B30" s="57" t="s">
        <v>199</v>
      </c>
      <c r="C30" s="35" t="s">
        <v>193</v>
      </c>
      <c r="D30" s="59" t="s">
        <v>200</v>
      </c>
      <c r="E30" s="59"/>
      <c r="F30" s="60" t="s">
        <v>201</v>
      </c>
      <c r="G30" s="60"/>
      <c r="H30" s="60"/>
    </row>
    <row r="31" ht="45" customHeight="1" spans="2:8" x14ac:dyDescent="0.25">
      <c r="B31" s="57" t="s">
        <v>202</v>
      </c>
      <c r="C31" s="58" t="s">
        <v>183</v>
      </c>
      <c r="D31" s="59" t="s">
        <v>203</v>
      </c>
      <c r="E31" s="59"/>
      <c r="F31" s="60" t="s">
        <v>204</v>
      </c>
      <c r="G31" s="60"/>
      <c r="H31" s="60"/>
    </row>
    <row r="33" spans="2:6" x14ac:dyDescent="0.25">
      <c r="B33" s="57" t="s">
        <v>39</v>
      </c>
      <c r="C33" s="28" t="s">
        <v>205</v>
      </c>
      <c r="D33" s="28"/>
      <c r="E33" s="28"/>
      <c r="F33" s="28"/>
    </row>
    <row r="35" spans="2:8" x14ac:dyDescent="0.25">
      <c r="B35" s="61" t="s">
        <v>206</v>
      </c>
      <c r="C35" s="61"/>
      <c r="D35" s="61"/>
      <c r="E35" s="61"/>
      <c r="F35" s="61"/>
      <c r="G35" s="61"/>
      <c r="H35" s="61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2026-03-26T12:33:16Z</dcterms:created>
  <dcterms:modified xsi:type="dcterms:W3CDTF">2026-03-26T12:33:16Z</dcterms:modified>
</cp:coreProperties>
</file>