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Cover" state="visible" r:id="rId5"/>
    <sheet sheetId="3" name="Assumptions" state="visible" r:id="rId6"/>
    <sheet sheetId="4" name="Drivers" state="visible" r:id="rId7"/>
    <sheet sheetId="5" name="5-Year P&amp;L" state="visible" r:id="rId8"/>
    <sheet sheetId="6" name="Cash Flow &amp; DSCR" state="visible" r:id="rId9"/>
    <sheet sheetId="7" name="Staffing" state="visible" r:id="rId10"/>
    <sheet sheetId="8" name="Loan Snapshot" state="visible" r:id="rId11"/>
    <sheet sheetId="9" name="Summary" state="visible" r:id="rId12"/>
    <sheet sheetId="10" name="Decision History" state="visible" r:id="rId13"/>
    <sheet sheetId="11" name="Financial Health" state="visible" r:id="rId14"/>
  </sheets>
  <calcPr calcId="171027"/>
</workbook>
</file>

<file path=xl/sharedStrings.xml><?xml version="1.0" encoding="utf-8"?>
<sst xmlns="http://schemas.openxmlformats.org/spreadsheetml/2006/main" count="282" uniqueCount="225">
  <si>
    <t>How to Use This Workbook</t>
  </si>
  <si>
    <t>Heritage Academy</t>
  </si>
  <si>
    <t>Generated April 29, 2026 · nonprofit_501c3</t>
  </si>
  <si>
    <t>Cell Color Legend</t>
  </si>
  <si>
    <t xml:space="preserve">  Blue cells are editable inputs — change these to update your model.</t>
  </si>
  <si>
    <t xml:space="preserve">  White cells contain formulas — do not edit (they recalculate automatically).</t>
  </si>
  <si>
    <t xml:space="preserve">  Green cells are key outputs and summary metrics.</t>
  </si>
  <si>
    <t/>
  </si>
  <si>
    <t>Navigation</t>
  </si>
  <si>
    <t>The Assumptions tab is the central control panel — all other tabs reference it.</t>
  </si>
  <si>
    <t>Structure</t>
  </si>
  <si>
    <t>Assumptions &amp; Drivers: Model inputs and calculations</t>
  </si>
  <si>
    <t>5-Year P&amp;L &amp; Cash Flow: Financial projections</t>
  </si>
  <si>
    <t>Staffing &amp; Loan Snapshot: Personnel and debt detail</t>
  </si>
  <si>
    <t>Summary &amp; Financial Health: Key metrics dashboard</t>
  </si>
  <si>
    <t>Debt Service Convention</t>
  </si>
  <si>
    <t>operating expense on the Operating Statement. This is a standard</t>
  </si>
  <si>
    <t>simplification used in school financial underwriting that ensures internal</t>
  </si>
  <si>
    <t>consistency across all tabs.</t>
  </si>
  <si>
    <t>Tips</t>
  </si>
  <si>
    <t>Check the Financial Health dashboard for an at-a-glance assessment.</t>
  </si>
  <si>
    <t>Review key metrics: net margin, cash runway, and DSCR.</t>
  </si>
  <si>
    <t>Next Steps</t>
  </si>
  <si>
    <t>2. Verify enrollment and revenue projections match your plan.</t>
  </si>
  <si>
    <t>3. Check the Financial Health dashboard for risk signals.</t>
  </si>
  <si>
    <t>4. Share this workbook with your lender or financial advisor.</t>
  </si>
  <si>
    <t>5. Update inputs as your school's plan evolves.</t>
  </si>
  <si>
    <t>Disclaimer</t>
  </si>
  <si>
    <t>a loan commitment, or a guarantee of funding. All projections are based on</t>
  </si>
  <si>
    <t>user-provided assumptions and should be independently verified.</t>
  </si>
  <si>
    <t>SCHOOLSTACK BUDGET</t>
  </si>
  <si>
    <t>Lender-Ready Pro Forma</t>
  </si>
  <si>
    <t>TABLE OF CONTENTS</t>
  </si>
  <si>
    <t>Assumptions</t>
  </si>
  <si>
    <t>Drivers</t>
  </si>
  <si>
    <t>5-Year P&amp;L</t>
  </si>
  <si>
    <t>Cash Flow &amp; DSCR</t>
  </si>
  <si>
    <t>Staffing</t>
  </si>
  <si>
    <t>Loan Snapshot</t>
  </si>
  <si>
    <t>Summary</t>
  </si>
  <si>
    <t>Generated April 29, 2026</t>
  </si>
  <si>
    <t>Generated by SchoolStack Budget  •  budget.schoolstack.ai</t>
  </si>
  <si>
    <t>SchoolStack Budget - Lender Pro Forma Assumptions</t>
  </si>
  <si>
    <t>Editable assumption — change this value</t>
  </si>
  <si>
    <t>Calculated — driven by formula</t>
  </si>
  <si>
    <t>SCHOOL PROFILE</t>
  </si>
  <si>
    <t>School Name</t>
  </si>
  <si>
    <t>State</t>
  </si>
  <si>
    <t>FL</t>
  </si>
  <si>
    <t>School Type</t>
  </si>
  <si>
    <t>Private School</t>
  </si>
  <si>
    <t>First Operating Year</t>
  </si>
  <si>
    <t>ENROLLMENT FORECAST</t>
  </si>
  <si>
    <t>Year 1 Enrollment</t>
  </si>
  <si>
    <t>Year 2 Enrollment</t>
  </si>
  <si>
    <t>Year 3 Enrollment</t>
  </si>
  <si>
    <t>Year 4 Enrollment</t>
  </si>
  <si>
    <t>Year 5 Enrollment</t>
  </si>
  <si>
    <t>REVENUE ASSUMPTIONS</t>
  </si>
  <si>
    <t>Tuition per Student (Year 1)</t>
  </si>
  <si>
    <t>Tuition Annual Growth %</t>
  </si>
  <si>
    <t>ESA per Student (Year 1)</t>
  </si>
  <si>
    <t>ESA Annual Growth %</t>
  </si>
  <si>
    <t>Other Per-Student Revenue (Year 1)</t>
  </si>
  <si>
    <t>Other Revenue Growth %</t>
  </si>
  <si>
    <t>Collection Rate %</t>
  </si>
  <si>
    <t>Grants &amp; Contributions (Year 1)</t>
  </si>
  <si>
    <t>Grants Growth %</t>
  </si>
  <si>
    <t>STAFFING ASSUMPTIONS</t>
  </si>
  <si>
    <t>Students per Teacher</t>
  </si>
  <si>
    <t>Avg Teacher Salary (Year 1)</t>
  </si>
  <si>
    <t>Teacher Salary Growth %</t>
  </si>
  <si>
    <t>Admin FTE - Year 1</t>
  </si>
  <si>
    <t>Admin FTE - Year 2</t>
  </si>
  <si>
    <t>Admin FTE - Year 3</t>
  </si>
  <si>
    <t>Admin FTE - Year 4</t>
  </si>
  <si>
    <t>Admin FTE - Year 5</t>
  </si>
  <si>
    <t>Avg Admin Salary (Year 1)</t>
  </si>
  <si>
    <t>Admin Salary Growth %</t>
  </si>
  <si>
    <t>Benefits Burden %</t>
  </si>
  <si>
    <t>OPERATING EXPENSE ASSUMPTIONS</t>
  </si>
  <si>
    <t>Annual Rent (Year 1)</t>
  </si>
  <si>
    <t>Rent Growth %</t>
  </si>
  <si>
    <t>Other Facility Cost (Year 1)</t>
  </si>
  <si>
    <t>Other Facility Growth %</t>
  </si>
  <si>
    <t>Program Cost per Student (Year 1)</t>
  </si>
  <si>
    <t>Program Cost Growth %</t>
  </si>
  <si>
    <t>Fixed Operating Costs (Year 1)</t>
  </si>
  <si>
    <t>Fixed Operating Growth %</t>
  </si>
  <si>
    <t>CAPITAL &amp; DEBT</t>
  </si>
  <si>
    <t>Starting Cash</t>
  </si>
  <si>
    <t>Existing Annual Debt Service</t>
  </si>
  <si>
    <t>Proposed Loan Amount</t>
  </si>
  <si>
    <t>Interest Rate %</t>
  </si>
  <si>
    <t>Term (Years)</t>
  </si>
  <si>
    <t>Revenue &amp; Expense Drivers</t>
  </si>
  <si>
    <t>Year 1</t>
  </si>
  <si>
    <t>Year 2</t>
  </si>
  <si>
    <t>Year 3</t>
  </si>
  <si>
    <t>Year 4</t>
  </si>
  <si>
    <t>Year 5</t>
  </si>
  <si>
    <t>Enrollment</t>
  </si>
  <si>
    <t>Tuition Revenue (Net)</t>
  </si>
  <si>
    <t xml:space="preserve">  × Collection Rate Applied</t>
  </si>
  <si>
    <t>ESA / School Choice Revenue</t>
  </si>
  <si>
    <t>Other Earned Revenue</t>
  </si>
  <si>
    <t>Grants &amp; Contributions</t>
  </si>
  <si>
    <t>Total Revenue</t>
  </si>
  <si>
    <t>Teacher FTE (Enrollment ÷ Ratio)</t>
  </si>
  <si>
    <t>Teacher Salaries</t>
  </si>
  <si>
    <t>Admin Salaries</t>
  </si>
  <si>
    <t>Benefits &amp; Payroll Taxes</t>
  </si>
  <si>
    <t>Total Staffing Cost</t>
  </si>
  <si>
    <t>Rent / Lease</t>
  </si>
  <si>
    <t>Other Facility Costs</t>
  </si>
  <si>
    <t>Program / Curriculum</t>
  </si>
  <si>
    <t>G&amp;A / Technology</t>
  </si>
  <si>
    <t>Total Operating Expenses</t>
  </si>
  <si>
    <t>5-Year Pro Forma Profit &amp; Loss</t>
  </si>
  <si>
    <t>ESA / School Choice</t>
  </si>
  <si>
    <t>Other Revenue</t>
  </si>
  <si>
    <t>Total Staffing</t>
  </si>
  <si>
    <t>Total Expenses</t>
  </si>
  <si>
    <t>Net Operating Income (NOI)</t>
  </si>
  <si>
    <t>Operating Margin</t>
  </si>
  <si>
    <t>Capital &amp; Debt Service</t>
  </si>
  <si>
    <t>Net Income</t>
  </si>
  <si>
    <t>Net Margin</t>
  </si>
  <si>
    <t>Cumulative Net Income</t>
  </si>
  <si>
    <t>Break-even</t>
  </si>
  <si>
    <t>Cash Flow &amp; Debt Service Coverage</t>
  </si>
  <si>
    <t>Beginning Cash</t>
  </si>
  <si>
    <t>Net Operating Income</t>
  </si>
  <si>
    <t>Existing Debt Service</t>
  </si>
  <si>
    <t>Proposed Loan Debt Service</t>
  </si>
  <si>
    <t>Total Debt Service</t>
  </si>
  <si>
    <t>DSCR (NOI ÷ Total Debt Service)</t>
  </si>
  <si>
    <t>Net Income After Debt</t>
  </si>
  <si>
    <t>Net Cash Flow</t>
  </si>
  <si>
    <t>Ending Cash</t>
  </si>
  <si>
    <t>Staffing Detail</t>
  </si>
  <si>
    <t>Teacher FTE</t>
  </si>
  <si>
    <t>Admin FTE</t>
  </si>
  <si>
    <t>Total FTE</t>
  </si>
  <si>
    <t>Proposed Loan Summary</t>
  </si>
  <si>
    <t>Loan Amount</t>
  </si>
  <si>
    <t>Interest Rate</t>
  </si>
  <si>
    <t>Annual Debt Service</t>
  </si>
  <si>
    <t>Year 1 DSCR</t>
  </si>
  <si>
    <t>Model Summary</t>
  </si>
  <si>
    <t>Opening Year</t>
  </si>
  <si>
    <t>Year 5 Revenue</t>
  </si>
  <si>
    <t>Year 5 NOI</t>
  </si>
  <si>
    <t>KEY RATIOS</t>
  </si>
  <si>
    <t>Net Margin (Year 5)</t>
  </si>
  <si>
    <t>Personnel % of Revenue (Year 5)</t>
  </si>
  <si>
    <t>Revenue per Student (Year 5)</t>
  </si>
  <si>
    <t>Expense per Student (Year 5)</t>
  </si>
  <si>
    <t>DSCR (Year 1)</t>
  </si>
  <si>
    <t>DSCR (Year 5)</t>
  </si>
  <si>
    <t>Days Cash on Hand (Year 1)</t>
  </si>
  <si>
    <t>Generated by SchoolStack Budget (budget.schoolstack.ai)</t>
  </si>
  <si>
    <t>Decision History</t>
  </si>
  <si>
    <t>No decisions have been tracked with an outcome yet. As the team marks saved scenarios as Pursued, Declined, or On hold, those outcomes (and any retrospective notes) will appear here so reviewers can see what actually happened versus what was modeled.</t>
  </si>
  <si>
    <t>Once decisions are saved with a Pursued / Declined / On hold outcome inside the planner, they will be summarized here.</t>
  </si>
  <si>
    <t>Heritage Academy — Financial Health Dashboard</t>
  </si>
  <si>
    <t>● Green = healthy</t>
  </si>
  <si>
    <t>◐ Yellow = monitor</t>
  </si>
  <si>
    <t>○ Red = action needed</t>
  </si>
  <si>
    <t>Metric</t>
  </si>
  <si>
    <t>Benchmark</t>
  </si>
  <si>
    <t>Revenue</t>
  </si>
  <si>
    <t>Personnel</t>
  </si>
  <si>
    <t>Operating Expenses</t>
  </si>
  <si>
    <t>Debt Service</t>
  </si>
  <si>
    <t>Revenue per Student</t>
  </si>
  <si>
    <t>≥ $10,000</t>
  </si>
  <si>
    <t>Cost per Student</t>
  </si>
  <si>
    <t xml:space="preserve">  Instructional / Student</t>
  </si>
  <si>
    <t xml:space="preserve">  Facility / Student</t>
  </si>
  <si>
    <t>≤ $2,000 / $2k–$3.5k / &gt; $3,500</t>
  </si>
  <si>
    <t>Surplus per Student</t>
  </si>
  <si>
    <t>Payroll %</t>
  </si>
  <si>
    <t>≤ 55%</t>
  </si>
  <si>
    <t>Facility %</t>
  </si>
  <si>
    <t>≤ 15%</t>
  </si>
  <si>
    <t>≥ 10%</t>
  </si>
  <si>
    <t>Revenue Sources</t>
  </si>
  <si>
    <t>≥ 3 sources</t>
  </si>
  <si>
    <t>DSCR</t>
  </si>
  <si>
    <t>≥ 1.25x</t>
  </si>
  <si>
    <t>Break-even Year</t>
  </si>
  <si>
    <t>Cash Runway (Months)</t>
  </si>
  <si>
    <t>≥ 24 months</t>
  </si>
  <si>
    <t>Days Cash on Hand</t>
  </si>
  <si>
    <t>≥ 90 days</t>
  </si>
  <si>
    <t>FINANCIAL HEALTH SIGNALS</t>
  </si>
  <si>
    <t>Status</t>
  </si>
  <si>
    <t>Assessment</t>
  </si>
  <si>
    <t>Watch Item</t>
  </si>
  <si>
    <t>Viability</t>
  </si>
  <si>
    <t>○ Needs attention</t>
  </si>
  <si>
    <t>The model does not reach break-even within 5 years. This needs to be addressed before approaching lenders.</t>
  </si>
  <si>
    <t>Revisit revenue assumptions and cost structure to build a clear path to break-even.</t>
  </si>
  <si>
    <t>Liquidity</t>
  </si>
  <si>
    <t>Cash goes negative in month 6. The school will need outside funding to continue operating.</t>
  </si>
  <si>
    <t>Secure a line of credit or bridge funding before operations begin.</t>
  </si>
  <si>
    <t>Staffing Burden</t>
  </si>
  <si>
    <t>Staffing at 67% of revenue is above the sustainable range. There's too little left for everything else.</t>
  </si>
  <si>
    <t>Review staffing plan for phased hiring, shared roles, or adjusted ratios.</t>
  </si>
  <si>
    <t>Facility Burden</t>
  </si>
  <si>
    <t>● Healthy</t>
  </si>
  <si>
    <t>Facility costs at 7% of revenue are well-managed and leave budget for programs.</t>
  </si>
  <si>
    <t>Watch for rent escalation clauses that could push this higher over time.</t>
  </si>
  <si>
    <t>Debt Affordability</t>
  </si>
  <si>
    <t>DSCR of 0.39x is below the 1.15x amber threshold. Any shortfall in revenue makes debt unaffordable.</t>
  </si>
  <si>
    <t>Reduce loan amounts, extend terms, or increase revenue before committing to this debt.</t>
  </si>
  <si>
    <t>Revenue Concentration</t>
  </si>
  <si>
    <t>Revenue is anchored to enrollment-driven income — the strongest foundation for a school model. A focused revenue stream is a strength when backed by dependable demand.</t>
  </si>
  <si>
    <t>Continue to pressure-test enrollment assumptions: recruitment pipeline, waitlist depth, retention rates, and collection reliability.</t>
  </si>
  <si>
    <t>Reserve Strength</t>
  </si>
  <si>
    <t>Less than 1 month of reserves by Year 5. The school has no financial cushion.</t>
  </si>
  <si>
    <t>Prioritize building reserves — even a small surplus each year compounds into meaningful protection.</t>
  </si>
  <si>
    <t>2 Healthy  |  0 Watch  |  5 Needs Attention</t>
  </si>
  <si>
    <t>Built by SchoolStack Budget  •  budget.schoolstack.ai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</si>
</sst>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quot;-&quot;"/>
    <numFmt numFmtId="165" formatCode="_(&quot;$&quot;* #,##0_);_(&quot;$&quot;* (#,##0);_(&quot;$&quot;* &quot;-&quot;??_);_(@_)"/>
    <numFmt numFmtId="166" formatCode="0.0%;[Red](0.0%);&quot;-&quot;"/>
    <numFmt numFmtId="167" formatCode="0.00x"/>
  </numFmts>
  <fonts count="21" x14ac:knownFonts="1">
    <font>
      <color theme="1"/>
      <family val="2"/>
      <scheme val="minor"/>
      <sz val="11"/>
      <name val="Calibri"/>
    </font>
    <font>
      <b/>
      <color rgb="FF1E293B"/>
      <sz val="16"/>
      <name val="Calibri"/>
    </font>
    <font>
      <color rgb="FF1E293B"/>
      <sz val="12"/>
      <name val="Calibri"/>
    </font>
    <font>
      <i/>
      <color rgb="FF6B7280"/>
      <sz val="10"/>
      <name val="Calibri"/>
    </font>
    <font>
      <b/>
      <color rgb="FF1E293B"/>
      <sz val="11"/>
      <name val="Calibri"/>
    </font>
    <font>
      <color rgb="FF1E3A5F"/>
      <sz val="11"/>
      <name val="Calibri"/>
    </font>
    <font>
      <sz val="11"/>
      <name val="Calibri"/>
    </font>
    <font>
      <b/>
      <color rgb="FF1E293B"/>
      <sz val="22"/>
      <name val="Calibri"/>
    </font>
    <font>
      <color rgb="FF328555"/>
      <sz val="14"/>
      <name val="Calibri"/>
    </font>
    <font>
      <u/>
      <color rgb="FF0563C1"/>
      <sz val="11"/>
      <name val="Calibri"/>
    </font>
    <font>
      <i/>
      <color rgb="FF6B7280"/>
      <sz val="11"/>
      <name val="Calibri"/>
    </font>
    <font>
      <b/>
      <color rgb="FF1E293B"/>
      <sz val="14"/>
      <name val="Calibri"/>
    </font>
    <font>
      <color rgb="FF1E3A5F"/>
    </font>
    <font>
      <i/>
      <color rgb="FF666666"/>
      <sz val="10"/>
      <name val="Calibri"/>
    </font>
    <font>
      <b/>
      <color rgb="FFFFFFFF"/>
      <sz val="11"/>
      <name val="Calibri"/>
    </font>
    <font>
      <color rgb="FF374151"/>
      <sz val="11"/>
      <name val="Calibri"/>
    </font>
    <font>
      <b/>
      <sz val="11"/>
      <name val="Calibri"/>
    </font>
    <font>
      <b/>
      <color rgb="FF16A34A"/>
      <sz val="11"/>
      <name val="Calibri"/>
    </font>
    <font>
      <b/>
      <color rgb="FFD97706"/>
      <sz val="11"/>
      <name val="Calibri"/>
    </font>
    <font>
      <b/>
      <color rgb="FFDC2626"/>
      <sz val="11"/>
      <name val="Calibri"/>
    </font>
    <font>
      <i/>
      <color rgb="FF9CA3AF"/>
      <sz val="11"/>
      <name val="Calibri"/>
    </font>
  </fonts>
  <fills count="9">
    <fill>
      <patternFill patternType="none"/>
    </fill>
    <fill>
      <patternFill patternType="gray125"/>
    </fill>
    <fill>
      <patternFill patternType="solid">
        <fgColor rgb="FFDBEAFE"/>
      </patternFill>
    </fill>
    <fill>
      <patternFill patternType="solid">
        <fgColor rgb="FFE8F5E9"/>
      </patternFill>
    </fill>
    <fill>
      <patternFill patternType="solid">
        <fgColor rgb="FFFFFFFF"/>
      </patternFill>
    </fill>
    <fill>
      <patternFill patternType="solid">
        <fgColor rgb="FF1E293B"/>
      </patternFill>
    </fill>
    <fill>
      <patternFill patternType="solid">
        <fgColor rgb="FFFCE4EC"/>
      </patternFill>
    </fill>
    <fill>
      <patternFill patternType="solid">
        <fgColor rgb="FFE8EDF2"/>
      </patternFill>
    </fill>
    <fill>
      <patternFill patternType="solid">
        <fgColor rgb="FFFFF8E1"/>
      </patternFill>
    </fill>
  </fills>
  <borders count="6">
    <border>
      <left/>
      <right/>
      <top/>
      <bottom/>
      <diagonal/>
    </border>
    <border>
      <left/>
      <right/>
      <top/>
      <bottom style="medium">
        <color rgb="FF328555"/>
      </bottom>
      <diagonal/>
    </border>
    <border>
      <left/>
      <right/>
      <top/>
      <bottom style="thin">
        <color rgb="FFD0D0D0"/>
      </bottom>
      <diagonal/>
    </border>
    <border>
      <left/>
      <right/>
      <top/>
      <bottom style="thin">
        <color rgb="FFE5E7EB"/>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1E293B"/>
      </top>
      <bottom style="double">
        <color rgb="FF1E293B"/>
      </bottom>
      <diagonal/>
    </border>
  </borders>
  <cellStyleXfs count="1">
    <xf numFmtId="0" fontId="0" fillId="0" borderId="0"/>
  </cellStyleXfs>
  <cellXfs count="6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0" fontId="6" fillId="3" borderId="0" xfId="0" applyFont="1" applyFill="1"/>
    <xf numFmtId="0" fontId="7" fillId="0" borderId="0" xfId="0" applyFont="1"/>
    <xf numFmtId="0" fontId="8" fillId="0" borderId="0" xfId="0" applyFont="1"/>
    <xf numFmtId="0" fontId="4" fillId="0" borderId="1" xfId="0" applyFont="1" applyBorder="1"/>
    <xf numFmtId="0" fontId="9" fillId="0" borderId="0" xfId="0" applyFont="1"/>
    <xf numFmtId="0" fontId="10" fillId="0" borderId="0" xfId="0" applyFont="1"/>
    <xf numFmtId="0" fontId="11" fillId="0" borderId="0" xfId="0" applyFont="1"/>
    <xf numFmtId="0" fontId="12" fillId="2" borderId="0" xfId="0" applyFont="1" applyFill="1"/>
    <xf numFmtId="0" fontId="13" fillId="0" borderId="0" xfId="0" applyFont="1"/>
    <xf numFmtId="0" fontId="0" fillId="4" borderId="2" xfId="0" applyFill="1" applyBorder="1"/>
    <xf numFmtId="0" fontId="14" fillId="5" borderId="0" xfId="0" applyFont="1" applyFill="1" applyAlignment="1">
      <alignment horizontal="left" vertical="center"/>
    </xf>
    <xf numFmtId="0" fontId="15" fillId="0" borderId="3" xfId="0" applyFont="1" applyBorder="1"/>
    <xf numFmtId="0" fontId="12" fillId="2" borderId="3" xfId="0" applyFont="1" applyFill="1" applyBorder="1" applyAlignment="1">
      <alignment horizontal="right"/>
    </xf>
    <xf numFmtId="164" fontId="12" fillId="2" borderId="3" xfId="0" applyNumberFormat="1" applyFont="1" applyFill="1" applyBorder="1" applyAlignment="1">
      <alignment horizontal="right"/>
    </xf>
    <xf numFmtId="165" fontId="12" fillId="2" borderId="3" xfId="0" applyNumberFormat="1" applyFont="1" applyFill="1" applyBorder="1" applyAlignment="1">
      <alignment horizontal="right"/>
    </xf>
    <xf numFmtId="166" fontId="12" fillId="2" borderId="3" xfId="0" applyNumberFormat="1" applyFont="1" applyFill="1" applyBorder="1" applyAlignment="1">
      <alignment horizontal="right"/>
    </xf>
    <xf numFmtId="0" fontId="0" fillId="5" borderId="4" xfId="0" applyFill="1" applyBorder="1"/>
    <xf numFmtId="0" fontId="14" fillId="5" borderId="4" xfId="0" applyFont="1" applyFill="1" applyBorder="1" applyAlignment="1">
      <alignment horizontal="center"/>
    </xf>
    <xf numFmtId="0" fontId="6" fillId="0" borderId="4" xfId="0" applyFont="1" applyBorder="1"/>
    <xf numFmtId="164" fontId="6" fillId="0" borderId="4" xfId="0" applyNumberFormat="1" applyFont="1" applyBorder="1" applyAlignment="1">
      <alignment horizontal="right"/>
    </xf>
    <xf numFmtId="165" fontId="6" fillId="0" borderId="4" xfId="0" applyNumberFormat="1" applyFont="1" applyBorder="1" applyAlignment="1">
      <alignment horizontal="right"/>
    </xf>
    <xf numFmtId="0" fontId="16" fillId="0" borderId="4" xfId="0" applyFont="1" applyBorder="1"/>
    <xf numFmtId="165" fontId="16" fillId="0" borderId="5" xfId="0" applyNumberFormat="1" applyFont="1" applyBorder="1" applyAlignment="1">
      <alignment horizontal="right"/>
    </xf>
    <xf numFmtId="165" fontId="16" fillId="6" borderId="5" xfId="0" applyNumberFormat="1" applyFont="1" applyFill="1" applyBorder="1" applyAlignment="1">
      <alignment horizontal="right"/>
    </xf>
    <xf numFmtId="165" fontId="16" fillId="3" borderId="5" xfId="0" applyNumberFormat="1" applyFont="1" applyFill="1" applyBorder="1" applyAlignment="1">
      <alignment horizontal="right"/>
    </xf>
    <xf numFmtId="166" fontId="6" fillId="0" borderId="4" xfId="0" applyNumberFormat="1" applyFont="1" applyBorder="1" applyAlignment="1">
      <alignment horizontal="right"/>
    </xf>
    <xf numFmtId="165" fontId="16" fillId="0" borderId="4" xfId="0" applyNumberFormat="1" applyFont="1" applyBorder="1" applyAlignment="1">
      <alignment horizontal="right"/>
    </xf>
    <xf numFmtId="0" fontId="0" fillId="0" borderId="4" xfId="0" applyBorder="1" applyAlignment="1">
      <alignment horizontal="center"/>
    </xf>
    <xf numFmtId="167" fontId="16" fillId="6" borderId="4" xfId="0" applyNumberFormat="1" applyFont="1" applyFill="1" applyBorder="1" applyAlignment="1">
      <alignment horizontal="right"/>
    </xf>
    <xf numFmtId="167" fontId="16" fillId="3" borderId="4" xfId="0" applyNumberFormat="1" applyFont="1" applyFill="1" applyBorder="1" applyAlignment="1">
      <alignment horizontal="right"/>
    </xf>
    <xf numFmtId="164" fontId="16" fillId="0" borderId="5" xfId="0" applyNumberFormat="1" applyFont="1" applyBorder="1" applyAlignment="1">
      <alignment horizontal="right"/>
    </xf>
    <xf numFmtId="165" fontId="16" fillId="3" borderId="4" xfId="0" applyNumberFormat="1" applyFont="1" applyFill="1" applyBorder="1" applyAlignment="1">
      <alignment horizontal="right"/>
    </xf>
    <xf numFmtId="0" fontId="14" fillId="5" borderId="4" xfId="0" applyFont="1" applyFill="1" applyBorder="1"/>
    <xf numFmtId="166" fontId="6" fillId="6" borderId="4" xfId="0" applyNumberFormat="1" applyFont="1" applyFill="1" applyBorder="1" applyAlignment="1">
      <alignment horizontal="right"/>
    </xf>
    <xf numFmtId="3" fontId="16" fillId="6" borderId="4" xfId="0" applyNumberFormat="1" applyFont="1" applyFill="1" applyBorder="1" applyAlignment="1">
      <alignment horizontal="right"/>
    </xf>
    <xf numFmtId="0" fontId="10" fillId="0" borderId="0" xfId="0" applyFont="1" applyAlignment="1">
      <alignment vertical="top" wrapText="1"/>
    </xf>
    <xf numFmtId="0" fontId="3" fillId="0" borderId="0" xfId="0" applyFont="1" applyAlignment="1">
      <alignment vertical="top" wrapText="1"/>
    </xf>
    <xf numFmtId="0" fontId="17" fillId="0" borderId="0" xfId="0" applyFont="1"/>
    <xf numFmtId="0" fontId="18" fillId="0" borderId="0" xfId="0" applyFont="1"/>
    <xf numFmtId="0" fontId="19" fillId="0" borderId="0" xfId="0" applyFont="1"/>
    <xf numFmtId="0" fontId="4" fillId="7" borderId="4" xfId="0" applyFont="1" applyFill="1" applyBorder="1"/>
    <xf numFmtId="0" fontId="4" fillId="7" borderId="4" xfId="0" applyFont="1" applyFill="1" applyBorder="1" applyAlignment="1">
      <alignment horizontal="center"/>
    </xf>
    <xf numFmtId="166" fontId="16" fillId="6" borderId="5" xfId="0" applyNumberFormat="1" applyFont="1" applyFill="1" applyBorder="1" applyAlignment="1">
      <alignment horizontal="right"/>
    </xf>
    <xf numFmtId="166" fontId="16" fillId="8" borderId="5" xfId="0" applyNumberFormat="1" applyFont="1" applyFill="1" applyBorder="1" applyAlignment="1">
      <alignment horizontal="right"/>
    </xf>
    <xf numFmtId="165" fontId="6" fillId="8" borderId="4" xfId="0" applyNumberFormat="1" applyFont="1" applyFill="1" applyBorder="1" applyAlignment="1">
      <alignment horizontal="right"/>
    </xf>
    <xf numFmtId="165" fontId="6" fillId="3" borderId="4" xfId="0" applyNumberFormat="1" applyFont="1" applyFill="1" applyBorder="1" applyAlignment="1">
      <alignment horizontal="right"/>
    </xf>
    <xf numFmtId="0" fontId="10" fillId="0" borderId="4" xfId="0" applyFont="1" applyBorder="1"/>
    <xf numFmtId="165" fontId="16" fillId="6" borderId="4" xfId="0" applyNumberFormat="1" applyFont="1" applyFill="1" applyBorder="1" applyAlignment="1">
      <alignment horizontal="right"/>
    </xf>
    <xf numFmtId="166" fontId="16" fillId="3" borderId="5" xfId="0" applyNumberFormat="1" applyFont="1" applyFill="1" applyBorder="1" applyAlignment="1">
      <alignment horizontal="right"/>
    </xf>
    <xf numFmtId="164" fontId="16" fillId="3" borderId="5" xfId="0" applyNumberFormat="1" applyFont="1" applyFill="1" applyBorder="1" applyAlignment="1">
      <alignment horizontal="right"/>
    </xf>
    <xf numFmtId="167" fontId="16" fillId="6" borderId="5" xfId="0" applyNumberFormat="1" applyFont="1" applyFill="1" applyBorder="1" applyAlignment="1">
      <alignment horizontal="right"/>
    </xf>
    <xf numFmtId="167" fontId="16" fillId="3" borderId="5" xfId="0" applyNumberFormat="1" applyFont="1" applyFill="1" applyBorder="1" applyAlignment="1">
      <alignment horizontal="right"/>
    </xf>
    <xf numFmtId="0" fontId="6" fillId="0" borderId="4" xfId="0" applyFont="1" applyBorder="1" applyAlignment="1">
      <alignment horizontal="center"/>
    </xf>
    <xf numFmtId="164" fontId="16" fillId="6" borderId="5" xfId="0" applyNumberFormat="1" applyFont="1" applyFill="1" applyBorder="1" applyAlignment="1">
      <alignment horizontal="right"/>
    </xf>
    <xf numFmtId="0" fontId="4" fillId="0" borderId="4" xfId="0" applyFont="1" applyBorder="1"/>
    <xf numFmtId="0" fontId="19" fillId="0" borderId="4" xfId="0" applyFont="1" applyBorder="1" applyAlignment="1">
      <alignment horizontal="center"/>
    </xf>
    <xf numFmtId="0" fontId="6" fillId="0" borderId="4" xfId="0" applyFont="1" applyBorder="1" applyAlignment="1">
      <alignment wrapText="1"/>
    </xf>
    <xf numFmtId="0" fontId="10" fillId="0" borderId="4" xfId="0" applyFont="1" applyBorder="1" applyAlignment="1">
      <alignment wrapText="1"/>
    </xf>
    <xf numFmtId="0" fontId="17" fillId="0" borderId="4" xfId="0" applyFont="1" applyBorder="1" applyAlignment="1">
      <alignment horizontal="center"/>
    </xf>
    <xf numFmtId="0" fontId="20" fillId="0" borderId="0" xfId="0" applyFont="1" applyAlignment="1">
      <alignment horizontal="center"/>
    </xf>
  </cellXfs>
  <cellStyles count="1">
    <cellStyle name="Normal" xfId="0" builtinId="0"/>
  </cellStyles>
  <dxfs count="24">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Assumptions&apos;!A1" TargetMode="External"/><Relationship Id="rId2" Type="http://schemas.openxmlformats.org/officeDocument/2006/relationships/hyperlink" Target="#&apos;Drivers&apos;!A1" TargetMode="External"/><Relationship Id="rId3" Type="http://schemas.openxmlformats.org/officeDocument/2006/relationships/hyperlink" Target="#&apos;5-Year P&amp;L&apos;!A1" TargetMode="External"/><Relationship Id="rId4" Type="http://schemas.openxmlformats.org/officeDocument/2006/relationships/hyperlink" Target="#&apos;Cash Flow &amp; DSCR&apos;!A1" TargetMode="External"/><Relationship Id="rId5" Type="http://schemas.openxmlformats.org/officeDocument/2006/relationships/hyperlink" Target="#&apos;Staffing&apos;!A1" TargetMode="External"/><Relationship Id="rId6" Type="http://schemas.openxmlformats.org/officeDocument/2006/relationships/hyperlink" Target="#&apos;Loan Snapshot&apos;!A1" TargetMode="External"/><Relationship Id="rId7" Type="http://schemas.openxmlformats.org/officeDocument/2006/relationships/hyperlink" Target="#&apos;Summary&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B37"/>
  <sheetFormatPr defaultRowHeight="15" outlineLevelRow="0" outlineLevelCol="0" x14ac:dyDescent="55"/>
  <cols>
    <col min="1" max="1" width="4" customWidth="1"/>
    <col min="2" max="2" width="80" customWidth="1"/>
  </cols>
  <sheetData>
    <row r="2" spans="2:2" x14ac:dyDescent="0.25">
      <c r="B2" s="1" t="s">
        <v>0</v>
      </c>
    </row>
    <row r="3" spans="2:2" x14ac:dyDescent="0.25">
      <c r="B3" s="2" t="s">
        <v>1</v>
      </c>
    </row>
    <row r="4" spans="2:2" x14ac:dyDescent="0.25">
      <c r="B4" s="3" t="s">
        <v>2</v>
      </c>
    </row>
    <row r="6" spans="2:2" x14ac:dyDescent="0.25">
      <c r="B6" s="4" t="s">
        <v>3</v>
      </c>
    </row>
    <row r="7" spans="2:2" x14ac:dyDescent="0.25">
      <c r="B7" s="5" t="s">
        <v>4</v>
      </c>
    </row>
    <row r="8" spans="2:2" x14ac:dyDescent="0.25">
      <c r="B8" s="6" t="s">
        <v>5</v>
      </c>
    </row>
    <row r="9" spans="2:2" x14ac:dyDescent="0.25">
      <c r="B9" s="7" t="s">
        <v>6</v>
      </c>
    </row>
    <row r="10" spans="2:2" x14ac:dyDescent="0.25">
      <c r="B10" s="6" t="s">
        <v>7</v>
      </c>
    </row>
    <row r="11" spans="2:2" x14ac:dyDescent="0.25">
      <c r="B11" s="4" t="s">
        <v>8</v>
      </c>
    </row>
    <row r="12" spans="2:2" x14ac:dyDescent="0.25">
      <c r="B12" s="6" t="s">
        <v>9</v>
      </c>
    </row>
    <row r="13" spans="2:2" x14ac:dyDescent="0.25">
      <c r="B13" s="6" t="s">
        <v>7</v>
      </c>
    </row>
    <row r="14" spans="2:2" x14ac:dyDescent="0.25">
      <c r="B14" s="4" t="s">
        <v>10</v>
      </c>
    </row>
    <row r="15" spans="2:2" x14ac:dyDescent="0.25">
      <c r="B15" s="6" t="s">
        <v>11</v>
      </c>
    </row>
    <row r="16" spans="2:2" x14ac:dyDescent="0.25">
      <c r="B16" s="6" t="s">
        <v>12</v>
      </c>
    </row>
    <row r="17" spans="2:2" x14ac:dyDescent="0.25">
      <c r="B17" s="6" t="s">
        <v>13</v>
      </c>
    </row>
    <row r="18" spans="2:2" x14ac:dyDescent="0.25">
      <c r="B18" s="6" t="s">
        <v>14</v>
      </c>
    </row>
    <row r="19" spans="2:2" x14ac:dyDescent="0.25">
      <c r="B19" s="6" t="s">
        <v>7</v>
      </c>
    </row>
    <row r="20" spans="2:2" x14ac:dyDescent="0.25">
      <c r="B20" s="4" t="s">
        <v>15</v>
      </c>
    </row>
    <row r="21" spans="2:2" x14ac:dyDescent="0.25">
      <c r="B21" s="6" t="s">
        <v>16</v>
      </c>
    </row>
    <row r="22" spans="2:2" x14ac:dyDescent="0.25">
      <c r="B22" s="6" t="s">
        <v>17</v>
      </c>
    </row>
    <row r="23" spans="2:2" x14ac:dyDescent="0.25">
      <c r="B23" s="6" t="s">
        <v>18</v>
      </c>
    </row>
    <row r="24" spans="2:2" x14ac:dyDescent="0.25">
      <c r="B24" s="6" t="s">
        <v>7</v>
      </c>
    </row>
    <row r="25" spans="2:2" x14ac:dyDescent="0.25">
      <c r="B25" s="4" t="s">
        <v>19</v>
      </c>
    </row>
    <row r="26" spans="2:2" x14ac:dyDescent="0.25">
      <c r="B26" s="6" t="s">
        <v>20</v>
      </c>
    </row>
    <row r="27" spans="2:2" x14ac:dyDescent="0.25">
      <c r="B27" s="6" t="s">
        <v>21</v>
      </c>
    </row>
    <row r="28" spans="2:2" x14ac:dyDescent="0.25">
      <c r="B28" s="6" t="s">
        <v>7</v>
      </c>
    </row>
    <row r="29" spans="2:2" x14ac:dyDescent="0.25">
      <c r="B29" s="4" t="s">
        <v>22</v>
      </c>
    </row>
    <row r="30" spans="2:2" x14ac:dyDescent="0.25">
      <c r="B30" s="6" t="s">
        <v>23</v>
      </c>
    </row>
    <row r="31" spans="2:2" x14ac:dyDescent="0.25">
      <c r="B31" s="6" t="s">
        <v>24</v>
      </c>
    </row>
    <row r="32" spans="2:2" x14ac:dyDescent="0.25">
      <c r="B32" s="6" t="s">
        <v>25</v>
      </c>
    </row>
    <row r="33" spans="2:2" x14ac:dyDescent="0.25">
      <c r="B33" s="6" t="s">
        <v>26</v>
      </c>
    </row>
    <row r="34" spans="2:2" x14ac:dyDescent="0.25">
      <c r="B34" s="6" t="s">
        <v>7</v>
      </c>
    </row>
    <row r="35" spans="2:2" x14ac:dyDescent="0.25">
      <c r="B35" s="4" t="s">
        <v>27</v>
      </c>
    </row>
    <row r="36" spans="2:2" x14ac:dyDescent="0.25">
      <c r="B36" s="6" t="s">
        <v>28</v>
      </c>
    </row>
    <row r="37" spans="2:2" x14ac:dyDescent="0.25">
      <c r="B37" s="6" t="s">
        <v>29</v>
      </c>
    </row>
  </sheetData>
  <pageMargins left="0.5" right="0.5" top="0.75" bottom="0.75" header="0.3" footer="0.3"/>
  <pageSetup orientation="landscape" fitToWidth="1" fitToHeight="0"/>
  <headerFooter>
    <oddFooter>&amp;L&amp;8SchoolStack Budget&amp;C&amp;8Confidential&amp;R&amp;8Page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293B"/>
    <pageSetUpPr fitToPage="1"/>
  </sheetPr>
  <dimension ref="B3:C19"/>
  <sheetFormatPr defaultRowHeight="15" outlineLevelRow="0" outlineLevelCol="0" x14ac:dyDescent="55"/>
  <cols>
    <col min="1" max="1" width="5" customWidth="1"/>
    <col min="2" max="2" width="35" customWidth="1"/>
    <col min="3" max="3" width="30" customWidth="1"/>
    <col min="4" max="4" width="5" customWidth="1"/>
  </cols>
  <sheetData>
    <row r="3" spans="2:3" x14ac:dyDescent="0.25">
      <c r="B3" s="8" t="s">
        <v>30</v>
      </c>
      <c r="C3" s="8"/>
    </row>
    <row r="4" spans="2:3" x14ac:dyDescent="0.25">
      <c r="B4" s="9" t="s">
        <v>31</v>
      </c>
      <c r="C4" s="9"/>
    </row>
    <row r="6" spans="2:3" x14ac:dyDescent="0.25">
      <c r="B6" s="1" t="s">
        <v>1</v>
      </c>
      <c r="C6" s="1"/>
    </row>
    <row r="8" spans="2:3" x14ac:dyDescent="0.25">
      <c r="B8" s="10" t="s">
        <v>32</v>
      </c>
      <c r="C8" s="10"/>
    </row>
    <row r="9" spans="2:2" x14ac:dyDescent="0.25">
      <c r="B9" s="11" t="s">
        <v>33</v>
      </c>
    </row>
    <row r="10" spans="2:2" x14ac:dyDescent="0.25">
      <c r="B10" s="11" t="s">
        <v>34</v>
      </c>
    </row>
    <row r="11" spans="2:2" x14ac:dyDescent="0.25">
      <c r="B11" s="11" t="s">
        <v>35</v>
      </c>
    </row>
    <row r="12" spans="2:2" x14ac:dyDescent="0.25">
      <c r="B12" s="11" t="s">
        <v>36</v>
      </c>
    </row>
    <row r="13" spans="2:2" x14ac:dyDescent="0.25">
      <c r="B13" s="11" t="s">
        <v>37</v>
      </c>
    </row>
    <row r="14" spans="2:2" x14ac:dyDescent="0.25">
      <c r="B14" s="11" t="s">
        <v>38</v>
      </c>
    </row>
    <row r="15" spans="2:2" x14ac:dyDescent="0.25">
      <c r="B15" s="11" t="s">
        <v>39</v>
      </c>
    </row>
    <row r="18" spans="2:3" x14ac:dyDescent="0.25">
      <c r="B18" s="12" t="s">
        <v>40</v>
      </c>
      <c r="C18" s="12"/>
    </row>
    <row r="19" spans="2:3" x14ac:dyDescent="0.25">
      <c r="B19" s="12" t="s">
        <v>41</v>
      </c>
      <c r="C19" s="12"/>
    </row>
  </sheetData>
  <mergeCells count="6">
    <mergeCell ref="B3:C3"/>
    <mergeCell ref="B4:C4"/>
    <mergeCell ref="B6:C6"/>
    <mergeCell ref="B8:C8"/>
    <mergeCell ref="B18:C18"/>
    <mergeCell ref="B19:C19"/>
  </mergeCells>
  <hyperlinks>
    <hyperlink ref="B9" r:id="rId1" location="#'Assumptions'!A1"/>
    <hyperlink ref="B10" r:id="rId2" location="#'Drivers'!A1"/>
    <hyperlink ref="B11" r:id="rId3" location="#'5-Year P&amp;L'!A1"/>
    <hyperlink ref="B12" r:id="rId4" location="#'Cash Flow &amp; DSCR'!A1"/>
    <hyperlink ref="B13" r:id="rId5" location="#'Staffing'!A1"/>
    <hyperlink ref="B14" r:id="rId6" location="#'Loan Snapshot'!A1"/>
    <hyperlink ref="B15" r:id="rId7" location="#'Summary'!A1"/>
  </hyperlinks>
  <pageMargins left="0.5" right="0.5" top="0.75" bottom="0.75" header="0.3" footer="0.3"/>
  <pageSetup orientation="landscape" fitToWidth="1" fitToHeight="0"/>
  <headerFooter>
    <oddFooter>&amp;L&amp;8SchoolStack Budget&amp;C&amp;8Confidential&amp;R&amp;8Page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E61"/>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5" customWidth="1"/>
    <col min="3" max="3" width="38" customWidth="1"/>
    <col min="4" max="4" width="22" customWidth="1"/>
  </cols>
  <sheetData>
    <row r="1" spans="2:4" x14ac:dyDescent="0.25">
      <c r="B1" s="13" t="s">
        <v>42</v>
      </c>
      <c r="C1" s="13"/>
      <c r="D1" s="13"/>
    </row>
    <row r="2" spans="2:5" x14ac:dyDescent="0.25">
      <c r="B2" s="14" t="s">
        <v>7</v>
      </c>
      <c r="C2" s="15" t="s">
        <v>43</v>
      </c>
      <c r="D2" s="16" t="s">
        <v>7</v>
      </c>
      <c r="E2" s="15" t="s">
        <v>44</v>
      </c>
    </row>
    <row r="3" ht="24" customHeight="1" spans="2:4" x14ac:dyDescent="0.25">
      <c r="B3" s="17" t="s">
        <v>45</v>
      </c>
      <c r="C3" s="17"/>
      <c r="D3" s="17"/>
    </row>
    <row r="5" spans="3:4" x14ac:dyDescent="0.25">
      <c r="C5" s="18" t="s">
        <v>46</v>
      </c>
      <c r="D5" s="19" t="s">
        <v>1</v>
      </c>
    </row>
    <row r="6" spans="3:4" x14ac:dyDescent="0.25">
      <c r="C6" s="18" t="s">
        <v>47</v>
      </c>
      <c r="D6" s="19" t="s">
        <v>48</v>
      </c>
    </row>
    <row r="7" spans="3:4" x14ac:dyDescent="0.25">
      <c r="C7" s="18" t="s">
        <v>49</v>
      </c>
      <c r="D7" s="19" t="s">
        <v>50</v>
      </c>
    </row>
    <row r="8" spans="3:4" x14ac:dyDescent="0.25">
      <c r="C8" s="18" t="s">
        <v>51</v>
      </c>
      <c r="D8" s="19">
        <v>2023</v>
      </c>
    </row>
    <row r="10" ht="24" customHeight="1" spans="2:4" x14ac:dyDescent="0.25">
      <c r="B10" s="17" t="s">
        <v>52</v>
      </c>
      <c r="C10" s="17"/>
      <c r="D10" s="17"/>
    </row>
    <row r="12" spans="3:4" x14ac:dyDescent="0.25">
      <c r="C12" s="18" t="s">
        <v>53</v>
      </c>
      <c r="D12" s="20">
        <v>100</v>
      </c>
    </row>
    <row r="13" spans="3:4" x14ac:dyDescent="0.25">
      <c r="C13" s="18" t="s">
        <v>54</v>
      </c>
      <c r="D13" s="20">
        <v>130</v>
      </c>
    </row>
    <row r="14" spans="3:4" x14ac:dyDescent="0.25">
      <c r="C14" s="18" t="s">
        <v>55</v>
      </c>
      <c r="D14" s="20">
        <v>160</v>
      </c>
    </row>
    <row r="15" spans="3:4" x14ac:dyDescent="0.25">
      <c r="C15" s="18" t="s">
        <v>56</v>
      </c>
      <c r="D15" s="20">
        <v>185</v>
      </c>
    </row>
    <row r="16" spans="3:4" x14ac:dyDescent="0.25">
      <c r="C16" s="18" t="s">
        <v>57</v>
      </c>
      <c r="D16" s="20">
        <v>200</v>
      </c>
    </row>
    <row r="18" ht="24" customHeight="1" spans="2:4" x14ac:dyDescent="0.25">
      <c r="B18" s="17" t="s">
        <v>58</v>
      </c>
      <c r="C18" s="17"/>
      <c r="D18" s="17"/>
    </row>
    <row r="20" spans="3:4" x14ac:dyDescent="0.25">
      <c r="C20" s="18" t="s">
        <v>59</v>
      </c>
      <c r="D20" s="21">
        <v>0</v>
      </c>
    </row>
    <row r="21" spans="3:4" x14ac:dyDescent="0.25">
      <c r="C21" s="18" t="s">
        <v>60</v>
      </c>
      <c r="D21" s="22">
        <v>0.03</v>
      </c>
    </row>
    <row r="22" spans="3:4" x14ac:dyDescent="0.25">
      <c r="C22" s="18" t="s">
        <v>61</v>
      </c>
      <c r="D22" s="21">
        <v>8700</v>
      </c>
    </row>
    <row r="23" spans="3:4" x14ac:dyDescent="0.25">
      <c r="C23" s="18" t="s">
        <v>62</v>
      </c>
      <c r="D23" s="22">
        <v>0.03</v>
      </c>
    </row>
    <row r="24" spans="3:4" x14ac:dyDescent="0.25">
      <c r="C24" s="18" t="s">
        <v>63</v>
      </c>
      <c r="D24" s="21">
        <v>500</v>
      </c>
    </row>
    <row r="25" spans="3:4" x14ac:dyDescent="0.25">
      <c r="C25" s="18" t="s">
        <v>64</v>
      </c>
      <c r="D25" s="22">
        <v>0.03</v>
      </c>
    </row>
    <row r="26" spans="3:4" x14ac:dyDescent="0.25">
      <c r="C26" s="18" t="s">
        <v>65</v>
      </c>
      <c r="D26" s="22">
        <v>0.95</v>
      </c>
    </row>
    <row r="27" spans="3:4" x14ac:dyDescent="0.25">
      <c r="C27" s="18" t="s">
        <v>66</v>
      </c>
      <c r="D27" s="21">
        <v>75000</v>
      </c>
    </row>
    <row r="28" spans="3:4" x14ac:dyDescent="0.25">
      <c r="C28" s="18" t="s">
        <v>67</v>
      </c>
      <c r="D28" s="22">
        <v>0</v>
      </c>
    </row>
    <row r="30" ht="24" customHeight="1" spans="2:4" x14ac:dyDescent="0.25">
      <c r="B30" s="17" t="s">
        <v>68</v>
      </c>
      <c r="C30" s="17"/>
      <c r="D30" s="17"/>
    </row>
    <row r="32" spans="3:4" x14ac:dyDescent="0.25">
      <c r="C32" s="18" t="s">
        <v>69</v>
      </c>
      <c r="D32" s="20">
        <v>11</v>
      </c>
    </row>
    <row r="33" spans="3:4" x14ac:dyDescent="0.25">
      <c r="C33" s="18" t="s">
        <v>70</v>
      </c>
      <c r="D33" s="21">
        <v>40000</v>
      </c>
    </row>
    <row r="34" spans="3:4" x14ac:dyDescent="0.25">
      <c r="C34" s="18" t="s">
        <v>71</v>
      </c>
      <c r="D34" s="22">
        <v>0.03</v>
      </c>
    </row>
    <row r="35" spans="3:4" x14ac:dyDescent="0.25">
      <c r="C35" s="18" t="s">
        <v>72</v>
      </c>
      <c r="D35" s="20">
        <v>4</v>
      </c>
    </row>
    <row r="36" spans="3:4" x14ac:dyDescent="0.25">
      <c r="C36" s="18" t="s">
        <v>73</v>
      </c>
      <c r="D36" s="20">
        <v>4</v>
      </c>
    </row>
    <row r="37" spans="3:4" x14ac:dyDescent="0.25">
      <c r="C37" s="18" t="s">
        <v>74</v>
      </c>
      <c r="D37" s="20">
        <v>4</v>
      </c>
    </row>
    <row r="38" spans="3:4" x14ac:dyDescent="0.25">
      <c r="C38" s="18" t="s">
        <v>75</v>
      </c>
      <c r="D38" s="20">
        <v>4</v>
      </c>
    </row>
    <row r="39" spans="3:4" x14ac:dyDescent="0.25">
      <c r="C39" s="18" t="s">
        <v>76</v>
      </c>
      <c r="D39" s="20">
        <v>4</v>
      </c>
    </row>
    <row r="40" spans="3:4" x14ac:dyDescent="0.25">
      <c r="C40" s="18" t="s">
        <v>77</v>
      </c>
      <c r="D40" s="21">
        <v>66000</v>
      </c>
    </row>
    <row r="41" spans="3:4" x14ac:dyDescent="0.25">
      <c r="C41" s="18" t="s">
        <v>78</v>
      </c>
      <c r="D41" s="22">
        <v>0.03</v>
      </c>
    </row>
    <row r="42" spans="3:4" x14ac:dyDescent="0.25">
      <c r="C42" s="18" t="s">
        <v>79</v>
      </c>
      <c r="D42" s="22">
        <v>0.24166666666666667</v>
      </c>
    </row>
    <row r="44" ht="24" customHeight="1" spans="2:4" x14ac:dyDescent="0.25">
      <c r="B44" s="17" t="s">
        <v>80</v>
      </c>
      <c r="C44" s="17"/>
      <c r="D44" s="17"/>
    </row>
    <row r="46" spans="3:4" x14ac:dyDescent="0.25">
      <c r="C46" s="18" t="s">
        <v>81</v>
      </c>
      <c r="D46" s="21">
        <v>102000</v>
      </c>
    </row>
    <row r="47" spans="3:4" x14ac:dyDescent="0.25">
      <c r="C47" s="18" t="s">
        <v>82</v>
      </c>
      <c r="D47" s="22">
        <v>0.03</v>
      </c>
    </row>
    <row r="48" spans="3:4" x14ac:dyDescent="0.25">
      <c r="C48" s="18" t="s">
        <v>83</v>
      </c>
      <c r="D48" s="21">
        <v>34400</v>
      </c>
    </row>
    <row r="49" spans="3:4" x14ac:dyDescent="0.25">
      <c r="C49" s="18" t="s">
        <v>84</v>
      </c>
      <c r="D49" s="22">
        <v>0.03</v>
      </c>
    </row>
    <row r="50" spans="3:4" x14ac:dyDescent="0.25">
      <c r="C50" s="18" t="s">
        <v>85</v>
      </c>
      <c r="D50" s="21">
        <v>600</v>
      </c>
    </row>
    <row r="51" spans="3:4" x14ac:dyDescent="0.25">
      <c r="C51" s="18" t="s">
        <v>86</v>
      </c>
      <c r="D51" s="22">
        <v>0.339</v>
      </c>
    </row>
    <row r="52" spans="3:4" x14ac:dyDescent="0.25">
      <c r="C52" s="18" t="s">
        <v>87</v>
      </c>
      <c r="D52" s="21">
        <v>75000</v>
      </c>
    </row>
    <row r="53" spans="3:4" x14ac:dyDescent="0.25">
      <c r="C53" s="18" t="s">
        <v>88</v>
      </c>
      <c r="D53" s="22">
        <v>0.1948</v>
      </c>
    </row>
    <row r="55" ht="24" customHeight="1" spans="2:4" x14ac:dyDescent="0.25">
      <c r="B55" s="17" t="s">
        <v>89</v>
      </c>
      <c r="C55" s="17"/>
      <c r="D55" s="17"/>
    </row>
    <row r="57" spans="3:4" x14ac:dyDescent="0.25">
      <c r="C57" s="18" t="s">
        <v>90</v>
      </c>
      <c r="D57" s="21">
        <v>75000</v>
      </c>
    </row>
    <row r="58" spans="3:4" x14ac:dyDescent="0.25">
      <c r="C58" s="18" t="s">
        <v>91</v>
      </c>
      <c r="D58" s="21">
        <v>25000</v>
      </c>
    </row>
    <row r="59" spans="3:4" x14ac:dyDescent="0.25">
      <c r="C59" s="18" t="s">
        <v>92</v>
      </c>
      <c r="D59" s="21">
        <v>250000</v>
      </c>
    </row>
    <row r="60" spans="3:4" x14ac:dyDescent="0.25">
      <c r="C60" s="18" t="s">
        <v>93</v>
      </c>
      <c r="D60" s="22">
        <v>0.065</v>
      </c>
    </row>
    <row r="61" spans="3:4" x14ac:dyDescent="0.25">
      <c r="C61" s="18" t="s">
        <v>94</v>
      </c>
      <c r="D61" s="20">
        <v>10</v>
      </c>
    </row>
  </sheetData>
  <mergeCells count="7">
    <mergeCell ref="B1:D1"/>
    <mergeCell ref="B3:D3"/>
    <mergeCell ref="B10:D10"/>
    <mergeCell ref="B18:D18"/>
    <mergeCell ref="B30:D30"/>
    <mergeCell ref="B44:D44"/>
    <mergeCell ref="B55:D55"/>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9488"/>
    <pageSetUpPr fitToPage="1"/>
  </sheetPr>
  <dimension ref="B1:G22"/>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95</v>
      </c>
      <c r="C1" s="13"/>
      <c r="D1" s="13"/>
      <c r="E1" s="13"/>
      <c r="F1" s="13"/>
      <c r="G1" s="13"/>
    </row>
    <row r="3" ht="24" customHeight="1" spans="2:7" x14ac:dyDescent="0.25">
      <c r="B3" s="23"/>
      <c r="C3" s="24" t="s">
        <v>96</v>
      </c>
      <c r="D3" s="24" t="s">
        <v>97</v>
      </c>
      <c r="E3" s="24" t="s">
        <v>98</v>
      </c>
      <c r="F3" s="24" t="s">
        <v>99</v>
      </c>
      <c r="G3" s="24" t="s">
        <v>100</v>
      </c>
    </row>
    <row r="4" spans="2:7" x14ac:dyDescent="0.25">
      <c r="B4" s="25" t="s">
        <v>101</v>
      </c>
      <c r="C4" s="26">
        <f>Assumptions!D12</f>
        <v>100</v>
      </c>
      <c r="D4" s="26">
        <f>Assumptions!D13</f>
        <v>130</v>
      </c>
      <c r="E4" s="26">
        <f>Assumptions!D14</f>
        <v>160</v>
      </c>
      <c r="F4" s="26">
        <f>Assumptions!D15</f>
        <v>185</v>
      </c>
      <c r="G4" s="26">
        <f>Assumptions!D16</f>
        <v>200</v>
      </c>
    </row>
    <row r="5" spans="2:7" x14ac:dyDescent="0.25">
      <c r="B5" s="25" t="s">
        <v>102</v>
      </c>
      <c r="C5" s="27" t="str">
        <f>Assumptions!D12*Assumptions!D20</f>
        <v>0</v>
      </c>
      <c r="D5" s="27" t="str">
        <f>Assumptions!D13*Assumptions!D20*(1+Assumptions!D21)^1</f>
        <v>0</v>
      </c>
      <c r="E5" s="27" t="str">
        <f>Assumptions!D14*Assumptions!D20*(1+Assumptions!D21)^2</f>
        <v>0</v>
      </c>
      <c r="F5" s="27" t="str">
        <f>Assumptions!D15*Assumptions!D20*(1+Assumptions!D21)^3</f>
        <v>0</v>
      </c>
      <c r="G5" s="27" t="str">
        <f>Assumptions!D16*Assumptions!D20*(1+Assumptions!D21)^4</f>
        <v>0</v>
      </c>
    </row>
    <row r="6" spans="2:7" x14ac:dyDescent="0.25">
      <c r="B6" s="25" t="s">
        <v>103</v>
      </c>
      <c r="C6" s="27" t="str">
        <f>C5*Assumptions!D26</f>
        <v>0</v>
      </c>
      <c r="D6" s="27" t="str">
        <f>D5*Assumptions!D26</f>
        <v>0</v>
      </c>
      <c r="E6" s="27" t="str">
        <f>E5*Assumptions!D26</f>
        <v>0</v>
      </c>
      <c r="F6" s="27" t="str">
        <f>F5*Assumptions!D26</f>
        <v>0</v>
      </c>
      <c r="G6" s="27" t="str">
        <f>G5*Assumptions!D26</f>
        <v>0</v>
      </c>
    </row>
    <row r="7" spans="2:7" x14ac:dyDescent="0.25">
      <c r="B7" s="25" t="s">
        <v>104</v>
      </c>
      <c r="C7" s="27">
        <f>Assumptions!D12*Assumptions!D22</f>
        <v>870000</v>
      </c>
      <c r="D7" s="27">
        <f>Assumptions!D13*Assumptions!D22*(1+Assumptions!D23)^1</f>
        <v>1164930</v>
      </c>
      <c r="E7" s="27">
        <f>Assumptions!D14*Assumptions!D22*(1+Assumptions!D23)^2</f>
        <v>1476772.8</v>
      </c>
      <c r="F7" s="27">
        <f>Assumptions!D15*Assumptions!D22*(1+Assumptions!D23)^3</f>
        <v>1758744.1065</v>
      </c>
      <c r="G7" s="27">
        <f>Assumptions!D16*Assumptions!D22*(1+Assumptions!D23)^4</f>
        <v>1958385.3294</v>
      </c>
    </row>
    <row r="8" spans="2:7" x14ac:dyDescent="0.25">
      <c r="B8" s="25" t="s">
        <v>105</v>
      </c>
      <c r="C8" s="27">
        <f>Assumptions!D12*Assumptions!D24</f>
        <v>50000</v>
      </c>
      <c r="D8" s="27">
        <f>Assumptions!D13*Assumptions!D24*(1+Assumptions!D25)^1</f>
        <v>66950</v>
      </c>
      <c r="E8" s="27">
        <f>Assumptions!D14*Assumptions!D24*(1+Assumptions!D25)^2</f>
        <v>84872</v>
      </c>
      <c r="F8" s="27">
        <f>Assumptions!D15*Assumptions!D24*(1+Assumptions!D25)^3</f>
        <v>101077.2475</v>
      </c>
      <c r="G8" s="27">
        <f>Assumptions!D16*Assumptions!D24*(1+Assumptions!D25)^4</f>
        <v>112550.881</v>
      </c>
    </row>
    <row r="9" spans="2:7" x14ac:dyDescent="0.25">
      <c r="B9" s="25" t="s">
        <v>106</v>
      </c>
      <c r="C9" s="27">
        <f>Assumptions!D27</f>
        <v>75000</v>
      </c>
      <c r="D9" s="27">
        <f>Assumptions!D27*(1+Assumptions!D28)^1</f>
        <v>75000</v>
      </c>
      <c r="E9" s="27">
        <f>Assumptions!D27*(1+Assumptions!D28)^2</f>
        <v>75000</v>
      </c>
      <c r="F9" s="27">
        <f>Assumptions!D27*(1+Assumptions!D28)^3</f>
        <v>75000</v>
      </c>
      <c r="G9" s="27">
        <f>Assumptions!D27*(1+Assumptions!D28)^4</f>
        <v>75000</v>
      </c>
    </row>
    <row r="10" spans="2:7" x14ac:dyDescent="0.25">
      <c r="B10" s="28" t="s">
        <v>107</v>
      </c>
      <c r="C10" s="29">
        <f>C6+C7+C8+C9</f>
        <v>995000</v>
      </c>
      <c r="D10" s="29">
        <f>D6+D7+D8+D9</f>
        <v>1306880</v>
      </c>
      <c r="E10" s="29">
        <f>E6+E7+E8+E9</f>
        <v>1636644.8</v>
      </c>
      <c r="F10" s="29">
        <f>F6+F7+F8+F9</f>
        <v>1934821.354</v>
      </c>
      <c r="G10" s="29">
        <f>G6+G7+G8+G9</f>
        <v>2145936.2104</v>
      </c>
    </row>
    <row r="12" spans="2:7" x14ac:dyDescent="0.25">
      <c r="B12" s="25" t="s">
        <v>108</v>
      </c>
      <c r="C12" s="26">
        <f>CEILING(Assumptions!D12/Assumptions!D32,1)</f>
        <v>10</v>
      </c>
      <c r="D12" s="26">
        <f>CEILING(Assumptions!D13/Assumptions!D32,1)</f>
        <v>12</v>
      </c>
      <c r="E12" s="26">
        <f>CEILING(Assumptions!D14/Assumptions!D32,1)</f>
        <v>15</v>
      </c>
      <c r="F12" s="26">
        <f>CEILING(Assumptions!D15/Assumptions!D32,1)</f>
        <v>17</v>
      </c>
      <c r="G12" s="26">
        <f>CEILING(Assumptions!D16/Assumptions!D32,1)</f>
        <v>19</v>
      </c>
    </row>
    <row r="13" spans="2:7" x14ac:dyDescent="0.25">
      <c r="B13" s="25" t="s">
        <v>109</v>
      </c>
      <c r="C13" s="27">
        <f>C12*Assumptions!D33</f>
        <v>400000</v>
      </c>
      <c r="D13" s="27">
        <f>D12*Assumptions!D33*(1+Assumptions!D34)^1</f>
        <v>494400</v>
      </c>
      <c r="E13" s="27">
        <f>E12*Assumptions!D33*(1+Assumptions!D34)^2</f>
        <v>636540</v>
      </c>
      <c r="F13" s="27">
        <f>F12*Assumptions!D33*(1+Assumptions!D34)^3</f>
        <v>743054.36</v>
      </c>
      <c r="G13" s="27">
        <f>G12*Assumptions!D33*(1+Assumptions!D34)^4</f>
        <v>855386.6956</v>
      </c>
    </row>
    <row r="14" spans="2:7" x14ac:dyDescent="0.25">
      <c r="B14" s="25" t="s">
        <v>110</v>
      </c>
      <c r="C14" s="27">
        <f>Assumptions!D35*Assumptions!D40</f>
        <v>264000</v>
      </c>
      <c r="D14" s="27">
        <f>Assumptions!D36*Assumptions!D40*(1+Assumptions!D41)^1</f>
        <v>271920</v>
      </c>
      <c r="E14" s="27">
        <f>Assumptions!D37*Assumptions!D40*(1+Assumptions!D41)^2</f>
        <v>280077.6</v>
      </c>
      <c r="F14" s="27">
        <f>Assumptions!D38*Assumptions!D40*(1+Assumptions!D41)^3</f>
        <v>288479.928</v>
      </c>
      <c r="G14" s="27">
        <f>Assumptions!D39*Assumptions!D40*(1+Assumptions!D41)^4</f>
        <v>297134.32584</v>
      </c>
    </row>
    <row r="15" spans="2:7" x14ac:dyDescent="0.25">
      <c r="B15" s="25" t="s">
        <v>111</v>
      </c>
      <c r="C15" s="27">
        <f>(C13+C14)*Assumptions!D42</f>
        <v>160466.66666667</v>
      </c>
      <c r="D15" s="27">
        <f>(D13+D14)*Assumptions!D42</f>
        <v>185194</v>
      </c>
      <c r="E15" s="27">
        <f>(E13+E14)*Assumptions!D42</f>
        <v>221515.92</v>
      </c>
      <c r="F15" s="27">
        <f>(F13+F14)*Assumptions!D42</f>
        <v>249287.45293333</v>
      </c>
      <c r="G15" s="27">
        <f>(G13+G14)*Assumptions!D42</f>
        <v>278525.91351467</v>
      </c>
    </row>
    <row r="16" spans="2:7" x14ac:dyDescent="0.25">
      <c r="B16" s="28" t="s">
        <v>112</v>
      </c>
      <c r="C16" s="29">
        <f>C13+C14+C15</f>
        <v>824466.66666667</v>
      </c>
      <c r="D16" s="29">
        <f>D13+D14+D15</f>
        <v>951514</v>
      </c>
      <c r="E16" s="29">
        <f>E13+E14+E15</f>
        <v>1138133.52</v>
      </c>
      <c r="F16" s="29">
        <f>F13+F14+F15</f>
        <v>1280821.74093333</v>
      </c>
      <c r="G16" s="29">
        <f>G13+G14+G15</f>
        <v>1431046.93495467</v>
      </c>
    </row>
    <row r="18" spans="2:7" x14ac:dyDescent="0.25">
      <c r="B18" s="25" t="s">
        <v>113</v>
      </c>
      <c r="C18" s="27">
        <f>Assumptions!D46</f>
        <v>102000</v>
      </c>
      <c r="D18" s="27">
        <f>Assumptions!D46*(1+Assumptions!D47)^1</f>
        <v>105060</v>
      </c>
      <c r="E18" s="27">
        <f>Assumptions!D46*(1+Assumptions!D47)^2</f>
        <v>108211.8</v>
      </c>
      <c r="F18" s="27">
        <f>Assumptions!D46*(1+Assumptions!D47)^3</f>
        <v>111458.154</v>
      </c>
      <c r="G18" s="27">
        <f>Assumptions!D46*(1+Assumptions!D47)^4</f>
        <v>114801.89862</v>
      </c>
    </row>
    <row r="19" spans="2:7" x14ac:dyDescent="0.25">
      <c r="B19" s="25" t="s">
        <v>114</v>
      </c>
      <c r="C19" s="27">
        <f>Assumptions!D48</f>
        <v>34400</v>
      </c>
      <c r="D19" s="27">
        <f>Assumptions!D48*(1+Assumptions!D49)^1</f>
        <v>35432</v>
      </c>
      <c r="E19" s="27">
        <f>Assumptions!D48*(1+Assumptions!D49)^2</f>
        <v>36494.96</v>
      </c>
      <c r="F19" s="27">
        <f>Assumptions!D48*(1+Assumptions!D49)^3</f>
        <v>37589.8088</v>
      </c>
      <c r="G19" s="27">
        <f>Assumptions!D48*(1+Assumptions!D49)^4</f>
        <v>38717.503064</v>
      </c>
    </row>
    <row r="20" spans="2:7" x14ac:dyDescent="0.25">
      <c r="B20" s="25" t="s">
        <v>115</v>
      </c>
      <c r="C20" s="27">
        <f>Assumptions!D12*Assumptions!D50</f>
        <v>60000</v>
      </c>
      <c r="D20" s="27">
        <f>Assumptions!D13*Assumptions!D50*(1+Assumptions!D51)^1</f>
        <v>104442</v>
      </c>
      <c r="E20" s="27">
        <f>Assumptions!D14*Assumptions!D50*(1+Assumptions!D51)^2</f>
        <v>172120.416</v>
      </c>
      <c r="F20" s="27">
        <f>Assumptions!D15*Assumptions!D50*(1+Assumptions!D51)^3</f>
        <v>266480.055309</v>
      </c>
      <c r="G20" s="27">
        <f>Assumptions!D16*Assumptions!D50*(1+Assumptions!D51)^4</f>
        <v>385747.88546892</v>
      </c>
    </row>
    <row r="21" spans="2:7" x14ac:dyDescent="0.25">
      <c r="B21" s="25" t="s">
        <v>116</v>
      </c>
      <c r="C21" s="27">
        <f>Assumptions!D52</f>
        <v>75000</v>
      </c>
      <c r="D21" s="27">
        <f>Assumptions!D52*(1+Assumptions!D53)^1</f>
        <v>89610</v>
      </c>
      <c r="E21" s="27">
        <f>Assumptions!D52*(1+Assumptions!D53)^2</f>
        <v>107066.028</v>
      </c>
      <c r="F21" s="27">
        <f>Assumptions!D52*(1+Assumptions!D53)^3</f>
        <v>127922.4902544</v>
      </c>
      <c r="G21" s="27">
        <f>Assumptions!D52*(1+Assumptions!D53)^4</f>
        <v>152841.79135596</v>
      </c>
    </row>
    <row r="22" spans="2:7" x14ac:dyDescent="0.25">
      <c r="B22" s="28" t="s">
        <v>117</v>
      </c>
      <c r="C22" s="29">
        <f>C18+C19+C20+C21</f>
        <v>271400</v>
      </c>
      <c r="D22" s="29">
        <f>D18+D19+D20+D21</f>
        <v>334544</v>
      </c>
      <c r="E22" s="29">
        <f>E18+E19+E20+E21</f>
        <v>423893.204</v>
      </c>
      <c r="F22" s="29">
        <f>F18+F19+F20+F21</f>
        <v>543450.5083634</v>
      </c>
      <c r="G22" s="29">
        <f>G18+G19+G20+G21</f>
        <v>692109.07850888</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G25"/>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118</v>
      </c>
      <c r="C1" s="13"/>
      <c r="D1" s="13"/>
      <c r="E1" s="13"/>
      <c r="F1" s="13"/>
      <c r="G1" s="13"/>
    </row>
    <row r="3" ht="24" customHeight="1" spans="2:7" x14ac:dyDescent="0.25">
      <c r="B3" s="23"/>
      <c r="C3" s="24" t="s">
        <v>96</v>
      </c>
      <c r="D3" s="24" t="s">
        <v>97</v>
      </c>
      <c r="E3" s="24" t="s">
        <v>98</v>
      </c>
      <c r="F3" s="24" t="s">
        <v>99</v>
      </c>
      <c r="G3" s="24" t="s">
        <v>100</v>
      </c>
    </row>
    <row r="5" spans="2:7" x14ac:dyDescent="0.25">
      <c r="B5" s="25" t="s">
        <v>101</v>
      </c>
      <c r="C5" s="26">
        <f>Drivers!C4</f>
        <v>100</v>
      </c>
      <c r="D5" s="26">
        <f>Drivers!D4</f>
        <v>130</v>
      </c>
      <c r="E5" s="26">
        <f>Drivers!E4</f>
        <v>160</v>
      </c>
      <c r="F5" s="26">
        <f>Drivers!F4</f>
        <v>185</v>
      </c>
      <c r="G5" s="26">
        <f>Drivers!G4</f>
        <v>200</v>
      </c>
    </row>
    <row r="6" spans="2:7" x14ac:dyDescent="0.25">
      <c r="B6" s="25" t="s">
        <v>102</v>
      </c>
      <c r="C6" s="27" t="str">
        <f>Drivers!C6</f>
        <v>0</v>
      </c>
      <c r="D6" s="27" t="str">
        <f>Drivers!D6</f>
        <v>0</v>
      </c>
      <c r="E6" s="27" t="str">
        <f>Drivers!E6</f>
        <v>0</v>
      </c>
      <c r="F6" s="27" t="str">
        <f>Drivers!F6</f>
        <v>0</v>
      </c>
      <c r="G6" s="27" t="str">
        <f>Drivers!G6</f>
        <v>0</v>
      </c>
    </row>
    <row r="7" spans="2:7" x14ac:dyDescent="0.25">
      <c r="B7" s="25" t="s">
        <v>119</v>
      </c>
      <c r="C7" s="27">
        <f>Drivers!C7</f>
        <v>870000</v>
      </c>
      <c r="D7" s="27">
        <f>Drivers!D7</f>
        <v>1164930</v>
      </c>
      <c r="E7" s="27">
        <f>Drivers!E7</f>
        <v>1476772.8</v>
      </c>
      <c r="F7" s="27">
        <f>Drivers!F7</f>
        <v>1758744.1065</v>
      </c>
      <c r="G7" s="27">
        <f>Drivers!G7</f>
        <v>1958385.3294</v>
      </c>
    </row>
    <row r="8" spans="2:7" x14ac:dyDescent="0.25">
      <c r="B8" s="25" t="s">
        <v>120</v>
      </c>
      <c r="C8" s="27">
        <f>Drivers!C8</f>
        <v>50000</v>
      </c>
      <c r="D8" s="27">
        <f>Drivers!D8</f>
        <v>66950</v>
      </c>
      <c r="E8" s="27">
        <f>Drivers!E8</f>
        <v>84872</v>
      </c>
      <c r="F8" s="27">
        <f>Drivers!F8</f>
        <v>101077.2475</v>
      </c>
      <c r="G8" s="27">
        <f>Drivers!G8</f>
        <v>112550.881</v>
      </c>
    </row>
    <row r="9" spans="2:7" x14ac:dyDescent="0.25">
      <c r="B9" s="25" t="s">
        <v>106</v>
      </c>
      <c r="C9" s="27">
        <f>Drivers!C9</f>
        <v>75000</v>
      </c>
      <c r="D9" s="27">
        <f>Drivers!D9</f>
        <v>75000</v>
      </c>
      <c r="E9" s="27">
        <f>Drivers!E9</f>
        <v>75000</v>
      </c>
      <c r="F9" s="27">
        <f>Drivers!F9</f>
        <v>75000</v>
      </c>
      <c r="G9" s="27">
        <f>Drivers!G9</f>
        <v>75000</v>
      </c>
    </row>
    <row r="10" spans="2:7" x14ac:dyDescent="0.25">
      <c r="B10" s="28" t="s">
        <v>107</v>
      </c>
      <c r="C10" s="29">
        <f>Drivers!C10</f>
        <v>995000</v>
      </c>
      <c r="D10" s="29">
        <f>Drivers!D10</f>
        <v>1306880</v>
      </c>
      <c r="E10" s="29">
        <f>Drivers!E10</f>
        <v>1636644.8</v>
      </c>
      <c r="F10" s="29">
        <f>Drivers!F10</f>
        <v>1934821.354</v>
      </c>
      <c r="G10" s="29">
        <f>Drivers!G10</f>
        <v>2145936.2104</v>
      </c>
    </row>
    <row r="12" spans="2:7" x14ac:dyDescent="0.25">
      <c r="B12" s="25" t="s">
        <v>121</v>
      </c>
      <c r="C12" s="27">
        <f>Drivers!C16</f>
        <v>824466.66666667</v>
      </c>
      <c r="D12" s="27">
        <f>Drivers!D16</f>
        <v>951514</v>
      </c>
      <c r="E12" s="27">
        <f>Drivers!E16</f>
        <v>1138133.52</v>
      </c>
      <c r="F12" s="27">
        <f>Drivers!F16</f>
        <v>1280821.74093333</v>
      </c>
      <c r="G12" s="27">
        <f>Drivers!G16</f>
        <v>1431046.93495467</v>
      </c>
    </row>
    <row r="13" spans="2:7" x14ac:dyDescent="0.25">
      <c r="B13" s="25" t="s">
        <v>117</v>
      </c>
      <c r="C13" s="27">
        <f>Drivers!C22</f>
        <v>271400</v>
      </c>
      <c r="D13" s="27">
        <f>Drivers!D22</f>
        <v>334544</v>
      </c>
      <c r="E13" s="27">
        <f>Drivers!E22</f>
        <v>423893.204</v>
      </c>
      <c r="F13" s="27">
        <f>Drivers!F22</f>
        <v>543450.5083634</v>
      </c>
      <c r="G13" s="27">
        <f>Drivers!G22</f>
        <v>692109.07850888</v>
      </c>
    </row>
    <row r="15" spans="2:7" x14ac:dyDescent="0.25">
      <c r="B15" s="28" t="s">
        <v>122</v>
      </c>
      <c r="C15" s="29">
        <f>C12+C13</f>
        <v>1095866.66666667</v>
      </c>
      <c r="D15" s="29">
        <f>D12+D13</f>
        <v>1286058</v>
      </c>
      <c r="E15" s="29">
        <f>E12+E13</f>
        <v>1562026.724</v>
      </c>
      <c r="F15" s="29">
        <f>F12+F13</f>
        <v>1824272.24929673</v>
      </c>
      <c r="G15" s="29">
        <f>G12+G13</f>
        <v>2123156.01346354</v>
      </c>
    </row>
    <row r="16" spans="2:7" x14ac:dyDescent="0.25">
      <c r="B16" s="28" t="s">
        <v>123</v>
      </c>
      <c r="C16" s="30">
        <f>C10-C15</f>
        <v>-100866.66666667</v>
      </c>
      <c r="D16" s="31">
        <f>D10-D15</f>
        <v>20822</v>
      </c>
      <c r="E16" s="31">
        <f>E10-E15</f>
        <v>74618.076</v>
      </c>
      <c r="F16" s="31">
        <f>F10-F15</f>
        <v>110549.10470327</v>
      </c>
      <c r="G16" s="31">
        <f>G10-G15</f>
        <v>22780.19693646</v>
      </c>
    </row>
    <row r="17" spans="2:7" x14ac:dyDescent="0.25">
      <c r="B17" s="25" t="s">
        <v>124</v>
      </c>
      <c r="C17" s="32">
        <f>IF(C10&gt;0,C16/C10,0)</f>
        <v>-0.10137353</v>
      </c>
      <c r="D17" s="32">
        <f>IF(D10&gt;0,D16/D10,0)</f>
        <v>0.0159326</v>
      </c>
      <c r="E17" s="32">
        <f>IF(E10&gt;0,E16/E10,0)</f>
        <v>0.0455921</v>
      </c>
      <c r="F17" s="32">
        <f>IF(F10&gt;0,F16/F10,0)</f>
        <v>0.0571366</v>
      </c>
      <c r="G17" s="32">
        <f>IF(G10&gt;0,G16/G10,0)</f>
        <v>0.01061551</v>
      </c>
    </row>
    <row r="19" spans="2:7" x14ac:dyDescent="0.25">
      <c r="B19" s="25" t="s">
        <v>125</v>
      </c>
      <c r="C19" s="27">
        <f>'Cash Flow &amp; DSCR'!C9</f>
        <v>59064.39316601</v>
      </c>
      <c r="D19" s="27">
        <f>'Cash Flow &amp; DSCR'!D9</f>
        <v>59064.39316601</v>
      </c>
      <c r="E19" s="27">
        <f>'Cash Flow &amp; DSCR'!E9</f>
        <v>59064.39316601</v>
      </c>
      <c r="F19" s="27">
        <f>'Cash Flow &amp; DSCR'!F9</f>
        <v>59064.39316601</v>
      </c>
      <c r="G19" s="27">
        <f>'Cash Flow &amp; DSCR'!G9</f>
        <v>59064.39316601</v>
      </c>
    </row>
    <row r="21" spans="2:7" x14ac:dyDescent="0.25">
      <c r="B21" s="28" t="s">
        <v>126</v>
      </c>
      <c r="C21" s="30">
        <f>C16-C19</f>
        <v>-159931.05983267</v>
      </c>
      <c r="D21" s="30">
        <f>D16-D19</f>
        <v>-38242.39316601</v>
      </c>
      <c r="E21" s="31">
        <f>E16-E19</f>
        <v>15553.68283399</v>
      </c>
      <c r="F21" s="31">
        <f>F16-F19</f>
        <v>51484.71153726</v>
      </c>
      <c r="G21" s="30">
        <f>G16-G19</f>
        <v>-36284.19622955</v>
      </c>
    </row>
    <row r="22" spans="2:7" x14ac:dyDescent="0.25">
      <c r="B22" s="25" t="s">
        <v>127</v>
      </c>
      <c r="C22" s="32">
        <f>IF(C10&gt;0,C21/C10,0)</f>
        <v>-0.16073473</v>
      </c>
      <c r="D22" s="32">
        <f>IF(D10&gt;0,D21/D10,0)</f>
        <v>-0.02926236</v>
      </c>
      <c r="E22" s="32">
        <f>IF(E10&gt;0,E21/E10,0)</f>
        <v>0.0095034</v>
      </c>
      <c r="F22" s="32">
        <f>IF(F10&gt;0,F21/F10,0)</f>
        <v>0.02660954</v>
      </c>
      <c r="G22" s="32">
        <f>IF(G10&gt;0,G21/G10,0)</f>
        <v>-0.01690833</v>
      </c>
    </row>
    <row r="24" spans="2:7" x14ac:dyDescent="0.25">
      <c r="B24" s="28" t="s">
        <v>128</v>
      </c>
      <c r="C24" s="33">
        <f>C21</f>
        <v>-159931.05983267</v>
      </c>
      <c r="D24" s="33">
        <f>C24+D21</f>
        <v>-198173.45299868</v>
      </c>
      <c r="E24" s="33">
        <f>D24+E21</f>
        <v>-182619.77016469</v>
      </c>
      <c r="F24" s="33">
        <f>E24+F21</f>
        <v>-131135.05862743</v>
      </c>
      <c r="G24" s="33">
        <f>F24+G21</f>
        <v>-167419.25485698</v>
      </c>
    </row>
    <row r="25" spans="2:7" x14ac:dyDescent="0.25">
      <c r="B25" s="28" t="s">
        <v>129</v>
      </c>
      <c r="C25" s="34" t="s">
        <v>7</v>
      </c>
      <c r="D25" s="34" t="s">
        <v>7</v>
      </c>
      <c r="E25" s="34" t="s">
        <v>7</v>
      </c>
      <c r="F25" s="34" t="s">
        <v>7</v>
      </c>
      <c r="G25" s="34" t="s">
        <v>7</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G16"/>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130</v>
      </c>
      <c r="C1" s="13"/>
      <c r="D1" s="13"/>
      <c r="E1" s="13"/>
      <c r="F1" s="13"/>
      <c r="G1" s="13"/>
    </row>
    <row r="3" ht="24" customHeight="1" spans="2:7" x14ac:dyDescent="0.25">
      <c r="B3" s="23"/>
      <c r="C3" s="24" t="s">
        <v>96</v>
      </c>
      <c r="D3" s="24" t="s">
        <v>97</v>
      </c>
      <c r="E3" s="24" t="s">
        <v>98</v>
      </c>
      <c r="F3" s="24" t="s">
        <v>99</v>
      </c>
      <c r="G3" s="24" t="s">
        <v>100</v>
      </c>
    </row>
    <row r="4" spans="2:7" x14ac:dyDescent="0.25">
      <c r="B4" s="28" t="s">
        <v>131</v>
      </c>
      <c r="C4" s="33">
        <f>Assumptions!D57</f>
        <v>75000</v>
      </c>
      <c r="D4" s="33">
        <f>C16</f>
        <v>-84931.05983267</v>
      </c>
      <c r="E4" s="33">
        <f>D16</f>
        <v>-123173.45299868</v>
      </c>
      <c r="F4" s="33">
        <f>E16</f>
        <v>-107619.77016469</v>
      </c>
      <c r="G4" s="33">
        <f>F16</f>
        <v>-56135.05862743</v>
      </c>
    </row>
    <row r="5" spans="2:7" x14ac:dyDescent="0.25">
      <c r="B5" s="25" t="s">
        <v>132</v>
      </c>
      <c r="C5" s="27">
        <f>'5-Year P&amp;L'!C16</f>
        <v>-100866.66666667</v>
      </c>
      <c r="D5" s="27">
        <f>'5-Year P&amp;L'!D16</f>
        <v>20822</v>
      </c>
      <c r="E5" s="27">
        <f>'5-Year P&amp;L'!E16</f>
        <v>74618.076</v>
      </c>
      <c r="F5" s="27">
        <f>'5-Year P&amp;L'!F16</f>
        <v>110549.10470327</v>
      </c>
      <c r="G5" s="27">
        <f>'5-Year P&amp;L'!G16</f>
        <v>22780.19693646</v>
      </c>
    </row>
    <row r="7" spans="2:7" x14ac:dyDescent="0.25">
      <c r="B7" s="25" t="s">
        <v>133</v>
      </c>
      <c r="C7" s="27">
        <f>Assumptions!D58</f>
        <v>25000</v>
      </c>
      <c r="D7" s="27">
        <f>Assumptions!D58</f>
        <v>25000</v>
      </c>
      <c r="E7" s="27">
        <f>Assumptions!D58</f>
        <v>25000</v>
      </c>
      <c r="F7" s="27">
        <f>Assumptions!D58</f>
        <v>25000</v>
      </c>
      <c r="G7" s="27">
        <f>Assumptions!D58</f>
        <v>25000</v>
      </c>
    </row>
    <row r="8" spans="2:7" x14ac:dyDescent="0.25">
      <c r="B8" s="25" t="s">
        <v>134</v>
      </c>
      <c r="C8" s="27">
        <f>IF(Assumptions!D59&gt;0,PMT(Assumptions!D60/12,Assumptions!D61*12,-Assumptions!D59)*12,0)</f>
        <v>34064.39316601</v>
      </c>
      <c r="D8" s="27">
        <f>IF(Assumptions!D59&gt;0,PMT(Assumptions!D60/12,Assumptions!D61*12,-Assumptions!D59)*12,0)</f>
        <v>34064.39316601</v>
      </c>
      <c r="E8" s="27">
        <f>IF(Assumptions!D59&gt;0,PMT(Assumptions!D60/12,Assumptions!D61*12,-Assumptions!D59)*12,0)</f>
        <v>34064.39316601</v>
      </c>
      <c r="F8" s="27">
        <f>IF(Assumptions!D59&gt;0,PMT(Assumptions!D60/12,Assumptions!D61*12,-Assumptions!D59)*12,0)</f>
        <v>34064.39316601</v>
      </c>
      <c r="G8" s="27">
        <f>IF(Assumptions!D59&gt;0,PMT(Assumptions!D60/12,Assumptions!D61*12,-Assumptions!D59)*12,0)</f>
        <v>34064.39316601</v>
      </c>
    </row>
    <row r="9" spans="2:7" x14ac:dyDescent="0.25">
      <c r="B9" s="28" t="s">
        <v>135</v>
      </c>
      <c r="C9" s="29">
        <f>C7+C8</f>
        <v>59064.39316601</v>
      </c>
      <c r="D9" s="29">
        <f>D7+D8</f>
        <v>59064.39316601</v>
      </c>
      <c r="E9" s="29">
        <f>E7+E8</f>
        <v>59064.39316601</v>
      </c>
      <c r="F9" s="29">
        <f>F7+F8</f>
        <v>59064.39316601</v>
      </c>
      <c r="G9" s="29">
        <f>G7+G8</f>
        <v>59064.39316601</v>
      </c>
    </row>
    <row r="11" spans="2:7" x14ac:dyDescent="0.25">
      <c r="B11" s="28" t="s">
        <v>136</v>
      </c>
      <c r="C11" s="35">
        <f>IF(C9&gt;0,C5/C9,IF(C5&gt;0,99.9,0))</f>
        <v>-1.70774068</v>
      </c>
      <c r="D11" s="35">
        <f>IF(D9&gt;0,D5/D9,IF(D5&gt;0,99.9,0))</f>
        <v>0.3525305</v>
      </c>
      <c r="E11" s="36">
        <f>IF(E9&gt;0,E5/E9,IF(E5&gt;0,99.9,0))</f>
        <v>1.26333434</v>
      </c>
      <c r="F11" s="36">
        <f>IF(F9&gt;0,F5/F9,IF(F5&gt;0,99.9,0))</f>
        <v>1.87167088</v>
      </c>
      <c r="G11" s="35">
        <f>IF(G9&gt;0,G5/G9,IF(G5&gt;0,99.9,0))</f>
        <v>0.38568409</v>
      </c>
    </row>
    <row r="13" spans="2:7" x14ac:dyDescent="0.25">
      <c r="B13" s="25" t="s">
        <v>137</v>
      </c>
      <c r="C13" s="27">
        <f>C5-C9</f>
        <v>-159931.05983267</v>
      </c>
      <c r="D13" s="27">
        <f>D5-D9</f>
        <v>-38242.39316601</v>
      </c>
      <c r="E13" s="27">
        <f>E5-E9</f>
        <v>15553.68283399</v>
      </c>
      <c r="F13" s="27">
        <f>F5-F9</f>
        <v>51484.71153726</v>
      </c>
      <c r="G13" s="27">
        <f>G5-G9</f>
        <v>-36284.19622955</v>
      </c>
    </row>
    <row r="14" spans="2:7" x14ac:dyDescent="0.25">
      <c r="B14" s="28" t="s">
        <v>138</v>
      </c>
      <c r="C14" s="33">
        <f>C5-C9</f>
        <v>-159931.05983267</v>
      </c>
      <c r="D14" s="33">
        <f>D5-D9</f>
        <v>-38242.39316601</v>
      </c>
      <c r="E14" s="33">
        <f>E5-E9</f>
        <v>15553.68283399</v>
      </c>
      <c r="F14" s="33">
        <f>F5-F9</f>
        <v>51484.71153726</v>
      </c>
      <c r="G14" s="33">
        <f>G5-G9</f>
        <v>-36284.19622955</v>
      </c>
    </row>
    <row r="16" spans="2:7" x14ac:dyDescent="0.25">
      <c r="B16" s="28" t="s">
        <v>139</v>
      </c>
      <c r="C16" s="30">
        <f>C4+C14</f>
        <v>-84931.05983267</v>
      </c>
      <c r="D16" s="30">
        <f>D4+D14</f>
        <v>-123173.45299868</v>
      </c>
      <c r="E16" s="30">
        <f>E4+E14</f>
        <v>-107619.77016469</v>
      </c>
      <c r="F16" s="30">
        <f>F4+F14</f>
        <v>-56135.05862743</v>
      </c>
      <c r="G16" s="30">
        <f>G4+G14</f>
        <v>-92419.25485698</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9488"/>
    <pageSetUpPr fitToPage="1"/>
  </sheetPr>
  <dimension ref="B1:G6"/>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140</v>
      </c>
      <c r="C1" s="13"/>
      <c r="D1" s="13"/>
      <c r="E1" s="13"/>
      <c r="F1" s="13"/>
      <c r="G1" s="13"/>
    </row>
    <row r="3" ht="24" customHeight="1" spans="2:7" x14ac:dyDescent="0.25">
      <c r="B3" s="23"/>
      <c r="C3" s="24" t="s">
        <v>96</v>
      </c>
      <c r="D3" s="24" t="s">
        <v>97</v>
      </c>
      <c r="E3" s="24" t="s">
        <v>98</v>
      </c>
      <c r="F3" s="24" t="s">
        <v>99</v>
      </c>
      <c r="G3" s="24" t="s">
        <v>100</v>
      </c>
    </row>
    <row r="4" spans="2:7" x14ac:dyDescent="0.25">
      <c r="B4" s="25" t="s">
        <v>141</v>
      </c>
      <c r="C4" s="26">
        <f>Drivers!C12</f>
        <v>10</v>
      </c>
      <c r="D4" s="26">
        <f>Drivers!D12</f>
        <v>12</v>
      </c>
      <c r="E4" s="26">
        <f>Drivers!E12</f>
        <v>15</v>
      </c>
      <c r="F4" s="26">
        <f>Drivers!F12</f>
        <v>17</v>
      </c>
      <c r="G4" s="26">
        <f>Drivers!G12</f>
        <v>19</v>
      </c>
    </row>
    <row r="5" spans="2:7" x14ac:dyDescent="0.25">
      <c r="B5" s="25" t="s">
        <v>142</v>
      </c>
      <c r="C5" s="26">
        <f>Assumptions!D35</f>
        <v>4</v>
      </c>
      <c r="D5" s="26">
        <f>Assumptions!D36</f>
        <v>4</v>
      </c>
      <c r="E5" s="26">
        <f>Assumptions!D37</f>
        <v>4</v>
      </c>
      <c r="F5" s="26">
        <f>Assumptions!D38</f>
        <v>4</v>
      </c>
      <c r="G5" s="26">
        <f>Assumptions!D39</f>
        <v>4</v>
      </c>
    </row>
    <row r="6" spans="2:7" x14ac:dyDescent="0.25">
      <c r="B6" s="28" t="s">
        <v>143</v>
      </c>
      <c r="C6" s="37">
        <f>C4+C5</f>
        <v>14</v>
      </c>
      <c r="D6" s="37">
        <f>D4+D5</f>
        <v>16</v>
      </c>
      <c r="E6" s="37">
        <f>E4+E5</f>
        <v>19</v>
      </c>
      <c r="F6" s="37">
        <f>F4+F5</f>
        <v>21</v>
      </c>
      <c r="G6" s="37">
        <f>G4+G5</f>
        <v>23</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C8"/>
  <sheetFormatPr defaultRowHeight="15" outlineLevelRow="0" outlineLevelCol="0" x14ac:dyDescent="55"/>
  <cols>
    <col min="1" max="1" width="3" customWidth="1"/>
    <col min="2" max="2" width="34" customWidth="1"/>
    <col min="3" max="3" width="22" customWidth="1"/>
  </cols>
  <sheetData>
    <row r="1" spans="2:3" x14ac:dyDescent="0.25">
      <c r="B1" s="13" t="s">
        <v>144</v>
      </c>
      <c r="C1" s="13"/>
    </row>
    <row r="3" spans="2:3" x14ac:dyDescent="0.25">
      <c r="B3" s="25" t="s">
        <v>145</v>
      </c>
      <c r="C3" s="27">
        <f>Assumptions!D59</f>
        <v>250000</v>
      </c>
    </row>
    <row r="4" spans="2:3" x14ac:dyDescent="0.25">
      <c r="B4" s="25" t="s">
        <v>146</v>
      </c>
      <c r="C4" s="32">
        <f>Assumptions!D60</f>
        <v>0.065</v>
      </c>
    </row>
    <row r="5" spans="2:3" x14ac:dyDescent="0.25">
      <c r="B5" s="25" t="s">
        <v>94</v>
      </c>
      <c r="C5" s="26">
        <f>Assumptions!D61</f>
        <v>10</v>
      </c>
    </row>
    <row r="6" spans="2:3" x14ac:dyDescent="0.25">
      <c r="B6" s="25" t="s">
        <v>147</v>
      </c>
      <c r="C6" s="33">
        <f>IF(Assumptions!D59&gt;0,PMT(Assumptions!D60/12,Assumptions!D61*12,-Assumptions!D59)*12,0)</f>
        <v>34064.39316601</v>
      </c>
    </row>
    <row r="8" spans="2:3" x14ac:dyDescent="0.25">
      <c r="B8" s="25" t="s">
        <v>148</v>
      </c>
      <c r="C8" s="35">
        <f>'Cash Flow &amp; DSCR'!C11</f>
        <v>-1.70774068</v>
      </c>
    </row>
  </sheetData>
  <mergeCells count="1">
    <mergeCell ref="B1:C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C21"/>
  <sheetFormatPr defaultRowHeight="15" outlineLevelRow="0" outlineLevelCol="0" x14ac:dyDescent="55"/>
  <cols>
    <col min="1" max="1" width="3" customWidth="1"/>
    <col min="2" max="2" width="34" customWidth="1"/>
    <col min="3" max="3" width="30" customWidth="1"/>
  </cols>
  <sheetData>
    <row r="1" spans="2:3" x14ac:dyDescent="0.25">
      <c r="B1" s="13" t="s">
        <v>149</v>
      </c>
      <c r="C1" s="13"/>
    </row>
    <row r="3" spans="2:3" x14ac:dyDescent="0.25">
      <c r="B3" s="25" t="s">
        <v>46</v>
      </c>
      <c r="C3" s="25" t="str">
        <f>Assumptions!D5</f>
        <v>Heritage Academy</v>
      </c>
    </row>
    <row r="4" spans="2:3" x14ac:dyDescent="0.25">
      <c r="B4" s="25" t="s">
        <v>49</v>
      </c>
      <c r="C4" s="25" t="str">
        <f>Assumptions!D7</f>
        <v>Private School</v>
      </c>
    </row>
    <row r="5" spans="2:3" x14ac:dyDescent="0.25">
      <c r="B5" s="25" t="s">
        <v>47</v>
      </c>
      <c r="C5" s="25" t="str">
        <f>Assumptions!D6</f>
        <v>FL</v>
      </c>
    </row>
    <row r="6" spans="2:3" x14ac:dyDescent="0.25">
      <c r="B6" s="25" t="s">
        <v>150</v>
      </c>
      <c r="C6" s="25">
        <f>Assumptions!D8</f>
        <v>2023</v>
      </c>
    </row>
    <row r="8" spans="2:3" x14ac:dyDescent="0.25">
      <c r="B8" s="25" t="s">
        <v>57</v>
      </c>
      <c r="C8" s="26">
        <f>Assumptions!D16</f>
        <v>200</v>
      </c>
    </row>
    <row r="9" spans="2:3" x14ac:dyDescent="0.25">
      <c r="B9" s="25" t="s">
        <v>151</v>
      </c>
      <c r="C9" s="27">
        <f>Drivers!G10</f>
        <v>2145936.2104</v>
      </c>
    </row>
    <row r="10" spans="2:3" x14ac:dyDescent="0.25">
      <c r="B10" s="25" t="s">
        <v>152</v>
      </c>
      <c r="C10" s="38">
        <f>'5-Year P&amp;L'!G16</f>
        <v>22780.19693646</v>
      </c>
    </row>
    <row r="12" ht="24" customHeight="1" spans="2:3" x14ac:dyDescent="0.25">
      <c r="B12" s="39" t="s">
        <v>153</v>
      </c>
      <c r="C12" s="23"/>
    </row>
    <row r="13" spans="2:3" x14ac:dyDescent="0.25">
      <c r="B13" s="25" t="s">
        <v>154</v>
      </c>
      <c r="C13" s="40">
        <f>IF(Drivers!G10&gt;0,'5-Year P&amp;L'!G21/Drivers!G10,0)</f>
        <v>-0.01690833</v>
      </c>
    </row>
    <row r="14" spans="2:3" x14ac:dyDescent="0.25">
      <c r="B14" s="25" t="s">
        <v>155</v>
      </c>
      <c r="C14" s="32">
        <f>IF(Drivers!G10&gt;0,Drivers!G16/Drivers!G10,0)</f>
        <v>0.66686369</v>
      </c>
    </row>
    <row r="15" spans="2:3" x14ac:dyDescent="0.25">
      <c r="B15" s="25" t="s">
        <v>156</v>
      </c>
      <c r="C15" s="27">
        <f>IF(Assumptions!D16&gt;0,Drivers!G10/Assumptions!D16,0)</f>
        <v>10730</v>
      </c>
    </row>
    <row r="16" spans="2:3" x14ac:dyDescent="0.25">
      <c r="B16" s="25" t="s">
        <v>157</v>
      </c>
      <c r="C16" s="27">
        <f>IF(Assumptions!D16&gt;0,('5-Year P&amp;L'!G12+'5-Year P&amp;L'!G13)/Assumptions!D16,0)</f>
        <v>10616</v>
      </c>
    </row>
    <row r="17" spans="2:3" x14ac:dyDescent="0.25">
      <c r="B17" s="25" t="s">
        <v>158</v>
      </c>
      <c r="C17" s="35">
        <f>'Cash Flow &amp; DSCR'!C11</f>
        <v>-1.70774068</v>
      </c>
    </row>
    <row r="18" spans="2:3" x14ac:dyDescent="0.25">
      <c r="B18" s="25" t="s">
        <v>159</v>
      </c>
      <c r="C18" s="35">
        <f>'Cash Flow &amp; DSCR'!G11</f>
        <v>0.38568409</v>
      </c>
    </row>
    <row r="19" spans="2:3" x14ac:dyDescent="0.25">
      <c r="B19" s="25" t="s">
        <v>160</v>
      </c>
      <c r="C19" s="41">
        <v>0</v>
      </c>
    </row>
    <row r="21" spans="2:3" x14ac:dyDescent="0.25">
      <c r="B21" s="12" t="s">
        <v>161</v>
      </c>
      <c r="C21" s="12"/>
    </row>
  </sheetData>
  <mergeCells count="2">
    <mergeCell ref="B1:C1"/>
    <mergeCell ref="B21:C2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H4"/>
  <sheetFormatPr defaultRowHeight="15" outlineLevelRow="0" outlineLevelCol="0" x14ac:dyDescent="55"/>
  <cols>
    <col min="1" max="1" width="3" customWidth="1"/>
    <col min="2" max="2" width="30" customWidth="1"/>
    <col min="3" max="3" width="22" customWidth="1"/>
    <col min="4" max="4" width="14" customWidth="1"/>
    <col min="5" max="5" width="30" customWidth="1"/>
    <col min="6" max="6" width="18" customWidth="1"/>
    <col min="7" max="7" width="38" customWidth="1"/>
    <col min="8" max="8" width="50" customWidth="1"/>
  </cols>
  <sheetData>
    <row r="1" ht="24" customHeight="1" spans="2:8" x14ac:dyDescent="0.25">
      <c r="B1" s="13" t="s">
        <v>162</v>
      </c>
      <c r="C1" s="13"/>
      <c r="D1" s="13"/>
      <c r="E1" s="13"/>
      <c r="F1" s="13"/>
      <c r="G1" s="13"/>
      <c r="H1" s="13"/>
    </row>
    <row r="2" ht="60" customHeight="1" spans="2:8" x14ac:dyDescent="0.25">
      <c r="B2" s="42" t="s">
        <v>163</v>
      </c>
      <c r="C2" s="42"/>
      <c r="D2" s="42"/>
      <c r="E2" s="42"/>
      <c r="F2" s="42"/>
      <c r="G2" s="42"/>
      <c r="H2" s="42"/>
    </row>
    <row r="4" ht="30" customHeight="1" spans="2:8" x14ac:dyDescent="0.25">
      <c r="B4" s="43" t="s">
        <v>164</v>
      </c>
      <c r="C4" s="43"/>
      <c r="D4" s="43"/>
      <c r="E4" s="43"/>
      <c r="F4" s="43"/>
      <c r="G4" s="43"/>
      <c r="H4" s="43"/>
    </row>
  </sheetData>
  <mergeCells count="3">
    <mergeCell ref="B1:H1"/>
    <mergeCell ref="B2:H2"/>
    <mergeCell ref="B4:H4"/>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H40"/>
  <sheetFormatPr defaultRowHeight="15" outlineLevelRow="0" outlineLevelCol="0" x14ac:dyDescent="55"/>
  <cols>
    <col min="1" max="1" width="4" customWidth="1"/>
    <col min="2" max="2" width="28" customWidth="1"/>
    <col min="3" max="7" width="16" customWidth="1"/>
    <col min="8" max="8" width="20" customWidth="1"/>
    <col min="9" max="9" width="40" customWidth="1"/>
  </cols>
  <sheetData>
    <row r="2" ht="30" customHeight="1" spans="2:8" x14ac:dyDescent="0.25">
      <c r="B2" s="1" t="s">
        <v>165</v>
      </c>
      <c r="C2" s="1"/>
      <c r="D2" s="1"/>
      <c r="E2" s="1"/>
      <c r="F2" s="1"/>
      <c r="G2" s="1"/>
      <c r="H2" s="1"/>
    </row>
    <row r="3" spans="2:8" x14ac:dyDescent="0.25">
      <c r="B3" s="12" t="s">
        <v>40</v>
      </c>
      <c r="C3" s="12"/>
      <c r="D3" s="12"/>
      <c r="E3" s="12"/>
      <c r="F3" s="12"/>
      <c r="G3" s="12"/>
      <c r="H3" s="12"/>
    </row>
    <row r="4" spans="2:6" x14ac:dyDescent="0.25">
      <c r="B4" s="44" t="s">
        <v>166</v>
      </c>
      <c r="D4" s="45" t="s">
        <v>167</v>
      </c>
      <c r="F4" s="46" t="s">
        <v>168</v>
      </c>
    </row>
    <row r="6" ht="24" customHeight="1" spans="2:8" x14ac:dyDescent="0.25">
      <c r="B6" s="47" t="s">
        <v>169</v>
      </c>
      <c r="C6" s="48" t="s">
        <v>96</v>
      </c>
      <c r="D6" s="48" t="s">
        <v>97</v>
      </c>
      <c r="E6" s="48" t="s">
        <v>98</v>
      </c>
      <c r="F6" s="48" t="s">
        <v>99</v>
      </c>
      <c r="G6" s="48" t="s">
        <v>100</v>
      </c>
      <c r="H6" s="48" t="s">
        <v>170</v>
      </c>
    </row>
    <row r="7" spans="2:7" x14ac:dyDescent="0.25">
      <c r="B7" s="25" t="s">
        <v>101</v>
      </c>
      <c r="C7" s="26">
        <v>100</v>
      </c>
      <c r="D7" s="26">
        <v>130</v>
      </c>
      <c r="E7" s="26">
        <v>160</v>
      </c>
      <c r="F7" s="26">
        <v>185</v>
      </c>
      <c r="G7" s="26">
        <v>200</v>
      </c>
    </row>
    <row r="8" spans="2:7" x14ac:dyDescent="0.25">
      <c r="B8" s="25" t="s">
        <v>171</v>
      </c>
      <c r="C8" s="27">
        <v>995000</v>
      </c>
      <c r="D8" s="27">
        <v>1306880</v>
      </c>
      <c r="E8" s="27">
        <v>1636644.8</v>
      </c>
      <c r="F8" s="27">
        <v>1934821.354</v>
      </c>
      <c r="G8" s="27">
        <v>2145936.2104</v>
      </c>
    </row>
    <row r="9" spans="2:7" x14ac:dyDescent="0.25">
      <c r="B9" s="25" t="s">
        <v>172</v>
      </c>
      <c r="C9" s="27">
        <v>824466.6666666666</v>
      </c>
      <c r="D9" s="27">
        <v>951514</v>
      </c>
      <c r="E9" s="27">
        <v>1138133.52</v>
      </c>
      <c r="F9" s="27">
        <v>1280821.7409333333</v>
      </c>
      <c r="G9" s="27">
        <v>1431046.934954667</v>
      </c>
    </row>
    <row r="10" spans="2:7" x14ac:dyDescent="0.25">
      <c r="B10" s="25" t="s">
        <v>173</v>
      </c>
      <c r="C10" s="27">
        <v>271400</v>
      </c>
      <c r="D10" s="27">
        <v>334544</v>
      </c>
      <c r="E10" s="27">
        <v>423893.20399999997</v>
      </c>
      <c r="F10" s="27">
        <v>543450.5083634</v>
      </c>
      <c r="G10" s="27">
        <v>692109.0785088772</v>
      </c>
    </row>
    <row r="11" spans="2:7" x14ac:dyDescent="0.25">
      <c r="B11" s="25" t="s">
        <v>174</v>
      </c>
      <c r="C11" s="27">
        <v>59064.39316600799</v>
      </c>
      <c r="D11" s="27">
        <v>59064.39316600799</v>
      </c>
      <c r="E11" s="27">
        <v>59064.39316600799</v>
      </c>
      <c r="F11" s="27">
        <v>59064.39316600799</v>
      </c>
      <c r="G11" s="27">
        <v>59064.39316600799</v>
      </c>
    </row>
    <row r="12" spans="2:7" x14ac:dyDescent="0.25">
      <c r="B12" s="28" t="s">
        <v>126</v>
      </c>
      <c r="C12" s="30">
        <v>-159931.0598326745</v>
      </c>
      <c r="D12" s="30">
        <v>-38242.39316600799</v>
      </c>
      <c r="E12" s="31">
        <v>15553.682833992127</v>
      </c>
      <c r="F12" s="31">
        <v>51484.71153725888</v>
      </c>
      <c r="G12" s="30">
        <v>-36284.19622955197</v>
      </c>
    </row>
    <row r="13" spans="2:7" x14ac:dyDescent="0.25">
      <c r="B13" s="28" t="s">
        <v>139</v>
      </c>
      <c r="C13" s="30">
        <v>-84931.05983267451</v>
      </c>
      <c r="D13" s="30">
        <v>-123173.45299868251</v>
      </c>
      <c r="E13" s="30">
        <v>-107619.77016469039</v>
      </c>
      <c r="F13" s="30">
        <v>-56135.05862743151</v>
      </c>
      <c r="G13" s="30">
        <v>-92419.25485698348</v>
      </c>
    </row>
    <row r="14" spans="2:7" x14ac:dyDescent="0.25">
      <c r="B14" s="28" t="s">
        <v>127</v>
      </c>
      <c r="C14" s="49">
        <v>-0.1607347335001754</v>
      </c>
      <c r="D14" s="49">
        <v>-0.029262360098867523</v>
      </c>
      <c r="E14" s="50">
        <v>0.009503395504016587</v>
      </c>
      <c r="F14" s="50">
        <v>0.026609542752265323</v>
      </c>
      <c r="G14" s="49">
        <v>-0.016908329359328268</v>
      </c>
    </row>
    <row r="15" spans="2:8" x14ac:dyDescent="0.25">
      <c r="B15" s="28" t="s">
        <v>175</v>
      </c>
      <c r="C15" s="51">
        <v>9950</v>
      </c>
      <c r="D15" s="52">
        <v>10052.923076923076</v>
      </c>
      <c r="E15" s="52">
        <v>10229.03</v>
      </c>
      <c r="F15" s="52">
        <v>10458.493805405406</v>
      </c>
      <c r="G15" s="52">
        <v>10729.681052000002</v>
      </c>
      <c r="H15" s="53" t="s">
        <v>176</v>
      </c>
    </row>
    <row r="16" spans="2:7" x14ac:dyDescent="0.25">
      <c r="B16" s="28" t="s">
        <v>177</v>
      </c>
      <c r="C16" s="33">
        <v>11549.310598326745</v>
      </c>
      <c r="D16" s="33">
        <v>10347.095332046214</v>
      </c>
      <c r="E16" s="33">
        <v>10131.819482287548</v>
      </c>
      <c r="F16" s="33">
        <v>10180.198067366167</v>
      </c>
      <c r="G16" s="33">
        <v>10911.102033147761</v>
      </c>
    </row>
    <row r="17" spans="2:7" x14ac:dyDescent="0.25">
      <c r="B17" s="25" t="s">
        <v>178</v>
      </c>
      <c r="C17" s="27">
        <v>600</v>
      </c>
      <c r="D17" s="27">
        <v>803.4</v>
      </c>
      <c r="E17" s="27">
        <v>1075.7526</v>
      </c>
      <c r="F17" s="27">
        <v>1440.4327313999997</v>
      </c>
      <c r="G17" s="27">
        <v>1928.7394273446</v>
      </c>
    </row>
    <row r="18" spans="2:8" x14ac:dyDescent="0.25">
      <c r="B18" s="25" t="s">
        <v>179</v>
      </c>
      <c r="C18" s="52">
        <v>1364</v>
      </c>
      <c r="D18" s="52">
        <v>1080.7076923076922</v>
      </c>
      <c r="E18" s="52">
        <v>904.4172499999999</v>
      </c>
      <c r="F18" s="52">
        <v>805.6646637837837</v>
      </c>
      <c r="G18" s="52">
        <v>767.5970084200001</v>
      </c>
      <c r="H18" s="53" t="s">
        <v>180</v>
      </c>
    </row>
    <row r="19" spans="2:7" x14ac:dyDescent="0.25">
      <c r="B19" s="28" t="s">
        <v>181</v>
      </c>
      <c r="C19" s="54">
        <v>-1599.310598326745</v>
      </c>
      <c r="D19" s="54">
        <v>-294.17225512313837</v>
      </c>
      <c r="E19" s="38">
        <v>97.2105177124508</v>
      </c>
      <c r="F19" s="38">
        <v>278.2957380392372</v>
      </c>
      <c r="G19" s="54">
        <v>-181.42098114775985</v>
      </c>
    </row>
    <row r="20" spans="2:8" x14ac:dyDescent="0.25">
      <c r="B20" s="28" t="s">
        <v>182</v>
      </c>
      <c r="C20" s="49">
        <v>0.8286097152428811</v>
      </c>
      <c r="D20" s="49">
        <v>0.7280806194906954</v>
      </c>
      <c r="E20" s="49">
        <v>0.6954065537005952</v>
      </c>
      <c r="F20" s="49">
        <v>0.6619844970624266</v>
      </c>
      <c r="G20" s="49">
        <v>0.6668636877551553</v>
      </c>
      <c r="H20" s="53" t="s">
        <v>183</v>
      </c>
    </row>
    <row r="21" spans="2:8" x14ac:dyDescent="0.25">
      <c r="B21" s="28" t="s">
        <v>184</v>
      </c>
      <c r="C21" s="55">
        <v>0.1370854271356784</v>
      </c>
      <c r="D21" s="55">
        <v>0.10750183643486777</v>
      </c>
      <c r="E21" s="55">
        <v>0.08841671693210401</v>
      </c>
      <c r="F21" s="55">
        <v>0.07703448305026303</v>
      </c>
      <c r="G21" s="55">
        <v>0.0715395923420222</v>
      </c>
      <c r="H21" s="53" t="s">
        <v>185</v>
      </c>
    </row>
    <row r="22" spans="2:8" x14ac:dyDescent="0.25">
      <c r="B22" s="28" t="s">
        <v>124</v>
      </c>
      <c r="C22" s="49">
        <v>-0.10137353433835843</v>
      </c>
      <c r="D22" s="50">
        <v>0.015932602840352597</v>
      </c>
      <c r="E22" s="50">
        <v>0.04559210159712117</v>
      </c>
      <c r="F22" s="50">
        <v>0.057136595311355426</v>
      </c>
      <c r="G22" s="50">
        <v>0.010615505170216507</v>
      </c>
      <c r="H22" s="53" t="s">
        <v>186</v>
      </c>
    </row>
    <row r="23" spans="2:8" x14ac:dyDescent="0.25">
      <c r="B23" s="28" t="s">
        <v>187</v>
      </c>
      <c r="C23" s="56">
        <v>3</v>
      </c>
      <c r="D23" s="56">
        <v>3</v>
      </c>
      <c r="E23" s="56">
        <v>3</v>
      </c>
      <c r="F23" s="56">
        <v>3</v>
      </c>
      <c r="G23" s="56">
        <v>3</v>
      </c>
      <c r="H23" s="53" t="s">
        <v>188</v>
      </c>
    </row>
    <row r="24" spans="2:8" x14ac:dyDescent="0.25">
      <c r="B24" s="28" t="s">
        <v>189</v>
      </c>
      <c r="C24" s="57">
        <v>-1.7077406752181137</v>
      </c>
      <c r="D24" s="57">
        <v>0.35253049906865414</v>
      </c>
      <c r="E24" s="58">
        <v>1.2633343373269994</v>
      </c>
      <c r="F24" s="58">
        <v>1.871670879484945</v>
      </c>
      <c r="G24" s="57">
        <v>0.38568409350163607</v>
      </c>
      <c r="H24" s="53" t="s">
        <v>190</v>
      </c>
    </row>
    <row r="25" spans="2:8" x14ac:dyDescent="0.25">
      <c r="B25" s="28" t="s">
        <v>191</v>
      </c>
      <c r="C25" s="59" t="str">
        <f>IF('5-Year P&amp;L'!C24&gt;=0,"✓ Break-even","")</f>
        <v>0</v>
      </c>
      <c r="D25" s="59" t="str">
        <f>IF(AND('5-Year P&amp;L'!D24&gt;=0,'5-Year P&amp;L'!C24&lt;0),"✓ Break-even","")</f>
        <v>0</v>
      </c>
      <c r="E25" s="59" t="str">
        <f>IF(AND('5-Year P&amp;L'!E24&gt;=0,'5-Year P&amp;L'!D24&lt;0),"✓ Break-even","")</f>
        <v>0</v>
      </c>
      <c r="F25" s="59" t="str">
        <f>IF(AND('5-Year P&amp;L'!F24&gt;=0,'5-Year P&amp;L'!E24&lt;0),"✓ Break-even","")</f>
        <v>0</v>
      </c>
      <c r="G25" s="59" t="str">
        <f>IF(AND('5-Year P&amp;L'!G24&gt;=0,'5-Year P&amp;L'!F24&lt;0),"✓ Break-even","")</f>
        <v>0</v>
      </c>
      <c r="H25" s="53" t="s">
        <v>96</v>
      </c>
    </row>
    <row r="26" spans="2:8" x14ac:dyDescent="0.25">
      <c r="B26" s="28" t="s">
        <v>192</v>
      </c>
      <c r="C26" s="60">
        <v>-1</v>
      </c>
      <c r="D26" s="60">
        <v>-1</v>
      </c>
      <c r="E26" s="60">
        <v>-1</v>
      </c>
      <c r="F26" s="60">
        <v>0</v>
      </c>
      <c r="G26" s="60">
        <v>-1</v>
      </c>
      <c r="H26" s="53" t="s">
        <v>193</v>
      </c>
    </row>
    <row r="27" spans="2:8" x14ac:dyDescent="0.25">
      <c r="B27" s="28" t="s">
        <v>194</v>
      </c>
      <c r="C27" s="60">
        <v>0</v>
      </c>
      <c r="D27" s="60">
        <v>0</v>
      </c>
      <c r="E27" s="60">
        <v>0</v>
      </c>
      <c r="F27" s="60">
        <v>0</v>
      </c>
      <c r="G27" s="60">
        <v>0</v>
      </c>
      <c r="H27" s="53" t="s">
        <v>195</v>
      </c>
    </row>
    <row r="29" ht="24" customHeight="1" spans="2:8" x14ac:dyDescent="0.25">
      <c r="B29" s="47" t="s">
        <v>196</v>
      </c>
      <c r="C29" s="47" t="s">
        <v>197</v>
      </c>
      <c r="D29" s="47" t="s">
        <v>198</v>
      </c>
      <c r="E29" s="47"/>
      <c r="F29" s="47" t="s">
        <v>199</v>
      </c>
      <c r="G29" s="47"/>
      <c r="H29" s="47"/>
    </row>
    <row r="30" ht="45" customHeight="1" spans="2:8" x14ac:dyDescent="0.25">
      <c r="B30" s="61" t="s">
        <v>200</v>
      </c>
      <c r="C30" s="62" t="s">
        <v>201</v>
      </c>
      <c r="D30" s="63" t="s">
        <v>202</v>
      </c>
      <c r="E30" s="63"/>
      <c r="F30" s="64" t="s">
        <v>203</v>
      </c>
      <c r="G30" s="64"/>
      <c r="H30" s="64"/>
    </row>
    <row r="31" ht="45" customHeight="1" spans="2:8" x14ac:dyDescent="0.25">
      <c r="B31" s="61" t="s">
        <v>204</v>
      </c>
      <c r="C31" s="62" t="s">
        <v>201</v>
      </c>
      <c r="D31" s="63" t="s">
        <v>205</v>
      </c>
      <c r="E31" s="63"/>
      <c r="F31" s="64" t="s">
        <v>206</v>
      </c>
      <c r="G31" s="64"/>
      <c r="H31" s="64"/>
    </row>
    <row r="32" ht="45" customHeight="1" spans="2:8" x14ac:dyDescent="0.25">
      <c r="B32" s="61" t="s">
        <v>207</v>
      </c>
      <c r="C32" s="62" t="s">
        <v>201</v>
      </c>
      <c r="D32" s="63" t="s">
        <v>208</v>
      </c>
      <c r="E32" s="63"/>
      <c r="F32" s="64" t="s">
        <v>209</v>
      </c>
      <c r="G32" s="64"/>
      <c r="H32" s="64"/>
    </row>
    <row r="33" ht="45" customHeight="1" spans="2:8" x14ac:dyDescent="0.25">
      <c r="B33" s="61" t="s">
        <v>210</v>
      </c>
      <c r="C33" s="65" t="s">
        <v>211</v>
      </c>
      <c r="D33" s="63" t="s">
        <v>212</v>
      </c>
      <c r="E33" s="63"/>
      <c r="F33" s="64" t="s">
        <v>213</v>
      </c>
      <c r="G33" s="64"/>
      <c r="H33" s="64"/>
    </row>
    <row r="34" ht="45" customHeight="1" spans="2:8" x14ac:dyDescent="0.25">
      <c r="B34" s="61" t="s">
        <v>214</v>
      </c>
      <c r="C34" s="62" t="s">
        <v>201</v>
      </c>
      <c r="D34" s="63" t="s">
        <v>215</v>
      </c>
      <c r="E34" s="63"/>
      <c r="F34" s="64" t="s">
        <v>216</v>
      </c>
      <c r="G34" s="64"/>
      <c r="H34" s="64"/>
    </row>
    <row r="35" ht="45" customHeight="1" spans="2:8" x14ac:dyDescent="0.25">
      <c r="B35" s="61" t="s">
        <v>217</v>
      </c>
      <c r="C35" s="65" t="s">
        <v>211</v>
      </c>
      <c r="D35" s="63" t="s">
        <v>218</v>
      </c>
      <c r="E35" s="63"/>
      <c r="F35" s="64" t="s">
        <v>219</v>
      </c>
      <c r="G35" s="64"/>
      <c r="H35" s="64"/>
    </row>
    <row r="36" ht="45" customHeight="1" spans="2:8" x14ac:dyDescent="0.25">
      <c r="B36" s="61" t="s">
        <v>220</v>
      </c>
      <c r="C36" s="62" t="s">
        <v>201</v>
      </c>
      <c r="D36" s="63" t="s">
        <v>221</v>
      </c>
      <c r="E36" s="63"/>
      <c r="F36" s="64" t="s">
        <v>222</v>
      </c>
      <c r="G36" s="64"/>
      <c r="H36" s="64"/>
    </row>
    <row r="38" spans="2:6" x14ac:dyDescent="0.25">
      <c r="B38" s="61" t="s">
        <v>39</v>
      </c>
      <c r="C38" s="28" t="s">
        <v>223</v>
      </c>
      <c r="D38" s="28"/>
      <c r="E38" s="28"/>
      <c r="F38" s="28"/>
    </row>
    <row r="40" spans="2:8" x14ac:dyDescent="0.25">
      <c r="B40" s="66" t="s">
        <v>224</v>
      </c>
      <c r="C40" s="66"/>
      <c r="D40" s="66"/>
      <c r="E40" s="66"/>
      <c r="F40" s="66"/>
      <c r="G40" s="66"/>
      <c r="H40" s="66"/>
    </row>
  </sheetData>
  <mergeCells count="20">
    <mergeCell ref="B2:H2"/>
    <mergeCell ref="B3:H3"/>
    <mergeCell ref="D29:E29"/>
    <mergeCell ref="F29:H29"/>
    <mergeCell ref="D30:E30"/>
    <mergeCell ref="F30:H30"/>
    <mergeCell ref="D31:E31"/>
    <mergeCell ref="F31:H31"/>
    <mergeCell ref="D32:E32"/>
    <mergeCell ref="F32:H32"/>
    <mergeCell ref="D33:E33"/>
    <mergeCell ref="F33:H33"/>
    <mergeCell ref="D34:E34"/>
    <mergeCell ref="F34:H34"/>
    <mergeCell ref="D35:E35"/>
    <mergeCell ref="F35:H35"/>
    <mergeCell ref="D36:E36"/>
    <mergeCell ref="F36:H36"/>
    <mergeCell ref="C38:F38"/>
    <mergeCell ref="B40:H40"/>
  </mergeCells>
  <conditionalFormatting sqref="C12:G12">
    <cfRule type="expression" dxfId="0" priority="1">
      <formula>C12&gt;=0</formula>
    </cfRule>
    <cfRule type="expression" dxfId="1" priority="2">
      <formula>C12&gt;=-1</formula>
    </cfRule>
    <cfRule type="expression" dxfId="2" priority="3">
      <formula>C12&lt;-1</formula>
    </cfRule>
  </conditionalFormatting>
  <conditionalFormatting sqref="C13:G13">
    <cfRule type="expression" dxfId="3" priority="1">
      <formula>C13&gt;=0</formula>
    </cfRule>
    <cfRule type="expression" dxfId="4" priority="2">
      <formula>C13&gt;=-1</formula>
    </cfRule>
    <cfRule type="expression" dxfId="5" priority="3">
      <formula>C13&lt;-1</formula>
    </cfRule>
  </conditionalFormatting>
  <conditionalFormatting sqref="C14:G14">
    <cfRule type="expression" dxfId="6" priority="1">
      <formula>C14&gt;=0.05</formula>
    </cfRule>
    <cfRule type="expression" dxfId="7" priority="2">
      <formula>C14&gt;=0</formula>
    </cfRule>
    <cfRule type="expression" dxfId="8" priority="3">
      <formula>C14&lt;0</formula>
    </cfRule>
  </conditionalFormatting>
  <conditionalFormatting sqref="C15:G15">
    <cfRule type="expression" dxfId="9" priority="1">
      <formula>C15&gt;=10000</formula>
    </cfRule>
    <cfRule type="expression" dxfId="10" priority="2">
      <formula>C15&gt;=7000</formula>
    </cfRule>
    <cfRule type="expression" dxfId="11" priority="3">
      <formula>C15&lt;7000</formula>
    </cfRule>
  </conditionalFormatting>
  <conditionalFormatting sqref="C20:G20">
    <cfRule type="expression" dxfId="12" priority="1">
      <formula>C20&lt;=0.55</formula>
    </cfRule>
    <cfRule type="expression" dxfId="13" priority="2">
      <formula>C20&lt;=0.65</formula>
    </cfRule>
    <cfRule type="expression" dxfId="14" priority="3">
      <formula>C20&gt;0.65</formula>
    </cfRule>
  </conditionalFormatting>
  <conditionalFormatting sqref="C21:G21">
    <cfRule type="expression" dxfId="15" priority="1">
      <formula>C21&lt;=0.15</formula>
    </cfRule>
    <cfRule type="expression" dxfId="16" priority="2">
      <formula>C21&lt;=0.22</formula>
    </cfRule>
    <cfRule type="expression" dxfId="17" priority="3">
      <formula>C21&gt;0.22</formula>
    </cfRule>
  </conditionalFormatting>
  <conditionalFormatting sqref="C22:G22">
    <cfRule type="expression" dxfId="18" priority="1">
      <formula>C22&gt;=0.10</formula>
    </cfRule>
    <cfRule type="expression" dxfId="19" priority="2">
      <formula>C22&gt;=0</formula>
    </cfRule>
    <cfRule type="expression" dxfId="20" priority="3">
      <formula>C22&lt;0</formula>
    </cfRule>
  </conditionalFormatting>
  <conditionalFormatting sqref="C24:G24">
    <cfRule type="expression" dxfId="21" priority="1">
      <formula>C24&gt;=1.25</formula>
    </cfRule>
    <cfRule type="expression" dxfId="22" priority="2">
      <formula>C24&gt;=1.15</formula>
    </cfRule>
    <cfRule type="expression" dxfId="23" priority="3">
      <formula>C24&lt;1.15</formula>
    </cfRule>
  </conditionalFormatting>
  <pageMargins left="0.5" right="0.5" top="0.75" bottom="0.75" header="0.3" footer="0.3"/>
  <pageSetup orientation="landscape" fitToWidth="1" fitToHeight="0"/>
  <headerFooter>
    <oddFooter>&amp;L&amp;8SchoolStack Budget&amp;C&amp;8Confidential&amp;R&amp;8Page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Cover</vt:lpstr>
      <vt:lpstr>Assumptions</vt:lpstr>
      <vt:lpstr>Drivers</vt:lpstr>
      <vt:lpstr>5-Year P&amp;L</vt:lpstr>
      <vt:lpstr>Cash Flow &amp; DSCR</vt:lpstr>
      <vt:lpstr>Staffing</vt:lpstr>
      <vt:lpstr>Loan Snapshot</vt:lpstr>
      <vt:lpstr>Summary</vt:lpstr>
      <vt:lpstr>Decision History</vt:lpstr>
      <vt:lpstr>Financial Health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SchoolStack Budget</dc:creator>
  <dc:title/>
  <dc:subject/>
  <dc:description/>
  <cp:keywords/>
  <cp:category/>
  <cp:lastModifiedBy>Unknown</cp:lastModifiedBy>
  <dcterms:created xsi:type="dcterms:W3CDTF">2026-04-29T12:22:44Z</dcterms:created>
  <dcterms:modified xsi:type="dcterms:W3CDTF">2026-04-29T12:22:44Z</dcterms:modified>
</cp:coreProperties>
</file>