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<sst xmlns="http://schemas.openxmlformats.org/spreadsheetml/2006/main" count="142" uniqueCount="116">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</sst>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1758744.11</v>
      </c>
      <c r="G7" s="18">
        <f>Assumptions!D16*Assumptions!D22*(1+Assumptions!D23)^4</f>
        <v>1958385.33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101077.25</v>
      </c>
      <c r="G8" s="18">
        <f>Assumptions!D16*Assumptions!D24*(1+Assumptions!D25)^4</f>
        <v>112550.88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</v>
      </c>
      <c r="G10" s="20">
        <f>G6+G7+G8+G9</f>
        <v>2145936.21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855386.7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288479.93</v>
      </c>
      <c r="G14" s="18">
        <f>Assumptions!D39*Assumptions!D40*(1+Assumptions!D41)^4</f>
        <v>297134.33</v>
      </c>
    </row>
    <row r="15" spans="2:7" x14ac:dyDescent="0.25">
      <c r="B15" s="16" t="s">
        <v>80</v>
      </c>
      <c r="C15" s="18">
        <f>(C13+C14)*Assumptions!D42</f>
        <v>160466.67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</v>
      </c>
      <c r="G15" s="18">
        <f>(G13+G14)*Assumptions!D42</f>
        <v>278525.91</v>
      </c>
    </row>
    <row r="16" spans="2:7" x14ac:dyDescent="0.25">
      <c r="B16" s="19" t="s">
        <v>81</v>
      </c>
      <c r="C16" s="20">
        <f>C13+C14+C15</f>
        <v>824466.67</v>
      </c>
      <c r="D16" s="20">
        <f>D13+D14+D15</f>
        <v>951514</v>
      </c>
      <c r="E16" s="20">
        <f>E13+E14+E15</f>
        <v>1138133.52</v>
      </c>
      <c r="F16" s="20">
        <f>F13+F14+F15</f>
        <v>1280821.74</v>
      </c>
      <c r="G16" s="20">
        <f>G13+G14+G15</f>
        <v>1431046.93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</v>
      </c>
      <c r="G18" s="18">
        <f>Assumptions!D46*(1+Assumptions!D47)^4</f>
        <v>114801.9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37589.81</v>
      </c>
      <c r="G19" s="18">
        <f>Assumptions!D48*(1+Assumptions!D49)^4</f>
        <v>38717.5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172120.42</v>
      </c>
      <c r="F20" s="18">
        <f>Assumptions!D15*Assumptions!D50*(1+Assumptions!D51)^3</f>
        <v>266480.06</v>
      </c>
      <c r="G20" s="18">
        <f>Assumptions!D16*Assumptions!D50*(1+Assumptions!D51)^4</f>
        <v>385747.89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107066.03</v>
      </c>
      <c r="F21" s="18">
        <f>Assumptions!D52*(1+Assumptions!D53)^3</f>
        <v>127922.49</v>
      </c>
      <c r="G21" s="18">
        <f>Assumptions!D52*(1+Assumptions!D53)^4</f>
        <v>152841.79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</v>
      </c>
      <c r="F22" s="20">
        <f>F18+F19+F20+F21</f>
        <v>543450.51</v>
      </c>
      <c r="G22" s="20">
        <f>G18+G19+G20+G21</f>
        <v>692109.08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1758744.11</v>
      </c>
      <c r="G7" s="18">
        <f>Drivers!G7</f>
        <v>1958385.33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101077.25</v>
      </c>
      <c r="G8" s="18">
        <f>Drivers!G8</f>
        <v>112550.88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</v>
      </c>
      <c r="G10" s="20">
        <f>Drivers!G10</f>
        <v>2145936.21</v>
      </c>
    </row>
    <row r="12" spans="2:7" x14ac:dyDescent="0.25">
      <c r="B12" s="16" t="s">
        <v>90</v>
      </c>
      <c r="C12" s="18">
        <f>Drivers!C16</f>
        <v>824466.67</v>
      </c>
      <c r="D12" s="18">
        <f>Drivers!D16</f>
        <v>951514</v>
      </c>
      <c r="E12" s="18">
        <f>Drivers!E16</f>
        <v>1138133.52</v>
      </c>
      <c r="F12" s="18">
        <f>Drivers!F16</f>
        <v>1280821.74</v>
      </c>
      <c r="G12" s="18">
        <f>Drivers!G16</f>
        <v>1431046.93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</v>
      </c>
      <c r="F13" s="18">
        <f>Drivers!F22</f>
        <v>543450.51</v>
      </c>
      <c r="G13" s="18">
        <f>Drivers!G22</f>
        <v>692109.08</v>
      </c>
    </row>
    <row r="15" spans="2:7" x14ac:dyDescent="0.25">
      <c r="B15" s="19" t="s">
        <v>91</v>
      </c>
      <c r="C15" s="20">
        <f>C12+C13</f>
        <v>1095866.67</v>
      </c>
      <c r="D15" s="20">
        <f>D12+D13</f>
        <v>1286058</v>
      </c>
      <c r="E15" s="20">
        <f>E12+E13</f>
        <v>1562026.72</v>
      </c>
      <c r="F15" s="20">
        <f>F12+F13</f>
        <v>1824272.25</v>
      </c>
      <c r="G15" s="20">
        <f>G12+G13</f>
        <v>2123156.01</v>
      </c>
    </row>
    <row r="16" spans="2:7" x14ac:dyDescent="0.25">
      <c r="B16" s="19" t="s">
        <v>92</v>
      </c>
      <c r="C16" s="21">
        <f>C10-C15</f>
        <v>-100866.67</v>
      </c>
      <c r="D16" s="22">
        <f>D10-D15</f>
        <v>20822</v>
      </c>
      <c r="E16" s="22">
        <f>E10-E15</f>
        <v>74618.08</v>
      </c>
      <c r="F16" s="22">
        <f>F10-F15</f>
        <v>110549.1</v>
      </c>
      <c r="G16" s="22">
        <f>G10-G15</f>
        <v>22780.2</v>
      </c>
    </row>
    <row r="17" spans="2:7" x14ac:dyDescent="0.25">
      <c r="B17" s="16" t="s">
        <v>93</v>
      </c>
      <c r="C17" s="23">
        <f>IF(C10&gt;0,C16/C10,0)</f>
        <v>-0.1</v>
      </c>
      <c r="D17" s="23">
        <f>IF(D10&gt;0,D16/D10,0)</f>
        <v>0.02</v>
      </c>
      <c r="E17" s="23">
        <f>IF(E10&gt;0,E16/E10,0)</f>
        <v>0.05</v>
      </c>
      <c r="F17" s="23">
        <f>IF(F10&gt;0,F16/F10,0)</f>
        <v>0.06</v>
      </c>
      <c r="G17" s="23">
        <f>IF(G10&gt;0,G16/G10,0)</f>
        <v>0.01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-100866.67</v>
      </c>
      <c r="D4" s="18">
        <f>'5-Year P&amp;L'!D16</f>
        <v>20822</v>
      </c>
      <c r="E4" s="18">
        <f>'5-Year P&amp;L'!E16</f>
        <v>74618.08</v>
      </c>
      <c r="F4" s="18">
        <f>'5-Year P&amp;L'!F16</f>
        <v>110549.1</v>
      </c>
      <c r="G4" s="18">
        <f>'5-Year P&amp;L'!G16</f>
        <v>22780.2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</v>
      </c>
      <c r="D7" s="18">
        <f>IF(Assumptions!D59&gt;0,PMT(Assumptions!D60/12,Assumptions!D61*12,-Assumptions!D59)*12,0)</f>
        <v>34064.39</v>
      </c>
      <c r="E7" s="18">
        <f>IF(Assumptions!D59&gt;0,PMT(Assumptions!D60/12,Assumptions!D61*12,-Assumptions!D59)*12,0)</f>
        <v>34064.39</v>
      </c>
      <c r="F7" s="18">
        <f>IF(Assumptions!D59&gt;0,PMT(Assumptions!D60/12,Assumptions!D61*12,-Assumptions!D59)*12,0)</f>
        <v>34064.39</v>
      </c>
      <c r="G7" s="18">
        <f>IF(Assumptions!D59&gt;0,PMT(Assumptions!D60/12,Assumptions!D61*12,-Assumptions!D59)*12,0)</f>
        <v>34064.39</v>
      </c>
    </row>
    <row r="8" spans="2:7" x14ac:dyDescent="0.25">
      <c r="B8" s="19" t="s">
        <v>98</v>
      </c>
      <c r="C8" s="20">
        <f>C6+C7</f>
        <v>59064.39</v>
      </c>
      <c r="D8" s="20">
        <f>D6+D7</f>
        <v>59064.39</v>
      </c>
      <c r="E8" s="20">
        <f>E6+E7</f>
        <v>59064.39</v>
      </c>
      <c r="F8" s="20">
        <f>F6+F7</f>
        <v>59064.39</v>
      </c>
      <c r="G8" s="20">
        <f>G6+G7</f>
        <v>59064.39</v>
      </c>
    </row>
    <row r="10" spans="2:7" x14ac:dyDescent="0.25">
      <c r="B10" s="19" t="s">
        <v>99</v>
      </c>
      <c r="C10" s="24">
        <f>IF(C8&gt;0,C4/C8,IF(C4&gt;0,99.9,0))</f>
        <v>-1.71</v>
      </c>
      <c r="D10" s="24">
        <f>IF(D8&gt;0,D4/D8,IF(D4&gt;0,99.9,0))</f>
        <v>0.35</v>
      </c>
      <c r="E10" s="25">
        <f>IF(E8&gt;0,E4/E8,IF(E4&gt;0,99.9,0))</f>
        <v>1.26</v>
      </c>
      <c r="F10" s="25">
        <f>IF(F8&gt;0,F4/F8,IF(F4&gt;0,99.9,0))</f>
        <v>1.87</v>
      </c>
      <c r="G10" s="24">
        <f>IF(G8&gt;0,G4/G8,IF(G4&gt;0,99.9,0))</f>
        <v>0.39</v>
      </c>
    </row>
    <row r="12" spans="2:7" x14ac:dyDescent="0.25">
      <c r="B12" s="16" t="s">
        <v>100</v>
      </c>
      <c r="C12" s="18">
        <f>C4-C8</f>
        <v>-159931.06</v>
      </c>
      <c r="D12" s="18">
        <f>D4-D8</f>
        <v>-38242.39</v>
      </c>
      <c r="E12" s="18">
        <f>E4-E8</f>
        <v>15553.68</v>
      </c>
      <c r="F12" s="18">
        <f>F4-F8</f>
        <v>51484.71</v>
      </c>
      <c r="G12" s="18">
        <f>G4-G8</f>
        <v>-36284.2</v>
      </c>
    </row>
    <row r="14" spans="2:7" x14ac:dyDescent="0.25">
      <c r="B14" s="19" t="s">
        <v>101</v>
      </c>
      <c r="C14" s="26">
        <f>Assumptions!D57+C12</f>
        <v>-84931.06</v>
      </c>
      <c r="D14" s="26">
        <f>C14+D12</f>
        <v>-123173.45</v>
      </c>
      <c r="E14" s="26">
        <f>D14+E12</f>
        <v>-107619.77</v>
      </c>
      <c r="F14" s="26">
        <f>E14+F12</f>
        <v>-56135.06</v>
      </c>
      <c r="G14" s="26">
        <f>F14+G12</f>
        <v>-92419.25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0.07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</v>
      </c>
    </row>
    <row r="8" spans="2:3" x14ac:dyDescent="0.25">
      <c r="B8" s="16" t="s">
        <v>110</v>
      </c>
      <c r="C8" s="24">
        <f>'Cash Flow &amp; DSCR'!C10</f>
        <v>-1.71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</v>
      </c>
    </row>
    <row r="10" spans="2:3" x14ac:dyDescent="0.25">
      <c r="B10" s="16" t="s">
        <v>114</v>
      </c>
      <c r="C10" s="29">
        <f>'5-Year P&amp;L'!G16</f>
        <v>22780.2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2026-03-16T21:15:54Z</dcterms:created>
  <dcterms:modified xsi:type="dcterms:W3CDTF">2026-03-16T21:15:54Z</dcterms:modified>
</cp:coreProperties>
</file>