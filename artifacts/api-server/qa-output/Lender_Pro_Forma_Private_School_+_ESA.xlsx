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<sst xmlns="http://schemas.openxmlformats.org/spreadsheetml/2006/main" count="282" uniqueCount="225">
  <si>
    <t>How to Use This Workbook</t>
  </si>
  <si>
    <t>Heritage Academy</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</si>
  <si>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</si>
  <si>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</si>
  <si>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</si>
  <si>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</si>
  <si>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</si>
  <si>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</si>
  <si>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</si>
  <si>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</si>
  <si>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</si>
  <si>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</si>
  <si>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</si>
  <si>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</si>
  <si>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</si>
  <si>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</si>
  <si>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</si>
  <si>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</si>
  <si>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</si>
  <si>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</si>
  <si>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</si>
  <si>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</si>
  <si>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</si>
  <si>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</si>
  <si>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</si>
  <si>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</si>
  <si>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</si>
  <si>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</si>
  <si>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</si>
  <si>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</si>
  <si>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</si>
  <si>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</si>
  <si>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</si>
  <si>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</si>
  <si>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</si>
  <si>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</si>
  <si>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</si>
  <si>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</si>
  <si>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</si>
  <si>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</si>
  <si>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</si>
  <si>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</si>
  <si>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</si>
  <si>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</si>
  <si>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</si>
  <si>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</si>
  <si>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</si>
  <si>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</si>
  <si>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</si>
  <si>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</si>
  <si>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</si>
  <si>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</si>
  <si>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</si>
  <si>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</si>
  <si>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</si>
  <si>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</si>
  <si>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</si>
  <si>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</si>
  <si>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</si>
  <si>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</si>
  <si>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</si>
  <si>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</si>
  <si>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</si>
  <si>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</si>
  <si>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</si>
  <si>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</si>
  <si>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</si>
  <si>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</si>
  <si>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</si>
  <si>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</si>
  <si>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</si>
  <si>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</si>
  <si>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</si>
  <si>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</si>
  <si>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</si>
  <si>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</si>
  <si>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</si>
  <si>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</si>
  <si>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</si>
  <si>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</si>
  <si>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</si>
  <si>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</si>
  <si>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</si>
  <si>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</si>
  <si>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</si>
  <si>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</si>
  <si>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</si>
  <si>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</si>
  <si>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</si>
  <si>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</si>
  <si>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</si>
  <si>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</si>
  <si>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</si>
  <si>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</si>
  <si>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</si>
  <si>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</si>
  <si>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</si>
  <si>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</si>
  <si>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</si>
  <si>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</si>
  <si>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</si>
  <si>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</si>
  <si>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</si>
  <si>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</si>
  <si>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</si>
  <si>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</si>
  <si>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</si>
  <si>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</si>
  <si>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</si>
  <si>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</si>
  <si>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</si>
  <si>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</si>
  <si>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</si>
  <si>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</si>
  <si>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</si>
  <si>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</si>
  <si>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</si>
  <si>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</si>
  <si>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</si>
  <si>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</si>
  <si>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</si>
  <si>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</si>
  <si>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</si>
  <si>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</si>
  <si>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</si>
  <si>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</si>
  <si>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</si>
  <si>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</si>
  <si>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</si>
  <si>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</si>
  <si>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</si>
  <si>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</si>
  <si>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</si>
  <si>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</si>
  <si>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</si>
  <si>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</si>
  <si>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</si>
  <si>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</si>
  <si>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</si>
  <si>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</si>
  <si>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</si>
  <si>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</si>
  <si>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</si>
  <si>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</si>
  <si>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</si>
  <si>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</si>
  <si>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</si>
  <si>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</si>
  <si>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</si>
  <si>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</si>
  <si>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</si>
  <si>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</si>
  <si>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</si>
  <si>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</si>
  <si>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</si>
  <si>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</si>
  <si>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</si>
  <si>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</si>
  <si>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</si>
  <si>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</si>
  <si>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</si>
  <si>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</si>
  <si>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</si>
  <si>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</si>
  <si>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</si>
  <si>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</si>
  <si>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</si>
  <si>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</si>
  <si>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</si>
  <si>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</si>
  <si>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</si>
  <si>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</si>
  <si>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</si>
  <si>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</si>
  <si>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</si>
  <si>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</si>
  <si>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</si>
  <si>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</si>
  <si>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</si>
  <si>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</si>
  <si>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</si>
  <si>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</si>
  <si>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</si>
  <si>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</si>
  <si>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</si>
  <si>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</si>
  <si>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</si>
  <si>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</si>
  <si>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</si>
  <si>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</si>
  <si>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</si>
  <si>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</si>
  <si>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</si>
  <si>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</si>
  <si>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</si>
  <si>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</si>
  <si>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</si>
  <si>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</si>
  <si>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</si>
  <si>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</si>
  <si>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</si>
  <si>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</si>
  <si>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</si>
  <si>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</si>
  <si>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</si>
  <si>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6. The school will need outside funding to continue operating.</t>
  </si>
  <si>
    <t>Secure a line of credit or bridge funding before operations begin.</t>
  </si>
  <si>
    <t>Staffing Burden</t>
  </si>
  <si>
    <t>Staffing at 67% of revenue is above the sustainable range. There's too little left for everything else.</t>
  </si>
  <si>
    <t>Review staffing plan for phased hiring, shared roles, or adjusted ratios.</t>
  </si>
  <si>
    <t>Facility Burden</t>
  </si>
  <si>
    <t>● Healthy</t>
  </si>
  <si>
    <t>Facility costs at 7% of revenue are well-managed and leave budget for programs.</t>
  </si>
  <si>
    <t>Watch for rent escalation clauses that could push this higher over time.</t>
  </si>
  <si>
    <t>Debt Affordability</t>
  </si>
  <si>
    <t>DSCR of 0.39x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</si>
  <si>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</si>
  <si>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</si>
  <si>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</si>
  <si>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</si>
  <si>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</si>
  <si>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</si>
  <si>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</si>
  <si>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0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</si>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</sst>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7" fontId="16" fillId="3"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6" fontId="16" fillId="8" borderId="5" xfId="0" applyNumberFormat="1" applyFont="1" applyFill="1" applyBorder="1" applyAlignment="1">
      <alignment horizontal="right"/>
    </xf>
    <xf numFmtId="165" fontId="6" fillId="8" borderId="4"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16" fillId="6" borderId="4"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995000</v>
      </c>
      <c r="D10" s="29">
        <f>D6+D7+D8+D9</f>
        <v>1306880</v>
      </c>
      <c r="E10" s="29">
        <f>E6+E7+E8+E9</f>
        <v>1636644.8</v>
      </c>
      <c r="F10" s="29">
        <f>F6+F7+F8+F9</f>
        <v>1934821.354</v>
      </c>
      <c r="G10" s="29">
        <f>G6+G7+G8+G9</f>
        <v>2145936.2104</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995000</v>
      </c>
      <c r="D10" s="29">
        <f>Drivers!D10</f>
        <v>1306880</v>
      </c>
      <c r="E10" s="29">
        <f>Drivers!E10</f>
        <v>1636644.8</v>
      </c>
      <c r="F10" s="29">
        <f>Drivers!F10</f>
        <v>1934821.354</v>
      </c>
      <c r="G10" s="29">
        <f>Drivers!G10</f>
        <v>2145936.2104</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-100866.66666667</v>
      </c>
      <c r="D16" s="31">
        <f>D10-D15</f>
        <v>20822</v>
      </c>
      <c r="E16" s="31">
        <f>E10-E15</f>
        <v>74618.076</v>
      </c>
      <c r="F16" s="31">
        <f>F10-F15</f>
        <v>110549.10470327</v>
      </c>
      <c r="G16" s="31">
        <f>G10-G15</f>
        <v>22780.19693646</v>
      </c>
    </row>
    <row r="17" spans="2:7" x14ac:dyDescent="0.25">
      <c r="B17" s="25" t="s">
        <v>124</v>
      </c>
      <c r="C17" s="32">
        <f>IF(C10&gt;0,C16/C10,0)</f>
        <v>-0.10137353</v>
      </c>
      <c r="D17" s="32">
        <f>IF(D10&gt;0,D16/D10,0)</f>
        <v>0.0159326</v>
      </c>
      <c r="E17" s="32">
        <f>IF(E10&gt;0,E16/E10,0)</f>
        <v>0.0455921</v>
      </c>
      <c r="F17" s="32">
        <f>IF(F10&gt;0,F16/F10,0)</f>
        <v>0.0571366</v>
      </c>
      <c r="G17" s="32">
        <f>IF(G10&gt;0,G16/G10,0)</f>
        <v>0.01061551</v>
      </c>
    </row>
    <row r="19" spans="2:7" x14ac:dyDescent="0.25">
      <c r="B19" s="25" t="s">
        <v>125</v>
      </c>
      <c r="C19" s="27">
        <f>'Cash Flow &amp; DSCR'!C9</f>
        <v>59064.39316601</v>
      </c>
      <c r="D19" s="27">
        <f>'Cash Flow &amp; DSCR'!D9</f>
        <v>59064.39316601</v>
      </c>
      <c r="E19" s="27">
        <f>'Cash Flow &amp; DSCR'!E9</f>
        <v>59064.39316601</v>
      </c>
      <c r="F19" s="27">
        <f>'Cash Flow &amp; DSCR'!F9</f>
        <v>59064.39316601</v>
      </c>
      <c r="G19" s="27">
        <f>'Cash Flow &amp; DSCR'!G9</f>
        <v>59064.39316601</v>
      </c>
    </row>
    <row r="21" spans="2:7" x14ac:dyDescent="0.25">
      <c r="B21" s="28" t="s">
        <v>126</v>
      </c>
      <c r="C21" s="30">
        <f>C16-C19</f>
        <v>-159931.05983267</v>
      </c>
      <c r="D21" s="30">
        <f>D16-D19</f>
        <v>-38242.39316601</v>
      </c>
      <c r="E21" s="31">
        <f>E16-E19</f>
        <v>15553.68283399</v>
      </c>
      <c r="F21" s="31">
        <f>F16-F19</f>
        <v>51484.71153726</v>
      </c>
      <c r="G21" s="30">
        <f>G16-G19</f>
        <v>-36284.19622955</v>
      </c>
    </row>
    <row r="22" spans="2:7" x14ac:dyDescent="0.25">
      <c r="B22" s="25" t="s">
        <v>127</v>
      </c>
      <c r="C22" s="32">
        <f>IF(C10&gt;0,C21/C10,0)</f>
        <v>-0.16073473</v>
      </c>
      <c r="D22" s="32">
        <f>IF(D10&gt;0,D21/D10,0)</f>
        <v>-0.02926236</v>
      </c>
      <c r="E22" s="32">
        <f>IF(E10&gt;0,E21/E10,0)</f>
        <v>0.0095034</v>
      </c>
      <c r="F22" s="32">
        <f>IF(F10&gt;0,F21/F10,0)</f>
        <v>0.02660954</v>
      </c>
      <c r="G22" s="32">
        <f>IF(G10&gt;0,G21/G10,0)</f>
        <v>-0.01690833</v>
      </c>
    </row>
    <row r="24" spans="2:7" x14ac:dyDescent="0.25">
      <c r="B24" s="28" t="s">
        <v>128</v>
      </c>
      <c r="C24" s="33">
        <f>C21</f>
        <v>-159931.05983267</v>
      </c>
      <c r="D24" s="33">
        <f>C24+D21</f>
        <v>-198173.45299868</v>
      </c>
      <c r="E24" s="33">
        <f>D24+E21</f>
        <v>-182619.77016469</v>
      </c>
      <c r="F24" s="33">
        <f>E24+F21</f>
        <v>-131135.05862743</v>
      </c>
      <c r="G24" s="33">
        <f>F24+G21</f>
        <v>-167419.25485698</v>
      </c>
    </row>
    <row r="25" spans="2:7" x14ac:dyDescent="0.25">
      <c r="B25" s="28" t="s">
        <v>129</v>
      </c>
      <c r="C25" s="34" t="s">
        <v>7</v>
      </c>
      <c r="D25" s="34" t="s">
        <v>7</v>
      </c>
      <c r="E25" s="34" t="s">
        <v>7</v>
      </c>
      <c r="F25" s="34" t="s">
        <v>7</v>
      </c>
      <c r="G25"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3">
        <f>Assumptions!D57</f>
        <v>75000</v>
      </c>
      <c r="D4" s="33">
        <f>C16</f>
        <v>-84931.05983267</v>
      </c>
      <c r="E4" s="33">
        <f>D16</f>
        <v>-123173.45299868</v>
      </c>
      <c r="F4" s="33">
        <f>E16</f>
        <v>-107619.77016469</v>
      </c>
      <c r="G4" s="33">
        <f>F16</f>
        <v>-56135.05862743</v>
      </c>
    </row>
    <row r="5" spans="2:7" x14ac:dyDescent="0.25">
      <c r="B5" s="25" t="s">
        <v>132</v>
      </c>
      <c r="C5" s="27">
        <f>'5-Year P&amp;L'!C16</f>
        <v>-100866.66666667</v>
      </c>
      <c r="D5" s="27">
        <f>'5-Year P&amp;L'!D16</f>
        <v>20822</v>
      </c>
      <c r="E5" s="27">
        <f>'5-Year P&amp;L'!E16</f>
        <v>74618.076</v>
      </c>
      <c r="F5" s="27">
        <f>'5-Year P&amp;L'!F16</f>
        <v>110549.10470327</v>
      </c>
      <c r="G5" s="27">
        <f>'5-Year P&amp;L'!G16</f>
        <v>22780.19693646</v>
      </c>
    </row>
    <row r="7" spans="2:7" x14ac:dyDescent="0.25">
      <c r="B7" s="25" t="s">
        <v>133</v>
      </c>
      <c r="C7" s="27">
        <f>Assumptions!D58</f>
        <v>25000</v>
      </c>
      <c r="D7" s="27">
        <f>Assumptions!D58</f>
        <v>25000</v>
      </c>
      <c r="E7" s="27">
        <f>Assumptions!D58</f>
        <v>25000</v>
      </c>
      <c r="F7" s="27">
        <f>Assumptions!D58</f>
        <v>25000</v>
      </c>
      <c r="G7" s="27">
        <f>Assumptions!D58</f>
        <v>25000</v>
      </c>
    </row>
    <row r="8" spans="2:7" x14ac:dyDescent="0.25">
      <c r="B8" s="25" t="s">
        <v>134</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135</v>
      </c>
      <c r="C9" s="29">
        <f>C7+C8</f>
        <v>59064.39316601</v>
      </c>
      <c r="D9" s="29">
        <f>D7+D8</f>
        <v>59064.39316601</v>
      </c>
      <c r="E9" s="29">
        <f>E7+E8</f>
        <v>59064.39316601</v>
      </c>
      <c r="F9" s="29">
        <f>F7+F8</f>
        <v>59064.39316601</v>
      </c>
      <c r="G9" s="29">
        <f>G7+G8</f>
        <v>59064.39316601</v>
      </c>
    </row>
    <row r="11" spans="2:7" x14ac:dyDescent="0.25">
      <c r="B11" s="28" t="s">
        <v>136</v>
      </c>
      <c r="C11" s="35">
        <f>IF(C9&gt;0,C5/C9,IF(C5&gt;0,99.9,0))</f>
        <v>-1.70774068</v>
      </c>
      <c r="D11" s="35">
        <f>IF(D9&gt;0,D5/D9,IF(D5&gt;0,99.9,0))</f>
        <v>0.3525305</v>
      </c>
      <c r="E11" s="36">
        <f>IF(E9&gt;0,E5/E9,IF(E5&gt;0,99.9,0))</f>
        <v>1.26333434</v>
      </c>
      <c r="F11" s="36">
        <f>IF(F9&gt;0,F5/F9,IF(F5&gt;0,99.9,0))</f>
        <v>1.87167088</v>
      </c>
      <c r="G11" s="35">
        <f>IF(G9&gt;0,G5/G9,IF(G5&gt;0,99.9,0))</f>
        <v>0.38568409</v>
      </c>
    </row>
    <row r="13" spans="2:7" x14ac:dyDescent="0.25">
      <c r="B13" s="25" t="s">
        <v>137</v>
      </c>
      <c r="C13" s="27">
        <f>C5-C9</f>
        <v>-159931.05983267</v>
      </c>
      <c r="D13" s="27">
        <f>D5-D9</f>
        <v>-38242.39316601</v>
      </c>
      <c r="E13" s="27">
        <f>E5-E9</f>
        <v>15553.68283399</v>
      </c>
      <c r="F13" s="27">
        <f>F5-F9</f>
        <v>51484.71153726</v>
      </c>
      <c r="G13" s="27">
        <f>G5-G9</f>
        <v>-36284.19622955</v>
      </c>
    </row>
    <row r="14" spans="2:7" x14ac:dyDescent="0.25">
      <c r="B14" s="28" t="s">
        <v>138</v>
      </c>
      <c r="C14" s="33">
        <f>C5-C9</f>
        <v>-159931.05983267</v>
      </c>
      <c r="D14" s="33">
        <f>D5-D9</f>
        <v>-38242.39316601</v>
      </c>
      <c r="E14" s="33">
        <f>E5-E9</f>
        <v>15553.68283399</v>
      </c>
      <c r="F14" s="33">
        <f>F5-F9</f>
        <v>51484.71153726</v>
      </c>
      <c r="G14" s="33">
        <f>G5-G9</f>
        <v>-36284.19622955</v>
      </c>
    </row>
    <row r="16" spans="2:7" x14ac:dyDescent="0.25">
      <c r="B16" s="28" t="s">
        <v>139</v>
      </c>
      <c r="C16" s="30">
        <f>C4+C14</f>
        <v>-84931.05983267</v>
      </c>
      <c r="D16" s="30">
        <f>D4+D14</f>
        <v>-123173.45299868</v>
      </c>
      <c r="E16" s="30">
        <f>E4+E14</f>
        <v>-107619.77016469</v>
      </c>
      <c r="F16" s="30">
        <f>F4+F14</f>
        <v>-56135.05862743</v>
      </c>
      <c r="G16" s="30">
        <f>G4+G14</f>
        <v>-92419.25485698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12</v>
      </c>
      <c r="E4" s="26">
        <f>Drivers!E12</f>
        <v>15</v>
      </c>
      <c r="F4" s="26">
        <f>Drivers!F12</f>
        <v>17</v>
      </c>
      <c r="G4" s="26">
        <f>Drivers!G12</f>
        <v>19</v>
      </c>
    </row>
    <row r="5" spans="2:7" x14ac:dyDescent="0.25">
      <c r="B5" s="25" t="s">
        <v>142</v>
      </c>
      <c r="C5" s="26">
        <f>Assumptions!D35</f>
        <v>4</v>
      </c>
      <c r="D5" s="26">
        <f>Assumptions!D36</f>
        <v>4</v>
      </c>
      <c r="E5" s="26">
        <f>Assumptions!D37</f>
        <v>4</v>
      </c>
      <c r="F5" s="26">
        <f>Assumptions!D38</f>
        <v>4</v>
      </c>
      <c r="G5" s="26">
        <f>Assumptions!D39</f>
        <v>4</v>
      </c>
    </row>
    <row r="6" spans="2:7" x14ac:dyDescent="0.25">
      <c r="B6" s="28" t="s">
        <v>143</v>
      </c>
      <c r="C6" s="37">
        <f>C4+C5</f>
        <v>14</v>
      </c>
      <c r="D6" s="37">
        <f>D4+D5</f>
        <v>16</v>
      </c>
      <c r="E6" s="37">
        <f>E4+E5</f>
        <v>19</v>
      </c>
      <c r="F6" s="37">
        <f>F4+F5</f>
        <v>21</v>
      </c>
      <c r="G6" s="37">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250000</v>
      </c>
    </row>
    <row r="4" spans="2:3" x14ac:dyDescent="0.25">
      <c r="B4" s="25" t="s">
        <v>146</v>
      </c>
      <c r="C4" s="32">
        <f>Assumptions!D60</f>
        <v>0.065</v>
      </c>
    </row>
    <row r="5" spans="2:3" x14ac:dyDescent="0.25">
      <c r="B5" s="25" t="s">
        <v>94</v>
      </c>
      <c r="C5" s="26">
        <f>Assumptions!D61</f>
        <v>10</v>
      </c>
    </row>
    <row r="6" spans="2:3" x14ac:dyDescent="0.25">
      <c r="B6" s="25" t="s">
        <v>147</v>
      </c>
      <c r="C6" s="33">
        <f>IF(Assumptions!D59&gt;0,PMT(Assumptions!D60/12,Assumptions!D61*12,-Assumptions!D59)*12,0)</f>
        <v>34064.39316601</v>
      </c>
    </row>
    <row r="8" spans="2:3" x14ac:dyDescent="0.25">
      <c r="B8" s="25" t="s">
        <v>148</v>
      </c>
      <c r="C8" s="35">
        <f>'Cash Flow &amp; DSCR'!C11</f>
        <v>-1.70774068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150</v>
      </c>
      <c r="C6" s="25">
        <f>Assumptions!D8</f>
        <v>2023</v>
      </c>
    </row>
    <row r="8" spans="2:3" x14ac:dyDescent="0.25">
      <c r="B8" s="25" t="s">
        <v>57</v>
      </c>
      <c r="C8" s="26">
        <f>Assumptions!D16</f>
        <v>200</v>
      </c>
    </row>
    <row r="9" spans="2:3" x14ac:dyDescent="0.25">
      <c r="B9" s="25" t="s">
        <v>151</v>
      </c>
      <c r="C9" s="27">
        <f>Drivers!G10</f>
        <v>2145936.2104</v>
      </c>
    </row>
    <row r="10" spans="2:3" x14ac:dyDescent="0.25">
      <c r="B10" s="25" t="s">
        <v>152</v>
      </c>
      <c r="C10" s="38">
        <f>'5-Year P&amp;L'!G16</f>
        <v>22780.19693646</v>
      </c>
    </row>
    <row r="12" ht="24" customHeight="1" spans="2:3" x14ac:dyDescent="0.25">
      <c r="B12" s="39" t="s">
        <v>153</v>
      </c>
      <c r="C12" s="23"/>
    </row>
    <row r="13" spans="2:3" x14ac:dyDescent="0.25">
      <c r="B13" s="25" t="s">
        <v>154</v>
      </c>
      <c r="C13" s="40">
        <f>IF(Drivers!G10&gt;0,'5-Year P&amp;L'!G21/Drivers!G10,0)</f>
        <v>-0.01690833</v>
      </c>
    </row>
    <row r="14" spans="2:3" x14ac:dyDescent="0.25">
      <c r="B14" s="25" t="s">
        <v>155</v>
      </c>
      <c r="C14" s="32">
        <f>IF(Drivers!G10&gt;0,Drivers!G16/Drivers!G10,0)</f>
        <v>0.66686369</v>
      </c>
    </row>
    <row r="15" spans="2:3" x14ac:dyDescent="0.25">
      <c r="B15" s="25" t="s">
        <v>156</v>
      </c>
      <c r="C15" s="27">
        <f>IF(Assumptions!D16&gt;0,Drivers!G10/Assumptions!D16,0)</f>
        <v>10730</v>
      </c>
    </row>
    <row r="16" spans="2:3" x14ac:dyDescent="0.25">
      <c r="B16" s="25" t="s">
        <v>157</v>
      </c>
      <c r="C16" s="27">
        <f>IF(Assumptions!D16&gt;0,('5-Year P&amp;L'!G12+'5-Year P&amp;L'!G13)/Assumptions!D16,0)</f>
        <v>10616</v>
      </c>
    </row>
    <row r="17" spans="2:3" x14ac:dyDescent="0.25">
      <c r="B17" s="25" t="s">
        <v>158</v>
      </c>
      <c r="C17" s="35">
        <f>'Cash Flow &amp; DSCR'!C11</f>
        <v>-1.70774068</v>
      </c>
    </row>
    <row r="18" spans="2:3" x14ac:dyDescent="0.25">
      <c r="B18" s="25" t="s">
        <v>159</v>
      </c>
      <c r="C18" s="35">
        <f>'Cash Flow &amp; DSCR'!G11</f>
        <v>0.38568409</v>
      </c>
    </row>
    <row r="19" spans="2:3" x14ac:dyDescent="0.25">
      <c r="B19" s="25" t="s">
        <v>160</v>
      </c>
      <c r="C19" s="41">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2" t="s">
        <v>163</v>
      </c>
      <c r="C2" s="42"/>
      <c r="D2" s="42"/>
      <c r="E2" s="42"/>
      <c r="F2" s="42"/>
      <c r="G2" s="42"/>
      <c r="H2" s="42"/>
    </row>
    <row r="4" ht="30" customHeight="1" spans="2:8" x14ac:dyDescent="0.25">
      <c r="B4" s="43" t="s">
        <v>164</v>
      </c>
      <c r="C4" s="43"/>
      <c r="D4" s="43"/>
      <c r="E4" s="43"/>
      <c r="F4" s="43"/>
      <c r="G4" s="43"/>
      <c r="H4" s="4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4" t="s">
        <v>166</v>
      </c>
      <c r="D4" s="45" t="s">
        <v>167</v>
      </c>
      <c r="F4" s="46" t="s">
        <v>168</v>
      </c>
    </row>
    <row r="6" ht="24" customHeight="1" spans="2:8" x14ac:dyDescent="0.25">
      <c r="B6" s="47" t="s">
        <v>169</v>
      </c>
      <c r="C6" s="48" t="s">
        <v>96</v>
      </c>
      <c r="D6" s="48" t="s">
        <v>97</v>
      </c>
      <c r="E6" s="48" t="s">
        <v>98</v>
      </c>
      <c r="F6" s="48" t="s">
        <v>99</v>
      </c>
      <c r="G6" s="48" t="s">
        <v>100</v>
      </c>
      <c r="H6" s="48" t="s">
        <v>170</v>
      </c>
    </row>
    <row r="7" spans="2:7" x14ac:dyDescent="0.25">
      <c r="B7" s="25" t="s">
        <v>101</v>
      </c>
      <c r="C7" s="26">
        <v>100</v>
      </c>
      <c r="D7" s="26">
        <v>130</v>
      </c>
      <c r="E7" s="26">
        <v>160</v>
      </c>
      <c r="F7" s="26">
        <v>185</v>
      </c>
      <c r="G7" s="26">
        <v>200</v>
      </c>
    </row>
    <row r="8" spans="2:7" x14ac:dyDescent="0.25">
      <c r="B8" s="25" t="s">
        <v>171</v>
      </c>
      <c r="C8" s="27">
        <v>995000</v>
      </c>
      <c r="D8" s="27">
        <v>1306880</v>
      </c>
      <c r="E8" s="27">
        <v>1636644.8</v>
      </c>
      <c r="F8" s="27">
        <v>1934821.354</v>
      </c>
      <c r="G8" s="27">
        <v>2145936.2104</v>
      </c>
    </row>
    <row r="9" spans="2:7" x14ac:dyDescent="0.25">
      <c r="B9" s="25" t="s">
        <v>172</v>
      </c>
      <c r="C9" s="27">
        <v>824466.6666666666</v>
      </c>
      <c r="D9" s="27">
        <v>951514</v>
      </c>
      <c r="E9" s="27">
        <v>1138133.52</v>
      </c>
      <c r="F9" s="27">
        <v>1280821.7409333333</v>
      </c>
      <c r="G9" s="27">
        <v>1431046.934954667</v>
      </c>
    </row>
    <row r="10" spans="2:7" x14ac:dyDescent="0.25">
      <c r="B10" s="25" t="s">
        <v>173</v>
      </c>
      <c r="C10" s="27">
        <v>271400</v>
      </c>
      <c r="D10" s="27">
        <v>334544</v>
      </c>
      <c r="E10" s="27">
        <v>423893.20399999997</v>
      </c>
      <c r="F10" s="27">
        <v>543450.5083634</v>
      </c>
      <c r="G10" s="27">
        <v>692109.0785088772</v>
      </c>
    </row>
    <row r="11" spans="2:7" x14ac:dyDescent="0.25">
      <c r="B11" s="25" t="s">
        <v>174</v>
      </c>
      <c r="C11" s="27">
        <v>59064.39316600799</v>
      </c>
      <c r="D11" s="27">
        <v>59064.39316600799</v>
      </c>
      <c r="E11" s="27">
        <v>59064.39316600799</v>
      </c>
      <c r="F11" s="27">
        <v>59064.39316600799</v>
      </c>
      <c r="G11" s="27">
        <v>59064.39316600799</v>
      </c>
    </row>
    <row r="12" spans="2:7" x14ac:dyDescent="0.25">
      <c r="B12" s="28" t="s">
        <v>126</v>
      </c>
      <c r="C12" s="30">
        <v>-159931.0598326745</v>
      </c>
      <c r="D12" s="30">
        <v>-38242.39316600799</v>
      </c>
      <c r="E12" s="31">
        <v>15553.682833992127</v>
      </c>
      <c r="F12" s="31">
        <v>51484.71153725888</v>
      </c>
      <c r="G12" s="30">
        <v>-36284.19622955197</v>
      </c>
    </row>
    <row r="13" spans="2:7" x14ac:dyDescent="0.25">
      <c r="B13" s="28" t="s">
        <v>139</v>
      </c>
      <c r="C13" s="30">
        <v>-84931.05983267451</v>
      </c>
      <c r="D13" s="30">
        <v>-123173.45299868251</v>
      </c>
      <c r="E13" s="30">
        <v>-107619.77016469039</v>
      </c>
      <c r="F13" s="30">
        <v>-56135.05862743151</v>
      </c>
      <c r="G13" s="30">
        <v>-92419.25485698348</v>
      </c>
    </row>
    <row r="14" spans="2:7" x14ac:dyDescent="0.25">
      <c r="B14" s="28" t="s">
        <v>127</v>
      </c>
      <c r="C14" s="49">
        <v>-0.1607347335001754</v>
      </c>
      <c r="D14" s="49">
        <v>-0.029262360098867523</v>
      </c>
      <c r="E14" s="50">
        <v>0.009503395504016587</v>
      </c>
      <c r="F14" s="50">
        <v>0.026609542752265323</v>
      </c>
      <c r="G14" s="49">
        <v>-0.016908329359328268</v>
      </c>
    </row>
    <row r="15" spans="2:8" x14ac:dyDescent="0.25">
      <c r="B15" s="28" t="s">
        <v>175</v>
      </c>
      <c r="C15" s="51">
        <v>9950</v>
      </c>
      <c r="D15" s="52">
        <v>10052.923076923076</v>
      </c>
      <c r="E15" s="52">
        <v>10229.03</v>
      </c>
      <c r="F15" s="52">
        <v>10458.493805405406</v>
      </c>
      <c r="G15" s="52">
        <v>10729.681052000002</v>
      </c>
      <c r="H15" s="53" t="s">
        <v>176</v>
      </c>
    </row>
    <row r="16" spans="2:7" x14ac:dyDescent="0.25">
      <c r="B16" s="28" t="s">
        <v>177</v>
      </c>
      <c r="C16" s="33">
        <v>11549.310598326745</v>
      </c>
      <c r="D16" s="33">
        <v>10347.095332046214</v>
      </c>
      <c r="E16" s="33">
        <v>10131.819482287548</v>
      </c>
      <c r="F16" s="33">
        <v>10180.198067366167</v>
      </c>
      <c r="G16" s="33">
        <v>10911.102033147761</v>
      </c>
    </row>
    <row r="17" spans="2:7" x14ac:dyDescent="0.25">
      <c r="B17" s="25" t="s">
        <v>178</v>
      </c>
      <c r="C17" s="27">
        <v>600</v>
      </c>
      <c r="D17" s="27">
        <v>803.4</v>
      </c>
      <c r="E17" s="27">
        <v>1075.7526</v>
      </c>
      <c r="F17" s="27">
        <v>1440.4327313999997</v>
      </c>
      <c r="G17" s="27">
        <v>1928.7394273446</v>
      </c>
    </row>
    <row r="18" spans="2:8" x14ac:dyDescent="0.25">
      <c r="B18" s="25" t="s">
        <v>179</v>
      </c>
      <c r="C18" s="52">
        <v>1364</v>
      </c>
      <c r="D18" s="52">
        <v>1080.7076923076922</v>
      </c>
      <c r="E18" s="52">
        <v>904.4172499999999</v>
      </c>
      <c r="F18" s="52">
        <v>805.6646637837837</v>
      </c>
      <c r="G18" s="52">
        <v>767.5970084200001</v>
      </c>
      <c r="H18" s="53" t="s">
        <v>180</v>
      </c>
    </row>
    <row r="19" spans="2:7" x14ac:dyDescent="0.25">
      <c r="B19" s="28" t="s">
        <v>181</v>
      </c>
      <c r="C19" s="54">
        <v>-1599.310598326745</v>
      </c>
      <c r="D19" s="54">
        <v>-294.17225512313837</v>
      </c>
      <c r="E19" s="38">
        <v>97.2105177124508</v>
      </c>
      <c r="F19" s="38">
        <v>278.2957380392372</v>
      </c>
      <c r="G19" s="54">
        <v>-181.42098114775985</v>
      </c>
    </row>
    <row r="20" spans="2:8" x14ac:dyDescent="0.25">
      <c r="B20" s="28" t="s">
        <v>182</v>
      </c>
      <c r="C20" s="49">
        <v>0.8286097152428811</v>
      </c>
      <c r="D20" s="49">
        <v>0.7280806194906954</v>
      </c>
      <c r="E20" s="49">
        <v>0.6954065537005952</v>
      </c>
      <c r="F20" s="49">
        <v>0.6619844970624266</v>
      </c>
      <c r="G20" s="49">
        <v>0.6668636877551553</v>
      </c>
      <c r="H20" s="53" t="s">
        <v>183</v>
      </c>
    </row>
    <row r="21" spans="2:8" x14ac:dyDescent="0.25">
      <c r="B21" s="28" t="s">
        <v>184</v>
      </c>
      <c r="C21" s="55">
        <v>0.1370854271356784</v>
      </c>
      <c r="D21" s="55">
        <v>0.10750183643486777</v>
      </c>
      <c r="E21" s="55">
        <v>0.08841671693210401</v>
      </c>
      <c r="F21" s="55">
        <v>0.07703448305026303</v>
      </c>
      <c r="G21" s="55">
        <v>0.0715395923420222</v>
      </c>
      <c r="H21" s="53" t="s">
        <v>185</v>
      </c>
    </row>
    <row r="22" spans="2:8" x14ac:dyDescent="0.25">
      <c r="B22" s="28" t="s">
        <v>124</v>
      </c>
      <c r="C22" s="49">
        <v>-0.10137353433835843</v>
      </c>
      <c r="D22" s="50">
        <v>0.015932602840352597</v>
      </c>
      <c r="E22" s="50">
        <v>0.04559210159712117</v>
      </c>
      <c r="F22" s="50">
        <v>0.057136595311355426</v>
      </c>
      <c r="G22" s="50">
        <v>0.010615505170216507</v>
      </c>
      <c r="H22" s="53" t="s">
        <v>186</v>
      </c>
    </row>
    <row r="23" spans="2:8" x14ac:dyDescent="0.25">
      <c r="B23" s="28" t="s">
        <v>187</v>
      </c>
      <c r="C23" s="56">
        <v>3</v>
      </c>
      <c r="D23" s="56">
        <v>3</v>
      </c>
      <c r="E23" s="56">
        <v>3</v>
      </c>
      <c r="F23" s="56">
        <v>3</v>
      </c>
      <c r="G23" s="56">
        <v>3</v>
      </c>
      <c r="H23" s="53" t="s">
        <v>188</v>
      </c>
    </row>
    <row r="24" spans="2:8" x14ac:dyDescent="0.25">
      <c r="B24" s="28" t="s">
        <v>189</v>
      </c>
      <c r="C24" s="57">
        <v>-1.7077406752181137</v>
      </c>
      <c r="D24" s="57">
        <v>0.35253049906865414</v>
      </c>
      <c r="E24" s="58">
        <v>1.2633343373269994</v>
      </c>
      <c r="F24" s="58">
        <v>1.871670879484945</v>
      </c>
      <c r="G24" s="57">
        <v>0.38568409350163607</v>
      </c>
      <c r="H24" s="53" t="s">
        <v>190</v>
      </c>
    </row>
    <row r="25" spans="2:8" x14ac:dyDescent="0.25">
      <c r="B25" s="28" t="s">
        <v>191</v>
      </c>
      <c r="C25" s="59" t="str">
        <f>IF('5-Year P&amp;L'!C24&gt;=0,"✓ Break-even","")</f>
        <v>0</v>
      </c>
      <c r="D25" s="59" t="str">
        <f>IF(AND('5-Year P&amp;L'!D24&gt;=0,'5-Year P&amp;L'!C24&lt;0),"✓ Break-even","")</f>
        <v>0</v>
      </c>
      <c r="E25" s="59" t="str">
        <f>IF(AND('5-Year P&amp;L'!E24&gt;=0,'5-Year P&amp;L'!D24&lt;0),"✓ Break-even","")</f>
        <v>0</v>
      </c>
      <c r="F25" s="59" t="str">
        <f>IF(AND('5-Year P&amp;L'!F24&gt;=0,'5-Year P&amp;L'!E24&lt;0),"✓ Break-even","")</f>
        <v>0</v>
      </c>
      <c r="G25" s="59" t="str">
        <f>IF(AND('5-Year P&amp;L'!G24&gt;=0,'5-Year P&amp;L'!F24&lt;0),"✓ Break-even","")</f>
        <v>0</v>
      </c>
      <c r="H25" s="53" t="s">
        <v>96</v>
      </c>
    </row>
    <row r="26" spans="2:8" x14ac:dyDescent="0.25">
      <c r="B26" s="28" t="s">
        <v>192</v>
      </c>
      <c r="C26" s="60">
        <v>-1</v>
      </c>
      <c r="D26" s="60">
        <v>-1</v>
      </c>
      <c r="E26" s="60">
        <v>-1</v>
      </c>
      <c r="F26" s="60">
        <v>0</v>
      </c>
      <c r="G26" s="60">
        <v>-1</v>
      </c>
      <c r="H26" s="53" t="s">
        <v>193</v>
      </c>
    </row>
    <row r="27" spans="2:8" x14ac:dyDescent="0.25">
      <c r="B27" s="28" t="s">
        <v>194</v>
      </c>
      <c r="C27" s="60">
        <v>0</v>
      </c>
      <c r="D27" s="60">
        <v>0</v>
      </c>
      <c r="E27" s="60">
        <v>0</v>
      </c>
      <c r="F27" s="60">
        <v>0</v>
      </c>
      <c r="G27" s="60">
        <v>0</v>
      </c>
      <c r="H27" s="53" t="s">
        <v>195</v>
      </c>
    </row>
    <row r="29" ht="24" customHeight="1" spans="2:8" x14ac:dyDescent="0.25">
      <c r="B29" s="47" t="s">
        <v>196</v>
      </c>
      <c r="C29" s="47" t="s">
        <v>197</v>
      </c>
      <c r="D29" s="47" t="s">
        <v>198</v>
      </c>
      <c r="E29" s="47"/>
      <c r="F29" s="47" t="s">
        <v>199</v>
      </c>
      <c r="G29" s="47"/>
      <c r="H29" s="47"/>
    </row>
    <row r="30" ht="45" customHeight="1" spans="2:8" x14ac:dyDescent="0.25">
      <c r="B30" s="61" t="s">
        <v>200</v>
      </c>
      <c r="C30" s="62" t="s">
        <v>201</v>
      </c>
      <c r="D30" s="63" t="s">
        <v>202</v>
      </c>
      <c r="E30" s="63"/>
      <c r="F30" s="64" t="s">
        <v>203</v>
      </c>
      <c r="G30" s="64"/>
      <c r="H30" s="64"/>
    </row>
    <row r="31" ht="45" customHeight="1" spans="2:8" x14ac:dyDescent="0.25">
      <c r="B31" s="61" t="s">
        <v>204</v>
      </c>
      <c r="C31" s="62" t="s">
        <v>201</v>
      </c>
      <c r="D31" s="63" t="s">
        <v>205</v>
      </c>
      <c r="E31" s="63"/>
      <c r="F31" s="64" t="s">
        <v>206</v>
      </c>
      <c r="G31" s="64"/>
      <c r="H31" s="64"/>
    </row>
    <row r="32" ht="45" customHeight="1" spans="2:8" x14ac:dyDescent="0.25">
      <c r="B32" s="61" t="s">
        <v>207</v>
      </c>
      <c r="C32" s="62" t="s">
        <v>201</v>
      </c>
      <c r="D32" s="63" t="s">
        <v>208</v>
      </c>
      <c r="E32" s="63"/>
      <c r="F32" s="64" t="s">
        <v>209</v>
      </c>
      <c r="G32" s="64"/>
      <c r="H32" s="64"/>
    </row>
    <row r="33" ht="45" customHeight="1" spans="2:8" x14ac:dyDescent="0.25">
      <c r="B33" s="61" t="s">
        <v>210</v>
      </c>
      <c r="C33" s="65" t="s">
        <v>211</v>
      </c>
      <c r="D33" s="63" t="s">
        <v>212</v>
      </c>
      <c r="E33" s="63"/>
      <c r="F33" s="64" t="s">
        <v>213</v>
      </c>
      <c r="G33" s="64"/>
      <c r="H33" s="64"/>
    </row>
    <row r="34" ht="45" customHeight="1" spans="2:8" x14ac:dyDescent="0.25">
      <c r="B34" s="61" t="s">
        <v>214</v>
      </c>
      <c r="C34" s="62" t="s">
        <v>201</v>
      </c>
      <c r="D34" s="63" t="s">
        <v>215</v>
      </c>
      <c r="E34" s="63"/>
      <c r="F34" s="64" t="s">
        <v>216</v>
      </c>
      <c r="G34" s="64"/>
      <c r="H34" s="64"/>
    </row>
    <row r="35" ht="45" customHeight="1" spans="2:8" x14ac:dyDescent="0.25">
      <c r="B35" s="61" t="s">
        <v>217</v>
      </c>
      <c r="C35" s="65" t="s">
        <v>211</v>
      </c>
      <c r="D35" s="63" t="s">
        <v>218</v>
      </c>
      <c r="E35" s="63"/>
      <c r="F35" s="64" t="s">
        <v>219</v>
      </c>
      <c r="G35" s="64"/>
      <c r="H35" s="64"/>
    </row>
    <row r="36" ht="45" customHeight="1" spans="2:8" x14ac:dyDescent="0.25">
      <c r="B36" s="61" t="s">
        <v>220</v>
      </c>
      <c r="C36" s="62" t="s">
        <v>201</v>
      </c>
      <c r="D36" s="63" t="s">
        <v>221</v>
      </c>
      <c r="E36" s="63"/>
      <c r="F36" s="64" t="s">
        <v>222</v>
      </c>
      <c r="G36" s="64"/>
      <c r="H36" s="64"/>
    </row>
    <row r="38" spans="2:6" x14ac:dyDescent="0.25">
      <c r="B38" s="61" t="s">
        <v>39</v>
      </c>
      <c r="C38" s="28" t="s">
        <v>223</v>
      </c>
      <c r="D38" s="28"/>
      <c r="E38" s="28"/>
      <c r="F38" s="28"/>
    </row>
    <row r="40" spans="2:8" x14ac:dyDescent="0.25">
      <c r="B40" s="66" t="s">
        <v>224</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