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'Revenue'!$A1:$N6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<sst xmlns="http://schemas.openxmlformats.org/spreadsheetml/2006/main" count="88" uniqueCount="46">
  <si>
    <t>Year 1 Budget Assumptions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</si>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</sst>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12</v>
      </c>
    </row>
    <row r="8" spans="1:2" x14ac:dyDescent="0.25">
      <c r="A8" s="2" t="s">
        <v>7</v>
      </c>
      <c r="B8" s="4">
        <v>0.03</v>
      </c>
    </row>
    <row r="9" spans="1:2" x14ac:dyDescent="0.25">
      <c r="A9" s="2" t="s">
        <v>8</v>
      </c>
      <c r="B9" s="4">
        <v>0.025</v>
      </c>
    </row>
    <row r="10" spans="1:2" x14ac:dyDescent="0.25">
      <c r="A10" s="2" t="s">
        <v>9</v>
      </c>
      <c r="B10" s="5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6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14400</v>
      </c>
      <c r="C2" s="7">
        <v>14400</v>
      </c>
      <c r="D2" s="7">
        <v>14400</v>
      </c>
      <c r="E2" s="7">
        <v>14400</v>
      </c>
      <c r="F2" s="7">
        <v>14400</v>
      </c>
      <c r="G2" s="7">
        <v>14400</v>
      </c>
      <c r="H2" s="7">
        <v>14400</v>
      </c>
      <c r="I2" s="7">
        <v>14400</v>
      </c>
      <c r="J2" s="7">
        <v>14400</v>
      </c>
      <c r="K2" s="7">
        <v>14400</v>
      </c>
      <c r="L2" s="7">
        <v>0</v>
      </c>
      <c r="M2" s="7">
        <v>0</v>
      </c>
      <c r="N2" s="7">
        <f>SUM(B2:M2)</f>
        <v>120000</v>
      </c>
    </row>
    <row r="3" spans="1:14" x14ac:dyDescent="0.25">
      <c r="A3" s="2" t="s">
        <v>25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2500</v>
      </c>
    </row>
    <row r="4" spans="1:14" x14ac:dyDescent="0.25">
      <c r="A4" s="2" t="s">
        <v>26</v>
      </c>
      <c r="B4" s="7">
        <v>8400</v>
      </c>
      <c r="C4" s="7">
        <v>8400</v>
      </c>
      <c r="D4" s="7">
        <v>8400</v>
      </c>
      <c r="E4" s="7">
        <v>8400</v>
      </c>
      <c r="F4" s="7">
        <v>8400</v>
      </c>
      <c r="G4" s="7">
        <v>8400</v>
      </c>
      <c r="H4" s="7">
        <v>8400</v>
      </c>
      <c r="I4" s="7">
        <v>8400</v>
      </c>
      <c r="J4" s="7">
        <v>8400</v>
      </c>
      <c r="K4" s="7">
        <v>8400</v>
      </c>
      <c r="L4" s="7">
        <v>0</v>
      </c>
      <c r="M4" s="7">
        <v>0</v>
      </c>
      <c r="N4" s="7">
        <f>SUM(B4:M4)</f>
        <v>70000</v>
      </c>
    </row>
    <row r="5" spans="1:14" x14ac:dyDescent="0.25">
      <c r="A5" s="2" t="s">
        <v>27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4167</v>
      </c>
    </row>
    <row r="6" ht="24" customHeight="1" spans="1:14" x14ac:dyDescent="0.25">
      <c r="A6" s="1" t="s">
        <v>28</v>
      </c>
      <c r="B6" s="8">
        <f>SUM(B2:B5)</f>
        <v>155900</v>
      </c>
      <c r="C6" s="8">
        <f>SUM(C2:C5)</f>
        <v>8900</v>
      </c>
      <c r="D6" s="8">
        <f>SUM(D2:D5)</f>
        <v>8900</v>
      </c>
      <c r="E6" s="8">
        <f>SUM(E2:E5)</f>
        <v>8900</v>
      </c>
      <c r="F6" s="8">
        <f>SUM(F2:F5)</f>
        <v>8900</v>
      </c>
      <c r="G6" s="8">
        <f>SUM(G2:G5)</f>
        <v>8900</v>
      </c>
      <c r="H6" s="8">
        <f>SUM(H2:H5)</f>
        <v>8900</v>
      </c>
      <c r="I6" s="8">
        <f>SUM(I2:I5)</f>
        <v>8900</v>
      </c>
      <c r="J6" s="8">
        <f>SUM(J2:J5)</f>
        <v>8900</v>
      </c>
      <c r="K6" s="8">
        <f>SUM(K2:K5)</f>
        <v>8900</v>
      </c>
      <c r="L6" s="8" t="str">
        <f>SUM(L2:L5)</f>
        <v>0</v>
      </c>
      <c r="M6" s="8" t="str">
        <f>SUM(M2:M5)</f>
        <v>0</v>
      </c>
      <c r="N6" s="8">
        <f>SUM(B6:M6)</f>
        <v>236000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29</v>
      </c>
      <c r="B2" s="7">
        <v>131313</v>
      </c>
      <c r="C2" s="7">
        <v>131313</v>
      </c>
      <c r="D2" s="7">
        <v>131313</v>
      </c>
      <c r="E2" s="7">
        <v>131313</v>
      </c>
      <c r="F2" s="7">
        <v>131313</v>
      </c>
      <c r="G2" s="7">
        <v>131313</v>
      </c>
      <c r="H2" s="7">
        <v>131313</v>
      </c>
      <c r="I2" s="7">
        <v>131313</v>
      </c>
      <c r="J2" s="7">
        <v>131313</v>
      </c>
      <c r="K2" s="7">
        <v>131313</v>
      </c>
      <c r="L2" s="7">
        <v>0</v>
      </c>
      <c r="M2" s="7">
        <v>0</v>
      </c>
      <c r="N2" s="7">
        <f>SUM(B2:M2)</f>
        <v>1313125</v>
      </c>
    </row>
    <row r="3" spans="1:14" x14ac:dyDescent="0.25">
      <c r="A3" s="2" t="s">
        <v>30</v>
      </c>
      <c r="B3" s="7">
        <v>107438</v>
      </c>
      <c r="C3" s="7">
        <v>107438</v>
      </c>
      <c r="D3" s="7">
        <v>107438</v>
      </c>
      <c r="E3" s="7">
        <v>107438</v>
      </c>
      <c r="F3" s="7">
        <v>107438</v>
      </c>
      <c r="G3" s="7">
        <v>107438</v>
      </c>
      <c r="H3" s="7">
        <v>107438</v>
      </c>
      <c r="I3" s="7">
        <v>107438</v>
      </c>
      <c r="J3" s="7">
        <v>107438</v>
      </c>
      <c r="K3" s="7">
        <v>107438</v>
      </c>
      <c r="L3" s="7">
        <v>0</v>
      </c>
      <c r="M3" s="7">
        <v>0</v>
      </c>
      <c r="N3" s="7">
        <f>SUM(B3:M3)</f>
        <v>1074375</v>
      </c>
    </row>
    <row r="4" spans="1:14" x14ac:dyDescent="0.25">
      <c r="A4" s="2" t="s">
        <v>31</v>
      </c>
      <c r="B4" s="7">
        <v>10092</v>
      </c>
      <c r="C4" s="7">
        <v>10092</v>
      </c>
      <c r="D4" s="7">
        <v>10092</v>
      </c>
      <c r="E4" s="7">
        <v>10092</v>
      </c>
      <c r="F4" s="7">
        <v>10092</v>
      </c>
      <c r="G4" s="7">
        <v>10092</v>
      </c>
      <c r="H4" s="7">
        <v>10092</v>
      </c>
      <c r="I4" s="7">
        <v>10092</v>
      </c>
      <c r="J4" s="7">
        <v>10092</v>
      </c>
      <c r="K4" s="7">
        <v>10092</v>
      </c>
      <c r="L4" s="7">
        <v>0</v>
      </c>
      <c r="M4" s="7">
        <v>0</v>
      </c>
      <c r="N4" s="7">
        <f>SUM(B4:M4)</f>
        <v>100917</v>
      </c>
    </row>
    <row r="5" ht="24" customHeight="1" spans="1:14" x14ac:dyDescent="0.25">
      <c r="A5" s="1" t="s">
        <v>32</v>
      </c>
      <c r="B5" s="8" t="str">
        <f>SUM(B2:B4)</f>
        <v>0</v>
      </c>
      <c r="C5" s="8" t="str">
        <f>SUM(C2:C4)</f>
        <v>0</v>
      </c>
      <c r="D5" s="8" t="str">
        <f>SUM(D2:D4)</f>
        <v>0</v>
      </c>
      <c r="E5" s="8" t="str">
        <f>SUM(E2:E4)</f>
        <v>0</v>
      </c>
      <c r="F5" s="8" t="str">
        <f>SUM(F2:F4)</f>
        <v>0</v>
      </c>
      <c r="G5" s="8" t="str">
        <f>SUM(G2:G4)</f>
        <v>0</v>
      </c>
      <c r="H5" s="8" t="str">
        <f>SUM(H2:H4)</f>
        <v>0</v>
      </c>
      <c r="I5" s="8" t="str">
        <f>SUM(I2:I4)</f>
        <v>0</v>
      </c>
      <c r="J5" s="8" t="str">
        <f>SUM(J2:J4)</f>
        <v>0</v>
      </c>
      <c r="K5" s="8" t="str">
        <f>SUM(K2:K4)</f>
        <v>0</v>
      </c>
      <c r="L5" s="8" t="str">
        <f>SUM(L2:L4)</f>
        <v>0</v>
      </c>
      <c r="M5" s="8" t="str">
        <f>SUM(M2:M4)</f>
        <v>0</v>
      </c>
      <c r="N5" s="8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33</v>
      </c>
      <c r="B2" s="7">
        <v>2500</v>
      </c>
      <c r="C2" s="7">
        <v>2500</v>
      </c>
      <c r="D2" s="7">
        <v>2500</v>
      </c>
      <c r="E2" s="7">
        <v>2500</v>
      </c>
      <c r="F2" s="7">
        <v>2500</v>
      </c>
      <c r="G2" s="7">
        <v>2500</v>
      </c>
      <c r="H2" s="7">
        <v>2500</v>
      </c>
      <c r="I2" s="7">
        <v>2500</v>
      </c>
      <c r="J2" s="7">
        <v>2500</v>
      </c>
      <c r="K2" s="7">
        <v>2500</v>
      </c>
      <c r="L2" s="7">
        <v>0</v>
      </c>
      <c r="M2" s="7">
        <v>0</v>
      </c>
      <c r="N2" s="7">
        <f>SUM(B2:M2)</f>
        <v>25000</v>
      </c>
    </row>
    <row r="3" spans="1:14" x14ac:dyDescent="0.25">
      <c r="A3" s="2" t="s">
        <v>34</v>
      </c>
      <c r="B3" s="7">
        <v>300</v>
      </c>
      <c r="C3" s="7">
        <v>300</v>
      </c>
      <c r="D3" s="7">
        <v>300</v>
      </c>
      <c r="E3" s="7">
        <v>300</v>
      </c>
      <c r="F3" s="7">
        <v>300</v>
      </c>
      <c r="G3" s="7">
        <v>300</v>
      </c>
      <c r="H3" s="7">
        <v>300</v>
      </c>
      <c r="I3" s="7">
        <v>300</v>
      </c>
      <c r="J3" s="7">
        <v>300</v>
      </c>
      <c r="K3" s="7">
        <v>300</v>
      </c>
      <c r="L3" s="7">
        <v>0</v>
      </c>
      <c r="M3" s="7">
        <v>0</v>
      </c>
      <c r="N3" s="7">
        <f>SUM(B3:M3)</f>
        <v>3000</v>
      </c>
    </row>
    <row r="4" spans="1:14" x14ac:dyDescent="0.25">
      <c r="A4" s="2" t="s">
        <v>35</v>
      </c>
      <c r="B4" s="7">
        <v>200</v>
      </c>
      <c r="C4" s="7">
        <v>200</v>
      </c>
      <c r="D4" s="7">
        <v>200</v>
      </c>
      <c r="E4" s="7">
        <v>200</v>
      </c>
      <c r="F4" s="7">
        <v>200</v>
      </c>
      <c r="G4" s="7">
        <v>200</v>
      </c>
      <c r="H4" s="7">
        <v>200</v>
      </c>
      <c r="I4" s="7">
        <v>200</v>
      </c>
      <c r="J4" s="7">
        <v>200</v>
      </c>
      <c r="K4" s="7">
        <v>200</v>
      </c>
      <c r="L4" s="7">
        <v>0</v>
      </c>
      <c r="M4" s="7">
        <v>0</v>
      </c>
      <c r="N4" s="7">
        <f>SUM(B4:M4)</f>
        <v>2000</v>
      </c>
    </row>
    <row r="5" spans="1:14" x14ac:dyDescent="0.25">
      <c r="A5" s="2" t="s">
        <v>36</v>
      </c>
      <c r="B5" s="7">
        <v>500</v>
      </c>
      <c r="C5" s="7">
        <v>500</v>
      </c>
      <c r="D5" s="7">
        <v>500</v>
      </c>
      <c r="E5" s="7">
        <v>500</v>
      </c>
      <c r="F5" s="7">
        <v>500</v>
      </c>
      <c r="G5" s="7">
        <v>500</v>
      </c>
      <c r="H5" s="7">
        <v>500</v>
      </c>
      <c r="I5" s="7">
        <v>500</v>
      </c>
      <c r="J5" s="7">
        <v>500</v>
      </c>
      <c r="K5" s="7">
        <v>500</v>
      </c>
      <c r="L5" s="7">
        <v>0</v>
      </c>
      <c r="M5" s="7">
        <v>0</v>
      </c>
      <c r="N5" s="7">
        <f>SUM(B5:M5)</f>
        <v>5000</v>
      </c>
    </row>
    <row r="6" spans="1:14" x14ac:dyDescent="0.25">
      <c r="A6" s="2" t="s">
        <v>37</v>
      </c>
      <c r="B6" s="7">
        <v>300</v>
      </c>
      <c r="C6" s="7">
        <v>300</v>
      </c>
      <c r="D6" s="7">
        <v>300</v>
      </c>
      <c r="E6" s="7">
        <v>300</v>
      </c>
      <c r="F6" s="7">
        <v>300</v>
      </c>
      <c r="G6" s="7">
        <v>300</v>
      </c>
      <c r="H6" s="7">
        <v>300</v>
      </c>
      <c r="I6" s="7">
        <v>300</v>
      </c>
      <c r="J6" s="7">
        <v>300</v>
      </c>
      <c r="K6" s="7">
        <v>300</v>
      </c>
      <c r="L6" s="7">
        <v>0</v>
      </c>
      <c r="M6" s="7">
        <v>0</v>
      </c>
      <c r="N6" s="7">
        <f>SUM(B6:M6)</f>
        <v>3000</v>
      </c>
    </row>
    <row r="7" spans="1:14" x14ac:dyDescent="0.25">
      <c r="A7" s="2" t="s">
        <v>38</v>
      </c>
      <c r="B7" s="7">
        <v>250</v>
      </c>
      <c r="C7" s="7">
        <v>250</v>
      </c>
      <c r="D7" s="7">
        <v>250</v>
      </c>
      <c r="E7" s="7">
        <v>250</v>
      </c>
      <c r="F7" s="7">
        <v>250</v>
      </c>
      <c r="G7" s="7">
        <v>250</v>
      </c>
      <c r="H7" s="7">
        <v>250</v>
      </c>
      <c r="I7" s="7">
        <v>250</v>
      </c>
      <c r="J7" s="7">
        <v>250</v>
      </c>
      <c r="K7" s="7">
        <v>250</v>
      </c>
      <c r="L7" s="7">
        <v>0</v>
      </c>
      <c r="M7" s="7">
        <v>0</v>
      </c>
      <c r="N7" s="7">
        <f>SUM(B7:M7)</f>
        <v>2500</v>
      </c>
    </row>
    <row r="8" ht="24" customHeight="1" spans="1:14" x14ac:dyDescent="0.25">
      <c r="A8" s="1" t="s">
        <v>39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40</v>
      </c>
      <c r="B2" s="10">
        <f>Revenue!B6</f>
        <v>155900</v>
      </c>
      <c r="C2" s="10">
        <f>Revenue!C6</f>
        <v>8900</v>
      </c>
      <c r="D2" s="10">
        <f>Revenue!D6</f>
        <v>8900</v>
      </c>
      <c r="E2" s="10">
        <f>Revenue!E6</f>
        <v>8900</v>
      </c>
      <c r="F2" s="10">
        <f>Revenue!F6</f>
        <v>8900</v>
      </c>
      <c r="G2" s="10">
        <f>Revenue!G6</f>
        <v>8900</v>
      </c>
      <c r="H2" s="10">
        <f>Revenue!H6</f>
        <v>8900</v>
      </c>
      <c r="I2" s="10">
        <f>Revenue!I6</f>
        <v>8900</v>
      </c>
      <c r="J2" s="10">
        <f>Revenue!J6</f>
        <v>8900</v>
      </c>
      <c r="K2" s="10">
        <f>Revenue!K6</f>
        <v>8900</v>
      </c>
      <c r="L2" s="10" t="str">
        <f>Revenue!L6</f>
        <v>0</v>
      </c>
      <c r="M2" s="10" t="str">
        <f>Revenue!M6</f>
        <v>0</v>
      </c>
      <c r="N2" s="10">
        <f>SUM(B2:M2)</f>
        <v>236000</v>
      </c>
    </row>
    <row r="3" spans="1:14" x14ac:dyDescent="0.25">
      <c r="A3" s="2" t="s">
        <v>41</v>
      </c>
      <c r="B3" s="7">
        <f>Personnel!B5</f>
        <v>11893</v>
      </c>
      <c r="C3" s="7">
        <f>Personnel!C5</f>
        <v>11893</v>
      </c>
      <c r="D3" s="7">
        <f>Personnel!D5</f>
        <v>11893</v>
      </c>
      <c r="E3" s="7">
        <f>Personnel!E5</f>
        <v>11893</v>
      </c>
      <c r="F3" s="7">
        <f>Personnel!F5</f>
        <v>11893</v>
      </c>
      <c r="G3" s="7">
        <f>Personnel!G5</f>
        <v>11893</v>
      </c>
      <c r="H3" s="7">
        <f>Personnel!H5</f>
        <v>11893</v>
      </c>
      <c r="I3" s="7">
        <f>Personnel!I5</f>
        <v>11893</v>
      </c>
      <c r="J3" s="7">
        <f>Personnel!J5</f>
        <v>11893</v>
      </c>
      <c r="K3" s="7">
        <f>Personnel!K5</f>
        <v>11893</v>
      </c>
      <c r="L3" s="7" t="str">
        <f>Personnel!L5</f>
        <v>0</v>
      </c>
      <c r="M3" s="7" t="str">
        <f>Personnel!M5</f>
        <v>0</v>
      </c>
      <c r="N3" s="7">
        <f>SUM(B3:M3)</f>
        <v>118934</v>
      </c>
    </row>
    <row r="4" spans="1:14" x14ac:dyDescent="0.25">
      <c r="A4" s="2" t="s">
        <v>42</v>
      </c>
      <c r="B4" s="7">
        <f>'Operating Expenses'!B8</f>
        <v>4050</v>
      </c>
      <c r="C4" s="7">
        <f>'Operating Expenses'!C8</f>
        <v>4050</v>
      </c>
      <c r="D4" s="7">
        <f>'Operating Expenses'!D8</f>
        <v>4050</v>
      </c>
      <c r="E4" s="7">
        <f>'Operating Expenses'!E8</f>
        <v>4050</v>
      </c>
      <c r="F4" s="7">
        <f>'Operating Expenses'!F8</f>
        <v>4050</v>
      </c>
      <c r="G4" s="7">
        <f>'Operating Expenses'!G8</f>
        <v>4050</v>
      </c>
      <c r="H4" s="7">
        <f>'Operating Expenses'!H8</f>
        <v>4050</v>
      </c>
      <c r="I4" s="7">
        <f>'Operating Expenses'!I8</f>
        <v>4050</v>
      </c>
      <c r="J4" s="7">
        <f>'Operating Expenses'!J8</f>
        <v>4050</v>
      </c>
      <c r="K4" s="7">
        <f>'Operating Expenses'!K8</f>
        <v>4050</v>
      </c>
      <c r="L4" s="7" t="str">
        <f>'Operating Expenses'!L8</f>
        <v>0</v>
      </c>
      <c r="M4" s="7" t="str">
        <f>'Operating Expenses'!M8</f>
        <v>0</v>
      </c>
      <c r="N4" s="7">
        <f>SUM(B4:M4)</f>
        <v>40500</v>
      </c>
    </row>
    <row r="5" spans="1:14" x14ac:dyDescent="0.25">
      <c r="A5" s="2" t="s">
        <v>43</v>
      </c>
      <c r="B5" s="7">
        <v>0</v>
      </c>
      <c r="C5" s="7">
        <v>0</v>
      </c>
      <c r="D5" s="7">
        <v>0</v>
      </c>
      <c r="E5" s="7">
        <v>0</v>
      </c>
      <c r="F5" s="7">
        <v>0</v>
      </c>
      <c r="G5" s="7">
        <v>0</v>
      </c>
      <c r="H5" s="7">
        <v>0</v>
      </c>
      <c r="I5" s="7">
        <v>0</v>
      </c>
      <c r="J5" s="7">
        <v>0</v>
      </c>
      <c r="K5" s="7">
        <v>0</v>
      </c>
      <c r="L5" s="7">
        <v>0</v>
      </c>
      <c r="M5" s="7">
        <v>0</v>
      </c>
      <c r="N5" s="7" t="str">
        <f>SUM(B5:M5)</f>
        <v>0</v>
      </c>
    </row>
    <row r="6" ht="24" customHeight="1" spans="1:14" x14ac:dyDescent="0.25">
      <c r="A6" s="1" t="s">
        <v>44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159434</v>
      </c>
    </row>
    <row r="7" spans="1:14" x14ac:dyDescent="0.25">
      <c r="A7" s="9" t="s">
        <v>45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37233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2026-03-18T03:10:33Z</dcterms:created>
  <dcterms:modified xsi:type="dcterms:W3CDTF">2026-03-18T03:10:33Z</dcterms:modified>
</cp:coreProperties>
</file>