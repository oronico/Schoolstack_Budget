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ver" state="visible" r:id="rId5"/>
    <sheet sheetId="3" name="Assumptions" state="visible" r:id="rId6"/>
    <sheet sheetId="4" name="Drivers" state="visible" r:id="rId7"/>
    <sheet sheetId="5" name="5-Year P&amp;L" state="visible" r:id="rId8"/>
    <sheet sheetId="6" name="Cash Flow &amp; DSCR" state="visible" r:id="rId9"/>
    <sheet sheetId="7" name="AR &amp; Restricted Recon" state="visible" r:id="rId10"/>
    <sheet sheetId="8" name="Staffing" state="visible" r:id="rId11"/>
    <sheet sheetId="9" name="Loan Snapshot" state="visible" r:id="rId12"/>
    <sheet sheetId="10" name="Summary" state="visible" r:id="rId13"/>
    <sheet sheetId="11" name="Stress Tests" state="visible" r:id="rId14"/>
    <sheet sheetId="12" name="Decision History" state="visible" r:id="rId15"/>
    <sheet sheetId="13" name="Financial Health" state="visible" r:id="rId16"/>
  </sheets>
  <calcPr calcId="171027"/>
</workbook>
</file>

<file path=xl/sharedStrings.xml><?xml version="1.0" encoding="utf-8"?>
<sst xmlns="http://schemas.openxmlformats.org/spreadsheetml/2006/main" count="501" uniqueCount="295">
  <si>
    <t>How to Use This Workbook</t>
  </si>
  <si>
    <t>Bright Horizons Microschool</t>
  </si>
  <si>
    <t>Generated May 9, 2026 · llc_single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</si>
  <si>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</si>
  <si>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</si>
  <si>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</si>
  <si>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</si>
  <si>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</si>
  <si>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</si>
  <si>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</si>
  <si>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</si>
  <si>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Assumptions &amp; Drivers: Model inputs and calculations</t>
  </si>
  <si>
    <t>5-Year P&amp;L &amp; Cash Flow: Financial projections</t>
  </si>
  <si>
    <t>Staffing &amp; Loan Snapshot: Personnel and debt detail</t>
  </si>
  <si>
    <t>Summary &amp; Financial Health: Key metrics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</si>
  <si>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</si>
  <si>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</si>
  <si>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</si>
  <si>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</si>
  <si>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</si>
  <si>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</si>
  <si>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</si>
  <si>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</si>
  <si>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</si>
  <si>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</si>
  <si>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</si>
  <si>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</si>
  <si>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</si>
  <si>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</si>
  <si>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</si>
  <si>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SCHOOLSTACK BUDGET</t>
  </si>
  <si>
    <t>Lender-Ready Pro Forma</t>
  </si>
  <si>
    <t>TABLE OF CONTENTS</t>
  </si>
  <si>
    <t>Assumptions</t>
  </si>
  <si>
    <t>Drivers</t>
  </si>
  <si>
    <t>5-Year P&amp;L</t>
  </si>
  <si>
    <t>Cash Flow &amp; DSCR</t>
  </si>
  <si>
    <t>Staffing</t>
  </si>
  <si>
    <t>Loan Snapshot</t>
  </si>
  <si>
    <t>Summary</t>
  </si>
  <si>
    <t>Generated May 9, 2026</t>
  </si>
  <si>
    <t>Generated by SchoolStack Budget  •  budget.schoolstack.ai</t>
  </si>
  <si>
    <t>SchoolStack Budget - Lender Pro Forma Assumptions</t>
  </si>
  <si>
    <t>Editable assumption — change this value</t>
  </si>
  <si>
    <t>Calculated — driven by formula</t>
  </si>
  <si>
    <t>SCHOOL PROFILE</t>
  </si>
  <si>
    <t>School Name</t>
  </si>
  <si>
    <t>State</t>
  </si>
  <si>
    <t>AZ</t>
  </si>
  <si>
    <t>School Type</t>
  </si>
  <si>
    <t>Microschool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</si>
  <si>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</si>
  <si>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</si>
  <si>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</si>
  <si>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</si>
  <si>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</si>
  <si>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</si>
  <si>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</si>
  <si>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</si>
  <si>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</si>
  <si>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</si>
  <si>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</si>
  <si>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</si>
  <si>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</si>
  <si>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</si>
  <si>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</si>
  <si>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</si>
  <si>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</si>
  <si>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</si>
  <si>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</si>
  <si>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</si>
  <si>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</si>
  <si>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- Year 1</t>
  </si>
  <si>
    <t>Admin FTE - Year 2</t>
  </si>
  <si>
    <t>Admin FTE - Year 3</t>
  </si>
  <si>
    <t>Admin FTE - Year 4</t>
  </si>
  <si>
    <t>Admin FTE -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</si>
  <si>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</si>
  <si>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</si>
  <si>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</si>
  <si>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</si>
  <si>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</si>
  <si>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</si>
  <si>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</si>
  <si>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</si>
  <si>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</si>
  <si>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</si>
  <si>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</si>
  <si>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</si>
  <si>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</si>
  <si>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</si>
  <si>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</si>
  <si>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</si>
  <si>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</si>
  <si>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</si>
  <si>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</si>
  <si>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</si>
  <si>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</si>
  <si>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</si>
  <si>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</si>
  <si>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</si>
  <si>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</si>
  <si>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</si>
  <si>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</si>
  <si>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</si>
  <si>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</si>
  <si>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</si>
  <si>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</si>
  <si>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</si>
  <si>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</si>
  <si>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</si>
  <si>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</si>
  <si>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</si>
  <si>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</si>
  <si>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</si>
  <si>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</si>
  <si>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</si>
  <si>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</si>
  <si>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</si>
  <si>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</si>
  <si>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</si>
  <si>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</si>
  <si>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</si>
  <si>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</si>
  <si>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</si>
  <si>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Interest Expense</t>
  </si>
  <si>
    <t>Principal &amp; Capital Outlays</t>
  </si>
  <si>
    <t>Net Income</t>
  </si>
  <si>
    <t>Net Margin</t>
  </si>
  <si>
    <t>Cumulative Net Income</t>
  </si>
  <si>
    <t>Break-even</t>
  </si>
  <si>
    <t>Cash Flow &amp; Debt Service Coverage</t>
  </si>
  <si>
    <t>Beginning Cash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</si>
  <si>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</si>
  <si>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</si>
  <si>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</si>
  <si>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</si>
  <si>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</si>
  <si>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</si>
  <si>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Net Cash Flow</t>
  </si>
  <si>
    <t>Ending Cash</t>
  </si>
  <si>
    <t>AR Schedule &amp; Restricted-vs-Unrestricted Cash Recon</t>
  </si>
  <si>
    <t>AR = year's collected tuition × 30-day weighted delay ÷ 365. Bad debt = contracted − collected.</t>
  </si>
  <si>
    <t>Accounts Receivable Schedule</t>
  </si>
  <si>
    <t>Contracted Tuition (gross)</t>
  </si>
  <si>
    <t>Collected Tuition (cash-basis)</t>
  </si>
  <si>
    <t>Bad Debt (contracted − collected)</t>
  </si>
  <si>
    <t>Year-end AR Balance (30-day delay)</t>
  </si>
  <si>
    <t>Restricted vs Unrestricted Cash</t>
  </si>
  <si>
    <t>Total Cash Position (accrual)</t>
  </si>
  <si>
    <t>Restricted Cash (capital/program-restricted)</t>
  </si>
  <si>
    <t>Unrestricted Cash (DSCR/runway basis)</t>
  </si>
  <si>
    <t>Note: DSCR and cash-runway covenants in this packet are computed off Unrestricted Cash (row 14). Restricted gifts cannot legally service debt and are excluded from coverage tests.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</si>
  <si>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</si>
  <si>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</si>
  <si>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</si>
  <si>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</si>
  <si>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</si>
  <si>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</si>
  <si>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</si>
  <si>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</si>
  <si>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</si>
  <si>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</si>
  <si>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</si>
  <si>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</si>
  <si>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</si>
  <si>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KEY RATIOS</t>
  </si>
  <si>
    <t>Net Margin (Year 5)</t>
  </si>
  <si>
    <t>Personnel % of Revenue (Year 5)</t>
  </si>
  <si>
    <t>Revenue per Student (Year 5)</t>
  </si>
  <si>
    <t>Expense per Student (Year 5)</t>
  </si>
  <si>
    <t>DSCR (Year 1)</t>
  </si>
  <si>
    <t>DSCR (Year 5)</t>
  </si>
  <si>
    <t>Days Cash on Hand (Year 1)</t>
  </si>
  <si>
    <t>Generated by SchoolStack Budget (budget.schoolstack.ai)</t>
  </si>
  <si>
    <t>Standard Lender Stress Tests</t>
  </si>
  <si>
    <t>Five fixed downside scenarios re-run on the canonical engine. Identical figures appear on the founder dashboard, consultant view, and lender packet PDF.</t>
  </si>
  <si>
    <t>Scenario</t>
  </si>
  <si>
    <t>Metric</t>
  </si>
  <si>
    <t>Δ vs Base (Y1)</t>
  </si>
  <si>
    <t>Base Case</t>
  </si>
  <si>
    <t>Canonical engine output. All scenarios below are deltas vs this row.</t>
  </si>
  <si>
    <t>—</t>
  </si>
  <si>
    <t>DSCR</t>
  </si>
  <si>
    <t>Break-Even Students</t>
  </si>
  <si>
    <t>Cash Runway (mo)</t>
  </si>
  <si>
    <t>Break-Even Year</t>
  </si>
  <si>
    <t>Enrollment -10%</t>
  </si>
  <si>
    <t>All five enrollment years scaled down by 10% — the standard lender enrollment-miss sensitivity.</t>
  </si>
  <si>
    <t>0y</t>
  </si>
  <si>
    <t>Enrollment -20%</t>
  </si>
  <si>
    <t>All five enrollment years scaled down by 20% — the stretch downside lenders use to confirm the school can survive a soft-launch.</t>
  </si>
  <si>
    <t>+1y</t>
  </si>
  <si>
    <t>ESA / Public Funding Delayed 3 Months</t>
  </si>
  <si>
    <t>Year-1 ESA, school-choice, and public-funding receipts reduced by 25% (≈ 3 months delayed) to simulate a slow first disbursement.</t>
  </si>
  <si>
    <t>Rent Shock +25%</t>
  </si>
  <si>
    <t>Occupancy &amp; facility expense rows escalated by 25% — covers a lease renewal, market-rate reset, or unbudgeted CAM/utilities surprise.</t>
  </si>
  <si>
    <t>Founder Comp Normalized to Market</t>
  </si>
  <si>
    <t>Founder compensation re-cast at the market-rate benchmark (with benefits + payroll tax). The lender / board view of true operating cost.</t>
  </si>
  <si>
    <t>Decision History</t>
  </si>
  <si>
    <t>Track record of 5 tracked decisions (2 pursued, 1 on hold, 2 declined). Each entry shows the modeled change, the outcome the team logged, and any retrospective notes captured after the fact.</t>
  </si>
  <si>
    <t>Decision</t>
  </si>
  <si>
    <t>Type</t>
  </si>
  <si>
    <t>Outcome</t>
  </si>
  <si>
    <t>Applied to base model?</t>
  </si>
  <si>
    <t>Outcome logged</t>
  </si>
  <si>
    <t>Modeled change</t>
  </si>
  <si>
    <t>What happened (retrospective)</t>
  </si>
  <si>
    <t>Add Middle School program</t>
  </si>
  <si>
    <t>Add a program</t>
  </si>
  <si>
    <t>Pursued</t>
  </si>
  <si>
    <t>[APPLIED] Folded into the base model on Apr 12, 2025</t>
  </si>
  <si>
    <t>Apr 10, 2025</t>
  </si>
  <si>
    <t xml:space="preserve">• Program: Middle School (6-8)
• Tuition $14,000/yr
• Adds 72 cumulative students (5 yrs)
• +2 FTE</t>
  </si>
  <si>
    <t>Launched in fall 2025; enrollment hit plan within 1 student.</t>
  </si>
  <si>
    <t>Increase retention focus</t>
  </si>
  <si>
    <t>Change enrollment</t>
  </si>
  <si>
    <t>[PENDING] Pending apply to base model</t>
  </si>
  <si>
    <t>Mar 5, 2025</t>
  </si>
  <si>
    <t xml:space="preserve">• Enrollment +14 cumulative
• Retention 92%</t>
  </si>
  <si>
    <t>Retention initiatives approved; planner will reflect after Q2 board review.</t>
  </si>
  <si>
    <t>Evaluate downtown campus</t>
  </si>
  <si>
    <t>Evaluate a site</t>
  </si>
  <si>
    <t>On hold</t>
  </si>
  <si>
    <t>Mar 25, 2025</t>
  </si>
  <si>
    <t xml:space="preserve">• Rent $8,500/mo
• Rent escalation 4%
• Sqft +1500
• Fit-out $75,000 (Y1)</t>
  </si>
  <si>
    <t>Landlord negotiations paused while waiting on city zoning ruling.</t>
  </si>
  <si>
    <t>Reduce K cohort</t>
  </si>
  <si>
    <t>Declined</t>
  </si>
  <si>
    <t>Mar 15, 2025</t>
  </si>
  <si>
    <t xml:space="preserve">• Enrollment -8 cumulative
• Tuition -$500/student</t>
  </si>
  <si>
    <t>Board declined; enrollment goals retained as originally modeled.</t>
  </si>
  <si>
    <t>Move to larger building</t>
  </si>
  <si>
    <t>Feb 10, 2025</t>
  </si>
  <si>
    <t xml:space="preserve">• Rent $12,000/mo
• Sqft +4000</t>
  </si>
  <si>
    <t>Costs out of reach; revisited next year after capital campaign.</t>
  </si>
  <si>
    <t>Bright Horizons Microschool — Financial Health Dashboard</t>
  </si>
  <si>
    <t>● Green = healthy</t>
  </si>
  <si>
    <t>◐ Yellow = monitor</t>
  </si>
  <si>
    <t>○ Red = action needed</t>
  </si>
  <si>
    <t>Benchmark</t>
  </si>
  <si>
    <t>Revenue</t>
  </si>
  <si>
    <t>Personnel</t>
  </si>
  <si>
    <t>Operating Expenses</t>
  </si>
  <si>
    <t>Debt Service</t>
  </si>
  <si>
    <t>Revenue per Student</t>
  </si>
  <si>
    <t>≥ $10,000</t>
  </si>
  <si>
    <t>Cost per Student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</si>
  <si>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</si>
  <si>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</si>
  <si>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</si>
  <si>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</si>
  <si>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</si>
  <si>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</si>
  <si>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</si>
  <si>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</si>
  <si>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≥ 10%</t>
  </si>
  <si>
    <t>Revenue Sources</t>
  </si>
  <si>
    <t>≥ 3 sources</t>
  </si>
  <si>
    <t>≥ 1.25x</t>
  </si>
  <si>
    <t>Break-even Year</t>
  </si>
  <si>
    <t>Cash Runway (Months)</t>
  </si>
  <si>
    <t>≥ 24 months</t>
  </si>
  <si>
    <t>Days Cash on Hand</t>
  </si>
  <si>
    <t>≥ 90 days</t>
  </si>
  <si>
    <t>FINANCIAL HEALTH SIGNALS</t>
  </si>
  <si>
    <t>Status</t>
  </si>
  <si>
    <t>Assessment</t>
  </si>
  <si>
    <t>Watch Item</t>
  </si>
  <si>
    <t>Viability</t>
  </si>
  <si>
    <t>○ Needs attention</t>
  </si>
  <si>
    <t>The model does not reach break-even within 5 years. This needs to be addressed before approaching lenders.</t>
  </si>
  <si>
    <t>Revisit revenue assumptions and cost structure to build a clear path to break-even.</t>
  </si>
  <si>
    <t>Liquidity</t>
  </si>
  <si>
    <t>Cash goes negative in month 1. The school will need outside funding to continue operating.</t>
  </si>
  <si>
    <t>Secure a line of credit or bridge funding before operations begin.</t>
  </si>
  <si>
    <t>Staffing Burden</t>
  </si>
  <si>
    <t>Staffing at 134% of revenue is above the sustainable range. There's too little left for everything else.</t>
  </si>
  <si>
    <t>Review staffing plan for phased hiring, shared roles, or adjusted ratios.</t>
  </si>
  <si>
    <t>Facility Burden</t>
  </si>
  <si>
    <t>◐ Watch closely</t>
  </si>
  <si>
    <t>Facility costs at 20% of revenue are moderate but could become a constraint as other costs grow.</t>
  </si>
  <si>
    <t>Ensure enrollment growth keeps pace with any rent increases.</t>
  </si>
  <si>
    <t>Debt Affordability</t>
  </si>
  <si>
    <t>DSCR of -28.81x is below the 1.15x amber threshold. Any shortfall in revenue makes debt unaffordable.</t>
  </si>
  <si>
    <t>Reduce loan amounts, extend terms, or increase revenue before committing to this debt.</t>
  </si>
  <si>
    <t>Revenue Concentration</t>
  </si>
  <si>
    <t>● Healthy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</si>
  <si>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</si>
  <si>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</si>
  <si>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</si>
  <si>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Less than 1 month of reserves by Year 5. The school has no financial cushion.</t>
  </si>
  <si>
    <t>Prioritize building reserves — even a small surplus each year compounds into meaningful protection.</t>
  </si>
  <si>
    <t>1 Healthy  |  1 Watch  |  5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</si>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</sst>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</numFmts>
  <fonts count="23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color rgb="FF1E293B"/>
      <sz val="12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1E293B"/>
      <sz val="22"/>
      <name val="Calibri"/>
    </font>
    <font>
      <color rgb="FF328555"/>
      <sz val="14"/>
      <name val="Calibri"/>
    </font>
    <font>
      <u/>
      <color rgb="FF0563C1"/>
      <sz val="11"/>
      <name val="Calibri"/>
    </font>
    <font>
      <i/>
      <color rgb="FF6B7280"/>
      <sz val="11"/>
      <name val="Calibri"/>
    </font>
    <font>
      <b/>
      <color rgb="FF1E293B"/>
      <sz val="14"/>
      <name val="Calibri"/>
    </font>
    <font>
      <color rgb="FF1E3A5F"/>
    </font>
    <font>
      <i/>
      <color rgb="FF666666"/>
      <sz val="10"/>
      <name val="Calibri"/>
    </font>
    <font>
      <b/>
      <color rgb="FFFFFFFF"/>
      <sz val="11"/>
      <name val="Calibri"/>
    </font>
    <font>
      <color rgb="FF374151"/>
      <sz val="11"/>
      <name val="Calibri"/>
    </font>
    <font>
      <b/>
      <sz val="11"/>
      <name val="Calibri"/>
    </font>
    <font>
      <b/>
      <color rgb="FFFFFFFF"/>
      <sz val="14"/>
      <name val="Calibri"/>
    </font>
    <font>
      <i/>
      <color rgb="FF6B7280"/>
      <sz val="9"/>
      <name val="Calibri"/>
    </font>
    <font>
      <b/>
      <color rgb="FF16A34A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  <font>
      <i/>
      <color rgb="FF9CA3AF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E8EDF2"/>
      </patternFill>
    </fill>
    <fill>
      <patternFill patternType="solid">
        <fgColor rgb="FFFFF8E1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28555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4" fillId="0" borderId="1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0" xfId="0" applyFont="1" applyFill="1"/>
    <xf numFmtId="0" fontId="13" fillId="0" borderId="0" xfId="0" applyFont="1"/>
    <xf numFmtId="0" fontId="0" fillId="4" borderId="2" xfId="0" applyFill="1" applyBorder="1"/>
    <xf numFmtId="0" fontId="14" fillId="5" borderId="0" xfId="0" applyFont="1" applyFill="1" applyAlignment="1">
      <alignment horizontal="left" vertical="center"/>
    </xf>
    <xf numFmtId="0" fontId="15" fillId="0" borderId="3" xfId="0" applyFont="1" applyBorder="1"/>
    <xf numFmtId="0" fontId="12" fillId="2" borderId="3" xfId="0" applyFont="1" applyFill="1" applyBorder="1" applyAlignment="1">
      <alignment horizontal="right"/>
    </xf>
    <xf numFmtId="164" fontId="12" fillId="2" borderId="3" xfId="0" applyNumberFormat="1" applyFont="1" applyFill="1" applyBorder="1" applyAlignment="1">
      <alignment horizontal="right"/>
    </xf>
    <xf numFmtId="165" fontId="12" fillId="2" borderId="3" xfId="0" applyNumberFormat="1" applyFont="1" applyFill="1" applyBorder="1" applyAlignment="1">
      <alignment horizontal="right"/>
    </xf>
    <xf numFmtId="166" fontId="12" fillId="2" borderId="3" xfId="0" applyNumberFormat="1" applyFont="1" applyFill="1" applyBorder="1" applyAlignment="1">
      <alignment horizontal="right"/>
    </xf>
    <xf numFmtId="0" fontId="0" fillId="5" borderId="4" xfId="0" applyFill="1" applyBorder="1"/>
    <xf numFmtId="0" fontId="14" fillId="5" borderId="4" xfId="0" applyFont="1" applyFill="1" applyBorder="1" applyAlignment="1">
      <alignment horizontal="center"/>
    </xf>
    <xf numFmtId="0" fontId="6" fillId="0" borderId="4" xfId="0" applyFont="1" applyBorder="1"/>
    <xf numFmtId="164" fontId="6" fillId="0" borderId="4" xfId="0" applyNumberFormat="1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16" fillId="0" borderId="4" xfId="0" applyFont="1" applyBorder="1"/>
    <xf numFmtId="165" fontId="16" fillId="0" borderId="5" xfId="0" applyNumberFormat="1" applyFont="1" applyBorder="1" applyAlignment="1">
      <alignment horizontal="right"/>
    </xf>
    <xf numFmtId="165" fontId="16" fillId="6" borderId="5" xfId="0" applyNumberFormat="1" applyFont="1" applyFill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165" fontId="16" fillId="0" borderId="4" xfId="0" applyNumberFormat="1" applyFont="1" applyBorder="1" applyAlignment="1">
      <alignment horizontal="right"/>
    </xf>
    <xf numFmtId="0" fontId="0" fillId="0" borderId="4" xfId="0" applyBorder="1" applyAlignment="1">
      <alignment horizontal="center"/>
    </xf>
    <xf numFmtId="167" fontId="16" fillId="6" borderId="4" xfId="0" applyNumberFormat="1" applyFont="1" applyFill="1" applyBorder="1" applyAlignment="1">
      <alignment horizontal="right"/>
    </xf>
    <xf numFmtId="0" fontId="4" fillId="7" borderId="0" xfId="0" applyFont="1" applyFill="1"/>
    <xf numFmtId="165" fontId="16" fillId="3" borderId="5" xfId="0" applyNumberFormat="1" applyFont="1" applyFill="1" applyBorder="1" applyAlignment="1">
      <alignment horizontal="right"/>
    </xf>
    <xf numFmtId="0" fontId="3" fillId="0" borderId="0" xfId="0" applyFont="1" applyAlignment="1">
      <alignment vertical="top" wrapText="1"/>
    </xf>
    <xf numFmtId="164" fontId="16" fillId="0" borderId="5" xfId="0" applyNumberFormat="1" applyFont="1" applyBorder="1" applyAlignment="1">
      <alignment horizontal="right"/>
    </xf>
    <xf numFmtId="165" fontId="16" fillId="6" borderId="4" xfId="0" applyNumberFormat="1" applyFont="1" applyFill="1" applyBorder="1" applyAlignment="1">
      <alignment horizontal="right"/>
    </xf>
    <xf numFmtId="0" fontId="14" fillId="5" borderId="4" xfId="0" applyFont="1" applyFill="1" applyBorder="1"/>
    <xf numFmtId="166" fontId="6" fillId="6" borderId="4" xfId="0" applyNumberFormat="1" applyFont="1" applyFill="1" applyBorder="1" applyAlignment="1">
      <alignment horizontal="right"/>
    </xf>
    <xf numFmtId="3" fontId="16" fillId="6" borderId="4" xfId="0" applyNumberFormat="1" applyFont="1" applyFill="1" applyBorder="1" applyAlignment="1">
      <alignment horizontal="right"/>
    </xf>
    <xf numFmtId="0" fontId="17" fillId="5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14" fillId="5" borderId="4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right" vertical="center"/>
    </xf>
    <xf numFmtId="0" fontId="4" fillId="7" borderId="4" xfId="0" applyFont="1" applyFill="1" applyBorder="1" applyAlignment="1">
      <alignment horizontal="left" vertical="center" indent="1"/>
    </xf>
    <xf numFmtId="0" fontId="18" fillId="0" borderId="0" xfId="0" applyFont="1" applyAlignment="1">
      <alignment vertical="top" wrapText="1" indent="1"/>
    </xf>
    <xf numFmtId="0" fontId="16" fillId="0" borderId="4" xfId="0" applyFont="1" applyBorder="1" applyAlignment="1">
      <alignment horizontal="right"/>
    </xf>
    <xf numFmtId="164" fontId="6" fillId="3" borderId="4" xfId="0" applyNumberFormat="1" applyFont="1" applyFill="1" applyBorder="1" applyAlignment="1">
      <alignment horizontal="right"/>
    </xf>
    <xf numFmtId="0" fontId="0" fillId="0" borderId="4" xfId="0" applyBorder="1"/>
    <xf numFmtId="164" fontId="1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64" fontId="6" fillId="6" borderId="4" xfId="0" applyNumberFormat="1" applyFont="1" applyFill="1" applyBorder="1" applyAlignment="1">
      <alignment horizontal="right"/>
    </xf>
    <xf numFmtId="0" fontId="10" fillId="0" borderId="0" xfId="0" applyFont="1" applyAlignment="1">
      <alignment vertical="top" wrapText="1"/>
    </xf>
    <xf numFmtId="0" fontId="14" fillId="5" borderId="4" xfId="0" applyFont="1" applyFill="1" applyBorder="1" applyAlignment="1">
      <alignment horizontal="left" vertical="center" wrapText="1"/>
    </xf>
    <xf numFmtId="0" fontId="0" fillId="3" borderId="0" xfId="0" applyFill="1"/>
    <xf numFmtId="0" fontId="16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4" fillId="3" borderId="4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left" vertical="top"/>
    </xf>
    <xf numFmtId="0" fontId="0" fillId="8" borderId="0" xfId="0" applyFill="1"/>
    <xf numFmtId="0" fontId="4" fillId="8" borderId="4" xfId="0" applyFont="1" applyFill="1" applyBorder="1" applyAlignment="1">
      <alignment horizontal="center" vertical="top"/>
    </xf>
    <xf numFmtId="0" fontId="0" fillId="6" borderId="0" xfId="0" applyFill="1"/>
    <xf numFmtId="0" fontId="4" fillId="6" borderId="4" xfId="0" applyFont="1" applyFill="1" applyBorder="1" applyAlignment="1">
      <alignment horizontal="center" vertical="top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4" fillId="7" borderId="4" xfId="0" applyFont="1" applyFill="1" applyBorder="1"/>
    <xf numFmtId="0" fontId="4" fillId="7" borderId="4" xfId="0" applyFont="1" applyFill="1" applyBorder="1" applyAlignment="1">
      <alignment horizontal="center"/>
    </xf>
    <xf numFmtId="166" fontId="16" fillId="6" borderId="5" xfId="0" applyNumberFormat="1" applyFont="1" applyFill="1" applyBorder="1" applyAlignment="1">
      <alignment horizontal="right"/>
    </xf>
    <xf numFmtId="165" fontId="6" fillId="8" borderId="4" xfId="0" applyNumberFormat="1" applyFont="1" applyFill="1" applyBorder="1" applyAlignment="1">
      <alignment horizontal="right"/>
    </xf>
    <xf numFmtId="0" fontId="10" fillId="0" borderId="4" xfId="0" applyFont="1" applyBorder="1"/>
    <xf numFmtId="165" fontId="6" fillId="3" borderId="4" xfId="0" applyNumberFormat="1" applyFont="1" applyFill="1" applyBorder="1" applyAlignment="1">
      <alignment horizontal="right"/>
    </xf>
    <xf numFmtId="166" fontId="16" fillId="8" borderId="5" xfId="0" applyNumberFormat="1" applyFont="1" applyFill="1" applyBorder="1" applyAlignment="1">
      <alignment horizontal="right"/>
    </xf>
    <xf numFmtId="164" fontId="16" fillId="8" borderId="5" xfId="0" applyNumberFormat="1" applyFont="1" applyFill="1" applyBorder="1" applyAlignment="1">
      <alignment horizontal="right"/>
    </xf>
    <xf numFmtId="167" fontId="16" fillId="6" borderId="5" xfId="0" applyNumberFormat="1" applyFont="1" applyFill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16" fillId="6" borderId="5" xfId="0" applyNumberFormat="1" applyFont="1" applyFill="1" applyBorder="1" applyAlignment="1">
      <alignment horizontal="right"/>
    </xf>
    <xf numFmtId="0" fontId="4" fillId="0" borderId="4" xfId="0" applyFont="1" applyBorder="1"/>
    <xf numFmtId="0" fontId="21" fillId="0" borderId="4" xfId="0" applyFont="1" applyBorder="1" applyAlignment="1">
      <alignment horizontal="center"/>
    </xf>
    <xf numFmtId="0" fontId="6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20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Drivers&apos;!A1" TargetMode="External"/><Relationship Id="rId3" Type="http://schemas.openxmlformats.org/officeDocument/2006/relationships/hyperlink" Target="#&apos;5-Year P&amp;L&apos;!A1" TargetMode="External"/><Relationship Id="rId4" Type="http://schemas.openxmlformats.org/officeDocument/2006/relationships/hyperlink" Target="#&apos;Cash Flow &amp; DSCR&apos;!A1" TargetMode="External"/><Relationship Id="rId5" Type="http://schemas.openxmlformats.org/officeDocument/2006/relationships/hyperlink" Target="#&apos;Staffing&apos;!A1" TargetMode="External"/><Relationship Id="rId6" Type="http://schemas.openxmlformats.org/officeDocument/2006/relationships/hyperlink" Target="#&apos;Loan Snapshot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7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7" t="s">
        <v>6</v>
      </c>
    </row>
    <row r="10" spans="2:2" x14ac:dyDescent="0.25">
      <c r="B10" s="6" t="s">
        <v>7</v>
      </c>
    </row>
    <row r="11" spans="2:2" x14ac:dyDescent="0.25">
      <c r="B11" s="4" t="s">
        <v>8</v>
      </c>
    </row>
    <row r="12" spans="2:2" x14ac:dyDescent="0.25">
      <c r="B12" s="6" t="s">
        <v>9</v>
      </c>
    </row>
    <row r="13" spans="2:2" x14ac:dyDescent="0.25">
      <c r="B13" s="6" t="s">
        <v>7</v>
      </c>
    </row>
    <row r="14" spans="2:2" x14ac:dyDescent="0.25">
      <c r="B14" s="4" t="s">
        <v>10</v>
      </c>
    </row>
    <row r="15" spans="2:2" x14ac:dyDescent="0.25">
      <c r="B15" s="6" t="s">
        <v>11</v>
      </c>
    </row>
    <row r="16" spans="2:2" x14ac:dyDescent="0.25">
      <c r="B16" s="6" t="s">
        <v>12</v>
      </c>
    </row>
    <row r="17" spans="2:2" x14ac:dyDescent="0.25">
      <c r="B17" s="6" t="s">
        <v>13</v>
      </c>
    </row>
    <row r="18" spans="2:2" x14ac:dyDescent="0.25">
      <c r="B18" s="6" t="s">
        <v>14</v>
      </c>
    </row>
    <row r="19" spans="2:2" x14ac:dyDescent="0.25">
      <c r="B19" s="6" t="s">
        <v>7</v>
      </c>
    </row>
    <row r="20" spans="2:2" x14ac:dyDescent="0.25">
      <c r="B20" s="4" t="s">
        <v>15</v>
      </c>
    </row>
    <row r="21" spans="2:2" x14ac:dyDescent="0.25">
      <c r="B21" s="6" t="s">
        <v>16</v>
      </c>
    </row>
    <row r="22" spans="2:2" x14ac:dyDescent="0.25">
      <c r="B22" s="6" t="s">
        <v>17</v>
      </c>
    </row>
    <row r="23" spans="2:2" x14ac:dyDescent="0.25">
      <c r="B23" s="6" t="s">
        <v>18</v>
      </c>
    </row>
    <row r="24" spans="2:2" x14ac:dyDescent="0.25">
      <c r="B24" s="6" t="s">
        <v>7</v>
      </c>
    </row>
    <row r="25" spans="2:2" x14ac:dyDescent="0.25">
      <c r="B25" s="4" t="s">
        <v>19</v>
      </c>
    </row>
    <row r="26" spans="2:2" x14ac:dyDescent="0.25">
      <c r="B26" s="6" t="s">
        <v>20</v>
      </c>
    </row>
    <row r="27" spans="2:2" x14ac:dyDescent="0.25">
      <c r="B27" s="6" t="s">
        <v>21</v>
      </c>
    </row>
    <row r="28" spans="2:2" x14ac:dyDescent="0.25">
      <c r="B28" s="6" t="s">
        <v>7</v>
      </c>
    </row>
    <row r="29" spans="2:2" x14ac:dyDescent="0.25">
      <c r="B29" s="4" t="s">
        <v>22</v>
      </c>
    </row>
    <row r="30" spans="2:2" x14ac:dyDescent="0.25">
      <c r="B30" s="6" t="s">
        <v>23</v>
      </c>
    </row>
    <row r="31" spans="2:2" x14ac:dyDescent="0.25">
      <c r="B31" s="6" t="s">
        <v>24</v>
      </c>
    </row>
    <row r="32" spans="2:2" x14ac:dyDescent="0.25">
      <c r="B32" s="6" t="s">
        <v>25</v>
      </c>
    </row>
    <row r="33" spans="2:2" x14ac:dyDescent="0.25">
      <c r="B33" s="6" t="s">
        <v>26</v>
      </c>
    </row>
    <row r="34" spans="2:2" x14ac:dyDescent="0.25">
      <c r="B34" s="6" t="s">
        <v>7</v>
      </c>
    </row>
    <row r="35" spans="2:2" x14ac:dyDescent="0.25">
      <c r="B35" s="4" t="s">
        <v>27</v>
      </c>
    </row>
    <row r="36" spans="2:2" x14ac:dyDescent="0.25">
      <c r="B36" s="6" t="s">
        <v>28</v>
      </c>
    </row>
    <row r="37" spans="2:2" x14ac:dyDescent="0.25">
      <c r="B37" s="6" t="s">
        <v>29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B3:C19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3" spans="2:3" x14ac:dyDescent="0.25">
      <c r="B3" s="8" t="s">
        <v>30</v>
      </c>
      <c r="C3" s="8"/>
    </row>
    <row r="4" spans="2:3" x14ac:dyDescent="0.25">
      <c r="B4" s="9" t="s">
        <v>31</v>
      </c>
      <c r="C4" s="9"/>
    </row>
    <row r="6" spans="2:3" x14ac:dyDescent="0.25">
      <c r="B6" s="1" t="s">
        <v>1</v>
      </c>
      <c r="C6" s="1"/>
    </row>
    <row r="8" spans="2:3" x14ac:dyDescent="0.25">
      <c r="B8" s="10" t="s">
        <v>32</v>
      </c>
      <c r="C8" s="10"/>
    </row>
    <row r="9" spans="2:2" x14ac:dyDescent="0.25">
      <c r="B9" s="11" t="s">
        <v>33</v>
      </c>
    </row>
    <row r="10" spans="2:2" x14ac:dyDescent="0.25">
      <c r="B10" s="11" t="s">
        <v>34</v>
      </c>
    </row>
    <row r="11" spans="2:2" x14ac:dyDescent="0.25">
      <c r="B11" s="11" t="s">
        <v>35</v>
      </c>
    </row>
    <row r="12" spans="2:2" x14ac:dyDescent="0.25">
      <c r="B12" s="11" t="s">
        <v>36</v>
      </c>
    </row>
    <row r="13" spans="2:2" x14ac:dyDescent="0.25">
      <c r="B13" s="11" t="s">
        <v>37</v>
      </c>
    </row>
    <row r="14" spans="2:2" x14ac:dyDescent="0.25">
      <c r="B14" s="11" t="s">
        <v>38</v>
      </c>
    </row>
    <row r="15" spans="2:2" x14ac:dyDescent="0.25">
      <c r="B15" s="11" t="s">
        <v>39</v>
      </c>
    </row>
    <row r="18" spans="2:3" x14ac:dyDescent="0.25">
      <c r="B18" s="12" t="s">
        <v>40</v>
      </c>
      <c r="C18" s="12"/>
    </row>
    <row r="19" spans="2:3" x14ac:dyDescent="0.25">
      <c r="B19" s="12" t="s">
        <v>41</v>
      </c>
      <c r="C19" s="12"/>
    </row>
  </sheetData>
  <mergeCells count="6">
    <mergeCell ref="B3:C3"/>
    <mergeCell ref="B4:C4"/>
    <mergeCell ref="B6:C6"/>
    <mergeCell ref="B8:C8"/>
    <mergeCell ref="B18:C18"/>
    <mergeCell ref="B19:C19"/>
  </mergeCells>
  <hyperlinks>
    <hyperlink ref="B9" r:id="rId1" location="#'Assumptions'!A1"/>
    <hyperlink ref="B10" r:id="rId2" location="#'Drivers'!A1"/>
    <hyperlink ref="B11" r:id="rId3" location="#'5-Year P&amp;L'!A1"/>
    <hyperlink ref="B12" r:id="rId4" location="#'Cash Flow &amp; DSCR'!A1"/>
    <hyperlink ref="B13" r:id="rId5" location="#'Staffing'!A1"/>
    <hyperlink ref="B14" r:id="rId6" location="#'Loan Snapshot'!A1"/>
    <hyperlink ref="B15" r:id="rId7" location="#'Summary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8" customWidth="1"/>
    <col min="4" max="4" width="22" customWidth="1"/>
  </cols>
  <sheetData>
    <row r="1" spans="2:4" x14ac:dyDescent="0.25">
      <c r="B1" s="13" t="s">
        <v>42</v>
      </c>
      <c r="C1" s="13"/>
      <c r="D1" s="13"/>
    </row>
    <row r="2" spans="2:5" x14ac:dyDescent="0.25">
      <c r="B2" s="14" t="s">
        <v>7</v>
      </c>
      <c r="C2" s="15" t="s">
        <v>43</v>
      </c>
      <c r="D2" s="16" t="s">
        <v>7</v>
      </c>
      <c r="E2" s="15" t="s">
        <v>44</v>
      </c>
    </row>
    <row r="3" ht="24" customHeight="1" spans="2:4" x14ac:dyDescent="0.25">
      <c r="B3" s="17" t="s">
        <v>45</v>
      </c>
      <c r="C3" s="17"/>
      <c r="D3" s="17"/>
    </row>
    <row r="5" spans="3:4" x14ac:dyDescent="0.25">
      <c r="C5" s="18" t="s">
        <v>46</v>
      </c>
      <c r="D5" s="19" t="s">
        <v>1</v>
      </c>
    </row>
    <row r="6" spans="3:4" x14ac:dyDescent="0.25">
      <c r="C6" s="18" t="s">
        <v>47</v>
      </c>
      <c r="D6" s="19" t="s">
        <v>48</v>
      </c>
    </row>
    <row r="7" spans="3:4" x14ac:dyDescent="0.25">
      <c r="C7" s="18" t="s">
        <v>49</v>
      </c>
      <c r="D7" s="19" t="s">
        <v>50</v>
      </c>
    </row>
    <row r="8" spans="3:4" x14ac:dyDescent="0.25">
      <c r="C8" s="18" t="s">
        <v>51</v>
      </c>
      <c r="D8" s="19">
        <v>2026</v>
      </c>
    </row>
    <row r="10" ht="24" customHeight="1" spans="2:4" x14ac:dyDescent="0.25">
      <c r="B10" s="17" t="s">
        <v>52</v>
      </c>
      <c r="C10" s="17"/>
      <c r="D10" s="17"/>
    </row>
    <row r="12" spans="3:4" x14ac:dyDescent="0.25">
      <c r="C12" s="18" t="s">
        <v>53</v>
      </c>
      <c r="D12" s="20">
        <v>12</v>
      </c>
    </row>
    <row r="13" spans="3:4" x14ac:dyDescent="0.25">
      <c r="C13" s="18" t="s">
        <v>54</v>
      </c>
      <c r="D13" s="20">
        <v>18</v>
      </c>
    </row>
    <row r="14" spans="3:4" x14ac:dyDescent="0.25">
      <c r="C14" s="18" t="s">
        <v>55</v>
      </c>
      <c r="D14" s="20">
        <v>22</v>
      </c>
    </row>
    <row r="15" spans="3:4" x14ac:dyDescent="0.25">
      <c r="C15" s="18" t="s">
        <v>56</v>
      </c>
      <c r="D15" s="20">
        <v>25</v>
      </c>
    </row>
    <row r="16" spans="3:4" x14ac:dyDescent="0.25">
      <c r="C16" s="18" t="s">
        <v>57</v>
      </c>
      <c r="D16" s="20">
        <v>25</v>
      </c>
    </row>
    <row r="18" ht="24" customHeight="1" spans="2:4" x14ac:dyDescent="0.25">
      <c r="B18" s="17" t="s">
        <v>58</v>
      </c>
      <c r="C18" s="17"/>
      <c r="D18" s="17"/>
    </row>
    <row r="20" spans="3:4" x14ac:dyDescent="0.25">
      <c r="C20" s="18" t="s">
        <v>59</v>
      </c>
      <c r="D20" s="21">
        <v>0</v>
      </c>
    </row>
    <row r="21" spans="3:4" x14ac:dyDescent="0.25">
      <c r="C21" s="18" t="s">
        <v>60</v>
      </c>
      <c r="D21" s="22">
        <v>0.03</v>
      </c>
    </row>
    <row r="22" spans="3:4" x14ac:dyDescent="0.25">
      <c r="C22" s="18" t="s">
        <v>61</v>
      </c>
      <c r="D22" s="21">
        <v>7000</v>
      </c>
    </row>
    <row r="23" spans="3:4" x14ac:dyDescent="0.25">
      <c r="C23" s="18" t="s">
        <v>62</v>
      </c>
      <c r="D23" s="22">
        <v>0.03</v>
      </c>
    </row>
    <row r="24" spans="3:4" x14ac:dyDescent="0.25">
      <c r="C24" s="18" t="s">
        <v>63</v>
      </c>
      <c r="D24" s="21">
        <v>0</v>
      </c>
    </row>
    <row r="25" spans="3:4" x14ac:dyDescent="0.25">
      <c r="C25" s="18" t="s">
        <v>64</v>
      </c>
      <c r="D25" s="22">
        <v>0.02</v>
      </c>
    </row>
    <row r="26" spans="3:4" x14ac:dyDescent="0.25">
      <c r="C26" s="18" t="s">
        <v>65</v>
      </c>
      <c r="D26" s="22">
        <v>1</v>
      </c>
    </row>
    <row r="27" spans="3:4" x14ac:dyDescent="0.25">
      <c r="C27" s="18" t="s">
        <v>66</v>
      </c>
      <c r="D27" s="21">
        <v>5000</v>
      </c>
    </row>
    <row r="28" spans="3:4" x14ac:dyDescent="0.25">
      <c r="C28" s="18" t="s">
        <v>67</v>
      </c>
      <c r="D28" s="22">
        <v>0</v>
      </c>
    </row>
    <row r="30" ht="24" customHeight="1" spans="2:4" x14ac:dyDescent="0.25">
      <c r="B30" s="17" t="s">
        <v>68</v>
      </c>
      <c r="C30" s="17"/>
      <c r="D30" s="17"/>
    </row>
    <row r="32" spans="3:4" x14ac:dyDescent="0.25">
      <c r="C32" s="18" t="s">
        <v>69</v>
      </c>
      <c r="D32" s="20">
        <v>8</v>
      </c>
    </row>
    <row r="33" spans="3:4" x14ac:dyDescent="0.25">
      <c r="C33" s="18" t="s">
        <v>70</v>
      </c>
      <c r="D33" s="21">
        <v>36500</v>
      </c>
    </row>
    <row r="34" spans="3:4" x14ac:dyDescent="0.25">
      <c r="C34" s="18" t="s">
        <v>71</v>
      </c>
      <c r="D34" s="22">
        <v>0.03</v>
      </c>
    </row>
    <row r="35" spans="3:4" x14ac:dyDescent="0.25">
      <c r="C35" s="18" t="s">
        <v>72</v>
      </c>
      <c r="D35" s="20">
        <v>1</v>
      </c>
    </row>
    <row r="36" spans="3:4" x14ac:dyDescent="0.25">
      <c r="C36" s="18" t="s">
        <v>73</v>
      </c>
      <c r="D36" s="20">
        <v>1</v>
      </c>
    </row>
    <row r="37" spans="3:4" x14ac:dyDescent="0.25">
      <c r="C37" s="18" t="s">
        <v>74</v>
      </c>
      <c r="D37" s="20">
        <v>1</v>
      </c>
    </row>
    <row r="38" spans="3:4" x14ac:dyDescent="0.25">
      <c r="C38" s="18" t="s">
        <v>75</v>
      </c>
      <c r="D38" s="20">
        <v>1</v>
      </c>
    </row>
    <row r="39" spans="3:4" x14ac:dyDescent="0.25">
      <c r="C39" s="18" t="s">
        <v>76</v>
      </c>
      <c r="D39" s="20">
        <v>1</v>
      </c>
    </row>
    <row r="40" spans="3:4" x14ac:dyDescent="0.25">
      <c r="C40" s="18" t="s">
        <v>77</v>
      </c>
      <c r="D40" s="21">
        <v>55000</v>
      </c>
    </row>
    <row r="41" spans="3:4" x14ac:dyDescent="0.25">
      <c r="C41" s="18" t="s">
        <v>78</v>
      </c>
      <c r="D41" s="22">
        <v>0.03</v>
      </c>
    </row>
    <row r="42" spans="3:4" x14ac:dyDescent="0.25">
      <c r="C42" s="18" t="s">
        <v>79</v>
      </c>
      <c r="D42" s="22">
        <v>0.2</v>
      </c>
    </row>
    <row r="44" ht="24" customHeight="1" spans="2:4" x14ac:dyDescent="0.25">
      <c r="B44" s="17" t="s">
        <v>80</v>
      </c>
      <c r="C44" s="17"/>
      <c r="D44" s="17"/>
    </row>
    <row r="46" spans="3:4" x14ac:dyDescent="0.25">
      <c r="C46" s="18" t="s">
        <v>81</v>
      </c>
      <c r="D46" s="21">
        <v>30000</v>
      </c>
    </row>
    <row r="47" spans="3:4" x14ac:dyDescent="0.25">
      <c r="C47" s="18" t="s">
        <v>82</v>
      </c>
      <c r="D47" s="22">
        <v>0.029333333333333333</v>
      </c>
    </row>
    <row r="48" spans="3:4" x14ac:dyDescent="0.25">
      <c r="C48" s="18" t="s">
        <v>83</v>
      </c>
      <c r="D48" s="21">
        <v>6000</v>
      </c>
    </row>
    <row r="49" spans="3:4" x14ac:dyDescent="0.25">
      <c r="C49" s="18" t="s">
        <v>84</v>
      </c>
      <c r="D49" s="22">
        <v>0.029333333333333333</v>
      </c>
    </row>
    <row r="50" spans="3:4" x14ac:dyDescent="0.25">
      <c r="C50" s="18" t="s">
        <v>85</v>
      </c>
      <c r="D50" s="21">
        <v>500</v>
      </c>
    </row>
    <row r="51" spans="3:4" x14ac:dyDescent="0.25">
      <c r="C51" s="18" t="s">
        <v>86</v>
      </c>
      <c r="D51" s="22">
        <v>0.545</v>
      </c>
    </row>
    <row r="52" spans="3:4" x14ac:dyDescent="0.25">
      <c r="C52" s="18" t="s">
        <v>87</v>
      </c>
      <c r="D52" s="21">
        <v>6600</v>
      </c>
    </row>
    <row r="53" spans="3:4" x14ac:dyDescent="0.25">
      <c r="C53" s="18" t="s">
        <v>88</v>
      </c>
      <c r="D53" s="22">
        <v>0.30863636363636365</v>
      </c>
    </row>
    <row r="55" ht="24" customHeight="1" spans="2:4" x14ac:dyDescent="0.25">
      <c r="B55" s="17" t="s">
        <v>89</v>
      </c>
      <c r="C55" s="17"/>
      <c r="D55" s="17"/>
    </row>
    <row r="57" spans="3:4" x14ac:dyDescent="0.25">
      <c r="C57" s="18" t="s">
        <v>90</v>
      </c>
      <c r="D57" s="21">
        <v>0</v>
      </c>
    </row>
    <row r="58" spans="3:4" x14ac:dyDescent="0.25">
      <c r="C58" s="18" t="s">
        <v>91</v>
      </c>
      <c r="D58" s="21">
        <v>0</v>
      </c>
    </row>
    <row r="59" spans="3:4" x14ac:dyDescent="0.25">
      <c r="C59" s="18" t="s">
        <v>92</v>
      </c>
      <c r="D59" s="21">
        <v>30000</v>
      </c>
    </row>
    <row r="60" spans="3:4" x14ac:dyDescent="0.25">
      <c r="C60" s="18" t="s">
        <v>93</v>
      </c>
      <c r="D60" s="22">
        <v>0.06</v>
      </c>
    </row>
    <row r="61" spans="3:4" x14ac:dyDescent="0.25">
      <c r="C61" s="18" t="s">
        <v>94</v>
      </c>
      <c r="D61" s="20">
        <v>5</v>
      </c>
    </row>
  </sheetData>
  <mergeCells count="7">
    <mergeCell ref="B1:D1"/>
    <mergeCell ref="B3:D3"/>
    <mergeCell ref="B10:D10"/>
    <mergeCell ref="B18:D18"/>
    <mergeCell ref="B30:D30"/>
    <mergeCell ref="B44:D44"/>
    <mergeCell ref="B55:D5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2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13" t="s">
        <v>95</v>
      </c>
      <c r="C1" s="13"/>
      <c r="D1" s="13"/>
      <c r="E1" s="13"/>
      <c r="F1" s="13"/>
      <c r="G1" s="13"/>
    </row>
    <row r="3" ht="24" customHeight="1" spans="2:7" x14ac:dyDescent="0.25">
      <c r="B3" s="23"/>
      <c r="C3" s="24" t="s">
        <v>96</v>
      </c>
      <c r="D3" s="24" t="s">
        <v>97</v>
      </c>
      <c r="E3" s="24" t="s">
        <v>98</v>
      </c>
      <c r="F3" s="24" t="s">
        <v>99</v>
      </c>
      <c r="G3" s="24" t="s">
        <v>100</v>
      </c>
    </row>
    <row r="4" spans="2:7" x14ac:dyDescent="0.25">
      <c r="B4" s="25" t="s">
        <v>101</v>
      </c>
      <c r="C4" s="26">
        <f>Assumptions!D12</f>
        <v>12</v>
      </c>
      <c r="D4" s="26">
        <f>Assumptions!D13</f>
        <v>18</v>
      </c>
      <c r="E4" s="26">
        <f>Assumptions!D14</f>
        <v>22</v>
      </c>
      <c r="F4" s="26">
        <f>Assumptions!D15</f>
        <v>25</v>
      </c>
      <c r="G4" s="26">
        <f>Assumptions!D16</f>
        <v>25</v>
      </c>
    </row>
    <row r="5" spans="2:7" x14ac:dyDescent="0.25">
      <c r="B5" s="25" t="s">
        <v>102</v>
      </c>
      <c r="C5" s="27" t="str">
        <f>Assumptions!D12*Assumptions!D20</f>
        <v>0</v>
      </c>
      <c r="D5" s="27" t="str">
        <f>Assumptions!D13*Assumptions!D20*(1+Assumptions!D21)^1</f>
        <v>0</v>
      </c>
      <c r="E5" s="27" t="str">
        <f>Assumptions!D14*Assumptions!D20*(1+Assumptions!D21)^2</f>
        <v>0</v>
      </c>
      <c r="F5" s="27" t="str">
        <f>Assumptions!D15*Assumptions!D20*(1+Assumptions!D21)^3</f>
        <v>0</v>
      </c>
      <c r="G5" s="27" t="str">
        <f>Assumptions!D16*Assumptions!D20*(1+Assumptions!D21)^4</f>
        <v>0</v>
      </c>
    </row>
    <row r="6" spans="2:7" x14ac:dyDescent="0.25">
      <c r="B6" s="25" t="s">
        <v>103</v>
      </c>
      <c r="C6" s="27" t="str">
        <f>C5*Assumptions!D26</f>
        <v>0</v>
      </c>
      <c r="D6" s="27" t="str">
        <f>D5*Assumptions!D26</f>
        <v>0</v>
      </c>
      <c r="E6" s="27" t="str">
        <f>E5*Assumptions!D26</f>
        <v>0</v>
      </c>
      <c r="F6" s="27" t="str">
        <f>F5*Assumptions!D26</f>
        <v>0</v>
      </c>
      <c r="G6" s="27" t="str">
        <f>G5*Assumptions!D26</f>
        <v>0</v>
      </c>
    </row>
    <row r="7" spans="2:7" x14ac:dyDescent="0.25">
      <c r="B7" s="25" t="s">
        <v>104</v>
      </c>
      <c r="C7" s="27">
        <f>Assumptions!D12*Assumptions!D22</f>
        <v>84000</v>
      </c>
      <c r="D7" s="27">
        <f>Assumptions!D13*Assumptions!D22*(1+Assumptions!D23)^1</f>
        <v>129780</v>
      </c>
      <c r="E7" s="27">
        <f>Assumptions!D14*Assumptions!D22*(1+Assumptions!D23)^2</f>
        <v>163378.6</v>
      </c>
      <c r="F7" s="27">
        <f>Assumptions!D15*Assumptions!D22*(1+Assumptions!D23)^3</f>
        <v>191227.225</v>
      </c>
      <c r="G7" s="27">
        <f>Assumptions!D16*Assumptions!D22*(1+Assumptions!D23)^4</f>
        <v>196964.04175</v>
      </c>
    </row>
    <row r="8" spans="2:7" x14ac:dyDescent="0.25">
      <c r="B8" s="25" t="s">
        <v>105</v>
      </c>
      <c r="C8" s="27" t="str">
        <f>Assumptions!D12*Assumptions!D24</f>
        <v>0</v>
      </c>
      <c r="D8" s="27" t="str">
        <f>Assumptions!D13*Assumptions!D24*(1+Assumptions!D25)^1</f>
        <v>0</v>
      </c>
      <c r="E8" s="27" t="str">
        <f>Assumptions!D14*Assumptions!D24*(1+Assumptions!D25)^2</f>
        <v>0</v>
      </c>
      <c r="F8" s="27" t="str">
        <f>Assumptions!D15*Assumptions!D24*(1+Assumptions!D25)^3</f>
        <v>0</v>
      </c>
      <c r="G8" s="27" t="str">
        <f>Assumptions!D16*Assumptions!D24*(1+Assumptions!D25)^4</f>
        <v>0</v>
      </c>
    </row>
    <row r="9" spans="2:7" x14ac:dyDescent="0.25">
      <c r="B9" s="25" t="s">
        <v>106</v>
      </c>
      <c r="C9" s="27">
        <f>Assumptions!D27</f>
        <v>5000</v>
      </c>
      <c r="D9" s="27">
        <f>Assumptions!D27*(1+Assumptions!D28)^1</f>
        <v>5000</v>
      </c>
      <c r="E9" s="27">
        <f>Assumptions!D27*(1+Assumptions!D28)^2</f>
        <v>5000</v>
      </c>
      <c r="F9" s="27">
        <f>Assumptions!D27*(1+Assumptions!D28)^3</f>
        <v>5000</v>
      </c>
      <c r="G9" s="27">
        <f>Assumptions!D27*(1+Assumptions!D28)^4</f>
        <v>5000</v>
      </c>
    </row>
    <row r="10" spans="2:7" x14ac:dyDescent="0.25">
      <c r="B10" s="28" t="s">
        <v>107</v>
      </c>
      <c r="C10" s="29">
        <f>C6+C7+C8+C9</f>
        <v>89000</v>
      </c>
      <c r="D10" s="29">
        <f>D6+D7+D8+D9</f>
        <v>134780</v>
      </c>
      <c r="E10" s="29">
        <f>E6+E7+E8+E9</f>
        <v>168378.6</v>
      </c>
      <c r="F10" s="29">
        <f>F6+F7+F8+F9</f>
        <v>196227.225</v>
      </c>
      <c r="G10" s="29">
        <f>G6+G7+G8+G9</f>
        <v>201964.04175</v>
      </c>
    </row>
    <row r="12" spans="2:7" x14ac:dyDescent="0.25">
      <c r="B12" s="25" t="s">
        <v>108</v>
      </c>
      <c r="C12" s="26">
        <f>CEILING(Assumptions!D12/Assumptions!D32,1)</f>
        <v>2</v>
      </c>
      <c r="D12" s="26">
        <f>CEILING(Assumptions!D13/Assumptions!D32,1)</f>
        <v>3</v>
      </c>
      <c r="E12" s="26">
        <f>CEILING(Assumptions!D14/Assumptions!D32,1)</f>
        <v>3</v>
      </c>
      <c r="F12" s="26">
        <f>CEILING(Assumptions!D15/Assumptions!D32,1)</f>
        <v>4</v>
      </c>
      <c r="G12" s="26">
        <f>CEILING(Assumptions!D16/Assumptions!D32,1)</f>
        <v>4</v>
      </c>
    </row>
    <row r="13" spans="2:7" x14ac:dyDescent="0.25">
      <c r="B13" s="25" t="s">
        <v>109</v>
      </c>
      <c r="C13" s="27">
        <f>C12*Assumptions!D33</f>
        <v>73000</v>
      </c>
      <c r="D13" s="27">
        <f>D12*Assumptions!D33*(1+Assumptions!D34)^1</f>
        <v>112785</v>
      </c>
      <c r="E13" s="27">
        <f>E12*Assumptions!D33*(1+Assumptions!D34)^2</f>
        <v>116168.55</v>
      </c>
      <c r="F13" s="27">
        <f>F12*Assumptions!D33*(1+Assumptions!D34)^3</f>
        <v>159538.142</v>
      </c>
      <c r="G13" s="27">
        <f>G12*Assumptions!D33*(1+Assumptions!D34)^4</f>
        <v>164324.28626</v>
      </c>
    </row>
    <row r="14" spans="2:7" x14ac:dyDescent="0.25">
      <c r="B14" s="25" t="s">
        <v>110</v>
      </c>
      <c r="C14" s="27">
        <f>Assumptions!D35*Assumptions!D40</f>
        <v>55000</v>
      </c>
      <c r="D14" s="27">
        <f>Assumptions!D36*Assumptions!D40*(1+Assumptions!D41)^1</f>
        <v>56650</v>
      </c>
      <c r="E14" s="27">
        <f>Assumptions!D37*Assumptions!D40*(1+Assumptions!D41)^2</f>
        <v>58349.5</v>
      </c>
      <c r="F14" s="27">
        <f>Assumptions!D38*Assumptions!D40*(1+Assumptions!D41)^3</f>
        <v>60099.985</v>
      </c>
      <c r="G14" s="27">
        <f>Assumptions!D39*Assumptions!D40*(1+Assumptions!D41)^4</f>
        <v>61902.98455</v>
      </c>
    </row>
    <row r="15" spans="2:7" x14ac:dyDescent="0.25">
      <c r="B15" s="25" t="s">
        <v>111</v>
      </c>
      <c r="C15" s="27">
        <f>(C13+C14)*Assumptions!D42</f>
        <v>25600</v>
      </c>
      <c r="D15" s="27">
        <f>(D13+D14)*Assumptions!D42</f>
        <v>33887</v>
      </c>
      <c r="E15" s="27">
        <f>(E13+E14)*Assumptions!D42</f>
        <v>34903.61</v>
      </c>
      <c r="F15" s="27">
        <f>(F13+F14)*Assumptions!D42</f>
        <v>43927.6254</v>
      </c>
      <c r="G15" s="27">
        <f>(G13+G14)*Assumptions!D42</f>
        <v>45245.454162</v>
      </c>
    </row>
    <row r="16" spans="2:7" x14ac:dyDescent="0.25">
      <c r="B16" s="28" t="s">
        <v>112</v>
      </c>
      <c r="C16" s="29">
        <f>C13+C14+C15</f>
        <v>153600</v>
      </c>
      <c r="D16" s="29">
        <f>D13+D14+D15</f>
        <v>203322</v>
      </c>
      <c r="E16" s="29">
        <f>E13+E14+E15</f>
        <v>209421.66</v>
      </c>
      <c r="F16" s="29">
        <f>F13+F14+F15</f>
        <v>263565.7524</v>
      </c>
      <c r="G16" s="29">
        <f>G13+G14+G15</f>
        <v>271472.724972</v>
      </c>
    </row>
    <row r="18" spans="2:7" x14ac:dyDescent="0.25">
      <c r="B18" s="25" t="s">
        <v>113</v>
      </c>
      <c r="C18" s="27">
        <f>Assumptions!D46</f>
        <v>30000</v>
      </c>
      <c r="D18" s="27">
        <f>Assumptions!D46*(1+Assumptions!D47)^1</f>
        <v>30880</v>
      </c>
      <c r="E18" s="27">
        <f>Assumptions!D46*(1+Assumptions!D47)^2</f>
        <v>31785.81333333</v>
      </c>
      <c r="F18" s="27">
        <f>Assumptions!D46*(1+Assumptions!D47)^3</f>
        <v>32718.19719111</v>
      </c>
      <c r="G18" s="27">
        <f>Assumptions!D46*(1+Assumptions!D47)^4</f>
        <v>33677.93097538</v>
      </c>
    </row>
    <row r="19" spans="2:7" x14ac:dyDescent="0.25">
      <c r="B19" s="25" t="s">
        <v>114</v>
      </c>
      <c r="C19" s="27">
        <f>Assumptions!D48</f>
        <v>6000</v>
      </c>
      <c r="D19" s="27">
        <f>Assumptions!D48*(1+Assumptions!D49)^1</f>
        <v>6176</v>
      </c>
      <c r="E19" s="27">
        <f>Assumptions!D48*(1+Assumptions!D49)^2</f>
        <v>6357.16266667</v>
      </c>
      <c r="F19" s="27">
        <f>Assumptions!D48*(1+Assumptions!D49)^3</f>
        <v>6543.63943822</v>
      </c>
      <c r="G19" s="27">
        <f>Assumptions!D48*(1+Assumptions!D49)^4</f>
        <v>6735.58619508</v>
      </c>
    </row>
    <row r="20" spans="2:7" x14ac:dyDescent="0.25">
      <c r="B20" s="25" t="s">
        <v>115</v>
      </c>
      <c r="C20" s="27">
        <f>Assumptions!D12*Assumptions!D50</f>
        <v>6000</v>
      </c>
      <c r="D20" s="27">
        <f>Assumptions!D13*Assumptions!D50*(1+Assumptions!D51)^1</f>
        <v>13905</v>
      </c>
      <c r="E20" s="27">
        <f>Assumptions!D14*Assumptions!D50*(1+Assumptions!D51)^2</f>
        <v>26257.275</v>
      </c>
      <c r="F20" s="27">
        <f>Assumptions!D15*Assumptions!D50*(1+Assumptions!D51)^3</f>
        <v>46099.4203125</v>
      </c>
      <c r="G20" s="27">
        <f>Assumptions!D16*Assumptions!D50*(1+Assumptions!D51)^4</f>
        <v>71223.60438281</v>
      </c>
    </row>
    <row r="21" spans="2:7" x14ac:dyDescent="0.25">
      <c r="B21" s="25" t="s">
        <v>116</v>
      </c>
      <c r="C21" s="27">
        <f>Assumptions!D52</f>
        <v>6600</v>
      </c>
      <c r="D21" s="27">
        <f>Assumptions!D52*(1+Assumptions!D53)^1</f>
        <v>8637</v>
      </c>
      <c r="E21" s="27">
        <f>Assumptions!D52*(1+Assumptions!D53)^2</f>
        <v>11302.69227273</v>
      </c>
      <c r="F21" s="27">
        <f>Assumptions!D52*(1+Assumptions!D53)^3</f>
        <v>14791.11411508</v>
      </c>
      <c r="G21" s="27">
        <f>Assumptions!D52*(1+Assumptions!D53)^4</f>
        <v>19356.18978969</v>
      </c>
    </row>
    <row r="22" spans="2:7" x14ac:dyDescent="0.25">
      <c r="B22" s="28" t="s">
        <v>117</v>
      </c>
      <c r="C22" s="29">
        <f>C18+C19+C20+C21</f>
        <v>48600</v>
      </c>
      <c r="D22" s="29">
        <f>D18+D19+D20+D21</f>
        <v>59598</v>
      </c>
      <c r="E22" s="29">
        <f>E18+E19+E20+E21</f>
        <v>75702.94327273</v>
      </c>
      <c r="F22" s="29">
        <f>F18+F19+F20+F21</f>
        <v>100152.37105692</v>
      </c>
      <c r="G22" s="29">
        <f>G18+G19+G20+G21</f>
        <v>130993.31134297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G2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13" t="s">
        <v>118</v>
      </c>
      <c r="C1" s="13"/>
      <c r="D1" s="13"/>
      <c r="E1" s="13"/>
      <c r="F1" s="13"/>
      <c r="G1" s="13"/>
    </row>
    <row r="3" ht="24" customHeight="1" spans="2:7" x14ac:dyDescent="0.25">
      <c r="B3" s="23"/>
      <c r="C3" s="24" t="s">
        <v>96</v>
      </c>
      <c r="D3" s="24" t="s">
        <v>97</v>
      </c>
      <c r="E3" s="24" t="s">
        <v>98</v>
      </c>
      <c r="F3" s="24" t="s">
        <v>99</v>
      </c>
      <c r="G3" s="24" t="s">
        <v>100</v>
      </c>
    </row>
    <row r="5" spans="2:7" x14ac:dyDescent="0.25">
      <c r="B5" s="25" t="s">
        <v>101</v>
      </c>
      <c r="C5" s="26">
        <f>Drivers!C4</f>
        <v>12</v>
      </c>
      <c r="D5" s="26">
        <f>Drivers!D4</f>
        <v>18</v>
      </c>
      <c r="E5" s="26">
        <f>Drivers!E4</f>
        <v>22</v>
      </c>
      <c r="F5" s="26">
        <f>Drivers!F4</f>
        <v>25</v>
      </c>
      <c r="G5" s="26">
        <f>Drivers!G4</f>
        <v>25</v>
      </c>
    </row>
    <row r="6" spans="2:7" x14ac:dyDescent="0.25">
      <c r="B6" s="25" t="s">
        <v>102</v>
      </c>
      <c r="C6" s="27" t="str">
        <f>Drivers!C6</f>
        <v>0</v>
      </c>
      <c r="D6" s="27" t="str">
        <f>Drivers!D6</f>
        <v>0</v>
      </c>
      <c r="E6" s="27" t="str">
        <f>Drivers!E6</f>
        <v>0</v>
      </c>
      <c r="F6" s="27" t="str">
        <f>Drivers!F6</f>
        <v>0</v>
      </c>
      <c r="G6" s="27" t="str">
        <f>Drivers!G6</f>
        <v>0</v>
      </c>
    </row>
    <row r="7" spans="2:7" x14ac:dyDescent="0.25">
      <c r="B7" s="25" t="s">
        <v>119</v>
      </c>
      <c r="C7" s="27">
        <f>Drivers!C7</f>
        <v>84000</v>
      </c>
      <c r="D7" s="27">
        <f>Drivers!D7</f>
        <v>129780</v>
      </c>
      <c r="E7" s="27">
        <f>Drivers!E7</f>
        <v>163378.6</v>
      </c>
      <c r="F7" s="27">
        <f>Drivers!F7</f>
        <v>191227.225</v>
      </c>
      <c r="G7" s="27">
        <f>Drivers!G7</f>
        <v>196964.04175</v>
      </c>
    </row>
    <row r="8" spans="2:7" x14ac:dyDescent="0.25">
      <c r="B8" s="25" t="s">
        <v>120</v>
      </c>
      <c r="C8" s="27" t="str">
        <f>Drivers!C8</f>
        <v>0</v>
      </c>
      <c r="D8" s="27" t="str">
        <f>Drivers!D8</f>
        <v>0</v>
      </c>
      <c r="E8" s="27" t="str">
        <f>Drivers!E8</f>
        <v>0</v>
      </c>
      <c r="F8" s="27" t="str">
        <f>Drivers!F8</f>
        <v>0</v>
      </c>
      <c r="G8" s="27" t="str">
        <f>Drivers!G8</f>
        <v>0</v>
      </c>
    </row>
    <row r="9" spans="2:7" x14ac:dyDescent="0.25">
      <c r="B9" s="25" t="s">
        <v>106</v>
      </c>
      <c r="C9" s="27">
        <f>Drivers!C9</f>
        <v>5000</v>
      </c>
      <c r="D9" s="27">
        <f>Drivers!D9</f>
        <v>5000</v>
      </c>
      <c r="E9" s="27">
        <f>Drivers!E9</f>
        <v>5000</v>
      </c>
      <c r="F9" s="27">
        <f>Drivers!F9</f>
        <v>5000</v>
      </c>
      <c r="G9" s="27">
        <f>Drivers!G9</f>
        <v>5000</v>
      </c>
    </row>
    <row r="10" spans="2:7" x14ac:dyDescent="0.25">
      <c r="B10" s="28" t="s">
        <v>107</v>
      </c>
      <c r="C10" s="29">
        <f>Drivers!C10</f>
        <v>89000</v>
      </c>
      <c r="D10" s="29">
        <f>Drivers!D10</f>
        <v>134780</v>
      </c>
      <c r="E10" s="29">
        <f>Drivers!E10</f>
        <v>168378.6</v>
      </c>
      <c r="F10" s="29">
        <f>Drivers!F10</f>
        <v>196227.225</v>
      </c>
      <c r="G10" s="29">
        <f>Drivers!G10</f>
        <v>201964.04175</v>
      </c>
    </row>
    <row r="12" spans="2:7" x14ac:dyDescent="0.25">
      <c r="B12" s="25" t="s">
        <v>121</v>
      </c>
      <c r="C12" s="27">
        <f>Drivers!C16</f>
        <v>153600</v>
      </c>
      <c r="D12" s="27">
        <f>Drivers!D16</f>
        <v>203322</v>
      </c>
      <c r="E12" s="27">
        <f>Drivers!E16</f>
        <v>209421.66</v>
      </c>
      <c r="F12" s="27">
        <f>Drivers!F16</f>
        <v>263565.7524</v>
      </c>
      <c r="G12" s="27">
        <f>Drivers!G16</f>
        <v>271472.724972</v>
      </c>
    </row>
    <row r="13" spans="2:7" x14ac:dyDescent="0.25">
      <c r="B13" s="25" t="s">
        <v>117</v>
      </c>
      <c r="C13" s="27">
        <f>Drivers!C22</f>
        <v>48600</v>
      </c>
      <c r="D13" s="27">
        <f>Drivers!D22</f>
        <v>59598</v>
      </c>
      <c r="E13" s="27">
        <f>Drivers!E22</f>
        <v>75702.94327273</v>
      </c>
      <c r="F13" s="27">
        <f>Drivers!F22</f>
        <v>100152.37105692</v>
      </c>
      <c r="G13" s="27">
        <f>Drivers!G22</f>
        <v>130993.31134297</v>
      </c>
    </row>
    <row r="15" spans="2:7" x14ac:dyDescent="0.25">
      <c r="B15" s="28" t="s">
        <v>122</v>
      </c>
      <c r="C15" s="29">
        <f>C12+C13</f>
        <v>202200</v>
      </c>
      <c r="D15" s="29">
        <f>D12+D13</f>
        <v>262920</v>
      </c>
      <c r="E15" s="29">
        <f>E12+E13</f>
        <v>285124.60327273</v>
      </c>
      <c r="F15" s="29">
        <f>F12+F13</f>
        <v>363718.12345692</v>
      </c>
      <c r="G15" s="29">
        <f>G12+G13</f>
        <v>402466.03631497</v>
      </c>
    </row>
    <row r="16" spans="2:7" x14ac:dyDescent="0.25">
      <c r="B16" s="28" t="s">
        <v>123</v>
      </c>
      <c r="C16" s="30">
        <f>C10-C15</f>
        <v>-113200</v>
      </c>
      <c r="D16" s="30">
        <f>D10-D15</f>
        <v>-128140</v>
      </c>
      <c r="E16" s="30">
        <f>E10-E15</f>
        <v>-116746.00327273</v>
      </c>
      <c r="F16" s="30">
        <f>F10-F15</f>
        <v>-167490.89845692</v>
      </c>
      <c r="G16" s="30">
        <f>G10-G15</f>
        <v>-200501.99456497</v>
      </c>
    </row>
    <row r="17" spans="2:7" x14ac:dyDescent="0.25">
      <c r="B17" s="25" t="s">
        <v>124</v>
      </c>
      <c r="C17" s="31">
        <f>IF(C10&gt;0,C16/C10,0)</f>
        <v>-1.27191011</v>
      </c>
      <c r="D17" s="31">
        <f>IF(D10&gt;0,D16/D10,0)</f>
        <v>-0.95073453</v>
      </c>
      <c r="E17" s="31">
        <f>IF(E10&gt;0,E16/E10,0)</f>
        <v>-0.69335416</v>
      </c>
      <c r="F17" s="31">
        <f>IF(F10&gt;0,F16/F10,0)</f>
        <v>-0.85355586</v>
      </c>
      <c r="G17" s="31">
        <f>IF(G10&gt;0,G16/G10,0)</f>
        <v>-0.99276085</v>
      </c>
    </row>
    <row r="19" spans="2:7" x14ac:dyDescent="0.25">
      <c r="B19" s="25" t="s">
        <v>125</v>
      </c>
      <c r="C19" s="27">
        <v>1656</v>
      </c>
      <c r="D19" s="27">
        <v>1329</v>
      </c>
      <c r="E19" s="27">
        <v>981</v>
      </c>
      <c r="F19" s="27">
        <v>613</v>
      </c>
      <c r="G19" s="27">
        <v>221</v>
      </c>
    </row>
    <row r="20" spans="2:7" x14ac:dyDescent="0.25">
      <c r="B20" s="25" t="s">
        <v>126</v>
      </c>
      <c r="C20" s="27">
        <f>'Cash Flow &amp; DSCR'!C9-C19</f>
        <v>5304.09501734</v>
      </c>
      <c r="D20" s="27">
        <f>'Cash Flow &amp; DSCR'!D9-D19</f>
        <v>5631.23999193</v>
      </c>
      <c r="E20" s="27">
        <f>'Cash Flow &amp; DSCR'!E9-E19</f>
        <v>5978.56255272</v>
      </c>
      <c r="F20" s="27">
        <f>'Cash Flow &amp; DSCR'!F9-F19</f>
        <v>6347.30720906</v>
      </c>
      <c r="G20" s="27">
        <f>'Cash Flow &amp; DSCR'!G9-G19</f>
        <v>6738.79522895</v>
      </c>
    </row>
    <row r="22" spans="2:7" x14ac:dyDescent="0.25">
      <c r="B22" s="28" t="s">
        <v>127</v>
      </c>
      <c r="C22" s="30">
        <f>C16-C19-C20</f>
        <v>-120159.80855059</v>
      </c>
      <c r="D22" s="30">
        <f>D16-D19-D20</f>
        <v>-135099.80855059</v>
      </c>
      <c r="E22" s="30">
        <f>E16-E19-E20</f>
        <v>-123705.81182332</v>
      </c>
      <c r="F22" s="30">
        <f>F16-F19-F20</f>
        <v>-174450.70700751</v>
      </c>
      <c r="G22" s="30">
        <f>G16-G19-G20</f>
        <v>-207461.80311556</v>
      </c>
    </row>
    <row r="23" spans="2:7" x14ac:dyDescent="0.25">
      <c r="B23" s="25" t="s">
        <v>128</v>
      </c>
      <c r="C23" s="31">
        <f>IF(C10&gt;0,C22/C10,0)</f>
        <v>-1.35011021</v>
      </c>
      <c r="D23" s="31">
        <f>IF(D10&gt;0,D22/D10,0)</f>
        <v>-1.00237282</v>
      </c>
      <c r="E23" s="31">
        <f>IF(E10&gt;0,E22/E10,0)</f>
        <v>-0.73468845</v>
      </c>
      <c r="F23" s="31">
        <f>IF(F10&gt;0,F22/F10,0)</f>
        <v>-0.88902397</v>
      </c>
      <c r="G23" s="31">
        <f>IF(G10&gt;0,G22/G10,0)</f>
        <v>-1.02722149</v>
      </c>
    </row>
    <row r="25" spans="2:7" x14ac:dyDescent="0.25">
      <c r="B25" s="28" t="s">
        <v>129</v>
      </c>
      <c r="C25" s="32">
        <f>C22</f>
        <v>-120159.80855059</v>
      </c>
      <c r="D25" s="32">
        <f>C25+D22</f>
        <v>-255259.61710119</v>
      </c>
      <c r="E25" s="32">
        <f>D25+E22</f>
        <v>-378965.42892451</v>
      </c>
      <c r="F25" s="32">
        <f>E25+F22</f>
        <v>-553416.13593202</v>
      </c>
      <c r="G25" s="32">
        <f>F25+G22</f>
        <v>-760877.93904758</v>
      </c>
    </row>
    <row r="26" spans="2:7" x14ac:dyDescent="0.25">
      <c r="B26" s="28" t="s">
        <v>130</v>
      </c>
      <c r="C26" s="33" t="s">
        <v>7</v>
      </c>
      <c r="D26" s="33" t="s">
        <v>7</v>
      </c>
      <c r="E26" s="33" t="s">
        <v>7</v>
      </c>
      <c r="F26" s="33" t="s">
        <v>7</v>
      </c>
      <c r="G26" s="33" t="s">
        <v>7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G1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13" t="s">
        <v>131</v>
      </c>
      <c r="C1" s="13"/>
      <c r="D1" s="13"/>
      <c r="E1" s="13"/>
      <c r="F1" s="13"/>
      <c r="G1" s="13"/>
    </row>
    <row r="3" ht="24" customHeight="1" spans="2:7" x14ac:dyDescent="0.25">
      <c r="B3" s="23"/>
      <c r="C3" s="24" t="s">
        <v>96</v>
      </c>
      <c r="D3" s="24" t="s">
        <v>97</v>
      </c>
      <c r="E3" s="24" t="s">
        <v>98</v>
      </c>
      <c r="F3" s="24" t="s">
        <v>99</v>
      </c>
      <c r="G3" s="24" t="s">
        <v>100</v>
      </c>
    </row>
    <row r="4" spans="2:7" x14ac:dyDescent="0.25">
      <c r="B4" s="28" t="s">
        <v>132</v>
      </c>
      <c r="C4" s="32" t="str">
        <f>Assumptions!D57</f>
        <v>0</v>
      </c>
      <c r="D4" s="32">
        <f>C16</f>
        <v>-120159.80855059</v>
      </c>
      <c r="E4" s="32">
        <f>D16</f>
        <v>-255259.61710119</v>
      </c>
      <c r="F4" s="32">
        <f>E16</f>
        <v>-378965.42892451</v>
      </c>
      <c r="G4" s="32">
        <f>F16</f>
        <v>-553416.13593202</v>
      </c>
    </row>
    <row r="5" spans="2:7" x14ac:dyDescent="0.25">
      <c r="B5" s="25" t="s">
        <v>133</v>
      </c>
      <c r="C5" s="27">
        <f>'5-Year P&amp;L'!C16</f>
        <v>-113200</v>
      </c>
      <c r="D5" s="27">
        <f>'5-Year P&amp;L'!D16</f>
        <v>-128140</v>
      </c>
      <c r="E5" s="27">
        <f>'5-Year P&amp;L'!E16</f>
        <v>-116746.00327273</v>
      </c>
      <c r="F5" s="27">
        <f>'5-Year P&amp;L'!F16</f>
        <v>-167490.89845692</v>
      </c>
      <c r="G5" s="27">
        <f>'5-Year P&amp;L'!G16</f>
        <v>-200501.99456497</v>
      </c>
    </row>
    <row r="7" spans="2:7" x14ac:dyDescent="0.25">
      <c r="B7" s="25" t="s">
        <v>134</v>
      </c>
      <c r="C7" s="27" t="str">
        <f>Assumptions!D58</f>
        <v>0</v>
      </c>
      <c r="D7" s="27" t="str">
        <f>Assumptions!D58</f>
        <v>0</v>
      </c>
      <c r="E7" s="27" t="str">
        <f>Assumptions!D58</f>
        <v>0</v>
      </c>
      <c r="F7" s="27" t="str">
        <f>Assumptions!D58</f>
        <v>0</v>
      </c>
      <c r="G7" s="27" t="str">
        <f>Assumptions!D58</f>
        <v>0</v>
      </c>
    </row>
    <row r="8" spans="2:7" x14ac:dyDescent="0.25">
      <c r="B8" s="25" t="s">
        <v>135</v>
      </c>
      <c r="C8" s="27">
        <f>IF(Assumptions!D59&gt;0,PMT(Assumptions!D60/12,Assumptions!D61*12,-Assumptions!D59)*12,0)</f>
        <v>6959.80855059</v>
      </c>
      <c r="D8" s="27">
        <f>IF(Assumptions!D59&gt;0,PMT(Assumptions!D60/12,Assumptions!D61*12,-Assumptions!D59)*12,0)</f>
        <v>6959.80855059</v>
      </c>
      <c r="E8" s="27">
        <f>IF(Assumptions!D59&gt;0,PMT(Assumptions!D60/12,Assumptions!D61*12,-Assumptions!D59)*12,0)</f>
        <v>6959.80855059</v>
      </c>
      <c r="F8" s="27">
        <f>IF(Assumptions!D59&gt;0,PMT(Assumptions!D60/12,Assumptions!D61*12,-Assumptions!D59)*12,0)</f>
        <v>6959.80855059</v>
      </c>
      <c r="G8" s="27">
        <f>IF(Assumptions!D59&gt;0,PMT(Assumptions!D60/12,Assumptions!D61*12,-Assumptions!D59)*12,0)</f>
        <v>6959.80855059</v>
      </c>
    </row>
    <row r="9" spans="2:7" x14ac:dyDescent="0.25">
      <c r="B9" s="28" t="s">
        <v>136</v>
      </c>
      <c r="C9" s="29">
        <f>C7+C8</f>
        <v>6959.80855059</v>
      </c>
      <c r="D9" s="29">
        <f>D7+D8</f>
        <v>6959.80855059</v>
      </c>
      <c r="E9" s="29">
        <f>E7+E8</f>
        <v>6959.80855059</v>
      </c>
      <c r="F9" s="29">
        <f>F7+F8</f>
        <v>6959.80855059</v>
      </c>
      <c r="G9" s="29">
        <f>G7+G8</f>
        <v>6959.80855059</v>
      </c>
    </row>
    <row r="11" spans="2:7" x14ac:dyDescent="0.25">
      <c r="B11" s="28" t="s">
        <v>137</v>
      </c>
      <c r="C11" s="34">
        <f>IF(C9&gt;0,C5/C9,IF(C5&gt;0,99.9,0))</f>
        <v>-16.26481521</v>
      </c>
      <c r="D11" s="34">
        <f>IF(D9&gt;0,D5/D9,IF(D5&gt;0,99.9,0))</f>
        <v>-18.41142599</v>
      </c>
      <c r="E11" s="34">
        <f>IF(E9&gt;0,E5/E9,IF(E5&gt;0,99.9,0))</f>
        <v>-16.77431246</v>
      </c>
      <c r="F11" s="34">
        <f>IF(F9&gt;0,F5/F9,IF(F5&gt;0,99.9,0))</f>
        <v>-24.06544623</v>
      </c>
      <c r="G11" s="34">
        <f>IF(G9&gt;0,G5/G9,IF(G5&gt;0,99.9,0))</f>
        <v>-28.80855028</v>
      </c>
    </row>
    <row r="13" spans="2:7" x14ac:dyDescent="0.25">
      <c r="B13" s="25" t="s">
        <v>138</v>
      </c>
      <c r="C13" s="27">
        <f>C5-C9</f>
        <v>-120159.80855059</v>
      </c>
      <c r="D13" s="27">
        <f>D5-D9</f>
        <v>-135099.80855059</v>
      </c>
      <c r="E13" s="27">
        <f>E5-E9</f>
        <v>-123705.81182332</v>
      </c>
      <c r="F13" s="27">
        <f>F5-F9</f>
        <v>-174450.70700751</v>
      </c>
      <c r="G13" s="27">
        <f>G5-G9</f>
        <v>-207461.80311556</v>
      </c>
    </row>
    <row r="14" spans="2:7" x14ac:dyDescent="0.25">
      <c r="B14" s="28" t="s">
        <v>139</v>
      </c>
      <c r="C14" s="32">
        <f>C5-C9</f>
        <v>-120159.80855059</v>
      </c>
      <c r="D14" s="32">
        <f>D5-D9</f>
        <v>-135099.80855059</v>
      </c>
      <c r="E14" s="32">
        <f>E5-E9</f>
        <v>-123705.81182332</v>
      </c>
      <c r="F14" s="32">
        <f>F5-F9</f>
        <v>-174450.70700751</v>
      </c>
      <c r="G14" s="32">
        <f>G5-G9</f>
        <v>-207461.80311556</v>
      </c>
    </row>
    <row r="16" spans="2:7" x14ac:dyDescent="0.25">
      <c r="B16" s="28" t="s">
        <v>140</v>
      </c>
      <c r="C16" s="30">
        <f>C4+C14</f>
        <v>-120159.80855059</v>
      </c>
      <c r="D16" s="30">
        <f>D4+D14</f>
        <v>-255259.61710119</v>
      </c>
      <c r="E16" s="30">
        <f>E4+E14</f>
        <v>-378965.42892451</v>
      </c>
      <c r="F16" s="30">
        <f>F4+F14</f>
        <v>-553416.13593202</v>
      </c>
      <c r="G16" s="30">
        <f>G4+G14</f>
        <v>-760877.93904758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  <pageSetUpPr fitToPage="1"/>
  </sheetPr>
  <dimension ref="B1:G17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6" customWidth="1"/>
    <col min="3" max="7" width="16" customWidth="1"/>
  </cols>
  <sheetData>
    <row r="1" spans="2:7" x14ac:dyDescent="0.25">
      <c r="B1" s="13" t="s">
        <v>141</v>
      </c>
      <c r="C1" s="13"/>
      <c r="D1" s="13"/>
      <c r="E1" s="13"/>
      <c r="F1" s="13"/>
      <c r="G1" s="13"/>
    </row>
    <row r="2" spans="2:7" x14ac:dyDescent="0.25">
      <c r="B2" s="3" t="s">
        <v>142</v>
      </c>
      <c r="C2" s="3"/>
      <c r="D2" s="3"/>
      <c r="E2" s="3"/>
      <c r="F2" s="3"/>
      <c r="G2" s="3"/>
    </row>
    <row r="4" ht="24" customHeight="1" spans="2:7" x14ac:dyDescent="0.25">
      <c r="B4" s="23"/>
      <c r="C4" s="24" t="s">
        <v>96</v>
      </c>
      <c r="D4" s="24" t="s">
        <v>97</v>
      </c>
      <c r="E4" s="24" t="s">
        <v>98</v>
      </c>
      <c r="F4" s="24" t="s">
        <v>99</v>
      </c>
      <c r="G4" s="24" t="s">
        <v>100</v>
      </c>
    </row>
    <row r="5" spans="2:7" x14ac:dyDescent="0.25">
      <c r="B5" s="35" t="s">
        <v>143</v>
      </c>
      <c r="C5" s="35"/>
      <c r="D5" s="35"/>
      <c r="E5" s="35"/>
      <c r="F5" s="35"/>
      <c r="G5" s="35"/>
    </row>
    <row r="6" spans="2:7" x14ac:dyDescent="0.25">
      <c r="B6" s="25" t="s">
        <v>144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</row>
    <row r="7" spans="2:7" x14ac:dyDescent="0.25">
      <c r="B7" s="25" t="s">
        <v>145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</row>
    <row r="8" spans="2:7" x14ac:dyDescent="0.25">
      <c r="B8" s="28" t="s">
        <v>146</v>
      </c>
      <c r="C8" s="36" t="str">
        <f>C6-C7</f>
        <v>0</v>
      </c>
      <c r="D8" s="36" t="str">
        <f>D6-D7</f>
        <v>0</v>
      </c>
      <c r="E8" s="36" t="str">
        <f>E6-E7</f>
        <v>0</v>
      </c>
      <c r="F8" s="36" t="str">
        <f>F6-F7</f>
        <v>0</v>
      </c>
      <c r="G8" s="36" t="str">
        <f>G6-G7</f>
        <v>0</v>
      </c>
    </row>
    <row r="9" spans="2:7" x14ac:dyDescent="0.25">
      <c r="B9" s="28" t="s">
        <v>147</v>
      </c>
      <c r="C9" s="29" t="str">
        <f>C7*30/365</f>
        <v>0</v>
      </c>
      <c r="D9" s="29" t="str">
        <f>D7*30/365</f>
        <v>0</v>
      </c>
      <c r="E9" s="29" t="str">
        <f>E7*30/365</f>
        <v>0</v>
      </c>
      <c r="F9" s="29" t="str">
        <f>F7*30/365</f>
        <v>0</v>
      </c>
      <c r="G9" s="29" t="str">
        <f>G7*30/365</f>
        <v>0</v>
      </c>
    </row>
    <row r="11" spans="2:7" x14ac:dyDescent="0.25">
      <c r="B11" s="35" t="s">
        <v>148</v>
      </c>
      <c r="C11" s="35"/>
      <c r="D11" s="35"/>
      <c r="E11" s="35"/>
      <c r="F11" s="35"/>
      <c r="G11" s="35"/>
    </row>
    <row r="12" spans="2:7" x14ac:dyDescent="0.25">
      <c r="B12" s="25" t="s">
        <v>149</v>
      </c>
      <c r="C12" s="27">
        <v>-120159.80855059417</v>
      </c>
      <c r="D12" s="27">
        <v>-255259.61710118834</v>
      </c>
      <c r="E12" s="27">
        <v>-378965.42892450973</v>
      </c>
      <c r="F12" s="27">
        <v>-553416.1359320199</v>
      </c>
      <c r="G12" s="27">
        <v>-760877.9390475792</v>
      </c>
    </row>
    <row r="13" spans="2:7" x14ac:dyDescent="0.25">
      <c r="B13" s="25" t="s">
        <v>150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</row>
    <row r="14" spans="2:7" x14ac:dyDescent="0.25">
      <c r="B14" s="28" t="s">
        <v>151</v>
      </c>
      <c r="C14" s="30">
        <f>C12-C13</f>
        <v>-120159.80855059</v>
      </c>
      <c r="D14" s="30">
        <f>D12-D13</f>
        <v>-255259.61710119</v>
      </c>
      <c r="E14" s="30">
        <f>E12-E13</f>
        <v>-378965.42892451</v>
      </c>
      <c r="F14" s="30">
        <f>F12-F13</f>
        <v>-553416.13593202</v>
      </c>
      <c r="G14" s="30">
        <f>G12-G13</f>
        <v>-760877.93904758</v>
      </c>
    </row>
    <row r="16" spans="2:7" x14ac:dyDescent="0.25">
      <c r="B16" s="37" t="s">
        <v>152</v>
      </c>
      <c r="C16" s="37"/>
      <c r="D16" s="37"/>
      <c r="E16" s="37"/>
      <c r="F16" s="37"/>
      <c r="G16" s="37"/>
    </row>
    <row r="17" spans="2:7" x14ac:dyDescent="0.25">
      <c r="B17" s="37"/>
      <c r="C17" s="37"/>
      <c r="D17" s="37"/>
      <c r="E17" s="37"/>
      <c r="F17" s="37"/>
      <c r="G17" s="37"/>
    </row>
  </sheetData>
  <mergeCells count="5">
    <mergeCell ref="B1:G1"/>
    <mergeCell ref="B2:G2"/>
    <mergeCell ref="B5:G5"/>
    <mergeCell ref="B11:G11"/>
    <mergeCell ref="B16:G17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13" t="s">
        <v>153</v>
      </c>
      <c r="C1" s="13"/>
      <c r="D1" s="13"/>
      <c r="E1" s="13"/>
      <c r="F1" s="13"/>
      <c r="G1" s="13"/>
    </row>
    <row r="3" ht="24" customHeight="1" spans="2:7" x14ac:dyDescent="0.25">
      <c r="B3" s="23"/>
      <c r="C3" s="24" t="s">
        <v>96</v>
      </c>
      <c r="D3" s="24" t="s">
        <v>97</v>
      </c>
      <c r="E3" s="24" t="s">
        <v>98</v>
      </c>
      <c r="F3" s="24" t="s">
        <v>99</v>
      </c>
      <c r="G3" s="24" t="s">
        <v>100</v>
      </c>
    </row>
    <row r="4" spans="2:7" x14ac:dyDescent="0.25">
      <c r="B4" s="25" t="s">
        <v>154</v>
      </c>
      <c r="C4" s="26">
        <f>Drivers!C12</f>
        <v>2</v>
      </c>
      <c r="D4" s="26">
        <f>Drivers!D12</f>
        <v>3</v>
      </c>
      <c r="E4" s="26">
        <f>Drivers!E12</f>
        <v>3</v>
      </c>
      <c r="F4" s="26">
        <f>Drivers!F12</f>
        <v>4</v>
      </c>
      <c r="G4" s="26">
        <f>Drivers!G12</f>
        <v>4</v>
      </c>
    </row>
    <row r="5" spans="2:7" x14ac:dyDescent="0.25">
      <c r="B5" s="25" t="s">
        <v>155</v>
      </c>
      <c r="C5" s="26">
        <f>Assumptions!D35</f>
        <v>1</v>
      </c>
      <c r="D5" s="26">
        <f>Assumptions!D36</f>
        <v>1</v>
      </c>
      <c r="E5" s="26">
        <f>Assumptions!D37</f>
        <v>1</v>
      </c>
      <c r="F5" s="26">
        <f>Assumptions!D38</f>
        <v>1</v>
      </c>
      <c r="G5" s="26">
        <f>Assumptions!D39</f>
        <v>1</v>
      </c>
    </row>
    <row r="6" spans="2:7" x14ac:dyDescent="0.25">
      <c r="B6" s="28" t="s">
        <v>156</v>
      </c>
      <c r="C6" s="38">
        <f>C4+C5</f>
        <v>3</v>
      </c>
      <c r="D6" s="38">
        <f>D4+D5</f>
        <v>4</v>
      </c>
      <c r="E6" s="38">
        <f>E4+E5</f>
        <v>4</v>
      </c>
      <c r="F6" s="38">
        <f>F4+F5</f>
        <v>5</v>
      </c>
      <c r="G6" s="38">
        <f>G4+G5</f>
        <v>5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C8"/>
  <sheetFormatPr defaultRowHeight="15" outlineLevelRow="0" outlineLevelCol="0" x14ac:dyDescent="55"/>
  <cols>
    <col min="1" max="1" width="3" customWidth="1"/>
    <col min="2" max="2" width="34" customWidth="1"/>
    <col min="3" max="3" width="22" customWidth="1"/>
  </cols>
  <sheetData>
    <row r="1" spans="2:3" x14ac:dyDescent="0.25">
      <c r="B1" s="13" t="s">
        <v>157</v>
      </c>
      <c r="C1" s="13"/>
    </row>
    <row r="3" spans="2:3" x14ac:dyDescent="0.25">
      <c r="B3" s="25" t="s">
        <v>158</v>
      </c>
      <c r="C3" s="27">
        <f>Assumptions!D59</f>
        <v>30000</v>
      </c>
    </row>
    <row r="4" spans="2:3" x14ac:dyDescent="0.25">
      <c r="B4" s="25" t="s">
        <v>159</v>
      </c>
      <c r="C4" s="31">
        <f>Assumptions!D60</f>
        <v>0.06</v>
      </c>
    </row>
    <row r="5" spans="2:3" x14ac:dyDescent="0.25">
      <c r="B5" s="25" t="s">
        <v>94</v>
      </c>
      <c r="C5" s="26">
        <f>Assumptions!D61</f>
        <v>5</v>
      </c>
    </row>
    <row r="6" spans="2:3" x14ac:dyDescent="0.25">
      <c r="B6" s="25" t="s">
        <v>160</v>
      </c>
      <c r="C6" s="32">
        <f>IF(Assumptions!D59&gt;0,PMT(Assumptions!D60/12,Assumptions!D61*12,-Assumptions!D59)*12,0)</f>
        <v>6959.80855059</v>
      </c>
    </row>
    <row r="8" spans="2:3" x14ac:dyDescent="0.25">
      <c r="B8" s="25" t="s">
        <v>161</v>
      </c>
      <c r="C8" s="34">
        <f>'Cash Flow &amp; DSCR'!C11</f>
        <v>-16.26481521</v>
      </c>
    </row>
  </sheetData>
  <mergeCells count="1">
    <mergeCell ref="B1:C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C21"/>
  <sheetFormatPr defaultRowHeight="15" outlineLevelRow="0" outlineLevelCol="0" x14ac:dyDescent="55"/>
  <cols>
    <col min="1" max="1" width="3" customWidth="1"/>
    <col min="2" max="2" width="34" customWidth="1"/>
    <col min="3" max="3" width="30" customWidth="1"/>
  </cols>
  <sheetData>
    <row r="1" spans="2:3" x14ac:dyDescent="0.25">
      <c r="B1" s="13" t="s">
        <v>162</v>
      </c>
      <c r="C1" s="13"/>
    </row>
    <row r="3" spans="2:3" x14ac:dyDescent="0.25">
      <c r="B3" s="25" t="s">
        <v>46</v>
      </c>
      <c r="C3" s="25" t="str">
        <f>Assumptions!D5</f>
        <v>Bright Horizons Microschool</v>
      </c>
    </row>
    <row r="4" spans="2:3" x14ac:dyDescent="0.25">
      <c r="B4" s="25" t="s">
        <v>49</v>
      </c>
      <c r="C4" s="25" t="str">
        <f>Assumptions!D7</f>
        <v>Microschool</v>
      </c>
    </row>
    <row r="5" spans="2:3" x14ac:dyDescent="0.25">
      <c r="B5" s="25" t="s">
        <v>47</v>
      </c>
      <c r="C5" s="25" t="str">
        <f>Assumptions!D6</f>
        <v>AZ</v>
      </c>
    </row>
    <row r="6" spans="2:3" x14ac:dyDescent="0.25">
      <c r="B6" s="25" t="s">
        <v>163</v>
      </c>
      <c r="C6" s="25">
        <f>Assumptions!D8</f>
        <v>2026</v>
      </c>
    </row>
    <row r="8" spans="2:3" x14ac:dyDescent="0.25">
      <c r="B8" s="25" t="s">
        <v>57</v>
      </c>
      <c r="C8" s="26">
        <f>Assumptions!D16</f>
        <v>25</v>
      </c>
    </row>
    <row r="9" spans="2:3" x14ac:dyDescent="0.25">
      <c r="B9" s="25" t="s">
        <v>164</v>
      </c>
      <c r="C9" s="27">
        <f>Drivers!G10</f>
        <v>201964.04175</v>
      </c>
    </row>
    <row r="10" spans="2:3" x14ac:dyDescent="0.25">
      <c r="B10" s="25" t="s">
        <v>165</v>
      </c>
      <c r="C10" s="39">
        <f>'5-Year P&amp;L'!G16</f>
        <v>-200501.99456497</v>
      </c>
    </row>
    <row r="12" ht="24" customHeight="1" spans="2:3" x14ac:dyDescent="0.25">
      <c r="B12" s="40" t="s">
        <v>166</v>
      </c>
      <c r="C12" s="23"/>
    </row>
    <row r="13" spans="2:3" x14ac:dyDescent="0.25">
      <c r="B13" s="25" t="s">
        <v>167</v>
      </c>
      <c r="C13" s="41">
        <f>IF(Drivers!G10&gt;0,'5-Year P&amp;L'!G21/Drivers!G10,0)</f>
        <v>-1.02722149</v>
      </c>
    </row>
    <row r="14" spans="2:3" x14ac:dyDescent="0.25">
      <c r="B14" s="25" t="s">
        <v>168</v>
      </c>
      <c r="C14" s="31">
        <f>IF(Drivers!G10&gt;0,Drivers!G16/Drivers!G10,0)</f>
        <v>1.34416366</v>
      </c>
    </row>
    <row r="15" spans="2:3" x14ac:dyDescent="0.25">
      <c r="B15" s="25" t="s">
        <v>169</v>
      </c>
      <c r="C15" s="27">
        <f>IF(Assumptions!D16&gt;0,Drivers!G10/Assumptions!D16,0)</f>
        <v>8079</v>
      </c>
    </row>
    <row r="16" spans="2:3" x14ac:dyDescent="0.25">
      <c r="B16" s="25" t="s">
        <v>170</v>
      </c>
      <c r="C16" s="27">
        <f>IF(Assumptions!D16&gt;0,('5-Year P&amp;L'!G12+'5-Year P&amp;L'!G13)/Assumptions!D16,0)</f>
        <v>16099</v>
      </c>
    </row>
    <row r="17" spans="2:3" x14ac:dyDescent="0.25">
      <c r="B17" s="25" t="s">
        <v>171</v>
      </c>
      <c r="C17" s="34">
        <f>'Cash Flow &amp; DSCR'!C11</f>
        <v>-16.26481521</v>
      </c>
    </row>
    <row r="18" spans="2:3" x14ac:dyDescent="0.25">
      <c r="B18" s="25" t="s">
        <v>172</v>
      </c>
      <c r="C18" s="34">
        <f>'Cash Flow &amp; DSCR'!G11</f>
        <v>-28.80855028</v>
      </c>
    </row>
    <row r="19" spans="2:3" x14ac:dyDescent="0.25">
      <c r="B19" s="25" t="s">
        <v>173</v>
      </c>
      <c r="C19" s="42">
        <v>0</v>
      </c>
    </row>
    <row r="21" spans="2:3" x14ac:dyDescent="0.25">
      <c r="B21" s="12" t="s">
        <v>174</v>
      </c>
      <c r="C21" s="12"/>
    </row>
  </sheetData>
  <mergeCells count="2">
    <mergeCell ref="B1:C1"/>
    <mergeCell ref="B21:C2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A1:H57"/>
  <sheetFormatPr defaultRowHeight="15" outlineLevelRow="0" outlineLevelCol="0" x14ac:dyDescent="55"/>
  <cols>
    <col min="1" max="1" width="38" customWidth="1"/>
    <col min="2" max="2" width="18" customWidth="1"/>
    <col min="3" max="8" width="14" customWidth="1"/>
  </cols>
  <sheetData>
    <row r="1" ht="24" customHeight="1" spans="1:8" x14ac:dyDescent="0.25">
      <c r="A1" s="43" t="s">
        <v>175</v>
      </c>
      <c r="B1" s="43"/>
      <c r="C1" s="43"/>
      <c r="D1" s="43"/>
      <c r="E1" s="43"/>
      <c r="F1" s="43"/>
      <c r="G1" s="43"/>
      <c r="H1" s="43"/>
    </row>
    <row r="2" ht="28" customHeight="1" spans="1:8" x14ac:dyDescent="0.25">
      <c r="A2" s="44" t="s">
        <v>176</v>
      </c>
      <c r="B2" s="44"/>
      <c r="C2" s="44"/>
      <c r="D2" s="44"/>
      <c r="E2" s="44"/>
      <c r="F2" s="44"/>
      <c r="G2" s="44"/>
      <c r="H2" s="44"/>
    </row>
    <row r="4" ht="18" customHeight="1" spans="1:8" x14ac:dyDescent="0.25">
      <c r="A4" s="45" t="s">
        <v>177</v>
      </c>
      <c r="B4" s="45" t="s">
        <v>178</v>
      </c>
      <c r="C4" s="46" t="s">
        <v>96</v>
      </c>
      <c r="D4" s="46" t="s">
        <v>97</v>
      </c>
      <c r="E4" s="46" t="s">
        <v>98</v>
      </c>
      <c r="F4" s="46" t="s">
        <v>99</v>
      </c>
      <c r="G4" s="46" t="s">
        <v>100</v>
      </c>
      <c r="H4" s="46" t="s">
        <v>179</v>
      </c>
    </row>
    <row r="5" ht="18" customHeight="1" spans="1:8" x14ac:dyDescent="0.25">
      <c r="A5" s="47" t="s">
        <v>180</v>
      </c>
      <c r="B5" s="47"/>
      <c r="C5" s="47"/>
      <c r="D5" s="47"/>
      <c r="E5" s="47"/>
      <c r="F5" s="47"/>
      <c r="G5" s="47"/>
      <c r="H5" s="47"/>
    </row>
    <row r="6" ht="24" customHeight="1" spans="1:8" x14ac:dyDescent="0.25">
      <c r="A6" s="48" t="s">
        <v>181</v>
      </c>
      <c r="B6" s="48"/>
      <c r="C6" s="48"/>
      <c r="D6" s="48"/>
      <c r="E6" s="48"/>
      <c r="F6" s="48"/>
      <c r="G6" s="48"/>
      <c r="H6" s="48"/>
    </row>
    <row r="7" spans="1:8" x14ac:dyDescent="0.25">
      <c r="A7" s="25" t="s">
        <v>7</v>
      </c>
      <c r="B7" s="25" t="s">
        <v>127</v>
      </c>
      <c r="C7" s="27">
        <v>18272.6914494058</v>
      </c>
      <c r="D7" s="27">
        <v>131664.56144940582</v>
      </c>
      <c r="E7" s="27">
        <v>209799.65754940585</v>
      </c>
      <c r="F7" s="27">
        <v>273590.96315740584</v>
      </c>
      <c r="G7" s="27">
        <v>282715.6104492708</v>
      </c>
      <c r="H7" s="49" t="s">
        <v>182</v>
      </c>
    </row>
    <row r="8" spans="1:8" x14ac:dyDescent="0.25">
      <c r="A8" s="25" t="s">
        <v>7</v>
      </c>
      <c r="B8" s="25" t="s">
        <v>183</v>
      </c>
      <c r="C8" s="50">
        <v>3.63</v>
      </c>
      <c r="D8" s="26">
        <v>19.92</v>
      </c>
      <c r="E8" s="26">
        <v>31.14</v>
      </c>
      <c r="F8" s="26">
        <v>40.31</v>
      </c>
      <c r="G8" s="26">
        <v>41.62</v>
      </c>
      <c r="H8" s="49" t="s">
        <v>182</v>
      </c>
    </row>
    <row r="9" spans="1:8" x14ac:dyDescent="0.25">
      <c r="A9" s="25" t="s">
        <v>7</v>
      </c>
      <c r="B9" s="25" t="s">
        <v>140</v>
      </c>
      <c r="C9" s="27">
        <v>33272.6914494058</v>
      </c>
      <c r="D9" s="27">
        <v>164937.25289881162</v>
      </c>
      <c r="E9" s="27">
        <v>374736.9104482175</v>
      </c>
      <c r="F9" s="27">
        <v>648327.8736056234</v>
      </c>
      <c r="G9" s="27">
        <v>931043.4840548942</v>
      </c>
      <c r="H9" s="49" t="s">
        <v>182</v>
      </c>
    </row>
    <row r="10" spans="1:8" x14ac:dyDescent="0.25">
      <c r="A10" s="25" t="s">
        <v>7</v>
      </c>
      <c r="B10" s="25" t="s">
        <v>184</v>
      </c>
      <c r="C10" s="26">
        <v>11</v>
      </c>
      <c r="D10" s="26">
        <v>11</v>
      </c>
      <c r="E10" s="26">
        <v>11</v>
      </c>
      <c r="F10" s="26">
        <v>11</v>
      </c>
      <c r="G10" s="26">
        <v>11</v>
      </c>
      <c r="H10" s="49" t="s">
        <v>182</v>
      </c>
    </row>
    <row r="11" spans="1:8" x14ac:dyDescent="0.25">
      <c r="A11" s="51" t="s">
        <v>7</v>
      </c>
      <c r="B11" s="25" t="s">
        <v>185</v>
      </c>
      <c r="C11" s="26">
        <v>60</v>
      </c>
      <c r="D11" s="51" t="s">
        <v>7</v>
      </c>
      <c r="E11" s="51" t="s">
        <v>7</v>
      </c>
      <c r="F11" s="51" t="s">
        <v>7</v>
      </c>
      <c r="G11" s="51" t="s">
        <v>7</v>
      </c>
      <c r="H11" s="52" t="s">
        <v>182</v>
      </c>
    </row>
    <row r="12" spans="1:8" x14ac:dyDescent="0.25">
      <c r="A12" s="51" t="s">
        <v>7</v>
      </c>
      <c r="B12" s="25" t="s">
        <v>186</v>
      </c>
      <c r="C12" s="53" t="s">
        <v>96</v>
      </c>
      <c r="D12" s="51" t="s">
        <v>7</v>
      </c>
      <c r="E12" s="51" t="s">
        <v>7</v>
      </c>
      <c r="F12" s="51" t="s">
        <v>7</v>
      </c>
      <c r="G12" s="51" t="s">
        <v>7</v>
      </c>
      <c r="H12" s="49" t="s">
        <v>182</v>
      </c>
    </row>
    <row r="14" ht="18" customHeight="1" spans="1:8" x14ac:dyDescent="0.25">
      <c r="A14" s="47" t="s">
        <v>187</v>
      </c>
      <c r="B14" s="47"/>
      <c r="C14" s="47"/>
      <c r="D14" s="47"/>
      <c r="E14" s="47"/>
      <c r="F14" s="47"/>
      <c r="G14" s="47"/>
      <c r="H14" s="47"/>
    </row>
    <row r="15" ht="24" customHeight="1" spans="1:8" x14ac:dyDescent="0.25">
      <c r="A15" s="48" t="s">
        <v>188</v>
      </c>
      <c r="B15" s="48"/>
      <c r="C15" s="48"/>
      <c r="D15" s="48"/>
      <c r="E15" s="48"/>
      <c r="F15" s="48"/>
      <c r="G15" s="48"/>
      <c r="H15" s="48"/>
    </row>
    <row r="16" spans="1:8" x14ac:dyDescent="0.25">
      <c r="A16" s="25" t="s">
        <v>7</v>
      </c>
      <c r="B16" s="25" t="s">
        <v>127</v>
      </c>
      <c r="C16" s="27">
        <v>3897.6914494058</v>
      </c>
      <c r="D16" s="27">
        <v>96136.56144940582</v>
      </c>
      <c r="E16" s="27">
        <v>173212.85754940586</v>
      </c>
      <c r="F16" s="27">
        <v>235912.58815740581</v>
      </c>
      <c r="G16" s="27">
        <v>243914.91107427084</v>
      </c>
      <c r="H16" s="32">
        <v>-14375</v>
      </c>
    </row>
    <row r="17" spans="1:8" x14ac:dyDescent="0.25">
      <c r="A17" s="25" t="s">
        <v>7</v>
      </c>
      <c r="B17" s="25" t="s">
        <v>183</v>
      </c>
      <c r="C17" s="50">
        <v>1.56</v>
      </c>
      <c r="D17" s="26">
        <v>14.81</v>
      </c>
      <c r="E17" s="26">
        <v>25.89</v>
      </c>
      <c r="F17" s="26">
        <v>34.9</v>
      </c>
      <c r="G17" s="26">
        <v>36.05</v>
      </c>
      <c r="H17" s="52">
        <v>-2.07</v>
      </c>
    </row>
    <row r="18" spans="1:8" x14ac:dyDescent="0.25">
      <c r="A18" s="25" t="s">
        <v>7</v>
      </c>
      <c r="B18" s="25" t="s">
        <v>140</v>
      </c>
      <c r="C18" s="27">
        <v>18897.6914494058</v>
      </c>
      <c r="D18" s="27">
        <v>115034.25289881162</v>
      </c>
      <c r="E18" s="27">
        <v>288247.1104482175</v>
      </c>
      <c r="F18" s="27">
        <v>524159.6986056233</v>
      </c>
      <c r="G18" s="27">
        <v>768074.6096798942</v>
      </c>
      <c r="H18" s="32">
        <v>-14375</v>
      </c>
    </row>
    <row r="19" spans="1:8" x14ac:dyDescent="0.25">
      <c r="A19" s="25" t="s">
        <v>7</v>
      </c>
      <c r="B19" s="25" t="s">
        <v>184</v>
      </c>
      <c r="C19" s="26">
        <v>11</v>
      </c>
      <c r="D19" s="26">
        <v>11</v>
      </c>
      <c r="E19" s="26">
        <v>11</v>
      </c>
      <c r="F19" s="26">
        <v>11</v>
      </c>
      <c r="G19" s="26">
        <v>11</v>
      </c>
      <c r="H19" s="52">
        <v>0</v>
      </c>
    </row>
    <row r="20" spans="1:8" x14ac:dyDescent="0.25">
      <c r="A20" s="51" t="s">
        <v>7</v>
      </c>
      <c r="B20" s="25" t="s">
        <v>185</v>
      </c>
      <c r="C20" s="26">
        <v>60</v>
      </c>
      <c r="D20" s="51" t="s">
        <v>7</v>
      </c>
      <c r="E20" s="51" t="s">
        <v>7</v>
      </c>
      <c r="F20" s="51" t="s">
        <v>7</v>
      </c>
      <c r="G20" s="51" t="s">
        <v>7</v>
      </c>
      <c r="H20" s="52">
        <v>0</v>
      </c>
    </row>
    <row r="21" spans="1:8" x14ac:dyDescent="0.25">
      <c r="A21" s="51" t="s">
        <v>7</v>
      </c>
      <c r="B21" s="25" t="s">
        <v>186</v>
      </c>
      <c r="C21" s="53" t="s">
        <v>96</v>
      </c>
      <c r="D21" s="51" t="s">
        <v>7</v>
      </c>
      <c r="E21" s="51" t="s">
        <v>7</v>
      </c>
      <c r="F21" s="51" t="s">
        <v>7</v>
      </c>
      <c r="G21" s="51" t="s">
        <v>7</v>
      </c>
      <c r="H21" s="49" t="s">
        <v>189</v>
      </c>
    </row>
    <row r="23" ht="18" customHeight="1" spans="1:8" x14ac:dyDescent="0.25">
      <c r="A23" s="47" t="s">
        <v>190</v>
      </c>
      <c r="B23" s="47"/>
      <c r="C23" s="47"/>
      <c r="D23" s="47"/>
      <c r="E23" s="47"/>
      <c r="F23" s="47"/>
      <c r="G23" s="47"/>
      <c r="H23" s="47"/>
    </row>
    <row r="24" ht="24" customHeight="1" spans="1:8" x14ac:dyDescent="0.25">
      <c r="A24" s="48" t="s">
        <v>191</v>
      </c>
      <c r="B24" s="48"/>
      <c r="C24" s="48"/>
      <c r="D24" s="48"/>
      <c r="E24" s="48"/>
      <c r="F24" s="48"/>
      <c r="G24" s="48"/>
      <c r="H24" s="48"/>
    </row>
    <row r="25" spans="1:8" x14ac:dyDescent="0.25">
      <c r="A25" s="25" t="s">
        <v>7</v>
      </c>
      <c r="B25" s="25" t="s">
        <v>127</v>
      </c>
      <c r="C25" s="27">
        <v>-10477.3085505942</v>
      </c>
      <c r="D25" s="27">
        <v>60608.561449405825</v>
      </c>
      <c r="E25" s="27">
        <v>136626.05754940587</v>
      </c>
      <c r="F25" s="27">
        <v>179395.02565740581</v>
      </c>
      <c r="G25" s="27">
        <v>185713.86201177083</v>
      </c>
      <c r="H25" s="32">
        <v>-28750</v>
      </c>
    </row>
    <row r="26" spans="1:8" x14ac:dyDescent="0.25">
      <c r="A26" s="25" t="s">
        <v>7</v>
      </c>
      <c r="B26" s="25" t="s">
        <v>183</v>
      </c>
      <c r="C26" s="26">
        <v>-0.51</v>
      </c>
      <c r="D26" s="26">
        <v>9.71</v>
      </c>
      <c r="E26" s="26">
        <v>20.63</v>
      </c>
      <c r="F26" s="26">
        <v>26.78</v>
      </c>
      <c r="G26" s="26">
        <v>27.68</v>
      </c>
      <c r="H26" s="52">
        <v>-4.14</v>
      </c>
    </row>
    <row r="27" spans="1:8" x14ac:dyDescent="0.25">
      <c r="A27" s="25" t="s">
        <v>7</v>
      </c>
      <c r="B27" s="25" t="s">
        <v>140</v>
      </c>
      <c r="C27" s="27">
        <v>4522.6914494058</v>
      </c>
      <c r="D27" s="27">
        <v>65131.252898811625</v>
      </c>
      <c r="E27" s="27">
        <v>201757.3104482175</v>
      </c>
      <c r="F27" s="27">
        <v>381152.3361056233</v>
      </c>
      <c r="G27" s="27">
        <v>566866.1981173941</v>
      </c>
      <c r="H27" s="32">
        <v>-28750</v>
      </c>
    </row>
    <row r="28" spans="1:8" x14ac:dyDescent="0.25">
      <c r="A28" s="25" t="s">
        <v>7</v>
      </c>
      <c r="B28" s="25" t="s">
        <v>184</v>
      </c>
      <c r="C28" s="26">
        <v>11</v>
      </c>
      <c r="D28" s="26">
        <v>11</v>
      </c>
      <c r="E28" s="26">
        <v>11</v>
      </c>
      <c r="F28" s="26">
        <v>11</v>
      </c>
      <c r="G28" s="26">
        <v>11</v>
      </c>
      <c r="H28" s="52">
        <v>0</v>
      </c>
    </row>
    <row r="29" spans="1:8" x14ac:dyDescent="0.25">
      <c r="A29" s="51" t="s">
        <v>7</v>
      </c>
      <c r="B29" s="25" t="s">
        <v>185</v>
      </c>
      <c r="C29" s="26">
        <v>6</v>
      </c>
      <c r="D29" s="51" t="s">
        <v>7</v>
      </c>
      <c r="E29" s="51" t="s">
        <v>7</v>
      </c>
      <c r="F29" s="51" t="s">
        <v>7</v>
      </c>
      <c r="G29" s="51" t="s">
        <v>7</v>
      </c>
      <c r="H29" s="52">
        <v>-54</v>
      </c>
    </row>
    <row r="30" spans="1:8" x14ac:dyDescent="0.25">
      <c r="A30" s="51" t="s">
        <v>7</v>
      </c>
      <c r="B30" s="25" t="s">
        <v>186</v>
      </c>
      <c r="C30" s="53" t="s">
        <v>97</v>
      </c>
      <c r="D30" s="51" t="s">
        <v>7</v>
      </c>
      <c r="E30" s="51" t="s">
        <v>7</v>
      </c>
      <c r="F30" s="51" t="s">
        <v>7</v>
      </c>
      <c r="G30" s="51" t="s">
        <v>7</v>
      </c>
      <c r="H30" s="49" t="s">
        <v>192</v>
      </c>
    </row>
    <row r="32" ht="18" customHeight="1" spans="1:8" x14ac:dyDescent="0.25">
      <c r="A32" s="47" t="s">
        <v>193</v>
      </c>
      <c r="B32" s="47"/>
      <c r="C32" s="47"/>
      <c r="D32" s="47"/>
      <c r="E32" s="47"/>
      <c r="F32" s="47"/>
      <c r="G32" s="47"/>
      <c r="H32" s="47"/>
    </row>
    <row r="33" ht="24" customHeight="1" spans="1:8" x14ac:dyDescent="0.25">
      <c r="A33" s="48" t="s">
        <v>194</v>
      </c>
      <c r="B33" s="48"/>
      <c r="C33" s="48"/>
      <c r="D33" s="48"/>
      <c r="E33" s="48"/>
      <c r="F33" s="48"/>
      <c r="G33" s="48"/>
      <c r="H33" s="48"/>
    </row>
    <row r="34" spans="1:8" x14ac:dyDescent="0.25">
      <c r="A34" s="25" t="s">
        <v>7</v>
      </c>
      <c r="B34" s="25" t="s">
        <v>127</v>
      </c>
      <c r="C34" s="27">
        <v>772.6914494058001</v>
      </c>
      <c r="D34" s="27">
        <v>131664.56144940582</v>
      </c>
      <c r="E34" s="27">
        <v>209799.65754940585</v>
      </c>
      <c r="F34" s="27">
        <v>273590.96315740584</v>
      </c>
      <c r="G34" s="27">
        <v>282715.6104492708</v>
      </c>
      <c r="H34" s="32">
        <v>-17500</v>
      </c>
    </row>
    <row r="35" spans="1:8" x14ac:dyDescent="0.25">
      <c r="A35" s="25" t="s">
        <v>7</v>
      </c>
      <c r="B35" s="25" t="s">
        <v>183</v>
      </c>
      <c r="C35" s="54">
        <v>1.11</v>
      </c>
      <c r="D35" s="26">
        <v>19.92</v>
      </c>
      <c r="E35" s="26">
        <v>31.14</v>
      </c>
      <c r="F35" s="26">
        <v>40.31</v>
      </c>
      <c r="G35" s="26">
        <v>41.62</v>
      </c>
      <c r="H35" s="52">
        <v>-2.5199999999999996</v>
      </c>
    </row>
    <row r="36" spans="1:8" x14ac:dyDescent="0.25">
      <c r="A36" s="25" t="s">
        <v>7</v>
      </c>
      <c r="B36" s="25" t="s">
        <v>140</v>
      </c>
      <c r="C36" s="27">
        <v>15772.6914494058</v>
      </c>
      <c r="D36" s="27">
        <v>147437.25289881162</v>
      </c>
      <c r="E36" s="27">
        <v>357236.9104482175</v>
      </c>
      <c r="F36" s="27">
        <v>630827.8736056234</v>
      </c>
      <c r="G36" s="27">
        <v>913543.4840548942</v>
      </c>
      <c r="H36" s="32">
        <v>-17500</v>
      </c>
    </row>
    <row r="37" spans="1:8" x14ac:dyDescent="0.25">
      <c r="A37" s="25" t="s">
        <v>7</v>
      </c>
      <c r="B37" s="25" t="s">
        <v>184</v>
      </c>
      <c r="C37" s="26">
        <v>12</v>
      </c>
      <c r="D37" s="26">
        <v>11</v>
      </c>
      <c r="E37" s="26">
        <v>11</v>
      </c>
      <c r="F37" s="26">
        <v>11</v>
      </c>
      <c r="G37" s="26">
        <v>11</v>
      </c>
      <c r="H37" s="52">
        <v>1</v>
      </c>
    </row>
    <row r="38" spans="1:8" x14ac:dyDescent="0.25">
      <c r="A38" s="51" t="s">
        <v>7</v>
      </c>
      <c r="B38" s="25" t="s">
        <v>185</v>
      </c>
      <c r="C38" s="26">
        <v>9</v>
      </c>
      <c r="D38" s="51" t="s">
        <v>7</v>
      </c>
      <c r="E38" s="51" t="s">
        <v>7</v>
      </c>
      <c r="F38" s="51" t="s">
        <v>7</v>
      </c>
      <c r="G38" s="51" t="s">
        <v>7</v>
      </c>
      <c r="H38" s="52">
        <v>-51</v>
      </c>
    </row>
    <row r="39" spans="1:8" x14ac:dyDescent="0.25">
      <c r="A39" s="51" t="s">
        <v>7</v>
      </c>
      <c r="B39" s="25" t="s">
        <v>186</v>
      </c>
      <c r="C39" s="53" t="s">
        <v>96</v>
      </c>
      <c r="D39" s="51" t="s">
        <v>7</v>
      </c>
      <c r="E39" s="51" t="s">
        <v>7</v>
      </c>
      <c r="F39" s="51" t="s">
        <v>7</v>
      </c>
      <c r="G39" s="51" t="s">
        <v>7</v>
      </c>
      <c r="H39" s="49" t="s">
        <v>189</v>
      </c>
    </row>
    <row r="41" ht="18" customHeight="1" spans="1:8" x14ac:dyDescent="0.25">
      <c r="A41" s="47" t="s">
        <v>195</v>
      </c>
      <c r="B41" s="47"/>
      <c r="C41" s="47"/>
      <c r="D41" s="47"/>
      <c r="E41" s="47"/>
      <c r="F41" s="47"/>
      <c r="G41" s="47"/>
      <c r="H41" s="47"/>
    </row>
    <row r="42" ht="24" customHeight="1" spans="1:8" x14ac:dyDescent="0.25">
      <c r="A42" s="48" t="s">
        <v>196</v>
      </c>
      <c r="B42" s="48"/>
      <c r="C42" s="48"/>
      <c r="D42" s="48"/>
      <c r="E42" s="48"/>
      <c r="F42" s="48"/>
      <c r="G42" s="48"/>
      <c r="H42" s="48"/>
    </row>
    <row r="43" spans="1:8" x14ac:dyDescent="0.25">
      <c r="A43" s="25" t="s">
        <v>7</v>
      </c>
      <c r="B43" s="25" t="s">
        <v>127</v>
      </c>
      <c r="C43" s="27">
        <v>10772.6914494058</v>
      </c>
      <c r="D43" s="27">
        <v>122402.06144940582</v>
      </c>
      <c r="E43" s="27">
        <v>200266.97004940585</v>
      </c>
      <c r="F43" s="27">
        <v>263780.17471990583</v>
      </c>
      <c r="G43" s="27">
        <v>272618.5750383333</v>
      </c>
      <c r="H43" s="32">
        <v>-7500</v>
      </c>
    </row>
    <row r="44" spans="1:8" x14ac:dyDescent="0.25">
      <c r="A44" s="25" t="s">
        <v>7</v>
      </c>
      <c r="B44" s="25" t="s">
        <v>183</v>
      </c>
      <c r="C44" s="50">
        <v>2.55</v>
      </c>
      <c r="D44" s="26">
        <v>18.59</v>
      </c>
      <c r="E44" s="26">
        <v>29.77</v>
      </c>
      <c r="F44" s="26">
        <v>38.9</v>
      </c>
      <c r="G44" s="26">
        <v>40.17</v>
      </c>
      <c r="H44" s="52">
        <v>-1.08</v>
      </c>
    </row>
    <row r="45" spans="1:8" x14ac:dyDescent="0.25">
      <c r="A45" s="25" t="s">
        <v>7</v>
      </c>
      <c r="B45" s="25" t="s">
        <v>140</v>
      </c>
      <c r="C45" s="27">
        <v>25772.6914494058</v>
      </c>
      <c r="D45" s="27">
        <v>148174.75289881162</v>
      </c>
      <c r="E45" s="27">
        <v>348441.7229482175</v>
      </c>
      <c r="F45" s="27">
        <v>612221.8976681232</v>
      </c>
      <c r="G45" s="27">
        <v>884840.4727064566</v>
      </c>
      <c r="H45" s="32">
        <v>-7500</v>
      </c>
    </row>
    <row r="46" spans="1:8" x14ac:dyDescent="0.25">
      <c r="A46" s="25" t="s">
        <v>7</v>
      </c>
      <c r="B46" s="25" t="s">
        <v>184</v>
      </c>
      <c r="C46" s="26">
        <v>12</v>
      </c>
      <c r="D46" s="26">
        <v>12</v>
      </c>
      <c r="E46" s="26">
        <v>12</v>
      </c>
      <c r="F46" s="26">
        <v>12</v>
      </c>
      <c r="G46" s="26">
        <v>12</v>
      </c>
      <c r="H46" s="52">
        <v>1</v>
      </c>
    </row>
    <row r="47" spans="1:8" x14ac:dyDescent="0.25">
      <c r="A47" s="51" t="s">
        <v>7</v>
      </c>
      <c r="B47" s="25" t="s">
        <v>185</v>
      </c>
      <c r="C47" s="26">
        <v>60</v>
      </c>
      <c r="D47" s="51" t="s">
        <v>7</v>
      </c>
      <c r="E47" s="51" t="s">
        <v>7</v>
      </c>
      <c r="F47" s="51" t="s">
        <v>7</v>
      </c>
      <c r="G47" s="51" t="s">
        <v>7</v>
      </c>
      <c r="H47" s="52">
        <v>0</v>
      </c>
    </row>
    <row r="48" spans="1:8" x14ac:dyDescent="0.25">
      <c r="A48" s="51" t="s">
        <v>7</v>
      </c>
      <c r="B48" s="25" t="s">
        <v>186</v>
      </c>
      <c r="C48" s="53" t="s">
        <v>96</v>
      </c>
      <c r="D48" s="51" t="s">
        <v>7</v>
      </c>
      <c r="E48" s="51" t="s">
        <v>7</v>
      </c>
      <c r="F48" s="51" t="s">
        <v>7</v>
      </c>
      <c r="G48" s="51" t="s">
        <v>7</v>
      </c>
      <c r="H48" s="49" t="s">
        <v>189</v>
      </c>
    </row>
    <row r="50" ht="18" customHeight="1" spans="1:8" x14ac:dyDescent="0.25">
      <c r="A50" s="47" t="s">
        <v>197</v>
      </c>
      <c r="B50" s="47"/>
      <c r="C50" s="47"/>
      <c r="D50" s="47"/>
      <c r="E50" s="47"/>
      <c r="F50" s="47"/>
      <c r="G50" s="47"/>
      <c r="H50" s="47"/>
    </row>
    <row r="51" ht="24" customHeight="1" spans="1:8" x14ac:dyDescent="0.25">
      <c r="A51" s="48" t="s">
        <v>198</v>
      </c>
      <c r="B51" s="48"/>
      <c r="C51" s="48"/>
      <c r="D51" s="48"/>
      <c r="E51" s="48"/>
      <c r="F51" s="48"/>
      <c r="G51" s="48"/>
      <c r="H51" s="48"/>
    </row>
    <row r="52" spans="1:8" x14ac:dyDescent="0.25">
      <c r="A52" s="25" t="s">
        <v>7</v>
      </c>
      <c r="B52" s="25" t="s">
        <v>127</v>
      </c>
      <c r="C52" s="27">
        <v>-874.8085505941999</v>
      </c>
      <c r="D52" s="27">
        <v>112070.28644940583</v>
      </c>
      <c r="E52" s="27">
        <v>189822.43254940584</v>
      </c>
      <c r="F52" s="27">
        <v>253294.61315740584</v>
      </c>
      <c r="G52" s="27">
        <v>260891.2899492708</v>
      </c>
      <c r="H52" s="32">
        <v>-19147.5</v>
      </c>
    </row>
    <row r="53" spans="1:8" x14ac:dyDescent="0.25">
      <c r="A53" s="25" t="s">
        <v>7</v>
      </c>
      <c r="B53" s="25" t="s">
        <v>183</v>
      </c>
      <c r="C53" s="54">
        <v>0.87</v>
      </c>
      <c r="D53" s="26">
        <v>17.1</v>
      </c>
      <c r="E53" s="26">
        <v>28.27</v>
      </c>
      <c r="F53" s="26">
        <v>37.39</v>
      </c>
      <c r="G53" s="26">
        <v>38.49</v>
      </c>
      <c r="H53" s="52">
        <v>-2.76</v>
      </c>
    </row>
    <row r="54" spans="1:8" x14ac:dyDescent="0.25">
      <c r="A54" s="25" t="s">
        <v>7</v>
      </c>
      <c r="B54" s="25" t="s">
        <v>140</v>
      </c>
      <c r="C54" s="27">
        <v>33272.6914494058</v>
      </c>
      <c r="D54" s="27">
        <v>164937.25289881162</v>
      </c>
      <c r="E54" s="27">
        <v>374736.9104482175</v>
      </c>
      <c r="F54" s="27">
        <v>648327.8736056234</v>
      </c>
      <c r="G54" s="27">
        <v>931043.4840548942</v>
      </c>
      <c r="H54" s="32">
        <v>0</v>
      </c>
    </row>
    <row r="55" spans="1:8" x14ac:dyDescent="0.25">
      <c r="A55" s="25" t="s">
        <v>7</v>
      </c>
      <c r="B55" s="25" t="s">
        <v>184</v>
      </c>
      <c r="C55" s="26">
        <v>11</v>
      </c>
      <c r="D55" s="26">
        <v>11</v>
      </c>
      <c r="E55" s="26">
        <v>11</v>
      </c>
      <c r="F55" s="26">
        <v>11</v>
      </c>
      <c r="G55" s="26">
        <v>11</v>
      </c>
      <c r="H55" s="52">
        <v>0</v>
      </c>
    </row>
    <row r="56" spans="1:8" x14ac:dyDescent="0.25">
      <c r="A56" s="51" t="s">
        <v>7</v>
      </c>
      <c r="B56" s="25" t="s">
        <v>185</v>
      </c>
      <c r="C56" s="26">
        <v>60</v>
      </c>
      <c r="D56" s="51" t="s">
        <v>7</v>
      </c>
      <c r="E56" s="51" t="s">
        <v>7</v>
      </c>
      <c r="F56" s="51" t="s">
        <v>7</v>
      </c>
      <c r="G56" s="51" t="s">
        <v>7</v>
      </c>
      <c r="H56" s="52">
        <v>0</v>
      </c>
    </row>
    <row r="57" spans="1:8" x14ac:dyDescent="0.25">
      <c r="A57" s="51" t="s">
        <v>7</v>
      </c>
      <c r="B57" s="25" t="s">
        <v>186</v>
      </c>
      <c r="C57" s="53" t="s">
        <v>97</v>
      </c>
      <c r="D57" s="51" t="s">
        <v>7</v>
      </c>
      <c r="E57" s="51" t="s">
        <v>7</v>
      </c>
      <c r="F57" s="51" t="s">
        <v>7</v>
      </c>
      <c r="G57" s="51" t="s">
        <v>7</v>
      </c>
      <c r="H57" s="49" t="s">
        <v>192</v>
      </c>
    </row>
  </sheetData>
  <mergeCells count="14">
    <mergeCell ref="A1:H1"/>
    <mergeCell ref="A2:H2"/>
    <mergeCell ref="A5:H5"/>
    <mergeCell ref="A6:H6"/>
    <mergeCell ref="A14:H14"/>
    <mergeCell ref="A15:H15"/>
    <mergeCell ref="A23:H23"/>
    <mergeCell ref="A24:H24"/>
    <mergeCell ref="A32:H32"/>
    <mergeCell ref="A33:H33"/>
    <mergeCell ref="A41:H41"/>
    <mergeCell ref="A42:H42"/>
    <mergeCell ref="A50:H50"/>
    <mergeCell ref="A51:H5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A1:H11"/>
  <sheetFormatPr defaultRowHeight="15" outlineLevelRow="0" outlineLevelCol="0" x14ac:dyDescent="55"/>
  <cols>
    <col min="1" max="1" width="3" customWidth="1"/>
    <col min="2" max="2" width="30" customWidth="1"/>
    <col min="3" max="3" width="22" customWidth="1"/>
    <col min="4" max="4" width="14" customWidth="1"/>
    <col min="5" max="5" width="30" customWidth="1"/>
    <col min="6" max="6" width="18" customWidth="1"/>
    <col min="7" max="7" width="38" customWidth="1"/>
    <col min="8" max="8" width="50" customWidth="1"/>
  </cols>
  <sheetData>
    <row r="1" ht="24" customHeight="1" spans="2:8" x14ac:dyDescent="0.25">
      <c r="B1" s="13" t="s">
        <v>199</v>
      </c>
      <c r="C1" s="13"/>
      <c r="D1" s="13"/>
      <c r="E1" s="13"/>
      <c r="F1" s="13"/>
      <c r="G1" s="13"/>
      <c r="H1" s="13"/>
    </row>
    <row r="2" ht="44" customHeight="1" spans="2:8" x14ac:dyDescent="0.25">
      <c r="B2" s="55" t="s">
        <v>200</v>
      </c>
      <c r="C2" s="55"/>
      <c r="D2" s="55"/>
      <c r="E2" s="55"/>
      <c r="F2" s="55"/>
      <c r="G2" s="55"/>
      <c r="H2" s="55"/>
    </row>
    <row r="4" ht="28" customHeight="1" spans="2:8" x14ac:dyDescent="0.25">
      <c r="B4" s="56" t="s">
        <v>201</v>
      </c>
      <c r="C4" s="56" t="s">
        <v>202</v>
      </c>
      <c r="D4" s="56" t="s">
        <v>203</v>
      </c>
      <c r="E4" s="56" t="s">
        <v>204</v>
      </c>
      <c r="F4" s="56" t="s">
        <v>205</v>
      </c>
      <c r="G4" s="56" t="s">
        <v>206</v>
      </c>
      <c r="H4" s="56" t="s">
        <v>207</v>
      </c>
    </row>
    <row r="5" ht="64" customHeight="1" spans="1:8" x14ac:dyDescent="0.25">
      <c r="A5" s="57"/>
      <c r="B5" s="58" t="s">
        <v>208</v>
      </c>
      <c r="C5" s="59" t="s">
        <v>209</v>
      </c>
      <c r="D5" s="60" t="s">
        <v>210</v>
      </c>
      <c r="E5" s="59" t="s">
        <v>211</v>
      </c>
      <c r="F5" s="61" t="s">
        <v>212</v>
      </c>
      <c r="G5" s="59" t="s">
        <v>213</v>
      </c>
      <c r="H5" s="59" t="s">
        <v>214</v>
      </c>
    </row>
    <row r="6" ht="32" customHeight="1" spans="1:8" x14ac:dyDescent="0.25">
      <c r="A6" s="57"/>
      <c r="B6" s="58" t="s">
        <v>215</v>
      </c>
      <c r="C6" s="59" t="s">
        <v>216</v>
      </c>
      <c r="D6" s="60" t="s">
        <v>210</v>
      </c>
      <c r="E6" s="59" t="s">
        <v>217</v>
      </c>
      <c r="F6" s="61" t="s">
        <v>218</v>
      </c>
      <c r="G6" s="59" t="s">
        <v>219</v>
      </c>
      <c r="H6" s="59" t="s">
        <v>220</v>
      </c>
    </row>
    <row r="7" ht="64" customHeight="1" spans="1:8" x14ac:dyDescent="0.25">
      <c r="A7" s="62"/>
      <c r="B7" s="58" t="s">
        <v>221</v>
      </c>
      <c r="C7" s="59" t="s">
        <v>222</v>
      </c>
      <c r="D7" s="63" t="s">
        <v>223</v>
      </c>
      <c r="E7" s="59" t="s">
        <v>182</v>
      </c>
      <c r="F7" s="61" t="s">
        <v>224</v>
      </c>
      <c r="G7" s="59" t="s">
        <v>225</v>
      </c>
      <c r="H7" s="59" t="s">
        <v>226</v>
      </c>
    </row>
    <row r="8" ht="32" customHeight="1" spans="1:8" x14ac:dyDescent="0.25">
      <c r="A8" s="64"/>
      <c r="B8" s="58" t="s">
        <v>227</v>
      </c>
      <c r="C8" s="59" t="s">
        <v>216</v>
      </c>
      <c r="D8" s="65" t="s">
        <v>228</v>
      </c>
      <c r="E8" s="59" t="s">
        <v>182</v>
      </c>
      <c r="F8" s="61" t="s">
        <v>229</v>
      </c>
      <c r="G8" s="59" t="s">
        <v>230</v>
      </c>
      <c r="H8" s="59" t="s">
        <v>231</v>
      </c>
    </row>
    <row r="9" ht="32" customHeight="1" spans="1:8" x14ac:dyDescent="0.25">
      <c r="A9" s="64"/>
      <c r="B9" s="58" t="s">
        <v>232</v>
      </c>
      <c r="C9" s="59" t="s">
        <v>222</v>
      </c>
      <c r="D9" s="65" t="s">
        <v>228</v>
      </c>
      <c r="E9" s="59" t="s">
        <v>182</v>
      </c>
      <c r="F9" s="61" t="s">
        <v>233</v>
      </c>
      <c r="G9" s="59" t="s">
        <v>234</v>
      </c>
      <c r="H9" s="59" t="s">
        <v>235</v>
      </c>
    </row>
    <row r="11" spans="2:8" x14ac:dyDescent="0.25">
      <c r="B11" s="12" t="s">
        <v>174</v>
      </c>
      <c r="C11" s="12"/>
      <c r="D11" s="12"/>
      <c r="E11" s="12"/>
      <c r="F11" s="12"/>
      <c r="G11" s="12"/>
      <c r="H11" s="12"/>
    </row>
  </sheetData>
  <mergeCells count="3">
    <mergeCell ref="B1:H1"/>
    <mergeCell ref="B2:H2"/>
    <mergeCell ref="B11:H1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I40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9" x14ac:dyDescent="0.25">
      <c r="B2" s="1" t="s">
        <v>236</v>
      </c>
      <c r="C2" s="1"/>
      <c r="D2" s="1"/>
      <c r="E2" s="1"/>
      <c r="F2" s="1"/>
      <c r="G2" s="1"/>
      <c r="H2" s="1"/>
      <c r="I2" s="1"/>
    </row>
    <row r="3" spans="2:9" x14ac:dyDescent="0.25">
      <c r="B3" s="12" t="s">
        <v>40</v>
      </c>
      <c r="C3" s="12"/>
      <c r="D3" s="12"/>
      <c r="E3" s="12"/>
      <c r="F3" s="12"/>
      <c r="G3" s="12"/>
      <c r="H3" s="12"/>
      <c r="I3" s="12"/>
    </row>
    <row r="4" spans="2:6" x14ac:dyDescent="0.25">
      <c r="B4" s="66" t="s">
        <v>237</v>
      </c>
      <c r="D4" s="67" t="s">
        <v>238</v>
      </c>
      <c r="F4" s="68" t="s">
        <v>239</v>
      </c>
    </row>
    <row r="6" ht="24" customHeight="1" spans="2:8" x14ac:dyDescent="0.25">
      <c r="B6" s="69" t="s">
        <v>178</v>
      </c>
      <c r="C6" s="70" t="s">
        <v>96</v>
      </c>
      <c r="D6" s="70" t="s">
        <v>97</v>
      </c>
      <c r="E6" s="70" t="s">
        <v>98</v>
      </c>
      <c r="F6" s="70" t="s">
        <v>99</v>
      </c>
      <c r="G6" s="70" t="s">
        <v>100</v>
      </c>
      <c r="H6" s="70" t="s">
        <v>240</v>
      </c>
    </row>
    <row r="7" spans="2:7" x14ac:dyDescent="0.25">
      <c r="B7" s="25" t="s">
        <v>101</v>
      </c>
      <c r="C7" s="26">
        <v>12</v>
      </c>
      <c r="D7" s="26">
        <v>18</v>
      </c>
      <c r="E7" s="26">
        <v>22</v>
      </c>
      <c r="F7" s="26">
        <v>25</v>
      </c>
      <c r="G7" s="26">
        <v>25</v>
      </c>
    </row>
    <row r="8" spans="2:7" x14ac:dyDescent="0.25">
      <c r="B8" s="25" t="s">
        <v>241</v>
      </c>
      <c r="C8" s="27">
        <v>89000</v>
      </c>
      <c r="D8" s="27">
        <v>134780</v>
      </c>
      <c r="E8" s="27">
        <v>168378.6</v>
      </c>
      <c r="F8" s="27">
        <v>196227.225</v>
      </c>
      <c r="G8" s="27">
        <v>201964.04175000003</v>
      </c>
    </row>
    <row r="9" spans="2:7" x14ac:dyDescent="0.25">
      <c r="B9" s="25" t="s">
        <v>242</v>
      </c>
      <c r="C9" s="27">
        <v>153600</v>
      </c>
      <c r="D9" s="27">
        <v>203322</v>
      </c>
      <c r="E9" s="27">
        <v>209421.65999999997</v>
      </c>
      <c r="F9" s="27">
        <v>263565.7524</v>
      </c>
      <c r="G9" s="27">
        <v>271472.724972</v>
      </c>
    </row>
    <row r="10" spans="2:7" x14ac:dyDescent="0.25">
      <c r="B10" s="25" t="s">
        <v>243</v>
      </c>
      <c r="C10" s="27">
        <v>48600</v>
      </c>
      <c r="D10" s="27">
        <v>59598.00000000001</v>
      </c>
      <c r="E10" s="27">
        <v>75702.94327272728</v>
      </c>
      <c r="F10" s="27">
        <v>100152.37105691597</v>
      </c>
      <c r="G10" s="27">
        <v>130993.31134296517</v>
      </c>
    </row>
    <row r="11" spans="2:7" x14ac:dyDescent="0.25">
      <c r="B11" s="25" t="s">
        <v>244</v>
      </c>
      <c r="C11" s="27">
        <v>6959.808550594178</v>
      </c>
      <c r="D11" s="27">
        <v>6959.808550594178</v>
      </c>
      <c r="E11" s="27">
        <v>6959.808550594178</v>
      </c>
      <c r="F11" s="27">
        <v>6959.808550594178</v>
      </c>
      <c r="G11" s="27">
        <v>6959.808550594178</v>
      </c>
    </row>
    <row r="12" spans="2:7" x14ac:dyDescent="0.25">
      <c r="B12" s="28" t="s">
        <v>127</v>
      </c>
      <c r="C12" s="30">
        <v>-120159.80855059417</v>
      </c>
      <c r="D12" s="30">
        <v>-135099.80855059417</v>
      </c>
      <c r="E12" s="30">
        <v>-123705.81182332139</v>
      </c>
      <c r="F12" s="30">
        <v>-174450.70700751012</v>
      </c>
      <c r="G12" s="30">
        <v>-207461.8031155593</v>
      </c>
    </row>
    <row r="13" spans="2:7" x14ac:dyDescent="0.25">
      <c r="B13" s="28" t="s">
        <v>140</v>
      </c>
      <c r="C13" s="30">
        <v>-120159.80855059417</v>
      </c>
      <c r="D13" s="30">
        <v>-255259.61710118834</v>
      </c>
      <c r="E13" s="30">
        <v>-378965.42892450973</v>
      </c>
      <c r="F13" s="30">
        <v>-553416.1359320199</v>
      </c>
      <c r="G13" s="30">
        <v>-760877.9390475792</v>
      </c>
    </row>
    <row r="14" spans="2:7" x14ac:dyDescent="0.25">
      <c r="B14" s="28" t="s">
        <v>128</v>
      </c>
      <c r="C14" s="71">
        <v>-1.3501102084336423</v>
      </c>
      <c r="D14" s="71">
        <v>-1.0023728190428414</v>
      </c>
      <c r="E14" s="71">
        <v>-0.7346884451071656</v>
      </c>
      <c r="F14" s="71">
        <v>-0.8890239721196186</v>
      </c>
      <c r="G14" s="71">
        <v>-1.0272214861513054</v>
      </c>
    </row>
    <row r="15" spans="2:8" x14ac:dyDescent="0.25">
      <c r="B15" s="28" t="s">
        <v>245</v>
      </c>
      <c r="C15" s="72">
        <v>7416.666666666667</v>
      </c>
      <c r="D15" s="72">
        <v>7487.777777777777</v>
      </c>
      <c r="E15" s="72">
        <v>7653.572727272727</v>
      </c>
      <c r="F15" s="72">
        <v>7849.089</v>
      </c>
      <c r="G15" s="72">
        <v>8078.561670000001</v>
      </c>
      <c r="H15" s="73" t="s">
        <v>246</v>
      </c>
    </row>
    <row r="16" spans="2:7" x14ac:dyDescent="0.25">
      <c r="B16" s="28" t="s">
        <v>247</v>
      </c>
      <c r="C16" s="32">
        <v>17429.984045882848</v>
      </c>
      <c r="D16" s="32">
        <v>14993.322697255233</v>
      </c>
      <c r="E16" s="32">
        <v>13276.564173787337</v>
      </c>
      <c r="F16" s="32">
        <v>14827.117280300406</v>
      </c>
      <c r="G16" s="32">
        <v>16377.033794622375</v>
      </c>
    </row>
    <row r="17" spans="2:7" x14ac:dyDescent="0.25">
      <c r="B17" s="25" t="s">
        <v>248</v>
      </c>
      <c r="C17" s="27">
        <v>500</v>
      </c>
      <c r="D17" s="27">
        <v>772.5</v>
      </c>
      <c r="E17" s="27">
        <v>1193.5124999999998</v>
      </c>
      <c r="F17" s="27">
        <v>1843.9768124999996</v>
      </c>
      <c r="G17" s="27">
        <v>2848.9441753124993</v>
      </c>
    </row>
    <row r="18" spans="2:8" x14ac:dyDescent="0.25">
      <c r="B18" s="25" t="s">
        <v>249</v>
      </c>
      <c r="C18" s="72">
        <v>3000</v>
      </c>
      <c r="D18" s="72">
        <v>2058.666666666667</v>
      </c>
      <c r="E18" s="74">
        <v>1733.7716363636368</v>
      </c>
      <c r="F18" s="74">
        <v>1570.4734651733338</v>
      </c>
      <c r="G18" s="74">
        <v>1616.5406868184184</v>
      </c>
      <c r="H18" s="73" t="s">
        <v>250</v>
      </c>
    </row>
    <row r="19" spans="2:7" x14ac:dyDescent="0.25">
      <c r="B19" s="28" t="s">
        <v>251</v>
      </c>
      <c r="C19" s="39">
        <v>-10013.317379216182</v>
      </c>
      <c r="D19" s="39">
        <v>-7505.544919477454</v>
      </c>
      <c r="E19" s="39">
        <v>-5622.9914465146085</v>
      </c>
      <c r="F19" s="39">
        <v>-6978.028280300405</v>
      </c>
      <c r="G19" s="39">
        <v>-8298.472124622373</v>
      </c>
    </row>
    <row r="20" spans="2:8" x14ac:dyDescent="0.25">
      <c r="B20" s="28" t="s">
        <v>252</v>
      </c>
      <c r="C20" s="71">
        <v>1.7258426966292135</v>
      </c>
      <c r="D20" s="71">
        <v>1.5085472622050748</v>
      </c>
      <c r="E20" s="71">
        <v>1.2437546101464199</v>
      </c>
      <c r="F20" s="71">
        <v>1.3431660790188518</v>
      </c>
      <c r="G20" s="71">
        <v>1.344163657152598</v>
      </c>
      <c r="H20" s="73" t="s">
        <v>253</v>
      </c>
    </row>
    <row r="21" spans="2:8" x14ac:dyDescent="0.25">
      <c r="B21" s="28" t="s">
        <v>254</v>
      </c>
      <c r="C21" s="71">
        <v>0.4044943820224719</v>
      </c>
      <c r="D21" s="71">
        <v>0.27493693426324384</v>
      </c>
      <c r="E21" s="71">
        <v>0.22653101997522254</v>
      </c>
      <c r="F21" s="75">
        <v>0.20008353392009362</v>
      </c>
      <c r="G21" s="75">
        <v>0.2001025371659282</v>
      </c>
      <c r="H21" s="73" t="s">
        <v>255</v>
      </c>
    </row>
    <row r="22" spans="2:8" x14ac:dyDescent="0.25">
      <c r="B22" s="28" t="s">
        <v>124</v>
      </c>
      <c r="C22" s="71">
        <v>-1.2719101123595506</v>
      </c>
      <c r="D22" s="71">
        <v>-0.9507345303457486</v>
      </c>
      <c r="E22" s="71">
        <v>-0.6933541630155331</v>
      </c>
      <c r="F22" s="71">
        <v>-0.8535558633972221</v>
      </c>
      <c r="G22" s="71">
        <v>-0.99276085399972</v>
      </c>
      <c r="H22" s="73" t="s">
        <v>256</v>
      </c>
    </row>
    <row r="23" spans="2:8" x14ac:dyDescent="0.25">
      <c r="B23" s="28" t="s">
        <v>257</v>
      </c>
      <c r="C23" s="76">
        <v>2</v>
      </c>
      <c r="D23" s="76">
        <v>2</v>
      </c>
      <c r="E23" s="76">
        <v>2</v>
      </c>
      <c r="F23" s="76">
        <v>2</v>
      </c>
      <c r="G23" s="76">
        <v>2</v>
      </c>
      <c r="H23" s="73" t="s">
        <v>258</v>
      </c>
    </row>
    <row r="24" spans="2:8" x14ac:dyDescent="0.25">
      <c r="B24" s="28" t="s">
        <v>183</v>
      </c>
      <c r="C24" s="77">
        <v>-16.26481521396674</v>
      </c>
      <c r="D24" s="77">
        <v>-18.411425985138678</v>
      </c>
      <c r="E24" s="77">
        <v>-16.77431245759775</v>
      </c>
      <c r="F24" s="77">
        <v>-24.065446231651993</v>
      </c>
      <c r="G24" s="77">
        <v>-28.808550279425102</v>
      </c>
      <c r="H24" s="73" t="s">
        <v>259</v>
      </c>
    </row>
    <row r="25" spans="2:8" x14ac:dyDescent="0.25">
      <c r="B25" s="28" t="s">
        <v>260</v>
      </c>
      <c r="C25" s="78" t="str">
        <f>IF('5-Year P&amp;L'!C24&gt;=0,"✓ Break-even","")</f>
        <v>0</v>
      </c>
      <c r="D25" s="78" t="str">
        <f>IF(AND('5-Year P&amp;L'!D24&gt;=0,'5-Year P&amp;L'!C24&lt;0),"✓ Break-even","")</f>
        <v>0</v>
      </c>
      <c r="E25" s="78" t="str">
        <f>IF(AND('5-Year P&amp;L'!E24&gt;=0,'5-Year P&amp;L'!D24&lt;0),"✓ Break-even","")</f>
        <v>0</v>
      </c>
      <c r="F25" s="78" t="str">
        <f>IF(AND('5-Year P&amp;L'!F24&gt;=0,'5-Year P&amp;L'!E24&lt;0),"✓ Break-even","")</f>
        <v>0</v>
      </c>
      <c r="G25" s="78" t="str">
        <f>IF(AND('5-Year P&amp;L'!G24&gt;=0,'5-Year P&amp;L'!F24&lt;0),"✓ Break-even","")</f>
        <v>0</v>
      </c>
      <c r="H25" s="73" t="s">
        <v>96</v>
      </c>
    </row>
    <row r="26" spans="2:8" x14ac:dyDescent="0.25">
      <c r="B26" s="28" t="s">
        <v>261</v>
      </c>
      <c r="C26" s="79">
        <v>-7</v>
      </c>
      <c r="D26" s="79">
        <v>-11</v>
      </c>
      <c r="E26" s="79">
        <v>-16</v>
      </c>
      <c r="F26" s="79">
        <v>-18</v>
      </c>
      <c r="G26" s="79">
        <v>-22</v>
      </c>
      <c r="H26" s="73" t="s">
        <v>262</v>
      </c>
    </row>
    <row r="27" spans="2:8" x14ac:dyDescent="0.25">
      <c r="B27" s="28" t="s">
        <v>263</v>
      </c>
      <c r="C27" s="79">
        <v>0</v>
      </c>
      <c r="D27" s="79">
        <v>0</v>
      </c>
      <c r="E27" s="79">
        <v>0</v>
      </c>
      <c r="F27" s="79">
        <v>0</v>
      </c>
      <c r="G27" s="79">
        <v>0</v>
      </c>
      <c r="H27" s="73" t="s">
        <v>264</v>
      </c>
    </row>
    <row r="29" ht="24" customHeight="1" spans="2:9" x14ac:dyDescent="0.25">
      <c r="B29" s="69" t="s">
        <v>265</v>
      </c>
      <c r="C29" s="69" t="s">
        <v>266</v>
      </c>
      <c r="D29" s="69" t="s">
        <v>267</v>
      </c>
      <c r="E29" s="69"/>
      <c r="F29" s="69" t="s">
        <v>268</v>
      </c>
      <c r="G29" s="69"/>
      <c r="H29" s="69"/>
      <c r="I29" s="69"/>
    </row>
    <row r="30" ht="45" customHeight="1" spans="2:9" x14ac:dyDescent="0.25">
      <c r="B30" s="80" t="s">
        <v>269</v>
      </c>
      <c r="C30" s="81" t="s">
        <v>270</v>
      </c>
      <c r="D30" s="82" t="s">
        <v>271</v>
      </c>
      <c r="E30" s="82"/>
      <c r="F30" s="83" t="s">
        <v>272</v>
      </c>
      <c r="G30" s="83"/>
      <c r="H30" s="83"/>
      <c r="I30" s="83"/>
    </row>
    <row r="31" ht="45" customHeight="1" spans="2:9" x14ac:dyDescent="0.25">
      <c r="B31" s="80" t="s">
        <v>273</v>
      </c>
      <c r="C31" s="81" t="s">
        <v>270</v>
      </c>
      <c r="D31" s="82" t="s">
        <v>274</v>
      </c>
      <c r="E31" s="82"/>
      <c r="F31" s="83" t="s">
        <v>275</v>
      </c>
      <c r="G31" s="83"/>
      <c r="H31" s="83"/>
      <c r="I31" s="83"/>
    </row>
    <row r="32" ht="45" customHeight="1" spans="2:9" x14ac:dyDescent="0.25">
      <c r="B32" s="80" t="s">
        <v>276</v>
      </c>
      <c r="C32" s="81" t="s">
        <v>270</v>
      </c>
      <c r="D32" s="82" t="s">
        <v>277</v>
      </c>
      <c r="E32" s="82"/>
      <c r="F32" s="83" t="s">
        <v>278</v>
      </c>
      <c r="G32" s="83"/>
      <c r="H32" s="83"/>
      <c r="I32" s="83"/>
    </row>
    <row r="33" ht="45" customHeight="1" spans="2:9" x14ac:dyDescent="0.25">
      <c r="B33" s="80" t="s">
        <v>279</v>
      </c>
      <c r="C33" s="84" t="s">
        <v>280</v>
      </c>
      <c r="D33" s="82" t="s">
        <v>281</v>
      </c>
      <c r="E33" s="82"/>
      <c r="F33" s="83" t="s">
        <v>282</v>
      </c>
      <c r="G33" s="83"/>
      <c r="H33" s="83"/>
      <c r="I33" s="83"/>
    </row>
    <row r="34" ht="45" customHeight="1" spans="2:9" x14ac:dyDescent="0.25">
      <c r="B34" s="80" t="s">
        <v>283</v>
      </c>
      <c r="C34" s="81" t="s">
        <v>270</v>
      </c>
      <c r="D34" s="82" t="s">
        <v>284</v>
      </c>
      <c r="E34" s="82"/>
      <c r="F34" s="83" t="s">
        <v>285</v>
      </c>
      <c r="G34" s="83"/>
      <c r="H34" s="83"/>
      <c r="I34" s="83"/>
    </row>
    <row r="35" ht="45" customHeight="1" spans="2:9" x14ac:dyDescent="0.25">
      <c r="B35" s="80" t="s">
        <v>286</v>
      </c>
      <c r="C35" s="85" t="s">
        <v>287</v>
      </c>
      <c r="D35" s="82" t="s">
        <v>288</v>
      </c>
      <c r="E35" s="82"/>
      <c r="F35" s="83" t="s">
        <v>289</v>
      </c>
      <c r="G35" s="83"/>
      <c r="H35" s="83"/>
      <c r="I35" s="83"/>
    </row>
    <row r="36" ht="45" customHeight="1" spans="2:9" x14ac:dyDescent="0.25">
      <c r="B36" s="80" t="s">
        <v>290</v>
      </c>
      <c r="C36" s="81" t="s">
        <v>270</v>
      </c>
      <c r="D36" s="82" t="s">
        <v>291</v>
      </c>
      <c r="E36" s="82"/>
      <c r="F36" s="83" t="s">
        <v>292</v>
      </c>
      <c r="G36" s="83"/>
      <c r="H36" s="83"/>
      <c r="I36" s="83"/>
    </row>
    <row r="38" spans="2:6" x14ac:dyDescent="0.25">
      <c r="B38" s="80" t="s">
        <v>39</v>
      </c>
      <c r="C38" s="28" t="s">
        <v>293</v>
      </c>
      <c r="D38" s="28"/>
      <c r="E38" s="28"/>
      <c r="F38" s="28"/>
    </row>
    <row r="40" spans="2:9" x14ac:dyDescent="0.25">
      <c r="B40" s="86" t="s">
        <v>294</v>
      </c>
      <c r="C40" s="86"/>
      <c r="D40" s="86"/>
      <c r="E40" s="86"/>
      <c r="F40" s="86"/>
      <c r="G40" s="86"/>
      <c r="H40" s="86"/>
      <c r="I40" s="86"/>
    </row>
  </sheetData>
  <mergeCells count="20">
    <mergeCell ref="B2:I2"/>
    <mergeCell ref="B3:I3"/>
    <mergeCell ref="D29:E29"/>
    <mergeCell ref="F29:I29"/>
    <mergeCell ref="D30:E30"/>
    <mergeCell ref="F30:I30"/>
    <mergeCell ref="D31:E31"/>
    <mergeCell ref="F31:I31"/>
    <mergeCell ref="D32:E32"/>
    <mergeCell ref="F32:I32"/>
    <mergeCell ref="D33:E33"/>
    <mergeCell ref="F33:I33"/>
    <mergeCell ref="D34:E34"/>
    <mergeCell ref="F34:I34"/>
    <mergeCell ref="D35:E35"/>
    <mergeCell ref="F35:I35"/>
    <mergeCell ref="D36:E36"/>
    <mergeCell ref="F36:I36"/>
    <mergeCell ref="C38:F38"/>
    <mergeCell ref="B40:I40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conditionalFormatting sqref="C24:G24">
    <cfRule type="expression" dxfId="21" priority="1">
      <formula>C24&gt;=1.25</formula>
    </cfRule>
    <cfRule type="expression" dxfId="22" priority="2">
      <formula>C24&gt;=1.15</formula>
    </cfRule>
    <cfRule type="expression" dxfId="23" priority="3">
      <formula>C24&lt;1.15</formula>
    </cfRule>
  </conditionalFormatting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Cover</vt:lpstr>
      <vt:lpstr>Assumptions</vt:lpstr>
      <vt:lpstr>Drivers</vt:lpstr>
      <vt:lpstr>5-Year P&amp;L</vt:lpstr>
      <vt:lpstr>Cash Flow &amp; DSCR</vt:lpstr>
      <vt:lpstr>AR &amp; Restricted Recon</vt:lpstr>
      <vt:lpstr>Staffing</vt:lpstr>
      <vt:lpstr>Loan Snapshot</vt:lpstr>
      <vt:lpstr>Summary</vt:lpstr>
      <vt:lpstr>Stress Tests</vt:lpstr>
      <vt:lpstr>Decision History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2026-05-09T18:17:43Z</dcterms:created>
  <dcterms:modified xsi:type="dcterms:W3CDTF">2026-05-09T18:17:43Z</dcterms:modified>
</cp:coreProperties>
</file>