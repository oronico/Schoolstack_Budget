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sumptions" state="visible" r:id="rId4"/>
    <sheet sheetId="2" name="Drivers" state="visible" r:id="rId5"/>
    <sheet sheetId="3" name="5-Year P&amp;L" state="visible" r:id="rId6"/>
    <sheet sheetId="4" name="Cash Flow &amp; DSCR" state="visible" r:id="rId7"/>
    <sheet sheetId="5" name="Staffing" state="visible" r:id="rId8"/>
    <sheet sheetId="6" name="Loan Snapshot" state="visible" r:id="rId9"/>
    <sheet sheetId="7" name="Summary" state="visible" r:id="rId10"/>
  </sheets>
  <calcPr calcId="171027"/>
</workbook>
</file>

<file path=xl/sharedStrings.xml><?xml version="1.0" encoding="utf-8"?>
<sst xmlns="http://schemas.openxmlformats.org/spreadsheetml/2006/main" count="126" uniqueCount="101">
  <si>
    <t>SchoolStack Budget — Lender Pro Forma Assumptions</t>
  </si>
  <si>
    <t>SCHOOL PROFILE</t>
  </si>
  <si>
    <t>School Name</t>
  </si>
  <si>
    <t>State</t>
  </si>
  <si>
    <t>School Type</t>
  </si>
  <si>
    <t>First Operating Year</t>
  </si>
  <si>
    <t>ENROLLMENT FORECAST</t>
  </si>
  <si>
    <t>Year 1 Enrollment</t>
  </si>
  <si>
    <t>Year 2 Enrollment</t>
  </si>
  <si>
    <t>Year 3 Enrollment</t>
  </si>
  <si>
    <t>Year 4 Enrollment</t>
  </si>
  <si>
    <t>Year 5 Enrollment</t>
  </si>
  <si>
    <t>REVENUE ASSUMPTIONS</t>
  </si>
  <si>
    <t>Tuition per Student (Year 1)</t>
  </si>
  <si>
    <t>Tuition Annual Growth %</t>
  </si>
  <si>
    <t>ESA per Student (Year 1)</t>
  </si>
  <si>
    <t>ESA Annual Growth %</t>
  </si>
  <si>
    <t>Other Per-Student Revenue (Year 1)</t>
  </si>
  <si>
    <t>Other Revenue Growth %</t>
  </si>
  <si>
    <t>Collection Rate %</t>
  </si>
  <si>
    <t>Grants &amp; Contributions (Year 1)</t>
  </si>
  <si>
    <t>Grants Growth %</t>
  </si>
  <si>
    <t>STAFFING ASSUMPTIONS</t>
  </si>
  <si>
    <t>Students per Teacher</t>
  </si>
  <si>
    <t>Avg Teacher Salary (Year 1)</t>
  </si>
  <si>
    <t>Teacher Salary Growth %</t>
  </si>
  <si>
    <t>Admin FTE — Year 1</t>
  </si>
  <si>
    <t>Admin FTE — Year 2</t>
  </si>
  <si>
    <t>Admin FTE — Year 3</t>
  </si>
  <si>
    <t>Admin FTE — Year 4</t>
  </si>
  <si>
    <t>Admin FTE — Year 5</t>
  </si>
  <si>
    <t>Avg Admin Salary (Year 1)</t>
  </si>
  <si>
    <t>Admin Salary Growth %</t>
  </si>
  <si>
    <t>Benefits Burden %</t>
  </si>
  <si>
    <t>OPERATING EXPENSE ASSUMPTIONS</t>
  </si>
  <si>
    <t>Annual Rent (Year 1)</t>
  </si>
  <si>
    <t>Rent Growth %</t>
  </si>
  <si>
    <t>Other Facility Cost (Year 1)</t>
  </si>
  <si>
    <t>Other Facility Growth %</t>
  </si>
  <si>
    <t>Program Cost per Student (Year 1)</t>
  </si>
  <si>
    <t>Program Cost Growth %</t>
  </si>
  <si>
    <t>Fixed Operating Costs (Year 1)</t>
  </si>
  <si>
    <t>Fixed Operating Growth %</t>
  </si>
  <si>
    <t>CAPITAL &amp; DEBT</t>
  </si>
  <si>
    <t>Starting Cash</t>
  </si>
  <si>
    <t>Existing Annual Debt Service</t>
  </si>
  <si>
    <t>Proposed Loan Amount</t>
  </si>
  <si>
    <t>Interest Rate %</t>
  </si>
  <si>
    <t>Term (Years)</t>
  </si>
  <si>
    <t>Revenue &amp; Expense Drivers</t>
  </si>
  <si>
    <t>Year 1</t>
  </si>
  <si>
    <t>Year 2</t>
  </si>
  <si>
    <t>Year 3</t>
  </si>
  <si>
    <t>Year 4</t>
  </si>
  <si>
    <t>Year 5</t>
  </si>
  <si>
    <t>Enrollment</t>
  </si>
  <si>
    <t>Tuition Revenue (Net)</t>
  </si>
  <si>
    <t xml:space="preserve">  × Collection Rate Applied</t>
  </si>
  <si>
    <t>ESA / School Choice Revenue</t>
  </si>
  <si>
    <t>Other Earned Revenue</t>
  </si>
  <si>
    <t>Grants &amp; Contributions</t>
  </si>
  <si>
    <t>Total Revenue</t>
  </si>
  <si>
    <t>Teacher FTE (Enrollment ÷ Ratio)</t>
  </si>
  <si>
    <t>Teacher Salaries</t>
  </si>
  <si>
    <t>Admin Salaries</t>
  </si>
  <si>
    <t>Benefits &amp; Payroll Taxes</t>
  </si>
  <si>
    <t>Total Staffing Cost</t>
  </si>
  <si>
    <t>Rent / Lease</t>
  </si>
  <si>
    <t>Other Facility Costs</t>
  </si>
  <si>
    <t>Program / Curriculum</t>
  </si>
  <si>
    <t>G&amp;A / Technology</t>
  </si>
  <si>
    <t>Total Operating Expenses</t>
  </si>
  <si>
    <t>5-Year Pro Forma Profit &amp; Loss</t>
  </si>
  <si>
    <t>ESA / School Choice</t>
  </si>
  <si>
    <t>Other Revenue</t>
  </si>
  <si>
    <t>Total Staffing</t>
  </si>
  <si>
    <t>Total Expenses</t>
  </si>
  <si>
    <t>Net Operating Income (NOI)</t>
  </si>
  <si>
    <t>Operating Margin</t>
  </si>
  <si>
    <t>Cash Flow &amp; Debt Service Coverage</t>
  </si>
  <si>
    <t>Net Operating Income</t>
  </si>
  <si>
    <t>Existing Debt Service</t>
  </si>
  <si>
    <t>Proposed Loan Debt Service</t>
  </si>
  <si>
    <t>Total Debt Service</t>
  </si>
  <si>
    <t>DSCR (NOI ÷ Total Debt Service)</t>
  </si>
  <si>
    <t>Net Income After Debt</t>
  </si>
  <si>
    <t>Cumulative Cash</t>
  </si>
  <si>
    <t>Staffing Detail</t>
  </si>
  <si>
    <t>Teacher FTE</t>
  </si>
  <si>
    <t>Admin FTE</t>
  </si>
  <si>
    <t>Total FTE</t>
  </si>
  <si>
    <t>Proposed Loan Summary</t>
  </si>
  <si>
    <t>Loan Amount</t>
  </si>
  <si>
    <t>Interest Rate</t>
  </si>
  <si>
    <t>Annual Debt Service</t>
  </si>
  <si>
    <t>Year 1 DSCR</t>
  </si>
  <si>
    <t>Model Summary</t>
  </si>
  <si>
    <t>Opening Year</t>
  </si>
  <si>
    <t>Year 5 Revenue</t>
  </si>
  <si>
    <t>Year 5 NOI</t>
  </si>
  <si>
    <t>Generated by SchoolStack Budget (schoolstack.ai)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</si>
</sst>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$#,##0"/>
    <numFmt numFmtId="165" formatCode="0.0%"/>
    <numFmt numFmtId="166" formatCode="0.0"/>
    <numFmt numFmtId="167" formatCode="0.00&quot;x&quot;"/>
  </numFmts>
  <fonts count="11" x14ac:knownFonts="1">
    <font>
      <color theme="1"/>
      <family val="2"/>
      <scheme val="minor"/>
      <sz val="11"/>
      <name val="Calibri"/>
    </font>
    <font>
      <b/>
      <color rgb="FF1E293B"/>
      <sz val="14"/>
      <name val="Calibri"/>
    </font>
    <font>
      <b/>
      <color rgb="FFFFFFFF"/>
      <sz val="11"/>
      <name val="Calibri"/>
    </font>
    <font>
      <color rgb="FF1E293B"/>
      <sz val="10"/>
      <name val="Calibri"/>
    </font>
    <font>
      <b/>
      <color rgb="FF1E293B"/>
      <sz val="10"/>
      <name val="Calibri"/>
    </font>
    <font>
      <i/>
      <color rgb="FF94A3B8"/>
      <sz val="10"/>
      <name val="Calibri"/>
    </font>
    <font>
      <b/>
      <color rgb="FFFFFFFF"/>
      <sz val="10"/>
    </font>
    <font>
      <i/>
      <color rgb="FF1E293B"/>
      <sz val="10"/>
      <name val="Calibri"/>
    </font>
    <font>
      <b/>
      <color rgb="FFFFFFFF"/>
      <sz val="12"/>
    </font>
    <font>
      <b/>
      <color rgb="FFFFFFFF"/>
      <sz val="14"/>
    </font>
    <font>
      <i/>
      <color rgb="FF94A3B8"/>
      <sz val="8"/>
    </font>
  </fonts>
  <fills count="8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AF9F7"/>
      </patternFill>
    </fill>
    <fill>
      <patternFill patternType="solid">
        <fgColor rgb="FF0D9488"/>
      </patternFill>
    </fill>
    <fill>
      <patternFill patternType="solid">
        <fgColor rgb="FFD97706"/>
      </patternFill>
    </fill>
    <fill>
      <patternFill patternType="solid">
        <fgColor rgb="FFF1F5F9"/>
      </patternFill>
    </fill>
    <fill>
      <patternFill patternType="solid">
        <fgColor rgb="FF16A3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3" borderId="0" xfId="0" applyFont="1" applyFill="1"/>
    <xf numFmtId="3" fontId="3" fillId="3" borderId="0" xfId="0" applyNumberFormat="1" applyFont="1" applyFill="1"/>
    <xf numFmtId="0" fontId="2" fillId="4" borderId="0" xfId="0" applyFont="1" applyFill="1"/>
    <xf numFmtId="164" fontId="3" fillId="3" borderId="0" xfId="0" applyNumberFormat="1" applyFont="1" applyFill="1"/>
    <xf numFmtId="165" fontId="3" fillId="3" borderId="0" xfId="0" applyNumberFormat="1" applyFont="1" applyFill="1"/>
    <xf numFmtId="0" fontId="2" fillId="5" borderId="0" xfId="0" applyFont="1" applyFill="1"/>
    <xf numFmtId="166" fontId="3" fillId="3" borderId="0" xfId="0" applyNumberFormat="1" applyFont="1" applyFill="1"/>
    <xf numFmtId="0" fontId="0" fillId="2" borderId="0" xfId="0" applyFill="1"/>
    <xf numFmtId="0" fontId="4" fillId="0" borderId="0" xfId="0" applyFont="1"/>
    <xf numFmtId="3" fontId="0" fillId="0" borderId="0" xfId="0" applyNumberFormat="1"/>
    <xf numFmtId="0" fontId="3" fillId="0" borderId="0" xfId="0" applyFont="1"/>
    <xf numFmtId="164" fontId="0" fillId="0" borderId="0" xfId="0" applyNumberFormat="1"/>
    <xf numFmtId="0" fontId="5" fillId="0" borderId="0" xfId="0" applyFont="1"/>
    <xf numFmtId="0" fontId="4" fillId="6" borderId="0" xfId="0" applyFont="1" applyFill="1"/>
    <xf numFmtId="164" fontId="4" fillId="6" borderId="0" xfId="0" applyNumberFormat="1" applyFont="1" applyFill="1"/>
    <xf numFmtId="164" fontId="6" fillId="2" borderId="0" xfId="0" applyNumberFormat="1" applyFont="1" applyFill="1"/>
    <xf numFmtId="0" fontId="7" fillId="0" borderId="0" xfId="0" applyFont="1"/>
    <xf numFmtId="165" fontId="7" fillId="0" borderId="0" xfId="0" applyNumberFormat="1" applyFont="1"/>
    <xf numFmtId="164" fontId="4" fillId="0" borderId="0" xfId="0" applyNumberFormat="1" applyFont="1"/>
    <xf numFmtId="0" fontId="2" fillId="7" borderId="0" xfId="0" applyFont="1" applyFill="1"/>
    <xf numFmtId="167" fontId="8" fillId="7" borderId="0" xfId="0" applyNumberFormat="1" applyFont="1" applyFill="1"/>
    <xf numFmtId="0" fontId="0" fillId="5" borderId="0" xfId="0" applyFill="1"/>
    <xf numFmtId="166" fontId="0" fillId="0" borderId="0" xfId="0" applyNumberFormat="1"/>
    <xf numFmtId="166" fontId="0" fillId="6" borderId="0" xfId="0" applyNumberFormat="1" applyFill="1"/>
    <xf numFmtId="164" fontId="3" fillId="0" borderId="0" xfId="0" applyNumberFormat="1" applyFont="1"/>
    <xf numFmtId="165" fontId="3" fillId="0" borderId="0" xfId="0" applyNumberFormat="1" applyFont="1"/>
    <xf numFmtId="3" fontId="3" fillId="0" borderId="0" xfId="0" applyNumberFormat="1" applyFont="1"/>
    <xf numFmtId="167" fontId="9" fillId="7" borderId="0" xfId="0" applyNumberFormat="1" applyFont="1" applyFill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61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6" customWidth="1"/>
    <col min="3" max="3" width="36" customWidth="1"/>
    <col min="4" max="4" width="22" customWidth="1"/>
  </cols>
  <sheetData>
    <row r="1" spans="2:4" x14ac:dyDescent="0.25">
      <c r="B1" s="1" t="s">
        <v>0</v>
      </c>
      <c r="C1" s="1"/>
      <c r="D1" s="1"/>
    </row>
    <row r="3" spans="2:4" x14ac:dyDescent="0.25">
      <c r="B3" s="2" t="s">
        <v>1</v>
      </c>
      <c r="C3" s="2"/>
      <c r="D3" s="2"/>
    </row>
    <row r="5" spans="3:4" x14ac:dyDescent="0.25">
      <c r="C5" s="3" t="s">
        <v>2</v>
      </c>
      <c r="D5" s="3"/>
    </row>
    <row r="6" spans="3:4" x14ac:dyDescent="0.25">
      <c r="C6" s="3" t="s">
        <v>3</v>
      </c>
      <c r="D6" s="3"/>
    </row>
    <row r="7" spans="3:4" x14ac:dyDescent="0.25">
      <c r="C7" s="3" t="s">
        <v>4</v>
      </c>
      <c r="D7" s="3"/>
    </row>
    <row r="8" spans="3:4" x14ac:dyDescent="0.25">
      <c r="C8" s="3" t="s">
        <v>5</v>
      </c>
      <c r="D8" s="4">
        <v>2026</v>
      </c>
    </row>
    <row r="10" spans="2:4" x14ac:dyDescent="0.25">
      <c r="B10" s="5" t="s">
        <v>6</v>
      </c>
      <c r="C10" s="5"/>
      <c r="D10" s="5"/>
    </row>
    <row r="12" spans="3:4" x14ac:dyDescent="0.25">
      <c r="C12" s="3" t="s">
        <v>7</v>
      </c>
      <c r="D12" s="4">
        <v>0</v>
      </c>
    </row>
    <row r="13" spans="3:4" x14ac:dyDescent="0.25">
      <c r="C13" s="3" t="s">
        <v>8</v>
      </c>
      <c r="D13" s="4">
        <v>0</v>
      </c>
    </row>
    <row r="14" spans="3:4" x14ac:dyDescent="0.25">
      <c r="C14" s="3" t="s">
        <v>9</v>
      </c>
      <c r="D14" s="4">
        <v>0</v>
      </c>
    </row>
    <row r="15" spans="3:4" x14ac:dyDescent="0.25">
      <c r="C15" s="3" t="s">
        <v>10</v>
      </c>
      <c r="D15" s="4">
        <v>0</v>
      </c>
    </row>
    <row r="16" spans="3:4" x14ac:dyDescent="0.25">
      <c r="C16" s="3" t="s">
        <v>11</v>
      </c>
      <c r="D16" s="4">
        <v>0</v>
      </c>
    </row>
    <row r="18" spans="2:4" x14ac:dyDescent="0.25">
      <c r="B18" s="5" t="s">
        <v>12</v>
      </c>
      <c r="C18" s="5"/>
      <c r="D18" s="5"/>
    </row>
    <row r="20" spans="3:4" x14ac:dyDescent="0.25">
      <c r="C20" s="3" t="s">
        <v>13</v>
      </c>
      <c r="D20" s="6">
        <v>0</v>
      </c>
    </row>
    <row r="21" spans="3:4" x14ac:dyDescent="0.25">
      <c r="C21" s="3" t="s">
        <v>14</v>
      </c>
      <c r="D21" s="7">
        <v>0.03</v>
      </c>
    </row>
    <row r="22" spans="3:4" x14ac:dyDescent="0.25">
      <c r="C22" s="3" t="s">
        <v>15</v>
      </c>
      <c r="D22" s="6">
        <v>0</v>
      </c>
    </row>
    <row r="23" spans="3:4" x14ac:dyDescent="0.25">
      <c r="C23" s="3" t="s">
        <v>16</v>
      </c>
      <c r="D23" s="7">
        <v>0</v>
      </c>
    </row>
    <row r="24" spans="3:4" x14ac:dyDescent="0.25">
      <c r="C24" s="3" t="s">
        <v>17</v>
      </c>
      <c r="D24" s="6">
        <v>0</v>
      </c>
    </row>
    <row r="25" spans="3:4" x14ac:dyDescent="0.25">
      <c r="C25" s="3" t="s">
        <v>18</v>
      </c>
      <c r="D25" s="7">
        <v>0.02</v>
      </c>
    </row>
    <row r="26" spans="3:4" x14ac:dyDescent="0.25">
      <c r="C26" s="3" t="s">
        <v>19</v>
      </c>
      <c r="D26" s="7">
        <v>0.95</v>
      </c>
    </row>
    <row r="27" spans="3:4" x14ac:dyDescent="0.25">
      <c r="C27" s="3" t="s">
        <v>20</v>
      </c>
      <c r="D27" s="6">
        <v>0</v>
      </c>
    </row>
    <row r="28" spans="3:4" x14ac:dyDescent="0.25">
      <c r="C28" s="3" t="s">
        <v>21</v>
      </c>
      <c r="D28" s="7">
        <v>0</v>
      </c>
    </row>
    <row r="30" spans="2:4" x14ac:dyDescent="0.25">
      <c r="B30" s="8" t="s">
        <v>22</v>
      </c>
      <c r="C30" s="8"/>
      <c r="D30" s="8"/>
    </row>
    <row r="32" spans="3:4" x14ac:dyDescent="0.25">
      <c r="C32" s="3" t="s">
        <v>23</v>
      </c>
      <c r="D32" s="4">
        <v>12</v>
      </c>
    </row>
    <row r="33" spans="3:4" x14ac:dyDescent="0.25">
      <c r="C33" s="3" t="s">
        <v>24</v>
      </c>
      <c r="D33" s="6">
        <v>0</v>
      </c>
    </row>
    <row r="34" spans="3:4" x14ac:dyDescent="0.25">
      <c r="C34" s="3" t="s">
        <v>25</v>
      </c>
      <c r="D34" s="7">
        <v>0.03</v>
      </c>
    </row>
    <row r="35" spans="3:4" x14ac:dyDescent="0.25">
      <c r="C35" s="3" t="s">
        <v>26</v>
      </c>
      <c r="D35" s="9">
        <v>0</v>
      </c>
    </row>
    <row r="36" spans="3:4" x14ac:dyDescent="0.25">
      <c r="C36" s="3" t="s">
        <v>27</v>
      </c>
      <c r="D36" s="9">
        <v>0</v>
      </c>
    </row>
    <row r="37" spans="3:4" x14ac:dyDescent="0.25">
      <c r="C37" s="3" t="s">
        <v>28</v>
      </c>
      <c r="D37" s="9">
        <v>0</v>
      </c>
    </row>
    <row r="38" spans="3:4" x14ac:dyDescent="0.25">
      <c r="C38" s="3" t="s">
        <v>29</v>
      </c>
      <c r="D38" s="9">
        <v>0</v>
      </c>
    </row>
    <row r="39" spans="3:4" x14ac:dyDescent="0.25">
      <c r="C39" s="3" t="s">
        <v>30</v>
      </c>
      <c r="D39" s="9">
        <v>0</v>
      </c>
    </row>
    <row r="40" spans="3:4" x14ac:dyDescent="0.25">
      <c r="C40" s="3" t="s">
        <v>31</v>
      </c>
      <c r="D40" s="6">
        <v>0</v>
      </c>
    </row>
    <row r="41" spans="3:4" x14ac:dyDescent="0.25">
      <c r="C41" s="3" t="s">
        <v>32</v>
      </c>
      <c r="D41" s="7">
        <v>0.03</v>
      </c>
    </row>
    <row r="42" spans="3:4" x14ac:dyDescent="0.25">
      <c r="C42" s="3" t="s">
        <v>33</v>
      </c>
      <c r="D42" s="7">
        <v>0.1</v>
      </c>
    </row>
    <row r="44" spans="2:4" x14ac:dyDescent="0.25">
      <c r="B44" s="8" t="s">
        <v>34</v>
      </c>
      <c r="C44" s="8"/>
      <c r="D44" s="8"/>
    </row>
    <row r="46" spans="3:4" x14ac:dyDescent="0.25">
      <c r="C46" s="3" t="s">
        <v>35</v>
      </c>
      <c r="D46" s="6">
        <v>0</v>
      </c>
    </row>
    <row r="47" spans="3:4" x14ac:dyDescent="0.25">
      <c r="C47" s="3" t="s">
        <v>36</v>
      </c>
      <c r="D47" s="7">
        <v>0.03</v>
      </c>
    </row>
    <row r="48" spans="3:4" x14ac:dyDescent="0.25">
      <c r="C48" s="3" t="s">
        <v>37</v>
      </c>
      <c r="D48" s="6">
        <v>0</v>
      </c>
    </row>
    <row r="49" spans="3:4" x14ac:dyDescent="0.25">
      <c r="C49" s="3" t="s">
        <v>38</v>
      </c>
      <c r="D49" s="7">
        <v>0.03</v>
      </c>
    </row>
    <row r="50" spans="3:4" x14ac:dyDescent="0.25">
      <c r="C50" s="3" t="s">
        <v>39</v>
      </c>
      <c r="D50" s="6">
        <v>0</v>
      </c>
    </row>
    <row r="51" spans="3:4" x14ac:dyDescent="0.25">
      <c r="C51" s="3" t="s">
        <v>40</v>
      </c>
      <c r="D51" s="7">
        <v>0.03</v>
      </c>
    </row>
    <row r="52" spans="3:4" x14ac:dyDescent="0.25">
      <c r="C52" s="3" t="s">
        <v>41</v>
      </c>
      <c r="D52" s="6">
        <v>0</v>
      </c>
    </row>
    <row r="53" spans="3:4" x14ac:dyDescent="0.25">
      <c r="C53" s="3" t="s">
        <v>42</v>
      </c>
      <c r="D53" s="7">
        <v>0.03</v>
      </c>
    </row>
    <row r="55" spans="2:4" x14ac:dyDescent="0.25">
      <c r="B55" s="2" t="s">
        <v>43</v>
      </c>
      <c r="C55" s="2"/>
      <c r="D55" s="2"/>
    </row>
    <row r="57" spans="3:4" x14ac:dyDescent="0.25">
      <c r="C57" s="3" t="s">
        <v>44</v>
      </c>
      <c r="D57" s="6">
        <v>0</v>
      </c>
    </row>
    <row r="58" spans="3:4" x14ac:dyDescent="0.25">
      <c r="C58" s="3" t="s">
        <v>45</v>
      </c>
      <c r="D58" s="6">
        <v>0</v>
      </c>
    </row>
    <row r="59" spans="3:4" x14ac:dyDescent="0.25">
      <c r="C59" s="3" t="s">
        <v>46</v>
      </c>
      <c r="D59" s="6">
        <v>0</v>
      </c>
    </row>
    <row r="60" spans="3:4" x14ac:dyDescent="0.25">
      <c r="C60" s="3" t="s">
        <v>47</v>
      </c>
      <c r="D60" s="7">
        <v>0.08</v>
      </c>
    </row>
    <row r="61" spans="3:4" x14ac:dyDescent="0.25">
      <c r="C61" s="3" t="s">
        <v>48</v>
      </c>
      <c r="D61" s="4">
        <v>5</v>
      </c>
    </row>
  </sheetData>
  <mergeCells count="7">
    <mergeCell ref="B1:D1"/>
    <mergeCell ref="B3:D3"/>
    <mergeCell ref="B10:D10"/>
    <mergeCell ref="B18:D18"/>
    <mergeCell ref="B30:D30"/>
    <mergeCell ref="B44:D44"/>
    <mergeCell ref="B55:D5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22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30" customWidth="1"/>
    <col min="3" max="7" width="18" customWidth="1"/>
  </cols>
  <sheetData>
    <row r="1" spans="2:7" x14ac:dyDescent="0.25">
      <c r="B1" s="1" t="s">
        <v>49</v>
      </c>
      <c r="C1" s="1"/>
      <c r="D1" s="1"/>
      <c r="E1" s="1"/>
      <c r="F1" s="1"/>
      <c r="G1" s="1"/>
    </row>
    <row r="3" spans="2:7" x14ac:dyDescent="0.25">
      <c r="B3" s="10"/>
      <c r="C3" s="2" t="s">
        <v>50</v>
      </c>
      <c r="D3" s="2" t="s">
        <v>51</v>
      </c>
      <c r="E3" s="2" t="s">
        <v>52</v>
      </c>
      <c r="F3" s="2" t="s">
        <v>53</v>
      </c>
      <c r="G3" s="2" t="s">
        <v>54</v>
      </c>
    </row>
    <row r="4" spans="2:7" x14ac:dyDescent="0.25">
      <c r="B4" s="11" t="s">
        <v>55</v>
      </c>
      <c r="C4" s="12">
        <f>=Assumptions!D11</f>
      </c>
      <c r="D4" s="12">
        <f>=Assumptions!D12</f>
      </c>
      <c r="E4" s="12">
        <f>=Assumptions!D13</f>
      </c>
      <c r="F4" s="12">
        <f>=Assumptions!D14</f>
      </c>
      <c r="G4" s="12">
        <f>=Assumptions!D15</f>
      </c>
    </row>
    <row r="5" spans="2:7" x14ac:dyDescent="0.25">
      <c r="B5" s="13" t="s">
        <v>56</v>
      </c>
      <c r="C5" s="14">
        <f>=Assumptions!D11*Assumptions!D18</f>
      </c>
      <c r="D5" s="14">
        <f>=Assumptions!D12*Assumptions!D18*(1+Assumptions!D19)^1</f>
      </c>
      <c r="E5" s="14">
        <f>=Assumptions!D13*Assumptions!D18*(1+Assumptions!D19)^2</f>
      </c>
      <c r="F5" s="14">
        <f>=Assumptions!D14*Assumptions!D18*(1+Assumptions!D19)^3</f>
      </c>
      <c r="G5" s="14">
        <f>=Assumptions!D15*Assumptions!D18*(1+Assumptions!D19)^4</f>
      </c>
    </row>
    <row r="6" spans="2:7" x14ac:dyDescent="0.25">
      <c r="B6" s="15" t="s">
        <v>57</v>
      </c>
      <c r="C6" s="14">
        <f>=C5*Assumptions!D24</f>
      </c>
      <c r="D6" s="14">
        <f>=D5*Assumptions!D24</f>
      </c>
      <c r="E6" s="14">
        <f>=E5*Assumptions!D24</f>
      </c>
      <c r="F6" s="14">
        <f>=F5*Assumptions!D24</f>
      </c>
      <c r="G6" s="14">
        <f>=G5*Assumptions!D24</f>
      </c>
    </row>
    <row r="7" spans="2:7" x14ac:dyDescent="0.25">
      <c r="B7" s="13" t="s">
        <v>58</v>
      </c>
      <c r="C7" s="14">
        <f>=Assumptions!D11*Assumptions!D20</f>
      </c>
      <c r="D7" s="14">
        <f>=Assumptions!D12*Assumptions!D20*(1+Assumptions!D21)^1</f>
      </c>
      <c r="E7" s="14">
        <f>=Assumptions!D13*Assumptions!D20*(1+Assumptions!D21)^2</f>
      </c>
      <c r="F7" s="14">
        <f>=Assumptions!D14*Assumptions!D20*(1+Assumptions!D21)^3</f>
      </c>
      <c r="G7" s="14">
        <f>=Assumptions!D15*Assumptions!D20*(1+Assumptions!D21)^4</f>
      </c>
    </row>
    <row r="8" spans="2:7" x14ac:dyDescent="0.25">
      <c r="B8" s="13" t="s">
        <v>59</v>
      </c>
      <c r="C8" s="14">
        <f>=Assumptions!D11*Assumptions!D22</f>
      </c>
      <c r="D8" s="14">
        <f>=Assumptions!D12*Assumptions!D22*(1+Assumptions!D23)^1</f>
      </c>
      <c r="E8" s="14">
        <f>=Assumptions!D13*Assumptions!D22*(1+Assumptions!D23)^2</f>
      </c>
      <c r="F8" s="14">
        <f>=Assumptions!D14*Assumptions!D22*(1+Assumptions!D23)^3</f>
      </c>
      <c r="G8" s="14">
        <f>=Assumptions!D15*Assumptions!D22*(1+Assumptions!D23)^4</f>
      </c>
    </row>
    <row r="9" spans="2:7" x14ac:dyDescent="0.25">
      <c r="B9" s="13" t="s">
        <v>60</v>
      </c>
      <c r="C9" s="14">
        <f>=Assumptions!D25</f>
      </c>
      <c r="D9" s="14">
        <f>=Assumptions!D25*(1+Assumptions!D26)^1</f>
      </c>
      <c r="E9" s="14">
        <f>=Assumptions!D25*(1+Assumptions!D26)^2</f>
      </c>
      <c r="F9" s="14">
        <f>=Assumptions!D25*(1+Assumptions!D26)^3</f>
      </c>
      <c r="G9" s="14">
        <f>=Assumptions!D25*(1+Assumptions!D26)^4</f>
      </c>
    </row>
    <row r="10" spans="2:7" x14ac:dyDescent="0.25">
      <c r="B10" s="16" t="s">
        <v>61</v>
      </c>
      <c r="C10" s="17">
        <f>=C6+C7+C8+C9</f>
      </c>
      <c r="D10" s="17">
        <f>=D6+D7+D8+D9</f>
      </c>
      <c r="E10" s="17">
        <f>=E6+E7+E8+E9</f>
      </c>
      <c r="F10" s="17">
        <f>=F6+F7+F8+F9</f>
      </c>
      <c r="G10" s="17">
        <f>=G6+G7+G8+G9</f>
      </c>
    </row>
    <row r="12" spans="2:7" x14ac:dyDescent="0.25">
      <c r="B12" s="13" t="s">
        <v>62</v>
      </c>
      <c r="C12" s="12">
        <f>=CEILING(Assumptions!D11/Assumptions!D29,1)</f>
      </c>
      <c r="D12" s="12">
        <f>=CEILING(Assumptions!D12/Assumptions!D29,1)</f>
      </c>
      <c r="E12" s="12">
        <f>=CEILING(Assumptions!D13/Assumptions!D29,1)</f>
      </c>
      <c r="F12" s="12">
        <f>=CEILING(Assumptions!D14/Assumptions!D29,1)</f>
      </c>
      <c r="G12" s="12">
        <f>=CEILING(Assumptions!D15/Assumptions!D29,1)</f>
      </c>
    </row>
    <row r="13" spans="2:7" x14ac:dyDescent="0.25">
      <c r="B13" s="13" t="s">
        <v>63</v>
      </c>
      <c r="C13" s="14">
        <f>=C12*Assumptions!D30</f>
      </c>
      <c r="D13" s="14">
        <f>=D12*Assumptions!D30*(1+Assumptions!D31)^1</f>
      </c>
      <c r="E13" s="14">
        <f>=E12*Assumptions!D30*(1+Assumptions!D31)^2</f>
      </c>
      <c r="F13" s="14">
        <f>=F12*Assumptions!D30*(1+Assumptions!D31)^3</f>
      </c>
      <c r="G13" s="14">
        <f>=G12*Assumptions!D30*(1+Assumptions!D31)^4</f>
      </c>
    </row>
    <row r="14" spans="2:7" x14ac:dyDescent="0.25">
      <c r="B14" s="13" t="s">
        <v>64</v>
      </c>
      <c r="C14" s="14">
        <f>=Assumptions!D32*Assumptions!D37</f>
      </c>
      <c r="D14" s="14">
        <f>=Assumptions!D33*Assumptions!D37*(1+Assumptions!D38)^1</f>
      </c>
      <c r="E14" s="14">
        <f>=Assumptions!D34*Assumptions!D37*(1+Assumptions!D38)^2</f>
      </c>
      <c r="F14" s="14">
        <f>=Assumptions!D35*Assumptions!D37*(1+Assumptions!D38)^3</f>
      </c>
      <c r="G14" s="14">
        <f>=Assumptions!D36*Assumptions!D37*(1+Assumptions!D38)^4</f>
      </c>
    </row>
    <row r="15" spans="2:7" x14ac:dyDescent="0.25">
      <c r="B15" s="13" t="s">
        <v>65</v>
      </c>
      <c r="C15" s="14">
        <f>=(C13+C14)*Assumptions!D39</f>
      </c>
      <c r="D15" s="14">
        <f>=(D13+D14)*Assumptions!D39</f>
      </c>
      <c r="E15" s="14">
        <f>=(E13+E14)*Assumptions!D39</f>
      </c>
      <c r="F15" s="14">
        <f>=(F13+F14)*Assumptions!D39</f>
      </c>
      <c r="G15" s="14">
        <f>=(G13+G14)*Assumptions!D39</f>
      </c>
    </row>
    <row r="16" spans="2:7" x14ac:dyDescent="0.25">
      <c r="B16" s="16" t="s">
        <v>66</v>
      </c>
      <c r="C16" s="17">
        <f>=C13+C14+C15</f>
      </c>
      <c r="D16" s="17">
        <f>=D13+D14+D15</f>
      </c>
      <c r="E16" s="17">
        <f>=E13+E14+E15</f>
      </c>
      <c r="F16" s="17">
        <f>=F13+F14+F15</f>
      </c>
      <c r="G16" s="17">
        <f>=G13+G14+G15</f>
      </c>
    </row>
    <row r="18" spans="2:7" x14ac:dyDescent="0.25">
      <c r="B18" s="13" t="s">
        <v>67</v>
      </c>
      <c r="C18" s="14">
        <f>=Assumptions!D42</f>
      </c>
      <c r="D18" s="14">
        <f>=Assumptions!D42*(1+Assumptions!D43)^1</f>
      </c>
      <c r="E18" s="14">
        <f>=Assumptions!D42*(1+Assumptions!D43)^2</f>
      </c>
      <c r="F18" s="14">
        <f>=Assumptions!D42*(1+Assumptions!D43)^3</f>
      </c>
      <c r="G18" s="14">
        <f>=Assumptions!D42*(1+Assumptions!D43)^4</f>
      </c>
    </row>
    <row r="19" spans="2:7" x14ac:dyDescent="0.25">
      <c r="B19" s="13" t="s">
        <v>68</v>
      </c>
      <c r="C19" s="14">
        <f>=Assumptions!D44</f>
      </c>
      <c r="D19" s="14">
        <f>=Assumptions!D44*(1+Assumptions!D45)^1</f>
      </c>
      <c r="E19" s="14">
        <f>=Assumptions!D44*(1+Assumptions!D45)^2</f>
      </c>
      <c r="F19" s="14">
        <f>=Assumptions!D44*(1+Assumptions!D45)^3</f>
      </c>
      <c r="G19" s="14">
        <f>=Assumptions!D44*(1+Assumptions!D45)^4</f>
      </c>
    </row>
    <row r="20" spans="2:7" x14ac:dyDescent="0.25">
      <c r="B20" s="13" t="s">
        <v>69</v>
      </c>
      <c r="C20" s="14">
        <f>=Assumptions!D11*Assumptions!D46</f>
      </c>
      <c r="D20" s="14">
        <f>=Assumptions!D12*Assumptions!D46*(1+Assumptions!D47)^1</f>
      </c>
      <c r="E20" s="14">
        <f>=Assumptions!D13*Assumptions!D46*(1+Assumptions!D47)^2</f>
      </c>
      <c r="F20" s="14">
        <f>=Assumptions!D14*Assumptions!D46*(1+Assumptions!D47)^3</f>
      </c>
      <c r="G20" s="14">
        <f>=Assumptions!D15*Assumptions!D46*(1+Assumptions!D47)^4</f>
      </c>
    </row>
    <row r="21" spans="2:7" x14ac:dyDescent="0.25">
      <c r="B21" s="13" t="s">
        <v>70</v>
      </c>
      <c r="C21" s="14">
        <f>=Assumptions!D48</f>
      </c>
      <c r="D21" s="14">
        <f>=Assumptions!D48*(1+Assumptions!D49)^1</f>
      </c>
      <c r="E21" s="14">
        <f>=Assumptions!D48*(1+Assumptions!D49)^2</f>
      </c>
      <c r="F21" s="14">
        <f>=Assumptions!D48*(1+Assumptions!D49)^3</f>
      </c>
      <c r="G21" s="14">
        <f>=Assumptions!D48*(1+Assumptions!D49)^4</f>
      </c>
    </row>
    <row r="22" spans="2:7" x14ac:dyDescent="0.25">
      <c r="B22" s="16" t="s">
        <v>71</v>
      </c>
      <c r="C22" s="17">
        <f>=C18+C19+C20+C21</f>
      </c>
      <c r="D22" s="17">
        <f>=D18+D19+D20+D21</f>
      </c>
      <c r="E22" s="17">
        <f>=E18+E19+E20+E21</f>
      </c>
      <c r="F22" s="17">
        <f>=F18+F19+F20+F21</f>
      </c>
      <c r="G22" s="17">
        <f>=G18+G19+G20+G21</f>
      </c>
    </row>
  </sheetData>
  <mergeCells count="1">
    <mergeCell ref="B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7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34" customWidth="1"/>
    <col min="3" max="7" width="18" customWidth="1"/>
  </cols>
  <sheetData>
    <row r="1" spans="2:7" x14ac:dyDescent="0.25">
      <c r="B1" s="1" t="s">
        <v>72</v>
      </c>
      <c r="C1" s="1"/>
      <c r="D1" s="1"/>
      <c r="E1" s="1"/>
      <c r="F1" s="1"/>
      <c r="G1" s="1"/>
    </row>
    <row r="3" spans="2:7" x14ac:dyDescent="0.25">
      <c r="B3" s="10"/>
      <c r="C3" s="2" t="s">
        <v>50</v>
      </c>
      <c r="D3" s="2" t="s">
        <v>51</v>
      </c>
      <c r="E3" s="2" t="s">
        <v>52</v>
      </c>
      <c r="F3" s="2" t="s">
        <v>53</v>
      </c>
      <c r="G3" s="2" t="s">
        <v>54</v>
      </c>
    </row>
    <row r="4" spans="2:7" x14ac:dyDescent="0.25">
      <c r="B4" s="11" t="s">
        <v>55</v>
      </c>
      <c r="C4" s="12">
        <f>=Assumptions!D11</f>
      </c>
      <c r="D4" s="12">
        <f>=Assumptions!D12</f>
      </c>
      <c r="E4" s="12">
        <f>=Assumptions!D13</f>
      </c>
      <c r="F4" s="12">
        <f>=Assumptions!D14</f>
      </c>
      <c r="G4" s="12">
        <f>=Assumptions!D15</f>
      </c>
    </row>
    <row r="6" spans="2:7" x14ac:dyDescent="0.25">
      <c r="B6" s="13" t="s">
        <v>56</v>
      </c>
      <c r="C6" s="14">
        <f>=Drivers!C6</f>
      </c>
      <c r="D6" s="14">
        <f>=Drivers!D6</f>
      </c>
      <c r="E6" s="14">
        <f>=Drivers!E6</f>
      </c>
      <c r="F6" s="14">
        <f>=Drivers!F6</f>
      </c>
      <c r="G6" s="14">
        <f>=Drivers!G6</f>
      </c>
    </row>
    <row r="7" spans="2:7" x14ac:dyDescent="0.25">
      <c r="B7" s="13" t="s">
        <v>73</v>
      </c>
      <c r="C7" s="14">
        <f>=Drivers!C7</f>
      </c>
      <c r="D7" s="14">
        <f>=Drivers!D7</f>
      </c>
      <c r="E7" s="14">
        <f>=Drivers!E7</f>
      </c>
      <c r="F7" s="14">
        <f>=Drivers!F7</f>
      </c>
      <c r="G7" s="14">
        <f>=Drivers!G7</f>
      </c>
    </row>
    <row r="8" spans="2:7" x14ac:dyDescent="0.25">
      <c r="B8" s="13" t="s">
        <v>74</v>
      </c>
      <c r="C8" s="14">
        <f>=Drivers!C8</f>
      </c>
      <c r="D8" s="14">
        <f>=Drivers!D8</f>
      </c>
      <c r="E8" s="14">
        <f>=Drivers!E8</f>
      </c>
      <c r="F8" s="14">
        <f>=Drivers!F8</f>
      </c>
      <c r="G8" s="14">
        <f>=Drivers!G8</f>
      </c>
    </row>
    <row r="9" spans="2:7" x14ac:dyDescent="0.25">
      <c r="B9" s="13" t="s">
        <v>60</v>
      </c>
      <c r="C9" s="14">
        <f>=Drivers!C9</f>
      </c>
      <c r="D9" s="14">
        <f>=Drivers!D9</f>
      </c>
      <c r="E9" s="14">
        <f>=Drivers!E9</f>
      </c>
      <c r="F9" s="14">
        <f>=Drivers!F9</f>
      </c>
      <c r="G9" s="14">
        <f>=Drivers!G9</f>
      </c>
    </row>
    <row r="10" spans="2:7" x14ac:dyDescent="0.25">
      <c r="B10" s="16" t="s">
        <v>61</v>
      </c>
      <c r="C10" s="17">
        <f>=Drivers!C10</f>
      </c>
      <c r="D10" s="17">
        <f>=Drivers!D10</f>
      </c>
      <c r="E10" s="17">
        <f>=Drivers!E10</f>
      </c>
      <c r="F10" s="17">
        <f>=Drivers!F10</f>
      </c>
      <c r="G10" s="17">
        <f>=Drivers!G10</f>
      </c>
    </row>
    <row r="12" spans="2:7" x14ac:dyDescent="0.25">
      <c r="B12" s="16" t="s">
        <v>75</v>
      </c>
      <c r="C12" s="17">
        <f>=Drivers!C16</f>
      </c>
      <c r="D12" s="17">
        <f>=Drivers!D16</f>
      </c>
      <c r="E12" s="17">
        <f>=Drivers!E16</f>
      </c>
      <c r="F12" s="17">
        <f>=Drivers!F16</f>
      </c>
      <c r="G12" s="17">
        <f>=Drivers!G16</f>
      </c>
    </row>
    <row r="13" spans="2:7" x14ac:dyDescent="0.25">
      <c r="B13" s="16" t="s">
        <v>71</v>
      </c>
      <c r="C13" s="17">
        <f>=Drivers!C22</f>
      </c>
      <c r="D13" s="17">
        <f>=Drivers!D22</f>
      </c>
      <c r="E13" s="17">
        <f>=Drivers!E22</f>
      </c>
      <c r="F13" s="17">
        <f>=Drivers!F22</f>
      </c>
      <c r="G13" s="17">
        <f>=Drivers!G22</f>
      </c>
    </row>
    <row r="15" spans="2:7" x14ac:dyDescent="0.25">
      <c r="B15" s="16" t="s">
        <v>76</v>
      </c>
      <c r="C15" s="17">
        <f>=C12+C13</f>
      </c>
      <c r="D15" s="17">
        <f>=D12+D13</f>
      </c>
      <c r="E15" s="17">
        <f>=E12+E13</f>
      </c>
      <c r="F15" s="17">
        <f>=F12+F13</f>
      </c>
      <c r="G15" s="17">
        <f>=G12+G13</f>
      </c>
    </row>
    <row r="16" spans="2:7" x14ac:dyDescent="0.25">
      <c r="B16" s="2" t="s">
        <v>77</v>
      </c>
      <c r="C16" s="18">
        <f>=C10-C15</f>
      </c>
      <c r="D16" s="18">
        <f>=D10-D15</f>
      </c>
      <c r="E16" s="18">
        <f>=E10-E15</f>
      </c>
      <c r="F16" s="18">
        <f>=F10-F15</f>
      </c>
      <c r="G16" s="18">
        <f>=G10-G15</f>
      </c>
    </row>
    <row r="17" spans="2:7" x14ac:dyDescent="0.25">
      <c r="B17" s="19" t="s">
        <v>78</v>
      </c>
      <c r="C17" s="20">
        <f>=IF(C10&gt;0,C16/C10,0)</f>
      </c>
      <c r="D17" s="20">
        <f>=IF(D10&gt;0,D16/D10,0)</f>
      </c>
      <c r="E17" s="20">
        <f>=IF(E10&gt;0,E16/E10,0)</f>
      </c>
      <c r="F17" s="20">
        <f>=IF(F10&gt;0,F16/F10,0)</f>
      </c>
      <c r="G17" s="20">
        <f>=IF(G10&gt;0,G16/G10,0)</f>
      </c>
    </row>
  </sheetData>
  <mergeCells count="1">
    <mergeCell ref="B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4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34" customWidth="1"/>
    <col min="3" max="7" width="18" customWidth="1"/>
  </cols>
  <sheetData>
    <row r="1" spans="2:7" x14ac:dyDescent="0.25">
      <c r="B1" s="1" t="s">
        <v>79</v>
      </c>
      <c r="C1" s="1"/>
      <c r="D1" s="1"/>
      <c r="E1" s="1"/>
      <c r="F1" s="1"/>
      <c r="G1" s="1"/>
    </row>
    <row r="3" spans="2:7" x14ac:dyDescent="0.25">
      <c r="B3" s="10"/>
      <c r="C3" s="2" t="s">
        <v>50</v>
      </c>
      <c r="D3" s="2" t="s">
        <v>51</v>
      </c>
      <c r="E3" s="2" t="s">
        <v>52</v>
      </c>
      <c r="F3" s="2" t="s">
        <v>53</v>
      </c>
      <c r="G3" s="2" t="s">
        <v>54</v>
      </c>
    </row>
    <row r="4" spans="2:7" x14ac:dyDescent="0.25">
      <c r="B4" s="11" t="s">
        <v>80</v>
      </c>
      <c r="C4" s="21">
        <f>='5-Year P&amp;L'!C16</f>
      </c>
      <c r="D4" s="21">
        <f>='5-Year P&amp;L'!D16</f>
      </c>
      <c r="E4" s="21">
        <f>='5-Year P&amp;L'!E16</f>
      </c>
      <c r="F4" s="21">
        <f>='5-Year P&amp;L'!F16</f>
      </c>
      <c r="G4" s="21">
        <f>='5-Year P&amp;L'!G16</f>
      </c>
    </row>
    <row r="6" spans="2:7" x14ac:dyDescent="0.25">
      <c r="B6" s="13" t="s">
        <v>81</v>
      </c>
      <c r="C6" s="14">
        <f>=Assumptions!D53</f>
      </c>
      <c r="D6" s="14">
        <f>=Assumptions!D53</f>
      </c>
      <c r="E6" s="14">
        <f>=Assumptions!D53</f>
      </c>
      <c r="F6" s="14">
        <f>=Assumptions!D53</f>
      </c>
      <c r="G6" s="14">
        <f>=Assumptions!D53</f>
      </c>
    </row>
    <row r="7" spans="2:7" x14ac:dyDescent="0.25">
      <c r="B7" s="13" t="s">
        <v>82</v>
      </c>
      <c r="C7" s="14">
        <f>=IF(Assumptions!D54&gt;0,PMT(Assumptions!D55/12,Assumptions!D56*12,-Assumptions!D54)*12,0)</f>
      </c>
      <c r="D7" s="14">
        <f>=IF(Assumptions!D54&gt;0,PMT(Assumptions!D55/12,Assumptions!D56*12,-Assumptions!D54)*12,0)</f>
      </c>
      <c r="E7" s="14">
        <f>=IF(Assumptions!D54&gt;0,PMT(Assumptions!D55/12,Assumptions!D56*12,-Assumptions!D54)*12,0)</f>
      </c>
      <c r="F7" s="14">
        <f>=IF(Assumptions!D54&gt;0,PMT(Assumptions!D55/12,Assumptions!D56*12,-Assumptions!D54)*12,0)</f>
      </c>
      <c r="G7" s="14">
        <f>=IF(Assumptions!D54&gt;0,PMT(Assumptions!D55/12,Assumptions!D56*12,-Assumptions!D54)*12,0)</f>
      </c>
    </row>
    <row r="8" spans="2:7" x14ac:dyDescent="0.25">
      <c r="B8" s="16" t="s">
        <v>83</v>
      </c>
      <c r="C8" s="17">
        <f>=C6+C7</f>
      </c>
      <c r="D8" s="17">
        <f>=D6+D7</f>
      </c>
      <c r="E8" s="17">
        <f>=E6+E7</f>
      </c>
      <c r="F8" s="17">
        <f>=F6+F7</f>
      </c>
      <c r="G8" s="17">
        <f>=G6+G7</f>
      </c>
    </row>
    <row r="10" spans="2:7" x14ac:dyDescent="0.25">
      <c r="B10" s="22" t="s">
        <v>84</v>
      </c>
      <c r="C10" s="23">
        <f>=IF(C8&gt;0,C4/C8,IF(C4&gt;0,99.9,0))</f>
      </c>
      <c r="D10" s="23">
        <f>=IF(D8&gt;0,D4/D8,IF(D4&gt;0,99.9,0))</f>
      </c>
      <c r="E10" s="23">
        <f>=IF(E8&gt;0,E4/E8,IF(E4&gt;0,99.9,0))</f>
      </c>
      <c r="F10" s="23">
        <f>=IF(F8&gt;0,F4/F8,IF(F4&gt;0,99.9,0))</f>
      </c>
      <c r="G10" s="23">
        <f>=IF(G8&gt;0,G4/G8,IF(G4&gt;0,99.9,0))</f>
      </c>
    </row>
    <row r="12" spans="2:7" x14ac:dyDescent="0.25">
      <c r="B12" s="11" t="s">
        <v>85</v>
      </c>
      <c r="C12" s="21">
        <f>=C4-C8</f>
      </c>
      <c r="D12" s="21">
        <f>=D4-D8</f>
      </c>
      <c r="E12" s="21">
        <f>=E4-E8</f>
      </c>
      <c r="F12" s="21">
        <f>=F4-F8</f>
      </c>
      <c r="G12" s="21">
        <f>=G4-G8</f>
      </c>
    </row>
    <row r="14" spans="2:7" x14ac:dyDescent="0.25">
      <c r="B14" s="16" t="s">
        <v>86</v>
      </c>
      <c r="C14" s="17">
        <f>=Assumptions!D52+C12</f>
      </c>
      <c r="D14" s="17">
        <f>=C14+D12</f>
      </c>
      <c r="E14" s="17">
        <f>=D14+E12</f>
      </c>
      <c r="F14" s="17">
        <f>=E14+F12</f>
      </c>
      <c r="G14" s="17">
        <f>=F14+G12</f>
      </c>
    </row>
  </sheetData>
  <mergeCells count="1">
    <mergeCell ref="B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6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30" customWidth="1"/>
    <col min="3" max="7" width="18" customWidth="1"/>
  </cols>
  <sheetData>
    <row r="1" spans="2:7" x14ac:dyDescent="0.25">
      <c r="B1" s="1" t="s">
        <v>87</v>
      </c>
      <c r="C1" s="1"/>
      <c r="D1" s="1"/>
      <c r="E1" s="1"/>
      <c r="F1" s="1"/>
      <c r="G1" s="1"/>
    </row>
    <row r="3" spans="2:7" x14ac:dyDescent="0.25">
      <c r="B3" s="24"/>
      <c r="C3" s="8" t="s">
        <v>50</v>
      </c>
      <c r="D3" s="8" t="s">
        <v>51</v>
      </c>
      <c r="E3" s="8" t="s">
        <v>52</v>
      </c>
      <c r="F3" s="8" t="s">
        <v>53</v>
      </c>
      <c r="G3" s="8" t="s">
        <v>54</v>
      </c>
    </row>
    <row r="4" spans="2:7" x14ac:dyDescent="0.25">
      <c r="B4" s="13" t="s">
        <v>88</v>
      </c>
      <c r="C4" s="12">
        <f>=Drivers!C12</f>
      </c>
      <c r="D4" s="12">
        <f>=Drivers!D12</f>
      </c>
      <c r="E4" s="12">
        <f>=Drivers!E12</f>
      </c>
      <c r="F4" s="12">
        <f>=Drivers!F12</f>
      </c>
      <c r="G4" s="12">
        <f>=Drivers!G12</f>
      </c>
    </row>
    <row r="5" spans="2:7" x14ac:dyDescent="0.25">
      <c r="B5" s="13" t="s">
        <v>89</v>
      </c>
      <c r="C5" s="25">
        <f>=Assumptions!D32</f>
      </c>
      <c r="D5" s="25">
        <f>=Assumptions!D33</f>
      </c>
      <c r="E5" s="25">
        <f>=Assumptions!D34</f>
      </c>
      <c r="F5" s="25">
        <f>=Assumptions!D35</f>
      </c>
      <c r="G5" s="25">
        <f>=Assumptions!D36</f>
      </c>
    </row>
    <row r="6" spans="2:7" x14ac:dyDescent="0.25">
      <c r="B6" s="16" t="s">
        <v>90</v>
      </c>
      <c r="C6" s="26">
        <f>=C4+C5</f>
      </c>
      <c r="D6" s="26">
        <f>=D4+D5</f>
      </c>
      <c r="E6" s="26">
        <f>=E4+E5</f>
      </c>
      <c r="F6" s="26">
        <f>=F4+F5</f>
      </c>
      <c r="G6" s="26">
        <f>=G4+G5</f>
      </c>
    </row>
  </sheetData>
  <mergeCells count="1">
    <mergeCell ref="B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8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30" customWidth="1"/>
    <col min="3" max="3" width="22" customWidth="1"/>
  </cols>
  <sheetData>
    <row r="1" spans="2:3" x14ac:dyDescent="0.25">
      <c r="B1" s="1" t="s">
        <v>91</v>
      </c>
      <c r="C1" s="1"/>
    </row>
    <row r="3" spans="2:3" x14ac:dyDescent="0.25">
      <c r="B3" s="13" t="s">
        <v>92</v>
      </c>
      <c r="C3" s="27">
        <f>=Assumptions!D54</f>
      </c>
    </row>
    <row r="4" spans="2:3" x14ac:dyDescent="0.25">
      <c r="B4" s="13" t="s">
        <v>93</v>
      </c>
      <c r="C4" s="28">
        <f>=Assumptions!D55</f>
      </c>
    </row>
    <row r="5" spans="2:3" x14ac:dyDescent="0.25">
      <c r="B5" s="13" t="s">
        <v>48</v>
      </c>
      <c r="C5" s="29">
        <f>=Assumptions!D56</f>
      </c>
    </row>
    <row r="6" spans="2:3" x14ac:dyDescent="0.25">
      <c r="B6" s="11" t="s">
        <v>94</v>
      </c>
      <c r="C6" s="21">
        <f>=IF(Assumptions!D54&gt;0,PMT(Assumptions!D55/12,Assumptions!D56*12,-Assumptions!D54)*12,0)</f>
      </c>
    </row>
    <row r="8" spans="2:3" x14ac:dyDescent="0.25">
      <c r="B8" s="22" t="s">
        <v>95</v>
      </c>
      <c r="C8" s="30">
        <f>='Cash Flow &amp; DSCR'!C10</f>
      </c>
    </row>
  </sheetData>
  <mergeCells count="1">
    <mergeCell ref="B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12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30" customWidth="1"/>
    <col min="3" max="3" width="22" customWidth="1"/>
  </cols>
  <sheetData>
    <row r="1" spans="2:3" x14ac:dyDescent="0.25">
      <c r="B1" s="1" t="s">
        <v>96</v>
      </c>
      <c r="C1" s="1"/>
    </row>
    <row r="3" spans="2:3" x14ac:dyDescent="0.25">
      <c r="B3" s="13" t="s">
        <v>2</v>
      </c>
      <c r="C3">
        <f>=Assumptions!D5</f>
      </c>
    </row>
    <row r="4" spans="2:3" x14ac:dyDescent="0.25">
      <c r="B4" s="13" t="s">
        <v>4</v>
      </c>
      <c r="C4">
        <f>=Assumptions!D7</f>
      </c>
    </row>
    <row r="5" spans="2:3" x14ac:dyDescent="0.25">
      <c r="B5" s="13" t="s">
        <v>3</v>
      </c>
      <c r="C5">
        <f>=Assumptions!D6</f>
      </c>
    </row>
    <row r="6" spans="2:3" x14ac:dyDescent="0.25">
      <c r="B6" s="13" t="s">
        <v>97</v>
      </c>
      <c r="C6">
        <f>=Assumptions!D8</f>
      </c>
    </row>
    <row r="8" spans="2:3" x14ac:dyDescent="0.25">
      <c r="B8" s="13" t="s">
        <v>11</v>
      </c>
      <c r="C8" s="12">
        <f>=Assumptions!D15</f>
      </c>
    </row>
    <row r="9" spans="2:3" x14ac:dyDescent="0.25">
      <c r="B9" s="13" t="s">
        <v>98</v>
      </c>
      <c r="C9" s="14">
        <f>=Drivers!G10</f>
      </c>
    </row>
    <row r="10" spans="2:3" x14ac:dyDescent="0.25">
      <c r="B10" s="13" t="s">
        <v>99</v>
      </c>
      <c r="C10" s="14">
        <f>='5-Year P&amp;L'!G16</f>
      </c>
    </row>
    <row r="12" spans="2:3" x14ac:dyDescent="0.25">
      <c r="B12" s="31" t="s">
        <v>100</v>
      </c>
      <c r="C12" s="31"/>
    </row>
  </sheetData>
  <mergeCells count="2">
    <mergeCell ref="B1:C1"/>
    <mergeCell ref="B12:C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Assumptions</vt:lpstr>
      <vt:lpstr>Drivers</vt:lpstr>
      <vt:lpstr>5-Year P&amp;L</vt:lpstr>
      <vt:lpstr>Cash Flow &amp; DSCR</vt:lpstr>
      <vt:lpstr>Staffing</vt:lpstr>
      <vt:lpstr>Loan Snapshot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SchoolStack Budget</dc:creator>
  <dc:title/>
  <dc:subject/>
  <dc:description/>
  <cp:keywords/>
  <cp:category/>
  <cp:lastModifiedBy>Unknown</cp:lastModifiedBy>
  <dcterms:created xsi:type="dcterms:W3CDTF">2026-03-14T17:42:56Z</dcterms:created>
  <dcterms:modified xsi:type="dcterms:W3CDTF">2026-03-14T17:42:56Z</dcterms:modified>
</cp:coreProperties>
</file>