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0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8" name="Consultant Notes" state="visible" r:id="rId12"/>
    <sheet sheetId="9" name="Prior-Year Snapshot" state="visible" r:id="rId13"/>
  </sheets>
  <definedNames>
    <definedName name="_xlnm.Print_Area" localSheetId="1">'Assumptions'!$A1:$B29</definedName>
    <definedName name="_xlnm.Print_Titles" localSheetId="1">'Assumptions'!$1:$1</definedName>
    <definedName name="_xlnm.Print_Area" localSheetId="2">'Revenue Schedule'!$A1:$F15</definedName>
    <definedName name="_xlnm.Print_Titles" localSheetId="2">'Revenue Schedule'!$1:$1</definedName>
    <definedName name="_xlnm.Print_Area" localSheetId="3">'Staffing &amp; Personnel'!$A1:$H26</definedName>
    <definedName name="_xlnm.Print_Titles" localSheetId="3">'Staffing &amp; Personnel'!$1:$1</definedName>
    <definedName name="_xlnm.Print_Area" localSheetId="4">'Operating Expenses'!$A1:$F19</definedName>
    <definedName name="_xlnm.Print_Titles" localSheetId="4">'Operating Expenses'!$1:$1</definedName>
    <definedName name="_xlnm.Print_Area" localSheetId="5">'Capital &amp; Debt'!$A1:$F5</definedName>
    <definedName name="_xlnm.Print_Titles" localSheetId="5">'Capital &amp; Debt'!$1:$1</definedName>
    <definedName name="_xlnm.Print_Area" localSheetId="6">'Financial Model'!$A1:$F9</definedName>
    <definedName name="_xlnm.Print_Titles" localSheetId="6">'Financial Model'!$1:$1</definedName>
    <definedName name="_xlnm.Print_Area" localSheetId="7">'Summary'!$A1:$F42</definedName>
    <definedName name="_xlnm.Print_Titles" localSheetId="7">'Summary'!$1:$1</definedName>
    <definedName name="_xlnm.Print_Area" localSheetId="8">'Consultant Notes'!$A1:$B19</definedName>
    <definedName name="_xlnm.Print_Titles" localSheetId="8">'Consultant Notes'!$1:$1</definedName>
    <definedName name="_xlnm.Print_Area" localSheetId="9">'Prior-Year Snapshot'!$A1:$B9</definedName>
    <definedName name="_xlnm.Print_Titles" localSheetId="9">'Prior-Year Snapshot'!$1:$1</definedName>
  </definedNames>
  <calcPr calcId="171027" fullCalcOnLoad="1"/>
</workbook>
</file>

<file path=xl/sharedStrings.xml><?xml version="1.0" encoding="utf-8"?>
<sst xmlns="http://schemas.openxmlformats.org/spreadsheetml/2006/main" count="263" uniqueCount="181">
  <si>
    <t>SchoolStack Budget</t>
  </si>
  <si>
    <t>5-Year Financial Model</t>
  </si>
  <si>
    <t>Prepared for</t>
  </si>
  <si>
    <t>Riverside Christian Academy</t>
  </si>
  <si>
    <t>Private School  •  501(c)(3) Nonprofit  •  FL</t>
  </si>
  <si>
    <t>Date Prepared</t>
  </si>
  <si>
    <t>March 25,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</si>
  <si>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</si>
  <si>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</si>
  <si>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</si>
  <si>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</si>
  <si>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</si>
  <si>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</si>
  <si>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Lender Readiness</t>
  </si>
  <si>
    <t>Strong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</si>
  <si>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</si>
  <si>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</si>
  <si>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</si>
  <si>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</si>
  <si>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</si>
  <si>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</si>
  <si>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</si>
  <si>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</si>
  <si>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Consultant Notes</t>
  </si>
  <si>
    <t>Prior-Year Snapshot</t>
  </si>
  <si>
    <t>Generated by SchoolStack Budget  •  budget.schoolstack.ai</t>
  </si>
  <si>
    <t>SchoolStack Budget - Assumptions</t>
  </si>
  <si>
    <t>SCHOOL INFORMATION</t>
  </si>
  <si>
    <t>School Name</t>
  </si>
  <si>
    <t>State</t>
  </si>
  <si>
    <t>FL</t>
  </si>
  <si>
    <t>School Type</t>
  </si>
  <si>
    <t>Private School</t>
  </si>
  <si>
    <t>Entity Type</t>
  </si>
  <si>
    <t>501(c)(3) Nonprofit</t>
  </si>
  <si>
    <t>School Stage</t>
  </si>
  <si>
    <t>Operating School</t>
  </si>
  <si>
    <t>Opening Year</t>
  </si>
  <si>
    <t>Current Students</t>
  </si>
  <si>
    <t>Max Student Capacity</t>
  </si>
  <si>
    <t>Fiscal Year Start</t>
  </si>
  <si>
    <t>July</t>
  </si>
  <si>
    <t>Accredited</t>
  </si>
  <si>
    <t>No</t>
  </si>
  <si>
    <t>Location Secured</t>
  </si>
  <si>
    <t>Yes</t>
  </si>
  <si>
    <t>Facility Ownership</t>
  </si>
  <si>
    <t>Owned</t>
  </si>
  <si>
    <t>Monthly Mortgage Payment</t>
  </si>
  <si>
    <t>$8,500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</si>
  <si>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</si>
  <si>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</si>
  <si>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</si>
  <si>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</si>
  <si>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</si>
  <si>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</si>
  <si>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</si>
  <si>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</si>
  <si>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</si>
  <si>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</si>
  <si>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</si>
  <si>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</si>
  <si>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</si>
  <si>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</si>
  <si>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</si>
  <si>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</si>
  <si>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</si>
  <si>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</si>
  <si>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</si>
  <si>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TUITION &amp; STUDENT FEES</t>
  </si>
  <si>
    <t>Annual Tuition (K-8)</t>
  </si>
  <si>
    <t>Registration &amp; Activity Fees</t>
  </si>
  <si>
    <t>Total TUITION &amp; STUDENT FEES</t>
  </si>
  <si>
    <t>PHILANTHROPY</t>
  </si>
  <si>
    <t>Annual Fund Donations</t>
  </si>
  <si>
    <t>Foundation Grants</t>
  </si>
  <si>
    <t>Total PHILANTHROPY</t>
  </si>
  <si>
    <t>OTHER REVENUE</t>
  </si>
  <si>
    <t>After-School Programs</t>
  </si>
  <si>
    <t>Total OTHER REVENUE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</si>
  <si>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</si>
  <si>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</si>
  <si>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</si>
  <si>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</si>
  <si>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</si>
  <si>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</si>
  <si>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</si>
  <si>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</si>
  <si>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</si>
  <si>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</si>
  <si>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Head of School</t>
  </si>
  <si>
    <t>School Leadership</t>
  </si>
  <si>
    <t>Full-Time</t>
  </si>
  <si>
    <t>Assistant Principal</t>
  </si>
  <si>
    <t>Lead Teachers (K-8)</t>
  </si>
  <si>
    <t>Instructional</t>
  </si>
  <si>
    <t>Teaching Assistants</t>
  </si>
  <si>
    <t>Counselor</t>
  </si>
  <si>
    <t>Student Support</t>
  </si>
  <si>
    <t>Maintenance / Custodial</t>
  </si>
  <si>
    <t>Operations</t>
  </si>
  <si>
    <t>Office Manager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</si>
  <si>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</si>
  <si>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</si>
  <si>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</si>
  <si>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</si>
  <si>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</si>
  <si>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</si>
  <si>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</si>
  <si>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</si>
  <si>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</si>
  <si>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</si>
  <si>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</si>
  <si>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</si>
  <si>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</si>
  <si>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</si>
  <si>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</si>
  <si>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 &amp; Textbooks</t>
  </si>
  <si>
    <t>Professional Development</t>
  </si>
  <si>
    <t>Total INSTRUCTIONAL</t>
  </si>
  <si>
    <t>TECHNOLOGY</t>
  </si>
  <si>
    <t>Technology (Devices + Software)</t>
  </si>
  <si>
    <t>Total TECHNOLOGY</t>
  </si>
  <si>
    <t>OCCUPANCY / FACILITY</t>
  </si>
  <si>
    <t>Utilities &amp; Maintenance</t>
  </si>
  <si>
    <t>Total OCCUPANCY</t>
  </si>
  <si>
    <t>ADMINISTRATIVE / GENERAL</t>
  </si>
  <si>
    <t>Insurance (General + D&amp;O)</t>
  </si>
  <si>
    <t>Marketing &amp; Enrollment</t>
  </si>
  <si>
    <t>Accounting &amp; Legal</t>
  </si>
  <si>
    <t>Total ADMINISTRATIVE</t>
  </si>
  <si>
    <t>TOTAL OPERATING EXPENSES</t>
  </si>
  <si>
    <t>CAPITAL EXPENDITURES &amp; DEBT SERVICE</t>
  </si>
  <si>
    <t>Building Mortgage</t>
  </si>
  <si>
    <t>Renovation Loan</t>
  </si>
  <si>
    <t>TOTAL CAPITAL &amp; DEBT</t>
  </si>
  <si>
    <t>Total Revenue</t>
  </si>
  <si>
    <t>Personnel Costs</t>
  </si>
  <si>
    <t>Total Expenses</t>
  </si>
  <si>
    <t>Net Income</t>
  </si>
  <si>
    <t>Cumulative Net Income</t>
  </si>
  <si>
    <t>Financial Model Summary</t>
  </si>
  <si>
    <t>Prepared by SchoolStack Budget</t>
  </si>
  <si>
    <t>400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</si>
  <si>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</si>
  <si>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</si>
  <si>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</si>
  <si>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</si>
  <si>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</si>
  <si>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</si>
  <si>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</si>
  <si>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Net Margin %</t>
  </si>
  <si>
    <t>REVENUE MIX TREND</t>
  </si>
  <si>
    <t>Tuition &amp; Fees %</t>
  </si>
  <si>
    <t>Public Funding %</t>
  </si>
  <si>
    <t>Philanthropy %</t>
  </si>
  <si>
    <t>LENDER READINESS ASSESSMENT</t>
  </si>
  <si>
    <t>Readiness Status</t>
  </si>
  <si>
    <t>Assessment</t>
  </si>
  <si>
    <t>This model demonstrates strong financial fundamentals: a clear path to net income, controlled costs, a sustainable revenue mix, and adequate debt coverage. Your projections are grounded and achievable.</t>
  </si>
  <si>
    <t>Biggest Strength</t>
  </si>
  <si>
    <t>Strong Year 5 net income</t>
  </si>
  <si>
    <t>Biggest Risk</t>
  </si>
  <si>
    <t>No major red flags detected, so continue refining assumptions as you gather real data.</t>
  </si>
  <si>
    <t>SchoolStack Budget - Consultant Notes</t>
  </si>
  <si>
    <t>EXECUTIVE SUMMARY</t>
  </si>
  <si>
    <t>Riverside Christian Academy projects $6,529,124 in Year 5 revenue with a 82.0% net margin. The model tells a strong financial story with 9 of 9 key metrics in healthy range, a great foundation for your mission.</t>
  </si>
  <si>
    <t>LENDER READINESS</t>
  </si>
  <si>
    <t>Status</t>
  </si>
  <si>
    <t>RECOMMENDATIONS</t>
  </si>
  <si>
    <t>[LOW] Plan for Tuition Collection &amp; Discount Risk</t>
  </si>
  <si>
    <t>Private schools face collection risk from late payments, withdrawals, and financial aid shortfalls. With 95.7% of revenue from tuition, build a 5–10% bad debt reserve into your budget. Factor in tuition discount rates for merit/need-based aid and maintain clear enrollment contracts with payment terms.</t>
  </si>
  <si>
    <t>[HIGH] Address Cash Reserve Deficit from Prior Year</t>
  </si>
  <si>
    <t>Last year ended with $120,000 in cash, only 0.7 months of expenses. Building reserves to 3+ months should be a priority. Consider a bridge line of credit while growing into net income.</t>
  </si>
  <si>
    <t>[LOW] Document Your Growth Strategy</t>
  </si>
  <si>
    <t>Great projections are backed by a clear plan. Document your marketing strategy, enrollment pipeline, and community outreach, as this is the roadmap that turns your numbers into reality.</t>
  </si>
  <si>
    <t>PRIOR YEAR ACTUALS</t>
  </si>
  <si>
    <t>Ending Enrollment</t>
  </si>
  <si>
    <t>Ending Cash Balance</t>
  </si>
  <si>
    <t>Net Income (Prior Year)</t>
  </si>
  <si>
    <t>Cash Reserve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</si>
</sst>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17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b/>
      <color rgb="FF16A34A"/>
      <sz val="14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0" xfId="0" applyFont="1"/>
    <xf numFmtId="0" fontId="11" fillId="0" borderId="2" xfId="0" applyFont="1" applyBorder="1"/>
    <xf numFmtId="0" fontId="0" fillId="0" borderId="2" xfId="0" applyBorder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8" fillId="0" borderId="0" xfId="0" applyFont="1"/>
    <xf numFmtId="167" fontId="8" fillId="0" borderId="0" xfId="0" applyNumberFormat="1" applyFont="1"/>
    <xf numFmtId="165" fontId="8" fillId="0" borderId="0" xfId="0" applyNumberFormat="1" applyFont="1"/>
    <xf numFmtId="2" fontId="8" fillId="0" borderId="0" xfId="0" applyNumberFormat="1" applyFont="1"/>
    <xf numFmtId="0" fontId="14" fillId="4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15" fillId="0" borderId="0" xfId="0" applyFont="1"/>
    <xf numFmtId="0" fontId="16" fillId="0" borderId="0" xfId="0" applyFont="1"/>
    <xf numFmtId="165" fontId="7" fillId="0" borderId="2" xfId="0" applyNumberFormat="1" applyFont="1" applyBorder="1"/>
    <xf numFmtId="164" fontId="9" fillId="3" borderId="3" xfId="0" applyNumberFormat="1" applyFont="1" applyFill="1" applyBorder="1"/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Relationship Id="rId8" Type="http://schemas.openxmlformats.org/officeDocument/2006/relationships/hyperlink" Target="#&apos;Consultant Notes&apos;!A1" TargetMode="External"/><Relationship Id="rId9" Type="http://schemas.openxmlformats.org/officeDocument/2006/relationships/hyperlink" Target="#&apos;Prior-Year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9" t="s">
        <v>26</v>
      </c>
      <c r="B1" s="19"/>
    </row>
    <row r="3" ht="24" customHeight="1" spans="1:2" x14ac:dyDescent="0.25">
      <c r="A3" s="8" t="s">
        <v>27</v>
      </c>
      <c r="B3" s="8"/>
    </row>
    <row r="4" spans="1:2" x14ac:dyDescent="0.25">
      <c r="A4" s="20" t="s">
        <v>28</v>
      </c>
      <c r="B4" s="21" t="s">
        <v>3</v>
      </c>
    </row>
    <row r="5" spans="1:2" x14ac:dyDescent="0.25">
      <c r="A5" s="20" t="s">
        <v>29</v>
      </c>
      <c r="B5" s="21" t="s">
        <v>30</v>
      </c>
    </row>
    <row r="6" spans="1:2" x14ac:dyDescent="0.25">
      <c r="A6" s="20" t="s">
        <v>31</v>
      </c>
      <c r="B6" s="21" t="s">
        <v>32</v>
      </c>
    </row>
    <row r="7" spans="1:2" x14ac:dyDescent="0.25">
      <c r="A7" s="20" t="s">
        <v>33</v>
      </c>
      <c r="B7" s="21" t="s">
        <v>34</v>
      </c>
    </row>
    <row r="8" spans="1:2" x14ac:dyDescent="0.25">
      <c r="A8" s="20" t="s">
        <v>35</v>
      </c>
      <c r="B8" s="21" t="s">
        <v>36</v>
      </c>
    </row>
    <row r="9" spans="1:2" x14ac:dyDescent="0.25">
      <c r="A9" s="20" t="s">
        <v>37</v>
      </c>
      <c r="B9" s="21">
        <v>2023</v>
      </c>
    </row>
    <row r="10" spans="1:2" x14ac:dyDescent="0.25">
      <c r="A10" s="20" t="s">
        <v>38</v>
      </c>
      <c r="B10" s="21">
        <v>185</v>
      </c>
    </row>
    <row r="11" spans="1:2" x14ac:dyDescent="0.25">
      <c r="A11" s="20" t="s">
        <v>39</v>
      </c>
      <c r="B11" s="21">
        <v>400</v>
      </c>
    </row>
    <row r="12" spans="1:2" x14ac:dyDescent="0.25">
      <c r="A12" s="20" t="s">
        <v>40</v>
      </c>
      <c r="B12" s="21" t="s">
        <v>41</v>
      </c>
    </row>
    <row r="13" spans="1:2" x14ac:dyDescent="0.25">
      <c r="A13" s="20" t="s">
        <v>42</v>
      </c>
      <c r="B13" s="21" t="s">
        <v>43</v>
      </c>
    </row>
    <row r="14" spans="1:2" x14ac:dyDescent="0.25">
      <c r="A14" s="20" t="s">
        <v>44</v>
      </c>
      <c r="B14" s="21" t="s">
        <v>45</v>
      </c>
    </row>
    <row r="15" spans="1:2" x14ac:dyDescent="0.25">
      <c r="A15" s="20" t="s">
        <v>46</v>
      </c>
      <c r="B15" s="21" t="s">
        <v>47</v>
      </c>
    </row>
    <row r="16" spans="1:2" x14ac:dyDescent="0.25">
      <c r="A16" s="20" t="s">
        <v>48</v>
      </c>
      <c r="B16" s="21" t="s">
        <v>49</v>
      </c>
    </row>
    <row r="18" ht="24" customHeight="1" spans="1:2" x14ac:dyDescent="0.25">
      <c r="A18" s="8" t="s">
        <v>50</v>
      </c>
      <c r="B18" s="8"/>
    </row>
    <row r="19" spans="1:2" x14ac:dyDescent="0.25">
      <c r="A19" s="20" t="s">
        <v>51</v>
      </c>
      <c r="B19" s="22">
        <v>200</v>
      </c>
    </row>
    <row r="20" spans="1:2" x14ac:dyDescent="0.25">
      <c r="A20" s="20" t="s">
        <v>52</v>
      </c>
      <c r="B20" s="22">
        <v>250</v>
      </c>
    </row>
    <row r="21" spans="1:2" x14ac:dyDescent="0.25">
      <c r="A21" s="20" t="s">
        <v>53</v>
      </c>
      <c r="B21" s="22">
        <v>300</v>
      </c>
    </row>
    <row r="22" spans="1:2" x14ac:dyDescent="0.25">
      <c r="A22" s="20" t="s">
        <v>54</v>
      </c>
      <c r="B22" s="22">
        <v>350</v>
      </c>
    </row>
    <row r="23" spans="1:2" x14ac:dyDescent="0.25">
      <c r="A23" s="20" t="s">
        <v>55</v>
      </c>
      <c r="B23" s="22">
        <v>400</v>
      </c>
    </row>
    <row r="25" ht="24" customHeight="1" spans="1:2" x14ac:dyDescent="0.25">
      <c r="A25" s="8" t="s">
        <v>56</v>
      </c>
      <c r="B25" s="8"/>
    </row>
    <row r="26" spans="1:2" x14ac:dyDescent="0.25">
      <c r="A26" s="20" t="s">
        <v>57</v>
      </c>
      <c r="B26" s="23">
        <v>0</v>
      </c>
    </row>
    <row r="27" spans="1:2" x14ac:dyDescent="0.25">
      <c r="A27" s="20" t="s">
        <v>58</v>
      </c>
      <c r="B27" s="23">
        <v>0</v>
      </c>
    </row>
    <row r="28" spans="1:2" x14ac:dyDescent="0.25">
      <c r="A28" s="20" t="s">
        <v>59</v>
      </c>
      <c r="B28" s="24">
        <v>1</v>
      </c>
    </row>
    <row r="29" spans="1:2" x14ac:dyDescent="0.25">
      <c r="A29" s="20" t="s">
        <v>60</v>
      </c>
      <c r="B29" s="21" t="s">
        <v>61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Assumptions!B19</f>
        <v>200</v>
      </c>
      <c r="C2" s="26">
        <f>Assumptions!B20</f>
        <v>250</v>
      </c>
      <c r="D2" s="26">
        <f>Assumptions!B21</f>
        <v>300</v>
      </c>
      <c r="E2" s="26">
        <f>Assumptions!B22</f>
        <v>350</v>
      </c>
      <c r="F2" s="26">
        <f>Assumptions!B23</f>
        <v>400</v>
      </c>
    </row>
    <row r="3" ht="24" customHeight="1" spans="1:6" x14ac:dyDescent="0.25">
      <c r="A3" s="8" t="s">
        <v>69</v>
      </c>
      <c r="B3" s="8"/>
      <c r="C3" s="8"/>
      <c r="D3" s="8"/>
      <c r="E3" s="8"/>
      <c r="F3" s="8"/>
    </row>
    <row r="4" spans="1:6" x14ac:dyDescent="0.25">
      <c r="A4" s="20" t="s">
        <v>70</v>
      </c>
      <c r="B4" s="27">
        <f>12500*Assumptions!B19</f>
        <v>2500000</v>
      </c>
      <c r="C4" s="27">
        <f>12500*Assumptions!B20</f>
        <v>3125000</v>
      </c>
      <c r="D4" s="27">
        <f>12500*Assumptions!B21</f>
        <v>3750000</v>
      </c>
      <c r="E4" s="27">
        <f>12500*Assumptions!B22</f>
        <v>4375000</v>
      </c>
      <c r="F4" s="27">
        <f>12500*Assumptions!B23</f>
        <v>5000000</v>
      </c>
    </row>
    <row r="5" spans="1:6" x14ac:dyDescent="0.25">
      <c r="A5" s="20" t="s">
        <v>71</v>
      </c>
      <c r="B5" s="27">
        <f>750*Assumptions!B19</f>
        <v>150000</v>
      </c>
      <c r="C5" s="27">
        <f>750*Assumptions!B20</f>
        <v>187500</v>
      </c>
      <c r="D5" s="27">
        <f>750*Assumptions!B21</f>
        <v>225000</v>
      </c>
      <c r="E5" s="27">
        <f>750*Assumptions!B22</f>
        <v>262500</v>
      </c>
      <c r="F5" s="27">
        <f>750*Assumptions!B23</f>
        <v>300000</v>
      </c>
    </row>
    <row r="6" ht="24" customHeight="1" spans="1:6" x14ac:dyDescent="0.25">
      <c r="A6" s="8" t="s">
        <v>72</v>
      </c>
      <c r="B6" s="28">
        <f>SUM(B4:B5)</f>
        <v>2650000</v>
      </c>
      <c r="C6" s="28">
        <f>SUM(C4:C5)</f>
        <v>3312500</v>
      </c>
      <c r="D6" s="28">
        <f>SUM(D4:D5)</f>
        <v>3975000</v>
      </c>
      <c r="E6" s="28">
        <f>SUM(E4:E5)</f>
        <v>4637500</v>
      </c>
      <c r="F6" s="28">
        <f>SUM(F4:F5)</f>
        <v>5300000</v>
      </c>
    </row>
    <row r="7" ht="24" customHeight="1" spans="1:6" x14ac:dyDescent="0.25">
      <c r="A7" s="8" t="s">
        <v>73</v>
      </c>
      <c r="B7" s="8"/>
      <c r="C7" s="8"/>
      <c r="D7" s="8"/>
      <c r="E7" s="8"/>
      <c r="F7" s="8"/>
    </row>
    <row r="8" spans="1:6" x14ac:dyDescent="0.25">
      <c r="A8" s="20" t="s">
        <v>74</v>
      </c>
      <c r="B8" s="27">
        <v>75000</v>
      </c>
      <c r="C8" s="27">
        <v>85000</v>
      </c>
      <c r="D8" s="27">
        <v>95000</v>
      </c>
      <c r="E8" s="27">
        <v>100000</v>
      </c>
      <c r="F8" s="27">
        <v>110000</v>
      </c>
    </row>
    <row r="9" spans="1:6" x14ac:dyDescent="0.25">
      <c r="A9" s="20" t="s">
        <v>75</v>
      </c>
      <c r="B9" s="27">
        <v>50000</v>
      </c>
      <c r="C9" s="27">
        <v>40000</v>
      </c>
      <c r="D9" s="27">
        <v>30000</v>
      </c>
      <c r="E9" s="27">
        <v>25000</v>
      </c>
      <c r="F9" s="27">
        <v>20000</v>
      </c>
    </row>
    <row r="10" ht="24" customHeight="1" spans="1:6" x14ac:dyDescent="0.25">
      <c r="A10" s="8" t="s">
        <v>76</v>
      </c>
      <c r="B10" s="28">
        <f>SUM(B8:B9)</f>
        <v>75000</v>
      </c>
      <c r="C10" s="28">
        <f>SUM(C8:C9)</f>
        <v>85000</v>
      </c>
      <c r="D10" s="28">
        <f>SUM(D8:D9)</f>
        <v>95000</v>
      </c>
      <c r="E10" s="28">
        <f>SUM(E8:E9)</f>
        <v>100000</v>
      </c>
      <c r="F10" s="28">
        <f>SUM(F8:F9)</f>
        <v>110000</v>
      </c>
    </row>
    <row r="11" ht="24" customHeight="1" spans="1:6" x14ac:dyDescent="0.25">
      <c r="A11" s="8" t="s">
        <v>77</v>
      </c>
      <c r="B11" s="8"/>
      <c r="C11" s="8"/>
      <c r="D11" s="8"/>
      <c r="E11" s="8"/>
      <c r="F11" s="8"/>
    </row>
    <row r="12" spans="1:6" x14ac:dyDescent="0.25">
      <c r="A12" s="20" t="s">
        <v>78</v>
      </c>
      <c r="B12" s="27">
        <f>500*Assumptions!B19</f>
        <v>100000</v>
      </c>
      <c r="C12" s="27">
        <f>500*Assumptions!B20</f>
        <v>125000</v>
      </c>
      <c r="D12" s="27">
        <f>500*Assumptions!B21</f>
        <v>150000</v>
      </c>
      <c r="E12" s="27">
        <f>500*Assumptions!B22</f>
        <v>175000</v>
      </c>
      <c r="F12" s="27">
        <f>500*Assumptions!B23</f>
        <v>200000</v>
      </c>
    </row>
    <row r="13" ht="24" customHeight="1" spans="1:6" x14ac:dyDescent="0.25">
      <c r="A13" s="8" t="s">
        <v>79</v>
      </c>
      <c r="B13" s="28">
        <f>SUM(B12:B12)</f>
        <v>100000</v>
      </c>
      <c r="C13" s="28">
        <f>SUM(C12:C12)</f>
        <v>125000</v>
      </c>
      <c r="D13" s="28">
        <f>SUM(D12:D12)</f>
        <v>150000</v>
      </c>
      <c r="E13" s="28">
        <f>SUM(E12:E12)</f>
        <v>175000</v>
      </c>
      <c r="F13" s="28">
        <f>SUM(F12:F12)</f>
        <v>200000</v>
      </c>
    </row>
    <row r="15" ht="24" customHeight="1" spans="1:6" x14ac:dyDescent="0.25">
      <c r="A15" s="8" t="s">
        <v>80</v>
      </c>
      <c r="B15" s="28">
        <f>B6+B10+B13</f>
        <v>2875000</v>
      </c>
      <c r="C15" s="28">
        <f>C6+C10+C13</f>
        <v>3562500</v>
      </c>
      <c r="D15" s="28">
        <f>D6+D10+D13</f>
        <v>4250000</v>
      </c>
      <c r="E15" s="28">
        <f>E6+E10+E13</f>
        <v>4937500</v>
      </c>
      <c r="F15" s="28">
        <f>F6+F10+F13</f>
        <v>5630000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&amp;L&amp;10&amp;BRiverside Christian Academy&amp;R&amp;8&amp;IRevenue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9" t="s">
        <v>81</v>
      </c>
      <c r="B1" s="19"/>
      <c r="C1" s="19"/>
      <c r="D1" s="19"/>
      <c r="E1" s="19"/>
      <c r="F1" s="19"/>
      <c r="G1" s="19"/>
      <c r="H1" s="19"/>
    </row>
    <row r="3" ht="28" customHeight="1" spans="1:8" x14ac:dyDescent="0.25">
      <c r="A3" s="25" t="s">
        <v>82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87</v>
      </c>
      <c r="G3" s="25" t="s">
        <v>88</v>
      </c>
      <c r="H3" s="25" t="s">
        <v>89</v>
      </c>
    </row>
    <row r="4" spans="1:8" x14ac:dyDescent="0.25">
      <c r="A4" s="20" t="s">
        <v>90</v>
      </c>
      <c r="B4" s="20" t="s">
        <v>91</v>
      </c>
      <c r="C4" s="20" t="s">
        <v>92</v>
      </c>
      <c r="D4" s="29">
        <v>1</v>
      </c>
      <c r="E4" s="30">
        <v>95000</v>
      </c>
      <c r="F4" s="31">
        <v>0.22</v>
      </c>
      <c r="G4" s="31">
        <v>0.0765</v>
      </c>
      <c r="H4" s="32">
        <v>123167.5</v>
      </c>
    </row>
    <row r="5" spans="1:8" x14ac:dyDescent="0.25">
      <c r="A5" s="20" t="s">
        <v>93</v>
      </c>
      <c r="B5" s="20" t="s">
        <v>91</v>
      </c>
      <c r="C5" s="20" t="s">
        <v>92</v>
      </c>
      <c r="D5" s="29">
        <v>1</v>
      </c>
      <c r="E5" s="30">
        <v>72000</v>
      </c>
      <c r="F5" s="31">
        <v>0.22</v>
      </c>
      <c r="G5" s="31">
        <v>0.0765</v>
      </c>
      <c r="H5" s="32">
        <v>93348</v>
      </c>
    </row>
    <row r="6" spans="1:8" x14ac:dyDescent="0.25">
      <c r="A6" s="20" t="s">
        <v>94</v>
      </c>
      <c r="B6" s="20" t="s">
        <v>95</v>
      </c>
      <c r="C6" s="20" t="s">
        <v>92</v>
      </c>
      <c r="D6" s="29">
        <v>1</v>
      </c>
      <c r="E6" s="30">
        <v>48000</v>
      </c>
      <c r="F6" s="31">
        <v>0.2</v>
      </c>
      <c r="G6" s="31">
        <v>0.0765</v>
      </c>
      <c r="H6" s="32">
        <v>61272</v>
      </c>
    </row>
    <row r="7" spans="1:8" x14ac:dyDescent="0.25">
      <c r="A7" s="20" t="s">
        <v>96</v>
      </c>
      <c r="B7" s="20" t="s">
        <v>95</v>
      </c>
      <c r="C7" s="20" t="s">
        <v>92</v>
      </c>
      <c r="D7" s="29">
        <v>1</v>
      </c>
      <c r="E7" s="30">
        <v>30000</v>
      </c>
      <c r="F7" s="31">
        <v>0.15</v>
      </c>
      <c r="G7" s="31">
        <v>0.0765</v>
      </c>
      <c r="H7" s="32">
        <v>36795</v>
      </c>
    </row>
    <row r="8" spans="1:8" x14ac:dyDescent="0.25">
      <c r="A8" s="20" t="s">
        <v>97</v>
      </c>
      <c r="B8" s="20" t="s">
        <v>98</v>
      </c>
      <c r="C8" s="20" t="s">
        <v>92</v>
      </c>
      <c r="D8" s="29">
        <v>1</v>
      </c>
      <c r="E8" s="30">
        <v>55000</v>
      </c>
      <c r="F8" s="31">
        <v>0.2</v>
      </c>
      <c r="G8" s="31">
        <v>0.0765</v>
      </c>
      <c r="H8" s="32">
        <v>70207.5</v>
      </c>
    </row>
    <row r="9" spans="1:8" x14ac:dyDescent="0.25">
      <c r="A9" s="20" t="s">
        <v>99</v>
      </c>
      <c r="B9" s="20" t="s">
        <v>100</v>
      </c>
      <c r="C9" s="20" t="s">
        <v>92</v>
      </c>
      <c r="D9" s="29">
        <v>1</v>
      </c>
      <c r="E9" s="30">
        <v>32000</v>
      </c>
      <c r="F9" s="31">
        <v>0</v>
      </c>
      <c r="G9" s="31">
        <v>0.0765</v>
      </c>
      <c r="H9" s="32">
        <v>34448</v>
      </c>
    </row>
    <row r="10" spans="1:8" x14ac:dyDescent="0.25">
      <c r="A10" s="20" t="s">
        <v>101</v>
      </c>
      <c r="B10" s="20" t="s">
        <v>102</v>
      </c>
      <c r="C10" s="20" t="s">
        <v>92</v>
      </c>
      <c r="D10" s="29">
        <v>1</v>
      </c>
      <c r="E10" s="30">
        <v>42000</v>
      </c>
      <c r="F10" s="31">
        <v>0.2</v>
      </c>
      <c r="G10" s="31">
        <v>0.0765</v>
      </c>
      <c r="H10" s="32">
        <v>53613</v>
      </c>
    </row>
    <row r="12" ht="24" customHeight="1" spans="1:8" x14ac:dyDescent="0.25">
      <c r="A12" s="8" t="s">
        <v>103</v>
      </c>
      <c r="B12" s="8"/>
      <c r="C12" s="8"/>
      <c r="D12" s="8"/>
      <c r="E12" s="8"/>
      <c r="F12" s="8"/>
      <c r="G12" s="8"/>
      <c r="H12" s="8"/>
    </row>
    <row r="13" spans="1:2" x14ac:dyDescent="0.25">
      <c r="A13" s="20" t="s">
        <v>104</v>
      </c>
      <c r="B13" s="21">
        <v>7</v>
      </c>
    </row>
    <row r="14" spans="1:2" x14ac:dyDescent="0.25">
      <c r="A14" s="20" t="s">
        <v>105</v>
      </c>
      <c r="B14" s="21">
        <v>7</v>
      </c>
    </row>
    <row r="15" spans="1:2" x14ac:dyDescent="0.25">
      <c r="A15" s="20" t="s">
        <v>106</v>
      </c>
      <c r="B15" s="30">
        <v>374000</v>
      </c>
    </row>
    <row r="16" spans="1:2" x14ac:dyDescent="0.25">
      <c r="A16" s="20" t="s">
        <v>107</v>
      </c>
      <c r="B16" s="30">
        <v>70240</v>
      </c>
    </row>
    <row r="17" spans="1:2" x14ac:dyDescent="0.25">
      <c r="A17" s="20" t="s">
        <v>108</v>
      </c>
      <c r="B17" s="30">
        <v>28611</v>
      </c>
    </row>
    <row r="18" spans="1:2" x14ac:dyDescent="0.25">
      <c r="A18" s="20" t="s">
        <v>109</v>
      </c>
      <c r="B18" s="30">
        <v>0</v>
      </c>
    </row>
    <row r="19" spans="1:2" x14ac:dyDescent="0.25">
      <c r="A19" s="21" t="s">
        <v>110</v>
      </c>
      <c r="B19" s="32">
        <v>472851</v>
      </c>
    </row>
    <row r="21" ht="24" customHeight="1" spans="1:6" x14ac:dyDescent="0.25">
      <c r="A21" s="8" t="s">
        <v>111</v>
      </c>
      <c r="B21" s="8"/>
      <c r="C21" s="8"/>
      <c r="D21" s="8"/>
      <c r="E21" s="8"/>
      <c r="F21" s="8"/>
    </row>
    <row r="22" ht="28" customHeight="1" spans="1:6" x14ac:dyDescent="0.25">
      <c r="A22" s="25" t="s">
        <v>62</v>
      </c>
      <c r="B22" s="25" t="s">
        <v>63</v>
      </c>
      <c r="C22" s="25" t="s">
        <v>64</v>
      </c>
      <c r="D22" s="25" t="s">
        <v>65</v>
      </c>
      <c r="E22" s="25" t="s">
        <v>66</v>
      </c>
      <c r="F22" s="25" t="s">
        <v>67</v>
      </c>
    </row>
    <row r="23" spans="1:6" x14ac:dyDescent="0.25">
      <c r="A23" s="20" t="s">
        <v>112</v>
      </c>
      <c r="B23" s="27">
        <v>472851</v>
      </c>
      <c r="C23" s="27">
        <v>472851</v>
      </c>
      <c r="D23" s="27">
        <v>472851</v>
      </c>
      <c r="E23" s="27">
        <v>472851</v>
      </c>
      <c r="F23" s="27">
        <v>472851</v>
      </c>
    </row>
    <row r="24" spans="1:6" x14ac:dyDescent="0.25">
      <c r="A24" s="20" t="s">
        <v>113</v>
      </c>
      <c r="B24" s="33">
        <f>(1+Assumptions!B26)^0</f>
        <v>1</v>
      </c>
      <c r="C24" s="33">
        <f>(1+Assumptions!B26)^1</f>
        <v>1</v>
      </c>
      <c r="D24" s="33">
        <f>(1+Assumptions!B26)^2</f>
        <v>1</v>
      </c>
      <c r="E24" s="33">
        <f>(1+Assumptions!B26)^3</f>
        <v>1</v>
      </c>
      <c r="F24" s="33">
        <f>(1+Assumptions!B26)^4</f>
        <v>1</v>
      </c>
    </row>
    <row r="25" spans="1:6" x14ac:dyDescent="0.25">
      <c r="A25" s="20" t="s">
        <v>114</v>
      </c>
      <c r="B25" s="34">
        <f>Assumptions!B28</f>
        <v>1</v>
      </c>
      <c r="C25" s="34">
        <v>1</v>
      </c>
      <c r="D25" s="34">
        <v>1</v>
      </c>
      <c r="E25" s="34">
        <v>1</v>
      </c>
      <c r="F25" s="34">
        <v>1</v>
      </c>
    </row>
    <row r="26" ht="24" customHeight="1" spans="1:6" x14ac:dyDescent="0.25">
      <c r="A26" s="8" t="s">
        <v>115</v>
      </c>
      <c r="B26" s="28">
        <f>B23*B24*B25</f>
        <v>472851</v>
      </c>
      <c r="C26" s="28">
        <f>C23*C24*C25</f>
        <v>472851</v>
      </c>
      <c r="D26" s="28">
        <f>D23*D24*D25</f>
        <v>472851</v>
      </c>
      <c r="E26" s="28">
        <f>E23*E24*E25</f>
        <v>472851</v>
      </c>
      <c r="F26" s="28">
        <f>F23*F24*F25</f>
        <v>472851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Assumptions!B19</f>
        <v>200</v>
      </c>
      <c r="C2" s="26">
        <f>Assumptions!B20</f>
        <v>250</v>
      </c>
      <c r="D2" s="26">
        <f>Assumptions!B21</f>
        <v>300</v>
      </c>
      <c r="E2" s="26">
        <f>Assumptions!B22</f>
        <v>350</v>
      </c>
      <c r="F2" s="26">
        <f>Assumptions!B23</f>
        <v>400</v>
      </c>
    </row>
    <row r="3" ht="24" customHeight="1" spans="1:6" x14ac:dyDescent="0.25">
      <c r="A3" s="8" t="s">
        <v>116</v>
      </c>
      <c r="B3" s="8"/>
      <c r="C3" s="8"/>
      <c r="D3" s="8"/>
      <c r="E3" s="8"/>
      <c r="F3" s="8"/>
    </row>
    <row r="4" spans="1:6" x14ac:dyDescent="0.25">
      <c r="A4" s="20" t="s">
        <v>117</v>
      </c>
      <c r="B4" s="27">
        <f>600*Assumptions!B19</f>
        <v>120000</v>
      </c>
      <c r="C4" s="27">
        <f>600*Assumptions!B20</f>
        <v>150000</v>
      </c>
      <c r="D4" s="27">
        <f>600*Assumptions!B21</f>
        <v>180000</v>
      </c>
      <c r="E4" s="27">
        <f>600*Assumptions!B22</f>
        <v>210000</v>
      </c>
      <c r="F4" s="27">
        <f>600*Assumptions!B23</f>
        <v>240000</v>
      </c>
    </row>
    <row r="5" spans="1:6" x14ac:dyDescent="0.25">
      <c r="A5" s="20" t="s">
        <v>118</v>
      </c>
      <c r="B5" s="27">
        <v>8000</v>
      </c>
      <c r="C5" s="27">
        <v>10000</v>
      </c>
      <c r="D5" s="27">
        <v>12000</v>
      </c>
      <c r="E5" s="27">
        <v>14000</v>
      </c>
      <c r="F5" s="27">
        <v>15000</v>
      </c>
    </row>
    <row r="6" ht="24" customHeight="1" spans="1:6" x14ac:dyDescent="0.25">
      <c r="A6" s="8" t="s">
        <v>119</v>
      </c>
      <c r="B6" s="28">
        <f>SUM(B4:B5)</f>
        <v>128000</v>
      </c>
      <c r="C6" s="28">
        <f>SUM(C4:C5)</f>
        <v>160000</v>
      </c>
      <c r="D6" s="28">
        <f>SUM(D4:D5)</f>
        <v>192000</v>
      </c>
      <c r="E6" s="28">
        <f>SUM(E4:E5)</f>
        <v>224000</v>
      </c>
      <c r="F6" s="28">
        <f>SUM(F4:F5)</f>
        <v>255000</v>
      </c>
    </row>
    <row r="7" ht="24" customHeight="1" spans="1:6" x14ac:dyDescent="0.25">
      <c r="A7" s="8" t="s">
        <v>120</v>
      </c>
      <c r="B7" s="8"/>
      <c r="C7" s="8"/>
      <c r="D7" s="8"/>
      <c r="E7" s="8"/>
      <c r="F7" s="8"/>
    </row>
    <row r="8" spans="1:6" x14ac:dyDescent="0.25">
      <c r="A8" s="20" t="s">
        <v>121</v>
      </c>
      <c r="B8" s="27">
        <f>350*Assumptions!B19</f>
        <v>70000</v>
      </c>
      <c r="C8" s="27">
        <f>350*Assumptions!B20</f>
        <v>87500</v>
      </c>
      <c r="D8" s="27">
        <f>350*Assumptions!B21</f>
        <v>105000</v>
      </c>
      <c r="E8" s="27">
        <f>350*Assumptions!B22</f>
        <v>122500</v>
      </c>
      <c r="F8" s="27">
        <f>350*Assumptions!B23</f>
        <v>140000</v>
      </c>
    </row>
    <row r="9" ht="24" customHeight="1" spans="1:6" x14ac:dyDescent="0.25">
      <c r="A9" s="8" t="s">
        <v>122</v>
      </c>
      <c r="B9" s="28">
        <f>SUM(B8:B8)</f>
        <v>70000</v>
      </c>
      <c r="C9" s="28">
        <f>SUM(C8:C8)</f>
        <v>87500</v>
      </c>
      <c r="D9" s="28">
        <f>SUM(D8:D8)</f>
        <v>105000</v>
      </c>
      <c r="E9" s="28">
        <f>SUM(E8:E8)</f>
        <v>122500</v>
      </c>
      <c r="F9" s="28">
        <f>SUM(F8:F8)</f>
        <v>140000</v>
      </c>
    </row>
    <row r="10" ht="24" customHeight="1" spans="1:6" x14ac:dyDescent="0.25">
      <c r="A10" s="8" t="s">
        <v>123</v>
      </c>
      <c r="B10" s="8"/>
      <c r="C10" s="8"/>
      <c r="D10" s="8"/>
      <c r="E10" s="8"/>
      <c r="F10" s="8"/>
    </row>
    <row r="11" spans="1:6" x14ac:dyDescent="0.25">
      <c r="A11" s="20" t="s">
        <v>124</v>
      </c>
      <c r="B11" s="27">
        <v>36000</v>
      </c>
      <c r="C11" s="27">
        <v>38000</v>
      </c>
      <c r="D11" s="27">
        <v>40000</v>
      </c>
      <c r="E11" s="27">
        <v>42000</v>
      </c>
      <c r="F11" s="27">
        <v>44000</v>
      </c>
    </row>
    <row r="12" ht="24" customHeight="1" spans="1:6" x14ac:dyDescent="0.25">
      <c r="A12" s="8" t="s">
        <v>125</v>
      </c>
      <c r="B12" s="28">
        <f>SUM(B11:B11)</f>
        <v>36000</v>
      </c>
      <c r="C12" s="28">
        <f>SUM(C11:C11)</f>
        <v>38000</v>
      </c>
      <c r="D12" s="28">
        <f>SUM(D11:D11)</f>
        <v>40000</v>
      </c>
      <c r="E12" s="28">
        <f>SUM(E11:E11)</f>
        <v>42000</v>
      </c>
      <c r="F12" s="28">
        <f>SUM(F11:F11)</f>
        <v>44000</v>
      </c>
    </row>
    <row r="13" ht="24" customHeight="1" spans="1:6" x14ac:dyDescent="0.25">
      <c r="A13" s="8" t="s">
        <v>126</v>
      </c>
      <c r="B13" s="8"/>
      <c r="C13" s="8"/>
      <c r="D13" s="8"/>
      <c r="E13" s="8"/>
      <c r="F13" s="8"/>
    </row>
    <row r="14" spans="1:6" x14ac:dyDescent="0.25">
      <c r="A14" s="20" t="s">
        <v>127</v>
      </c>
      <c r="B14" s="27">
        <v>18000</v>
      </c>
      <c r="C14" s="27">
        <v>19000</v>
      </c>
      <c r="D14" s="27">
        <v>20000</v>
      </c>
      <c r="E14" s="27">
        <v>21000</v>
      </c>
      <c r="F14" s="27">
        <v>22000</v>
      </c>
    </row>
    <row r="15" spans="1:6" x14ac:dyDescent="0.25">
      <c r="A15" s="20" t="s">
        <v>128</v>
      </c>
      <c r="B15" s="27">
        <v>15000</v>
      </c>
      <c r="C15" s="27">
        <v>12000</v>
      </c>
      <c r="D15" s="27">
        <v>10000</v>
      </c>
      <c r="E15" s="27">
        <v>8000</v>
      </c>
      <c r="F15" s="27">
        <v>8000</v>
      </c>
    </row>
    <row r="16" spans="1:6" x14ac:dyDescent="0.25">
      <c r="A16" s="20" t="s">
        <v>129</v>
      </c>
      <c r="B16" s="27">
        <v>12000</v>
      </c>
      <c r="C16" s="27">
        <v>12500</v>
      </c>
      <c r="D16" s="27">
        <v>13000</v>
      </c>
      <c r="E16" s="27">
        <v>13500</v>
      </c>
      <c r="F16" s="27">
        <v>14000</v>
      </c>
    </row>
    <row r="17" ht="24" customHeight="1" spans="1:6" x14ac:dyDescent="0.25">
      <c r="A17" s="8" t="s">
        <v>130</v>
      </c>
      <c r="B17" s="28">
        <f>SUM(B14:B16)</f>
        <v>45000</v>
      </c>
      <c r="C17" s="28">
        <f>SUM(C14:C16)</f>
        <v>43500</v>
      </c>
      <c r="D17" s="28">
        <f>SUM(D14:D16)</f>
        <v>43000</v>
      </c>
      <c r="E17" s="28">
        <f>SUM(E14:E16)</f>
        <v>42500</v>
      </c>
      <c r="F17" s="28">
        <f>SUM(F14:F16)</f>
        <v>44000</v>
      </c>
    </row>
    <row r="19" ht="24" customHeight="1" spans="1:6" x14ac:dyDescent="0.25">
      <c r="A19" s="8" t="s">
        <v>131</v>
      </c>
      <c r="B19" s="28">
        <f>B6+B9+B12+B17</f>
        <v>279000</v>
      </c>
      <c r="C19" s="28">
        <f>C6+C9+C12+C17</f>
        <v>329000</v>
      </c>
      <c r="D19" s="28">
        <f>D6+D9+D12+D17</f>
        <v>380000</v>
      </c>
      <c r="E19" s="28">
        <f>E6+E9+E12+E17</f>
        <v>431000</v>
      </c>
      <c r="F19" s="28">
        <f>F6+F9+F12+F17</f>
        <v>483000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&amp;L&amp;10&amp;BRiverside Christian Academy&amp;R&amp;8&amp;IOperating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ht="24" customHeight="1" spans="1:6" x14ac:dyDescent="0.25">
      <c r="A2" s="8" t="s">
        <v>132</v>
      </c>
      <c r="B2" s="8"/>
      <c r="C2" s="8"/>
      <c r="D2" s="8"/>
      <c r="E2" s="8"/>
      <c r="F2" s="8"/>
    </row>
    <row r="3" spans="1:6" x14ac:dyDescent="0.25">
      <c r="A3" s="20" t="s">
        <v>133</v>
      </c>
      <c r="B3" s="27">
        <v>88428.59888853127</v>
      </c>
      <c r="C3" s="27">
        <v>88428.59888853127</v>
      </c>
      <c r="D3" s="27">
        <v>88428.59888853127</v>
      </c>
      <c r="E3" s="27">
        <v>88428.59888853127</v>
      </c>
      <c r="F3" s="27">
        <v>88428.59888853127</v>
      </c>
    </row>
    <row r="4" spans="1:6" x14ac:dyDescent="0.25">
      <c r="A4" s="20" t="s">
        <v>134</v>
      </c>
      <c r="B4" s="27">
        <v>20899.526259352275</v>
      </c>
      <c r="C4" s="27">
        <v>20899.526259352275</v>
      </c>
      <c r="D4" s="27">
        <v>20899.526259352275</v>
      </c>
      <c r="E4" s="27">
        <v>20899.526259352275</v>
      </c>
      <c r="F4" s="27">
        <v>20899.526259352275</v>
      </c>
    </row>
    <row r="5" ht="24" customHeight="1" spans="1:6" x14ac:dyDescent="0.25">
      <c r="A5" s="8" t="s">
        <v>135</v>
      </c>
      <c r="B5" s="28">
        <f>SUM(B3:B4)</f>
        <v>109328</v>
      </c>
      <c r="C5" s="28">
        <f>SUM(C3:C4)</f>
        <v>109328</v>
      </c>
      <c r="D5" s="28">
        <f>SUM(D3:D4)</f>
        <v>109328</v>
      </c>
      <c r="E5" s="28">
        <f>SUM(E3:E4)</f>
        <v>109328</v>
      </c>
      <c r="F5" s="28">
        <f>SUM(F3:F4)</f>
        <v>109328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&amp;L&amp;10&amp;BRiverside Christian Academy&amp;R&amp;8&amp;ICapital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5" t="s">
        <v>1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136</v>
      </c>
      <c r="B2" s="27">
        <f>'Revenue Schedule'!B15</f>
        <v>2875000</v>
      </c>
      <c r="C2" s="27">
        <f>'Revenue Schedule'!C15</f>
        <v>3562500</v>
      </c>
      <c r="D2" s="27">
        <f>'Revenue Schedule'!D15</f>
        <v>4250000</v>
      </c>
      <c r="E2" s="27">
        <f>'Revenue Schedule'!E15</f>
        <v>4937500</v>
      </c>
      <c r="F2" s="27">
        <f>'Revenue Schedule'!F15</f>
        <v>5630000</v>
      </c>
    </row>
    <row r="3" spans="1:6" x14ac:dyDescent="0.25">
      <c r="A3" s="20" t="s">
        <v>137</v>
      </c>
      <c r="B3" s="27">
        <f>'Staffing &amp; Personnel'!B26</f>
        <v>472851</v>
      </c>
      <c r="C3" s="27">
        <f>'Staffing &amp; Personnel'!C26</f>
        <v>472851</v>
      </c>
      <c r="D3" s="27">
        <f>'Staffing &amp; Personnel'!D26</f>
        <v>472851</v>
      </c>
      <c r="E3" s="27">
        <f>'Staffing &amp; Personnel'!E26</f>
        <v>472851</v>
      </c>
      <c r="F3" s="27">
        <f>'Staffing &amp; Personnel'!F26</f>
        <v>472851</v>
      </c>
    </row>
    <row r="4" spans="1:6" x14ac:dyDescent="0.25">
      <c r="A4" s="20" t="s">
        <v>19</v>
      </c>
      <c r="B4" s="27">
        <f>'Operating Expenses'!B19</f>
        <v>279000</v>
      </c>
      <c r="C4" s="27">
        <f>'Operating Expenses'!C19</f>
        <v>329000</v>
      </c>
      <c r="D4" s="27">
        <f>'Operating Expenses'!D19</f>
        <v>380000</v>
      </c>
      <c r="E4" s="27">
        <f>'Operating Expenses'!E19</f>
        <v>431000</v>
      </c>
      <c r="F4" s="27">
        <f>'Operating Expenses'!F19</f>
        <v>483000</v>
      </c>
    </row>
    <row r="5" spans="1:6" x14ac:dyDescent="0.25">
      <c r="A5" s="20" t="s">
        <v>20</v>
      </c>
      <c r="B5" s="27">
        <f>'Capital &amp; Debt'!B5</f>
        <v>109328</v>
      </c>
      <c r="C5" s="27">
        <f>'Capital &amp; Debt'!C5</f>
        <v>109328</v>
      </c>
      <c r="D5" s="27">
        <f>'Capital &amp; Debt'!D5</f>
        <v>109328</v>
      </c>
      <c r="E5" s="27">
        <f>'Capital &amp; Debt'!E5</f>
        <v>109328</v>
      </c>
      <c r="F5" s="27">
        <f>'Capital &amp; Debt'!F5</f>
        <v>109328</v>
      </c>
    </row>
    <row r="6" ht="24" customHeight="1" spans="1:6" x14ac:dyDescent="0.25">
      <c r="A6" s="8" t="s">
        <v>138</v>
      </c>
      <c r="B6" s="28">
        <f>B3+B4+B5</f>
        <v>861179</v>
      </c>
      <c r="C6" s="28">
        <f>C3+C4+C5</f>
        <v>911179</v>
      </c>
      <c r="D6" s="28">
        <f>D3+D4+D5</f>
        <v>962179</v>
      </c>
      <c r="E6" s="28">
        <f>E3+E4+E5</f>
        <v>1013179</v>
      </c>
      <c r="F6" s="28">
        <f>F3+F4+F5</f>
        <v>1065179</v>
      </c>
    </row>
    <row r="7" ht="24" customHeight="1" spans="1:6" x14ac:dyDescent="0.25">
      <c r="A7" s="8" t="s">
        <v>139</v>
      </c>
      <c r="B7" s="28">
        <f>B2-B6</f>
        <v>2013821</v>
      </c>
      <c r="C7" s="28">
        <f>C2-C6</f>
        <v>2651321</v>
      </c>
      <c r="D7" s="28">
        <f>D2-D6</f>
        <v>3287821</v>
      </c>
      <c r="E7" s="28">
        <f>E2-E6</f>
        <v>3924321</v>
      </c>
      <c r="F7" s="28">
        <f>F2-F6</f>
        <v>4564821</v>
      </c>
    </row>
    <row r="8" spans="1:6" x14ac:dyDescent="0.25">
      <c r="A8" s="20" t="s">
        <v>140</v>
      </c>
      <c r="B8" s="27">
        <f>B7</f>
        <v>2013821</v>
      </c>
      <c r="C8" s="27">
        <f>B8+C7</f>
        <v>4665142</v>
      </c>
      <c r="D8" s="27">
        <f>C8+D7</f>
        <v>7952963</v>
      </c>
      <c r="E8" s="27">
        <f>D8+E7</f>
        <v>11877284</v>
      </c>
      <c r="F8" s="27">
        <f>E8+F7</f>
        <v>16442105</v>
      </c>
    </row>
    <row r="9" spans="1:6" x14ac:dyDescent="0.25">
      <c r="A9" s="20" t="s">
        <v>11</v>
      </c>
      <c r="B9" s="35">
        <f>IF(B6=0,0,IF(B8&gt;0,B8/(B6/12),0))</f>
        <v>28.06135774327985</v>
      </c>
      <c r="C9" s="35">
        <f>IF(C6=0,0,IF(C8&gt;0,C8/(C6/12),0))</f>
        <v>61.43875572198218</v>
      </c>
      <c r="D9" s="35">
        <f>IF(D6=0,0,IF(D8&gt;0,D8/(D6/12),0))</f>
        <v>99.18690389210325</v>
      </c>
      <c r="E9" s="35">
        <f>IF(E6=0,0,IF(E8&gt;0,E8/(E6/12),0))</f>
        <v>140.67347230844697</v>
      </c>
      <c r="F9" s="35">
        <f>IF(F6=0,0,IF(F8&gt;0,F8/(F6/12),0))</f>
        <v>185.23202203573294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36" t="s">
        <v>141</v>
      </c>
      <c r="B1" s="36"/>
      <c r="C1" s="36"/>
      <c r="D1" s="36"/>
      <c r="E1" s="36"/>
      <c r="F1" s="36"/>
    </row>
    <row r="2" spans="1:1" x14ac:dyDescent="0.25">
      <c r="A2" s="37" t="s">
        <v>142</v>
      </c>
    </row>
    <row r="4" ht="24" customHeight="1" spans="1:6" x14ac:dyDescent="0.25">
      <c r="A4" s="8" t="s">
        <v>27</v>
      </c>
      <c r="B4" s="8"/>
      <c r="C4" s="8"/>
      <c r="D4" s="8"/>
      <c r="E4" s="8"/>
      <c r="F4" s="8"/>
    </row>
    <row r="5" spans="1:2" x14ac:dyDescent="0.25">
      <c r="A5" s="20" t="s">
        <v>28</v>
      </c>
      <c r="B5" s="21" t="s">
        <v>3</v>
      </c>
    </row>
    <row r="6" spans="1:2" x14ac:dyDescent="0.25">
      <c r="A6" s="20" t="s">
        <v>31</v>
      </c>
      <c r="B6" s="21" t="s">
        <v>32</v>
      </c>
    </row>
    <row r="7" spans="1:2" x14ac:dyDescent="0.25">
      <c r="A7" s="20" t="s">
        <v>33</v>
      </c>
      <c r="B7" s="21" t="s">
        <v>34</v>
      </c>
    </row>
    <row r="8" spans="1:2" x14ac:dyDescent="0.25">
      <c r="A8" s="20" t="s">
        <v>35</v>
      </c>
      <c r="B8" s="21" t="s">
        <v>36</v>
      </c>
    </row>
    <row r="9" spans="1:2" x14ac:dyDescent="0.25">
      <c r="A9" s="20" t="s">
        <v>29</v>
      </c>
      <c r="B9" s="21" t="s">
        <v>30</v>
      </c>
    </row>
    <row r="10" spans="1:2" x14ac:dyDescent="0.25">
      <c r="A10" s="20" t="s">
        <v>40</v>
      </c>
      <c r="B10" s="21" t="s">
        <v>41</v>
      </c>
    </row>
    <row r="11" spans="1:2" x14ac:dyDescent="0.25">
      <c r="A11" s="20" t="s">
        <v>39</v>
      </c>
      <c r="B11" s="21" t="s">
        <v>143</v>
      </c>
    </row>
    <row r="13" ht="24" customHeight="1" spans="1:6" x14ac:dyDescent="0.25">
      <c r="A13" s="8" t="s">
        <v>144</v>
      </c>
      <c r="B13" s="8"/>
      <c r="C13" s="8"/>
      <c r="D13" s="8"/>
      <c r="E13" s="8"/>
      <c r="F13" s="8"/>
    </row>
    <row r="14" ht="28" customHeight="1" spans="1:6" x14ac:dyDescent="0.25">
      <c r="A14" s="25" t="s">
        <v>62</v>
      </c>
      <c r="B14" s="25" t="s">
        <v>63</v>
      </c>
      <c r="C14" s="25" t="s">
        <v>64</v>
      </c>
      <c r="D14" s="25" t="s">
        <v>65</v>
      </c>
      <c r="E14" s="25" t="s">
        <v>66</v>
      </c>
      <c r="F14" s="25" t="s">
        <v>67</v>
      </c>
    </row>
    <row r="15" spans="1:6" x14ac:dyDescent="0.25">
      <c r="A15" s="20" t="s">
        <v>68</v>
      </c>
      <c r="B15" s="26">
        <f>'Revenue Schedule'!B2</f>
        <v>200</v>
      </c>
      <c r="C15" s="26">
        <f>'Revenue Schedule'!C2</f>
        <v>250</v>
      </c>
      <c r="D15" s="26">
        <f>'Revenue Schedule'!D2</f>
        <v>300</v>
      </c>
      <c r="E15" s="26">
        <f>'Revenue Schedule'!E2</f>
        <v>350</v>
      </c>
      <c r="F15" s="26">
        <f>'Revenue Schedule'!F2</f>
        <v>400</v>
      </c>
    </row>
    <row r="16" spans="1:6" x14ac:dyDescent="0.25">
      <c r="A16" s="20" t="s">
        <v>145</v>
      </c>
      <c r="B16" s="9" t="s">
        <v>146</v>
      </c>
      <c r="C16" s="38">
        <f>IF(B15=0,0,(C15-B15)/B15)</f>
        <v>0.25</v>
      </c>
      <c r="D16" s="38">
        <f>IF(C15=0,0,(D15-C15)/C15)</f>
        <v>0.2</v>
      </c>
      <c r="E16" s="38">
        <f>IF(D15=0,0,(E15-D15)/D15)</f>
        <v>0.16666666666666666</v>
      </c>
      <c r="F16" s="38">
        <f>IF(E15=0,0,(F15-E15)/E15)</f>
        <v>0.14285714285714285</v>
      </c>
    </row>
    <row r="18" ht="28" customHeight="1" spans="1:6" x14ac:dyDescent="0.25">
      <c r="A18" s="25" t="s">
        <v>62</v>
      </c>
      <c r="B18" s="25" t="s">
        <v>63</v>
      </c>
      <c r="C18" s="25" t="s">
        <v>64</v>
      </c>
      <c r="D18" s="25" t="s">
        <v>65</v>
      </c>
      <c r="E18" s="25" t="s">
        <v>66</v>
      </c>
      <c r="F18" s="25" t="s">
        <v>67</v>
      </c>
    </row>
    <row r="19" spans="1:6" x14ac:dyDescent="0.25">
      <c r="A19" s="20" t="s">
        <v>136</v>
      </c>
      <c r="B19" s="27">
        <f>'Financial Model'!B2</f>
        <v>2875000</v>
      </c>
      <c r="C19" s="27">
        <f>'Financial Model'!C2</f>
        <v>3562500</v>
      </c>
      <c r="D19" s="27">
        <f>'Financial Model'!D2</f>
        <v>4250000</v>
      </c>
      <c r="E19" s="27">
        <f>'Financial Model'!E2</f>
        <v>4937500</v>
      </c>
      <c r="F19" s="27">
        <f>'Financial Model'!F2</f>
        <v>5630000</v>
      </c>
    </row>
    <row r="20" spans="1:6" x14ac:dyDescent="0.25">
      <c r="A20" s="20" t="s">
        <v>137</v>
      </c>
      <c r="B20" s="27">
        <f>'Financial Model'!B3</f>
        <v>472851</v>
      </c>
      <c r="C20" s="27">
        <f>'Financial Model'!C3</f>
        <v>472851</v>
      </c>
      <c r="D20" s="27">
        <f>'Financial Model'!D3</f>
        <v>472851</v>
      </c>
      <c r="E20" s="27">
        <f>'Financial Model'!E3</f>
        <v>472851</v>
      </c>
      <c r="F20" s="27">
        <f>'Financial Model'!F3</f>
        <v>472851</v>
      </c>
    </row>
    <row r="21" spans="1:6" x14ac:dyDescent="0.25">
      <c r="A21" s="20" t="s">
        <v>19</v>
      </c>
      <c r="B21" s="27">
        <f>'Financial Model'!B4</f>
        <v>279000</v>
      </c>
      <c r="C21" s="27">
        <f>'Financial Model'!C4</f>
        <v>329000</v>
      </c>
      <c r="D21" s="27">
        <f>'Financial Model'!D4</f>
        <v>380000</v>
      </c>
      <c r="E21" s="27">
        <f>'Financial Model'!E4</f>
        <v>431000</v>
      </c>
      <c r="F21" s="27">
        <f>'Financial Model'!F4</f>
        <v>483000</v>
      </c>
    </row>
    <row r="22" ht="24" customHeight="1" spans="1:6" x14ac:dyDescent="0.25">
      <c r="A22" s="8" t="s">
        <v>138</v>
      </c>
      <c r="B22" s="28">
        <f>'Financial Model'!B6</f>
        <v>861179</v>
      </c>
      <c r="C22" s="28">
        <f>'Financial Model'!C6</f>
        <v>911179</v>
      </c>
      <c r="D22" s="28">
        <f>'Financial Model'!D6</f>
        <v>962179</v>
      </c>
      <c r="E22" s="28">
        <f>'Financial Model'!E6</f>
        <v>1013179</v>
      </c>
      <c r="F22" s="28">
        <f>'Financial Model'!F6</f>
        <v>1065179</v>
      </c>
    </row>
    <row r="23" spans="1:6" x14ac:dyDescent="0.25">
      <c r="A23" s="21" t="s">
        <v>139</v>
      </c>
      <c r="B23" s="39">
        <f>'Financial Model'!B7</f>
        <v>2013821</v>
      </c>
      <c r="C23" s="39">
        <f>'Financial Model'!C7</f>
        <v>2651321</v>
      </c>
      <c r="D23" s="39">
        <f>'Financial Model'!D7</f>
        <v>3287821</v>
      </c>
      <c r="E23" s="39">
        <f>'Financial Model'!E7</f>
        <v>3924321</v>
      </c>
      <c r="F23" s="39">
        <f>'Financial Model'!F7</f>
        <v>4564821</v>
      </c>
    </row>
    <row r="24" spans="1:6" x14ac:dyDescent="0.25">
      <c r="A24" s="20" t="s">
        <v>140</v>
      </c>
      <c r="B24" s="27">
        <f>'Financial Model'!B8</f>
        <v>2013821</v>
      </c>
      <c r="C24" s="27">
        <f>'Financial Model'!C8</f>
        <v>4665142</v>
      </c>
      <c r="D24" s="27">
        <f>'Financial Model'!D8</f>
        <v>7952963</v>
      </c>
      <c r="E24" s="27">
        <f>'Financial Model'!E8</f>
        <v>11877284</v>
      </c>
      <c r="F24" s="27">
        <f>'Financial Model'!F8</f>
        <v>16442105</v>
      </c>
    </row>
    <row r="25" spans="1:6" x14ac:dyDescent="0.25">
      <c r="A25" s="21" t="s">
        <v>11</v>
      </c>
      <c r="B25" s="13">
        <f>'Financial Model'!B9</f>
        <v>28.06135774327985</v>
      </c>
      <c r="C25" s="13">
        <f>'Financial Model'!C9</f>
        <v>61.43875572198218</v>
      </c>
      <c r="D25" s="13">
        <f>'Financial Model'!D9</f>
        <v>99.18690389210325</v>
      </c>
      <c r="E25" s="13">
        <f>'Financial Model'!E9</f>
        <v>140.67347230844697</v>
      </c>
      <c r="F25" s="13">
        <f>'Financial Model'!F9</f>
        <v>185.23202203573294</v>
      </c>
    </row>
    <row r="27" ht="24" customHeight="1" spans="1:6" x14ac:dyDescent="0.25">
      <c r="A27" s="8" t="s">
        <v>147</v>
      </c>
      <c r="B27" s="8"/>
      <c r="C27" s="8"/>
      <c r="D27" s="8"/>
      <c r="E27" s="8"/>
      <c r="F27" s="8"/>
    </row>
    <row r="28" spans="1:6" x14ac:dyDescent="0.25">
      <c r="A28" s="20" t="s">
        <v>148</v>
      </c>
      <c r="B28" s="27">
        <f>IF('Revenue Schedule'!B2=0,0,B19/'Revenue Schedule'!B2)</f>
        <v>14375</v>
      </c>
      <c r="C28" s="27">
        <f>IF('Revenue Schedule'!C2=0,0,C19/'Revenue Schedule'!C2)</f>
        <v>14250</v>
      </c>
      <c r="D28" s="27">
        <f>IF('Revenue Schedule'!D2=0,0,D19/'Revenue Schedule'!D2)</f>
        <v>14166.666666666666</v>
      </c>
      <c r="E28" s="27">
        <f>IF('Revenue Schedule'!E2=0,0,E19/'Revenue Schedule'!E2)</f>
        <v>14107.142857142857</v>
      </c>
      <c r="F28" s="27">
        <f>IF('Revenue Schedule'!F2=0,0,F19/'Revenue Schedule'!F2)</f>
        <v>14075</v>
      </c>
    </row>
    <row r="29" spans="1:6" x14ac:dyDescent="0.25">
      <c r="A29" s="20" t="s">
        <v>149</v>
      </c>
      <c r="B29" s="38">
        <f>IF(B19=0,0,'Financial Model'!B3/B19)</f>
        <v>0.16446991304347827</v>
      </c>
      <c r="C29" s="38">
        <f>IF(C19=0,0,'Financial Model'!C3/C19)</f>
        <v>0.1327301052631579</v>
      </c>
      <c r="D29" s="38">
        <f>IF(D19=0,0,'Financial Model'!D3/D19)</f>
        <v>0.1112590588235294</v>
      </c>
      <c r="E29" s="38">
        <f>IF(E19=0,0,'Financial Model'!E3/E19)</f>
        <v>0.09576729113924051</v>
      </c>
      <c r="F29" s="38">
        <f>IF(F19=0,0,'Financial Model'!F3/F19)</f>
        <v>0.08398774422735346</v>
      </c>
    </row>
    <row r="30" spans="1:6" x14ac:dyDescent="0.25">
      <c r="A30" s="20" t="s">
        <v>150</v>
      </c>
      <c r="B30" s="38">
        <f>IF(B19=0,0,'Financial Model'!B4/B19)</f>
        <v>0.09704347826086956</v>
      </c>
      <c r="C30" s="38">
        <f>IF(C19=0,0,'Financial Model'!C4/C19)</f>
        <v>0.09235087719298246</v>
      </c>
      <c r="D30" s="38">
        <f>IF(D19=0,0,'Financial Model'!D4/D19)</f>
        <v>0.08941176470588236</v>
      </c>
      <c r="E30" s="38">
        <f>IF(E19=0,0,'Financial Model'!E4/E19)</f>
        <v>0.08729113924050633</v>
      </c>
      <c r="F30" s="38">
        <f>IF(F19=0,0,'Financial Model'!F4/F19)</f>
        <v>0.08579040852575488</v>
      </c>
    </row>
    <row r="31" spans="1:6" x14ac:dyDescent="0.25">
      <c r="A31" s="21" t="s">
        <v>151</v>
      </c>
      <c r="B31" s="12">
        <f>IF(B19=0,0,B23/B19)</f>
        <v>0.7004594782608695</v>
      </c>
      <c r="C31" s="12">
        <f>IF(C19=0,0,C23/C19)</f>
        <v>0.7442304561403509</v>
      </c>
      <c r="D31" s="12">
        <f>IF(D19=0,0,D23/D19)</f>
        <v>0.7736049411764706</v>
      </c>
      <c r="E31" s="12">
        <f>IF(E19=0,0,E23/E19)</f>
        <v>0.7947991898734177</v>
      </c>
      <c r="F31" s="12">
        <f>IF(F19=0,0,F23/F19)</f>
        <v>0.8108030195381882</v>
      </c>
    </row>
    <row r="33" ht="24" customHeight="1" spans="1:6" x14ac:dyDescent="0.25">
      <c r="A33" s="8" t="s">
        <v>152</v>
      </c>
      <c r="B33" s="8"/>
      <c r="C33" s="8"/>
      <c r="D33" s="8"/>
      <c r="E33" s="8"/>
      <c r="F33" s="8"/>
    </row>
    <row r="34" spans="1:6" x14ac:dyDescent="0.25">
      <c r="A34" s="20" t="s">
        <v>153</v>
      </c>
      <c r="B34" s="38">
        <v>0.9565217391304348</v>
      </c>
      <c r="C34" s="38">
        <v>0.9649122807017544</v>
      </c>
      <c r="D34" s="38">
        <v>0.9705882352941176</v>
      </c>
      <c r="E34" s="38">
        <v>0.9746835443037974</v>
      </c>
      <c r="F34" s="38">
        <v>0.9769094138543517</v>
      </c>
    </row>
    <row r="35" spans="1:6" x14ac:dyDescent="0.25">
      <c r="A35" s="20" t="s">
        <v>154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</row>
    <row r="36" spans="1:6" x14ac:dyDescent="0.25">
      <c r="A36" s="20" t="s">
        <v>155</v>
      </c>
      <c r="B36" s="38">
        <v>0.043478260869565216</v>
      </c>
      <c r="C36" s="38">
        <v>0.03508771929824561</v>
      </c>
      <c r="D36" s="38">
        <v>0.029411764705882353</v>
      </c>
      <c r="E36" s="38">
        <v>0.02531645569620253</v>
      </c>
      <c r="F36" s="38">
        <v>0.023090586145648313</v>
      </c>
    </row>
    <row r="38" ht="24" customHeight="1" spans="1:6" x14ac:dyDescent="0.25">
      <c r="A38" s="8" t="s">
        <v>156</v>
      </c>
      <c r="B38" s="8"/>
      <c r="C38" s="8"/>
      <c r="D38" s="8"/>
      <c r="E38" s="8"/>
      <c r="F38" s="8"/>
    </row>
    <row r="39" spans="1:2" x14ac:dyDescent="0.25">
      <c r="A39" s="20" t="s">
        <v>157</v>
      </c>
      <c r="B39" s="40" t="s">
        <v>14</v>
      </c>
    </row>
    <row r="40" ht="30" customHeight="1" spans="1:6" s="41" customFormat="1" x14ac:dyDescent="0.25">
      <c r="A40" s="42" t="s">
        <v>158</v>
      </c>
      <c r="B40" s="42" t="s">
        <v>159</v>
      </c>
      <c r="C40" s="42"/>
      <c r="D40" s="42"/>
      <c r="E40" s="42"/>
      <c r="F40" s="42"/>
    </row>
    <row r="41" spans="1:6" x14ac:dyDescent="0.25">
      <c r="A41" s="20" t="s">
        <v>160</v>
      </c>
      <c r="B41" s="21" t="s">
        <v>161</v>
      </c>
      <c r="C41" s="21"/>
      <c r="D41" s="21"/>
      <c r="E41" s="21"/>
      <c r="F41" s="21"/>
    </row>
    <row r="42" spans="1:6" x14ac:dyDescent="0.25">
      <c r="A42" s="20" t="s">
        <v>162</v>
      </c>
      <c r="B42" s="21" t="s">
        <v>163</v>
      </c>
      <c r="C42" s="21"/>
      <c r="D42" s="21"/>
      <c r="E42" s="21"/>
      <c r="F42" s="21"/>
    </row>
  </sheetData>
  <mergeCells count="4">
    <mergeCell ref="A1:F1"/>
    <mergeCell ref="B40:F40"/>
    <mergeCell ref="B41:F41"/>
    <mergeCell ref="B42:F4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5" customWidth="1"/>
    <col min="2" max="2" width="80" customWidth="1"/>
  </cols>
  <sheetData>
    <row r="1" ht="32" customHeight="1" spans="1:2" x14ac:dyDescent="0.25">
      <c r="A1" s="19" t="s">
        <v>164</v>
      </c>
      <c r="B1" s="19"/>
    </row>
    <row r="3" ht="24" customHeight="1" spans="1:2" x14ac:dyDescent="0.25">
      <c r="A3" s="8" t="s">
        <v>165</v>
      </c>
      <c r="B3" s="8"/>
    </row>
    <row r="4" ht="40" customHeight="1" spans="1:2" s="41" customFormat="1" x14ac:dyDescent="0.25">
      <c r="A4" s="42" t="s">
        <v>166</v>
      </c>
      <c r="B4" s="42"/>
    </row>
    <row r="6" ht="24" customHeight="1" spans="1:2" x14ac:dyDescent="0.25">
      <c r="A6" s="8" t="s">
        <v>167</v>
      </c>
      <c r="B6" s="8"/>
    </row>
    <row r="7" spans="1:2" x14ac:dyDescent="0.25">
      <c r="A7" s="20" t="s">
        <v>168</v>
      </c>
      <c r="B7" s="21" t="s">
        <v>14</v>
      </c>
    </row>
    <row r="8" ht="30" customHeight="1" spans="1:2" s="41" customFormat="1" x14ac:dyDescent="0.25">
      <c r="A8" s="42" t="s">
        <v>158</v>
      </c>
      <c r="B8" s="42" t="s">
        <v>159</v>
      </c>
    </row>
    <row r="10" spans="1:2" x14ac:dyDescent="0.25">
      <c r="A10" s="20" t="s">
        <v>160</v>
      </c>
      <c r="B10" s="21" t="s">
        <v>161</v>
      </c>
    </row>
    <row r="11" spans="1:2" x14ac:dyDescent="0.25">
      <c r="A11" s="20" t="s">
        <v>162</v>
      </c>
      <c r="B11" s="21" t="s">
        <v>163</v>
      </c>
    </row>
    <row r="13" ht="24" customHeight="1" spans="1:2" x14ac:dyDescent="0.25">
      <c r="A13" s="8" t="s">
        <v>169</v>
      </c>
      <c r="B13" s="8"/>
    </row>
    <row r="14" spans="1:1" x14ac:dyDescent="0.25">
      <c r="A14" s="21" t="s">
        <v>170</v>
      </c>
    </row>
    <row r="15" ht="40" customHeight="1" spans="1:2" s="41" customFormat="1" x14ac:dyDescent="0.25">
      <c r="A15" s="42" t="s">
        <v>171</v>
      </c>
      <c r="B15" s="42"/>
    </row>
    <row r="16" spans="1:1" x14ac:dyDescent="0.25">
      <c r="A16" s="21" t="s">
        <v>172</v>
      </c>
    </row>
    <row r="17" ht="40" customHeight="1" spans="1:2" s="41" customFormat="1" x14ac:dyDescent="0.25">
      <c r="A17" s="42" t="s">
        <v>173</v>
      </c>
      <c r="B17" s="42"/>
    </row>
    <row r="18" spans="1:1" x14ac:dyDescent="0.25">
      <c r="A18" s="21" t="s">
        <v>174</v>
      </c>
    </row>
    <row r="19" ht="40" customHeight="1" spans="1:2" s="41" customFormat="1" x14ac:dyDescent="0.25">
      <c r="A19" s="42" t="s">
        <v>175</v>
      </c>
      <c r="B19" s="42"/>
    </row>
  </sheetData>
  <mergeCells count="5">
    <mergeCell ref="A1:B1"/>
    <mergeCell ref="A4:B4"/>
    <mergeCell ref="A15:B15"/>
    <mergeCell ref="A17:B17"/>
    <mergeCell ref="A19:B19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Academy&amp;R&amp;8&amp;IConsultant Notes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9" t="s">
        <v>24</v>
      </c>
      <c r="B1" s="19"/>
    </row>
    <row r="3" ht="24" customHeight="1" spans="1:2" x14ac:dyDescent="0.25">
      <c r="A3" s="8" t="s">
        <v>176</v>
      </c>
      <c r="B3" s="8"/>
    </row>
    <row r="4" spans="1:2" x14ac:dyDescent="0.25">
      <c r="A4" s="20" t="s">
        <v>177</v>
      </c>
      <c r="B4" s="22">
        <v>185</v>
      </c>
    </row>
    <row r="5" spans="1:2" x14ac:dyDescent="0.25">
      <c r="A5" s="20" t="s">
        <v>136</v>
      </c>
      <c r="B5" s="32">
        <v>2400000</v>
      </c>
    </row>
    <row r="6" spans="1:2" x14ac:dyDescent="0.25">
      <c r="A6" s="20" t="s">
        <v>138</v>
      </c>
      <c r="B6" s="32">
        <v>2200000</v>
      </c>
    </row>
    <row r="7" spans="1:2" x14ac:dyDescent="0.25">
      <c r="A7" s="20" t="s">
        <v>178</v>
      </c>
      <c r="B7" s="32">
        <v>120000</v>
      </c>
    </row>
    <row r="8" spans="1:2" x14ac:dyDescent="0.25">
      <c r="A8" s="20" t="s">
        <v>179</v>
      </c>
      <c r="B8" s="32">
        <v>200000</v>
      </c>
    </row>
    <row r="9" spans="1:2" x14ac:dyDescent="0.25">
      <c r="A9" s="20" t="s">
        <v>180</v>
      </c>
      <c r="B9" s="43">
        <v>0.7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&amp;L&amp;10&amp;BRiverside Christian Academy&amp;R&amp;8&amp;IPrior-Year Snapshot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7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5630000</v>
      </c>
    </row>
    <row r="17" spans="2:3" x14ac:dyDescent="0.25">
      <c r="B17" s="9" t="s">
        <v>9</v>
      </c>
      <c r="C17" s="11">
        <v>4564821</v>
      </c>
    </row>
    <row r="18" spans="2:3" x14ac:dyDescent="0.25">
      <c r="B18" s="9" t="s">
        <v>10</v>
      </c>
      <c r="C18" s="12">
        <v>0.8108030195381882</v>
      </c>
    </row>
    <row r="19" spans="2:3" x14ac:dyDescent="0.25">
      <c r="B19" s="9" t="s">
        <v>11</v>
      </c>
      <c r="C19" s="13">
        <v>185.23202203573294</v>
      </c>
    </row>
    <row r="20" spans="2:3" x14ac:dyDescent="0.25">
      <c r="B20" s="9" t="s">
        <v>12</v>
      </c>
      <c r="C20" s="14">
        <v>400</v>
      </c>
    </row>
    <row r="22" spans="2:3" x14ac:dyDescent="0.25">
      <c r="B22" s="4" t="s">
        <v>13</v>
      </c>
      <c r="C22" s="15" t="s">
        <v>14</v>
      </c>
    </row>
    <row r="25" ht="24" customHeight="1" spans="2:3" x14ac:dyDescent="0.25">
      <c r="B25" s="8" t="s">
        <v>15</v>
      </c>
      <c r="C25" s="8"/>
    </row>
    <row r="26" spans="2:3" x14ac:dyDescent="0.25">
      <c r="B26" s="16" t="s">
        <v>16</v>
      </c>
      <c r="C26" s="17"/>
    </row>
    <row r="27" spans="2:3" x14ac:dyDescent="0.25">
      <c r="B27" s="16" t="s">
        <v>17</v>
      </c>
      <c r="C27" s="17"/>
    </row>
    <row r="28" spans="2:3" x14ac:dyDescent="0.25">
      <c r="B28" s="16" t="s">
        <v>18</v>
      </c>
      <c r="C28" s="17"/>
    </row>
    <row r="29" spans="2:3" x14ac:dyDescent="0.25">
      <c r="B29" s="16" t="s">
        <v>19</v>
      </c>
      <c r="C29" s="17"/>
    </row>
    <row r="30" spans="2:3" x14ac:dyDescent="0.25">
      <c r="B30" s="16" t="s">
        <v>20</v>
      </c>
      <c r="C30" s="17"/>
    </row>
    <row r="31" spans="2:3" x14ac:dyDescent="0.25">
      <c r="B31" s="16" t="s">
        <v>21</v>
      </c>
      <c r="C31" s="17"/>
    </row>
    <row r="32" spans="2:3" x14ac:dyDescent="0.25">
      <c r="B32" s="16" t="s">
        <v>22</v>
      </c>
      <c r="C32" s="17"/>
    </row>
    <row r="33" spans="2:3" x14ac:dyDescent="0.25">
      <c r="B33" s="16" t="s">
        <v>23</v>
      </c>
      <c r="C33" s="17"/>
    </row>
    <row r="34" spans="2:3" x14ac:dyDescent="0.25">
      <c r="B34" s="16" t="s">
        <v>24</v>
      </c>
      <c r="C34" s="17"/>
    </row>
    <row r="37" spans="2:3" x14ac:dyDescent="0.25">
      <c r="B37" s="18" t="s">
        <v>25</v>
      </c>
      <c r="C37" s="18"/>
    </row>
  </sheetData>
  <mergeCells count="5">
    <mergeCell ref="B3:C3"/>
    <mergeCell ref="B4:C4"/>
    <mergeCell ref="B9:C9"/>
    <mergeCell ref="B10:C10"/>
    <mergeCell ref="B37:C37"/>
  </mergeCells>
  <hyperlinks>
    <hyperlink ref="B26" r:id="rId1" location="#'Assumptions'!A1"/>
    <hyperlink ref="B27" r:id="rId2" location="#'Revenue Schedule'!A1"/>
    <hyperlink ref="B28" r:id="rId3" location="#'Staffing &amp; Personnel'!A1"/>
    <hyperlink ref="B29" r:id="rId4" location="#'Operating Expenses'!A1"/>
    <hyperlink ref="B30" r:id="rId5" location="#'Capital &amp; Debt'!A1"/>
    <hyperlink ref="B31" r:id="rId6" location="#'Financial Model'!A1"/>
    <hyperlink ref="B32" r:id="rId7" location="#'Summary'!A1"/>
    <hyperlink ref="B33" r:id="rId8" location="#'Consultant Notes'!A1"/>
    <hyperlink ref="B34" r:id="rId9" location="#'Prior-Year Snapshot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Consultant Notes</vt:lpstr>
      <vt:lpstr>Prior-Year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2026-03-25T22:36:51Z</dcterms:created>
  <dcterms:modified xsi:type="dcterms:W3CDTF">2026-03-25T22:36:51Z</dcterms:modified>
</cp:coreProperties>
</file>