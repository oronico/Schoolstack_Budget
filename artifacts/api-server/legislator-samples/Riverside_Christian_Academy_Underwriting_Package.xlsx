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Instructions" state="visible" r:id="rId5"/>
    <sheet sheetId="3" name="Assumptions" state="visible" r:id="rId6"/>
    <sheet sheetId="4" name="Program Profile" state="visible" r:id="rId7"/>
    <sheet sheetId="5" name="Enrollment Drivers" state="visible" r:id="rId8"/>
    <sheet sheetId="6" name="Tuition &amp; Funding" state="visible" r:id="rId9"/>
    <sheet sheetId="7" name="Staffing Drivers" state="visible" r:id="rId10"/>
    <sheet sheetId="8" name="OpEx Drivers" state="visible" r:id="rId11"/>
    <sheet sheetId="9" name="Capital Stack" state="visible" r:id="rId12"/>
    <sheet sheetId="10" name="Enrollment Tuition Fcst" state="visible" r:id="rId13"/>
    <sheet sheetId="11" name="Staffing Costs Fcst" state="visible" r:id="rId14"/>
    <sheet sheetId="12" name="Budget Detail" state="visible" r:id="rId15"/>
    <sheet sheetId="13" name="Budget Summary" state="visible" r:id="rId16"/>
    <sheet sheetId="14" name="Monthly Cash Flow Y1" state="visible" r:id="rId17"/>
    <sheet sheetId="15" name="5-Year Operating Stmt" state="visible" r:id="rId18"/>
    <sheet sheetId="16" name="Debt Schedule" state="visible" r:id="rId19"/>
    <sheet sheetId="17" name="Balance Sheet" state="visible" r:id="rId20"/>
    <sheet sheetId="18" name="DSCR &amp; Covenants" state="visible" r:id="rId21"/>
    <sheet sheetId="19" name="Sources &amp; Uses" state="visible" r:id="rId22"/>
    <sheet sheetId="20" name="Scenarios" state="visible" r:id="rId23"/>
    <sheet sheetId="21" name="Underwriting Snapshot" state="visible" r:id="rId24"/>
  </sheets>
  <calcPr calcId="171027" fullCalcOnLoad="1"/>
</workbook>
</file>

<file path=xl/sharedStrings.xml><?xml version="1.0" encoding="utf-8"?>
<sst xmlns="http://schemas.openxmlformats.org/spreadsheetml/2006/main" count="676" uniqueCount="364">
  <si>
    <t>SchoolStack Budget</t>
  </si>
  <si>
    <t>5-Year Financial Model &amp; Underwriting Workbook</t>
  </si>
  <si>
    <t>School Name</t>
  </si>
  <si>
    <t>Riverside Christian Academy</t>
  </si>
  <si>
    <t>School Type</t>
  </si>
  <si>
    <t>Private School</t>
  </si>
  <si>
    <t>Entity Type</t>
  </si>
  <si>
    <t>501(c)(3) Nonprofit</t>
  </si>
  <si>
    <t>State</t>
  </si>
  <si>
    <t>FL</t>
  </si>
  <si>
    <t>Fiscal Year Start</t>
  </si>
  <si>
    <t>Month 7</t>
  </si>
  <si>
    <t>Model Date</t>
  </si>
  <si>
    <t>March 25, 2026</t>
  </si>
  <si>
    <t>Stage</t>
  </si>
  <si>
    <t>Operating</t>
  </si>
  <si>
    <t>Funding Profile</t>
  </si>
  <si>
    <t/>
  </si>
  <si>
    <t>Table of Contents</t>
  </si>
  <si>
    <t>1.</t>
  </si>
  <si>
    <t>Cover</t>
  </si>
  <si>
    <t>2.</t>
  </si>
  <si>
    <t>Instructions</t>
  </si>
  <si>
    <t>3.</t>
  </si>
  <si>
    <t>Assumptions</t>
  </si>
  <si>
    <t>4.</t>
  </si>
  <si>
    <t>Program Profile</t>
  </si>
  <si>
    <t>5.</t>
  </si>
  <si>
    <t>Enrollment Drivers</t>
  </si>
  <si>
    <t>6.</t>
  </si>
  <si>
    <t>Tuition &amp; Funding</t>
  </si>
  <si>
    <t>7.</t>
  </si>
  <si>
    <t>Staffing Drivers</t>
  </si>
  <si>
    <t>8.</t>
  </si>
  <si>
    <t>OpEx Drivers</t>
  </si>
  <si>
    <t>9.</t>
  </si>
  <si>
    <t>Capital Stack</t>
  </si>
  <si>
    <t>10.</t>
  </si>
  <si>
    <t>Enrollment Tuition Fcst</t>
  </si>
  <si>
    <t>11.</t>
  </si>
  <si>
    <t>Staffing Costs Fcst</t>
  </si>
  <si>
    <t>12.</t>
  </si>
  <si>
    <t>Budget Detail</t>
  </si>
  <si>
    <t>13.</t>
  </si>
  <si>
    <t>Budget Summary</t>
  </si>
  <si>
    <t>14.</t>
  </si>
  <si>
    <t>Monthly Cash Flow Y1</t>
  </si>
  <si>
    <t>15.</t>
  </si>
  <si>
    <t>5-Year Operating Stmt</t>
  </si>
  <si>
    <t>16.</t>
  </si>
  <si>
    <t>Debt Schedule</t>
  </si>
  <si>
    <t>17.</t>
  </si>
  <si>
    <t>Balance Sheet</t>
  </si>
  <si>
    <t>18.</t>
  </si>
  <si>
    <t>DSCR &amp; Covenants</t>
  </si>
  <si>
    <t>19.</t>
  </si>
  <si>
    <t>Sources &amp; Uses</t>
  </si>
  <si>
    <t>20.</t>
  </si>
  <si>
    <t>Scenarios</t>
  </si>
  <si>
    <t>21.</t>
  </si>
  <si>
    <t>Underwriting Snapshot</t>
  </si>
  <si>
    <t>CONFIDENTIAL - Prepared by SchoolStack Budget (budget.schoolstack.ai)</t>
  </si>
  <si>
    <t>How to Use This Workbook</t>
  </si>
  <si>
    <t>Cell Color Legend</t>
  </si>
  <si>
    <t>Yellow cells are editable inputs — change these to update your model.</t>
  </si>
  <si>
    <t>White cells contain formulas — do not edit (they recalculate automatically).</t>
  </si>
  <si>
    <t>Green cells are key outputs and summary metrics.</t>
  </si>
  <si>
    <t>Navigation</t>
  </si>
  <si>
    <t>The Assumptions tab is the central control panel — all other tabs reference it.</t>
  </si>
  <si>
    <t>Structure</t>
  </si>
  <si>
    <t>Tabs 5-9: Drivers &amp; inputs</t>
  </si>
  <si>
    <t>Tabs 10-13: Forecasts &amp; budgets</t>
  </si>
  <si>
    <t>Tabs 14-17: Financial statements</t>
  </si>
  <si>
    <t>Tabs 18-21: Analysis &amp; underwriting</t>
  </si>
  <si>
    <t>Debt Service Convention</t>
  </si>
  <si>
    <t>operating expense on the 5-Year Operating Statement. This is a standard</t>
  </si>
  <si>
    <t>simplification used in school financial underwriting that ensures internal</t>
  </si>
  <si>
    <t>consistency across all tabs: the Cash Flow, Balance Sheet, and DSCR</t>
  </si>
  <si>
    <t>schedules all reference the same debt service figures. The Debt Schedule</t>
  </si>
  <si>
    <t>tab breaks out interest and principal separately for detailed analysis.</t>
  </si>
  <si>
    <t>Tips</t>
  </si>
  <si>
    <t>Review the Budget Summary for a high-level view.</t>
  </si>
  <si>
    <t>Check DSCR &amp; Covenants for lender readiness.</t>
  </si>
  <si>
    <t>The Underwriting Snapshot provides a one-page summary.</t>
  </si>
  <si>
    <t>Disclaimer</t>
  </si>
  <si>
    <t>a loan commitment, or a guarantee of funding. All projections are based on</t>
  </si>
  <si>
    <t>user-provided assumptions and should be independently verified.</t>
  </si>
  <si>
    <t>Riverside Christian Academy - Assumptions</t>
  </si>
  <si>
    <t>Yellow cells are editable inputs. All other cells are formulas.</t>
  </si>
  <si>
    <t>SCHOOL PROFILE</t>
  </si>
  <si>
    <t>EIN</t>
  </si>
  <si>
    <t>Fiscal Year Start Month</t>
  </si>
  <si>
    <t>Max Capacity</t>
  </si>
  <si>
    <t>ENROLLMENT</t>
  </si>
  <si>
    <t>2023-24</t>
  </si>
  <si>
    <t>2024-25</t>
  </si>
  <si>
    <t>2025-26</t>
  </si>
  <si>
    <t>2026-27</t>
  </si>
  <si>
    <t>2027-28</t>
  </si>
  <si>
    <t>Total Students</t>
  </si>
  <si>
    <t>REVENUE DRIVERS</t>
  </si>
  <si>
    <t>Line Item</t>
  </si>
  <si>
    <t>Category</t>
  </si>
  <si>
    <t>Driver</t>
  </si>
  <si>
    <t>Amount</t>
  </si>
  <si>
    <t>Escalation %</t>
  </si>
  <si>
    <t>Annual Tuition (K-8)</t>
  </si>
  <si>
    <t>Tuition &amp; Fees</t>
  </si>
  <si>
    <t>Per Student</t>
  </si>
  <si>
    <t>Registration &amp; Activity Fees</t>
  </si>
  <si>
    <t>Annual Fund Donations</t>
  </si>
  <si>
    <t>Philanthropy</t>
  </si>
  <si>
    <t>Annual Fixed</t>
  </si>
  <si>
    <t>Foundation Grants</t>
  </si>
  <si>
    <t>After-School Programs</t>
  </si>
  <si>
    <t>Other Revenue</t>
  </si>
  <si>
    <t>STAFFING</t>
  </si>
  <si>
    <t>Role</t>
  </si>
  <si>
    <t>Type</t>
  </si>
  <si>
    <t>FTE</t>
  </si>
  <si>
    <t>Rate</t>
  </si>
  <si>
    <t>Benefits %</t>
  </si>
  <si>
    <t>Tax %</t>
  </si>
  <si>
    <t>Head of School</t>
  </si>
  <si>
    <t>School Leadership</t>
  </si>
  <si>
    <t>full_time</t>
  </si>
  <si>
    <t>Assistant Principal</t>
  </si>
  <si>
    <t>Lead Teachers (K-8)</t>
  </si>
  <si>
    <t>Instructional</t>
  </si>
  <si>
    <t>Teaching Assistants</t>
  </si>
  <si>
    <t>Office Manager</t>
  </si>
  <si>
    <t>Administrative</t>
  </si>
  <si>
    <t>Counselor</t>
  </si>
  <si>
    <t>Student Support</t>
  </si>
  <si>
    <t>Maintenance / Custodial</t>
  </si>
  <si>
    <t>Operations</t>
  </si>
  <si>
    <t>OPERATING EXPENSES</t>
  </si>
  <si>
    <t>Curriculum &amp; Textbooks</t>
  </si>
  <si>
    <t>Instructional / Program</t>
  </si>
  <si>
    <t>Technology (Devices + Software)</t>
  </si>
  <si>
    <t>Technology</t>
  </si>
  <si>
    <t>Utilities &amp; Maintenance</t>
  </si>
  <si>
    <t>Occupancy / Facility</t>
  </si>
  <si>
    <t>Insurance (General + D&amp;O)</t>
  </si>
  <si>
    <t>Administrative / General</t>
  </si>
  <si>
    <t>Marketing &amp; Enrollment</t>
  </si>
  <si>
    <t>Professional Development</t>
  </si>
  <si>
    <t>Accounting &amp; Legal</t>
  </si>
  <si>
    <t>CAPITAL &amp; DEBT</t>
  </si>
  <si>
    <t>Instrument</t>
  </si>
  <si>
    <t>Principal</t>
  </si>
  <si>
    <t>Term (Yrs)</t>
  </si>
  <si>
    <t>Building Mortgage</t>
  </si>
  <si>
    <t>Loan</t>
  </si>
  <si>
    <t>Renovation Loan</t>
  </si>
  <si>
    <t>GROWTH &amp; TIMING</t>
  </si>
  <si>
    <t>Salary Escalation Rate</t>
  </si>
  <si>
    <t>Salary input or tuition escalation fallback</t>
  </si>
  <si>
    <t>Cost Inflation Rate</t>
  </si>
  <si>
    <t>Cost inflation input or tuition escalation fallback</t>
  </si>
  <si>
    <t>Year 1 Proration Factor</t>
  </si>
  <si>
    <t>Starting Cash</t>
  </si>
  <si>
    <t>Debt Included</t>
  </si>
  <si>
    <t>Yes</t>
  </si>
  <si>
    <t>School Model</t>
  </si>
  <si>
    <t>private</t>
  </si>
  <si>
    <t>Financial Label Convention</t>
  </si>
  <si>
    <t>Nonprofit (Change in Net Assets / Net Assets)</t>
  </si>
  <si>
    <t>Funding Mix</t>
  </si>
  <si>
    <t>7</t>
  </si>
  <si>
    <t>Year 1 Operating Months</t>
  </si>
  <si>
    <t>12</t>
  </si>
  <si>
    <t>Proration Factor</t>
  </si>
  <si>
    <t>100.0%</t>
  </si>
  <si>
    <t>400</t>
  </si>
  <si>
    <t>Accredited</t>
  </si>
  <si>
    <t>No</t>
  </si>
  <si>
    <t>Location</t>
  </si>
  <si>
    <t>, ,</t>
  </si>
  <si>
    <t>Facility</t>
  </si>
  <si>
    <t>Owned</t>
  </si>
  <si>
    <t>Prior Year</t>
  </si>
  <si>
    <t>Current Year</t>
  </si>
  <si>
    <t>TOTAL ENROLLMENT</t>
  </si>
  <si>
    <t>Capacity Utilization</t>
  </si>
  <si>
    <t>Enrollment Growth Rate</t>
  </si>
  <si>
    <t>-</t>
  </si>
  <si>
    <t>Tuition &amp; Funding Drivers</t>
  </si>
  <si>
    <t>REVENUE BY LINE ITEM</t>
  </si>
  <si>
    <t>Annual Tuition (K-8) (Tuition &amp; Fees)</t>
  </si>
  <si>
    <t>Registration &amp; Activity Fees (Tuition &amp; Fees)</t>
  </si>
  <si>
    <t>Annual Fund Donations (Philanthropy)</t>
  </si>
  <si>
    <t>Foundation Grants (Philanthropy)</t>
  </si>
  <si>
    <t>After-School Programs (Other Revenue)</t>
  </si>
  <si>
    <t>TOTAL REVENUE</t>
  </si>
  <si>
    <t>Base Rate</t>
  </si>
  <si>
    <t>Loaded Cost</t>
  </si>
  <si>
    <t>5-YEAR TOTAL PERSONNEL COST</t>
  </si>
  <si>
    <t>Total Personnel</t>
  </si>
  <si>
    <t>Personnel as % of Revenue</t>
  </si>
  <si>
    <t>Students per FTE</t>
  </si>
  <si>
    <t>Operating Expense Drivers</t>
  </si>
  <si>
    <t xml:space="preserve">  Curriculum &amp; Textbooks</t>
  </si>
  <si>
    <t xml:space="preserve">  Professional Development</t>
  </si>
  <si>
    <t>Total Instructional / Program</t>
  </si>
  <si>
    <t xml:space="preserve">  Technology (Devices + Software)</t>
  </si>
  <si>
    <t>Total Technology</t>
  </si>
  <si>
    <t xml:space="preserve">  Utilities &amp; Maintenance</t>
  </si>
  <si>
    <t>Total Occupancy / Facility</t>
  </si>
  <si>
    <t xml:space="preserve">  Insurance (General + D&amp;O)</t>
  </si>
  <si>
    <t xml:space="preserve">  Marketing &amp; Enrollment</t>
  </si>
  <si>
    <t xml:space="preserve">  Accounting &amp; Legal</t>
  </si>
  <si>
    <t>Total Administrative / General</t>
  </si>
  <si>
    <t>TOTAL OPERATING EXPENSES</t>
  </si>
  <si>
    <t>Capital Stack &amp; Loan Terms</t>
  </si>
  <si>
    <t>Annual Payment</t>
  </si>
  <si>
    <t>Total Annual Debt Service</t>
  </si>
  <si>
    <t>Total Loan Principal</t>
  </si>
  <si>
    <t>Enrollment &amp; Tuition Forecast</t>
  </si>
  <si>
    <t>REVENUE FORECAST</t>
  </si>
  <si>
    <t>Revenue per Student</t>
  </si>
  <si>
    <t>Staffing Costs Forecast</t>
  </si>
  <si>
    <t xml:space="preserve">  Lead Teachers (K-8)</t>
  </si>
  <si>
    <t xml:space="preserve">  Teaching Assistants</t>
  </si>
  <si>
    <t>Total Instructional</t>
  </si>
  <si>
    <t xml:space="preserve">  Head of School</t>
  </si>
  <si>
    <t xml:space="preserve">  Assistant Principal</t>
  </si>
  <si>
    <t>Total School Leadership</t>
  </si>
  <si>
    <t xml:space="preserve">  Counselor</t>
  </si>
  <si>
    <t>Total Student Support</t>
  </si>
  <si>
    <t xml:space="preserve">  Maintenance / Custodial</t>
  </si>
  <si>
    <t>Total Operations</t>
  </si>
  <si>
    <t xml:space="preserve">  Office Manager</t>
  </si>
  <si>
    <t>Total Administrative</t>
  </si>
  <si>
    <t>TOTAL PERSONNEL</t>
  </si>
  <si>
    <t>Riverside Christian Academy - Budget Detail</t>
  </si>
  <si>
    <t>REVENUE</t>
  </si>
  <si>
    <t xml:space="preserve">  Annual Tuition (K-8)</t>
  </si>
  <si>
    <t xml:space="preserve">  Registration &amp; Activity Fees</t>
  </si>
  <si>
    <t xml:space="preserve">  Annual Fund Donations</t>
  </si>
  <si>
    <t xml:space="preserve">  Foundation Grants</t>
  </si>
  <si>
    <t xml:space="preserve">  After-School Programs</t>
  </si>
  <si>
    <t>Total Revenue</t>
  </si>
  <si>
    <t>PERSONNEL</t>
  </si>
  <si>
    <t xml:space="preserve">    Curriculum &amp; Textbooks</t>
  </si>
  <si>
    <t xml:space="preserve">    Professional Development</t>
  </si>
  <si>
    <t xml:space="preserve">  Total Instructional / Program</t>
  </si>
  <si>
    <t xml:space="preserve">    Technology (Devices + Software)</t>
  </si>
  <si>
    <t xml:space="preserve">    Utilities &amp; Maintenance</t>
  </si>
  <si>
    <t xml:space="preserve">    Insurance (General + D&amp;O)</t>
  </si>
  <si>
    <t xml:space="preserve">    Marketing &amp; Enrollment</t>
  </si>
  <si>
    <t xml:space="preserve">    Accounting &amp; Legal</t>
  </si>
  <si>
    <t xml:space="preserve">  Total Administrative / General</t>
  </si>
  <si>
    <t>Total Operating Expenses</t>
  </si>
  <si>
    <t>CAPITAL &amp; DEBT SERVICE</t>
  </si>
  <si>
    <t xml:space="preserve">  Building Mortgage</t>
  </si>
  <si>
    <t xml:space="preserve">  Renovation Loan</t>
  </si>
  <si>
    <t>Total Capital &amp; Debt</t>
  </si>
  <si>
    <t>Riverside Christian Academy - Budget Summary</t>
  </si>
  <si>
    <t>Total Capital &amp; Debt Service</t>
  </si>
  <si>
    <t>Total Expenses</t>
  </si>
  <si>
    <t>KEY METRICS</t>
  </si>
  <si>
    <t>Change in Net Assets</t>
  </si>
  <si>
    <t>Net Margin %</t>
  </si>
  <si>
    <t>Cumulative Change in Net Assets</t>
  </si>
  <si>
    <t>Cost per Student</t>
  </si>
  <si>
    <t>Riverside Christian Academy - Year 1 Monthly Cash Flow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</si>
  <si>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</si>
  <si>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</si>
  <si>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</si>
  <si>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</si>
  <si>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</si>
  <si>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</si>
  <si>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</si>
  <si>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</si>
  <si>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</si>
  <si>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</si>
  <si>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</si>
  <si>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</si>
  <si>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Total</t>
  </si>
  <si>
    <t>EXPENSES</t>
  </si>
  <si>
    <t>Personnel</t>
  </si>
  <si>
    <t>Operating Expenses</t>
  </si>
  <si>
    <t>Debt Service</t>
  </si>
  <si>
    <t>CASH FLOW</t>
  </si>
  <si>
    <t>Net Cash Flow</t>
  </si>
  <si>
    <t>Cumulative Cash</t>
  </si>
  <si>
    <t>CASH FLOW METRICS</t>
  </si>
  <si>
    <t>Ending Cash (Month 12)</t>
  </si>
  <si>
    <t>Minimum Cash Month</t>
  </si>
  <si>
    <t>Riverside Christian Academy - 5-Year Operating Statement</t>
  </si>
  <si>
    <t>Capital &amp; Debt Service</t>
  </si>
  <si>
    <t>BOTTOM LINE</t>
  </si>
  <si>
    <t>LOAN TERMS</t>
  </si>
  <si>
    <t>Loan Name</t>
  </si>
  <si>
    <t>Annual Rate</t>
  </si>
  <si>
    <t>Term (Years)</t>
  </si>
  <si>
    <t>AMORTIZATION: Building Mortgage</t>
  </si>
  <si>
    <t>Beginning Balance</t>
  </si>
  <si>
    <t>Interest</t>
  </si>
  <si>
    <t>Principal Payment</t>
  </si>
  <si>
    <t>Total Payment</t>
  </si>
  <si>
    <t>Ending Balance</t>
  </si>
  <si>
    <t>AMORTIZATION: Renovation Loan</t>
  </si>
  <si>
    <t>TOTAL ALL LOANS</t>
  </si>
  <si>
    <t>Total Debt Service</t>
  </si>
  <si>
    <t>Total Outstanding Debt</t>
  </si>
  <si>
    <t>Riverside Christian Academy - Balance Sheet</t>
  </si>
  <si>
    <t>ASSETS</t>
  </si>
  <si>
    <t>Cash &amp; Equivalents</t>
  </si>
  <si>
    <t>Accounts Receivable</t>
  </si>
  <si>
    <t>Fixed Assets</t>
  </si>
  <si>
    <t>Other Assets</t>
  </si>
  <si>
    <t>Total Assets</t>
  </si>
  <si>
    <t>LIABILITIES</t>
  </si>
  <si>
    <t>Accounts Payable</t>
  </si>
  <si>
    <t>Long-Term Debt</t>
  </si>
  <si>
    <t>Total Liabilities</t>
  </si>
  <si>
    <t>NET ASSETS</t>
  </si>
  <si>
    <t>Net Assets</t>
  </si>
  <si>
    <t>Balance Check (should = 0)</t>
  </si>
  <si>
    <t>DSCR &amp; Covenant Checks</t>
  </si>
  <si>
    <t>CASH FLOW &amp; DEBT</t>
  </si>
  <si>
    <t>Revenue</t>
  </si>
  <si>
    <t>CFADS (Rev - Pers - OpEx)</t>
  </si>
  <si>
    <t>DSCR</t>
  </si>
  <si>
    <t>LIQUIDITY METRICS</t>
  </si>
  <si>
    <t>Ending Cash</t>
  </si>
  <si>
    <t>Days Cash on Hand</t>
  </si>
  <si>
    <t>Months of Runway</t>
  </si>
  <si>
    <t>BREAK-EVEN ANALYSIS</t>
  </si>
  <si>
    <t>Fixed Costs (Pers + Debt)</t>
  </si>
  <si>
    <t>Variable Cost per Student (OpEx)</t>
  </si>
  <si>
    <t>Break-Even Enrollment</t>
  </si>
  <si>
    <t>COVENANT CHECKS</t>
  </si>
  <si>
    <t>DSCR ≥ 1.2x</t>
  </si>
  <si>
    <t>PASS</t>
  </si>
  <si>
    <t>Positive Net Income</t>
  </si>
  <si>
    <t>Capacity ≥ 60%</t>
  </si>
  <si>
    <t>FAIL</t>
  </si>
  <si>
    <t>Cash Reserve ≥ 3 months</t>
  </si>
  <si>
    <t>Days Cash ≥ 45</t>
  </si>
  <si>
    <t>SOURCES</t>
  </si>
  <si>
    <t>USES</t>
  </si>
  <si>
    <t>Working Capital</t>
  </si>
  <si>
    <t>Starting Cash / Equity</t>
  </si>
  <si>
    <t>Total Sources</t>
  </si>
  <si>
    <t>Total Uses</t>
  </si>
  <si>
    <t>Sources - Uses (should = 0)</t>
  </si>
  <si>
    <t>Scenario Analysis</t>
  </si>
  <si>
    <t>SLOW GROWTH (FLAT ENROLLMENT Y2-3)</t>
  </si>
  <si>
    <t>Enrollment: -15%  |  Revenue: +0%  |  Staffing: +0%  |  Facility: +0%  |  Expenses: +0%</t>
  </si>
  <si>
    <t>STRONG GROWTH (+10% ENROLLMENT)</t>
  </si>
  <si>
    <t>Enrollment: +10%  |  Revenue: +0%  |  Staffing: +5%  |  Facility: +0%  |  Expenses: +5%</t>
  </si>
  <si>
    <t>Underwriting Snapshot - Loan Committee Summary</t>
  </si>
  <si>
    <t>Entity</t>
  </si>
  <si>
    <t>Funding</t>
  </si>
  <si>
    <t>5-YEAR FINANCIAL TREND</t>
  </si>
  <si>
    <t>Cash Position</t>
  </si>
  <si>
    <t>Outstanding Debt</t>
  </si>
  <si>
    <t>KEY RATIOS</t>
  </si>
  <si>
    <t>Net Margin</t>
  </si>
  <si>
    <t>Enrollment</t>
  </si>
  <si>
    <t>Prepared by SchoolStack Budget -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</si>
</sst>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"/>
    <numFmt numFmtId="168" formatCode="0.00x"/>
  </numFmts>
  <fonts count="15" x14ac:knownFonts="1">
    <font>
      <color theme="1"/>
      <family val="2"/>
      <scheme val="minor"/>
      <sz val="11"/>
      <name val="Calibri"/>
    </font>
    <font>
      <b/>
      <color rgb="FF328555"/>
      <sz val="22"/>
      <name val="Calibri"/>
    </font>
    <font>
      <b/>
      <color rgb="FF1E293B"/>
      <sz val="14"/>
      <name val="Calibri"/>
    </font>
    <font>
      <b/>
      <sz val="11"/>
      <name val="Calibri"/>
    </font>
    <font>
      <sz val="11"/>
      <name val="Calibri"/>
    </font>
    <font>
      <b/>
      <color rgb="FF1E293B"/>
      <sz val="13"/>
      <name val="Calibri"/>
    </font>
    <font>
      <u/>
      <color rgb="FF328555"/>
      <sz val="11"/>
      <name val="Calibri"/>
    </font>
    <font>
      <i/>
      <color rgb="FF999999"/>
      <sz val="11"/>
      <name val="Calibri"/>
    </font>
    <font>
      <b/>
      <color rgb="FF1E293B"/>
      <sz val="16"/>
      <name val="Calibri"/>
    </font>
    <font>
      <b/>
      <color rgb="FF1E293B"/>
      <sz val="11"/>
      <name val="Calibri"/>
    </font>
    <font>
      <i/>
      <color rgb="FF666666"/>
      <sz val="11"/>
      <name val="Calibri"/>
    </font>
    <font>
      <b/>
      <color rgb="FFFFFFFF"/>
      <sz val="11"/>
      <name val="Calibri"/>
    </font>
    <font>
      <i/>
      <color rgb="FF808080"/>
      <sz val="11"/>
      <name val="Calibri"/>
    </font>
    <font>
      <b/>
      <color rgb="FF328555"/>
      <sz val="11"/>
      <name val="Calibri"/>
    </font>
    <font>
      <b/>
      <color rgb="FFFF00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FFFDE8"/>
      </patternFill>
    </fill>
    <fill>
      <patternFill patternType="solid">
        <fgColor rgb="FF1E293B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2" fillId="0" borderId="0" xfId="0" applyFont="1"/>
    <xf numFmtId="0" fontId="10" fillId="0" borderId="0" xfId="0" applyFont="1"/>
    <xf numFmtId="0" fontId="9" fillId="2" borderId="1" xfId="0" applyFont="1" applyFill="1" applyBorder="1"/>
    <xf numFmtId="0" fontId="4" fillId="3" borderId="1" xfId="0" applyFont="1" applyFill="1" applyBorder="1"/>
    <xf numFmtId="0" fontId="11" fillId="4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2" fontId="4" fillId="3" borderId="1" xfId="0" applyNumberFormat="1" applyFont="1" applyFill="1" applyBorder="1"/>
    <xf numFmtId="0" fontId="12" fillId="0" borderId="0" xfId="0" applyFont="1"/>
    <xf numFmtId="164" fontId="3" fillId="0" borderId="1" xfId="0" applyNumberFormat="1" applyFont="1" applyBorder="1"/>
    <xf numFmtId="164" fontId="3" fillId="5" borderId="2" xfId="0" applyNumberFormat="1" applyFont="1" applyFill="1" applyBorder="1"/>
    <xf numFmtId="164" fontId="4" fillId="0" borderId="1" xfId="0" applyNumberFormat="1" applyFont="1" applyBorder="1"/>
    <xf numFmtId="166" fontId="4" fillId="5" borderId="1" xfId="0" applyNumberFormat="1" applyFont="1" applyFill="1" applyBorder="1"/>
    <xf numFmtId="166" fontId="4" fillId="0" borderId="1" xfId="0" applyNumberFormat="1" applyFont="1" applyBorder="1"/>
    <xf numFmtId="165" fontId="4" fillId="0" borderId="1" xfId="0" applyNumberFormat="1" applyFont="1" applyBorder="1"/>
    <xf numFmtId="165" fontId="3" fillId="5" borderId="2" xfId="0" applyNumberFormat="1" applyFont="1" applyFill="1" applyBorder="1"/>
    <xf numFmtId="2" fontId="4" fillId="0" borderId="1" xfId="0" applyNumberFormat="1" applyFont="1" applyBorder="1"/>
    <xf numFmtId="165" fontId="3" fillId="0" borderId="1" xfId="0" applyNumberFormat="1" applyFont="1" applyBorder="1"/>
    <xf numFmtId="167" fontId="4" fillId="0" borderId="1" xfId="0" applyNumberFormat="1" applyFont="1" applyBorder="1"/>
    <xf numFmtId="165" fontId="3" fillId="0" borderId="2" xfId="0" applyNumberFormat="1" applyFont="1" applyBorder="1"/>
    <xf numFmtId="0" fontId="3" fillId="0" borderId="0" xfId="0" applyFont="1"/>
    <xf numFmtId="165" fontId="3" fillId="5" borderId="1" xfId="0" applyNumberFormat="1" applyFont="1" applyFill="1" applyBorder="1"/>
    <xf numFmtId="0" fontId="3" fillId="0" borderId="2" xfId="0" applyFont="1" applyBorder="1"/>
    <xf numFmtId="0" fontId="9" fillId="0" borderId="1" xfId="0" applyFont="1" applyBorder="1"/>
    <xf numFmtId="165" fontId="9" fillId="0" borderId="1" xfId="0" applyNumberFormat="1" applyFont="1" applyBorder="1"/>
    <xf numFmtId="166" fontId="9" fillId="0" borderId="1" xfId="0" applyNumberFormat="1" applyFont="1" applyBorder="1"/>
    <xf numFmtId="165" fontId="4" fillId="5" borderId="1" xfId="0" applyNumberFormat="1" applyFont="1" applyFill="1" applyBorder="1"/>
    <xf numFmtId="165" fontId="13" fillId="0" borderId="1" xfId="0" applyNumberFormat="1" applyFont="1" applyBorder="1"/>
    <xf numFmtId="168" fontId="3" fillId="5" borderId="1" xfId="0" applyNumberFormat="1" applyFont="1" applyFill="1" applyBorder="1"/>
    <xf numFmtId="164" fontId="3" fillId="5" borderId="1" xfId="0" applyNumberFormat="1" applyFont="1" applyFill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" fillId="4" borderId="1" xfId="0" applyFont="1" applyFill="1" applyBorder="1"/>
    <xf numFmtId="168" fontId="4" fillId="0" borderId="1" xfId="0" applyNumberFormat="1" applyFont="1" applyBorder="1"/>
    <xf numFmtId="0" fontId="1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Cover&apos;!A1" TargetMode="External"/><Relationship Id="rId2" Type="http://schemas.openxmlformats.org/officeDocument/2006/relationships/hyperlink" Target="#&apos;Instructions&apos;!A1" TargetMode="External"/><Relationship Id="rId3" Type="http://schemas.openxmlformats.org/officeDocument/2006/relationships/hyperlink" Target="#&apos;Assumptions&apos;!A1" TargetMode="External"/><Relationship Id="rId4" Type="http://schemas.openxmlformats.org/officeDocument/2006/relationships/hyperlink" Target="#&apos;Program Profile&apos;!A1" TargetMode="External"/><Relationship Id="rId5" Type="http://schemas.openxmlformats.org/officeDocument/2006/relationships/hyperlink" Target="#&apos;Enrollment Drivers&apos;!A1" TargetMode="External"/><Relationship Id="rId6" Type="http://schemas.openxmlformats.org/officeDocument/2006/relationships/hyperlink" Target="#&apos;Tuition &amp; Funding&apos;!A1" TargetMode="External"/><Relationship Id="rId7" Type="http://schemas.openxmlformats.org/officeDocument/2006/relationships/hyperlink" Target="#&apos;Staffing Drivers&apos;!A1" TargetMode="External"/><Relationship Id="rId8" Type="http://schemas.openxmlformats.org/officeDocument/2006/relationships/hyperlink" Target="#&apos;OpEx Drivers&apos;!A1" TargetMode="External"/><Relationship Id="rId9" Type="http://schemas.openxmlformats.org/officeDocument/2006/relationships/hyperlink" Target="#&apos;Capital Stack&apos;!A1" TargetMode="External"/><Relationship Id="rId10" Type="http://schemas.openxmlformats.org/officeDocument/2006/relationships/hyperlink" Target="#&apos;Enrollment Tuition Fcst&apos;!A1" TargetMode="External"/><Relationship Id="rId11" Type="http://schemas.openxmlformats.org/officeDocument/2006/relationships/hyperlink" Target="#&apos;Staffing Costs Fcst&apos;!A1" TargetMode="External"/><Relationship Id="rId12" Type="http://schemas.openxmlformats.org/officeDocument/2006/relationships/hyperlink" Target="#&apos;Budget Detail&apos;!A1" TargetMode="External"/><Relationship Id="rId13" Type="http://schemas.openxmlformats.org/officeDocument/2006/relationships/hyperlink" Target="#&apos;Budget Summary&apos;!A1" TargetMode="External"/><Relationship Id="rId14" Type="http://schemas.openxmlformats.org/officeDocument/2006/relationships/hyperlink" Target="#&apos;Monthly Cash Flow Y1&apos;!A1" TargetMode="External"/><Relationship Id="rId15" Type="http://schemas.openxmlformats.org/officeDocument/2006/relationships/hyperlink" Target="#&apos;5-Year Operating Stmt&apos;!A1" TargetMode="External"/><Relationship Id="rId16" Type="http://schemas.openxmlformats.org/officeDocument/2006/relationships/hyperlink" Target="#&apos;Debt Schedule&apos;!A1" TargetMode="External"/><Relationship Id="rId17" Type="http://schemas.openxmlformats.org/officeDocument/2006/relationships/hyperlink" Target="#&apos;Balance Sheet&apos;!A1" TargetMode="External"/><Relationship Id="rId18" Type="http://schemas.openxmlformats.org/officeDocument/2006/relationships/hyperlink" Target="#&apos;DSCR &amp; Covenants&apos;!A1" TargetMode="External"/><Relationship Id="rId19" Type="http://schemas.openxmlformats.org/officeDocument/2006/relationships/hyperlink" Target="#&apos;Sources &amp; Uses&apos;!A1" TargetMode="External"/><Relationship Id="rId20" Type="http://schemas.openxmlformats.org/officeDocument/2006/relationships/hyperlink" Target="#&apos;Scenarios&apos;!A1" TargetMode="External"/><Relationship Id="rId21" Type="http://schemas.openxmlformats.org/officeDocument/2006/relationships/hyperlink" Target="#&apos;Underwriting Snapsho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42"/>
  <sheetFormatPr defaultRowHeight="15" outlineLevelRow="0" outlineLevelCol="0" x14ac:dyDescent="55"/>
  <cols>
    <col min="1" max="1" width="4" customWidth="1"/>
    <col min="2" max="3" width="40" customWidth="1"/>
    <col min="4" max="4" width="4" customWidth="1"/>
  </cols>
  <sheetData>
    <row r="3" spans="2:3" x14ac:dyDescent="0.25">
      <c r="B3" s="1" t="s">
        <v>0</v>
      </c>
      <c r="C3" s="1"/>
    </row>
    <row r="5" spans="2:3" x14ac:dyDescent="0.25">
      <c r="B5" s="2" t="s">
        <v>1</v>
      </c>
      <c r="C5" s="2"/>
    </row>
    <row r="8" spans="2:3" x14ac:dyDescent="0.25">
      <c r="B8" s="3" t="s">
        <v>2</v>
      </c>
      <c r="C8" s="4" t="s">
        <v>3</v>
      </c>
    </row>
    <row r="9" spans="2:3" x14ac:dyDescent="0.25">
      <c r="B9" s="3" t="s">
        <v>4</v>
      </c>
      <c r="C9" s="4" t="s">
        <v>5</v>
      </c>
    </row>
    <row r="10" spans="2:3" x14ac:dyDescent="0.25">
      <c r="B10" s="3" t="s">
        <v>6</v>
      </c>
      <c r="C10" s="4" t="s">
        <v>7</v>
      </c>
    </row>
    <row r="11" spans="2:3" x14ac:dyDescent="0.25">
      <c r="B11" s="3" t="s">
        <v>8</v>
      </c>
      <c r="C11" s="4" t="s">
        <v>9</v>
      </c>
    </row>
    <row r="12" spans="2:3" x14ac:dyDescent="0.25">
      <c r="B12" s="3" t="s">
        <v>10</v>
      </c>
      <c r="C12" s="4" t="s">
        <v>11</v>
      </c>
    </row>
    <row r="13" spans="2:3" x14ac:dyDescent="0.25">
      <c r="B13" s="3" t="s">
        <v>12</v>
      </c>
      <c r="C13" s="4" t="s">
        <v>13</v>
      </c>
    </row>
    <row r="14" spans="2:3" x14ac:dyDescent="0.25">
      <c r="B14" s="3" t="s">
        <v>14</v>
      </c>
      <c r="C14" s="4" t="s">
        <v>15</v>
      </c>
    </row>
    <row r="15" spans="2:3" x14ac:dyDescent="0.25">
      <c r="B15" s="3" t="s">
        <v>16</v>
      </c>
      <c r="C15" s="4" t="s">
        <v>17</v>
      </c>
    </row>
    <row r="18" spans="2:3" x14ac:dyDescent="0.25">
      <c r="B18" s="5" t="s">
        <v>18</v>
      </c>
      <c r="C18" s="5"/>
    </row>
    <row r="19" spans="2:3" x14ac:dyDescent="0.25">
      <c r="B19" s="6" t="s">
        <v>19</v>
      </c>
      <c r="C19" s="7" t="s">
        <v>20</v>
      </c>
    </row>
    <row r="20" spans="2:3" x14ac:dyDescent="0.25">
      <c r="B20" s="6" t="s">
        <v>21</v>
      </c>
      <c r="C20" s="7" t="s">
        <v>22</v>
      </c>
    </row>
    <row r="21" spans="2:3" x14ac:dyDescent="0.25">
      <c r="B21" s="6" t="s">
        <v>23</v>
      </c>
      <c r="C21" s="7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6" t="s">
        <v>27</v>
      </c>
      <c r="C23" s="7" t="s">
        <v>28</v>
      </c>
    </row>
    <row r="24" spans="2:3" x14ac:dyDescent="0.25">
      <c r="B24" s="6" t="s">
        <v>29</v>
      </c>
      <c r="C24" s="7" t="s">
        <v>30</v>
      </c>
    </row>
    <row r="25" spans="2:3" x14ac:dyDescent="0.25">
      <c r="B25" s="6" t="s">
        <v>31</v>
      </c>
      <c r="C25" s="7" t="s">
        <v>32</v>
      </c>
    </row>
    <row r="26" spans="2:3" x14ac:dyDescent="0.25">
      <c r="B26" s="6" t="s">
        <v>33</v>
      </c>
      <c r="C26" s="7" t="s">
        <v>34</v>
      </c>
    </row>
    <row r="27" spans="2:3" x14ac:dyDescent="0.25">
      <c r="B27" s="6" t="s">
        <v>35</v>
      </c>
      <c r="C27" s="7" t="s">
        <v>36</v>
      </c>
    </row>
    <row r="28" spans="2:3" x14ac:dyDescent="0.25">
      <c r="B28" s="6" t="s">
        <v>37</v>
      </c>
      <c r="C28" s="7" t="s">
        <v>38</v>
      </c>
    </row>
    <row r="29" spans="2:3" x14ac:dyDescent="0.25">
      <c r="B29" s="6" t="s">
        <v>39</v>
      </c>
      <c r="C29" s="7" t="s">
        <v>40</v>
      </c>
    </row>
    <row r="30" spans="2:3" x14ac:dyDescent="0.25">
      <c r="B30" s="6" t="s">
        <v>41</v>
      </c>
      <c r="C30" s="7" t="s">
        <v>42</v>
      </c>
    </row>
    <row r="31" spans="2:3" x14ac:dyDescent="0.25">
      <c r="B31" s="6" t="s">
        <v>43</v>
      </c>
      <c r="C31" s="7" t="s">
        <v>44</v>
      </c>
    </row>
    <row r="32" spans="2:3" x14ac:dyDescent="0.25">
      <c r="B32" s="6" t="s">
        <v>45</v>
      </c>
      <c r="C32" s="7" t="s">
        <v>46</v>
      </c>
    </row>
    <row r="33" spans="2:3" x14ac:dyDescent="0.25">
      <c r="B33" s="6" t="s">
        <v>47</v>
      </c>
      <c r="C33" s="7" t="s">
        <v>48</v>
      </c>
    </row>
    <row r="34" spans="2:3" x14ac:dyDescent="0.25">
      <c r="B34" s="6" t="s">
        <v>49</v>
      </c>
      <c r="C34" s="7" t="s">
        <v>50</v>
      </c>
    </row>
    <row r="35" spans="2:3" x14ac:dyDescent="0.25">
      <c r="B35" s="6" t="s">
        <v>51</v>
      </c>
      <c r="C35" s="7" t="s">
        <v>52</v>
      </c>
    </row>
    <row r="36" spans="2:3" x14ac:dyDescent="0.25">
      <c r="B36" s="6" t="s">
        <v>53</v>
      </c>
      <c r="C36" s="7" t="s">
        <v>54</v>
      </c>
    </row>
    <row r="37" spans="2:3" x14ac:dyDescent="0.25">
      <c r="B37" s="6" t="s">
        <v>55</v>
      </c>
      <c r="C37" s="7" t="s">
        <v>56</v>
      </c>
    </row>
    <row r="38" spans="2:3" x14ac:dyDescent="0.25">
      <c r="B38" s="6" t="s">
        <v>57</v>
      </c>
      <c r="C38" s="7" t="s">
        <v>58</v>
      </c>
    </row>
    <row r="39" spans="2:3" x14ac:dyDescent="0.25">
      <c r="B39" s="6" t="s">
        <v>59</v>
      </c>
      <c r="C39" s="7" t="s">
        <v>60</v>
      </c>
    </row>
    <row r="42" spans="2:3" x14ac:dyDescent="0.25">
      <c r="B42" s="8" t="s">
        <v>61</v>
      </c>
      <c r="C42" s="8"/>
    </row>
  </sheetData>
  <mergeCells count="4">
    <mergeCell ref="B3:C3"/>
    <mergeCell ref="B5:C5"/>
    <mergeCell ref="B18:C18"/>
    <mergeCell ref="B42:C42"/>
  </mergeCells>
  <hyperlinks>
    <hyperlink ref="C19" r:id="rId1" location="#'Cover'!A1"/>
    <hyperlink ref="C20" r:id="rId2" location="#'Instructions'!A1"/>
    <hyperlink ref="C21" r:id="rId3" location="#'Assumptions'!A1"/>
    <hyperlink ref="C22" r:id="rId4" location="#'Program Profile'!A1"/>
    <hyperlink ref="C23" r:id="rId5" location="#'Enrollment Drivers'!A1"/>
    <hyperlink ref="C24" r:id="rId6" location="#'Tuition &amp; Funding'!A1"/>
    <hyperlink ref="C25" r:id="rId7" location="#'Staffing Drivers'!A1"/>
    <hyperlink ref="C26" r:id="rId8" location="#'OpEx Drivers'!A1"/>
    <hyperlink ref="C27" r:id="rId9" location="#'Capital Stack'!A1"/>
    <hyperlink ref="C28" r:id="rId10" location="#'Enrollment Tuition Fcst'!A1"/>
    <hyperlink ref="C29" r:id="rId11" location="#'Staffing Costs Fcst'!A1"/>
    <hyperlink ref="C30" r:id="rId12" location="#'Budget Detail'!A1"/>
    <hyperlink ref="C31" r:id="rId13" location="#'Budget Summary'!A1"/>
    <hyperlink ref="C32" r:id="rId14" location="#'Monthly Cash Flow Y1'!A1"/>
    <hyperlink ref="C33" r:id="rId15" location="#'5-Year Operating Stmt'!A1"/>
    <hyperlink ref="C34" r:id="rId16" location="#'Debt Schedule'!A1"/>
    <hyperlink ref="C35" r:id="rId17" location="#'Balance Sheet'!A1"/>
    <hyperlink ref="C36" r:id="rId18" location="#'DSCR &amp; Covenants'!A1"/>
    <hyperlink ref="C37" r:id="rId19" location="#'Sources &amp; Uses'!A1"/>
    <hyperlink ref="C38" r:id="rId20" location="#'Scenarios'!A1"/>
    <hyperlink ref="C39" r:id="rId21" location="#'Underwriting Snapshot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32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9" t="s">
        <v>62</v>
      </c>
    </row>
    <row r="4" spans="2:2" x14ac:dyDescent="0.25">
      <c r="B4" s="10" t="s">
        <v>63</v>
      </c>
    </row>
    <row r="5" spans="2:2" x14ac:dyDescent="0.25">
      <c r="B5" s="6" t="s">
        <v>64</v>
      </c>
    </row>
    <row r="6" spans="2:2" x14ac:dyDescent="0.25">
      <c r="B6" s="6" t="s">
        <v>65</v>
      </c>
    </row>
    <row r="7" spans="2:2" x14ac:dyDescent="0.25">
      <c r="B7" s="6" t="s">
        <v>66</v>
      </c>
    </row>
    <row r="8" spans="2:2" x14ac:dyDescent="0.25">
      <c r="B8" s="6" t="s">
        <v>17</v>
      </c>
    </row>
    <row r="9" spans="2:2" x14ac:dyDescent="0.25">
      <c r="B9" s="10" t="s">
        <v>67</v>
      </c>
    </row>
    <row r="10" spans="2:2" x14ac:dyDescent="0.25">
      <c r="B10" s="6" t="s">
        <v>68</v>
      </c>
    </row>
    <row r="11" spans="2:2" x14ac:dyDescent="0.25">
      <c r="B11" s="6" t="s">
        <v>17</v>
      </c>
    </row>
    <row r="12" spans="2:2" x14ac:dyDescent="0.25">
      <c r="B12" s="10" t="s">
        <v>69</v>
      </c>
    </row>
    <row r="13" spans="2:2" x14ac:dyDescent="0.25">
      <c r="B13" s="6" t="s">
        <v>70</v>
      </c>
    </row>
    <row r="14" spans="2:2" x14ac:dyDescent="0.25">
      <c r="B14" s="6" t="s">
        <v>71</v>
      </c>
    </row>
    <row r="15" spans="2:2" x14ac:dyDescent="0.25">
      <c r="B15" s="6" t="s">
        <v>72</v>
      </c>
    </row>
    <row r="16" spans="2:2" x14ac:dyDescent="0.25">
      <c r="B16" s="6" t="s">
        <v>73</v>
      </c>
    </row>
    <row r="17" spans="2:2" x14ac:dyDescent="0.25">
      <c r="B17" s="6" t="s">
        <v>17</v>
      </c>
    </row>
    <row r="18" spans="2:2" x14ac:dyDescent="0.25">
      <c r="B18" s="10" t="s">
        <v>74</v>
      </c>
    </row>
    <row r="19" spans="2:2" x14ac:dyDescent="0.25">
      <c r="B19" s="6" t="s">
        <v>75</v>
      </c>
    </row>
    <row r="20" spans="2:2" x14ac:dyDescent="0.25">
      <c r="B20" s="6" t="s">
        <v>76</v>
      </c>
    </row>
    <row r="21" spans="2:2" x14ac:dyDescent="0.25">
      <c r="B21" s="6" t="s">
        <v>77</v>
      </c>
    </row>
    <row r="22" spans="2:2" x14ac:dyDescent="0.25">
      <c r="B22" s="6" t="s">
        <v>78</v>
      </c>
    </row>
    <row r="23" spans="2:2" x14ac:dyDescent="0.25">
      <c r="B23" s="6" t="s">
        <v>79</v>
      </c>
    </row>
    <row r="24" spans="2:2" x14ac:dyDescent="0.25">
      <c r="B24" s="6" t="s">
        <v>17</v>
      </c>
    </row>
    <row r="25" spans="2:2" x14ac:dyDescent="0.25">
      <c r="B25" s="10" t="s">
        <v>80</v>
      </c>
    </row>
    <row r="26" spans="2:2" x14ac:dyDescent="0.25">
      <c r="B26" s="6" t="s">
        <v>81</v>
      </c>
    </row>
    <row r="27" spans="2:2" x14ac:dyDescent="0.25">
      <c r="B27" s="6" t="s">
        <v>82</v>
      </c>
    </row>
    <row r="28" spans="2:2" x14ac:dyDescent="0.25">
      <c r="B28" s="6" t="s">
        <v>83</v>
      </c>
    </row>
    <row r="29" spans="2:2" x14ac:dyDescent="0.25">
      <c r="B29" s="6" t="s">
        <v>17</v>
      </c>
    </row>
    <row r="30" spans="2:2" x14ac:dyDescent="0.25">
      <c r="B30" s="10" t="s">
        <v>84</v>
      </c>
    </row>
    <row r="31" spans="2:2" x14ac:dyDescent="0.25">
      <c r="B31" s="6" t="s">
        <v>85</v>
      </c>
    </row>
    <row r="32" spans="2:2" x14ac:dyDescent="0.25">
      <c r="B32" s="6" t="s">
        <v>86</v>
      </c>
    </row>
  </sheetData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7"/>
  <sheetFormatPr defaultRowHeight="15" outlineLevelRow="0" outlineLevelCol="0" x14ac:dyDescent="55"/>
  <cols>
    <col min="1" max="1" width="36" customWidth="1"/>
    <col min="2" max="2" width="18" customWidth="1"/>
    <col min="3" max="7" width="16" customWidth="1"/>
  </cols>
  <sheetData>
    <row r="1" ht="32" customHeight="1" spans="1:7" x14ac:dyDescent="0.25">
      <c r="A1" s="11" t="s">
        <v>87</v>
      </c>
      <c r="B1" s="11"/>
      <c r="C1" s="11"/>
      <c r="D1" s="11"/>
      <c r="E1" s="11"/>
      <c r="F1" s="11"/>
      <c r="G1" s="11"/>
    </row>
    <row r="2" spans="1:1" x14ac:dyDescent="0.25">
      <c r="A2" s="12" t="s">
        <v>88</v>
      </c>
    </row>
    <row r="4" ht="24" customHeight="1" spans="1:7" x14ac:dyDescent="0.25">
      <c r="A4" s="13" t="s">
        <v>89</v>
      </c>
      <c r="B4" s="13"/>
      <c r="C4" s="13"/>
      <c r="D4" s="13"/>
      <c r="E4" s="13"/>
      <c r="F4" s="13"/>
      <c r="G4" s="13"/>
    </row>
    <row r="5" spans="1:2" x14ac:dyDescent="0.25">
      <c r="A5" s="4" t="s">
        <v>2</v>
      </c>
      <c r="B5" s="14" t="s">
        <v>3</v>
      </c>
    </row>
    <row r="6" spans="1:2" x14ac:dyDescent="0.25">
      <c r="A6" s="4" t="s">
        <v>4</v>
      </c>
      <c r="B6" s="14" t="s">
        <v>5</v>
      </c>
    </row>
    <row r="7" spans="1:2" x14ac:dyDescent="0.25">
      <c r="A7" s="4" t="s">
        <v>6</v>
      </c>
      <c r="B7" s="14" t="s">
        <v>7</v>
      </c>
    </row>
    <row r="8" spans="1:2" x14ac:dyDescent="0.25">
      <c r="A8" s="4" t="s">
        <v>8</v>
      </c>
      <c r="B8" s="14" t="s">
        <v>9</v>
      </c>
    </row>
    <row r="9" spans="1:2" x14ac:dyDescent="0.25">
      <c r="A9" s="4" t="s">
        <v>90</v>
      </c>
      <c r="B9" s="14" t="s">
        <v>17</v>
      </c>
    </row>
    <row r="10" spans="1:2" x14ac:dyDescent="0.25">
      <c r="A10" s="4" t="s">
        <v>14</v>
      </c>
      <c r="B10" s="14" t="s">
        <v>15</v>
      </c>
    </row>
    <row r="11" spans="1:2" x14ac:dyDescent="0.25">
      <c r="A11" s="4" t="s">
        <v>16</v>
      </c>
      <c r="B11" s="14" t="s">
        <v>17</v>
      </c>
    </row>
    <row r="12" spans="1:2" x14ac:dyDescent="0.25">
      <c r="A12" s="4" t="s">
        <v>91</v>
      </c>
      <c r="B12" s="14">
        <v>7</v>
      </c>
    </row>
    <row r="13" spans="1:2" x14ac:dyDescent="0.25">
      <c r="A13" s="4" t="s">
        <v>92</v>
      </c>
      <c r="B13" s="14">
        <v>400</v>
      </c>
    </row>
    <row r="15" ht="24" customHeight="1" spans="1:7" x14ac:dyDescent="0.25">
      <c r="A15" s="13" t="s">
        <v>93</v>
      </c>
      <c r="B15" s="13"/>
      <c r="C15" s="13"/>
      <c r="D15" s="13"/>
      <c r="E15" s="13"/>
      <c r="F15" s="13"/>
      <c r="G15" s="13"/>
    </row>
    <row r="16" ht="28" customHeight="1" spans="1:6" x14ac:dyDescent="0.25">
      <c r="A16" s="15" t="s">
        <v>17</v>
      </c>
      <c r="B16" s="15" t="s">
        <v>94</v>
      </c>
      <c r="C16" s="15" t="s">
        <v>95</v>
      </c>
      <c r="D16" s="15" t="s">
        <v>96</v>
      </c>
      <c r="E16" s="15" t="s">
        <v>97</v>
      </c>
      <c r="F16" s="15" t="s">
        <v>98</v>
      </c>
    </row>
    <row r="17" spans="1:6" x14ac:dyDescent="0.25">
      <c r="A17" s="4" t="s">
        <v>99</v>
      </c>
      <c r="B17" s="16">
        <v>200</v>
      </c>
      <c r="C17" s="16">
        <v>250</v>
      </c>
      <c r="D17" s="16">
        <v>300</v>
      </c>
      <c r="E17" s="16">
        <v>350</v>
      </c>
      <c r="F17" s="16">
        <v>400</v>
      </c>
    </row>
    <row r="19" ht="24" customHeight="1" spans="1:7" x14ac:dyDescent="0.25">
      <c r="A19" s="13" t="s">
        <v>100</v>
      </c>
      <c r="B19" s="13"/>
      <c r="C19" s="13"/>
      <c r="D19" s="13"/>
      <c r="E19" s="13"/>
      <c r="F19" s="13"/>
      <c r="G19" s="13"/>
    </row>
    <row r="20" ht="28" customHeight="1" spans="1:5" x14ac:dyDescent="0.25">
      <c r="A20" s="15" t="s">
        <v>101</v>
      </c>
      <c r="B20" s="15" t="s">
        <v>102</v>
      </c>
      <c r="C20" s="15" t="s">
        <v>103</v>
      </c>
      <c r="D20" s="15" t="s">
        <v>104</v>
      </c>
      <c r="E20" s="15" t="s">
        <v>105</v>
      </c>
    </row>
    <row r="21" spans="1:5" x14ac:dyDescent="0.25">
      <c r="A21" s="4" t="s">
        <v>106</v>
      </c>
      <c r="B21" s="4" t="s">
        <v>107</v>
      </c>
      <c r="C21" s="4" t="s">
        <v>108</v>
      </c>
      <c r="D21" s="17">
        <v>12500</v>
      </c>
      <c r="E21" s="18">
        <v>0.04</v>
      </c>
    </row>
    <row r="22" spans="1:5" x14ac:dyDescent="0.25">
      <c r="A22" s="4" t="s">
        <v>109</v>
      </c>
      <c r="B22" s="4" t="s">
        <v>107</v>
      </c>
      <c r="C22" s="4" t="s">
        <v>108</v>
      </c>
      <c r="D22" s="17">
        <v>750</v>
      </c>
      <c r="E22" s="18">
        <v>0.02</v>
      </c>
    </row>
    <row r="23" spans="1:5" x14ac:dyDescent="0.25">
      <c r="A23" s="4" t="s">
        <v>110</v>
      </c>
      <c r="B23" s="4" t="s">
        <v>111</v>
      </c>
      <c r="C23" s="4" t="s">
        <v>112</v>
      </c>
      <c r="D23" s="17">
        <v>75000</v>
      </c>
      <c r="E23" s="18">
        <v>0</v>
      </c>
    </row>
    <row r="24" spans="1:5" x14ac:dyDescent="0.25">
      <c r="A24" s="4" t="s">
        <v>113</v>
      </c>
      <c r="B24" s="4" t="s">
        <v>111</v>
      </c>
      <c r="C24" s="4" t="s">
        <v>112</v>
      </c>
      <c r="D24" s="17">
        <v>50000</v>
      </c>
      <c r="E24" s="18">
        <v>0</v>
      </c>
    </row>
    <row r="25" spans="1:5" x14ac:dyDescent="0.25">
      <c r="A25" s="4" t="s">
        <v>114</v>
      </c>
      <c r="B25" s="4" t="s">
        <v>115</v>
      </c>
      <c r="C25" s="4" t="s">
        <v>108</v>
      </c>
      <c r="D25" s="17">
        <v>500</v>
      </c>
      <c r="E25" s="18">
        <v>0.03</v>
      </c>
    </row>
    <row r="27" ht="24" customHeight="1" spans="1:7" x14ac:dyDescent="0.25">
      <c r="A27" s="13" t="s">
        <v>116</v>
      </c>
      <c r="B27" s="13"/>
      <c r="C27" s="13"/>
      <c r="D27" s="13"/>
      <c r="E27" s="13"/>
      <c r="F27" s="13"/>
      <c r="G27" s="13"/>
    </row>
    <row r="28" ht="28" customHeight="1" spans="1:7" x14ac:dyDescent="0.25">
      <c r="A28" s="15" t="s">
        <v>117</v>
      </c>
      <c r="B28" s="15" t="s">
        <v>102</v>
      </c>
      <c r="C28" s="15" t="s">
        <v>118</v>
      </c>
      <c r="D28" s="15" t="s">
        <v>119</v>
      </c>
      <c r="E28" s="15" t="s">
        <v>120</v>
      </c>
      <c r="F28" s="15" t="s">
        <v>121</v>
      </c>
      <c r="G28" s="15" t="s">
        <v>122</v>
      </c>
    </row>
    <row r="29" spans="1:7" x14ac:dyDescent="0.25">
      <c r="A29" s="4" t="s">
        <v>123</v>
      </c>
      <c r="B29" s="4" t="s">
        <v>124</v>
      </c>
      <c r="C29" s="4" t="s">
        <v>125</v>
      </c>
      <c r="D29" s="19">
        <v>1</v>
      </c>
      <c r="E29" s="17">
        <v>95000</v>
      </c>
      <c r="F29" s="18">
        <v>0.22</v>
      </c>
      <c r="G29" s="18">
        <v>0.0765</v>
      </c>
    </row>
    <row r="30" spans="1:7" x14ac:dyDescent="0.25">
      <c r="A30" s="4" t="s">
        <v>126</v>
      </c>
      <c r="B30" s="4" t="s">
        <v>124</v>
      </c>
      <c r="C30" s="4" t="s">
        <v>125</v>
      </c>
      <c r="D30" s="19">
        <v>1</v>
      </c>
      <c r="E30" s="17">
        <v>72000</v>
      </c>
      <c r="F30" s="18">
        <v>0.22</v>
      </c>
      <c r="G30" s="18">
        <v>0.0765</v>
      </c>
    </row>
    <row r="31" spans="1:7" x14ac:dyDescent="0.25">
      <c r="A31" s="4" t="s">
        <v>127</v>
      </c>
      <c r="B31" s="4" t="s">
        <v>128</v>
      </c>
      <c r="C31" s="4" t="s">
        <v>125</v>
      </c>
      <c r="D31" s="19">
        <v>1</v>
      </c>
      <c r="E31" s="17">
        <v>48000</v>
      </c>
      <c r="F31" s="18">
        <v>0.2</v>
      </c>
      <c r="G31" s="18">
        <v>0.0765</v>
      </c>
    </row>
    <row r="32" spans="1:7" x14ac:dyDescent="0.25">
      <c r="A32" s="4" t="s">
        <v>129</v>
      </c>
      <c r="B32" s="4" t="s">
        <v>128</v>
      </c>
      <c r="C32" s="4" t="s">
        <v>125</v>
      </c>
      <c r="D32" s="19">
        <v>1</v>
      </c>
      <c r="E32" s="17">
        <v>30000</v>
      </c>
      <c r="F32" s="18">
        <v>0.15</v>
      </c>
      <c r="G32" s="18">
        <v>0.0765</v>
      </c>
    </row>
    <row r="33" spans="1:7" x14ac:dyDescent="0.25">
      <c r="A33" s="4" t="s">
        <v>130</v>
      </c>
      <c r="B33" s="4" t="s">
        <v>131</v>
      </c>
      <c r="C33" s="4" t="s">
        <v>125</v>
      </c>
      <c r="D33" s="19">
        <v>1</v>
      </c>
      <c r="E33" s="17">
        <v>42000</v>
      </c>
      <c r="F33" s="18">
        <v>0.2</v>
      </c>
      <c r="G33" s="18">
        <v>0.0765</v>
      </c>
    </row>
    <row r="34" spans="1:7" x14ac:dyDescent="0.25">
      <c r="A34" s="4" t="s">
        <v>132</v>
      </c>
      <c r="B34" s="4" t="s">
        <v>133</v>
      </c>
      <c r="C34" s="4" t="s">
        <v>125</v>
      </c>
      <c r="D34" s="19">
        <v>1</v>
      </c>
      <c r="E34" s="17">
        <v>55000</v>
      </c>
      <c r="F34" s="18">
        <v>0.2</v>
      </c>
      <c r="G34" s="18">
        <v>0.0765</v>
      </c>
    </row>
    <row r="35" spans="1:7" x14ac:dyDescent="0.25">
      <c r="A35" s="4" t="s">
        <v>134</v>
      </c>
      <c r="B35" s="4" t="s">
        <v>135</v>
      </c>
      <c r="C35" s="4" t="s">
        <v>125</v>
      </c>
      <c r="D35" s="19">
        <v>1</v>
      </c>
      <c r="E35" s="17">
        <v>32000</v>
      </c>
      <c r="F35" s="18">
        <v>0</v>
      </c>
      <c r="G35" s="18">
        <v>0.0765</v>
      </c>
    </row>
    <row r="37" ht="24" customHeight="1" spans="1:7" x14ac:dyDescent="0.25">
      <c r="A37" s="13" t="s">
        <v>136</v>
      </c>
      <c r="B37" s="13"/>
      <c r="C37" s="13"/>
      <c r="D37" s="13"/>
      <c r="E37" s="13"/>
      <c r="F37" s="13"/>
      <c r="G37" s="13"/>
    </row>
    <row r="38" ht="28" customHeight="1" spans="1:5" x14ac:dyDescent="0.25">
      <c r="A38" s="15" t="s">
        <v>101</v>
      </c>
      <c r="B38" s="15" t="s">
        <v>102</v>
      </c>
      <c r="C38" s="15" t="s">
        <v>103</v>
      </c>
      <c r="D38" s="15" t="s">
        <v>104</v>
      </c>
      <c r="E38" s="15" t="s">
        <v>105</v>
      </c>
    </row>
    <row r="39" spans="1:5" x14ac:dyDescent="0.25">
      <c r="A39" s="4" t="s">
        <v>137</v>
      </c>
      <c r="B39" s="4" t="s">
        <v>138</v>
      </c>
      <c r="C39" s="4" t="s">
        <v>108</v>
      </c>
      <c r="D39" s="17">
        <v>600</v>
      </c>
      <c r="E39" s="18">
        <v>0.03</v>
      </c>
    </row>
    <row r="40" spans="1:5" x14ac:dyDescent="0.25">
      <c r="A40" s="4" t="s">
        <v>139</v>
      </c>
      <c r="B40" s="4" t="s">
        <v>140</v>
      </c>
      <c r="C40" s="4" t="s">
        <v>108</v>
      </c>
      <c r="D40" s="17">
        <v>350</v>
      </c>
      <c r="E40" s="18">
        <v>0.04</v>
      </c>
    </row>
    <row r="41" spans="1:5" x14ac:dyDescent="0.25">
      <c r="A41" s="4" t="s">
        <v>141</v>
      </c>
      <c r="B41" s="4" t="s">
        <v>142</v>
      </c>
      <c r="C41" s="4" t="s">
        <v>112</v>
      </c>
      <c r="D41" s="17">
        <v>36000</v>
      </c>
      <c r="E41" s="18">
        <v>0</v>
      </c>
    </row>
    <row r="42" spans="1:5" x14ac:dyDescent="0.25">
      <c r="A42" s="4" t="s">
        <v>143</v>
      </c>
      <c r="B42" s="4" t="s">
        <v>144</v>
      </c>
      <c r="C42" s="4" t="s">
        <v>112</v>
      </c>
      <c r="D42" s="17">
        <v>18000</v>
      </c>
      <c r="E42" s="18">
        <v>0</v>
      </c>
    </row>
    <row r="43" spans="1:5" x14ac:dyDescent="0.25">
      <c r="A43" s="4" t="s">
        <v>145</v>
      </c>
      <c r="B43" s="4" t="s">
        <v>144</v>
      </c>
      <c r="C43" s="4" t="s">
        <v>112</v>
      </c>
      <c r="D43" s="17">
        <v>15000</v>
      </c>
      <c r="E43" s="18">
        <v>0</v>
      </c>
    </row>
    <row r="44" spans="1:5" x14ac:dyDescent="0.25">
      <c r="A44" s="4" t="s">
        <v>146</v>
      </c>
      <c r="B44" s="4" t="s">
        <v>138</v>
      </c>
      <c r="C44" s="4" t="s">
        <v>112</v>
      </c>
      <c r="D44" s="17">
        <v>8000</v>
      </c>
      <c r="E44" s="18">
        <v>0</v>
      </c>
    </row>
    <row r="45" spans="1:5" x14ac:dyDescent="0.25">
      <c r="A45" s="4" t="s">
        <v>147</v>
      </c>
      <c r="B45" s="4" t="s">
        <v>144</v>
      </c>
      <c r="C45" s="4" t="s">
        <v>112</v>
      </c>
      <c r="D45" s="17">
        <v>12000</v>
      </c>
      <c r="E45" s="18">
        <v>0</v>
      </c>
    </row>
    <row r="47" ht="24" customHeight="1" spans="1:7" x14ac:dyDescent="0.25">
      <c r="A47" s="13" t="s">
        <v>148</v>
      </c>
      <c r="B47" s="13"/>
      <c r="C47" s="13"/>
      <c r="D47" s="13"/>
      <c r="E47" s="13"/>
      <c r="F47" s="13"/>
      <c r="G47" s="13"/>
    </row>
    <row r="48" ht="28" customHeight="1" spans="1:5" x14ac:dyDescent="0.25">
      <c r="A48" s="15" t="s">
        <v>149</v>
      </c>
      <c r="B48" s="15" t="s">
        <v>118</v>
      </c>
      <c r="C48" s="15" t="s">
        <v>150</v>
      </c>
      <c r="D48" s="15" t="s">
        <v>120</v>
      </c>
      <c r="E48" s="15" t="s">
        <v>151</v>
      </c>
    </row>
    <row r="49" spans="1:5" x14ac:dyDescent="0.25">
      <c r="A49" s="4" t="s">
        <v>152</v>
      </c>
      <c r="B49" s="4" t="s">
        <v>153</v>
      </c>
      <c r="C49" s="17">
        <v>1200000</v>
      </c>
      <c r="D49" s="18">
        <v>0.055</v>
      </c>
      <c r="E49" s="16">
        <v>25</v>
      </c>
    </row>
    <row r="50" spans="1:5" x14ac:dyDescent="0.25">
      <c r="A50" s="4" t="s">
        <v>154</v>
      </c>
      <c r="B50" s="4" t="s">
        <v>153</v>
      </c>
      <c r="C50" s="17">
        <v>150000</v>
      </c>
      <c r="D50" s="18">
        <v>0.07</v>
      </c>
      <c r="E50" s="16">
        <v>10</v>
      </c>
    </row>
    <row r="52" ht="24" customHeight="1" spans="1:7" x14ac:dyDescent="0.25">
      <c r="A52" s="13" t="s">
        <v>155</v>
      </c>
      <c r="B52" s="13"/>
      <c r="C52" s="13"/>
      <c r="D52" s="13"/>
      <c r="E52" s="13"/>
      <c r="F52" s="13"/>
      <c r="G52" s="13"/>
    </row>
    <row r="53" spans="1:3" x14ac:dyDescent="0.25">
      <c r="A53" s="4" t="s">
        <v>156</v>
      </c>
      <c r="B53" s="18">
        <v>0.03</v>
      </c>
      <c r="C53" s="20" t="s">
        <v>157</v>
      </c>
    </row>
    <row r="54" spans="1:3" x14ac:dyDescent="0.25">
      <c r="A54" s="4" t="s">
        <v>158</v>
      </c>
      <c r="B54" s="18">
        <v>0.03</v>
      </c>
      <c r="C54" s="20" t="s">
        <v>159</v>
      </c>
    </row>
    <row r="55" spans="1:2" x14ac:dyDescent="0.25">
      <c r="A55" s="4" t="s">
        <v>160</v>
      </c>
      <c r="B55" s="19">
        <v>1</v>
      </c>
    </row>
    <row r="56" spans="1:2" x14ac:dyDescent="0.25">
      <c r="A56" s="4" t="s">
        <v>161</v>
      </c>
      <c r="B56" s="17">
        <v>120000</v>
      </c>
    </row>
    <row r="57" spans="1:2" x14ac:dyDescent="0.25">
      <c r="A57" s="4" t="s">
        <v>162</v>
      </c>
      <c r="B57" s="14" t="s">
        <v>163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FormatPr defaultRowHeight="15" outlineLevelRow="0" outlineLevelCol="0" x14ac:dyDescent="55"/>
  <cols>
    <col min="1" max="1" width="36" customWidth="1"/>
    <col min="2" max="2" width="30" customWidth="1"/>
  </cols>
  <sheetData>
    <row r="1" spans="1:2" x14ac:dyDescent="0.25">
      <c r="A1" s="11" t="s">
        <v>26</v>
      </c>
      <c r="B1" s="11"/>
    </row>
    <row r="3" spans="1:2" x14ac:dyDescent="0.25">
      <c r="A3" s="3" t="s">
        <v>164</v>
      </c>
      <c r="B3" s="4" t="s">
        <v>165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6" spans="1:2" x14ac:dyDescent="0.25">
      <c r="A6" s="3" t="s">
        <v>166</v>
      </c>
      <c r="B6" s="4" t="s">
        <v>167</v>
      </c>
    </row>
    <row r="7" spans="1:2" x14ac:dyDescent="0.25">
      <c r="A7" s="3" t="s">
        <v>14</v>
      </c>
      <c r="B7" s="4" t="s">
        <v>15</v>
      </c>
    </row>
    <row r="8" spans="1:2" x14ac:dyDescent="0.25">
      <c r="A8" s="3" t="s">
        <v>168</v>
      </c>
      <c r="B8" s="4" t="s">
        <v>17</v>
      </c>
    </row>
    <row r="9" spans="1:2" x14ac:dyDescent="0.25">
      <c r="A9" s="3" t="s">
        <v>91</v>
      </c>
      <c r="B9" s="4" t="s">
        <v>169</v>
      </c>
    </row>
    <row r="10" spans="1:2" x14ac:dyDescent="0.25">
      <c r="A10" s="3" t="s">
        <v>170</v>
      </c>
      <c r="B10" s="4" t="s">
        <v>171</v>
      </c>
    </row>
    <row r="11" spans="1:2" x14ac:dyDescent="0.25">
      <c r="A11" s="3" t="s">
        <v>172</v>
      </c>
      <c r="B11" s="4" t="s">
        <v>173</v>
      </c>
    </row>
    <row r="12" spans="1:2" x14ac:dyDescent="0.25">
      <c r="A12" s="3" t="s">
        <v>162</v>
      </c>
      <c r="B12" s="4" t="s">
        <v>163</v>
      </c>
    </row>
    <row r="13" spans="1:2" x14ac:dyDescent="0.25">
      <c r="A13" s="3" t="s">
        <v>92</v>
      </c>
      <c r="B13" s="4" t="s">
        <v>174</v>
      </c>
    </row>
    <row r="14" spans="1:2" x14ac:dyDescent="0.25">
      <c r="A14" s="3" t="s">
        <v>175</v>
      </c>
      <c r="B14" s="4" t="s">
        <v>176</v>
      </c>
    </row>
    <row r="15" spans="1:2" x14ac:dyDescent="0.25">
      <c r="A15" s="3" t="s">
        <v>177</v>
      </c>
      <c r="B15" s="4" t="s">
        <v>178</v>
      </c>
    </row>
    <row r="16" spans="1:2" x14ac:dyDescent="0.25">
      <c r="A16" s="3" t="s">
        <v>179</v>
      </c>
      <c r="B16" s="4" t="s">
        <v>180</v>
      </c>
    </row>
  </sheetData>
  <mergeCells count="1">
    <mergeCell ref="A1:B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FormatPr defaultRowHeight="15" outlineLevelRow="0" outlineLevelCol="0" x14ac:dyDescent="55"/>
  <cols>
    <col min="1" max="1" width="32" customWidth="1"/>
    <col min="2" max="8" width="14" customWidth="1"/>
  </cols>
  <sheetData>
    <row r="1" spans="1:7" x14ac:dyDescent="0.25">
      <c r="A1" s="11" t="s">
        <v>28</v>
      </c>
      <c r="B1" s="11"/>
      <c r="C1" s="11"/>
      <c r="D1" s="11"/>
      <c r="E1" s="11"/>
      <c r="F1" s="11"/>
      <c r="G1" s="11"/>
    </row>
    <row r="3" ht="28" customHeight="1" spans="1:8" x14ac:dyDescent="0.25">
      <c r="A3" s="15" t="s">
        <v>17</v>
      </c>
      <c r="B3" s="15" t="s">
        <v>181</v>
      </c>
      <c r="C3" s="15" t="s">
        <v>182</v>
      </c>
      <c r="D3" s="15" t="s">
        <v>94</v>
      </c>
      <c r="E3" s="15" t="s">
        <v>95</v>
      </c>
      <c r="F3" s="15" t="s">
        <v>96</v>
      </c>
      <c r="G3" s="15" t="s">
        <v>97</v>
      </c>
      <c r="H3" s="15" t="s">
        <v>98</v>
      </c>
    </row>
    <row r="5" ht="24" customHeight="1" spans="1:8" x14ac:dyDescent="0.25">
      <c r="A5" s="13" t="s">
        <v>183</v>
      </c>
      <c r="B5" s="13"/>
      <c r="C5" s="13"/>
      <c r="D5" s="13"/>
      <c r="E5" s="13"/>
      <c r="F5" s="13"/>
      <c r="G5" s="13"/>
      <c r="H5" s="13"/>
    </row>
    <row r="6" spans="1:8" x14ac:dyDescent="0.25">
      <c r="A6" s="3" t="s">
        <v>99</v>
      </c>
      <c r="B6" s="21">
        <v>185</v>
      </c>
      <c r="C6" s="21">
        <v>0</v>
      </c>
      <c r="D6" s="22">
        <v>200</v>
      </c>
      <c r="E6" s="22">
        <v>250</v>
      </c>
      <c r="F6" s="22">
        <v>300</v>
      </c>
      <c r="G6" s="22">
        <v>350</v>
      </c>
      <c r="H6" s="22">
        <v>400</v>
      </c>
    </row>
    <row r="7" spans="1:2" x14ac:dyDescent="0.25">
      <c r="A7" s="4" t="s">
        <v>92</v>
      </c>
      <c r="B7" s="23">
        <v>400</v>
      </c>
    </row>
    <row r="8" spans="1:8" x14ac:dyDescent="0.25">
      <c r="A8" s="4" t="s">
        <v>184</v>
      </c>
      <c r="D8" s="24">
        <v>0.5</v>
      </c>
      <c r="E8" s="24">
        <v>0.625</v>
      </c>
      <c r="F8" s="24">
        <v>0.75</v>
      </c>
      <c r="G8" s="24">
        <v>0.875</v>
      </c>
      <c r="H8" s="24">
        <v>1</v>
      </c>
    </row>
    <row r="10" spans="1:8" x14ac:dyDescent="0.25">
      <c r="A10" s="4" t="s">
        <v>185</v>
      </c>
      <c r="D10" s="4" t="s">
        <v>186</v>
      </c>
      <c r="E10" s="25">
        <v>0.25</v>
      </c>
      <c r="F10" s="25">
        <v>0.2</v>
      </c>
      <c r="G10" s="25">
        <v>0.16666666666666666</v>
      </c>
      <c r="H10" s="25">
        <v>0.14285714285714285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1" t="s">
        <v>187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188</v>
      </c>
      <c r="B4" s="13"/>
      <c r="C4" s="13"/>
      <c r="D4" s="13"/>
      <c r="E4" s="13"/>
      <c r="F4" s="13"/>
    </row>
    <row r="5" spans="1:6" x14ac:dyDescent="0.25">
      <c r="A5" s="4" t="s">
        <v>189</v>
      </c>
      <c r="B5" s="26">
        <v>2500000</v>
      </c>
      <c r="C5" s="26">
        <v>3250000</v>
      </c>
      <c r="D5" s="26">
        <v>4056000</v>
      </c>
      <c r="E5" s="26">
        <v>4921280</v>
      </c>
      <c r="F5" s="26">
        <v>5849293</v>
      </c>
    </row>
    <row r="6" spans="1:6" x14ac:dyDescent="0.25">
      <c r="A6" s="4" t="s">
        <v>190</v>
      </c>
      <c r="B6" s="26">
        <v>150000</v>
      </c>
      <c r="C6" s="26">
        <v>191250</v>
      </c>
      <c r="D6" s="26">
        <v>234090</v>
      </c>
      <c r="E6" s="26">
        <v>278567</v>
      </c>
      <c r="F6" s="26">
        <v>324730</v>
      </c>
    </row>
    <row r="7" spans="1:6" x14ac:dyDescent="0.25">
      <c r="A7" s="4" t="s">
        <v>191</v>
      </c>
      <c r="B7" s="26">
        <v>75000</v>
      </c>
      <c r="C7" s="26">
        <v>77250</v>
      </c>
      <c r="D7" s="26">
        <v>79568</v>
      </c>
      <c r="E7" s="26">
        <v>81955</v>
      </c>
      <c r="F7" s="26">
        <v>84413</v>
      </c>
    </row>
    <row r="8" spans="1:6" x14ac:dyDescent="0.25">
      <c r="A8" s="4" t="s">
        <v>192</v>
      </c>
      <c r="B8" s="26">
        <v>50000</v>
      </c>
      <c r="C8" s="26">
        <v>51500</v>
      </c>
      <c r="D8" s="26">
        <v>53045</v>
      </c>
      <c r="E8" s="26">
        <v>54636</v>
      </c>
      <c r="F8" s="26">
        <v>56275</v>
      </c>
    </row>
    <row r="9" spans="1:6" x14ac:dyDescent="0.25">
      <c r="A9" s="4" t="s">
        <v>193</v>
      </c>
      <c r="B9" s="26">
        <v>100000</v>
      </c>
      <c r="C9" s="26">
        <v>128750</v>
      </c>
      <c r="D9" s="26">
        <v>159135</v>
      </c>
      <c r="E9" s="26">
        <v>191227</v>
      </c>
      <c r="F9" s="26">
        <v>225102</v>
      </c>
    </row>
    <row r="10" ht="24" customHeight="1" spans="1:6" x14ac:dyDescent="0.25">
      <c r="A10" s="13" t="s">
        <v>194</v>
      </c>
      <c r="B10" s="27">
        <f>SUM(B5:B9)</f>
        <v>2875000</v>
      </c>
      <c r="C10" s="27">
        <f>SUM(C5:C9)</f>
        <v>3698750</v>
      </c>
      <c r="D10" s="27">
        <f>SUM(D5:D9)</f>
        <v>4581838</v>
      </c>
      <c r="E10" s="27">
        <f>SUM(E5:E9)</f>
        <v>5527665</v>
      </c>
      <c r="F10" s="27">
        <f>SUM(F5:F9)</f>
        <v>6539813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FormatPr defaultRowHeight="15" outlineLevelRow="0" outlineLevelCol="0" x14ac:dyDescent="55"/>
  <cols>
    <col min="1" max="1" width="28" customWidth="1"/>
    <col min="2" max="2" width="16" customWidth="1"/>
    <col min="3" max="3" width="10" customWidth="1"/>
    <col min="4" max="4" width="14" customWidth="1"/>
    <col min="5" max="6" width="12" customWidth="1"/>
    <col min="7" max="7" width="14" customWidth="1"/>
  </cols>
  <sheetData>
    <row r="1" spans="1:7" x14ac:dyDescent="0.25">
      <c r="A1" s="11" t="s">
        <v>32</v>
      </c>
      <c r="B1" s="11"/>
      <c r="C1" s="11"/>
      <c r="D1" s="11"/>
      <c r="E1" s="11"/>
      <c r="F1" s="11"/>
      <c r="G1" s="11"/>
    </row>
    <row r="3" ht="28" customHeight="1" spans="1:7" x14ac:dyDescent="0.25">
      <c r="A3" s="15" t="s">
        <v>117</v>
      </c>
      <c r="B3" s="15" t="s">
        <v>102</v>
      </c>
      <c r="C3" s="15" t="s">
        <v>119</v>
      </c>
      <c r="D3" s="15" t="s">
        <v>195</v>
      </c>
      <c r="E3" s="15" t="s">
        <v>121</v>
      </c>
      <c r="F3" s="15" t="s">
        <v>122</v>
      </c>
      <c r="G3" s="15" t="s">
        <v>196</v>
      </c>
    </row>
    <row r="4" spans="1:7" x14ac:dyDescent="0.25">
      <c r="A4" s="4" t="s">
        <v>123</v>
      </c>
      <c r="B4" s="4" t="s">
        <v>124</v>
      </c>
      <c r="C4" s="28">
        <v>1</v>
      </c>
      <c r="D4" s="26">
        <v>95000</v>
      </c>
      <c r="E4" s="25">
        <v>0.22</v>
      </c>
      <c r="F4" s="25">
        <v>0.0765</v>
      </c>
      <c r="G4" s="29">
        <v>123168</v>
      </c>
    </row>
    <row r="5" spans="1:7" x14ac:dyDescent="0.25">
      <c r="A5" s="4" t="s">
        <v>126</v>
      </c>
      <c r="B5" s="4" t="s">
        <v>124</v>
      </c>
      <c r="C5" s="28">
        <v>1</v>
      </c>
      <c r="D5" s="26">
        <v>72000</v>
      </c>
      <c r="E5" s="25">
        <v>0.22</v>
      </c>
      <c r="F5" s="25">
        <v>0.0765</v>
      </c>
      <c r="G5" s="29">
        <v>93348</v>
      </c>
    </row>
    <row r="6" spans="1:7" x14ac:dyDescent="0.25">
      <c r="A6" s="4" t="s">
        <v>127</v>
      </c>
      <c r="B6" s="4" t="s">
        <v>128</v>
      </c>
      <c r="C6" s="28">
        <v>1</v>
      </c>
      <c r="D6" s="26">
        <v>48000</v>
      </c>
      <c r="E6" s="25">
        <v>0.2</v>
      </c>
      <c r="F6" s="25">
        <v>0.0765</v>
      </c>
      <c r="G6" s="29">
        <v>61272</v>
      </c>
    </row>
    <row r="7" spans="1:7" x14ac:dyDescent="0.25">
      <c r="A7" s="4" t="s">
        <v>129</v>
      </c>
      <c r="B7" s="4" t="s">
        <v>128</v>
      </c>
      <c r="C7" s="28">
        <v>1</v>
      </c>
      <c r="D7" s="26">
        <v>30000</v>
      </c>
      <c r="E7" s="25">
        <v>0.15</v>
      </c>
      <c r="F7" s="25">
        <v>0.0765</v>
      </c>
      <c r="G7" s="29">
        <v>36795</v>
      </c>
    </row>
    <row r="8" spans="1:7" x14ac:dyDescent="0.25">
      <c r="A8" s="4" t="s">
        <v>130</v>
      </c>
      <c r="B8" s="4" t="s">
        <v>131</v>
      </c>
      <c r="C8" s="28">
        <v>1</v>
      </c>
      <c r="D8" s="26">
        <v>42000</v>
      </c>
      <c r="E8" s="25">
        <v>0.2</v>
      </c>
      <c r="F8" s="25">
        <v>0.0765</v>
      </c>
      <c r="G8" s="29">
        <v>53613</v>
      </c>
    </row>
    <row r="9" spans="1:7" x14ac:dyDescent="0.25">
      <c r="A9" s="4" t="s">
        <v>132</v>
      </c>
      <c r="B9" s="4" t="s">
        <v>133</v>
      </c>
      <c r="C9" s="28">
        <v>1</v>
      </c>
      <c r="D9" s="26">
        <v>55000</v>
      </c>
      <c r="E9" s="25">
        <v>0.2</v>
      </c>
      <c r="F9" s="25">
        <v>0.0765</v>
      </c>
      <c r="G9" s="29">
        <v>70208</v>
      </c>
    </row>
    <row r="10" spans="1:7" x14ac:dyDescent="0.25">
      <c r="A10" s="4" t="s">
        <v>134</v>
      </c>
      <c r="B10" s="4" t="s">
        <v>135</v>
      </c>
      <c r="C10" s="28">
        <v>1</v>
      </c>
      <c r="D10" s="26">
        <v>32000</v>
      </c>
      <c r="E10" s="25">
        <v>0</v>
      </c>
      <c r="F10" s="25">
        <v>0.0765</v>
      </c>
      <c r="G10" s="29">
        <v>34448</v>
      </c>
    </row>
    <row r="12" ht="24" customHeight="1" spans="1:7" x14ac:dyDescent="0.25">
      <c r="A12" s="13" t="s">
        <v>197</v>
      </c>
      <c r="B12" s="13"/>
      <c r="C12" s="13"/>
      <c r="D12" s="13"/>
      <c r="E12" s="13"/>
      <c r="F12" s="13"/>
      <c r="G12" s="13"/>
    </row>
    <row r="13" ht="28" customHeight="1" spans="1:6" x14ac:dyDescent="0.25">
      <c r="A13" s="15" t="s">
        <v>17</v>
      </c>
      <c r="B13" s="15" t="s">
        <v>94</v>
      </c>
      <c r="C13" s="15" t="s">
        <v>95</v>
      </c>
      <c r="D13" s="15" t="s">
        <v>96</v>
      </c>
      <c r="E13" s="15" t="s">
        <v>97</v>
      </c>
      <c r="F13" s="15" t="s">
        <v>98</v>
      </c>
    </row>
    <row r="14" spans="1:6" x14ac:dyDescent="0.25">
      <c r="A14" s="3" t="s">
        <v>198</v>
      </c>
      <c r="B14" s="27">
        <v>472851</v>
      </c>
      <c r="C14" s="27">
        <v>487037</v>
      </c>
      <c r="D14" s="27">
        <v>501648</v>
      </c>
      <c r="E14" s="27">
        <v>516697</v>
      </c>
      <c r="F14" s="27">
        <v>532198</v>
      </c>
    </row>
    <row r="15" spans="1:6" x14ac:dyDescent="0.25">
      <c r="A15" s="4" t="s">
        <v>199</v>
      </c>
      <c r="B15" s="25">
        <v>0.16446991304347827</v>
      </c>
      <c r="C15" s="25">
        <v>0.13167597972287937</v>
      </c>
      <c r="D15" s="25">
        <v>0.10948612339481703</v>
      </c>
      <c r="E15" s="25">
        <v>0.0934747377024571</v>
      </c>
      <c r="F15" s="25">
        <v>0.08137816504500033</v>
      </c>
    </row>
    <row r="16" spans="1:6" x14ac:dyDescent="0.25">
      <c r="A16" s="4" t="s">
        <v>200</v>
      </c>
      <c r="B16" s="30">
        <v>28.6</v>
      </c>
      <c r="C16" s="30">
        <v>35.7</v>
      </c>
      <c r="D16" s="30">
        <v>42.9</v>
      </c>
      <c r="E16" s="30">
        <v>50</v>
      </c>
      <c r="F16" s="30">
        <v>57.1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1" t="s">
        <v>201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138</v>
      </c>
      <c r="B4" s="13"/>
      <c r="C4" s="13"/>
      <c r="D4" s="13"/>
      <c r="E4" s="13"/>
      <c r="F4" s="13"/>
    </row>
    <row r="5" spans="1:6" x14ac:dyDescent="0.25">
      <c r="A5" s="4" t="s">
        <v>202</v>
      </c>
      <c r="B5" s="26">
        <v>120000</v>
      </c>
      <c r="C5" s="26">
        <v>154500</v>
      </c>
      <c r="D5" s="26">
        <v>190962</v>
      </c>
      <c r="E5" s="26">
        <v>229473</v>
      </c>
      <c r="F5" s="26">
        <v>270122</v>
      </c>
    </row>
    <row r="6" spans="1:6" x14ac:dyDescent="0.25">
      <c r="A6" s="4" t="s">
        <v>203</v>
      </c>
      <c r="B6" s="26">
        <v>8000</v>
      </c>
      <c r="C6" s="26">
        <v>8240</v>
      </c>
      <c r="D6" s="26">
        <v>8487</v>
      </c>
      <c r="E6" s="26">
        <v>8742</v>
      </c>
      <c r="F6" s="26">
        <v>9004</v>
      </c>
    </row>
    <row r="7" spans="1:6" x14ac:dyDescent="0.25">
      <c r="A7" s="3" t="s">
        <v>204</v>
      </c>
      <c r="B7" s="31">
        <f>SUM(B5:B6)</f>
        <v>128000</v>
      </c>
      <c r="C7" s="31">
        <f>SUM(C5:C6)</f>
        <v>162740</v>
      </c>
      <c r="D7" s="31">
        <f>SUM(D5:D6)</f>
        <v>199449</v>
      </c>
      <c r="E7" s="31">
        <f>SUM(E5:E6)</f>
        <v>238214</v>
      </c>
      <c r="F7" s="31">
        <f>SUM(F5:F6)</f>
        <v>279126</v>
      </c>
    </row>
    <row r="8" ht="24" customHeight="1" spans="1:6" x14ac:dyDescent="0.25">
      <c r="A8" s="13" t="s">
        <v>140</v>
      </c>
      <c r="B8" s="13"/>
      <c r="C8" s="13"/>
      <c r="D8" s="13"/>
      <c r="E8" s="13"/>
      <c r="F8" s="13"/>
    </row>
    <row r="9" spans="1:6" x14ac:dyDescent="0.25">
      <c r="A9" s="4" t="s">
        <v>205</v>
      </c>
      <c r="B9" s="26">
        <v>70000</v>
      </c>
      <c r="C9" s="26">
        <v>91000</v>
      </c>
      <c r="D9" s="26">
        <v>113568</v>
      </c>
      <c r="E9" s="26">
        <v>137796</v>
      </c>
      <c r="F9" s="26">
        <v>163780</v>
      </c>
    </row>
    <row r="10" spans="1:6" x14ac:dyDescent="0.25">
      <c r="A10" s="3" t="s">
        <v>206</v>
      </c>
      <c r="B10" s="31">
        <f>SUM(B9:B9)</f>
        <v>70000</v>
      </c>
      <c r="C10" s="31">
        <f>SUM(C9:C9)</f>
        <v>91000</v>
      </c>
      <c r="D10" s="31">
        <f>SUM(D9:D9)</f>
        <v>113568</v>
      </c>
      <c r="E10" s="31">
        <f>SUM(E9:E9)</f>
        <v>137796</v>
      </c>
      <c r="F10" s="31">
        <f>SUM(F9:F9)</f>
        <v>163780</v>
      </c>
    </row>
    <row r="11" ht="24" customHeight="1" spans="1:6" x14ac:dyDescent="0.25">
      <c r="A11" s="13" t="s">
        <v>142</v>
      </c>
      <c r="B11" s="13"/>
      <c r="C11" s="13"/>
      <c r="D11" s="13"/>
      <c r="E11" s="13"/>
      <c r="F11" s="13"/>
    </row>
    <row r="12" spans="1:6" x14ac:dyDescent="0.25">
      <c r="A12" s="4" t="s">
        <v>207</v>
      </c>
      <c r="B12" s="26">
        <v>36000</v>
      </c>
      <c r="C12" s="26">
        <v>37080</v>
      </c>
      <c r="D12" s="26">
        <v>38192</v>
      </c>
      <c r="E12" s="26">
        <v>39338</v>
      </c>
      <c r="F12" s="26">
        <v>40518</v>
      </c>
    </row>
    <row r="13" spans="1:6" x14ac:dyDescent="0.25">
      <c r="A13" s="3" t="s">
        <v>208</v>
      </c>
      <c r="B13" s="31">
        <f>SUM(B12:B12)</f>
        <v>36000</v>
      </c>
      <c r="C13" s="31">
        <f>SUM(C12:C12)</f>
        <v>37080</v>
      </c>
      <c r="D13" s="31">
        <f>SUM(D12:D12)</f>
        <v>38192</v>
      </c>
      <c r="E13" s="31">
        <f>SUM(E12:E12)</f>
        <v>39338</v>
      </c>
      <c r="F13" s="31">
        <f>SUM(F12:F12)</f>
        <v>40518</v>
      </c>
    </row>
    <row r="14" ht="24" customHeight="1" spans="1:6" x14ac:dyDescent="0.25">
      <c r="A14" s="13" t="s">
        <v>144</v>
      </c>
      <c r="B14" s="13"/>
      <c r="C14" s="13"/>
      <c r="D14" s="13"/>
      <c r="E14" s="13"/>
      <c r="F14" s="13"/>
    </row>
    <row r="15" spans="1:6" x14ac:dyDescent="0.25">
      <c r="A15" s="4" t="s">
        <v>209</v>
      </c>
      <c r="B15" s="26">
        <v>18000</v>
      </c>
      <c r="C15" s="26">
        <v>18540</v>
      </c>
      <c r="D15" s="26">
        <v>19096</v>
      </c>
      <c r="E15" s="26">
        <v>19669</v>
      </c>
      <c r="F15" s="26">
        <v>20259</v>
      </c>
    </row>
    <row r="16" spans="1:6" x14ac:dyDescent="0.25">
      <c r="A16" s="4" t="s">
        <v>210</v>
      </c>
      <c r="B16" s="26">
        <v>15000</v>
      </c>
      <c r="C16" s="26">
        <v>15450</v>
      </c>
      <c r="D16" s="26">
        <v>15914</v>
      </c>
      <c r="E16" s="26">
        <v>16391</v>
      </c>
      <c r="F16" s="26">
        <v>16883</v>
      </c>
    </row>
    <row r="17" spans="1:6" x14ac:dyDescent="0.25">
      <c r="A17" s="4" t="s">
        <v>211</v>
      </c>
      <c r="B17" s="26">
        <v>12000</v>
      </c>
      <c r="C17" s="26">
        <v>12360</v>
      </c>
      <c r="D17" s="26">
        <v>12731</v>
      </c>
      <c r="E17" s="26">
        <v>13113</v>
      </c>
      <c r="F17" s="26">
        <v>13506</v>
      </c>
    </row>
    <row r="18" spans="1:6" x14ac:dyDescent="0.25">
      <c r="A18" s="3" t="s">
        <v>212</v>
      </c>
      <c r="B18" s="31">
        <f>SUM(B15:B17)</f>
        <v>45000</v>
      </c>
      <c r="C18" s="31">
        <f>SUM(C15:C17)</f>
        <v>46350</v>
      </c>
      <c r="D18" s="31">
        <f>SUM(D15:D17)</f>
        <v>47741</v>
      </c>
      <c r="E18" s="31">
        <f>SUM(E15:E17)</f>
        <v>49173</v>
      </c>
      <c r="F18" s="31">
        <f>SUM(F15:F17)</f>
        <v>50648</v>
      </c>
    </row>
    <row r="20" ht="24" customHeight="1" spans="1:6" x14ac:dyDescent="0.25">
      <c r="A20" s="13" t="s">
        <v>213</v>
      </c>
      <c r="B20" s="27">
        <f>B7+B10+B13+B18</f>
        <v>279000</v>
      </c>
      <c r="C20" s="27">
        <f>C7+C10+C13+C18</f>
        <v>337170</v>
      </c>
      <c r="D20" s="27">
        <f>D7+D10+D13+D18</f>
        <v>398950</v>
      </c>
      <c r="E20" s="27">
        <f>E7+E10+E13+E18</f>
        <v>464521</v>
      </c>
      <c r="F20" s="27">
        <f>F7+F10+F13+F18</f>
        <v>534073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FormatPr defaultRowHeight="15" outlineLevelRow="0" outlineLevelCol="0" x14ac:dyDescent="55"/>
  <cols>
    <col min="1" max="1" width="28" customWidth="1"/>
    <col min="2" max="4" width="14" customWidth="1"/>
    <col min="5" max="6" width="16" customWidth="1"/>
  </cols>
  <sheetData>
    <row r="1" spans="1:6" x14ac:dyDescent="0.25">
      <c r="A1" s="11" t="s">
        <v>214</v>
      </c>
      <c r="B1" s="11"/>
      <c r="C1" s="11"/>
      <c r="D1" s="11"/>
      <c r="E1" s="11"/>
      <c r="F1" s="11"/>
    </row>
    <row r="3" ht="28" customHeight="1" spans="1:6" x14ac:dyDescent="0.25">
      <c r="A3" s="15" t="s">
        <v>149</v>
      </c>
      <c r="B3" s="15" t="s">
        <v>118</v>
      </c>
      <c r="C3" s="15" t="s">
        <v>150</v>
      </c>
      <c r="D3" s="15" t="s">
        <v>120</v>
      </c>
      <c r="E3" s="15" t="s">
        <v>151</v>
      </c>
      <c r="F3" s="15" t="s">
        <v>215</v>
      </c>
    </row>
    <row r="4" spans="1:6" x14ac:dyDescent="0.25">
      <c r="A4" s="4" t="s">
        <v>152</v>
      </c>
      <c r="B4" s="4" t="s">
        <v>153</v>
      </c>
      <c r="C4" s="17">
        <v>1200000</v>
      </c>
      <c r="D4" s="25">
        <v>0.055</v>
      </c>
      <c r="E4" s="23">
        <v>25</v>
      </c>
      <c r="F4" s="29">
        <v>88429</v>
      </c>
    </row>
    <row r="5" spans="1:6" x14ac:dyDescent="0.25">
      <c r="A5" s="4" t="s">
        <v>154</v>
      </c>
      <c r="B5" s="4" t="s">
        <v>153</v>
      </c>
      <c r="C5" s="17">
        <v>150000</v>
      </c>
      <c r="D5" s="25">
        <v>0.07</v>
      </c>
      <c r="E5" s="23">
        <v>10</v>
      </c>
      <c r="F5" s="29">
        <v>20900</v>
      </c>
    </row>
    <row r="7" spans="1:6" x14ac:dyDescent="0.25">
      <c r="A7" s="3" t="s">
        <v>216</v>
      </c>
      <c r="F7" s="27">
        <v>109328</v>
      </c>
    </row>
    <row r="8" spans="1:6" x14ac:dyDescent="0.25">
      <c r="A8" s="3" t="s">
        <v>217</v>
      </c>
      <c r="F8" s="31">
        <v>1350000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218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spans="1:6" x14ac:dyDescent="0.25">
      <c r="A4" s="3" t="s">
        <v>99</v>
      </c>
      <c r="B4" s="21">
        <v>200</v>
      </c>
      <c r="C4" s="21">
        <v>250</v>
      </c>
      <c r="D4" s="21">
        <v>300</v>
      </c>
      <c r="E4" s="21">
        <v>350</v>
      </c>
      <c r="F4" s="21">
        <v>400</v>
      </c>
    </row>
    <row r="6" ht="24" customHeight="1" spans="1:6" x14ac:dyDescent="0.25">
      <c r="A6" s="13" t="s">
        <v>219</v>
      </c>
      <c r="B6" s="13"/>
      <c r="C6" s="13"/>
      <c r="D6" s="13"/>
      <c r="E6" s="13"/>
      <c r="F6" s="13"/>
    </row>
    <row r="7" spans="1:6" x14ac:dyDescent="0.25">
      <c r="A7" s="4" t="s">
        <v>106</v>
      </c>
      <c r="B7" s="26">
        <v>2500000</v>
      </c>
      <c r="C7" s="26">
        <v>3250000</v>
      </c>
      <c r="D7" s="26">
        <v>4056000</v>
      </c>
      <c r="E7" s="26">
        <v>4921280</v>
      </c>
      <c r="F7" s="26">
        <v>5849293</v>
      </c>
    </row>
    <row r="8" spans="1:6" x14ac:dyDescent="0.25">
      <c r="A8" s="4" t="s">
        <v>109</v>
      </c>
      <c r="B8" s="26">
        <v>150000</v>
      </c>
      <c r="C8" s="26">
        <v>191250</v>
      </c>
      <c r="D8" s="26">
        <v>234090</v>
      </c>
      <c r="E8" s="26">
        <v>278567</v>
      </c>
      <c r="F8" s="26">
        <v>324730</v>
      </c>
    </row>
    <row r="9" spans="1:6" x14ac:dyDescent="0.25">
      <c r="A9" s="4" t="s">
        <v>110</v>
      </c>
      <c r="B9" s="26">
        <v>75000</v>
      </c>
      <c r="C9" s="26">
        <v>77250</v>
      </c>
      <c r="D9" s="26">
        <v>79568</v>
      </c>
      <c r="E9" s="26">
        <v>81955</v>
      </c>
      <c r="F9" s="26">
        <v>84413</v>
      </c>
    </row>
    <row r="10" spans="1:6" x14ac:dyDescent="0.25">
      <c r="A10" s="4" t="s">
        <v>113</v>
      </c>
      <c r="B10" s="26">
        <v>50000</v>
      </c>
      <c r="C10" s="26">
        <v>51500</v>
      </c>
      <c r="D10" s="26">
        <v>53045</v>
      </c>
      <c r="E10" s="26">
        <v>54636</v>
      </c>
      <c r="F10" s="26">
        <v>56275</v>
      </c>
    </row>
    <row r="11" spans="1:6" x14ac:dyDescent="0.25">
      <c r="A11" s="4" t="s">
        <v>114</v>
      </c>
      <c r="B11" s="26">
        <v>100000</v>
      </c>
      <c r="C11" s="26">
        <v>128750</v>
      </c>
      <c r="D11" s="26">
        <v>159135</v>
      </c>
      <c r="E11" s="26">
        <v>191227</v>
      </c>
      <c r="F11" s="26">
        <v>225102</v>
      </c>
    </row>
    <row r="12" ht="24" customHeight="1" spans="1:6" x14ac:dyDescent="0.25">
      <c r="A12" s="13" t="s">
        <v>194</v>
      </c>
      <c r="B12" s="27">
        <f>SUM(B7:B11)</f>
        <v>2875000</v>
      </c>
      <c r="C12" s="27">
        <f>SUM(C7:C11)</f>
        <v>3698750</v>
      </c>
      <c r="D12" s="27">
        <f>SUM(D7:D11)</f>
        <v>4581838</v>
      </c>
      <c r="E12" s="27">
        <f>SUM(E7:E11)</f>
        <v>5527665</v>
      </c>
      <c r="F12" s="27">
        <f>SUM(F7:F11)</f>
        <v>6539813</v>
      </c>
    </row>
    <row r="14" spans="1:6" x14ac:dyDescent="0.25">
      <c r="A14" s="4" t="s">
        <v>220</v>
      </c>
      <c r="B14" s="26">
        <v>14375</v>
      </c>
      <c r="C14" s="26">
        <v>14795</v>
      </c>
      <c r="D14" s="26">
        <v>15273</v>
      </c>
      <c r="E14" s="26">
        <v>15793</v>
      </c>
      <c r="F14" s="26">
        <v>16350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FormatPr defaultRowHeight="15" outlineLevelRow="0" outlineLevelCol="0" x14ac:dyDescent="55"/>
  <cols>
    <col min="1" max="1" width="30" customWidth="1"/>
    <col min="2" max="6" width="16" customWidth="1"/>
  </cols>
  <sheetData>
    <row r="1" spans="1:6" x14ac:dyDescent="0.25">
      <c r="A1" s="11" t="s">
        <v>221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128</v>
      </c>
      <c r="B4" s="13"/>
      <c r="C4" s="13"/>
      <c r="D4" s="13"/>
      <c r="E4" s="13"/>
      <c r="F4" s="13"/>
    </row>
    <row r="5" spans="1:6" x14ac:dyDescent="0.25">
      <c r="A5" s="4" t="s">
        <v>222</v>
      </c>
      <c r="B5" s="26">
        <v>61272</v>
      </c>
      <c r="C5" s="26">
        <v>63110</v>
      </c>
      <c r="D5" s="26">
        <v>65003</v>
      </c>
      <c r="E5" s="26">
        <v>66954</v>
      </c>
      <c r="F5" s="26">
        <v>68962</v>
      </c>
    </row>
    <row r="6" spans="1:6" x14ac:dyDescent="0.25">
      <c r="A6" s="4" t="s">
        <v>223</v>
      </c>
      <c r="B6" s="26">
        <v>36795</v>
      </c>
      <c r="C6" s="26">
        <v>37899</v>
      </c>
      <c r="D6" s="26">
        <v>39036</v>
      </c>
      <c r="E6" s="26">
        <v>40207</v>
      </c>
      <c r="F6" s="26">
        <v>41413</v>
      </c>
    </row>
    <row r="7" spans="1:6" x14ac:dyDescent="0.25">
      <c r="A7" s="3" t="s">
        <v>224</v>
      </c>
      <c r="B7" s="31">
        <f>SUM(B5:B6)</f>
        <v>98067</v>
      </c>
      <c r="C7" s="31">
        <f>SUM(C5:C6)</f>
        <v>101009</v>
      </c>
      <c r="D7" s="31">
        <f>SUM(D5:D6)</f>
        <v>104039</v>
      </c>
      <c r="E7" s="31">
        <f>SUM(E5:E6)</f>
        <v>107160</v>
      </c>
      <c r="F7" s="31">
        <f>SUM(F5:F6)</f>
        <v>110375</v>
      </c>
    </row>
    <row r="8" ht="24" customHeight="1" spans="1:6" x14ac:dyDescent="0.25">
      <c r="A8" s="13" t="s">
        <v>124</v>
      </c>
      <c r="B8" s="13"/>
      <c r="C8" s="13"/>
      <c r="D8" s="13"/>
      <c r="E8" s="13"/>
      <c r="F8" s="13"/>
    </row>
    <row r="9" spans="1:6" x14ac:dyDescent="0.25">
      <c r="A9" s="4" t="s">
        <v>225</v>
      </c>
      <c r="B9" s="26">
        <v>123168</v>
      </c>
      <c r="C9" s="26">
        <v>126863</v>
      </c>
      <c r="D9" s="26">
        <v>130668</v>
      </c>
      <c r="E9" s="26">
        <v>134588</v>
      </c>
      <c r="F9" s="26">
        <v>138626</v>
      </c>
    </row>
    <row r="10" spans="1:6" x14ac:dyDescent="0.25">
      <c r="A10" s="4" t="s">
        <v>226</v>
      </c>
      <c r="B10" s="26">
        <v>93348</v>
      </c>
      <c r="C10" s="26">
        <v>96148</v>
      </c>
      <c r="D10" s="26">
        <v>99033</v>
      </c>
      <c r="E10" s="26">
        <v>102004</v>
      </c>
      <c r="F10" s="26">
        <v>105064</v>
      </c>
    </row>
    <row r="11" spans="1:6" x14ac:dyDescent="0.25">
      <c r="A11" s="3" t="s">
        <v>227</v>
      </c>
      <c r="B11" s="31">
        <f>SUM(B9:B10)</f>
        <v>216516</v>
      </c>
      <c r="C11" s="31">
        <f>SUM(C9:C10)</f>
        <v>223011</v>
      </c>
      <c r="D11" s="31">
        <f>SUM(D9:D10)</f>
        <v>229701</v>
      </c>
      <c r="E11" s="31">
        <f>SUM(E9:E10)</f>
        <v>236592</v>
      </c>
      <c r="F11" s="31">
        <f>SUM(F9:F10)</f>
        <v>243690</v>
      </c>
    </row>
    <row r="12" ht="24" customHeight="1" spans="1:6" x14ac:dyDescent="0.25">
      <c r="A12" s="13" t="s">
        <v>133</v>
      </c>
      <c r="B12" s="13"/>
      <c r="C12" s="13"/>
      <c r="D12" s="13"/>
      <c r="E12" s="13"/>
      <c r="F12" s="13"/>
    </row>
    <row r="13" spans="1:6" x14ac:dyDescent="0.25">
      <c r="A13" s="4" t="s">
        <v>228</v>
      </c>
      <c r="B13" s="26">
        <v>70208</v>
      </c>
      <c r="C13" s="26">
        <v>72314</v>
      </c>
      <c r="D13" s="26">
        <v>74483</v>
      </c>
      <c r="E13" s="26">
        <v>76718</v>
      </c>
      <c r="F13" s="26">
        <v>79019</v>
      </c>
    </row>
    <row r="14" spans="1:6" x14ac:dyDescent="0.25">
      <c r="A14" s="3" t="s">
        <v>229</v>
      </c>
      <c r="B14" s="31">
        <f>SUM(B13:B13)</f>
        <v>70208</v>
      </c>
      <c r="C14" s="31">
        <f>SUM(C13:C13)</f>
        <v>72314</v>
      </c>
      <c r="D14" s="31">
        <f>SUM(D13:D13)</f>
        <v>74483</v>
      </c>
      <c r="E14" s="31">
        <f>SUM(E13:E13)</f>
        <v>76718</v>
      </c>
      <c r="F14" s="31">
        <f>SUM(F13:F13)</f>
        <v>79019</v>
      </c>
    </row>
    <row r="15" ht="24" customHeight="1" spans="1:6" x14ac:dyDescent="0.25">
      <c r="A15" s="13" t="s">
        <v>135</v>
      </c>
      <c r="B15" s="13"/>
      <c r="C15" s="13"/>
      <c r="D15" s="13"/>
      <c r="E15" s="13"/>
      <c r="F15" s="13"/>
    </row>
    <row r="16" spans="1:6" x14ac:dyDescent="0.25">
      <c r="A16" s="4" t="s">
        <v>230</v>
      </c>
      <c r="B16" s="26">
        <v>34448</v>
      </c>
      <c r="C16" s="26">
        <v>35481</v>
      </c>
      <c r="D16" s="26">
        <v>36546</v>
      </c>
      <c r="E16" s="26">
        <v>37642</v>
      </c>
      <c r="F16" s="26">
        <v>38772</v>
      </c>
    </row>
    <row r="17" spans="1:6" x14ac:dyDescent="0.25">
      <c r="A17" s="3" t="s">
        <v>231</v>
      </c>
      <c r="B17" s="31">
        <f>SUM(B16:B16)</f>
        <v>34448</v>
      </c>
      <c r="C17" s="31">
        <f>SUM(C16:C16)</f>
        <v>35481</v>
      </c>
      <c r="D17" s="31">
        <f>SUM(D16:D16)</f>
        <v>36546</v>
      </c>
      <c r="E17" s="31">
        <f>SUM(E16:E16)</f>
        <v>37642</v>
      </c>
      <c r="F17" s="31">
        <f>SUM(F16:F16)</f>
        <v>38772</v>
      </c>
    </row>
    <row r="18" ht="24" customHeight="1" spans="1:6" x14ac:dyDescent="0.25">
      <c r="A18" s="13" t="s">
        <v>131</v>
      </c>
      <c r="B18" s="13"/>
      <c r="C18" s="13"/>
      <c r="D18" s="13"/>
      <c r="E18" s="13"/>
      <c r="F18" s="13"/>
    </row>
    <row r="19" spans="1:6" x14ac:dyDescent="0.25">
      <c r="A19" s="4" t="s">
        <v>232</v>
      </c>
      <c r="B19" s="26">
        <v>53613</v>
      </c>
      <c r="C19" s="26">
        <v>55221</v>
      </c>
      <c r="D19" s="26">
        <v>56878</v>
      </c>
      <c r="E19" s="26">
        <v>58584</v>
      </c>
      <c r="F19" s="26">
        <v>60342</v>
      </c>
    </row>
    <row r="20" spans="1:6" x14ac:dyDescent="0.25">
      <c r="A20" s="3" t="s">
        <v>233</v>
      </c>
      <c r="B20" s="31">
        <f>SUM(B19:B19)</f>
        <v>53613</v>
      </c>
      <c r="C20" s="31">
        <f>SUM(C19:C19)</f>
        <v>55221</v>
      </c>
      <c r="D20" s="31">
        <f>SUM(D19:D19)</f>
        <v>56878</v>
      </c>
      <c r="E20" s="31">
        <f>SUM(E19:E19)</f>
        <v>58584</v>
      </c>
      <c r="F20" s="31">
        <f>SUM(F19:F19)</f>
        <v>60342</v>
      </c>
    </row>
    <row r="22" ht="24" customHeight="1" spans="1:6" x14ac:dyDescent="0.25">
      <c r="A22" s="13" t="s">
        <v>234</v>
      </c>
      <c r="B22" s="27">
        <f>B7+B11+B14+B17+B20</f>
        <v>472851</v>
      </c>
      <c r="C22" s="27">
        <f>C7+C11+C14+C17+C20</f>
        <v>487037</v>
      </c>
      <c r="D22" s="27">
        <f>D7+D11+D14+D17+D20</f>
        <v>501648</v>
      </c>
      <c r="E22" s="27">
        <f>E7+E11+E14+E17+E20</f>
        <v>516697</v>
      </c>
      <c r="F22" s="27">
        <f>F7+F11+F14+F17+F20</f>
        <v>532198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1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235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236</v>
      </c>
      <c r="B4" s="13"/>
      <c r="C4" s="13"/>
      <c r="D4" s="13"/>
      <c r="E4" s="13"/>
      <c r="F4" s="13"/>
    </row>
    <row r="5" spans="1:6" x14ac:dyDescent="0.25">
      <c r="A5" s="4" t="s">
        <v>237</v>
      </c>
      <c r="B5" s="26">
        <v>2500000</v>
      </c>
      <c r="C5" s="26">
        <v>3250000</v>
      </c>
      <c r="D5" s="26">
        <v>4056000</v>
      </c>
      <c r="E5" s="26">
        <v>4921280</v>
      </c>
      <c r="F5" s="26">
        <v>5849293</v>
      </c>
    </row>
    <row r="6" spans="1:6" x14ac:dyDescent="0.25">
      <c r="A6" s="4" t="s">
        <v>238</v>
      </c>
      <c r="B6" s="26">
        <v>150000</v>
      </c>
      <c r="C6" s="26">
        <v>191250</v>
      </c>
      <c r="D6" s="26">
        <v>234090</v>
      </c>
      <c r="E6" s="26">
        <v>278567</v>
      </c>
      <c r="F6" s="26">
        <v>324730</v>
      </c>
    </row>
    <row r="7" spans="1:6" x14ac:dyDescent="0.25">
      <c r="A7" s="4" t="s">
        <v>239</v>
      </c>
      <c r="B7" s="26">
        <v>75000</v>
      </c>
      <c r="C7" s="26">
        <v>77250</v>
      </c>
      <c r="D7" s="26">
        <v>79568</v>
      </c>
      <c r="E7" s="26">
        <v>81955</v>
      </c>
      <c r="F7" s="26">
        <v>84413</v>
      </c>
    </row>
    <row r="8" spans="1:6" x14ac:dyDescent="0.25">
      <c r="A8" s="4" t="s">
        <v>240</v>
      </c>
      <c r="B8" s="26">
        <v>50000</v>
      </c>
      <c r="C8" s="26">
        <v>51500</v>
      </c>
      <c r="D8" s="26">
        <v>53045</v>
      </c>
      <c r="E8" s="26">
        <v>54636</v>
      </c>
      <c r="F8" s="26">
        <v>56275</v>
      </c>
    </row>
    <row r="9" spans="1:6" x14ac:dyDescent="0.25">
      <c r="A9" s="4" t="s">
        <v>241</v>
      </c>
      <c r="B9" s="26">
        <v>100000</v>
      </c>
      <c r="C9" s="26">
        <v>128750</v>
      </c>
      <c r="D9" s="26">
        <v>159135</v>
      </c>
      <c r="E9" s="26">
        <v>191227</v>
      </c>
      <c r="F9" s="26">
        <v>225102</v>
      </c>
    </row>
    <row r="10" spans="1:6" x14ac:dyDescent="0.25">
      <c r="A10" s="3" t="s">
        <v>242</v>
      </c>
      <c r="B10" s="31">
        <f>SUM(B5:B9)</f>
        <v>2875000</v>
      </c>
      <c r="C10" s="31">
        <f>SUM(C5:C9)</f>
        <v>3698750</v>
      </c>
      <c r="D10" s="31">
        <f>SUM(D5:D9)</f>
        <v>4581838</v>
      </c>
      <c r="E10" s="31">
        <f>SUM(E5:E9)</f>
        <v>5527665</v>
      </c>
      <c r="F10" s="31">
        <f>SUM(F5:F9)</f>
        <v>6539813</v>
      </c>
    </row>
    <row r="12" ht="24" customHeight="1" spans="1:6" x14ac:dyDescent="0.25">
      <c r="A12" s="13" t="s">
        <v>243</v>
      </c>
      <c r="B12" s="13"/>
      <c r="C12" s="13"/>
      <c r="D12" s="13"/>
      <c r="E12" s="13"/>
      <c r="F12" s="13"/>
    </row>
    <row r="13" spans="1:6" x14ac:dyDescent="0.25">
      <c r="A13" s="4" t="s">
        <v>225</v>
      </c>
      <c r="B13" s="26">
        <v>123168</v>
      </c>
      <c r="C13" s="26">
        <v>126863</v>
      </c>
      <c r="D13" s="26">
        <v>130668</v>
      </c>
      <c r="E13" s="26">
        <v>134588</v>
      </c>
      <c r="F13" s="26">
        <v>138626</v>
      </c>
    </row>
    <row r="14" spans="1:6" x14ac:dyDescent="0.25">
      <c r="A14" s="4" t="s">
        <v>226</v>
      </c>
      <c r="B14" s="26">
        <v>93348</v>
      </c>
      <c r="C14" s="26">
        <v>96148</v>
      </c>
      <c r="D14" s="26">
        <v>99033</v>
      </c>
      <c r="E14" s="26">
        <v>102004</v>
      </c>
      <c r="F14" s="26">
        <v>105064</v>
      </c>
    </row>
    <row r="15" spans="1:6" x14ac:dyDescent="0.25">
      <c r="A15" s="4" t="s">
        <v>222</v>
      </c>
      <c r="B15" s="26">
        <v>61272</v>
      </c>
      <c r="C15" s="26">
        <v>63110</v>
      </c>
      <c r="D15" s="26">
        <v>65003</v>
      </c>
      <c r="E15" s="26">
        <v>66954</v>
      </c>
      <c r="F15" s="26">
        <v>68962</v>
      </c>
    </row>
    <row r="16" spans="1:6" x14ac:dyDescent="0.25">
      <c r="A16" s="4" t="s">
        <v>223</v>
      </c>
      <c r="B16" s="26">
        <v>36795</v>
      </c>
      <c r="C16" s="26">
        <v>37899</v>
      </c>
      <c r="D16" s="26">
        <v>39036</v>
      </c>
      <c r="E16" s="26">
        <v>40207</v>
      </c>
      <c r="F16" s="26">
        <v>41413</v>
      </c>
    </row>
    <row r="17" spans="1:6" x14ac:dyDescent="0.25">
      <c r="A17" s="4" t="s">
        <v>232</v>
      </c>
      <c r="B17" s="26">
        <v>53613</v>
      </c>
      <c r="C17" s="26">
        <v>55221</v>
      </c>
      <c r="D17" s="26">
        <v>56878</v>
      </c>
      <c r="E17" s="26">
        <v>58584</v>
      </c>
      <c r="F17" s="26">
        <v>60342</v>
      </c>
    </row>
    <row r="18" spans="1:6" x14ac:dyDescent="0.25">
      <c r="A18" s="4" t="s">
        <v>228</v>
      </c>
      <c r="B18" s="26">
        <v>70208</v>
      </c>
      <c r="C18" s="26">
        <v>72314</v>
      </c>
      <c r="D18" s="26">
        <v>74483</v>
      </c>
      <c r="E18" s="26">
        <v>76718</v>
      </c>
      <c r="F18" s="26">
        <v>79019</v>
      </c>
    </row>
    <row r="19" spans="1:6" x14ac:dyDescent="0.25">
      <c r="A19" s="4" t="s">
        <v>230</v>
      </c>
      <c r="B19" s="26">
        <v>34448</v>
      </c>
      <c r="C19" s="26">
        <v>35481</v>
      </c>
      <c r="D19" s="26">
        <v>36546</v>
      </c>
      <c r="E19" s="26">
        <v>37642</v>
      </c>
      <c r="F19" s="26">
        <v>38772</v>
      </c>
    </row>
    <row r="20" spans="1:6" x14ac:dyDescent="0.25">
      <c r="A20" s="3" t="s">
        <v>198</v>
      </c>
      <c r="B20" s="31">
        <f>SUM(B13:B19)</f>
        <v>472851</v>
      </c>
      <c r="C20" s="31">
        <f>SUM(C13:C19)</f>
        <v>487037</v>
      </c>
      <c r="D20" s="31">
        <f>SUM(D13:D19)</f>
        <v>501648</v>
      </c>
      <c r="E20" s="31">
        <f>SUM(E13:E19)</f>
        <v>516697</v>
      </c>
      <c r="F20" s="31">
        <f>SUM(F13:F19)</f>
        <v>532198</v>
      </c>
    </row>
    <row r="22" ht="24" customHeight="1" spans="1:6" x14ac:dyDescent="0.25">
      <c r="A22" s="13" t="s">
        <v>136</v>
      </c>
      <c r="B22" s="13"/>
      <c r="C22" s="13"/>
      <c r="D22" s="13"/>
      <c r="E22" s="13"/>
      <c r="F22" s="13"/>
    </row>
    <row r="23" spans="1:1" x14ac:dyDescent="0.25">
      <c r="A23" s="32" t="s">
        <v>138</v>
      </c>
    </row>
    <row r="24" spans="1:6" x14ac:dyDescent="0.25">
      <c r="A24" s="4" t="s">
        <v>244</v>
      </c>
      <c r="B24" s="26">
        <v>120000</v>
      </c>
      <c r="C24" s="26">
        <v>154500</v>
      </c>
      <c r="D24" s="26">
        <v>190962</v>
      </c>
      <c r="E24" s="26">
        <v>229473</v>
      </c>
      <c r="F24" s="26">
        <v>270122</v>
      </c>
    </row>
    <row r="25" spans="1:6" x14ac:dyDescent="0.25">
      <c r="A25" s="4" t="s">
        <v>245</v>
      </c>
      <c r="B25" s="26">
        <v>8000</v>
      </c>
      <c r="C25" s="26">
        <v>8240</v>
      </c>
      <c r="D25" s="26">
        <v>8487</v>
      </c>
      <c r="E25" s="26">
        <v>8742</v>
      </c>
      <c r="F25" s="26">
        <v>9004</v>
      </c>
    </row>
    <row r="26" spans="1:6" x14ac:dyDescent="0.25">
      <c r="A26" s="3" t="s">
        <v>246</v>
      </c>
      <c r="B26" s="31">
        <f>SUM(B24:B25)</f>
        <v>128000</v>
      </c>
      <c r="C26" s="31">
        <f>SUM(C24:C25)</f>
        <v>162740</v>
      </c>
      <c r="D26" s="31">
        <f>SUM(D24:D25)</f>
        <v>199449</v>
      </c>
      <c r="E26" s="31">
        <f>SUM(E24:E25)</f>
        <v>238214</v>
      </c>
      <c r="F26" s="31">
        <f>SUM(F24:F25)</f>
        <v>279126</v>
      </c>
    </row>
    <row r="27" spans="1:1" x14ac:dyDescent="0.25">
      <c r="A27" s="32" t="s">
        <v>140</v>
      </c>
    </row>
    <row r="28" spans="1:6" x14ac:dyDescent="0.25">
      <c r="A28" s="4" t="s">
        <v>247</v>
      </c>
      <c r="B28" s="26">
        <v>70000</v>
      </c>
      <c r="C28" s="26">
        <v>91000</v>
      </c>
      <c r="D28" s="26">
        <v>113568</v>
      </c>
      <c r="E28" s="26">
        <v>137796</v>
      </c>
      <c r="F28" s="26">
        <v>163780</v>
      </c>
    </row>
    <row r="29" spans="1:1" x14ac:dyDescent="0.25">
      <c r="A29" s="32" t="s">
        <v>142</v>
      </c>
    </row>
    <row r="30" spans="1:6" x14ac:dyDescent="0.25">
      <c r="A30" s="4" t="s">
        <v>248</v>
      </c>
      <c r="B30" s="26">
        <v>36000</v>
      </c>
      <c r="C30" s="26">
        <v>37080</v>
      </c>
      <c r="D30" s="26">
        <v>38192</v>
      </c>
      <c r="E30" s="26">
        <v>39338</v>
      </c>
      <c r="F30" s="26">
        <v>40518</v>
      </c>
    </row>
    <row r="31" spans="1:1" x14ac:dyDescent="0.25">
      <c r="A31" s="32" t="s">
        <v>144</v>
      </c>
    </row>
    <row r="32" spans="1:6" x14ac:dyDescent="0.25">
      <c r="A32" s="4" t="s">
        <v>249</v>
      </c>
      <c r="B32" s="26">
        <v>18000</v>
      </c>
      <c r="C32" s="26">
        <v>18540</v>
      </c>
      <c r="D32" s="26">
        <v>19096</v>
      </c>
      <c r="E32" s="26">
        <v>19669</v>
      </c>
      <c r="F32" s="26">
        <v>20259</v>
      </c>
    </row>
    <row r="33" spans="1:6" x14ac:dyDescent="0.25">
      <c r="A33" s="4" t="s">
        <v>250</v>
      </c>
      <c r="B33" s="26">
        <v>15000</v>
      </c>
      <c r="C33" s="26">
        <v>15450</v>
      </c>
      <c r="D33" s="26">
        <v>15914</v>
      </c>
      <c r="E33" s="26">
        <v>16391</v>
      </c>
      <c r="F33" s="26">
        <v>16883</v>
      </c>
    </row>
    <row r="34" spans="1:6" x14ac:dyDescent="0.25">
      <c r="A34" s="4" t="s">
        <v>251</v>
      </c>
      <c r="B34" s="26">
        <v>12000</v>
      </c>
      <c r="C34" s="26">
        <v>12360</v>
      </c>
      <c r="D34" s="26">
        <v>12731</v>
      </c>
      <c r="E34" s="26">
        <v>13113</v>
      </c>
      <c r="F34" s="26">
        <v>13506</v>
      </c>
    </row>
    <row r="35" spans="1:6" x14ac:dyDescent="0.25">
      <c r="A35" s="3" t="s">
        <v>252</v>
      </c>
      <c r="B35" s="31">
        <f>SUM(B32:B34)</f>
        <v>45000</v>
      </c>
      <c r="C35" s="31">
        <f>SUM(C32:C34)</f>
        <v>46350</v>
      </c>
      <c r="D35" s="31">
        <f>SUM(D32:D34)</f>
        <v>47741</v>
      </c>
      <c r="E35" s="31">
        <f>SUM(E32:E34)</f>
        <v>49173</v>
      </c>
      <c r="F35" s="31">
        <f>SUM(F32:F34)</f>
        <v>50648</v>
      </c>
    </row>
    <row r="36" spans="1:6" x14ac:dyDescent="0.25">
      <c r="A36" s="3" t="s">
        <v>253</v>
      </c>
      <c r="B36" s="31">
        <f>B26+B28+B30+B35</f>
        <v>279000</v>
      </c>
      <c r="C36" s="31">
        <f>C26+C28+C30+C35</f>
        <v>337170</v>
      </c>
      <c r="D36" s="31">
        <f>D26+D28+D30+D35</f>
        <v>398950</v>
      </c>
      <c r="E36" s="31">
        <f>E26+E28+E30+E35</f>
        <v>464521</v>
      </c>
      <c r="F36" s="31">
        <f>F26+F28+F30+F35</f>
        <v>534073</v>
      </c>
    </row>
    <row r="38" ht="24" customHeight="1" spans="1:6" x14ac:dyDescent="0.25">
      <c r="A38" s="13" t="s">
        <v>254</v>
      </c>
      <c r="B38" s="13"/>
      <c r="C38" s="13"/>
      <c r="D38" s="13"/>
      <c r="E38" s="13"/>
      <c r="F38" s="13"/>
    </row>
    <row r="39" spans="1:6" x14ac:dyDescent="0.25">
      <c r="A39" s="4" t="s">
        <v>255</v>
      </c>
      <c r="B39" s="26">
        <v>88429</v>
      </c>
      <c r="C39" s="26">
        <v>88429</v>
      </c>
      <c r="D39" s="26">
        <v>88429</v>
      </c>
      <c r="E39" s="26">
        <v>88429</v>
      </c>
      <c r="F39" s="26">
        <v>88429</v>
      </c>
    </row>
    <row r="40" spans="1:6" x14ac:dyDescent="0.25">
      <c r="A40" s="4" t="s">
        <v>256</v>
      </c>
      <c r="B40" s="26">
        <v>20900</v>
      </c>
      <c r="C40" s="26">
        <v>20900</v>
      </c>
      <c r="D40" s="26">
        <v>20900</v>
      </c>
      <c r="E40" s="26">
        <v>20900</v>
      </c>
      <c r="F40" s="26">
        <v>20900</v>
      </c>
    </row>
    <row r="41" spans="1:6" x14ac:dyDescent="0.25">
      <c r="A41" s="3" t="s">
        <v>257</v>
      </c>
      <c r="B41" s="31">
        <f>SUM(B39:B40)</f>
        <v>109328</v>
      </c>
      <c r="C41" s="31">
        <f>SUM(C39:C40)</f>
        <v>109328</v>
      </c>
      <c r="D41" s="31">
        <f>SUM(D39:D40)</f>
        <v>109328</v>
      </c>
      <c r="E41" s="31">
        <f>SUM(E39:E40)</f>
        <v>109328</v>
      </c>
      <c r="F41" s="31">
        <f>SUM(F39:F40)</f>
        <v>109328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258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spans="1:6" x14ac:dyDescent="0.25">
      <c r="A4" s="3" t="s">
        <v>242</v>
      </c>
      <c r="B4" s="29">
        <f>'Budget Detail'!B10</f>
        <v>2875000</v>
      </c>
      <c r="C4" s="29">
        <f>'Budget Detail'!C10</f>
        <v>3698750</v>
      </c>
      <c r="D4" s="29">
        <f>'Budget Detail'!D10</f>
        <v>4581838</v>
      </c>
      <c r="E4" s="29">
        <f>'Budget Detail'!E10</f>
        <v>5527665</v>
      </c>
      <c r="F4" s="29">
        <f>'Budget Detail'!F10</f>
        <v>6539813</v>
      </c>
    </row>
    <row r="5" spans="1:6" x14ac:dyDescent="0.25">
      <c r="A5" s="3" t="s">
        <v>198</v>
      </c>
      <c r="B5" s="29">
        <f>'Budget Detail'!B20</f>
        <v>472851</v>
      </c>
      <c r="C5" s="29">
        <f>'Budget Detail'!C20</f>
        <v>487037</v>
      </c>
      <c r="D5" s="29">
        <f>'Budget Detail'!D20</f>
        <v>501648</v>
      </c>
      <c r="E5" s="29">
        <f>'Budget Detail'!E20</f>
        <v>516697</v>
      </c>
      <c r="F5" s="29">
        <f>'Budget Detail'!F20</f>
        <v>532198</v>
      </c>
    </row>
    <row r="6" spans="1:6" x14ac:dyDescent="0.25">
      <c r="A6" s="3" t="s">
        <v>253</v>
      </c>
      <c r="B6" s="29">
        <f>'Budget Detail'!B36</f>
        <v>279000</v>
      </c>
      <c r="C6" s="29">
        <f>'Budget Detail'!C36</f>
        <v>337170</v>
      </c>
      <c r="D6" s="29">
        <f>'Budget Detail'!D36</f>
        <v>398950</v>
      </c>
      <c r="E6" s="29">
        <f>'Budget Detail'!E36</f>
        <v>464521</v>
      </c>
      <c r="F6" s="29">
        <f>'Budget Detail'!F36</f>
        <v>534073</v>
      </c>
    </row>
    <row r="7" spans="1:6" x14ac:dyDescent="0.25">
      <c r="A7" s="3" t="s">
        <v>259</v>
      </c>
      <c r="B7" s="29">
        <f>'Budget Detail'!B41</f>
        <v>109328</v>
      </c>
      <c r="C7" s="29">
        <f>'Budget Detail'!C41</f>
        <v>109328</v>
      </c>
      <c r="D7" s="29">
        <f>'Budget Detail'!D41</f>
        <v>109328</v>
      </c>
      <c r="E7" s="29">
        <f>'Budget Detail'!E41</f>
        <v>109328</v>
      </c>
      <c r="F7" s="29">
        <f>'Budget Detail'!F41</f>
        <v>109328</v>
      </c>
    </row>
    <row r="8" spans="1:6" x14ac:dyDescent="0.25">
      <c r="A8" s="3" t="s">
        <v>260</v>
      </c>
      <c r="B8" s="31">
        <f>SUM(B5:B7)</f>
        <v>861179</v>
      </c>
      <c r="C8" s="31">
        <f>SUM(C5:C7)</f>
        <v>933535</v>
      </c>
      <c r="D8" s="31">
        <f>SUM(D5:D7)</f>
        <v>1009926</v>
      </c>
      <c r="E8" s="31">
        <f>SUM(E5:E7)</f>
        <v>1090546</v>
      </c>
      <c r="F8" s="31">
        <f>SUM(F5:F7)</f>
        <v>1175599</v>
      </c>
    </row>
    <row r="10" ht="24" customHeight="1" spans="1:6" x14ac:dyDescent="0.25">
      <c r="A10" s="13" t="s">
        <v>261</v>
      </c>
      <c r="B10" s="13"/>
      <c r="C10" s="13"/>
      <c r="D10" s="13"/>
      <c r="E10" s="13"/>
      <c r="F10" s="13"/>
    </row>
    <row r="11" spans="1:6" x14ac:dyDescent="0.25">
      <c r="A11" s="3" t="s">
        <v>262</v>
      </c>
      <c r="B11" s="27">
        <f>B4-B8</f>
        <v>2013821</v>
      </c>
      <c r="C11" s="27">
        <f>C4-C8</f>
        <v>2765215</v>
      </c>
      <c r="D11" s="27">
        <f>D4-D8</f>
        <v>3571912</v>
      </c>
      <c r="E11" s="27">
        <f>E4-E8</f>
        <v>4437119</v>
      </c>
      <c r="F11" s="27">
        <f>F4-F8</f>
        <v>5364214</v>
      </c>
    </row>
    <row r="12" spans="1:6" x14ac:dyDescent="0.25">
      <c r="A12" s="4" t="s">
        <v>263</v>
      </c>
      <c r="B12" s="25">
        <f>IF(B4=0,0,B11/B4)</f>
        <v>0.70045943</v>
      </c>
      <c r="C12" s="25">
        <f>IF(C4=0,0,C11/C4)</f>
        <v>0.74760807</v>
      </c>
      <c r="D12" s="25">
        <f>IF(D4=0,0,D11/D4)</f>
        <v>0.7795806</v>
      </c>
      <c r="E12" s="25">
        <f>IF(E4=0,0,E11/E4)</f>
        <v>0.80271121</v>
      </c>
      <c r="F12" s="25">
        <f>IF(F4=0,0,F11/F4)</f>
        <v>0.8202397</v>
      </c>
    </row>
    <row r="13" spans="1:6" x14ac:dyDescent="0.25">
      <c r="A13" s="4" t="s">
        <v>264</v>
      </c>
      <c r="B13" s="26">
        <v>2013821</v>
      </c>
      <c r="C13" s="26">
        <v>4779036</v>
      </c>
      <c r="D13" s="26">
        <v>8350948</v>
      </c>
      <c r="E13" s="26">
        <v>12788067</v>
      </c>
      <c r="F13" s="26">
        <v>18152281</v>
      </c>
    </row>
    <row r="14" spans="1:6" x14ac:dyDescent="0.25">
      <c r="A14" s="4" t="s">
        <v>220</v>
      </c>
      <c r="B14" s="26">
        <v>14375</v>
      </c>
      <c r="C14" s="26">
        <v>14795</v>
      </c>
      <c r="D14" s="26">
        <v>15273</v>
      </c>
      <c r="E14" s="26">
        <v>15793</v>
      </c>
      <c r="F14" s="26">
        <v>16350</v>
      </c>
    </row>
    <row r="15" spans="1:6" x14ac:dyDescent="0.25">
      <c r="A15" s="4" t="s">
        <v>265</v>
      </c>
      <c r="B15" s="26">
        <v>4306</v>
      </c>
      <c r="C15" s="26">
        <v>3734</v>
      </c>
      <c r="D15" s="26">
        <v>3366</v>
      </c>
      <c r="E15" s="26">
        <v>3116</v>
      </c>
      <c r="F15" s="26">
        <v>2939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FormatPr defaultRowHeight="15" outlineLevelRow="0" outlineLevelCol="0" x14ac:dyDescent="55"/>
  <cols>
    <col min="1" max="1" width="28" customWidth="1"/>
    <col min="2" max="13" width="14" customWidth="1"/>
    <col min="14" max="14" width="16" customWidth="1"/>
  </cols>
  <sheetData>
    <row r="1" spans="1:14" x14ac:dyDescent="0.25">
      <c r="A1" s="11" t="s">
        <v>266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28" customHeight="1" spans="1:14" x14ac:dyDescent="0.25">
      <c r="A2" s="15" t="s">
        <v>17</v>
      </c>
      <c r="B2" s="15" t="s">
        <v>267</v>
      </c>
      <c r="C2" s="15" t="s">
        <v>268</v>
      </c>
      <c r="D2" s="15" t="s">
        <v>269</v>
      </c>
      <c r="E2" s="15" t="s">
        <v>270</v>
      </c>
      <c r="F2" s="15" t="s">
        <v>271</v>
      </c>
      <c r="G2" s="15" t="s">
        <v>272</v>
      </c>
      <c r="H2" s="15" t="s">
        <v>273</v>
      </c>
      <c r="I2" s="15" t="s">
        <v>274</v>
      </c>
      <c r="J2" s="15" t="s">
        <v>275</v>
      </c>
      <c r="K2" s="15" t="s">
        <v>276</v>
      </c>
      <c r="L2" s="15" t="s">
        <v>277</v>
      </c>
      <c r="M2" s="15" t="s">
        <v>278</v>
      </c>
      <c r="N2" s="15" t="s">
        <v>279</v>
      </c>
    </row>
    <row r="3" ht="24" customHeight="1" spans="1:14" x14ac:dyDescent="0.25">
      <c r="A3" s="13" t="s">
        <v>236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x14ac:dyDescent="0.25">
      <c r="A4" s="3" t="s">
        <v>242</v>
      </c>
      <c r="B4" s="31">
        <v>18750</v>
      </c>
      <c r="C4" s="31">
        <v>283750</v>
      </c>
      <c r="D4" s="31">
        <v>283750</v>
      </c>
      <c r="E4" s="31">
        <v>283750</v>
      </c>
      <c r="F4" s="31">
        <v>283750</v>
      </c>
      <c r="G4" s="31">
        <v>283750</v>
      </c>
      <c r="H4" s="31">
        <v>283750</v>
      </c>
      <c r="I4" s="31">
        <v>283750</v>
      </c>
      <c r="J4" s="31">
        <v>283750</v>
      </c>
      <c r="K4" s="31">
        <v>283750</v>
      </c>
      <c r="L4" s="31">
        <v>283750</v>
      </c>
      <c r="M4" s="31">
        <v>18750</v>
      </c>
      <c r="N4" s="31">
        <f>SUM(B4:M4)</f>
        <v>2875000</v>
      </c>
    </row>
    <row r="6" ht="24" customHeight="1" spans="1:14" x14ac:dyDescent="0.25">
      <c r="A6" s="13" t="s">
        <v>280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x14ac:dyDescent="0.25">
      <c r="A7" s="4" t="s">
        <v>281</v>
      </c>
      <c r="B7" s="26">
        <v>39404</v>
      </c>
      <c r="C7" s="26">
        <v>39404</v>
      </c>
      <c r="D7" s="26">
        <v>39404</v>
      </c>
      <c r="E7" s="26">
        <v>39404</v>
      </c>
      <c r="F7" s="26">
        <v>39404</v>
      </c>
      <c r="G7" s="26">
        <v>39404</v>
      </c>
      <c r="H7" s="26">
        <v>39404</v>
      </c>
      <c r="I7" s="26">
        <v>39404</v>
      </c>
      <c r="J7" s="26">
        <v>39404</v>
      </c>
      <c r="K7" s="26">
        <v>39404</v>
      </c>
      <c r="L7" s="26">
        <v>39404</v>
      </c>
      <c r="M7" s="26">
        <v>39404</v>
      </c>
      <c r="N7" s="26">
        <f>SUM(B7:M7)</f>
        <v>472851</v>
      </c>
    </row>
    <row r="8" spans="1:14" x14ac:dyDescent="0.25">
      <c r="A8" s="4" t="s">
        <v>282</v>
      </c>
      <c r="B8" s="26">
        <v>23250</v>
      </c>
      <c r="C8" s="26">
        <v>23250</v>
      </c>
      <c r="D8" s="26">
        <v>23250</v>
      </c>
      <c r="E8" s="26">
        <v>23250</v>
      </c>
      <c r="F8" s="26">
        <v>23250</v>
      </c>
      <c r="G8" s="26">
        <v>23250</v>
      </c>
      <c r="H8" s="26">
        <v>23250</v>
      </c>
      <c r="I8" s="26">
        <v>23250</v>
      </c>
      <c r="J8" s="26">
        <v>23250</v>
      </c>
      <c r="K8" s="26">
        <v>23250</v>
      </c>
      <c r="L8" s="26">
        <v>23250</v>
      </c>
      <c r="M8" s="26">
        <v>23250</v>
      </c>
      <c r="N8" s="26">
        <f>SUM(B8:M8)</f>
        <v>279000</v>
      </c>
    </row>
    <row r="9" spans="1:14" x14ac:dyDescent="0.25">
      <c r="A9" s="4" t="s">
        <v>283</v>
      </c>
      <c r="B9" s="26">
        <v>9111</v>
      </c>
      <c r="C9" s="26">
        <v>9111</v>
      </c>
      <c r="D9" s="26">
        <v>9111</v>
      </c>
      <c r="E9" s="26">
        <v>9111</v>
      </c>
      <c r="F9" s="26">
        <v>9111</v>
      </c>
      <c r="G9" s="26">
        <v>9111</v>
      </c>
      <c r="H9" s="26">
        <v>9111</v>
      </c>
      <c r="I9" s="26">
        <v>9111</v>
      </c>
      <c r="J9" s="26">
        <v>9111</v>
      </c>
      <c r="K9" s="26">
        <v>9111</v>
      </c>
      <c r="L9" s="26">
        <v>9111</v>
      </c>
      <c r="M9" s="26">
        <v>9111</v>
      </c>
      <c r="N9" s="26">
        <f>SUM(B9:M9)</f>
        <v>109328</v>
      </c>
    </row>
    <row r="11" ht="24" customHeight="1" spans="1:14" x14ac:dyDescent="0.25">
      <c r="A11" s="13" t="s">
        <v>284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25">
      <c r="A12" s="3" t="s">
        <v>260</v>
      </c>
      <c r="B12" s="29">
        <f>B7+B8+B9</f>
        <v>71765</v>
      </c>
      <c r="C12" s="29">
        <f>C7+C8+C9</f>
        <v>71765</v>
      </c>
      <c r="D12" s="29">
        <f>D7+D8+D9</f>
        <v>71765</v>
      </c>
      <c r="E12" s="29">
        <f>E7+E8+E9</f>
        <v>71765</v>
      </c>
      <c r="F12" s="29">
        <f>F7+F8+F9</f>
        <v>71765</v>
      </c>
      <c r="G12" s="29">
        <f>G7+G8+G9</f>
        <v>71765</v>
      </c>
      <c r="H12" s="29">
        <f>H7+H8+H9</f>
        <v>71765</v>
      </c>
      <c r="I12" s="29">
        <f>I7+I8+I9</f>
        <v>71765</v>
      </c>
      <c r="J12" s="29">
        <f>J7+J8+J9</f>
        <v>71765</v>
      </c>
      <c r="K12" s="29">
        <f>K7+K8+K9</f>
        <v>71765</v>
      </c>
      <c r="L12" s="29">
        <f>L7+L8+L9</f>
        <v>71765</v>
      </c>
      <c r="M12" s="29">
        <f>M7+M8+M9</f>
        <v>71765</v>
      </c>
      <c r="N12" s="29">
        <f>SUM(B12:M12)</f>
        <v>861180</v>
      </c>
    </row>
    <row r="13" spans="1:14" x14ac:dyDescent="0.25">
      <c r="A13" s="3" t="s">
        <v>285</v>
      </c>
      <c r="B13" s="29">
        <f>B4-B12</f>
        <v>-53015</v>
      </c>
      <c r="C13" s="29">
        <f>C4-C12</f>
        <v>211985</v>
      </c>
      <c r="D13" s="29">
        <f>D4-D12</f>
        <v>211985</v>
      </c>
      <c r="E13" s="29">
        <f>E4-E12</f>
        <v>211985</v>
      </c>
      <c r="F13" s="29">
        <f>F4-F12</f>
        <v>211985</v>
      </c>
      <c r="G13" s="29">
        <f>G4-G12</f>
        <v>211985</v>
      </c>
      <c r="H13" s="29">
        <f>H4-H12</f>
        <v>211985</v>
      </c>
      <c r="I13" s="29">
        <f>I4-I12</f>
        <v>211985</v>
      </c>
      <c r="J13" s="29">
        <f>J4-J12</f>
        <v>211985</v>
      </c>
      <c r="K13" s="29">
        <f>K4-K12</f>
        <v>211985</v>
      </c>
      <c r="L13" s="29">
        <f>L4-L12</f>
        <v>211985</v>
      </c>
      <c r="M13" s="29">
        <f>M4-M12</f>
        <v>-53015</v>
      </c>
      <c r="N13" s="29">
        <f>SUM(B13:M13)</f>
        <v>2013820</v>
      </c>
    </row>
    <row r="14" spans="1:14" x14ac:dyDescent="0.25">
      <c r="A14" s="3" t="s">
        <v>286</v>
      </c>
      <c r="B14" s="33">
        <f>B17+B13</f>
        <v>66985</v>
      </c>
      <c r="C14" s="33">
        <f>B14+C13</f>
        <v>278970</v>
      </c>
      <c r="D14" s="33">
        <f>C14+D13</f>
        <v>490955</v>
      </c>
      <c r="E14" s="33">
        <f>D14+E13</f>
        <v>702940</v>
      </c>
      <c r="F14" s="33">
        <f>E14+F13</f>
        <v>914925</v>
      </c>
      <c r="G14" s="33">
        <f>F14+G13</f>
        <v>1126910</v>
      </c>
      <c r="H14" s="33">
        <f>G14+H13</f>
        <v>1338895</v>
      </c>
      <c r="I14" s="33">
        <f>H14+I13</f>
        <v>1550880</v>
      </c>
      <c r="J14" s="33">
        <f>I14+J13</f>
        <v>1762865</v>
      </c>
      <c r="K14" s="33">
        <f>J14+K13</f>
        <v>1974850</v>
      </c>
      <c r="L14" s="33">
        <f>K14+L13</f>
        <v>2186835</v>
      </c>
      <c r="M14" s="33">
        <f>L14+M13</f>
        <v>2133820</v>
      </c>
      <c r="N14" s="27">
        <f>M14</f>
        <v>2133820</v>
      </c>
    </row>
    <row r="16" ht="24" customHeight="1" spans="1:3" x14ac:dyDescent="0.25">
      <c r="A16" s="13" t="s">
        <v>287</v>
      </c>
      <c r="B16" s="13"/>
      <c r="C16" s="13"/>
    </row>
    <row r="17" spans="1:2" x14ac:dyDescent="0.25">
      <c r="A17" s="4" t="s">
        <v>161</v>
      </c>
      <c r="B17" s="17">
        <v>120000</v>
      </c>
    </row>
    <row r="18" spans="1:2" x14ac:dyDescent="0.25">
      <c r="A18" s="4" t="s">
        <v>288</v>
      </c>
      <c r="B18" s="33">
        <f>M14</f>
        <v>2133820</v>
      </c>
    </row>
    <row r="19" spans="1:2" x14ac:dyDescent="0.25">
      <c r="A19" s="4" t="s">
        <v>289</v>
      </c>
      <c r="B19" s="26">
        <f>MIN(B14:M14)</f>
        <v>66985</v>
      </c>
    </row>
  </sheetData>
  <mergeCells count="1">
    <mergeCell ref="A1:N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290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236</v>
      </c>
      <c r="B4" s="13"/>
      <c r="C4" s="13"/>
      <c r="D4" s="13"/>
      <c r="E4" s="13"/>
      <c r="F4" s="13"/>
    </row>
    <row r="5" spans="1:6" x14ac:dyDescent="0.25">
      <c r="A5" s="34" t="s">
        <v>242</v>
      </c>
      <c r="B5" s="31">
        <v>2875000</v>
      </c>
      <c r="C5" s="31">
        <v>3698750</v>
      </c>
      <c r="D5" s="31">
        <v>4581838</v>
      </c>
      <c r="E5" s="31">
        <v>5527665</v>
      </c>
      <c r="F5" s="31">
        <v>6539813</v>
      </c>
    </row>
    <row r="7" ht="24" customHeight="1" spans="1:6" x14ac:dyDescent="0.25">
      <c r="A7" s="13" t="s">
        <v>280</v>
      </c>
      <c r="B7" s="13"/>
      <c r="C7" s="13"/>
      <c r="D7" s="13"/>
      <c r="E7" s="13"/>
      <c r="F7" s="13"/>
    </row>
    <row r="8" spans="1:6" x14ac:dyDescent="0.25">
      <c r="A8" s="3" t="s">
        <v>281</v>
      </c>
      <c r="B8" s="29">
        <v>472851</v>
      </c>
      <c r="C8" s="29">
        <v>487037</v>
      </c>
      <c r="D8" s="29">
        <v>501648</v>
      </c>
      <c r="E8" s="29">
        <v>516697</v>
      </c>
      <c r="F8" s="29">
        <v>532198</v>
      </c>
    </row>
    <row r="9" spans="1:6" x14ac:dyDescent="0.25">
      <c r="A9" s="3" t="s">
        <v>282</v>
      </c>
      <c r="B9" s="29">
        <v>279000</v>
      </c>
      <c r="C9" s="29">
        <v>337170</v>
      </c>
      <c r="D9" s="29">
        <v>398950</v>
      </c>
      <c r="E9" s="29">
        <v>464521</v>
      </c>
      <c r="F9" s="29">
        <v>534073</v>
      </c>
    </row>
    <row r="10" spans="1:6" x14ac:dyDescent="0.25">
      <c r="A10" s="3" t="s">
        <v>291</v>
      </c>
      <c r="B10" s="29">
        <v>109328</v>
      </c>
      <c r="C10" s="29">
        <v>109328</v>
      </c>
      <c r="D10" s="29">
        <v>109328</v>
      </c>
      <c r="E10" s="29">
        <v>109328</v>
      </c>
      <c r="F10" s="29">
        <v>109328</v>
      </c>
    </row>
    <row r="11" spans="1:6" x14ac:dyDescent="0.25">
      <c r="A11" s="34" t="s">
        <v>260</v>
      </c>
      <c r="B11" s="31">
        <f>SUM(B8:B10)</f>
        <v>861179</v>
      </c>
      <c r="C11" s="31">
        <f>SUM(C8:C10)</f>
        <v>933535</v>
      </c>
      <c r="D11" s="31">
        <f>SUM(D8:D10)</f>
        <v>1009926</v>
      </c>
      <c r="E11" s="31">
        <f>SUM(E8:E10)</f>
        <v>1090546</v>
      </c>
      <c r="F11" s="31">
        <f>SUM(F8:F10)</f>
        <v>1175599</v>
      </c>
    </row>
    <row r="13" ht="24" customHeight="1" spans="1:6" x14ac:dyDescent="0.25">
      <c r="A13" s="13" t="s">
        <v>292</v>
      </c>
      <c r="B13" s="13"/>
      <c r="C13" s="13"/>
      <c r="D13" s="13"/>
      <c r="E13" s="13"/>
      <c r="F13" s="13"/>
    </row>
    <row r="14" spans="1:6" x14ac:dyDescent="0.25">
      <c r="A14" s="34" t="s">
        <v>262</v>
      </c>
      <c r="B14" s="27">
        <f>B5-B11</f>
        <v>2013821</v>
      </c>
      <c r="C14" s="27">
        <f>C5-C11</f>
        <v>2765215</v>
      </c>
      <c r="D14" s="27">
        <f>D5-D11</f>
        <v>3571912</v>
      </c>
      <c r="E14" s="27">
        <f>E5-E11</f>
        <v>4437119</v>
      </c>
      <c r="F14" s="27">
        <f>F5-F11</f>
        <v>5364214</v>
      </c>
    </row>
    <row r="15" spans="1:6" x14ac:dyDescent="0.25">
      <c r="A15" s="4" t="s">
        <v>263</v>
      </c>
      <c r="B15" s="25">
        <f>IF(B5=0,0,B14/B5)</f>
        <v>0.70045943</v>
      </c>
      <c r="C15" s="25">
        <f>IF(C5=0,0,C14/C5)</f>
        <v>0.74760807</v>
      </c>
      <c r="D15" s="25">
        <f>IF(D5=0,0,D14/D5)</f>
        <v>0.7795806</v>
      </c>
      <c r="E15" s="25">
        <f>IF(E5=0,0,E14/E5)</f>
        <v>0.80271121</v>
      </c>
      <c r="F15" s="25">
        <f>IF(F5=0,0,F14/F5)</f>
        <v>0.8202397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1" t="s">
        <v>50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293</v>
      </c>
      <c r="B4" s="13"/>
      <c r="C4" s="13"/>
      <c r="D4" s="13"/>
      <c r="E4" s="13"/>
      <c r="F4" s="13"/>
    </row>
    <row r="5" spans="1:5" x14ac:dyDescent="0.25">
      <c r="A5" s="35" t="s">
        <v>294</v>
      </c>
      <c r="B5" s="36" t="s">
        <v>150</v>
      </c>
      <c r="C5" s="37" t="s">
        <v>295</v>
      </c>
      <c r="D5" s="35" t="s">
        <v>296</v>
      </c>
      <c r="E5" s="36" t="s">
        <v>215</v>
      </c>
    </row>
    <row r="6" spans="1:5" x14ac:dyDescent="0.25">
      <c r="A6" s="14" t="s">
        <v>152</v>
      </c>
      <c r="B6" s="17">
        <v>1200000</v>
      </c>
      <c r="C6" s="18">
        <v>0.055</v>
      </c>
      <c r="D6" s="14">
        <v>25</v>
      </c>
      <c r="E6" s="26">
        <f>IF(OR(B6=0,D6=0),0,IF(C6=0,B6/D6,-PMT(C6/12,D6*12,B6)*12))</f>
        <v>88429</v>
      </c>
    </row>
    <row r="7" spans="1:5" x14ac:dyDescent="0.25">
      <c r="A7" s="14" t="s">
        <v>154</v>
      </c>
      <c r="B7" s="17">
        <v>150000</v>
      </c>
      <c r="C7" s="18">
        <v>0.07</v>
      </c>
      <c r="D7" s="14">
        <v>10</v>
      </c>
      <c r="E7" s="26">
        <f>IF(OR(B7=0,D7=0),0,IF(C7=0,B7/D7,-PMT(C7/12,D7*12,B7)*12))</f>
        <v>20900</v>
      </c>
    </row>
    <row r="9" ht="24" customHeight="1" spans="1:6" x14ac:dyDescent="0.25">
      <c r="A9" s="13" t="s">
        <v>297</v>
      </c>
      <c r="B9" s="13"/>
      <c r="C9" s="13"/>
      <c r="D9" s="13"/>
      <c r="E9" s="13"/>
      <c r="F9" s="13"/>
    </row>
    <row r="10" spans="1:6" x14ac:dyDescent="0.25">
      <c r="A10" s="4" t="s">
        <v>298</v>
      </c>
      <c r="B10" s="26">
        <f>B6</f>
        <v>1200000</v>
      </c>
      <c r="C10" s="26">
        <f>B14</f>
        <v>1176997</v>
      </c>
      <c r="D10" s="26">
        <f>C14</f>
        <v>1152697</v>
      </c>
      <c r="E10" s="26">
        <f>D14</f>
        <v>1127026</v>
      </c>
      <c r="F10" s="26">
        <f>E14</f>
        <v>1099907</v>
      </c>
    </row>
    <row r="11" spans="1:6" x14ac:dyDescent="0.25">
      <c r="A11" s="4" t="s">
        <v>299</v>
      </c>
      <c r="B11" s="26">
        <f>IF(OR(D6=0,1&gt;D6*12),0,IF(C6=0,0,-CUMIPMT(C6/12,D6*12,B6,1,12,0)))</f>
        <v>65426</v>
      </c>
      <c r="C11" s="26">
        <f>IF(OR(D6=0,13&gt;D6*12),0,IF(C6=0,0,-CUMIPMT(C6/12,D6*12,B6,13,24,0)))</f>
        <v>64128</v>
      </c>
      <c r="D11" s="26">
        <f>IF(OR(D6=0,25&gt;D6*12),0,IF(C6=0,0,-CUMIPMT(C6/12,D6*12,B6,25,36,0)))</f>
        <v>62758</v>
      </c>
      <c r="E11" s="26">
        <f>IF(OR(D6=0,37&gt;D6*12),0,IF(C6=0,0,-CUMIPMT(C6/12,D6*12,B6,37,48,0)))</f>
        <v>61310</v>
      </c>
      <c r="F11" s="26">
        <f>IF(OR(D6=0,49&gt;D6*12),0,IF(C6=0,0,-CUMIPMT(C6/12,D6*12,B6,49,60,0)))</f>
        <v>59780</v>
      </c>
    </row>
    <row r="12" spans="1:6" x14ac:dyDescent="0.25">
      <c r="A12" s="4" t="s">
        <v>300</v>
      </c>
      <c r="B12" s="26">
        <f>IF(OR(D6=0,1&gt;D6*12),0,IF(C6=0,B6/D6,-CUMPRINC(C6/12,D6*12,B6,1,12,0)))</f>
        <v>23003</v>
      </c>
      <c r="C12" s="26">
        <f>IF(OR(D6=0,13&gt;D6*12),0,IF(C6=0,B6/D6,-CUMPRINC(C6/12,D6*12,B6,13,24,0)))</f>
        <v>24300</v>
      </c>
      <c r="D12" s="26">
        <f>IF(OR(D6=0,25&gt;D6*12),0,IF(C6=0,B6/D6,-CUMPRINC(C6/12,D6*12,B6,25,36,0)))</f>
        <v>25671</v>
      </c>
      <c r="E12" s="26">
        <f>IF(OR(D6=0,37&gt;D6*12),0,IF(C6=0,B6/D6,-CUMPRINC(C6/12,D6*12,B6,37,48,0)))</f>
        <v>27119</v>
      </c>
      <c r="F12" s="26">
        <f>IF(OR(D6=0,49&gt;D6*12),0,IF(C6=0,B6/D6,-CUMPRINC(C6/12,D6*12,B6,49,60,0)))</f>
        <v>28649</v>
      </c>
    </row>
    <row r="13" spans="1:6" x14ac:dyDescent="0.25">
      <c r="A13" s="3" t="s">
        <v>301</v>
      </c>
      <c r="B13" s="29">
        <f>B11+B12</f>
        <v>88429</v>
      </c>
      <c r="C13" s="29">
        <f>C11+C12</f>
        <v>88429</v>
      </c>
      <c r="D13" s="29">
        <f>D11+D12</f>
        <v>88429</v>
      </c>
      <c r="E13" s="29">
        <f>E11+E12</f>
        <v>88429</v>
      </c>
      <c r="F13" s="29">
        <f>F11+F12</f>
        <v>88429</v>
      </c>
    </row>
    <row r="14" spans="1:6" x14ac:dyDescent="0.25">
      <c r="A14" s="3" t="s">
        <v>302</v>
      </c>
      <c r="B14" s="33">
        <f>MAX(0,B10-B12)</f>
        <v>1176997</v>
      </c>
      <c r="C14" s="33">
        <f>MAX(0,C10-C12)</f>
        <v>1152697</v>
      </c>
      <c r="D14" s="33">
        <f>MAX(0,D10-D12)</f>
        <v>1127026</v>
      </c>
      <c r="E14" s="33">
        <f>MAX(0,E10-E12)</f>
        <v>1099907</v>
      </c>
      <c r="F14" s="33">
        <f>MAX(0,F10-F12)</f>
        <v>1071258</v>
      </c>
    </row>
    <row r="16" ht="24" customHeight="1" spans="1:6" x14ac:dyDescent="0.25">
      <c r="A16" s="13" t="s">
        <v>303</v>
      </c>
      <c r="B16" s="13"/>
      <c r="C16" s="13"/>
      <c r="D16" s="13"/>
      <c r="E16" s="13"/>
      <c r="F16" s="13"/>
    </row>
    <row r="17" spans="1:6" x14ac:dyDescent="0.25">
      <c r="A17" s="4" t="s">
        <v>298</v>
      </c>
      <c r="B17" s="26">
        <f>B7</f>
        <v>150000</v>
      </c>
      <c r="C17" s="26">
        <f>B21</f>
        <v>139260</v>
      </c>
      <c r="D17" s="26">
        <f>C21</f>
        <v>127744</v>
      </c>
      <c r="E17" s="26">
        <f>D21</f>
        <v>115395</v>
      </c>
      <c r="F17" s="26">
        <f>E21</f>
        <v>102154</v>
      </c>
    </row>
    <row r="18" spans="1:6" x14ac:dyDescent="0.25">
      <c r="A18" s="4" t="s">
        <v>299</v>
      </c>
      <c r="B18" s="26">
        <f>IF(OR(D7=0,1&gt;D7*12),0,IF(C7=0,0,-CUMIPMT(C7/12,D7*12,B7,1,12,0)))</f>
        <v>10160</v>
      </c>
      <c r="C18" s="26">
        <f>IF(OR(D7=0,13&gt;D7*12),0,IF(C7=0,0,-CUMIPMT(C7/12,D7*12,B7,13,24,0)))</f>
        <v>9383</v>
      </c>
      <c r="D18" s="26">
        <f>IF(OR(D7=0,25&gt;D7*12),0,IF(C7=0,0,-CUMIPMT(C7/12,D7*12,B7,25,36,0)))</f>
        <v>8551</v>
      </c>
      <c r="E18" s="26">
        <f>IF(OR(D7=0,37&gt;D7*12),0,IF(C7=0,0,-CUMIPMT(C7/12,D7*12,B7,37,48,0)))</f>
        <v>7658</v>
      </c>
      <c r="F18" s="26">
        <f>IF(OR(D7=0,49&gt;D7*12),0,IF(C7=0,0,-CUMIPMT(C7/12,D7*12,B7,49,60,0)))</f>
        <v>6701</v>
      </c>
    </row>
    <row r="19" spans="1:6" x14ac:dyDescent="0.25">
      <c r="A19" s="4" t="s">
        <v>300</v>
      </c>
      <c r="B19" s="26">
        <f>IF(OR(D7=0,1&gt;D7*12),0,IF(C7=0,B7/D7,-CUMPRINC(C7/12,D7*12,B7,1,12,0)))</f>
        <v>10740</v>
      </c>
      <c r="C19" s="26">
        <f>IF(OR(D7=0,13&gt;D7*12),0,IF(C7=0,B7/D7,-CUMPRINC(C7/12,D7*12,B7,13,24,0)))</f>
        <v>11516</v>
      </c>
      <c r="D19" s="26">
        <f>IF(OR(D7=0,25&gt;D7*12),0,IF(C7=0,B7/D7,-CUMPRINC(C7/12,D7*12,B7,25,36,0)))</f>
        <v>12349</v>
      </c>
      <c r="E19" s="26">
        <f>IF(OR(D7=0,37&gt;D7*12),0,IF(C7=0,B7/D7,-CUMPRINC(C7/12,D7*12,B7,37,48,0)))</f>
        <v>13241</v>
      </c>
      <c r="F19" s="26">
        <f>IF(OR(D7=0,49&gt;D7*12),0,IF(C7=0,B7/D7,-CUMPRINC(C7/12,D7*12,B7,49,60,0)))</f>
        <v>14199</v>
      </c>
    </row>
    <row r="20" spans="1:6" x14ac:dyDescent="0.25">
      <c r="A20" s="3" t="s">
        <v>301</v>
      </c>
      <c r="B20" s="29">
        <f>B18+B19</f>
        <v>20900</v>
      </c>
      <c r="C20" s="29">
        <f>C18+C19</f>
        <v>20900</v>
      </c>
      <c r="D20" s="29">
        <f>D18+D19</f>
        <v>20900</v>
      </c>
      <c r="E20" s="29">
        <f>E18+E19</f>
        <v>20900</v>
      </c>
      <c r="F20" s="29">
        <f>F18+F19</f>
        <v>20900</v>
      </c>
    </row>
    <row r="21" spans="1:6" x14ac:dyDescent="0.25">
      <c r="A21" s="3" t="s">
        <v>302</v>
      </c>
      <c r="B21" s="33">
        <f>MAX(0,B17-B19)</f>
        <v>139260</v>
      </c>
      <c r="C21" s="33">
        <f>MAX(0,C17-C19)</f>
        <v>127744</v>
      </c>
      <c r="D21" s="33">
        <f>MAX(0,D17-D19)</f>
        <v>115395</v>
      </c>
      <c r="E21" s="33">
        <f>MAX(0,E17-E19)</f>
        <v>102154</v>
      </c>
      <c r="F21" s="33">
        <f>MAX(0,F17-F19)</f>
        <v>87956</v>
      </c>
    </row>
    <row r="23" ht="24" customHeight="1" spans="1:6" x14ac:dyDescent="0.25">
      <c r="A23" s="13" t="s">
        <v>304</v>
      </c>
      <c r="B23" s="13"/>
      <c r="C23" s="13"/>
      <c r="D23" s="13"/>
      <c r="E23" s="13"/>
      <c r="F23" s="13"/>
    </row>
    <row r="24" spans="1:6" x14ac:dyDescent="0.25">
      <c r="A24" s="3" t="s">
        <v>305</v>
      </c>
      <c r="B24" s="31">
        <f>B13+B20</f>
        <v>109328</v>
      </c>
      <c r="C24" s="31">
        <f>C13+C20</f>
        <v>109328</v>
      </c>
      <c r="D24" s="31">
        <f>D13+D20</f>
        <v>109328</v>
      </c>
      <c r="E24" s="31">
        <f>E13+E20</f>
        <v>109328</v>
      </c>
      <c r="F24" s="31">
        <f>F13+F20</f>
        <v>109328</v>
      </c>
    </row>
    <row r="25" spans="1:6" x14ac:dyDescent="0.25">
      <c r="A25" s="3" t="s">
        <v>306</v>
      </c>
      <c r="B25" s="27">
        <f>B14+B21</f>
        <v>1316258</v>
      </c>
      <c r="C25" s="27">
        <f>C14+C21</f>
        <v>1280441</v>
      </c>
      <c r="D25" s="27">
        <f>D14+D21</f>
        <v>1242422</v>
      </c>
      <c r="E25" s="27">
        <f>E14+E21</f>
        <v>1202061</v>
      </c>
      <c r="F25" s="27">
        <f>F14+F21</f>
        <v>1159214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307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308</v>
      </c>
      <c r="B4" s="13"/>
      <c r="C4" s="13"/>
      <c r="D4" s="13"/>
      <c r="E4" s="13"/>
      <c r="F4" s="13"/>
    </row>
    <row r="5" spans="1:6" x14ac:dyDescent="0.25">
      <c r="A5" s="4" t="s">
        <v>309</v>
      </c>
      <c r="B5" s="38">
        <f>'Monthly Cash Flow Y1'!M14</f>
        <v>2133820</v>
      </c>
      <c r="C5" s="38">
        <f>B5+'5-Year Operating Stmt'!C14</f>
        <v>4899035</v>
      </c>
      <c r="D5" s="38">
        <f>B5+'5-Year Operating Stmt'!C14+'5-Year Operating Stmt'!D14</f>
        <v>8470947</v>
      </c>
      <c r="E5" s="38">
        <f>B5+'5-Year Operating Stmt'!C14+'5-Year Operating Stmt'!D14+'5-Year Operating Stmt'!E14</f>
        <v>12908066</v>
      </c>
      <c r="F5" s="38">
        <f>B5+'5-Year Operating Stmt'!C14+'5-Year Operating Stmt'!D14+'5-Year Operating Stmt'!E14+'5-Year Operating Stmt'!F14</f>
        <v>18272280</v>
      </c>
    </row>
    <row r="6" spans="1:6" x14ac:dyDescent="0.25">
      <c r="A6" s="4" t="s">
        <v>310</v>
      </c>
      <c r="B6" s="26">
        <v>0</v>
      </c>
      <c r="C6" s="26">
        <v>0</v>
      </c>
      <c r="D6" s="26">
        <v>0</v>
      </c>
      <c r="E6" s="26">
        <v>0</v>
      </c>
      <c r="F6" s="26">
        <v>0</v>
      </c>
    </row>
    <row r="7" spans="1:6" x14ac:dyDescent="0.25">
      <c r="A7" s="4" t="s">
        <v>311</v>
      </c>
      <c r="B7" s="26">
        <v>850000</v>
      </c>
      <c r="C7" s="26">
        <v>850000</v>
      </c>
      <c r="D7" s="26">
        <v>850000</v>
      </c>
      <c r="E7" s="26">
        <v>850000</v>
      </c>
      <c r="F7" s="26">
        <v>850000</v>
      </c>
    </row>
    <row r="8" spans="1:6" x14ac:dyDescent="0.25">
      <c r="A8" s="4" t="s">
        <v>312</v>
      </c>
      <c r="B8" s="26">
        <v>0</v>
      </c>
      <c r="C8" s="26">
        <v>0</v>
      </c>
      <c r="D8" s="26">
        <v>0</v>
      </c>
      <c r="E8" s="26">
        <v>0</v>
      </c>
      <c r="F8" s="26">
        <v>0</v>
      </c>
    </row>
    <row r="9" spans="1:6" x14ac:dyDescent="0.25">
      <c r="A9" s="3" t="s">
        <v>313</v>
      </c>
      <c r="B9" s="31">
        <f>SUM(B5:B8)</f>
        <v>2983820</v>
      </c>
      <c r="C9" s="31">
        <f>SUM(C5:C8)</f>
        <v>5749035</v>
      </c>
      <c r="D9" s="31">
        <f>SUM(D5:D8)</f>
        <v>9320947</v>
      </c>
      <c r="E9" s="31">
        <f>SUM(E5:E8)</f>
        <v>13758066</v>
      </c>
      <c r="F9" s="31">
        <f>SUM(F5:F8)</f>
        <v>19122280</v>
      </c>
    </row>
    <row r="11" ht="24" customHeight="1" spans="1:6" x14ac:dyDescent="0.25">
      <c r="A11" s="13" t="s">
        <v>314</v>
      </c>
      <c r="B11" s="13"/>
      <c r="C11" s="13"/>
      <c r="D11" s="13"/>
      <c r="E11" s="13"/>
      <c r="F11" s="13"/>
    </row>
    <row r="12" spans="1:6" x14ac:dyDescent="0.25">
      <c r="A12" s="4" t="s">
        <v>315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</row>
    <row r="13" spans="1:6" x14ac:dyDescent="0.25">
      <c r="A13" s="4" t="s">
        <v>316</v>
      </c>
      <c r="B13" s="26">
        <f>'Debt Schedule'!B25</f>
        <v>1316258</v>
      </c>
      <c r="C13" s="26">
        <f>'Debt Schedule'!C25</f>
        <v>1280441</v>
      </c>
      <c r="D13" s="26">
        <f>'Debt Schedule'!D25</f>
        <v>1242422</v>
      </c>
      <c r="E13" s="26">
        <f>'Debt Schedule'!E25</f>
        <v>1202061</v>
      </c>
      <c r="F13" s="26">
        <f>'Debt Schedule'!F25</f>
        <v>1159214</v>
      </c>
    </row>
    <row r="14" spans="1:6" x14ac:dyDescent="0.25">
      <c r="A14" s="3" t="s">
        <v>317</v>
      </c>
      <c r="B14" s="31">
        <f>SUM(B12:B13)</f>
        <v>1316258</v>
      </c>
      <c r="C14" s="31">
        <f>SUM(C12:C13)</f>
        <v>1280441</v>
      </c>
      <c r="D14" s="31">
        <f>SUM(D12:D13)</f>
        <v>1242422</v>
      </c>
      <c r="E14" s="31">
        <f>SUM(E12:E13)</f>
        <v>1202061</v>
      </c>
      <c r="F14" s="31">
        <f>SUM(F12:F13)</f>
        <v>1159214</v>
      </c>
    </row>
    <row r="16" ht="24" customHeight="1" spans="1:6" x14ac:dyDescent="0.25">
      <c r="A16" s="13" t="s">
        <v>318</v>
      </c>
      <c r="B16" s="13"/>
      <c r="C16" s="13"/>
      <c r="D16" s="13"/>
      <c r="E16" s="13"/>
      <c r="F16" s="13"/>
    </row>
    <row r="17" spans="1:6" x14ac:dyDescent="0.25">
      <c r="A17" s="3" t="s">
        <v>319</v>
      </c>
      <c r="B17" s="27">
        <f>B9-B14</f>
        <v>1667562</v>
      </c>
      <c r="C17" s="27">
        <f>C9-C14</f>
        <v>4468594</v>
      </c>
      <c r="D17" s="27">
        <f>D9-D14</f>
        <v>8078525</v>
      </c>
      <c r="E17" s="27">
        <f>E9-E14</f>
        <v>12556005</v>
      </c>
      <c r="F17" s="27">
        <f>F9-F14</f>
        <v>17963066</v>
      </c>
    </row>
    <row r="19" spans="1:6" x14ac:dyDescent="0.25">
      <c r="A19" s="3" t="s">
        <v>320</v>
      </c>
      <c r="B19" s="39" t="str">
        <f>B9-B14-B17</f>
        <v>0</v>
      </c>
      <c r="C19" s="39" t="str">
        <f>C9-C14-C17</f>
        <v>0</v>
      </c>
      <c r="D19" s="39" t="str">
        <f>D9-D14-D17</f>
        <v>0</v>
      </c>
      <c r="E19" s="39" t="str">
        <f>E9-E14-E17</f>
        <v>0</v>
      </c>
      <c r="F19" s="39" t="str">
        <f>F9-F14-F17</f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321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322</v>
      </c>
      <c r="B4" s="13"/>
      <c r="C4" s="13"/>
      <c r="D4" s="13"/>
      <c r="E4" s="13"/>
      <c r="F4" s="13"/>
    </row>
    <row r="5" spans="1:6" x14ac:dyDescent="0.25">
      <c r="A5" s="4" t="s">
        <v>323</v>
      </c>
      <c r="B5" s="26">
        <v>2875000</v>
      </c>
      <c r="C5" s="26">
        <v>3698750</v>
      </c>
      <c r="D5" s="26">
        <v>4581838</v>
      </c>
      <c r="E5" s="26">
        <v>5527665</v>
      </c>
      <c r="F5" s="26">
        <v>6539813</v>
      </c>
    </row>
    <row r="6" spans="1:6" x14ac:dyDescent="0.25">
      <c r="A6" s="4" t="s">
        <v>281</v>
      </c>
      <c r="B6" s="26">
        <v>472851</v>
      </c>
      <c r="C6" s="26">
        <v>487037</v>
      </c>
      <c r="D6" s="26">
        <v>501648</v>
      </c>
      <c r="E6" s="26">
        <v>516697</v>
      </c>
      <c r="F6" s="26">
        <v>532198</v>
      </c>
    </row>
    <row r="7" spans="1:6" x14ac:dyDescent="0.25">
      <c r="A7" s="4" t="s">
        <v>282</v>
      </c>
      <c r="B7" s="26">
        <v>279000</v>
      </c>
      <c r="C7" s="26">
        <v>337170</v>
      </c>
      <c r="D7" s="26">
        <v>398950</v>
      </c>
      <c r="E7" s="26">
        <v>464521</v>
      </c>
      <c r="F7" s="26">
        <v>534073</v>
      </c>
    </row>
    <row r="8" spans="1:6" x14ac:dyDescent="0.25">
      <c r="A8" s="3" t="s">
        <v>324</v>
      </c>
      <c r="B8" s="29">
        <f>B5-B6-B7</f>
        <v>2123149</v>
      </c>
      <c r="C8" s="29">
        <f>C5-C6-C7</f>
        <v>2874543</v>
      </c>
      <c r="D8" s="29">
        <f>D5-D6-D7</f>
        <v>3681240</v>
      </c>
      <c r="E8" s="29">
        <f>E5-E6-E7</f>
        <v>4546447</v>
      </c>
      <c r="F8" s="29">
        <f>F5-F6-F7</f>
        <v>5473542</v>
      </c>
    </row>
    <row r="9" spans="1:6" x14ac:dyDescent="0.25">
      <c r="A9" s="4" t="s">
        <v>283</v>
      </c>
      <c r="B9" s="26">
        <v>109328</v>
      </c>
      <c r="C9" s="26">
        <v>109328</v>
      </c>
      <c r="D9" s="26">
        <v>109328</v>
      </c>
      <c r="E9" s="26">
        <v>109328</v>
      </c>
      <c r="F9" s="26">
        <v>109328</v>
      </c>
    </row>
    <row r="10" spans="1:6" x14ac:dyDescent="0.25">
      <c r="A10" s="3" t="s">
        <v>325</v>
      </c>
      <c r="B10" s="40">
        <f>IF(B9=0,"N/A",B8/B9)</f>
        <v>19.42</v>
      </c>
      <c r="C10" s="40">
        <f>IF(C9=0,"N/A",C8/C9)</f>
        <v>26.29</v>
      </c>
      <c r="D10" s="40">
        <f>IF(D9=0,"N/A",D8/D9)</f>
        <v>33.67</v>
      </c>
      <c r="E10" s="40">
        <f>IF(E9=0,"N/A",E8/E9)</f>
        <v>41.59</v>
      </c>
      <c r="F10" s="40">
        <f>IF(F9=0,"N/A",F8/F9)</f>
        <v>50.07</v>
      </c>
    </row>
    <row r="12" ht="24" customHeight="1" spans="1:6" x14ac:dyDescent="0.25">
      <c r="A12" s="13" t="s">
        <v>326</v>
      </c>
      <c r="B12" s="13"/>
      <c r="C12" s="13"/>
      <c r="D12" s="13"/>
      <c r="E12" s="13"/>
      <c r="F12" s="13"/>
    </row>
    <row r="13" spans="1:6" x14ac:dyDescent="0.25">
      <c r="A13" s="4" t="s">
        <v>327</v>
      </c>
      <c r="B13" s="26">
        <v>2133820</v>
      </c>
      <c r="C13" s="26">
        <v>4899035</v>
      </c>
      <c r="D13" s="26">
        <v>8470947</v>
      </c>
      <c r="E13" s="26">
        <v>12908066</v>
      </c>
      <c r="F13" s="26">
        <v>18272280</v>
      </c>
    </row>
    <row r="14" spans="1:6" x14ac:dyDescent="0.25">
      <c r="A14" s="4" t="s">
        <v>328</v>
      </c>
      <c r="B14" s="23">
        <f>IF((B6+B7+B9)=0,0,(B13/(B6+B7+B9))*365)</f>
        <v>904</v>
      </c>
      <c r="C14" s="23">
        <f>IF((C6+C7+C9)=0,0,(C13/(C6+C7+C9))*365)</f>
        <v>1915</v>
      </c>
      <c r="D14" s="23">
        <f>IF((D6+D7+D9)=0,0,(D13/(D6+D7+D9))*365)</f>
        <v>3062</v>
      </c>
      <c r="E14" s="23">
        <f>IF((E6+E7+E9)=0,0,(E13/(E6+E7+E9))*365)</f>
        <v>4320</v>
      </c>
      <c r="F14" s="23">
        <f>IF((F6+F7+F9)=0,0,(F13/(F6+F7+F9))*365)</f>
        <v>5673</v>
      </c>
    </row>
    <row r="15" spans="1:6" x14ac:dyDescent="0.25">
      <c r="A15" s="4" t="s">
        <v>329</v>
      </c>
      <c r="B15" s="30">
        <f>IF((B6+B7+B9)=0,0,B13/((B6+B7+B9)/12))</f>
        <v>29.7</v>
      </c>
      <c r="C15" s="30">
        <f>IF((C6+C7+C9)=0,0,C13/((C6+C7+C9)/12))</f>
        <v>63</v>
      </c>
      <c r="D15" s="30">
        <f>IF((D6+D7+D9)=0,0,D13/((D6+D7+D9)/12))</f>
        <v>100.7</v>
      </c>
      <c r="E15" s="30">
        <f>IF((E6+E7+E9)=0,0,E13/((E6+E7+E9)/12))</f>
        <v>142</v>
      </c>
      <c r="F15" s="30">
        <f>IF((F6+F7+F9)=0,0,F13/((F6+F7+F9)/12))</f>
        <v>186.5</v>
      </c>
    </row>
    <row r="16" spans="1:6" x14ac:dyDescent="0.25">
      <c r="A16" s="4" t="s">
        <v>184</v>
      </c>
      <c r="B16" s="25">
        <v>0.5</v>
      </c>
      <c r="C16" s="25">
        <v>0.625</v>
      </c>
      <c r="D16" s="25">
        <v>0.75</v>
      </c>
      <c r="E16" s="25">
        <v>0.875</v>
      </c>
      <c r="F16" s="25">
        <v>1</v>
      </c>
    </row>
    <row r="18" ht="24" customHeight="1" spans="1:6" x14ac:dyDescent="0.25">
      <c r="A18" s="13" t="s">
        <v>330</v>
      </c>
      <c r="B18" s="13"/>
      <c r="C18" s="13"/>
      <c r="D18" s="13"/>
      <c r="E18" s="13"/>
      <c r="F18" s="13"/>
    </row>
    <row r="19" spans="1:6" x14ac:dyDescent="0.25">
      <c r="A19" s="4" t="s">
        <v>220</v>
      </c>
      <c r="B19" s="26">
        <v>14375</v>
      </c>
      <c r="C19" s="26">
        <v>14795</v>
      </c>
      <c r="D19" s="26">
        <v>15273</v>
      </c>
      <c r="E19" s="26">
        <v>15793</v>
      </c>
      <c r="F19" s="26">
        <v>16350</v>
      </c>
    </row>
    <row r="20" spans="1:6" x14ac:dyDescent="0.25">
      <c r="A20" s="4" t="s">
        <v>331</v>
      </c>
      <c r="B20" s="26">
        <v>582179</v>
      </c>
      <c r="C20" s="26">
        <v>596365</v>
      </c>
      <c r="D20" s="26">
        <v>610976</v>
      </c>
      <c r="E20" s="26">
        <v>626025</v>
      </c>
      <c r="F20" s="26">
        <v>641526</v>
      </c>
    </row>
    <row r="21" spans="1:6" x14ac:dyDescent="0.25">
      <c r="A21" s="4" t="s">
        <v>332</v>
      </c>
      <c r="B21" s="26">
        <v>1395</v>
      </c>
      <c r="C21" s="26">
        <v>1349</v>
      </c>
      <c r="D21" s="26">
        <v>1330</v>
      </c>
      <c r="E21" s="26">
        <v>1327</v>
      </c>
      <c r="F21" s="26">
        <v>1335</v>
      </c>
    </row>
    <row r="22" spans="1:6" x14ac:dyDescent="0.25">
      <c r="A22" s="3" t="s">
        <v>333</v>
      </c>
      <c r="B22" s="41">
        <v>45</v>
      </c>
      <c r="C22" s="41">
        <v>45</v>
      </c>
      <c r="D22" s="41">
        <v>44</v>
      </c>
      <c r="E22" s="41">
        <v>44</v>
      </c>
      <c r="F22" s="41">
        <v>43</v>
      </c>
    </row>
    <row r="24" ht="24" customHeight="1" spans="1:6" x14ac:dyDescent="0.25">
      <c r="A24" s="13" t="s">
        <v>334</v>
      </c>
      <c r="B24" s="13"/>
      <c r="C24" s="13"/>
      <c r="D24" s="13"/>
      <c r="E24" s="13"/>
      <c r="F24" s="13"/>
    </row>
    <row r="25" spans="1:6" x14ac:dyDescent="0.25">
      <c r="A25" s="4" t="s">
        <v>335</v>
      </c>
      <c r="B25" s="42" t="s">
        <v>336</v>
      </c>
      <c r="C25" s="42" t="s">
        <v>336</v>
      </c>
      <c r="D25" s="42" t="s">
        <v>336</v>
      </c>
      <c r="E25" s="42" t="s">
        <v>336</v>
      </c>
      <c r="F25" s="42" t="s">
        <v>336</v>
      </c>
    </row>
    <row r="26" spans="1:6" x14ac:dyDescent="0.25">
      <c r="A26" s="4" t="s">
        <v>337</v>
      </c>
      <c r="B26" s="42" t="s">
        <v>336</v>
      </c>
      <c r="C26" s="42" t="s">
        <v>336</v>
      </c>
      <c r="D26" s="42" t="s">
        <v>336</v>
      </c>
      <c r="E26" s="42" t="s">
        <v>336</v>
      </c>
      <c r="F26" s="42" t="s">
        <v>336</v>
      </c>
    </row>
    <row r="27" spans="1:6" x14ac:dyDescent="0.25">
      <c r="A27" s="4" t="s">
        <v>338</v>
      </c>
      <c r="B27" s="43" t="s">
        <v>339</v>
      </c>
      <c r="C27" s="42" t="s">
        <v>336</v>
      </c>
      <c r="D27" s="42" t="s">
        <v>336</v>
      </c>
      <c r="E27" s="42" t="s">
        <v>336</v>
      </c>
      <c r="F27" s="42" t="s">
        <v>336</v>
      </c>
    </row>
    <row r="28" spans="1:6" x14ac:dyDescent="0.25">
      <c r="A28" s="4" t="s">
        <v>340</v>
      </c>
      <c r="B28" s="42" t="s">
        <v>336</v>
      </c>
      <c r="C28" s="42" t="s">
        <v>336</v>
      </c>
      <c r="D28" s="42" t="s">
        <v>336</v>
      </c>
      <c r="E28" s="42" t="s">
        <v>336</v>
      </c>
      <c r="F28" s="42" t="s">
        <v>336</v>
      </c>
    </row>
    <row r="29" spans="1:6" x14ac:dyDescent="0.25">
      <c r="A29" s="4" t="s">
        <v>341</v>
      </c>
      <c r="B29" s="42" t="s">
        <v>336</v>
      </c>
      <c r="C29" s="42" t="s">
        <v>336</v>
      </c>
      <c r="D29" s="42" t="s">
        <v>336</v>
      </c>
      <c r="E29" s="42" t="s">
        <v>336</v>
      </c>
      <c r="F29" s="42" t="s">
        <v>336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FormatPr defaultRowHeight="15" outlineLevelRow="0" outlineLevelCol="0" x14ac:dyDescent="55"/>
  <cols>
    <col min="1" max="1" width="36" customWidth="1"/>
    <col min="2" max="2" width="20" customWidth="1"/>
    <col min="3" max="3" width="8" customWidth="1"/>
    <col min="4" max="4" width="36" customWidth="1"/>
    <col min="5" max="5" width="20" customWidth="1"/>
  </cols>
  <sheetData>
    <row r="1" spans="1:5" x14ac:dyDescent="0.25">
      <c r="A1" s="11" t="s">
        <v>56</v>
      </c>
      <c r="B1" s="11"/>
      <c r="C1" s="11"/>
      <c r="D1" s="11"/>
      <c r="E1" s="11"/>
    </row>
    <row r="3" spans="1:5" x14ac:dyDescent="0.25">
      <c r="A3" s="44" t="s">
        <v>342</v>
      </c>
      <c r="B3" s="44" t="s">
        <v>104</v>
      </c>
      <c r="D3" s="44" t="s">
        <v>343</v>
      </c>
      <c r="E3" s="44" t="s">
        <v>104</v>
      </c>
    </row>
    <row r="4" spans="1:5" x14ac:dyDescent="0.25">
      <c r="A4" s="4" t="s">
        <v>152</v>
      </c>
      <c r="B4" s="26">
        <v>1200000</v>
      </c>
      <c r="D4" s="4" t="s">
        <v>344</v>
      </c>
      <c r="E4" s="26">
        <v>1470000</v>
      </c>
    </row>
    <row r="5" spans="1:2" x14ac:dyDescent="0.25">
      <c r="A5" s="4" t="s">
        <v>154</v>
      </c>
      <c r="B5" s="26">
        <v>150000</v>
      </c>
    </row>
    <row r="6" spans="1:2" x14ac:dyDescent="0.25">
      <c r="A6" s="4" t="s">
        <v>345</v>
      </c>
      <c r="B6" s="26">
        <v>120000</v>
      </c>
    </row>
    <row r="8" spans="1:5" x14ac:dyDescent="0.25">
      <c r="A8" s="3" t="s">
        <v>346</v>
      </c>
      <c r="B8" s="27">
        <v>1470000</v>
      </c>
      <c r="D8" s="3" t="s">
        <v>347</v>
      </c>
      <c r="E8" s="27">
        <v>1470000</v>
      </c>
    </row>
    <row r="9" spans="1:2" x14ac:dyDescent="0.25">
      <c r="A9" s="3" t="s">
        <v>348</v>
      </c>
      <c r="B9" s="39">
        <v>0</v>
      </c>
    </row>
  </sheetData>
  <mergeCells count="1">
    <mergeCell ref="A1:E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1" t="s">
        <v>349</v>
      </c>
      <c r="B1" s="11"/>
      <c r="C1" s="11"/>
      <c r="D1" s="11"/>
      <c r="E1" s="11"/>
      <c r="F1" s="11"/>
    </row>
    <row r="3" ht="24" customHeight="1" spans="1:6" x14ac:dyDescent="0.25">
      <c r="A3" s="13" t="s">
        <v>350</v>
      </c>
      <c r="B3" s="13"/>
      <c r="C3" s="13"/>
      <c r="D3" s="13"/>
      <c r="E3" s="13"/>
      <c r="F3" s="13"/>
    </row>
    <row r="4" spans="1:1" x14ac:dyDescent="0.25">
      <c r="A4" s="12" t="s">
        <v>351</v>
      </c>
    </row>
    <row r="5" ht="28" customHeight="1" spans="1:6" x14ac:dyDescent="0.25">
      <c r="A5" s="15" t="s">
        <v>17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</row>
    <row r="6" spans="1:6" x14ac:dyDescent="0.25">
      <c r="A6" s="4" t="s">
        <v>323</v>
      </c>
      <c r="B6" s="26">
        <v>2443750</v>
      </c>
      <c r="C6" s="26">
        <v>3143938</v>
      </c>
      <c r="D6" s="26">
        <v>3894562</v>
      </c>
      <c r="E6" s="26">
        <v>4698515</v>
      </c>
      <c r="F6" s="26">
        <v>5558841</v>
      </c>
    </row>
    <row r="7" spans="1:6" x14ac:dyDescent="0.25">
      <c r="A7" s="4" t="s">
        <v>260</v>
      </c>
      <c r="B7" s="26">
        <v>861179</v>
      </c>
      <c r="C7" s="26">
        <v>933535</v>
      </c>
      <c r="D7" s="26">
        <v>1009926</v>
      </c>
      <c r="E7" s="26">
        <v>1090546</v>
      </c>
      <c r="F7" s="26">
        <v>1175599</v>
      </c>
    </row>
    <row r="8" spans="1:6" x14ac:dyDescent="0.25">
      <c r="A8" s="3" t="s">
        <v>262</v>
      </c>
      <c r="B8" s="27">
        <v>1582571</v>
      </c>
      <c r="C8" s="27">
        <v>2210403</v>
      </c>
      <c r="D8" s="27">
        <v>2884636</v>
      </c>
      <c r="E8" s="27">
        <v>3607969</v>
      </c>
      <c r="F8" s="27">
        <v>4383242</v>
      </c>
    </row>
    <row r="9" spans="1:6" x14ac:dyDescent="0.25">
      <c r="A9" s="4" t="s">
        <v>263</v>
      </c>
      <c r="B9" s="25">
        <v>0.6475993349778482</v>
      </c>
      <c r="C9" s="25">
        <v>0.7030683163555626</v>
      </c>
      <c r="D9" s="25">
        <v>0.7406830643696259</v>
      </c>
      <c r="E9" s="25">
        <v>0.7678955381985564</v>
      </c>
      <c r="F9" s="25">
        <v>0.7885172985320476</v>
      </c>
    </row>
    <row r="10" spans="1:6" x14ac:dyDescent="0.25">
      <c r="A10" s="4" t="s">
        <v>325</v>
      </c>
      <c r="B10" s="45">
        <v>15.48</v>
      </c>
      <c r="C10" s="45">
        <v>21.22</v>
      </c>
      <c r="D10" s="45">
        <v>27.39</v>
      </c>
      <c r="E10" s="45">
        <v>34</v>
      </c>
      <c r="F10" s="45">
        <v>41.09</v>
      </c>
    </row>
    <row r="11" spans="1:6" x14ac:dyDescent="0.25">
      <c r="A11" s="4" t="s">
        <v>333</v>
      </c>
      <c r="B11" s="23">
        <v>46</v>
      </c>
      <c r="C11" s="23">
        <v>46</v>
      </c>
      <c r="D11" s="23">
        <v>45</v>
      </c>
      <c r="E11" s="23">
        <v>45</v>
      </c>
      <c r="F11" s="23">
        <v>44</v>
      </c>
    </row>
    <row r="13" ht="24" customHeight="1" spans="1:6" x14ac:dyDescent="0.25">
      <c r="A13" s="13" t="s">
        <v>352</v>
      </c>
      <c r="B13" s="13"/>
      <c r="C13" s="13"/>
      <c r="D13" s="13"/>
      <c r="E13" s="13"/>
      <c r="F13" s="13"/>
    </row>
    <row r="14" spans="1:1" x14ac:dyDescent="0.25">
      <c r="A14" s="12" t="s">
        <v>353</v>
      </c>
    </row>
    <row r="15" ht="28" customHeight="1" spans="1:6" x14ac:dyDescent="0.25">
      <c r="A15" s="15" t="s">
        <v>17</v>
      </c>
      <c r="B15" s="15" t="s">
        <v>94</v>
      </c>
      <c r="C15" s="15" t="s">
        <v>95</v>
      </c>
      <c r="D15" s="15" t="s">
        <v>96</v>
      </c>
      <c r="E15" s="15" t="s">
        <v>97</v>
      </c>
      <c r="F15" s="15" t="s">
        <v>98</v>
      </c>
    </row>
    <row r="16" spans="1:6" x14ac:dyDescent="0.25">
      <c r="A16" s="4" t="s">
        <v>323</v>
      </c>
      <c r="B16" s="26">
        <v>3162500</v>
      </c>
      <c r="C16" s="26">
        <v>4068625</v>
      </c>
      <c r="D16" s="26">
        <v>5040021</v>
      </c>
      <c r="E16" s="26">
        <v>6080432</v>
      </c>
      <c r="F16" s="26">
        <v>7193794</v>
      </c>
    </row>
    <row r="17" spans="1:6" x14ac:dyDescent="0.25">
      <c r="A17" s="4" t="s">
        <v>260</v>
      </c>
      <c r="B17" s="26">
        <v>896972</v>
      </c>
      <c r="C17" s="26">
        <v>972891</v>
      </c>
      <c r="D17" s="26">
        <v>1053046</v>
      </c>
      <c r="E17" s="26">
        <v>1137640</v>
      </c>
      <c r="F17" s="26">
        <v>1226886</v>
      </c>
    </row>
    <row r="18" spans="1:6" x14ac:dyDescent="0.25">
      <c r="A18" s="3" t="s">
        <v>262</v>
      </c>
      <c r="B18" s="27">
        <v>2265528</v>
      </c>
      <c r="C18" s="27">
        <v>3095734</v>
      </c>
      <c r="D18" s="27">
        <v>3986975</v>
      </c>
      <c r="E18" s="27">
        <v>4942791</v>
      </c>
      <c r="F18" s="27">
        <v>5966908</v>
      </c>
    </row>
    <row r="19" spans="1:6" x14ac:dyDescent="0.25">
      <c r="A19" s="4" t="s">
        <v>263</v>
      </c>
      <c r="B19" s="25">
        <v>0.7163725928386139</v>
      </c>
      <c r="C19" s="25">
        <v>0.7608796628718834</v>
      </c>
      <c r="D19" s="25">
        <v>0.7910631592390838</v>
      </c>
      <c r="E19" s="25">
        <v>0.8129013777316566</v>
      </c>
      <c r="F19" s="25">
        <v>0.8294521243028089</v>
      </c>
    </row>
    <row r="20" spans="1:6" x14ac:dyDescent="0.25">
      <c r="A20" s="4" t="s">
        <v>325</v>
      </c>
      <c r="B20" s="45">
        <v>21.72</v>
      </c>
      <c r="C20" s="45">
        <v>29.32</v>
      </c>
      <c r="D20" s="45">
        <v>37.47</v>
      </c>
      <c r="E20" s="45">
        <v>46.21</v>
      </c>
      <c r="F20" s="45">
        <v>55.58</v>
      </c>
    </row>
    <row r="21" spans="1:6" x14ac:dyDescent="0.25">
      <c r="A21" s="4" t="s">
        <v>333</v>
      </c>
      <c r="B21" s="23">
        <v>47</v>
      </c>
      <c r="C21" s="23">
        <v>46</v>
      </c>
      <c r="D21" s="23">
        <v>46</v>
      </c>
      <c r="E21" s="23">
        <v>45</v>
      </c>
      <c r="F21" s="23">
        <v>45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FormatPr defaultRowHeight="15" outlineLevelRow="0" outlineLevelCol="0" x14ac:dyDescent="55"/>
  <cols>
    <col min="1" max="1" width="28" customWidth="1"/>
    <col min="2" max="2" width="30" customWidth="1"/>
    <col min="3" max="3" width="4" customWidth="1"/>
    <col min="4" max="8" width="14" customWidth="1"/>
  </cols>
  <sheetData>
    <row r="1" spans="1:8" x14ac:dyDescent="0.25">
      <c r="A1" s="11" t="s">
        <v>354</v>
      </c>
      <c r="B1" s="11"/>
      <c r="C1" s="11"/>
      <c r="D1" s="11"/>
      <c r="E1" s="11"/>
      <c r="F1" s="11"/>
      <c r="G1" s="11"/>
      <c r="H1" s="11"/>
    </row>
    <row r="3" ht="24" customHeight="1" spans="1:2" x14ac:dyDescent="0.25">
      <c r="A3" s="13" t="s">
        <v>89</v>
      </c>
      <c r="B3" s="13"/>
    </row>
    <row r="4" spans="1:2" x14ac:dyDescent="0.25">
      <c r="A4" s="4" t="s">
        <v>2</v>
      </c>
      <c r="B4" s="4" t="s">
        <v>3</v>
      </c>
    </row>
    <row r="5" spans="1:2" x14ac:dyDescent="0.25">
      <c r="A5" s="4" t="s">
        <v>118</v>
      </c>
      <c r="B5" s="4" t="s">
        <v>5</v>
      </c>
    </row>
    <row r="6" spans="1:2" x14ac:dyDescent="0.25">
      <c r="A6" s="4" t="s">
        <v>355</v>
      </c>
      <c r="B6" s="4" t="s">
        <v>7</v>
      </c>
    </row>
    <row r="7" spans="1:2" x14ac:dyDescent="0.25">
      <c r="A7" s="4" t="s">
        <v>14</v>
      </c>
      <c r="B7" s="4" t="s">
        <v>15</v>
      </c>
    </row>
    <row r="8" spans="1:2" x14ac:dyDescent="0.25">
      <c r="A8" s="4" t="s">
        <v>8</v>
      </c>
      <c r="B8" s="4" t="s">
        <v>9</v>
      </c>
    </row>
    <row r="9" spans="1:2" x14ac:dyDescent="0.25">
      <c r="A9" s="4" t="s">
        <v>356</v>
      </c>
      <c r="B9" s="4" t="s">
        <v>17</v>
      </c>
    </row>
    <row r="11" ht="24" customHeight="1" spans="1:8" x14ac:dyDescent="0.25">
      <c r="A11" s="13" t="s">
        <v>357</v>
      </c>
      <c r="B11" s="13"/>
      <c r="C11" s="13"/>
      <c r="D11" s="13"/>
      <c r="E11" s="13"/>
      <c r="F11" s="13"/>
      <c r="G11" s="13"/>
      <c r="H11" s="13"/>
    </row>
    <row r="12" spans="1:8" x14ac:dyDescent="0.25">
      <c r="A12" t="s">
        <v>17</v>
      </c>
      <c r="B12" t="s">
        <v>17</v>
      </c>
      <c r="C12" t="s">
        <v>17</v>
      </c>
      <c r="D12" s="46" t="s">
        <v>94</v>
      </c>
      <c r="E12" s="46" t="s">
        <v>95</v>
      </c>
      <c r="F12" s="46" t="s">
        <v>96</v>
      </c>
      <c r="G12" s="46" t="s">
        <v>97</v>
      </c>
      <c r="H12" s="46" t="s">
        <v>98</v>
      </c>
    </row>
    <row r="13" spans="1:8" x14ac:dyDescent="0.25">
      <c r="A13" s="4" t="s">
        <v>323</v>
      </c>
      <c r="D13" s="26">
        <v>2875000</v>
      </c>
      <c r="E13" s="26">
        <v>3698750</v>
      </c>
      <c r="F13" s="26">
        <v>4581838</v>
      </c>
      <c r="G13" s="26">
        <v>5527665</v>
      </c>
      <c r="H13" s="26">
        <v>6539813</v>
      </c>
    </row>
    <row r="14" spans="1:8" x14ac:dyDescent="0.25">
      <c r="A14" s="4" t="s">
        <v>260</v>
      </c>
      <c r="D14" s="26">
        <v>861179</v>
      </c>
      <c r="E14" s="26">
        <v>933535</v>
      </c>
      <c r="F14" s="26">
        <v>1009926</v>
      </c>
      <c r="G14" s="26">
        <v>1090546</v>
      </c>
      <c r="H14" s="26">
        <v>1175599</v>
      </c>
    </row>
    <row r="15" spans="1:8" x14ac:dyDescent="0.25">
      <c r="A15" s="4" t="s">
        <v>262</v>
      </c>
      <c r="D15" s="26">
        <v>2013821</v>
      </c>
      <c r="E15" s="26">
        <v>2765215</v>
      </c>
      <c r="F15" s="26">
        <v>3571912</v>
      </c>
      <c r="G15" s="26">
        <v>4437119</v>
      </c>
      <c r="H15" s="26">
        <v>5364214</v>
      </c>
    </row>
    <row r="16" spans="1:8" x14ac:dyDescent="0.25">
      <c r="A16" s="4" t="s">
        <v>358</v>
      </c>
      <c r="D16" s="26">
        <v>2133820</v>
      </c>
      <c r="E16" s="26">
        <v>4899035</v>
      </c>
      <c r="F16" s="26">
        <v>8470947</v>
      </c>
      <c r="G16" s="26">
        <v>12908066</v>
      </c>
      <c r="H16" s="26">
        <v>18272280</v>
      </c>
    </row>
    <row r="17" spans="1:8" x14ac:dyDescent="0.25">
      <c r="A17" s="4" t="s">
        <v>359</v>
      </c>
      <c r="D17" s="26">
        <v>1316258</v>
      </c>
      <c r="E17" s="26">
        <v>1280441</v>
      </c>
      <c r="F17" s="26">
        <v>1242422</v>
      </c>
      <c r="G17" s="26">
        <v>1202061</v>
      </c>
      <c r="H17" s="26">
        <v>1159214</v>
      </c>
    </row>
    <row r="19" ht="24" customHeight="1" spans="1:8" x14ac:dyDescent="0.25">
      <c r="A19" s="13" t="s">
        <v>360</v>
      </c>
      <c r="B19" s="13"/>
      <c r="C19" s="13"/>
      <c r="D19" s="13"/>
      <c r="E19" s="13"/>
      <c r="F19" s="13"/>
      <c r="G19" s="13"/>
      <c r="H19" s="13"/>
    </row>
    <row r="20" spans="1:8" x14ac:dyDescent="0.25">
      <c r="A20" t="s">
        <v>17</v>
      </c>
      <c r="B20" t="s">
        <v>17</v>
      </c>
      <c r="C20" t="s">
        <v>17</v>
      </c>
      <c r="D20" s="46" t="s">
        <v>94</v>
      </c>
      <c r="E20" s="46" t="s">
        <v>95</v>
      </c>
      <c r="F20" s="46" t="s">
        <v>96</v>
      </c>
      <c r="G20" s="46" t="s">
        <v>97</v>
      </c>
      <c r="H20" s="46" t="s">
        <v>98</v>
      </c>
    </row>
    <row r="21" spans="1:8" x14ac:dyDescent="0.25">
      <c r="A21" s="4" t="s">
        <v>361</v>
      </c>
      <c r="D21" s="25">
        <v>0.7004594347311709</v>
      </c>
      <c r="E21" s="25">
        <v>0.7476080689022282</v>
      </c>
      <c r="F21" s="25">
        <v>0.7795806047141821</v>
      </c>
      <c r="G21" s="25">
        <v>0.8027112074687729</v>
      </c>
      <c r="H21" s="25">
        <v>0.8202397037522404</v>
      </c>
    </row>
    <row r="22" spans="1:8" x14ac:dyDescent="0.25">
      <c r="A22" s="4" t="s">
        <v>325</v>
      </c>
      <c r="D22" s="45">
        <v>19.42</v>
      </c>
      <c r="E22" s="45">
        <v>26.29</v>
      </c>
      <c r="F22" s="45">
        <v>33.67</v>
      </c>
      <c r="G22" s="45">
        <v>41.59</v>
      </c>
      <c r="H22" s="45">
        <v>50.07</v>
      </c>
    </row>
    <row r="23" spans="1:8" x14ac:dyDescent="0.25">
      <c r="A23" s="4" t="s">
        <v>184</v>
      </c>
      <c r="D23" s="25">
        <v>0.5</v>
      </c>
      <c r="E23" s="25">
        <v>0.625</v>
      </c>
      <c r="F23" s="25">
        <v>0.75</v>
      </c>
      <c r="G23" s="25">
        <v>0.875</v>
      </c>
      <c r="H23" s="25">
        <v>1</v>
      </c>
    </row>
    <row r="24" spans="1:8" x14ac:dyDescent="0.25">
      <c r="A24" s="4" t="s">
        <v>362</v>
      </c>
      <c r="D24" s="23">
        <v>200</v>
      </c>
      <c r="E24" s="23">
        <v>250</v>
      </c>
      <c r="F24" s="23">
        <v>300</v>
      </c>
      <c r="G24" s="23">
        <v>350</v>
      </c>
      <c r="H24" s="23">
        <v>400</v>
      </c>
    </row>
    <row r="26" spans="1:8" x14ac:dyDescent="0.25">
      <c r="A26" s="8" t="s">
        <v>363</v>
      </c>
      <c r="B26" s="8"/>
      <c r="C26" s="8"/>
      <c r="D26" s="8"/>
      <c r="E26" s="8"/>
      <c r="F26" s="8"/>
      <c r="G26" s="8"/>
      <c r="H26" s="8"/>
    </row>
  </sheetData>
  <mergeCells count="2">
    <mergeCell ref="A1:H1"/>
    <mergeCell ref="A26:H26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Cover</vt:lpstr>
      <vt:lpstr>Instructions</vt:lpstr>
      <vt:lpstr>Assumptions</vt:lpstr>
      <vt:lpstr>Program Profile</vt:lpstr>
      <vt:lpstr>Enrollment Drivers</vt:lpstr>
      <vt:lpstr>Tuition &amp; Funding</vt:lpstr>
      <vt:lpstr>Staffing Drivers</vt:lpstr>
      <vt:lpstr>OpEx Drivers</vt:lpstr>
      <vt:lpstr>Capital Stack</vt:lpstr>
      <vt:lpstr>Enrollment Tuition Fcst</vt:lpstr>
      <vt:lpstr>Staffing Costs Fcst</vt:lpstr>
      <vt:lpstr>Budget Detail</vt:lpstr>
      <vt:lpstr>Budget Summary</vt:lpstr>
      <vt:lpstr>Monthly Cash Flow Y1</vt:lpstr>
      <vt:lpstr>5-Year Operating Stmt</vt:lpstr>
      <vt:lpstr>Debt Schedule</vt:lpstr>
      <vt:lpstr>Balance Sheet</vt:lpstr>
      <vt:lpstr>DSCR &amp; Covenants</vt:lpstr>
      <vt:lpstr>Sources &amp; Uses</vt:lpstr>
      <vt:lpstr>Scenarios</vt:lpstr>
      <vt:lpstr>Underwriting Snapshot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2026-03-25T22:36:51Z</dcterms:created>
  <dcterms:modified xsi:type="dcterms:W3CDTF">2026-03-25T22:36:51Z</dcterms:modified>
</cp:coreProperties>
</file>