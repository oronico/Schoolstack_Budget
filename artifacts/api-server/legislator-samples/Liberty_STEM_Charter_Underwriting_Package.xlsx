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ver" state="visible" r:id="rId4"/>
    <sheet sheetId="2" name="Instructions" state="visible" r:id="rId5"/>
    <sheet sheetId="3" name="Assumptions" state="visible" r:id="rId6"/>
    <sheet sheetId="4" name="Program Profile" state="visible" r:id="rId7"/>
    <sheet sheetId="5" name="Enrollment Drivers" state="visible" r:id="rId8"/>
    <sheet sheetId="6" name="Tuition &amp; Funding" state="visible" r:id="rId9"/>
    <sheet sheetId="7" name="Staffing Drivers" state="visible" r:id="rId10"/>
    <sheet sheetId="8" name="OpEx Drivers" state="visible" r:id="rId11"/>
    <sheet sheetId="9" name="Capital Stack" state="visible" r:id="rId12"/>
    <sheet sheetId="10" name="Enrollment Tuition Fcst" state="visible" r:id="rId13"/>
    <sheet sheetId="11" name="Staffing Costs Fcst" state="visible" r:id="rId14"/>
    <sheet sheetId="12" name="Budget Detail" state="visible" r:id="rId15"/>
    <sheet sheetId="13" name="Budget Summary" state="visible" r:id="rId16"/>
    <sheet sheetId="14" name="Monthly Cash Flow Y1" state="visible" r:id="rId17"/>
    <sheet sheetId="15" name="5-Year Operating Stmt" state="visible" r:id="rId18"/>
    <sheet sheetId="16" name="Debt Schedule" state="visible" r:id="rId19"/>
    <sheet sheetId="17" name="Balance Sheet" state="visible" r:id="rId20"/>
    <sheet sheetId="18" name="DSCR &amp; Covenants" state="visible" r:id="rId21"/>
    <sheet sheetId="19" name="Sources &amp; Uses" state="visible" r:id="rId22"/>
    <sheet sheetId="20" name="Scenarios" state="visible" r:id="rId23"/>
    <sheet sheetId="21" name="Underwriting Snapshot" state="visible" r:id="rId24"/>
  </sheets>
  <calcPr calcId="171027" fullCalcOnLoad="1"/>
</workbook>
</file>

<file path=xl/sharedStrings.xml><?xml version="1.0" encoding="utf-8"?>
<sst xmlns="http://schemas.openxmlformats.org/spreadsheetml/2006/main" count="726" uniqueCount="388">
  <si>
    <t>SchoolStack Budget</t>
  </si>
  <si>
    <t>5-Year Financial Model &amp; Underwriting Workbook</t>
  </si>
  <si>
    <t>School Name</t>
  </si>
  <si>
    <t>Liberty STEM Charter School</t>
  </si>
  <si>
    <t>School Type</t>
  </si>
  <si>
    <t>Charter School</t>
  </si>
  <si>
    <t>Entity Type</t>
  </si>
  <si>
    <t>501(c)(3) Nonprofit</t>
  </si>
  <si>
    <t>State</t>
  </si>
  <si>
    <t>AZ</t>
  </si>
  <si>
    <t>Fiscal Year Start</t>
  </si>
  <si>
    <t>Month 7</t>
  </si>
  <si>
    <t>Model Date</t>
  </si>
  <si>
    <t>March 25, 2026</t>
  </si>
  <si>
    <t>Stage</t>
  </si>
  <si>
    <t>Startup / Pre-Opening</t>
  </si>
  <si>
    <t>Funding Profile</t>
  </si>
  <si>
    <t/>
  </si>
  <si>
    <t>Table of Contents</t>
  </si>
  <si>
    <t>1.</t>
  </si>
  <si>
    <t>Cover</t>
  </si>
  <si>
    <t>2.</t>
  </si>
  <si>
    <t>Instructions</t>
  </si>
  <si>
    <t>3.</t>
  </si>
  <si>
    <t>Assumptions</t>
  </si>
  <si>
    <t>4.</t>
  </si>
  <si>
    <t>Program Profile</t>
  </si>
  <si>
    <t>5.</t>
  </si>
  <si>
    <t>Enrollment Drivers</t>
  </si>
  <si>
    <t>6.</t>
  </si>
  <si>
    <t>Tuition &amp; Funding</t>
  </si>
  <si>
    <t>7.</t>
  </si>
  <si>
    <t>Staffing Drivers</t>
  </si>
  <si>
    <t>8.</t>
  </si>
  <si>
    <t>OpEx Drivers</t>
  </si>
  <si>
    <t>9.</t>
  </si>
  <si>
    <t>Capital Stack</t>
  </si>
  <si>
    <t>10.</t>
  </si>
  <si>
    <t>Enrollment Tuition Fcst</t>
  </si>
  <si>
    <t>11.</t>
  </si>
  <si>
    <t>Staffing Costs Fcst</t>
  </si>
  <si>
    <t>12.</t>
  </si>
  <si>
    <t>Budget Detail</t>
  </si>
  <si>
    <t>13.</t>
  </si>
  <si>
    <t>Budget Summary</t>
  </si>
  <si>
    <t>14.</t>
  </si>
  <si>
    <t>Monthly Cash Flow Y1</t>
  </si>
  <si>
    <t>15.</t>
  </si>
  <si>
    <t>5-Year Operating Stmt</t>
  </si>
  <si>
    <t>16.</t>
  </si>
  <si>
    <t>Debt Schedule</t>
  </si>
  <si>
    <t>17.</t>
  </si>
  <si>
    <t>Balance Sheet</t>
  </si>
  <si>
    <t>18.</t>
  </si>
  <si>
    <t>DSCR &amp; Covenants</t>
  </si>
  <si>
    <t>19.</t>
  </si>
  <si>
    <t>Sources &amp; Uses</t>
  </si>
  <si>
    <t>20.</t>
  </si>
  <si>
    <t>Scenarios</t>
  </si>
  <si>
    <t>21.</t>
  </si>
  <si>
    <t>Underwriting Snapshot</t>
  </si>
  <si>
    <t>CONFIDENTIAL - Prepared by SchoolStack Budget (budget.schoolstack.ai)</t>
  </si>
  <si>
    <t>How to Use This Workbook</t>
  </si>
  <si>
    <t>Cell Color Legend</t>
  </si>
  <si>
    <t>Yellow cells are editable inputs — change these to update your model.</t>
  </si>
  <si>
    <t>White cells contain formulas — do not edit (they recalculate automatically).</t>
  </si>
  <si>
    <t>Green cells are key outputs and summary metrics.</t>
  </si>
  <si>
    <t>Navigation</t>
  </si>
  <si>
    <t>The Assumptions tab is the central control panel — all other tabs reference it.</t>
  </si>
  <si>
    <t>Structure</t>
  </si>
  <si>
    <t>Tabs 5-9: Drivers &amp; inputs</t>
  </si>
  <si>
    <t>Tabs 10-13: Forecasts &amp; budgets</t>
  </si>
  <si>
    <t>Tabs 14-17: Financial statements</t>
  </si>
  <si>
    <t>Tabs 18-21: Analysis &amp; underwriting</t>
  </si>
  <si>
    <t>Debt Service Convention</t>
  </si>
  <si>
    <t>operating expense on the 5-Year Operating Statement. This is a standard</t>
  </si>
  <si>
    <t>simplification used in school financial underwriting that ensures internal</t>
  </si>
  <si>
    <t>consistency across all tabs: the Cash Flow, Balance Sheet, and DSCR</t>
  </si>
  <si>
    <t>schedules all reference the same debt service figures. The Debt Schedule</t>
  </si>
  <si>
    <t>tab breaks out interest and principal separately for detailed analysis.</t>
  </si>
  <si>
    <t>Tips</t>
  </si>
  <si>
    <t>Review the Budget Summary for a high-level view.</t>
  </si>
  <si>
    <t>Check DSCR &amp; Covenants for lender readiness.</t>
  </si>
  <si>
    <t>The Underwriting Snapshot provides a one-page summary.</t>
  </si>
  <si>
    <t>Disclaimer</t>
  </si>
  <si>
    <t>a loan commitment, or a guarantee of funding. All projections are based on</t>
  </si>
  <si>
    <t>user-provided assumptions and should be independently verified.</t>
  </si>
  <si>
    <t>Liberty STEM Charter School - Assumptions</t>
  </si>
  <si>
    <t>Yellow cells are editable inputs. All other cells are formulas.</t>
  </si>
  <si>
    <t>SCHOOL PROFILE</t>
  </si>
  <si>
    <t>EIN</t>
  </si>
  <si>
    <t>Fiscal Year Start Month</t>
  </si>
  <si>
    <t>Max Capacity</t>
  </si>
  <si>
    <t>ENROLLMENT</t>
  </si>
  <si>
    <t>Year 1</t>
  </si>
  <si>
    <t>Year 2</t>
  </si>
  <si>
    <t>Year 3</t>
  </si>
  <si>
    <t>Year 4</t>
  </si>
  <si>
    <t>Year 5</t>
  </si>
  <si>
    <t>Total Students</t>
  </si>
  <si>
    <t>REVENUE DRIVERS</t>
  </si>
  <si>
    <t>Line Item</t>
  </si>
  <si>
    <t>Category</t>
  </si>
  <si>
    <t>Driver</t>
  </si>
  <si>
    <t>Amount</t>
  </si>
  <si>
    <t>Escalation %</t>
  </si>
  <si>
    <t>State Per-Pupil Funding (K-5)</t>
  </si>
  <si>
    <t>Public Funding</t>
  </si>
  <si>
    <t>Per Student</t>
  </si>
  <si>
    <t>State Per-Pupil Funding (6-8)</t>
  </si>
  <si>
    <t>Title I Federal Funding</t>
  </si>
  <si>
    <t>Charter Startup Grant (CSPP)</t>
  </si>
  <si>
    <t>Philanthropy</t>
  </si>
  <si>
    <t>Annual Fixed</t>
  </si>
  <si>
    <t>After-School &amp; Summer Programs</t>
  </si>
  <si>
    <t>Other Revenue</t>
  </si>
  <si>
    <t>STAFFING</t>
  </si>
  <si>
    <t>Role</t>
  </si>
  <si>
    <t>Type</t>
  </si>
  <si>
    <t>FTE</t>
  </si>
  <si>
    <t>Rate</t>
  </si>
  <si>
    <t>Benefits %</t>
  </si>
  <si>
    <t>Tax %</t>
  </si>
  <si>
    <t>Executive Director</t>
  </si>
  <si>
    <t>School Leadership</t>
  </si>
  <si>
    <t>full_time</t>
  </si>
  <si>
    <t>Principal</t>
  </si>
  <si>
    <t>Dean of Students</t>
  </si>
  <si>
    <t>STEM Teachers</t>
  </si>
  <si>
    <t>Instructional</t>
  </si>
  <si>
    <t>General Teachers</t>
  </si>
  <si>
    <t>Special Education Staff</t>
  </si>
  <si>
    <t>Student Support</t>
  </si>
  <si>
    <t>Office &amp; Finance Staff</t>
  </si>
  <si>
    <t>Administrative</t>
  </si>
  <si>
    <t>Custodial / Maintenance</t>
  </si>
  <si>
    <t>Operations</t>
  </si>
  <si>
    <t>OPERATING EXPENSES</t>
  </si>
  <si>
    <t>STEM Lab Equipment &amp; Curriculum</t>
  </si>
  <si>
    <t>Instructional / Program</t>
  </si>
  <si>
    <t>1:1 Chromebooks + Infrastructure</t>
  </si>
  <si>
    <t>Technology</t>
  </si>
  <si>
    <t>Utilities &amp; Building Maintenance</t>
  </si>
  <si>
    <t>Occupancy / Facility</t>
  </si>
  <si>
    <t>Insurance (GL, D&amp;O, Workers Comp)</t>
  </si>
  <si>
    <t>Administrative / General</t>
  </si>
  <si>
    <t>Legal, Audit &amp; Compliance</t>
  </si>
  <si>
    <t>Student Transportation</t>
  </si>
  <si>
    <t>Food Service (subsidized)</t>
  </si>
  <si>
    <t>Marketing &amp; Community Outreach</t>
  </si>
  <si>
    <t>CAPITAL &amp; DEBT</t>
  </si>
  <si>
    <t>Instrument</t>
  </si>
  <si>
    <t>Term (Yrs)</t>
  </si>
  <si>
    <t>Facility Build-Out (Phase 1)</t>
  </si>
  <si>
    <t>Capital</t>
  </si>
  <si>
    <t>Facility Expansion Loan</t>
  </si>
  <si>
    <t>Loan</t>
  </si>
  <si>
    <t>Equipment Financing</t>
  </si>
  <si>
    <t>GROWTH &amp; TIMING</t>
  </si>
  <si>
    <t>Salary Escalation Rate</t>
  </si>
  <si>
    <t>Salary input or tuition escalation fallback</t>
  </si>
  <si>
    <t>Cost Inflation Rate</t>
  </si>
  <si>
    <t>Cost inflation input or tuition escalation fallback</t>
  </si>
  <si>
    <t>Year 1 Proration Factor</t>
  </si>
  <si>
    <t>Starting Cash</t>
  </si>
  <si>
    <t>Debt Included</t>
  </si>
  <si>
    <t>Yes</t>
  </si>
  <si>
    <t>CHARTER FUNDING DETAILS</t>
  </si>
  <si>
    <t>Enrollment Revenue Method</t>
  </si>
  <si>
    <t>ADM (Avg Daily Membership)</t>
  </si>
  <si>
    <t>Charter Deposit Timing</t>
  </si>
  <si>
    <t>Monthly</t>
  </si>
  <si>
    <t>Prior-Year ADM</t>
  </si>
  <si>
    <t>Prior-Year ADA</t>
  </si>
  <si>
    <t>Attendance Ratio (ADA ÷ ADM)</t>
  </si>
  <si>
    <t>Per-Pupil Rate</t>
  </si>
  <si>
    <t>K-5</t>
  </si>
  <si>
    <t>6-8</t>
  </si>
  <si>
    <t>9-12</t>
  </si>
  <si>
    <t>Rate per Student</t>
  </si>
  <si>
    <t>Grade-Band Enrollment</t>
  </si>
  <si>
    <t xml:space="preserve">  K-5</t>
  </si>
  <si>
    <t xml:space="preserve">  6-8</t>
  </si>
  <si>
    <t xml:space="preserve">  9-12</t>
  </si>
  <si>
    <t>School Model</t>
  </si>
  <si>
    <t>charter</t>
  </si>
  <si>
    <t>Financial Label Convention</t>
  </si>
  <si>
    <t>Nonprofit (Change in Net Assets / Net Assets)</t>
  </si>
  <si>
    <t>Funding Mix</t>
  </si>
  <si>
    <t>7</t>
  </si>
  <si>
    <t>Year 1 Operating Months</t>
  </si>
  <si>
    <t>10</t>
  </si>
  <si>
    <t>Proration Factor</t>
  </si>
  <si>
    <t>83.3%</t>
  </si>
  <si>
    <t>600</t>
  </si>
  <si>
    <t>Accredited</t>
  </si>
  <si>
    <t>No</t>
  </si>
  <si>
    <t>Location</t>
  </si>
  <si>
    <t>, ,</t>
  </si>
  <si>
    <t>Facility</t>
  </si>
  <si>
    <t>Leased</t>
  </si>
  <si>
    <t>TOTAL ENROLLMENT</t>
  </si>
  <si>
    <t>Capacity Utilization</t>
  </si>
  <si>
    <t>Enrollment Growth Rate</t>
  </si>
  <si>
    <t>-</t>
  </si>
  <si>
    <t>Tuition &amp; Funding Drivers</t>
  </si>
  <si>
    <t>REVENUE BY LINE ITEM</t>
  </si>
  <si>
    <t>State Per-Pupil Funding (K-5) (Public Funding)</t>
  </si>
  <si>
    <t>State Per-Pupil Funding (6-8) (Public Funding)</t>
  </si>
  <si>
    <t>Title I Federal Funding (Public Funding)</t>
  </si>
  <si>
    <t>Charter Startup Grant (CSPP) (Philanthropy)</t>
  </si>
  <si>
    <t>After-School &amp; Summer Programs (Other Revenue)</t>
  </si>
  <si>
    <t>TOTAL REVENUE</t>
  </si>
  <si>
    <t>Base Rate</t>
  </si>
  <si>
    <t>Loaded Cost</t>
  </si>
  <si>
    <t>5-YEAR TOTAL PERSONNEL COST</t>
  </si>
  <si>
    <t>Total Personnel</t>
  </si>
  <si>
    <t>Personnel as % of Revenue</t>
  </si>
  <si>
    <t>Students per FTE</t>
  </si>
  <si>
    <t>Operating Expense Drivers</t>
  </si>
  <si>
    <t xml:space="preserve">  STEM Lab Equipment &amp; Curriculum</t>
  </si>
  <si>
    <t xml:space="preserve">  Student Transportation</t>
  </si>
  <si>
    <t xml:space="preserve">  Food Service (subsidized)</t>
  </si>
  <si>
    <t>Total Instructional / Program</t>
  </si>
  <si>
    <t xml:space="preserve">  1:1 Chromebooks + Infrastructure</t>
  </si>
  <si>
    <t>Total Technology</t>
  </si>
  <si>
    <t xml:space="preserve">  Utilities &amp; Building Maintenance</t>
  </si>
  <si>
    <t>Total Occupancy / Facility</t>
  </si>
  <si>
    <t xml:space="preserve">  Insurance (GL, D&amp;O, Workers Comp)</t>
  </si>
  <si>
    <t xml:space="preserve">  Legal, Audit &amp; Compliance</t>
  </si>
  <si>
    <t xml:space="preserve">  Marketing &amp; Community Outreach</t>
  </si>
  <si>
    <t>Total Administrative / General</t>
  </si>
  <si>
    <t>TOTAL OPERATING EXPENSES</t>
  </si>
  <si>
    <t>Capital Stack &amp; Loan Terms</t>
  </si>
  <si>
    <t>Annual Payment</t>
  </si>
  <si>
    <t>Capital Expense</t>
  </si>
  <si>
    <t>Total Annual Debt Service</t>
  </si>
  <si>
    <t>Total Loan Principal</t>
  </si>
  <si>
    <t>Enrollment &amp; Tuition Forecast</t>
  </si>
  <si>
    <t>REVENUE FORECAST</t>
  </si>
  <si>
    <t>Revenue per Student</t>
  </si>
  <si>
    <t>Staffing Costs Forecast</t>
  </si>
  <si>
    <t xml:space="preserve">  STEM Teachers</t>
  </si>
  <si>
    <t xml:space="preserve">  General Teachers</t>
  </si>
  <si>
    <t>Total Instructional</t>
  </si>
  <si>
    <t xml:space="preserve">  Executive Director</t>
  </si>
  <si>
    <t xml:space="preserve">  Principal</t>
  </si>
  <si>
    <t xml:space="preserve">  Dean of Students</t>
  </si>
  <si>
    <t>Total School Leadership</t>
  </si>
  <si>
    <t xml:space="preserve">  Special Education Staff</t>
  </si>
  <si>
    <t>Total Student Support</t>
  </si>
  <si>
    <t xml:space="preserve">  Custodial / Maintenance</t>
  </si>
  <si>
    <t>Total Operations</t>
  </si>
  <si>
    <t xml:space="preserve">  Office &amp; Finance Staff</t>
  </si>
  <si>
    <t>Total Administrative</t>
  </si>
  <si>
    <t>TOTAL PERSONNEL</t>
  </si>
  <si>
    <t>Liberty STEM Charter School - Budget Detail</t>
  </si>
  <si>
    <t>REVENUE</t>
  </si>
  <si>
    <t xml:space="preserve">  State Per-Pupil Funding (K-5)</t>
  </si>
  <si>
    <t xml:space="preserve">  State Per-Pupil Funding (6-8)</t>
  </si>
  <si>
    <t xml:space="preserve">  Title I Federal Funding</t>
  </si>
  <si>
    <t xml:space="preserve">  Charter Startup Grant (CSPP)</t>
  </si>
  <si>
    <t xml:space="preserve">  After-School &amp; Summer Programs</t>
  </si>
  <si>
    <t>Total Revenue</t>
  </si>
  <si>
    <t>PERSONNEL</t>
  </si>
  <si>
    <t xml:space="preserve">    STEM Lab Equipment &amp; Curriculum</t>
  </si>
  <si>
    <t xml:space="preserve">    Student Transportation</t>
  </si>
  <si>
    <t xml:space="preserve">    Food Service (subsidized)</t>
  </si>
  <si>
    <t xml:space="preserve">  Total Instructional / Program</t>
  </si>
  <si>
    <t xml:space="preserve">    1:1 Chromebooks + Infrastructure</t>
  </si>
  <si>
    <t xml:space="preserve">    Utilities &amp; Building Maintenance</t>
  </si>
  <si>
    <t xml:space="preserve">    Insurance (GL, D&amp;O, Workers Comp)</t>
  </si>
  <si>
    <t xml:space="preserve">    Legal, Audit &amp; Compliance</t>
  </si>
  <si>
    <t xml:space="preserve">    Marketing &amp; Community Outreach</t>
  </si>
  <si>
    <t xml:space="preserve">  Total Administrative / General</t>
  </si>
  <si>
    <t>Total Operating Expenses</t>
  </si>
  <si>
    <t>CAPITAL &amp; DEBT SERVICE</t>
  </si>
  <si>
    <t xml:space="preserve">  Facility Build-Out (Phase 1)</t>
  </si>
  <si>
    <t xml:space="preserve">  Facility Expansion Loan</t>
  </si>
  <si>
    <t xml:space="preserve">  Equipment Financing</t>
  </si>
  <si>
    <t>Total Capital &amp; Debt</t>
  </si>
  <si>
    <t>Liberty STEM Charter School - Budget Summary</t>
  </si>
  <si>
    <t>Total Capital &amp; Debt Service</t>
  </si>
  <si>
    <t>Total Expenses</t>
  </si>
  <si>
    <t>KEY METRICS</t>
  </si>
  <si>
    <t>Change in Net Assets</t>
  </si>
  <si>
    <t>Net Margin %</t>
  </si>
  <si>
    <t>Cumulative Change in Net Assets</t>
  </si>
  <si>
    <t>Cost per Student</t>
  </si>
  <si>
    <t>Liberty STEM Charter School - Year 1 Monthly Cash Flow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</si>
  <si>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</si>
  <si>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</si>
  <si>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</si>
  <si>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</si>
  <si>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</si>
  <si>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</si>
  <si>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</si>
  <si>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</si>
  <si>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</si>
  <si>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</si>
  <si>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</si>
  <si>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</si>
  <si>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Total</t>
  </si>
  <si>
    <t>EXPENSES</t>
  </si>
  <si>
    <t>Personnel</t>
  </si>
  <si>
    <t>Operating Expenses</t>
  </si>
  <si>
    <t>Debt Service</t>
  </si>
  <si>
    <t>CASH FLOW</t>
  </si>
  <si>
    <t>Net Cash Flow</t>
  </si>
  <si>
    <t>Cumulative Cash</t>
  </si>
  <si>
    <t>CASH FLOW METRICS</t>
  </si>
  <si>
    <t>Ending Cash (Month 12)</t>
  </si>
  <si>
    <t>Minimum Cash Month</t>
  </si>
  <si>
    <t>Liberty STEM Charter School - 5-Year Operating Statement</t>
  </si>
  <si>
    <t>Capital &amp; Debt Service</t>
  </si>
  <si>
    <t>BOTTOM LINE</t>
  </si>
  <si>
    <t>LOAN TERMS</t>
  </si>
  <si>
    <t>Loan Name</t>
  </si>
  <si>
    <t>Annual Rate</t>
  </si>
  <si>
    <t>Term (Years)</t>
  </si>
  <si>
    <t>AMORTIZATION: Facility Expansion Loan</t>
  </si>
  <si>
    <t>Beginning Balance</t>
  </si>
  <si>
    <t>Interest</t>
  </si>
  <si>
    <t>Principal Payment</t>
  </si>
  <si>
    <t>Total Payment</t>
  </si>
  <si>
    <t>Ending Balance</t>
  </si>
  <si>
    <t>AMORTIZATION: Equipment Financing</t>
  </si>
  <si>
    <t>TOTAL ALL LOANS</t>
  </si>
  <si>
    <t>Total Debt Service</t>
  </si>
  <si>
    <t>Total Outstanding Debt</t>
  </si>
  <si>
    <t>Liberty STEM Charter School - Balance Sheet</t>
  </si>
  <si>
    <t>ASSETS</t>
  </si>
  <si>
    <t>Cash &amp; Equivalents</t>
  </si>
  <si>
    <t>Accounts Receivable</t>
  </si>
  <si>
    <t>Fixed Assets</t>
  </si>
  <si>
    <t>Other Assets</t>
  </si>
  <si>
    <t>Total Assets</t>
  </si>
  <si>
    <t>LIABILITIES</t>
  </si>
  <si>
    <t>Accounts Payable</t>
  </si>
  <si>
    <t>Long-Term Debt</t>
  </si>
  <si>
    <t>Total Liabilities</t>
  </si>
  <si>
    <t>NET ASSETS</t>
  </si>
  <si>
    <t>Net Assets</t>
  </si>
  <si>
    <t>Balance Check (should = 0)</t>
  </si>
  <si>
    <t>DSCR &amp; Covenant Checks</t>
  </si>
  <si>
    <t>CASH FLOW &amp; DEBT</t>
  </si>
  <si>
    <t>Revenue</t>
  </si>
  <si>
    <t>CFADS (Rev - Pers - OpEx)</t>
  </si>
  <si>
    <t>DSCR</t>
  </si>
  <si>
    <t>LIQUIDITY METRICS</t>
  </si>
  <si>
    <t>Ending Cash</t>
  </si>
  <si>
    <t>Days Cash on Hand</t>
  </si>
  <si>
    <t>Months of Runway</t>
  </si>
  <si>
    <t>BREAK-EVEN ANALYSIS</t>
  </si>
  <si>
    <t>Fixed Costs (Pers + Debt)</t>
  </si>
  <si>
    <t>Variable Cost per Student (OpEx)</t>
  </si>
  <si>
    <t>Break-Even Enrollment</t>
  </si>
  <si>
    <t>COVENANT CHECKS</t>
  </si>
  <si>
    <t>DSCR ≥ 1.15x</t>
  </si>
  <si>
    <t>PASS</t>
  </si>
  <si>
    <t>Positive Net Income</t>
  </si>
  <si>
    <t>Capacity ≥ 70%</t>
  </si>
  <si>
    <t>FAIL</t>
  </si>
  <si>
    <t>Cash Reserve ≥ 3 months</t>
  </si>
  <si>
    <t>Days Cash ≥ 45</t>
  </si>
  <si>
    <t>SOURCES</t>
  </si>
  <si>
    <t>USES</t>
  </si>
  <si>
    <t>Working Capital</t>
  </si>
  <si>
    <t>Total Sources</t>
  </si>
  <si>
    <t>Total Uses</t>
  </si>
  <si>
    <t>Sources - Uses (should = 0)</t>
  </si>
  <si>
    <t>Scenario Analysis</t>
  </si>
  <si>
    <t>CONSERVATIVE (25% FEWER STUDENTS)</t>
  </si>
  <si>
    <t>Enrollment: -25%  |  Revenue: +0%  |  Staffing: -10%  |  Facility: +0%  |  Expenses: +0%</t>
  </si>
  <si>
    <t>STATE FUNDING CUT (-10%)</t>
  </si>
  <si>
    <t>Enrollment: +0%  |  Revenue: -10%  |  Staffing: +0%  |  Facility: +0%  |  Expenses: +0%</t>
  </si>
  <si>
    <t>FULL CAPACITY AHEAD OF PLAN</t>
  </si>
  <si>
    <t>Enrollment: +15%  |  Revenue: +0%  |  Staffing: +10%  |  Facility: +0%  |  Expenses: +5%</t>
  </si>
  <si>
    <t>Underwriting Snapshot - Loan Committee Summary</t>
  </si>
  <si>
    <t>Entity</t>
  </si>
  <si>
    <t>Funding</t>
  </si>
  <si>
    <t>5-YEAR FINANCIAL TREND</t>
  </si>
  <si>
    <t>Cash Position</t>
  </si>
  <si>
    <t>Outstanding Debt</t>
  </si>
  <si>
    <t>KEY RATIOS</t>
  </si>
  <si>
    <t>Net Margin</t>
  </si>
  <si>
    <t>Enrollment</t>
  </si>
  <si>
    <t>Prepared by SchoolStack Budget - budget.schoolstack.ai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</si>
</sst>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;#,##0;&quot;-&quot;"/>
    <numFmt numFmtId="165" formatCode="_(&quot;$&quot;* #,##0_);_(&quot;$&quot;* (#,##0);_(&quot;$&quot;* &quot;-&quot;??_);_(@_)"/>
    <numFmt numFmtId="166" formatCode="0.0%;[Red](0.0%);&quot;-&quot;"/>
    <numFmt numFmtId="167" formatCode="0.0"/>
    <numFmt numFmtId="168" formatCode="0.00x"/>
  </numFmts>
  <fonts count="15" x14ac:knownFonts="1">
    <font>
      <color theme="1"/>
      <family val="2"/>
      <scheme val="minor"/>
      <sz val="11"/>
      <name val="Calibri"/>
    </font>
    <font>
      <b/>
      <color rgb="FF328555"/>
      <sz val="22"/>
      <name val="Calibri"/>
    </font>
    <font>
      <b/>
      <color rgb="FF1E293B"/>
      <sz val="14"/>
      <name val="Calibri"/>
    </font>
    <font>
      <b/>
      <sz val="11"/>
      <name val="Calibri"/>
    </font>
    <font>
      <sz val="11"/>
      <name val="Calibri"/>
    </font>
    <font>
      <b/>
      <color rgb="FF1E293B"/>
      <sz val="13"/>
      <name val="Calibri"/>
    </font>
    <font>
      <u/>
      <color rgb="FF328555"/>
      <sz val="11"/>
      <name val="Calibri"/>
    </font>
    <font>
      <i/>
      <color rgb="FF999999"/>
      <sz val="11"/>
      <name val="Calibri"/>
    </font>
    <font>
      <b/>
      <color rgb="FF1E293B"/>
      <sz val="16"/>
      <name val="Calibri"/>
    </font>
    <font>
      <b/>
      <color rgb="FF1E293B"/>
      <sz val="11"/>
      <name val="Calibri"/>
    </font>
    <font>
      <i/>
      <color rgb="FF666666"/>
      <sz val="11"/>
      <name val="Calibri"/>
    </font>
    <font>
      <b/>
      <color rgb="FFFFFFFF"/>
      <sz val="11"/>
      <name val="Calibri"/>
    </font>
    <font>
      <i/>
      <color rgb="FF808080"/>
      <sz val="11"/>
      <name val="Calibri"/>
    </font>
    <font>
      <b/>
      <color rgb="FF328555"/>
      <sz val="11"/>
      <name val="Calibri"/>
    </font>
    <font>
      <b/>
      <color rgb="FFFF00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E8EDF2"/>
      </patternFill>
    </fill>
    <fill>
      <patternFill patternType="solid">
        <fgColor rgb="FFFFFDE8"/>
      </patternFill>
    </fill>
    <fill>
      <patternFill patternType="solid">
        <fgColor rgb="FF1E293B"/>
      </patternFill>
    </fill>
    <fill>
      <patternFill patternType="solid">
        <fgColor rgb="FFE8F5E9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1E293B"/>
      </top>
      <bottom style="double">
        <color rgb="FF1E293B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9" fillId="0" borderId="0" xfId="0" applyFont="1"/>
    <xf numFmtId="0" fontId="2" fillId="0" borderId="0" xfId="0" applyFont="1"/>
    <xf numFmtId="0" fontId="10" fillId="0" borderId="0" xfId="0" applyFont="1"/>
    <xf numFmtId="0" fontId="9" fillId="2" borderId="1" xfId="0" applyFont="1" applyFill="1" applyBorder="1"/>
    <xf numFmtId="0" fontId="4" fillId="3" borderId="1" xfId="0" applyFont="1" applyFill="1" applyBorder="1"/>
    <xf numFmtId="0" fontId="11" fillId="4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/>
    <xf numFmtId="165" fontId="4" fillId="3" borderId="1" xfId="0" applyNumberFormat="1" applyFont="1" applyFill="1" applyBorder="1"/>
    <xf numFmtId="166" fontId="4" fillId="3" borderId="1" xfId="0" applyNumberFormat="1" applyFont="1" applyFill="1" applyBorder="1"/>
    <xf numFmtId="2" fontId="4" fillId="3" borderId="1" xfId="0" applyNumberFormat="1" applyFont="1" applyFill="1" applyBorder="1"/>
    <xf numFmtId="0" fontId="12" fillId="0" borderId="0" xfId="0" applyFont="1"/>
    <xf numFmtId="10" fontId="4" fillId="0" borderId="1" xfId="0" applyNumberFormat="1" applyFont="1" applyBorder="1"/>
    <xf numFmtId="164" fontId="3" fillId="5" borderId="2" xfId="0" applyNumberFormat="1" applyFont="1" applyFill="1" applyBorder="1"/>
    <xf numFmtId="164" fontId="4" fillId="0" borderId="1" xfId="0" applyNumberFormat="1" applyFont="1" applyBorder="1"/>
    <xf numFmtId="166" fontId="4" fillId="5" borderId="1" xfId="0" applyNumberFormat="1" applyFont="1" applyFill="1" applyBorder="1"/>
    <xf numFmtId="166" fontId="4" fillId="0" borderId="1" xfId="0" applyNumberFormat="1" applyFont="1" applyBorder="1"/>
    <xf numFmtId="165" fontId="4" fillId="0" borderId="1" xfId="0" applyNumberFormat="1" applyFont="1" applyBorder="1"/>
    <xf numFmtId="165" fontId="3" fillId="5" borderId="2" xfId="0" applyNumberFormat="1" applyFont="1" applyFill="1" applyBorder="1"/>
    <xf numFmtId="2" fontId="4" fillId="0" borderId="1" xfId="0" applyNumberFormat="1" applyFont="1" applyBorder="1"/>
    <xf numFmtId="165" fontId="3" fillId="0" borderId="1" xfId="0" applyNumberFormat="1" applyFont="1" applyBorder="1"/>
    <xf numFmtId="167" fontId="4" fillId="0" borderId="1" xfId="0" applyNumberFormat="1" applyFont="1" applyBorder="1"/>
    <xf numFmtId="165" fontId="3" fillId="0" borderId="2" xfId="0" applyNumberFormat="1" applyFont="1" applyBorder="1"/>
    <xf numFmtId="164" fontId="3" fillId="0" borderId="1" xfId="0" applyNumberFormat="1" applyFont="1" applyBorder="1"/>
    <xf numFmtId="0" fontId="3" fillId="0" borderId="0" xfId="0" applyFont="1"/>
    <xf numFmtId="165" fontId="3" fillId="5" borderId="1" xfId="0" applyNumberFormat="1" applyFont="1" applyFill="1" applyBorder="1"/>
    <xf numFmtId="0" fontId="3" fillId="0" borderId="2" xfId="0" applyFont="1" applyBorder="1"/>
    <xf numFmtId="0" fontId="9" fillId="0" borderId="1" xfId="0" applyFont="1" applyBorder="1"/>
    <xf numFmtId="165" fontId="9" fillId="0" borderId="1" xfId="0" applyNumberFormat="1" applyFont="1" applyBorder="1"/>
    <xf numFmtId="166" fontId="9" fillId="0" borderId="1" xfId="0" applyNumberFormat="1" applyFont="1" applyBorder="1"/>
    <xf numFmtId="165" fontId="4" fillId="5" borderId="1" xfId="0" applyNumberFormat="1" applyFont="1" applyFill="1" applyBorder="1"/>
    <xf numFmtId="165" fontId="13" fillId="0" borderId="1" xfId="0" applyNumberFormat="1" applyFont="1" applyBorder="1"/>
    <xf numFmtId="168" fontId="3" fillId="5" borderId="1" xfId="0" applyNumberFormat="1" applyFont="1" applyFill="1" applyBorder="1"/>
    <xf numFmtId="164" fontId="3" fillId="5" borderId="1" xfId="0" applyNumberFormat="1" applyFont="1" applyFill="1" applyBorder="1"/>
    <xf numFmtId="0" fontId="13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11" fillId="4" borderId="1" xfId="0" applyFont="1" applyFill="1" applyBorder="1"/>
    <xf numFmtId="168" fontId="4" fillId="0" borderId="1" xfId="0" applyNumberFormat="1" applyFont="1" applyBorder="1"/>
    <xf numFmtId="0" fontId="1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Cover&apos;!A1" TargetMode="External"/><Relationship Id="rId2" Type="http://schemas.openxmlformats.org/officeDocument/2006/relationships/hyperlink" Target="#&apos;Instructions&apos;!A1" TargetMode="External"/><Relationship Id="rId3" Type="http://schemas.openxmlformats.org/officeDocument/2006/relationships/hyperlink" Target="#&apos;Assumptions&apos;!A1" TargetMode="External"/><Relationship Id="rId4" Type="http://schemas.openxmlformats.org/officeDocument/2006/relationships/hyperlink" Target="#&apos;Program Profile&apos;!A1" TargetMode="External"/><Relationship Id="rId5" Type="http://schemas.openxmlformats.org/officeDocument/2006/relationships/hyperlink" Target="#&apos;Enrollment Drivers&apos;!A1" TargetMode="External"/><Relationship Id="rId6" Type="http://schemas.openxmlformats.org/officeDocument/2006/relationships/hyperlink" Target="#&apos;Tuition &amp; Funding&apos;!A1" TargetMode="External"/><Relationship Id="rId7" Type="http://schemas.openxmlformats.org/officeDocument/2006/relationships/hyperlink" Target="#&apos;Staffing Drivers&apos;!A1" TargetMode="External"/><Relationship Id="rId8" Type="http://schemas.openxmlformats.org/officeDocument/2006/relationships/hyperlink" Target="#&apos;OpEx Drivers&apos;!A1" TargetMode="External"/><Relationship Id="rId9" Type="http://schemas.openxmlformats.org/officeDocument/2006/relationships/hyperlink" Target="#&apos;Capital Stack&apos;!A1" TargetMode="External"/><Relationship Id="rId10" Type="http://schemas.openxmlformats.org/officeDocument/2006/relationships/hyperlink" Target="#&apos;Enrollment Tuition Fcst&apos;!A1" TargetMode="External"/><Relationship Id="rId11" Type="http://schemas.openxmlformats.org/officeDocument/2006/relationships/hyperlink" Target="#&apos;Staffing Costs Fcst&apos;!A1" TargetMode="External"/><Relationship Id="rId12" Type="http://schemas.openxmlformats.org/officeDocument/2006/relationships/hyperlink" Target="#&apos;Budget Detail&apos;!A1" TargetMode="External"/><Relationship Id="rId13" Type="http://schemas.openxmlformats.org/officeDocument/2006/relationships/hyperlink" Target="#&apos;Budget Summary&apos;!A1" TargetMode="External"/><Relationship Id="rId14" Type="http://schemas.openxmlformats.org/officeDocument/2006/relationships/hyperlink" Target="#&apos;Monthly Cash Flow Y1&apos;!A1" TargetMode="External"/><Relationship Id="rId15" Type="http://schemas.openxmlformats.org/officeDocument/2006/relationships/hyperlink" Target="#&apos;5-Year Operating Stmt&apos;!A1" TargetMode="External"/><Relationship Id="rId16" Type="http://schemas.openxmlformats.org/officeDocument/2006/relationships/hyperlink" Target="#&apos;Debt Schedule&apos;!A1" TargetMode="External"/><Relationship Id="rId17" Type="http://schemas.openxmlformats.org/officeDocument/2006/relationships/hyperlink" Target="#&apos;Balance Sheet&apos;!A1" TargetMode="External"/><Relationship Id="rId18" Type="http://schemas.openxmlformats.org/officeDocument/2006/relationships/hyperlink" Target="#&apos;DSCR &amp; Covenants&apos;!A1" TargetMode="External"/><Relationship Id="rId19" Type="http://schemas.openxmlformats.org/officeDocument/2006/relationships/hyperlink" Target="#&apos;Sources &amp; Uses&apos;!A1" TargetMode="External"/><Relationship Id="rId20" Type="http://schemas.openxmlformats.org/officeDocument/2006/relationships/hyperlink" Target="#&apos;Scenarios&apos;!A1" TargetMode="External"/><Relationship Id="rId21" Type="http://schemas.openxmlformats.org/officeDocument/2006/relationships/hyperlink" Target="#&apos;Underwriting Snapshot&apos;!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3:C42"/>
  <sheetFormatPr defaultRowHeight="15" outlineLevelRow="0" outlineLevelCol="0" x14ac:dyDescent="55"/>
  <cols>
    <col min="1" max="1" width="4" customWidth="1"/>
    <col min="2" max="3" width="40" customWidth="1"/>
    <col min="4" max="4" width="4" customWidth="1"/>
  </cols>
  <sheetData>
    <row r="3" spans="2:3" x14ac:dyDescent="0.25">
      <c r="B3" s="1" t="s">
        <v>0</v>
      </c>
      <c r="C3" s="1"/>
    </row>
    <row r="5" spans="2:3" x14ac:dyDescent="0.25">
      <c r="B5" s="2" t="s">
        <v>1</v>
      </c>
      <c r="C5" s="2"/>
    </row>
    <row r="8" spans="2:3" x14ac:dyDescent="0.25">
      <c r="B8" s="3" t="s">
        <v>2</v>
      </c>
      <c r="C8" s="4" t="s">
        <v>3</v>
      </c>
    </row>
    <row r="9" spans="2:3" x14ac:dyDescent="0.25">
      <c r="B9" s="3" t="s">
        <v>4</v>
      </c>
      <c r="C9" s="4" t="s">
        <v>5</v>
      </c>
    </row>
    <row r="10" spans="2:3" x14ac:dyDescent="0.25">
      <c r="B10" s="3" t="s">
        <v>6</v>
      </c>
      <c r="C10" s="4" t="s">
        <v>7</v>
      </c>
    </row>
    <row r="11" spans="2:3" x14ac:dyDescent="0.25">
      <c r="B11" s="3" t="s">
        <v>8</v>
      </c>
      <c r="C11" s="4" t="s">
        <v>9</v>
      </c>
    </row>
    <row r="12" spans="2:3" x14ac:dyDescent="0.25">
      <c r="B12" s="3" t="s">
        <v>10</v>
      </c>
      <c r="C12" s="4" t="s">
        <v>11</v>
      </c>
    </row>
    <row r="13" spans="2:3" x14ac:dyDescent="0.25">
      <c r="B13" s="3" t="s">
        <v>12</v>
      </c>
      <c r="C13" s="4" t="s">
        <v>13</v>
      </c>
    </row>
    <row r="14" spans="2:3" x14ac:dyDescent="0.25">
      <c r="B14" s="3" t="s">
        <v>14</v>
      </c>
      <c r="C14" s="4" t="s">
        <v>15</v>
      </c>
    </row>
    <row r="15" spans="2:3" x14ac:dyDescent="0.25">
      <c r="B15" s="3" t="s">
        <v>16</v>
      </c>
      <c r="C15" s="4" t="s">
        <v>17</v>
      </c>
    </row>
    <row r="18" spans="2:3" x14ac:dyDescent="0.25">
      <c r="B18" s="5" t="s">
        <v>18</v>
      </c>
      <c r="C18" s="5"/>
    </row>
    <row r="19" spans="2:3" x14ac:dyDescent="0.25">
      <c r="B19" s="6" t="s">
        <v>19</v>
      </c>
      <c r="C19" s="7" t="s">
        <v>20</v>
      </c>
    </row>
    <row r="20" spans="2:3" x14ac:dyDescent="0.25">
      <c r="B20" s="6" t="s">
        <v>21</v>
      </c>
      <c r="C20" s="7" t="s">
        <v>22</v>
      </c>
    </row>
    <row r="21" spans="2:3" x14ac:dyDescent="0.25">
      <c r="B21" s="6" t="s">
        <v>23</v>
      </c>
      <c r="C21" s="7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6" t="s">
        <v>27</v>
      </c>
      <c r="C23" s="7" t="s">
        <v>28</v>
      </c>
    </row>
    <row r="24" spans="2:3" x14ac:dyDescent="0.25">
      <c r="B24" s="6" t="s">
        <v>29</v>
      </c>
      <c r="C24" s="7" t="s">
        <v>30</v>
      </c>
    </row>
    <row r="25" spans="2:3" x14ac:dyDescent="0.25">
      <c r="B25" s="6" t="s">
        <v>31</v>
      </c>
      <c r="C25" s="7" t="s">
        <v>32</v>
      </c>
    </row>
    <row r="26" spans="2:3" x14ac:dyDescent="0.25">
      <c r="B26" s="6" t="s">
        <v>33</v>
      </c>
      <c r="C26" s="7" t="s">
        <v>34</v>
      </c>
    </row>
    <row r="27" spans="2:3" x14ac:dyDescent="0.25">
      <c r="B27" s="6" t="s">
        <v>35</v>
      </c>
      <c r="C27" s="7" t="s">
        <v>36</v>
      </c>
    </row>
    <row r="28" spans="2:3" x14ac:dyDescent="0.25">
      <c r="B28" s="6" t="s">
        <v>37</v>
      </c>
      <c r="C28" s="7" t="s">
        <v>38</v>
      </c>
    </row>
    <row r="29" spans="2:3" x14ac:dyDescent="0.25">
      <c r="B29" s="6" t="s">
        <v>39</v>
      </c>
      <c r="C29" s="7" t="s">
        <v>40</v>
      </c>
    </row>
    <row r="30" spans="2:3" x14ac:dyDescent="0.25">
      <c r="B30" s="6" t="s">
        <v>41</v>
      </c>
      <c r="C30" s="7" t="s">
        <v>42</v>
      </c>
    </row>
    <row r="31" spans="2:3" x14ac:dyDescent="0.25">
      <c r="B31" s="6" t="s">
        <v>43</v>
      </c>
      <c r="C31" s="7" t="s">
        <v>44</v>
      </c>
    </row>
    <row r="32" spans="2:3" x14ac:dyDescent="0.25">
      <c r="B32" s="6" t="s">
        <v>45</v>
      </c>
      <c r="C32" s="7" t="s">
        <v>46</v>
      </c>
    </row>
    <row r="33" spans="2:3" x14ac:dyDescent="0.25">
      <c r="B33" s="6" t="s">
        <v>47</v>
      </c>
      <c r="C33" s="7" t="s">
        <v>48</v>
      </c>
    </row>
    <row r="34" spans="2:3" x14ac:dyDescent="0.25">
      <c r="B34" s="6" t="s">
        <v>49</v>
      </c>
      <c r="C34" s="7" t="s">
        <v>50</v>
      </c>
    </row>
    <row r="35" spans="2:3" x14ac:dyDescent="0.25">
      <c r="B35" s="6" t="s">
        <v>51</v>
      </c>
      <c r="C35" s="7" t="s">
        <v>52</v>
      </c>
    </row>
    <row r="36" spans="2:3" x14ac:dyDescent="0.25">
      <c r="B36" s="6" t="s">
        <v>53</v>
      </c>
      <c r="C36" s="7" t="s">
        <v>54</v>
      </c>
    </row>
    <row r="37" spans="2:3" x14ac:dyDescent="0.25">
      <c r="B37" s="6" t="s">
        <v>55</v>
      </c>
      <c r="C37" s="7" t="s">
        <v>56</v>
      </c>
    </row>
    <row r="38" spans="2:3" x14ac:dyDescent="0.25">
      <c r="B38" s="6" t="s">
        <v>57</v>
      </c>
      <c r="C38" s="7" t="s">
        <v>58</v>
      </c>
    </row>
    <row r="39" spans="2:3" x14ac:dyDescent="0.25">
      <c r="B39" s="6" t="s">
        <v>59</v>
      </c>
      <c r="C39" s="7" t="s">
        <v>60</v>
      </c>
    </row>
    <row r="42" spans="2:3" x14ac:dyDescent="0.25">
      <c r="B42" s="8" t="s">
        <v>61</v>
      </c>
      <c r="C42" s="8"/>
    </row>
  </sheetData>
  <mergeCells count="4">
    <mergeCell ref="B3:C3"/>
    <mergeCell ref="B5:C5"/>
    <mergeCell ref="B18:C18"/>
    <mergeCell ref="B42:C42"/>
  </mergeCells>
  <hyperlinks>
    <hyperlink ref="C19" r:id="rId1" location="#'Cover'!A1"/>
    <hyperlink ref="C20" r:id="rId2" location="#'Instructions'!A1"/>
    <hyperlink ref="C21" r:id="rId3" location="#'Assumptions'!A1"/>
    <hyperlink ref="C22" r:id="rId4" location="#'Program Profile'!A1"/>
    <hyperlink ref="C23" r:id="rId5" location="#'Enrollment Drivers'!A1"/>
    <hyperlink ref="C24" r:id="rId6" location="#'Tuition &amp; Funding'!A1"/>
    <hyperlink ref="C25" r:id="rId7" location="#'Staffing Drivers'!A1"/>
    <hyperlink ref="C26" r:id="rId8" location="#'OpEx Drivers'!A1"/>
    <hyperlink ref="C27" r:id="rId9" location="#'Capital Stack'!A1"/>
    <hyperlink ref="C28" r:id="rId10" location="#'Enrollment Tuition Fcst'!A1"/>
    <hyperlink ref="C29" r:id="rId11" location="#'Staffing Costs Fcst'!A1"/>
    <hyperlink ref="C30" r:id="rId12" location="#'Budget Detail'!A1"/>
    <hyperlink ref="C31" r:id="rId13" location="#'Budget Summary'!A1"/>
    <hyperlink ref="C32" r:id="rId14" location="#'Monthly Cash Flow Y1'!A1"/>
    <hyperlink ref="C33" r:id="rId15" location="#'5-Year Operating Stmt'!A1"/>
    <hyperlink ref="C34" r:id="rId16" location="#'Debt Schedule'!A1"/>
    <hyperlink ref="C35" r:id="rId17" location="#'Balance Sheet'!A1"/>
    <hyperlink ref="C36" r:id="rId18" location="#'DSCR &amp; Covenants'!A1"/>
    <hyperlink ref="C37" r:id="rId19" location="#'Sources &amp; Uses'!A1"/>
    <hyperlink ref="C38" r:id="rId20" location="#'Scenarios'!A1"/>
    <hyperlink ref="C39" r:id="rId21" location="#'Underwriting Snapshot'!A1"/>
  </hyperlink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B32"/>
  <sheetFormatPr defaultRowHeight="15" outlineLevelRow="0" outlineLevelCol="0" x14ac:dyDescent="55"/>
  <cols>
    <col min="1" max="1" width="4" customWidth="1"/>
    <col min="2" max="2" width="80" customWidth="1"/>
  </cols>
  <sheetData>
    <row r="2" spans="2:2" x14ac:dyDescent="0.25">
      <c r="B2" s="9" t="s">
        <v>62</v>
      </c>
    </row>
    <row r="4" spans="2:2" x14ac:dyDescent="0.25">
      <c r="B4" s="10" t="s">
        <v>63</v>
      </c>
    </row>
    <row r="5" spans="2:2" x14ac:dyDescent="0.25">
      <c r="B5" s="6" t="s">
        <v>64</v>
      </c>
    </row>
    <row r="6" spans="2:2" x14ac:dyDescent="0.25">
      <c r="B6" s="6" t="s">
        <v>65</v>
      </c>
    </row>
    <row r="7" spans="2:2" x14ac:dyDescent="0.25">
      <c r="B7" s="6" t="s">
        <v>66</v>
      </c>
    </row>
    <row r="8" spans="2:2" x14ac:dyDescent="0.25">
      <c r="B8" s="6" t="s">
        <v>17</v>
      </c>
    </row>
    <row r="9" spans="2:2" x14ac:dyDescent="0.25">
      <c r="B9" s="10" t="s">
        <v>67</v>
      </c>
    </row>
    <row r="10" spans="2:2" x14ac:dyDescent="0.25">
      <c r="B10" s="6" t="s">
        <v>68</v>
      </c>
    </row>
    <row r="11" spans="2:2" x14ac:dyDescent="0.25">
      <c r="B11" s="6" t="s">
        <v>17</v>
      </c>
    </row>
    <row r="12" spans="2:2" x14ac:dyDescent="0.25">
      <c r="B12" s="10" t="s">
        <v>69</v>
      </c>
    </row>
    <row r="13" spans="2:2" x14ac:dyDescent="0.25">
      <c r="B13" s="6" t="s">
        <v>70</v>
      </c>
    </row>
    <row r="14" spans="2:2" x14ac:dyDescent="0.25">
      <c r="B14" s="6" t="s">
        <v>71</v>
      </c>
    </row>
    <row r="15" spans="2:2" x14ac:dyDescent="0.25">
      <c r="B15" s="6" t="s">
        <v>72</v>
      </c>
    </row>
    <row r="16" spans="2:2" x14ac:dyDescent="0.25">
      <c r="B16" s="6" t="s">
        <v>73</v>
      </c>
    </row>
    <row r="17" spans="2:2" x14ac:dyDescent="0.25">
      <c r="B17" s="6" t="s">
        <v>17</v>
      </c>
    </row>
    <row r="18" spans="2:2" x14ac:dyDescent="0.25">
      <c r="B18" s="10" t="s">
        <v>74</v>
      </c>
    </row>
    <row r="19" spans="2:2" x14ac:dyDescent="0.25">
      <c r="B19" s="6" t="s">
        <v>75</v>
      </c>
    </row>
    <row r="20" spans="2:2" x14ac:dyDescent="0.25">
      <c r="B20" s="6" t="s">
        <v>76</v>
      </c>
    </row>
    <row r="21" spans="2:2" x14ac:dyDescent="0.25">
      <c r="B21" s="6" t="s">
        <v>77</v>
      </c>
    </row>
    <row r="22" spans="2:2" x14ac:dyDescent="0.25">
      <c r="B22" s="6" t="s">
        <v>78</v>
      </c>
    </row>
    <row r="23" spans="2:2" x14ac:dyDescent="0.25">
      <c r="B23" s="6" t="s">
        <v>79</v>
      </c>
    </row>
    <row r="24" spans="2:2" x14ac:dyDescent="0.25">
      <c r="B24" s="6" t="s">
        <v>17</v>
      </c>
    </row>
    <row r="25" spans="2:2" x14ac:dyDescent="0.25">
      <c r="B25" s="10" t="s">
        <v>80</v>
      </c>
    </row>
    <row r="26" spans="2:2" x14ac:dyDescent="0.25">
      <c r="B26" s="6" t="s">
        <v>81</v>
      </c>
    </row>
    <row r="27" spans="2:2" x14ac:dyDescent="0.25">
      <c r="B27" s="6" t="s">
        <v>82</v>
      </c>
    </row>
    <row r="28" spans="2:2" x14ac:dyDescent="0.25">
      <c r="B28" s="6" t="s">
        <v>83</v>
      </c>
    </row>
    <row r="29" spans="2:2" x14ac:dyDescent="0.25">
      <c r="B29" s="6" t="s">
        <v>17</v>
      </c>
    </row>
    <row r="30" spans="2:2" x14ac:dyDescent="0.25">
      <c r="B30" s="10" t="s">
        <v>84</v>
      </c>
    </row>
    <row r="31" spans="2:2" x14ac:dyDescent="0.25">
      <c r="B31" s="6" t="s">
        <v>85</v>
      </c>
    </row>
    <row r="32" spans="2:2" x14ac:dyDescent="0.25">
      <c r="B32" s="6" t="s">
        <v>86</v>
      </c>
    </row>
  </sheetData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5"/>
  <sheetFormatPr defaultRowHeight="15" outlineLevelRow="0" outlineLevelCol="0" x14ac:dyDescent="55"/>
  <cols>
    <col min="1" max="1" width="36" customWidth="1"/>
    <col min="2" max="2" width="18" customWidth="1"/>
    <col min="3" max="7" width="16" customWidth="1"/>
  </cols>
  <sheetData>
    <row r="1" ht="32" customHeight="1" spans="1:7" x14ac:dyDescent="0.25">
      <c r="A1" s="11" t="s">
        <v>87</v>
      </c>
      <c r="B1" s="11"/>
      <c r="C1" s="11"/>
      <c r="D1" s="11"/>
      <c r="E1" s="11"/>
      <c r="F1" s="11"/>
      <c r="G1" s="11"/>
    </row>
    <row r="2" spans="1:1" x14ac:dyDescent="0.25">
      <c r="A2" s="12" t="s">
        <v>88</v>
      </c>
    </row>
    <row r="4" ht="24" customHeight="1" spans="1:7" x14ac:dyDescent="0.25">
      <c r="A4" s="13" t="s">
        <v>89</v>
      </c>
      <c r="B4" s="13"/>
      <c r="C4" s="13"/>
      <c r="D4" s="13"/>
      <c r="E4" s="13"/>
      <c r="F4" s="13"/>
      <c r="G4" s="13"/>
    </row>
    <row r="5" spans="1:2" x14ac:dyDescent="0.25">
      <c r="A5" s="4" t="s">
        <v>2</v>
      </c>
      <c r="B5" s="14" t="s">
        <v>3</v>
      </c>
    </row>
    <row r="6" spans="1:2" x14ac:dyDescent="0.25">
      <c r="A6" s="4" t="s">
        <v>4</v>
      </c>
      <c r="B6" s="14" t="s">
        <v>5</v>
      </c>
    </row>
    <row r="7" spans="1:2" x14ac:dyDescent="0.25">
      <c r="A7" s="4" t="s">
        <v>6</v>
      </c>
      <c r="B7" s="14" t="s">
        <v>7</v>
      </c>
    </row>
    <row r="8" spans="1:2" x14ac:dyDescent="0.25">
      <c r="A8" s="4" t="s">
        <v>8</v>
      </c>
      <c r="B8" s="14" t="s">
        <v>9</v>
      </c>
    </row>
    <row r="9" spans="1:2" x14ac:dyDescent="0.25">
      <c r="A9" s="4" t="s">
        <v>90</v>
      </c>
      <c r="B9" s="14" t="s">
        <v>17</v>
      </c>
    </row>
    <row r="10" spans="1:2" x14ac:dyDescent="0.25">
      <c r="A10" s="4" t="s">
        <v>14</v>
      </c>
      <c r="B10" s="14" t="s">
        <v>15</v>
      </c>
    </row>
    <row r="11" spans="1:2" x14ac:dyDescent="0.25">
      <c r="A11" s="4" t="s">
        <v>16</v>
      </c>
      <c r="B11" s="14" t="s">
        <v>17</v>
      </c>
    </row>
    <row r="12" spans="1:2" x14ac:dyDescent="0.25">
      <c r="A12" s="4" t="s">
        <v>91</v>
      </c>
      <c r="B12" s="14">
        <v>7</v>
      </c>
    </row>
    <row r="13" spans="1:2" x14ac:dyDescent="0.25">
      <c r="A13" s="4" t="s">
        <v>92</v>
      </c>
      <c r="B13" s="14">
        <v>600</v>
      </c>
    </row>
    <row r="15" ht="24" customHeight="1" spans="1:7" x14ac:dyDescent="0.25">
      <c r="A15" s="13" t="s">
        <v>93</v>
      </c>
      <c r="B15" s="13"/>
      <c r="C15" s="13"/>
      <c r="D15" s="13"/>
      <c r="E15" s="13"/>
      <c r="F15" s="13"/>
      <c r="G15" s="13"/>
    </row>
    <row r="16" ht="28" customHeight="1" spans="1:6" x14ac:dyDescent="0.25">
      <c r="A16" s="15" t="s">
        <v>17</v>
      </c>
      <c r="B16" s="15" t="s">
        <v>94</v>
      </c>
      <c r="C16" s="15" t="s">
        <v>95</v>
      </c>
      <c r="D16" s="15" t="s">
        <v>96</v>
      </c>
      <c r="E16" s="15" t="s">
        <v>97</v>
      </c>
      <c r="F16" s="15" t="s">
        <v>98</v>
      </c>
    </row>
    <row r="17" spans="1:6" x14ac:dyDescent="0.25">
      <c r="A17" s="4" t="s">
        <v>99</v>
      </c>
      <c r="B17" s="16">
        <v>200</v>
      </c>
      <c r="C17" s="16">
        <v>300</v>
      </c>
      <c r="D17" s="16">
        <v>400</v>
      </c>
      <c r="E17" s="16">
        <v>500</v>
      </c>
      <c r="F17" s="16">
        <v>600</v>
      </c>
    </row>
    <row r="19" ht="24" customHeight="1" spans="1:7" x14ac:dyDescent="0.25">
      <c r="A19" s="13" t="s">
        <v>100</v>
      </c>
      <c r="B19" s="13"/>
      <c r="C19" s="13"/>
      <c r="D19" s="13"/>
      <c r="E19" s="13"/>
      <c r="F19" s="13"/>
      <c r="G19" s="13"/>
    </row>
    <row r="20" ht="28" customHeight="1" spans="1:5" x14ac:dyDescent="0.25">
      <c r="A20" s="15" t="s">
        <v>101</v>
      </c>
      <c r="B20" s="15" t="s">
        <v>102</v>
      </c>
      <c r="C20" s="15" t="s">
        <v>103</v>
      </c>
      <c r="D20" s="15" t="s">
        <v>104</v>
      </c>
      <c r="E20" s="15" t="s">
        <v>105</v>
      </c>
    </row>
    <row r="21" spans="1:5" x14ac:dyDescent="0.25">
      <c r="A21" s="4" t="s">
        <v>106</v>
      </c>
      <c r="B21" s="4" t="s">
        <v>107</v>
      </c>
      <c r="C21" s="4" t="s">
        <v>108</v>
      </c>
      <c r="D21" s="17">
        <v>8200</v>
      </c>
      <c r="E21" s="18">
        <v>0.02</v>
      </c>
    </row>
    <row r="22" spans="1:5" x14ac:dyDescent="0.25">
      <c r="A22" s="4" t="s">
        <v>109</v>
      </c>
      <c r="B22" s="4" t="s">
        <v>107</v>
      </c>
      <c r="C22" s="4" t="s">
        <v>108</v>
      </c>
      <c r="D22" s="17">
        <v>8800</v>
      </c>
      <c r="E22" s="18">
        <v>0.02</v>
      </c>
    </row>
    <row r="23" spans="1:5" x14ac:dyDescent="0.25">
      <c r="A23" s="4" t="s">
        <v>110</v>
      </c>
      <c r="B23" s="4" t="s">
        <v>107</v>
      </c>
      <c r="C23" s="4" t="s">
        <v>108</v>
      </c>
      <c r="D23" s="17">
        <v>1200</v>
      </c>
      <c r="E23" s="18">
        <v>0</v>
      </c>
    </row>
    <row r="24" spans="1:5" x14ac:dyDescent="0.25">
      <c r="A24" s="4" t="s">
        <v>111</v>
      </c>
      <c r="B24" s="4" t="s">
        <v>112</v>
      </c>
      <c r="C24" s="4" t="s">
        <v>113</v>
      </c>
      <c r="D24" s="17">
        <v>250000</v>
      </c>
      <c r="E24" s="18">
        <v>0</v>
      </c>
    </row>
    <row r="25" spans="1:5" x14ac:dyDescent="0.25">
      <c r="A25" s="4" t="s">
        <v>114</v>
      </c>
      <c r="B25" s="4" t="s">
        <v>115</v>
      </c>
      <c r="C25" s="4" t="s">
        <v>108</v>
      </c>
      <c r="D25" s="17">
        <v>300</v>
      </c>
      <c r="E25" s="18">
        <v>0.02</v>
      </c>
    </row>
    <row r="27" ht="24" customHeight="1" spans="1:7" x14ac:dyDescent="0.25">
      <c r="A27" s="13" t="s">
        <v>116</v>
      </c>
      <c r="B27" s="13"/>
      <c r="C27" s="13"/>
      <c r="D27" s="13"/>
      <c r="E27" s="13"/>
      <c r="F27" s="13"/>
      <c r="G27" s="13"/>
    </row>
    <row r="28" ht="28" customHeight="1" spans="1:7" x14ac:dyDescent="0.25">
      <c r="A28" s="15" t="s">
        <v>117</v>
      </c>
      <c r="B28" s="15" t="s">
        <v>102</v>
      </c>
      <c r="C28" s="15" t="s">
        <v>118</v>
      </c>
      <c r="D28" s="15" t="s">
        <v>119</v>
      </c>
      <c r="E28" s="15" t="s">
        <v>120</v>
      </c>
      <c r="F28" s="15" t="s">
        <v>121</v>
      </c>
      <c r="G28" s="15" t="s">
        <v>122</v>
      </c>
    </row>
    <row r="29" spans="1:7" x14ac:dyDescent="0.25">
      <c r="A29" s="4" t="s">
        <v>123</v>
      </c>
      <c r="B29" s="4" t="s">
        <v>124</v>
      </c>
      <c r="C29" s="4" t="s">
        <v>125</v>
      </c>
      <c r="D29" s="19">
        <v>1</v>
      </c>
      <c r="E29" s="17">
        <v>110000</v>
      </c>
      <c r="F29" s="18">
        <v>0.25</v>
      </c>
      <c r="G29" s="18">
        <v>0.0765</v>
      </c>
    </row>
    <row r="30" spans="1:7" x14ac:dyDescent="0.25">
      <c r="A30" s="4" t="s">
        <v>126</v>
      </c>
      <c r="B30" s="4" t="s">
        <v>124</v>
      </c>
      <c r="C30" s="4" t="s">
        <v>125</v>
      </c>
      <c r="D30" s="19">
        <v>1</v>
      </c>
      <c r="E30" s="17">
        <v>90000</v>
      </c>
      <c r="F30" s="18">
        <v>0.25</v>
      </c>
      <c r="G30" s="18">
        <v>0.0765</v>
      </c>
    </row>
    <row r="31" spans="1:7" x14ac:dyDescent="0.25">
      <c r="A31" s="4" t="s">
        <v>127</v>
      </c>
      <c r="B31" s="4" t="s">
        <v>124</v>
      </c>
      <c r="C31" s="4" t="s">
        <v>125</v>
      </c>
      <c r="D31" s="19">
        <v>1</v>
      </c>
      <c r="E31" s="17">
        <v>75000</v>
      </c>
      <c r="F31" s="18">
        <v>0.25</v>
      </c>
      <c r="G31" s="18">
        <v>0.0765</v>
      </c>
    </row>
    <row r="32" spans="1:7" x14ac:dyDescent="0.25">
      <c r="A32" s="4" t="s">
        <v>128</v>
      </c>
      <c r="B32" s="4" t="s">
        <v>129</v>
      </c>
      <c r="C32" s="4" t="s">
        <v>125</v>
      </c>
      <c r="D32" s="19">
        <v>1</v>
      </c>
      <c r="E32" s="17">
        <v>55000</v>
      </c>
      <c r="F32" s="18">
        <v>0.22</v>
      </c>
      <c r="G32" s="18">
        <v>0.0765</v>
      </c>
    </row>
    <row r="33" spans="1:7" x14ac:dyDescent="0.25">
      <c r="A33" s="4" t="s">
        <v>130</v>
      </c>
      <c r="B33" s="4" t="s">
        <v>129</v>
      </c>
      <c r="C33" s="4" t="s">
        <v>125</v>
      </c>
      <c r="D33" s="19">
        <v>1</v>
      </c>
      <c r="E33" s="17">
        <v>48000</v>
      </c>
      <c r="F33" s="18">
        <v>0.22</v>
      </c>
      <c r="G33" s="18">
        <v>0.0765</v>
      </c>
    </row>
    <row r="34" spans="1:7" x14ac:dyDescent="0.25">
      <c r="A34" s="4" t="s">
        <v>131</v>
      </c>
      <c r="B34" s="4" t="s">
        <v>132</v>
      </c>
      <c r="C34" s="4" t="s">
        <v>125</v>
      </c>
      <c r="D34" s="19">
        <v>1</v>
      </c>
      <c r="E34" s="17">
        <v>52000</v>
      </c>
      <c r="F34" s="18">
        <v>0.22</v>
      </c>
      <c r="G34" s="18">
        <v>0.0765</v>
      </c>
    </row>
    <row r="35" spans="1:7" x14ac:dyDescent="0.25">
      <c r="A35" s="4" t="s">
        <v>133</v>
      </c>
      <c r="B35" s="4" t="s">
        <v>134</v>
      </c>
      <c r="C35" s="4" t="s">
        <v>125</v>
      </c>
      <c r="D35" s="19">
        <v>1</v>
      </c>
      <c r="E35" s="17">
        <v>45000</v>
      </c>
      <c r="F35" s="18">
        <v>0.2</v>
      </c>
      <c r="G35" s="18">
        <v>0.0765</v>
      </c>
    </row>
    <row r="36" spans="1:7" x14ac:dyDescent="0.25">
      <c r="A36" s="4" t="s">
        <v>135</v>
      </c>
      <c r="B36" s="4" t="s">
        <v>136</v>
      </c>
      <c r="C36" s="4" t="s">
        <v>125</v>
      </c>
      <c r="D36" s="19">
        <v>1</v>
      </c>
      <c r="E36" s="17">
        <v>35000</v>
      </c>
      <c r="F36" s="18">
        <v>0</v>
      </c>
      <c r="G36" s="18">
        <v>0.0765</v>
      </c>
    </row>
    <row r="38" ht="24" customHeight="1" spans="1:7" x14ac:dyDescent="0.25">
      <c r="A38" s="13" t="s">
        <v>137</v>
      </c>
      <c r="B38" s="13"/>
      <c r="C38" s="13"/>
      <c r="D38" s="13"/>
      <c r="E38" s="13"/>
      <c r="F38" s="13"/>
      <c r="G38" s="13"/>
    </row>
    <row r="39" ht="28" customHeight="1" spans="1:5" x14ac:dyDescent="0.25">
      <c r="A39" s="15" t="s">
        <v>101</v>
      </c>
      <c r="B39" s="15" t="s">
        <v>102</v>
      </c>
      <c r="C39" s="15" t="s">
        <v>103</v>
      </c>
      <c r="D39" s="15" t="s">
        <v>104</v>
      </c>
      <c r="E39" s="15" t="s">
        <v>105</v>
      </c>
    </row>
    <row r="40" spans="1:5" x14ac:dyDescent="0.25">
      <c r="A40" s="4" t="s">
        <v>138</v>
      </c>
      <c r="B40" s="4" t="s">
        <v>139</v>
      </c>
      <c r="C40" s="4" t="s">
        <v>108</v>
      </c>
      <c r="D40" s="17">
        <v>800</v>
      </c>
      <c r="E40" s="18">
        <v>0.02</v>
      </c>
    </row>
    <row r="41" spans="1:5" x14ac:dyDescent="0.25">
      <c r="A41" s="4" t="s">
        <v>140</v>
      </c>
      <c r="B41" s="4" t="s">
        <v>141</v>
      </c>
      <c r="C41" s="4" t="s">
        <v>108</v>
      </c>
      <c r="D41" s="17">
        <v>450</v>
      </c>
      <c r="E41" s="18">
        <v>0</v>
      </c>
    </row>
    <row r="42" spans="1:5" x14ac:dyDescent="0.25">
      <c r="A42" s="4" t="s">
        <v>142</v>
      </c>
      <c r="B42" s="4" t="s">
        <v>143</v>
      </c>
      <c r="C42" s="4" t="s">
        <v>113</v>
      </c>
      <c r="D42" s="17">
        <v>48000</v>
      </c>
      <c r="E42" s="18">
        <v>0</v>
      </c>
    </row>
    <row r="43" spans="1:5" x14ac:dyDescent="0.25">
      <c r="A43" s="4" t="s">
        <v>144</v>
      </c>
      <c r="B43" s="4" t="s">
        <v>145</v>
      </c>
      <c r="C43" s="4" t="s">
        <v>113</v>
      </c>
      <c r="D43" s="17">
        <v>35000</v>
      </c>
      <c r="E43" s="18">
        <v>0</v>
      </c>
    </row>
    <row r="44" spans="1:5" x14ac:dyDescent="0.25">
      <c r="A44" s="4" t="s">
        <v>146</v>
      </c>
      <c r="B44" s="4" t="s">
        <v>145</v>
      </c>
      <c r="C44" s="4" t="s">
        <v>113</v>
      </c>
      <c r="D44" s="17">
        <v>25000</v>
      </c>
      <c r="E44" s="18">
        <v>0</v>
      </c>
    </row>
    <row r="45" spans="1:5" x14ac:dyDescent="0.25">
      <c r="A45" s="4" t="s">
        <v>147</v>
      </c>
      <c r="B45" s="4" t="s">
        <v>139</v>
      </c>
      <c r="C45" s="4" t="s">
        <v>108</v>
      </c>
      <c r="D45" s="17">
        <v>400</v>
      </c>
      <c r="E45" s="18">
        <v>0.03</v>
      </c>
    </row>
    <row r="46" spans="1:5" x14ac:dyDescent="0.25">
      <c r="A46" s="4" t="s">
        <v>148</v>
      </c>
      <c r="B46" s="4" t="s">
        <v>139</v>
      </c>
      <c r="C46" s="4" t="s">
        <v>108</v>
      </c>
      <c r="D46" s="17">
        <v>600</v>
      </c>
      <c r="E46" s="18">
        <v>0.02</v>
      </c>
    </row>
    <row r="47" spans="1:5" x14ac:dyDescent="0.25">
      <c r="A47" s="4" t="s">
        <v>149</v>
      </c>
      <c r="B47" s="4" t="s">
        <v>145</v>
      </c>
      <c r="C47" s="4" t="s">
        <v>113</v>
      </c>
      <c r="D47" s="17">
        <v>20000</v>
      </c>
      <c r="E47" s="18">
        <v>0</v>
      </c>
    </row>
    <row r="49" ht="24" customHeight="1" spans="1:7" x14ac:dyDescent="0.25">
      <c r="A49" s="13" t="s">
        <v>150</v>
      </c>
      <c r="B49" s="13"/>
      <c r="C49" s="13"/>
      <c r="D49" s="13"/>
      <c r="E49" s="13"/>
      <c r="F49" s="13"/>
      <c r="G49" s="13"/>
    </row>
    <row r="50" ht="28" customHeight="1" spans="1:5" x14ac:dyDescent="0.25">
      <c r="A50" s="15" t="s">
        <v>151</v>
      </c>
      <c r="B50" s="15" t="s">
        <v>118</v>
      </c>
      <c r="C50" s="15" t="s">
        <v>126</v>
      </c>
      <c r="D50" s="15" t="s">
        <v>120</v>
      </c>
      <c r="E50" s="15" t="s">
        <v>152</v>
      </c>
    </row>
    <row r="51" spans="1:5" x14ac:dyDescent="0.25">
      <c r="A51" s="4" t="s">
        <v>153</v>
      </c>
      <c r="B51" s="4" t="s">
        <v>154</v>
      </c>
      <c r="C51" s="17">
        <v>350000</v>
      </c>
      <c r="D51" s="18">
        <v>0</v>
      </c>
      <c r="E51" s="16">
        <v>0</v>
      </c>
    </row>
    <row r="52" spans="1:5" x14ac:dyDescent="0.25">
      <c r="A52" s="4" t="s">
        <v>155</v>
      </c>
      <c r="B52" s="4" t="s">
        <v>156</v>
      </c>
      <c r="C52" s="17">
        <v>500000</v>
      </c>
      <c r="D52" s="18">
        <v>0.065</v>
      </c>
      <c r="E52" s="16">
        <v>15</v>
      </c>
    </row>
    <row r="53" spans="1:5" x14ac:dyDescent="0.25">
      <c r="A53" s="4" t="s">
        <v>157</v>
      </c>
      <c r="B53" s="4" t="s">
        <v>156</v>
      </c>
      <c r="C53" s="17">
        <v>75000</v>
      </c>
      <c r="D53" s="18">
        <v>0.055</v>
      </c>
      <c r="E53" s="16">
        <v>5</v>
      </c>
    </row>
    <row r="55" ht="24" customHeight="1" spans="1:7" x14ac:dyDescent="0.25">
      <c r="A55" s="13" t="s">
        <v>158</v>
      </c>
      <c r="B55" s="13"/>
      <c r="C55" s="13"/>
      <c r="D55" s="13"/>
      <c r="E55" s="13"/>
      <c r="F55" s="13"/>
      <c r="G55" s="13"/>
    </row>
    <row r="56" spans="1:3" x14ac:dyDescent="0.25">
      <c r="A56" s="4" t="s">
        <v>159</v>
      </c>
      <c r="B56" s="18">
        <v>0.03</v>
      </c>
      <c r="C56" s="20" t="s">
        <v>160</v>
      </c>
    </row>
    <row r="57" spans="1:3" x14ac:dyDescent="0.25">
      <c r="A57" s="4" t="s">
        <v>161</v>
      </c>
      <c r="B57" s="18">
        <v>0.03</v>
      </c>
      <c r="C57" s="20" t="s">
        <v>162</v>
      </c>
    </row>
    <row r="58" spans="1:2" x14ac:dyDescent="0.25">
      <c r="A58" s="4" t="s">
        <v>163</v>
      </c>
      <c r="B58" s="19">
        <v>0.8333333333333334</v>
      </c>
    </row>
    <row r="59" spans="1:2" x14ac:dyDescent="0.25">
      <c r="A59" s="4" t="s">
        <v>164</v>
      </c>
      <c r="B59" s="17">
        <v>0</v>
      </c>
    </row>
    <row r="60" spans="1:2" x14ac:dyDescent="0.25">
      <c r="A60" s="4" t="s">
        <v>165</v>
      </c>
      <c r="B60" s="14" t="s">
        <v>166</v>
      </c>
    </row>
    <row r="62" ht="24" customHeight="1" spans="1:7" x14ac:dyDescent="0.25">
      <c r="A62" s="13" t="s">
        <v>167</v>
      </c>
      <c r="B62" s="13"/>
      <c r="C62" s="13"/>
      <c r="D62" s="13"/>
      <c r="E62" s="13"/>
      <c r="F62" s="13"/>
      <c r="G62" s="13"/>
    </row>
    <row r="63" spans="1:2" x14ac:dyDescent="0.25">
      <c r="A63" s="4" t="s">
        <v>168</v>
      </c>
      <c r="B63" s="14" t="s">
        <v>169</v>
      </c>
    </row>
    <row r="64" spans="1:2" x14ac:dyDescent="0.25">
      <c r="A64" s="4" t="s">
        <v>170</v>
      </c>
      <c r="B64" s="14" t="s">
        <v>171</v>
      </c>
    </row>
    <row r="65" spans="1:2" x14ac:dyDescent="0.25">
      <c r="A65" s="4" t="s">
        <v>172</v>
      </c>
      <c r="B65" s="16">
        <v>0</v>
      </c>
    </row>
    <row r="66" spans="1:2" x14ac:dyDescent="0.25">
      <c r="A66" s="4" t="s">
        <v>173</v>
      </c>
      <c r="B66" s="16">
        <v>0</v>
      </c>
    </row>
    <row r="67" spans="1:2" x14ac:dyDescent="0.25">
      <c r="A67" s="4" t="s">
        <v>174</v>
      </c>
      <c r="B67" s="21">
        <v>0.95</v>
      </c>
    </row>
    <row r="69" ht="28" customHeight="1" spans="1:4" x14ac:dyDescent="0.25">
      <c r="A69" s="15" t="s">
        <v>175</v>
      </c>
      <c r="B69" s="15" t="s">
        <v>176</v>
      </c>
      <c r="C69" s="15" t="s">
        <v>177</v>
      </c>
      <c r="D69" s="15" t="s">
        <v>178</v>
      </c>
    </row>
    <row r="70" spans="1:4" x14ac:dyDescent="0.25">
      <c r="A70" s="4" t="s">
        <v>179</v>
      </c>
      <c r="B70" s="17">
        <v>8200</v>
      </c>
      <c r="C70" s="17">
        <v>8800</v>
      </c>
      <c r="D70" s="17">
        <v>9500</v>
      </c>
    </row>
    <row r="72" ht="28" customHeight="1" spans="1:6" x14ac:dyDescent="0.25">
      <c r="A72" s="15" t="s">
        <v>180</v>
      </c>
      <c r="B72" s="15" t="s">
        <v>94</v>
      </c>
      <c r="C72" s="15" t="s">
        <v>95</v>
      </c>
      <c r="D72" s="15" t="s">
        <v>96</v>
      </c>
      <c r="E72" s="15" t="s">
        <v>97</v>
      </c>
      <c r="F72" s="15" t="s">
        <v>98</v>
      </c>
    </row>
    <row r="73" spans="1:6" x14ac:dyDescent="0.25">
      <c r="A73" s="4" t="s">
        <v>181</v>
      </c>
      <c r="B73" s="16">
        <v>120</v>
      </c>
      <c r="C73" s="16">
        <v>160</v>
      </c>
      <c r="D73" s="16">
        <v>210</v>
      </c>
      <c r="E73" s="16">
        <v>260</v>
      </c>
      <c r="F73" s="16">
        <v>310</v>
      </c>
    </row>
    <row r="74" spans="1:6" x14ac:dyDescent="0.25">
      <c r="A74" s="4" t="s">
        <v>182</v>
      </c>
      <c r="B74" s="16">
        <v>80</v>
      </c>
      <c r="C74" s="16">
        <v>110</v>
      </c>
      <c r="D74" s="16">
        <v>140</v>
      </c>
      <c r="E74" s="16">
        <v>170</v>
      </c>
      <c r="F74" s="16">
        <v>200</v>
      </c>
    </row>
    <row r="75" spans="1:6" x14ac:dyDescent="0.25">
      <c r="A75" s="4" t="s">
        <v>183</v>
      </c>
      <c r="B75" s="16">
        <v>0</v>
      </c>
      <c r="C75" s="16">
        <v>30</v>
      </c>
      <c r="D75" s="16">
        <v>50</v>
      </c>
      <c r="E75" s="16">
        <v>70</v>
      </c>
      <c r="F75" s="16">
        <v>90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FormatPr defaultRowHeight="15" outlineLevelRow="0" outlineLevelCol="0" x14ac:dyDescent="55"/>
  <cols>
    <col min="1" max="1" width="36" customWidth="1"/>
    <col min="2" max="2" width="30" customWidth="1"/>
  </cols>
  <sheetData>
    <row r="1" spans="1:2" x14ac:dyDescent="0.25">
      <c r="A1" s="11" t="s">
        <v>26</v>
      </c>
      <c r="B1" s="11"/>
    </row>
    <row r="3" spans="1:2" x14ac:dyDescent="0.25">
      <c r="A3" s="3" t="s">
        <v>184</v>
      </c>
      <c r="B3" s="4" t="s">
        <v>185</v>
      </c>
    </row>
    <row r="4" spans="1:2" x14ac:dyDescent="0.25">
      <c r="A4" s="3" t="s">
        <v>4</v>
      </c>
      <c r="B4" s="4" t="s">
        <v>5</v>
      </c>
    </row>
    <row r="5" spans="1:2" x14ac:dyDescent="0.25">
      <c r="A5" s="3" t="s">
        <v>6</v>
      </c>
      <c r="B5" s="4" t="s">
        <v>7</v>
      </c>
    </row>
    <row r="6" spans="1:2" x14ac:dyDescent="0.25">
      <c r="A6" s="3" t="s">
        <v>186</v>
      </c>
      <c r="B6" s="4" t="s">
        <v>187</v>
      </c>
    </row>
    <row r="7" spans="1:2" x14ac:dyDescent="0.25">
      <c r="A7" s="3" t="s">
        <v>14</v>
      </c>
      <c r="B7" s="4" t="s">
        <v>15</v>
      </c>
    </row>
    <row r="8" spans="1:2" x14ac:dyDescent="0.25">
      <c r="A8" s="3" t="s">
        <v>188</v>
      </c>
      <c r="B8" s="4" t="s">
        <v>17</v>
      </c>
    </row>
    <row r="9" spans="1:2" x14ac:dyDescent="0.25">
      <c r="A9" s="3" t="s">
        <v>91</v>
      </c>
      <c r="B9" s="4" t="s">
        <v>189</v>
      </c>
    </row>
    <row r="10" spans="1:2" x14ac:dyDescent="0.25">
      <c r="A10" s="3" t="s">
        <v>190</v>
      </c>
      <c r="B10" s="4" t="s">
        <v>191</v>
      </c>
    </row>
    <row r="11" spans="1:2" x14ac:dyDescent="0.25">
      <c r="A11" s="3" t="s">
        <v>192</v>
      </c>
      <c r="B11" s="4" t="s">
        <v>193</v>
      </c>
    </row>
    <row r="12" spans="1:2" x14ac:dyDescent="0.25">
      <c r="A12" s="3" t="s">
        <v>165</v>
      </c>
      <c r="B12" s="4" t="s">
        <v>166</v>
      </c>
    </row>
    <row r="13" spans="1:2" x14ac:dyDescent="0.25">
      <c r="A13" s="3" t="s">
        <v>92</v>
      </c>
      <c r="B13" s="4" t="s">
        <v>194</v>
      </c>
    </row>
    <row r="14" spans="1:2" x14ac:dyDescent="0.25">
      <c r="A14" s="3" t="s">
        <v>195</v>
      </c>
      <c r="B14" s="4" t="s">
        <v>196</v>
      </c>
    </row>
    <row r="15" spans="1:2" x14ac:dyDescent="0.25">
      <c r="A15" s="3" t="s">
        <v>197</v>
      </c>
      <c r="B15" s="4" t="s">
        <v>198</v>
      </c>
    </row>
    <row r="16" spans="1:2" x14ac:dyDescent="0.25">
      <c r="A16" s="3" t="s">
        <v>199</v>
      </c>
      <c r="B16" s="4" t="s">
        <v>200</v>
      </c>
    </row>
  </sheetData>
  <mergeCells count="1">
    <mergeCell ref="A1:B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0"/>
  <sheetFormatPr defaultRowHeight="15" outlineLevelRow="0" outlineLevelCol="0" x14ac:dyDescent="55"/>
  <cols>
    <col min="1" max="1" width="32" customWidth="1"/>
    <col min="2" max="8" width="14" customWidth="1"/>
  </cols>
  <sheetData>
    <row r="1" spans="1:7" x14ac:dyDescent="0.25">
      <c r="A1" s="11" t="s">
        <v>28</v>
      </c>
      <c r="B1" s="11"/>
      <c r="C1" s="11"/>
      <c r="D1" s="11"/>
      <c r="E1" s="11"/>
      <c r="F1" s="11"/>
      <c r="G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5" ht="24" customHeight="1" spans="1:6" x14ac:dyDescent="0.25">
      <c r="A5" s="13" t="s">
        <v>201</v>
      </c>
      <c r="B5" s="13"/>
      <c r="C5" s="13"/>
      <c r="D5" s="13"/>
      <c r="E5" s="13"/>
      <c r="F5" s="13"/>
    </row>
    <row r="6" spans="1:6" x14ac:dyDescent="0.25">
      <c r="A6" s="3" t="s">
        <v>99</v>
      </c>
      <c r="B6" s="22">
        <v>200</v>
      </c>
      <c r="C6" s="22">
        <v>300</v>
      </c>
      <c r="D6" s="22">
        <v>400</v>
      </c>
      <c r="E6" s="22">
        <v>500</v>
      </c>
      <c r="F6" s="22">
        <v>600</v>
      </c>
    </row>
    <row r="7" spans="1:2" x14ac:dyDescent="0.25">
      <c r="A7" s="4" t="s">
        <v>92</v>
      </c>
      <c r="B7" s="23">
        <v>600</v>
      </c>
    </row>
    <row r="8" spans="1:6" x14ac:dyDescent="0.25">
      <c r="A8" s="4" t="s">
        <v>202</v>
      </c>
      <c r="B8" s="24">
        <v>0.3333333333333333</v>
      </c>
      <c r="C8" s="24">
        <v>0.5</v>
      </c>
      <c r="D8" s="24">
        <v>0.6666666666666666</v>
      </c>
      <c r="E8" s="24">
        <v>0.8333333333333334</v>
      </c>
      <c r="F8" s="24">
        <v>1</v>
      </c>
    </row>
    <row r="10" spans="1:6" x14ac:dyDescent="0.25">
      <c r="A10" s="4" t="s">
        <v>203</v>
      </c>
      <c r="B10" s="4" t="s">
        <v>204</v>
      </c>
      <c r="C10" s="25">
        <v>0.5</v>
      </c>
      <c r="D10" s="25">
        <v>0.3333333333333333</v>
      </c>
      <c r="E10" s="25">
        <v>0.25</v>
      </c>
      <c r="F10" s="25">
        <v>0.2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0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205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206</v>
      </c>
      <c r="B4" s="13"/>
      <c r="C4" s="13"/>
      <c r="D4" s="13"/>
      <c r="E4" s="13"/>
      <c r="F4" s="13"/>
    </row>
    <row r="5" spans="1:6" x14ac:dyDescent="0.25">
      <c r="A5" s="4" t="s">
        <v>207</v>
      </c>
      <c r="B5" s="26">
        <v>1640000</v>
      </c>
      <c r="C5" s="26">
        <v>2509200</v>
      </c>
      <c r="D5" s="26">
        <v>3412512</v>
      </c>
      <c r="E5" s="26">
        <v>4350953</v>
      </c>
      <c r="F5" s="26">
        <v>5325566</v>
      </c>
    </row>
    <row r="6" spans="1:6" x14ac:dyDescent="0.25">
      <c r="A6" s="4" t="s">
        <v>208</v>
      </c>
      <c r="B6" s="26">
        <v>1760000</v>
      </c>
      <c r="C6" s="26">
        <v>2692800</v>
      </c>
      <c r="D6" s="26">
        <v>3662208</v>
      </c>
      <c r="E6" s="26">
        <v>4669315</v>
      </c>
      <c r="F6" s="26">
        <v>5715242</v>
      </c>
    </row>
    <row r="7" spans="1:6" x14ac:dyDescent="0.25">
      <c r="A7" s="4" t="s">
        <v>209</v>
      </c>
      <c r="B7" s="26">
        <v>240000</v>
      </c>
      <c r="C7" s="26">
        <v>370800</v>
      </c>
      <c r="D7" s="26">
        <v>509232</v>
      </c>
      <c r="E7" s="26">
        <v>655636</v>
      </c>
      <c r="F7" s="26">
        <v>810366</v>
      </c>
    </row>
    <row r="8" spans="1:6" x14ac:dyDescent="0.25">
      <c r="A8" s="4" t="s">
        <v>210</v>
      </c>
      <c r="B8" s="26">
        <v>250000</v>
      </c>
      <c r="C8" s="26">
        <v>257500</v>
      </c>
      <c r="D8" s="26">
        <v>265225</v>
      </c>
      <c r="E8" s="26">
        <v>273182</v>
      </c>
      <c r="F8" s="26">
        <v>281377</v>
      </c>
    </row>
    <row r="9" spans="1:6" x14ac:dyDescent="0.25">
      <c r="A9" s="4" t="s">
        <v>211</v>
      </c>
      <c r="B9" s="26">
        <v>60000</v>
      </c>
      <c r="C9" s="26">
        <v>91800</v>
      </c>
      <c r="D9" s="26">
        <v>124848</v>
      </c>
      <c r="E9" s="26">
        <v>159181</v>
      </c>
      <c r="F9" s="26">
        <v>194838</v>
      </c>
    </row>
    <row r="10" ht="24" customHeight="1" spans="1:6" x14ac:dyDescent="0.25">
      <c r="A10" s="13" t="s">
        <v>212</v>
      </c>
      <c r="B10" s="27">
        <f>SUM(B5:B9)</f>
        <v>3950000</v>
      </c>
      <c r="C10" s="27">
        <f>SUM(C5:C9)</f>
        <v>5922100</v>
      </c>
      <c r="D10" s="27">
        <f>SUM(D5:D9)</f>
        <v>7974025</v>
      </c>
      <c r="E10" s="27">
        <f>SUM(E5:E9)</f>
        <v>10108267</v>
      </c>
      <c r="F10" s="27">
        <f>SUM(F5:F9)</f>
        <v>12327389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7"/>
  <sheetFormatPr defaultRowHeight="15" outlineLevelRow="0" outlineLevelCol="0" x14ac:dyDescent="55"/>
  <cols>
    <col min="1" max="1" width="28" customWidth="1"/>
    <col min="2" max="2" width="16" customWidth="1"/>
    <col min="3" max="3" width="10" customWidth="1"/>
    <col min="4" max="4" width="14" customWidth="1"/>
    <col min="5" max="6" width="12" customWidth="1"/>
    <col min="7" max="7" width="14" customWidth="1"/>
  </cols>
  <sheetData>
    <row r="1" spans="1:7" x14ac:dyDescent="0.25">
      <c r="A1" s="11" t="s">
        <v>32</v>
      </c>
      <c r="B1" s="11"/>
      <c r="C1" s="11"/>
      <c r="D1" s="11"/>
      <c r="E1" s="11"/>
      <c r="F1" s="11"/>
      <c r="G1" s="11"/>
    </row>
    <row r="3" ht="28" customHeight="1" spans="1:7" x14ac:dyDescent="0.25">
      <c r="A3" s="15" t="s">
        <v>117</v>
      </c>
      <c r="B3" s="15" t="s">
        <v>102</v>
      </c>
      <c r="C3" s="15" t="s">
        <v>119</v>
      </c>
      <c r="D3" s="15" t="s">
        <v>213</v>
      </c>
      <c r="E3" s="15" t="s">
        <v>121</v>
      </c>
      <c r="F3" s="15" t="s">
        <v>122</v>
      </c>
      <c r="G3" s="15" t="s">
        <v>214</v>
      </c>
    </row>
    <row r="4" spans="1:7" x14ac:dyDescent="0.25">
      <c r="A4" s="4" t="s">
        <v>123</v>
      </c>
      <c r="B4" s="4" t="s">
        <v>124</v>
      </c>
      <c r="C4" s="28">
        <v>1</v>
      </c>
      <c r="D4" s="26">
        <v>110000</v>
      </c>
      <c r="E4" s="25">
        <v>0.25</v>
      </c>
      <c r="F4" s="25">
        <v>0.0765</v>
      </c>
      <c r="G4" s="29">
        <v>145915</v>
      </c>
    </row>
    <row r="5" spans="1:7" x14ac:dyDescent="0.25">
      <c r="A5" s="4" t="s">
        <v>126</v>
      </c>
      <c r="B5" s="4" t="s">
        <v>124</v>
      </c>
      <c r="C5" s="28">
        <v>1</v>
      </c>
      <c r="D5" s="26">
        <v>90000</v>
      </c>
      <c r="E5" s="25">
        <v>0.25</v>
      </c>
      <c r="F5" s="25">
        <v>0.0765</v>
      </c>
      <c r="G5" s="29">
        <v>119385</v>
      </c>
    </row>
    <row r="6" spans="1:7" x14ac:dyDescent="0.25">
      <c r="A6" s="4" t="s">
        <v>127</v>
      </c>
      <c r="B6" s="4" t="s">
        <v>124</v>
      </c>
      <c r="C6" s="28">
        <v>1</v>
      </c>
      <c r="D6" s="26">
        <v>75000</v>
      </c>
      <c r="E6" s="25">
        <v>0.25</v>
      </c>
      <c r="F6" s="25">
        <v>0.0765</v>
      </c>
      <c r="G6" s="29">
        <v>99488</v>
      </c>
    </row>
    <row r="7" spans="1:7" x14ac:dyDescent="0.25">
      <c r="A7" s="4" t="s">
        <v>128</v>
      </c>
      <c r="B7" s="4" t="s">
        <v>129</v>
      </c>
      <c r="C7" s="28">
        <v>1</v>
      </c>
      <c r="D7" s="26">
        <v>55000</v>
      </c>
      <c r="E7" s="25">
        <v>0.22</v>
      </c>
      <c r="F7" s="25">
        <v>0.0765</v>
      </c>
      <c r="G7" s="29">
        <v>71308</v>
      </c>
    </row>
    <row r="8" spans="1:7" x14ac:dyDescent="0.25">
      <c r="A8" s="4" t="s">
        <v>130</v>
      </c>
      <c r="B8" s="4" t="s">
        <v>129</v>
      </c>
      <c r="C8" s="28">
        <v>1</v>
      </c>
      <c r="D8" s="26">
        <v>48000</v>
      </c>
      <c r="E8" s="25">
        <v>0.22</v>
      </c>
      <c r="F8" s="25">
        <v>0.0765</v>
      </c>
      <c r="G8" s="29">
        <v>62232</v>
      </c>
    </row>
    <row r="9" spans="1:7" x14ac:dyDescent="0.25">
      <c r="A9" s="4" t="s">
        <v>131</v>
      </c>
      <c r="B9" s="4" t="s">
        <v>132</v>
      </c>
      <c r="C9" s="28">
        <v>1</v>
      </c>
      <c r="D9" s="26">
        <v>52000</v>
      </c>
      <c r="E9" s="25">
        <v>0.22</v>
      </c>
      <c r="F9" s="25">
        <v>0.0765</v>
      </c>
      <c r="G9" s="29">
        <v>67418</v>
      </c>
    </row>
    <row r="10" spans="1:7" x14ac:dyDescent="0.25">
      <c r="A10" s="4" t="s">
        <v>133</v>
      </c>
      <c r="B10" s="4" t="s">
        <v>134</v>
      </c>
      <c r="C10" s="28">
        <v>1</v>
      </c>
      <c r="D10" s="26">
        <v>45000</v>
      </c>
      <c r="E10" s="25">
        <v>0.2</v>
      </c>
      <c r="F10" s="25">
        <v>0.0765</v>
      </c>
      <c r="G10" s="29">
        <v>57443</v>
      </c>
    </row>
    <row r="11" spans="1:7" x14ac:dyDescent="0.25">
      <c r="A11" s="4" t="s">
        <v>135</v>
      </c>
      <c r="B11" s="4" t="s">
        <v>136</v>
      </c>
      <c r="C11" s="28">
        <v>1</v>
      </c>
      <c r="D11" s="26">
        <v>35000</v>
      </c>
      <c r="E11" s="25">
        <v>0</v>
      </c>
      <c r="F11" s="25">
        <v>0.0765</v>
      </c>
      <c r="G11" s="29">
        <v>37678</v>
      </c>
    </row>
    <row r="13" ht="24" customHeight="1" spans="1:7" x14ac:dyDescent="0.25">
      <c r="A13" s="13" t="s">
        <v>215</v>
      </c>
      <c r="B13" s="13"/>
      <c r="C13" s="13"/>
      <c r="D13" s="13"/>
      <c r="E13" s="13"/>
      <c r="F13" s="13"/>
      <c r="G13" s="13"/>
    </row>
    <row r="14" ht="28" customHeight="1" spans="1:6" x14ac:dyDescent="0.25">
      <c r="A14" s="15" t="s">
        <v>17</v>
      </c>
      <c r="B14" s="15" t="s">
        <v>94</v>
      </c>
      <c r="C14" s="15" t="s">
        <v>95</v>
      </c>
      <c r="D14" s="15" t="s">
        <v>96</v>
      </c>
      <c r="E14" s="15" t="s">
        <v>97</v>
      </c>
      <c r="F14" s="15" t="s">
        <v>98</v>
      </c>
    </row>
    <row r="15" spans="1:6" x14ac:dyDescent="0.25">
      <c r="A15" s="3" t="s">
        <v>216</v>
      </c>
      <c r="B15" s="27">
        <v>550721</v>
      </c>
      <c r="C15" s="27">
        <v>680691</v>
      </c>
      <c r="D15" s="27">
        <v>701112</v>
      </c>
      <c r="E15" s="27">
        <v>722145</v>
      </c>
      <c r="F15" s="27">
        <v>743809</v>
      </c>
    </row>
    <row r="16" spans="1:6" x14ac:dyDescent="0.25">
      <c r="A16" s="4" t="s">
        <v>217</v>
      </c>
      <c r="B16" s="25">
        <v>0.13942299578059072</v>
      </c>
      <c r="C16" s="25">
        <v>0.11494080647067764</v>
      </c>
      <c r="D16" s="25">
        <v>0.08792443947692663</v>
      </c>
      <c r="E16" s="25">
        <v>0.07144103120137658</v>
      </c>
      <c r="F16" s="25">
        <v>0.060337948093208714</v>
      </c>
    </row>
    <row r="17" spans="1:6" x14ac:dyDescent="0.25">
      <c r="A17" s="4" t="s">
        <v>218</v>
      </c>
      <c r="B17" s="30">
        <v>25</v>
      </c>
      <c r="C17" s="30">
        <v>37.5</v>
      </c>
      <c r="D17" s="30">
        <v>50</v>
      </c>
      <c r="E17" s="30">
        <v>62.5</v>
      </c>
      <c r="F17" s="30">
        <v>75</v>
      </c>
    </row>
  </sheetData>
  <mergeCells count="1">
    <mergeCell ref="A1:G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"/>
  <sheetFormatPr defaultRowHeight="15" outlineLevelRow="0" outlineLevelCol="0" x14ac:dyDescent="55"/>
  <cols>
    <col min="1" max="1" width="32" customWidth="1"/>
    <col min="2" max="7" width="16" customWidth="1"/>
  </cols>
  <sheetData>
    <row r="1" spans="1:6" x14ac:dyDescent="0.25">
      <c r="A1" s="11" t="s">
        <v>219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139</v>
      </c>
      <c r="B4" s="13"/>
      <c r="C4" s="13"/>
      <c r="D4" s="13"/>
      <c r="E4" s="13"/>
      <c r="F4" s="13"/>
    </row>
    <row r="5" spans="1:6" x14ac:dyDescent="0.25">
      <c r="A5" s="4" t="s">
        <v>220</v>
      </c>
      <c r="B5" s="26">
        <v>160000</v>
      </c>
      <c r="C5" s="26">
        <v>244800</v>
      </c>
      <c r="D5" s="26">
        <v>332928</v>
      </c>
      <c r="E5" s="26">
        <v>424483</v>
      </c>
      <c r="F5" s="26">
        <v>519567</v>
      </c>
    </row>
    <row r="6" spans="1:6" x14ac:dyDescent="0.25">
      <c r="A6" s="4" t="s">
        <v>221</v>
      </c>
      <c r="B6" s="26">
        <v>80000</v>
      </c>
      <c r="C6" s="26">
        <v>123600</v>
      </c>
      <c r="D6" s="26">
        <v>169744</v>
      </c>
      <c r="E6" s="26">
        <v>218545</v>
      </c>
      <c r="F6" s="26">
        <v>270122</v>
      </c>
    </row>
    <row r="7" spans="1:6" x14ac:dyDescent="0.25">
      <c r="A7" s="4" t="s">
        <v>222</v>
      </c>
      <c r="B7" s="26">
        <v>120000</v>
      </c>
      <c r="C7" s="26">
        <v>183600</v>
      </c>
      <c r="D7" s="26">
        <v>249696</v>
      </c>
      <c r="E7" s="26">
        <v>318362</v>
      </c>
      <c r="F7" s="26">
        <v>389676</v>
      </c>
    </row>
    <row r="8" spans="1:6" x14ac:dyDescent="0.25">
      <c r="A8" s="3" t="s">
        <v>223</v>
      </c>
      <c r="B8" s="31">
        <f>SUM(B5:B7)</f>
        <v>360000</v>
      </c>
      <c r="C8" s="31">
        <f>SUM(C5:C7)</f>
        <v>552000</v>
      </c>
      <c r="D8" s="31">
        <f>SUM(D5:D7)</f>
        <v>752368</v>
      </c>
      <c r="E8" s="31">
        <f>SUM(E5:E7)</f>
        <v>961391</v>
      </c>
      <c r="F8" s="31">
        <f>SUM(F5:F7)</f>
        <v>1179365</v>
      </c>
    </row>
    <row r="9" ht="24" customHeight="1" spans="1:6" x14ac:dyDescent="0.25">
      <c r="A9" s="13" t="s">
        <v>141</v>
      </c>
      <c r="B9" s="13"/>
      <c r="C9" s="13"/>
      <c r="D9" s="13"/>
      <c r="E9" s="13"/>
      <c r="F9" s="13"/>
    </row>
    <row r="10" spans="1:6" x14ac:dyDescent="0.25">
      <c r="A10" s="4" t="s">
        <v>224</v>
      </c>
      <c r="B10" s="26">
        <v>90000</v>
      </c>
      <c r="C10" s="26">
        <v>139050</v>
      </c>
      <c r="D10" s="26">
        <v>190962</v>
      </c>
      <c r="E10" s="26">
        <v>245864</v>
      </c>
      <c r="F10" s="26">
        <v>303887</v>
      </c>
    </row>
    <row r="11" spans="1:6" x14ac:dyDescent="0.25">
      <c r="A11" s="3" t="s">
        <v>225</v>
      </c>
      <c r="B11" s="31">
        <f>SUM(B10:B10)</f>
        <v>90000</v>
      </c>
      <c r="C11" s="31">
        <f>SUM(C10:C10)</f>
        <v>139050</v>
      </c>
      <c r="D11" s="31">
        <f>SUM(D10:D10)</f>
        <v>190962</v>
      </c>
      <c r="E11" s="31">
        <f>SUM(E10:E10)</f>
        <v>245864</v>
      </c>
      <c r="F11" s="31">
        <f>SUM(F10:F10)</f>
        <v>303887</v>
      </c>
    </row>
    <row r="12" ht="24" customHeight="1" spans="1:6" x14ac:dyDescent="0.25">
      <c r="A12" s="13" t="s">
        <v>143</v>
      </c>
      <c r="B12" s="13"/>
      <c r="C12" s="13"/>
      <c r="D12" s="13"/>
      <c r="E12" s="13"/>
      <c r="F12" s="13"/>
    </row>
    <row r="13" spans="1:6" x14ac:dyDescent="0.25">
      <c r="A13" s="4" t="s">
        <v>226</v>
      </c>
      <c r="B13" s="26">
        <v>48000</v>
      </c>
      <c r="C13" s="26">
        <v>49440</v>
      </c>
      <c r="D13" s="26">
        <v>50923</v>
      </c>
      <c r="E13" s="26">
        <v>52451</v>
      </c>
      <c r="F13" s="26">
        <v>54024</v>
      </c>
    </row>
    <row r="14" spans="1:6" x14ac:dyDescent="0.25">
      <c r="A14" s="3" t="s">
        <v>227</v>
      </c>
      <c r="B14" s="31">
        <f>SUM(B13:B13)</f>
        <v>48000</v>
      </c>
      <c r="C14" s="31">
        <f>SUM(C13:C13)</f>
        <v>49440</v>
      </c>
      <c r="D14" s="31">
        <f>SUM(D13:D13)</f>
        <v>50923</v>
      </c>
      <c r="E14" s="31">
        <f>SUM(E13:E13)</f>
        <v>52451</v>
      </c>
      <c r="F14" s="31">
        <f>SUM(F13:F13)</f>
        <v>54024</v>
      </c>
    </row>
    <row r="15" ht="24" customHeight="1" spans="1:6" x14ac:dyDescent="0.25">
      <c r="A15" s="13" t="s">
        <v>145</v>
      </c>
      <c r="B15" s="13"/>
      <c r="C15" s="13"/>
      <c r="D15" s="13"/>
      <c r="E15" s="13"/>
      <c r="F15" s="13"/>
    </row>
    <row r="16" spans="1:6" x14ac:dyDescent="0.25">
      <c r="A16" s="4" t="s">
        <v>228</v>
      </c>
      <c r="B16" s="26">
        <v>35000</v>
      </c>
      <c r="C16" s="26">
        <v>36050</v>
      </c>
      <c r="D16" s="26">
        <v>37132</v>
      </c>
      <c r="E16" s="26">
        <v>38245</v>
      </c>
      <c r="F16" s="26">
        <v>39393</v>
      </c>
    </row>
    <row r="17" spans="1:6" x14ac:dyDescent="0.25">
      <c r="A17" s="4" t="s">
        <v>229</v>
      </c>
      <c r="B17" s="26">
        <v>25000</v>
      </c>
      <c r="C17" s="26">
        <v>25750</v>
      </c>
      <c r="D17" s="26">
        <v>26523</v>
      </c>
      <c r="E17" s="26">
        <v>27318</v>
      </c>
      <c r="F17" s="26">
        <v>28138</v>
      </c>
    </row>
    <row r="18" spans="1:6" x14ac:dyDescent="0.25">
      <c r="A18" s="4" t="s">
        <v>230</v>
      </c>
      <c r="B18" s="26">
        <v>20000</v>
      </c>
      <c r="C18" s="26">
        <v>20600</v>
      </c>
      <c r="D18" s="26">
        <v>21218</v>
      </c>
      <c r="E18" s="26">
        <v>21855</v>
      </c>
      <c r="F18" s="26">
        <v>22510</v>
      </c>
    </row>
    <row r="19" spans="1:6" x14ac:dyDescent="0.25">
      <c r="A19" s="3" t="s">
        <v>231</v>
      </c>
      <c r="B19" s="31">
        <f>SUM(B16:B18)</f>
        <v>80000</v>
      </c>
      <c r="C19" s="31">
        <f>SUM(C16:C18)</f>
        <v>82400</v>
      </c>
      <c r="D19" s="31">
        <f>SUM(D16:D18)</f>
        <v>84872</v>
      </c>
      <c r="E19" s="31">
        <f>SUM(E16:E18)</f>
        <v>87418</v>
      </c>
      <c r="F19" s="31">
        <f>SUM(F16:F18)</f>
        <v>90041</v>
      </c>
    </row>
    <row r="21" ht="24" customHeight="1" spans="1:6" x14ac:dyDescent="0.25">
      <c r="A21" s="13" t="s">
        <v>232</v>
      </c>
      <c r="B21" s="27">
        <f>B8+B11+B14+B19</f>
        <v>578000</v>
      </c>
      <c r="C21" s="27">
        <f>C8+C11+C14+C19</f>
        <v>822890</v>
      </c>
      <c r="D21" s="27">
        <f>D8+D11+D14+D19</f>
        <v>1079125</v>
      </c>
      <c r="E21" s="27">
        <f>E8+E11+E14+E19</f>
        <v>1347124</v>
      </c>
      <c r="F21" s="27">
        <f>F8+F11+F14+F19</f>
        <v>1627318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FormatPr defaultRowHeight="15" outlineLevelRow="0" outlineLevelCol="0" x14ac:dyDescent="55"/>
  <cols>
    <col min="1" max="1" width="28" customWidth="1"/>
    <col min="2" max="4" width="14" customWidth="1"/>
    <col min="5" max="6" width="16" customWidth="1"/>
  </cols>
  <sheetData>
    <row r="1" spans="1:6" x14ac:dyDescent="0.25">
      <c r="A1" s="11" t="s">
        <v>233</v>
      </c>
      <c r="B1" s="11"/>
      <c r="C1" s="11"/>
      <c r="D1" s="11"/>
      <c r="E1" s="11"/>
      <c r="F1" s="11"/>
    </row>
    <row r="3" ht="28" customHeight="1" spans="1:6" x14ac:dyDescent="0.25">
      <c r="A3" s="15" t="s">
        <v>151</v>
      </c>
      <c r="B3" s="15" t="s">
        <v>118</v>
      </c>
      <c r="C3" s="15" t="s">
        <v>126</v>
      </c>
      <c r="D3" s="15" t="s">
        <v>120</v>
      </c>
      <c r="E3" s="15" t="s">
        <v>152</v>
      </c>
      <c r="F3" s="15" t="s">
        <v>234</v>
      </c>
    </row>
    <row r="4" spans="1:6" x14ac:dyDescent="0.25">
      <c r="A4" s="4" t="s">
        <v>153</v>
      </c>
      <c r="B4" s="4" t="s">
        <v>235</v>
      </c>
      <c r="C4" s="17">
        <v>350000</v>
      </c>
      <c r="D4" s="25">
        <v>0</v>
      </c>
      <c r="E4" s="23">
        <v>0</v>
      </c>
      <c r="F4" s="29">
        <v>350000</v>
      </c>
    </row>
    <row r="5" spans="1:6" x14ac:dyDescent="0.25">
      <c r="A5" s="4" t="s">
        <v>155</v>
      </c>
      <c r="B5" s="4" t="s">
        <v>156</v>
      </c>
      <c r="C5" s="17">
        <v>500000</v>
      </c>
      <c r="D5" s="25">
        <v>0.065</v>
      </c>
      <c r="E5" s="23">
        <v>15</v>
      </c>
      <c r="F5" s="29">
        <v>52266</v>
      </c>
    </row>
    <row r="6" spans="1:6" x14ac:dyDescent="0.25">
      <c r="A6" s="4" t="s">
        <v>157</v>
      </c>
      <c r="B6" s="4" t="s">
        <v>156</v>
      </c>
      <c r="C6" s="17">
        <v>75000</v>
      </c>
      <c r="D6" s="25">
        <v>0.055</v>
      </c>
      <c r="E6" s="23">
        <v>5</v>
      </c>
      <c r="F6" s="29">
        <v>17191</v>
      </c>
    </row>
    <row r="8" spans="1:6" x14ac:dyDescent="0.25">
      <c r="A8" s="3" t="s">
        <v>236</v>
      </c>
      <c r="F8" s="27">
        <v>69457</v>
      </c>
    </row>
    <row r="9" spans="1:6" x14ac:dyDescent="0.25">
      <c r="A9" s="3" t="s">
        <v>237</v>
      </c>
      <c r="F9" s="31">
        <v>575000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4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238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spans="1:6" x14ac:dyDescent="0.25">
      <c r="A4" s="3" t="s">
        <v>99</v>
      </c>
      <c r="B4" s="32">
        <v>200</v>
      </c>
      <c r="C4" s="32">
        <v>300</v>
      </c>
      <c r="D4" s="32">
        <v>400</v>
      </c>
      <c r="E4" s="32">
        <v>500</v>
      </c>
      <c r="F4" s="32">
        <v>600</v>
      </c>
    </row>
    <row r="6" ht="24" customHeight="1" spans="1:6" x14ac:dyDescent="0.25">
      <c r="A6" s="13" t="s">
        <v>239</v>
      </c>
      <c r="B6" s="13"/>
      <c r="C6" s="13"/>
      <c r="D6" s="13"/>
      <c r="E6" s="13"/>
      <c r="F6" s="13"/>
    </row>
    <row r="7" spans="1:6" x14ac:dyDescent="0.25">
      <c r="A7" s="4" t="s">
        <v>106</v>
      </c>
      <c r="B7" s="26">
        <v>1640000</v>
      </c>
      <c r="C7" s="26">
        <v>2509200</v>
      </c>
      <c r="D7" s="26">
        <v>3412512</v>
      </c>
      <c r="E7" s="26">
        <v>4350953</v>
      </c>
      <c r="F7" s="26">
        <v>5325566</v>
      </c>
    </row>
    <row r="8" spans="1:6" x14ac:dyDescent="0.25">
      <c r="A8" s="4" t="s">
        <v>109</v>
      </c>
      <c r="B8" s="26">
        <v>1760000</v>
      </c>
      <c r="C8" s="26">
        <v>2692800</v>
      </c>
      <c r="D8" s="26">
        <v>3662208</v>
      </c>
      <c r="E8" s="26">
        <v>4669315</v>
      </c>
      <c r="F8" s="26">
        <v>5715242</v>
      </c>
    </row>
    <row r="9" spans="1:6" x14ac:dyDescent="0.25">
      <c r="A9" s="4" t="s">
        <v>110</v>
      </c>
      <c r="B9" s="26">
        <v>240000</v>
      </c>
      <c r="C9" s="26">
        <v>370800</v>
      </c>
      <c r="D9" s="26">
        <v>509232</v>
      </c>
      <c r="E9" s="26">
        <v>655636</v>
      </c>
      <c r="F9" s="26">
        <v>810366</v>
      </c>
    </row>
    <row r="10" spans="1:6" x14ac:dyDescent="0.25">
      <c r="A10" s="4" t="s">
        <v>111</v>
      </c>
      <c r="B10" s="26">
        <v>250000</v>
      </c>
      <c r="C10" s="26">
        <v>257500</v>
      </c>
      <c r="D10" s="26">
        <v>265225</v>
      </c>
      <c r="E10" s="26">
        <v>273182</v>
      </c>
      <c r="F10" s="26">
        <v>281377</v>
      </c>
    </row>
    <row r="11" spans="1:6" x14ac:dyDescent="0.25">
      <c r="A11" s="4" t="s">
        <v>114</v>
      </c>
      <c r="B11" s="26">
        <v>60000</v>
      </c>
      <c r="C11" s="26">
        <v>91800</v>
      </c>
      <c r="D11" s="26">
        <v>124848</v>
      </c>
      <c r="E11" s="26">
        <v>159181</v>
      </c>
      <c r="F11" s="26">
        <v>194838</v>
      </c>
    </row>
    <row r="12" ht="24" customHeight="1" spans="1:6" x14ac:dyDescent="0.25">
      <c r="A12" s="13" t="s">
        <v>212</v>
      </c>
      <c r="B12" s="27">
        <f>SUM(B7:B11)</f>
        <v>3950000</v>
      </c>
      <c r="C12" s="27">
        <f>SUM(C7:C11)</f>
        <v>5922100</v>
      </c>
      <c r="D12" s="27">
        <f>SUM(D7:D11)</f>
        <v>7974025</v>
      </c>
      <c r="E12" s="27">
        <f>SUM(E7:E11)</f>
        <v>10108267</v>
      </c>
      <c r="F12" s="27">
        <f>SUM(F7:F11)</f>
        <v>12327389</v>
      </c>
    </row>
    <row r="14" spans="1:6" x14ac:dyDescent="0.25">
      <c r="A14" s="4" t="s">
        <v>240</v>
      </c>
      <c r="B14" s="26">
        <v>19750</v>
      </c>
      <c r="C14" s="26">
        <v>19740</v>
      </c>
      <c r="D14" s="26">
        <v>19935</v>
      </c>
      <c r="E14" s="26">
        <v>20217</v>
      </c>
      <c r="F14" s="26">
        <v>20546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3"/>
  <sheetFormatPr defaultRowHeight="15" outlineLevelRow="0" outlineLevelCol="0" x14ac:dyDescent="55"/>
  <cols>
    <col min="1" max="1" width="30" customWidth="1"/>
    <col min="2" max="6" width="16" customWidth="1"/>
  </cols>
  <sheetData>
    <row r="1" spans="1:6" x14ac:dyDescent="0.25">
      <c r="A1" s="11" t="s">
        <v>241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129</v>
      </c>
      <c r="B4" s="13"/>
      <c r="C4" s="13"/>
      <c r="D4" s="13"/>
      <c r="E4" s="13"/>
      <c r="F4" s="13"/>
    </row>
    <row r="5" spans="1:6" x14ac:dyDescent="0.25">
      <c r="A5" s="4" t="s">
        <v>242</v>
      </c>
      <c r="B5" s="26">
        <v>59423</v>
      </c>
      <c r="C5" s="26">
        <v>73447</v>
      </c>
      <c r="D5" s="26">
        <v>75650</v>
      </c>
      <c r="E5" s="26">
        <v>77920</v>
      </c>
      <c r="F5" s="26">
        <v>80257</v>
      </c>
    </row>
    <row r="6" spans="1:6" x14ac:dyDescent="0.25">
      <c r="A6" s="4" t="s">
        <v>243</v>
      </c>
      <c r="B6" s="26">
        <v>51860</v>
      </c>
      <c r="C6" s="26">
        <v>64099</v>
      </c>
      <c r="D6" s="26">
        <v>66022</v>
      </c>
      <c r="E6" s="26">
        <v>68003</v>
      </c>
      <c r="F6" s="26">
        <v>70043</v>
      </c>
    </row>
    <row r="7" spans="1:6" x14ac:dyDescent="0.25">
      <c r="A7" s="3" t="s">
        <v>244</v>
      </c>
      <c r="B7" s="31">
        <f>SUM(B5:B6)</f>
        <v>111283</v>
      </c>
      <c r="C7" s="31">
        <f>SUM(C5:C6)</f>
        <v>137546</v>
      </c>
      <c r="D7" s="31">
        <f>SUM(D5:D6)</f>
        <v>141672</v>
      </c>
      <c r="E7" s="31">
        <f>SUM(E5:E6)</f>
        <v>145922</v>
      </c>
      <c r="F7" s="31">
        <f>SUM(F5:F6)</f>
        <v>150300</v>
      </c>
    </row>
    <row r="8" ht="24" customHeight="1" spans="1:6" x14ac:dyDescent="0.25">
      <c r="A8" s="13" t="s">
        <v>124</v>
      </c>
      <c r="B8" s="13"/>
      <c r="C8" s="13"/>
      <c r="D8" s="13"/>
      <c r="E8" s="13"/>
      <c r="F8" s="13"/>
    </row>
    <row r="9" spans="1:6" x14ac:dyDescent="0.25">
      <c r="A9" s="4" t="s">
        <v>245</v>
      </c>
      <c r="B9" s="26">
        <v>121596</v>
      </c>
      <c r="C9" s="26">
        <v>150292</v>
      </c>
      <c r="D9" s="26">
        <v>154801</v>
      </c>
      <c r="E9" s="26">
        <v>159445</v>
      </c>
      <c r="F9" s="26">
        <v>164229</v>
      </c>
    </row>
    <row r="10" spans="1:6" x14ac:dyDescent="0.25">
      <c r="A10" s="4" t="s">
        <v>246</v>
      </c>
      <c r="B10" s="26">
        <v>99488</v>
      </c>
      <c r="C10" s="26">
        <v>122967</v>
      </c>
      <c r="D10" s="26">
        <v>126656</v>
      </c>
      <c r="E10" s="26">
        <v>130455</v>
      </c>
      <c r="F10" s="26">
        <v>134369</v>
      </c>
    </row>
    <row r="11" spans="1:6" x14ac:dyDescent="0.25">
      <c r="A11" s="4" t="s">
        <v>247</v>
      </c>
      <c r="B11" s="26">
        <v>82906</v>
      </c>
      <c r="C11" s="26">
        <v>102472</v>
      </c>
      <c r="D11" s="26">
        <v>105546</v>
      </c>
      <c r="E11" s="26">
        <v>108713</v>
      </c>
      <c r="F11" s="26">
        <v>111974</v>
      </c>
    </row>
    <row r="12" spans="1:6" x14ac:dyDescent="0.25">
      <c r="A12" s="3" t="s">
        <v>248</v>
      </c>
      <c r="B12" s="31">
        <f>SUM(B9:B11)</f>
        <v>303990</v>
      </c>
      <c r="C12" s="31">
        <f>SUM(C9:C11)</f>
        <v>375731</v>
      </c>
      <c r="D12" s="31">
        <f>SUM(D9:D11)</f>
        <v>387003</v>
      </c>
      <c r="E12" s="31">
        <f>SUM(E9:E11)</f>
        <v>398613</v>
      </c>
      <c r="F12" s="31">
        <f>SUM(F9:F11)</f>
        <v>410572</v>
      </c>
    </row>
    <row r="13" ht="24" customHeight="1" spans="1:6" x14ac:dyDescent="0.25">
      <c r="A13" s="13" t="s">
        <v>132</v>
      </c>
      <c r="B13" s="13"/>
      <c r="C13" s="13"/>
      <c r="D13" s="13"/>
      <c r="E13" s="13"/>
      <c r="F13" s="13"/>
    </row>
    <row r="14" spans="1:6" x14ac:dyDescent="0.25">
      <c r="A14" s="4" t="s">
        <v>249</v>
      </c>
      <c r="B14" s="26">
        <v>56182</v>
      </c>
      <c r="C14" s="26">
        <v>69441</v>
      </c>
      <c r="D14" s="26">
        <v>71524</v>
      </c>
      <c r="E14" s="26">
        <v>73669</v>
      </c>
      <c r="F14" s="26">
        <v>75880</v>
      </c>
    </row>
    <row r="15" spans="1:6" x14ac:dyDescent="0.25">
      <c r="A15" s="3" t="s">
        <v>250</v>
      </c>
      <c r="B15" s="31">
        <f>SUM(B14:B14)</f>
        <v>56182</v>
      </c>
      <c r="C15" s="31">
        <f>SUM(C14:C14)</f>
        <v>69441</v>
      </c>
      <c r="D15" s="31">
        <f>SUM(D14:D14)</f>
        <v>71524</v>
      </c>
      <c r="E15" s="31">
        <f>SUM(E14:E14)</f>
        <v>73669</v>
      </c>
      <c r="F15" s="31">
        <f>SUM(F14:F14)</f>
        <v>75880</v>
      </c>
    </row>
    <row r="16" ht="24" customHeight="1" spans="1:6" x14ac:dyDescent="0.25">
      <c r="A16" s="13" t="s">
        <v>136</v>
      </c>
      <c r="B16" s="13"/>
      <c r="C16" s="13"/>
      <c r="D16" s="13"/>
      <c r="E16" s="13"/>
      <c r="F16" s="13"/>
    </row>
    <row r="17" spans="1:6" x14ac:dyDescent="0.25">
      <c r="A17" s="4" t="s">
        <v>251</v>
      </c>
      <c r="B17" s="26">
        <v>31398</v>
      </c>
      <c r="C17" s="26">
        <v>38808</v>
      </c>
      <c r="D17" s="26">
        <v>39972</v>
      </c>
      <c r="E17" s="26">
        <v>41171</v>
      </c>
      <c r="F17" s="26">
        <v>42406</v>
      </c>
    </row>
    <row r="18" spans="1:6" x14ac:dyDescent="0.25">
      <c r="A18" s="3" t="s">
        <v>252</v>
      </c>
      <c r="B18" s="31">
        <f>SUM(B17:B17)</f>
        <v>31398</v>
      </c>
      <c r="C18" s="31">
        <f>SUM(C17:C17)</f>
        <v>38808</v>
      </c>
      <c r="D18" s="31">
        <f>SUM(D17:D17)</f>
        <v>39972</v>
      </c>
      <c r="E18" s="31">
        <f>SUM(E17:E17)</f>
        <v>41171</v>
      </c>
      <c r="F18" s="31">
        <f>SUM(F17:F17)</f>
        <v>42406</v>
      </c>
    </row>
    <row r="19" ht="24" customHeight="1" spans="1:6" x14ac:dyDescent="0.25">
      <c r="A19" s="13" t="s">
        <v>134</v>
      </c>
      <c r="B19" s="13"/>
      <c r="C19" s="13"/>
      <c r="D19" s="13"/>
      <c r="E19" s="13"/>
      <c r="F19" s="13"/>
    </row>
    <row r="20" spans="1:6" x14ac:dyDescent="0.25">
      <c r="A20" s="4" t="s">
        <v>253</v>
      </c>
      <c r="B20" s="26">
        <v>47869</v>
      </c>
      <c r="C20" s="26">
        <v>59166</v>
      </c>
      <c r="D20" s="26">
        <v>60941</v>
      </c>
      <c r="E20" s="26">
        <v>62769</v>
      </c>
      <c r="F20" s="26">
        <v>64652</v>
      </c>
    </row>
    <row r="21" spans="1:6" x14ac:dyDescent="0.25">
      <c r="A21" s="3" t="s">
        <v>254</v>
      </c>
      <c r="B21" s="31">
        <f>SUM(B20:B20)</f>
        <v>47869</v>
      </c>
      <c r="C21" s="31">
        <f>SUM(C20:C20)</f>
        <v>59166</v>
      </c>
      <c r="D21" s="31">
        <f>SUM(D20:D20)</f>
        <v>60941</v>
      </c>
      <c r="E21" s="31">
        <f>SUM(E20:E20)</f>
        <v>62769</v>
      </c>
      <c r="F21" s="31">
        <f>SUM(F20:F20)</f>
        <v>64652</v>
      </c>
    </row>
    <row r="23" ht="24" customHeight="1" spans="1:6" x14ac:dyDescent="0.25">
      <c r="A23" s="13" t="s">
        <v>255</v>
      </c>
      <c r="B23" s="27">
        <f>B7+B12+B15+B18+B21</f>
        <v>550721</v>
      </c>
      <c r="C23" s="27">
        <f>C7+C12+C15+C18+C21</f>
        <v>680691</v>
      </c>
      <c r="D23" s="27">
        <f>D7+D12+D15+D18+D21</f>
        <v>701112</v>
      </c>
      <c r="E23" s="27">
        <f>E7+E12+E15+E18+E21</f>
        <v>722145</v>
      </c>
      <c r="F23" s="27">
        <f>F7+F12+F15+F18+F21</f>
        <v>743809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4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256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257</v>
      </c>
      <c r="B4" s="13"/>
      <c r="C4" s="13"/>
      <c r="D4" s="13"/>
      <c r="E4" s="13"/>
      <c r="F4" s="13"/>
    </row>
    <row r="5" spans="1:6" x14ac:dyDescent="0.25">
      <c r="A5" s="4" t="s">
        <v>258</v>
      </c>
      <c r="B5" s="26">
        <v>1366667</v>
      </c>
      <c r="C5" s="26">
        <v>2509200</v>
      </c>
      <c r="D5" s="26">
        <v>3412512</v>
      </c>
      <c r="E5" s="26">
        <v>4350953</v>
      </c>
      <c r="F5" s="26">
        <v>5325566</v>
      </c>
    </row>
    <row r="6" spans="1:6" x14ac:dyDescent="0.25">
      <c r="A6" s="4" t="s">
        <v>259</v>
      </c>
      <c r="B6" s="26">
        <v>1466667</v>
      </c>
      <c r="C6" s="26">
        <v>2692800</v>
      </c>
      <c r="D6" s="26">
        <v>3662208</v>
      </c>
      <c r="E6" s="26">
        <v>4669315</v>
      </c>
      <c r="F6" s="26">
        <v>5715242</v>
      </c>
    </row>
    <row r="7" spans="1:6" x14ac:dyDescent="0.25">
      <c r="A7" s="4" t="s">
        <v>260</v>
      </c>
      <c r="B7" s="26">
        <v>200000</v>
      </c>
      <c r="C7" s="26">
        <v>370800</v>
      </c>
      <c r="D7" s="26">
        <v>509232</v>
      </c>
      <c r="E7" s="26">
        <v>655636</v>
      </c>
      <c r="F7" s="26">
        <v>810366</v>
      </c>
    </row>
    <row r="8" spans="1:6" x14ac:dyDescent="0.25">
      <c r="A8" s="4" t="s">
        <v>261</v>
      </c>
      <c r="B8" s="26">
        <v>208333</v>
      </c>
      <c r="C8" s="26">
        <v>257500</v>
      </c>
      <c r="D8" s="26">
        <v>265225</v>
      </c>
      <c r="E8" s="26">
        <v>273182</v>
      </c>
      <c r="F8" s="26">
        <v>281377</v>
      </c>
    </row>
    <row r="9" spans="1:6" x14ac:dyDescent="0.25">
      <c r="A9" s="4" t="s">
        <v>262</v>
      </c>
      <c r="B9" s="26">
        <v>50000</v>
      </c>
      <c r="C9" s="26">
        <v>91800</v>
      </c>
      <c r="D9" s="26">
        <v>124848</v>
      </c>
      <c r="E9" s="26">
        <v>159181</v>
      </c>
      <c r="F9" s="26">
        <v>194838</v>
      </c>
    </row>
    <row r="10" spans="1:6" x14ac:dyDescent="0.25">
      <c r="A10" s="3" t="s">
        <v>263</v>
      </c>
      <c r="B10" s="31">
        <f>SUM(B5:B9)</f>
        <v>3291667</v>
      </c>
      <c r="C10" s="31">
        <f>SUM(C5:C9)</f>
        <v>5922100</v>
      </c>
      <c r="D10" s="31">
        <f>SUM(D5:D9)</f>
        <v>7974025</v>
      </c>
      <c r="E10" s="31">
        <f>SUM(E5:E9)</f>
        <v>10108267</v>
      </c>
      <c r="F10" s="31">
        <f>SUM(F5:F9)</f>
        <v>12327389</v>
      </c>
    </row>
    <row r="12" ht="24" customHeight="1" spans="1:6" x14ac:dyDescent="0.25">
      <c r="A12" s="13" t="s">
        <v>264</v>
      </c>
      <c r="B12" s="13"/>
      <c r="C12" s="13"/>
      <c r="D12" s="13"/>
      <c r="E12" s="13"/>
      <c r="F12" s="13"/>
    </row>
    <row r="13" spans="1:6" x14ac:dyDescent="0.25">
      <c r="A13" s="4" t="s">
        <v>245</v>
      </c>
      <c r="B13" s="26">
        <v>121596</v>
      </c>
      <c r="C13" s="26">
        <v>150292</v>
      </c>
      <c r="D13" s="26">
        <v>154801</v>
      </c>
      <c r="E13" s="26">
        <v>159445</v>
      </c>
      <c r="F13" s="26">
        <v>164229</v>
      </c>
    </row>
    <row r="14" spans="1:6" x14ac:dyDescent="0.25">
      <c r="A14" s="4" t="s">
        <v>246</v>
      </c>
      <c r="B14" s="26">
        <v>99488</v>
      </c>
      <c r="C14" s="26">
        <v>122967</v>
      </c>
      <c r="D14" s="26">
        <v>126656</v>
      </c>
      <c r="E14" s="26">
        <v>130455</v>
      </c>
      <c r="F14" s="26">
        <v>134369</v>
      </c>
    </row>
    <row r="15" spans="1:6" x14ac:dyDescent="0.25">
      <c r="A15" s="4" t="s">
        <v>247</v>
      </c>
      <c r="B15" s="26">
        <v>82906</v>
      </c>
      <c r="C15" s="26">
        <v>102472</v>
      </c>
      <c r="D15" s="26">
        <v>105546</v>
      </c>
      <c r="E15" s="26">
        <v>108713</v>
      </c>
      <c r="F15" s="26">
        <v>111974</v>
      </c>
    </row>
    <row r="16" spans="1:6" x14ac:dyDescent="0.25">
      <c r="A16" s="4" t="s">
        <v>242</v>
      </c>
      <c r="B16" s="26">
        <v>59423</v>
      </c>
      <c r="C16" s="26">
        <v>73447</v>
      </c>
      <c r="D16" s="26">
        <v>75650</v>
      </c>
      <c r="E16" s="26">
        <v>77920</v>
      </c>
      <c r="F16" s="26">
        <v>80257</v>
      </c>
    </row>
    <row r="17" spans="1:6" x14ac:dyDescent="0.25">
      <c r="A17" s="4" t="s">
        <v>243</v>
      </c>
      <c r="B17" s="26">
        <v>51860</v>
      </c>
      <c r="C17" s="26">
        <v>64099</v>
      </c>
      <c r="D17" s="26">
        <v>66022</v>
      </c>
      <c r="E17" s="26">
        <v>68003</v>
      </c>
      <c r="F17" s="26">
        <v>70043</v>
      </c>
    </row>
    <row r="18" spans="1:6" x14ac:dyDescent="0.25">
      <c r="A18" s="4" t="s">
        <v>249</v>
      </c>
      <c r="B18" s="26">
        <v>56182</v>
      </c>
      <c r="C18" s="26">
        <v>69441</v>
      </c>
      <c r="D18" s="26">
        <v>71524</v>
      </c>
      <c r="E18" s="26">
        <v>73669</v>
      </c>
      <c r="F18" s="26">
        <v>75880</v>
      </c>
    </row>
    <row r="19" spans="1:6" x14ac:dyDescent="0.25">
      <c r="A19" s="4" t="s">
        <v>253</v>
      </c>
      <c r="B19" s="26">
        <v>47869</v>
      </c>
      <c r="C19" s="26">
        <v>59166</v>
      </c>
      <c r="D19" s="26">
        <v>60941</v>
      </c>
      <c r="E19" s="26">
        <v>62769</v>
      </c>
      <c r="F19" s="26">
        <v>64652</v>
      </c>
    </row>
    <row r="20" spans="1:6" x14ac:dyDescent="0.25">
      <c r="A20" s="4" t="s">
        <v>251</v>
      </c>
      <c r="B20" s="26">
        <v>31398</v>
      </c>
      <c r="C20" s="26">
        <v>38808</v>
      </c>
      <c r="D20" s="26">
        <v>39972</v>
      </c>
      <c r="E20" s="26">
        <v>41171</v>
      </c>
      <c r="F20" s="26">
        <v>42406</v>
      </c>
    </row>
    <row r="21" spans="1:6" x14ac:dyDescent="0.25">
      <c r="A21" s="3" t="s">
        <v>216</v>
      </c>
      <c r="B21" s="31">
        <f>SUM(B13:B20)</f>
        <v>550721</v>
      </c>
      <c r="C21" s="31">
        <f>SUM(C13:C20)</f>
        <v>680691</v>
      </c>
      <c r="D21" s="31">
        <f>SUM(D13:D20)</f>
        <v>701112</v>
      </c>
      <c r="E21" s="31">
        <f>SUM(E13:E20)</f>
        <v>722145</v>
      </c>
      <c r="F21" s="31">
        <f>SUM(F13:F20)</f>
        <v>743809</v>
      </c>
    </row>
    <row r="23" ht="24" customHeight="1" spans="1:6" x14ac:dyDescent="0.25">
      <c r="A23" s="13" t="s">
        <v>137</v>
      </c>
      <c r="B23" s="13"/>
      <c r="C23" s="13"/>
      <c r="D23" s="13"/>
      <c r="E23" s="13"/>
      <c r="F23" s="13"/>
    </row>
    <row r="24" spans="1:1" x14ac:dyDescent="0.25">
      <c r="A24" s="33" t="s">
        <v>139</v>
      </c>
    </row>
    <row r="25" spans="1:6" x14ac:dyDescent="0.25">
      <c r="A25" s="4" t="s">
        <v>265</v>
      </c>
      <c r="B25" s="26">
        <v>133333</v>
      </c>
      <c r="C25" s="26">
        <v>244800</v>
      </c>
      <c r="D25" s="26">
        <v>332928</v>
      </c>
      <c r="E25" s="26">
        <v>424483</v>
      </c>
      <c r="F25" s="26">
        <v>519567</v>
      </c>
    </row>
    <row r="26" spans="1:6" x14ac:dyDescent="0.25">
      <c r="A26" s="4" t="s">
        <v>266</v>
      </c>
      <c r="B26" s="26">
        <v>66667</v>
      </c>
      <c r="C26" s="26">
        <v>123600</v>
      </c>
      <c r="D26" s="26">
        <v>169744</v>
      </c>
      <c r="E26" s="26">
        <v>218545</v>
      </c>
      <c r="F26" s="26">
        <v>270122</v>
      </c>
    </row>
    <row r="27" spans="1:6" x14ac:dyDescent="0.25">
      <c r="A27" s="4" t="s">
        <v>267</v>
      </c>
      <c r="B27" s="26">
        <v>100000</v>
      </c>
      <c r="C27" s="26">
        <v>183600</v>
      </c>
      <c r="D27" s="26">
        <v>249696</v>
      </c>
      <c r="E27" s="26">
        <v>318362</v>
      </c>
      <c r="F27" s="26">
        <v>389676</v>
      </c>
    </row>
    <row r="28" spans="1:6" x14ac:dyDescent="0.25">
      <c r="A28" s="3" t="s">
        <v>268</v>
      </c>
      <c r="B28" s="31">
        <f>SUM(B25:B27)</f>
        <v>300000</v>
      </c>
      <c r="C28" s="31">
        <f>SUM(C25:C27)</f>
        <v>552000</v>
      </c>
      <c r="D28" s="31">
        <f>SUM(D25:D27)</f>
        <v>752368</v>
      </c>
      <c r="E28" s="31">
        <f>SUM(E25:E27)</f>
        <v>961391</v>
      </c>
      <c r="F28" s="31">
        <f>SUM(F25:F27)</f>
        <v>1179365</v>
      </c>
    </row>
    <row r="29" spans="1:1" x14ac:dyDescent="0.25">
      <c r="A29" s="33" t="s">
        <v>141</v>
      </c>
    </row>
    <row r="30" spans="1:6" x14ac:dyDescent="0.25">
      <c r="A30" s="4" t="s">
        <v>269</v>
      </c>
      <c r="B30" s="26">
        <v>75000</v>
      </c>
      <c r="C30" s="26">
        <v>139050</v>
      </c>
      <c r="D30" s="26">
        <v>190962</v>
      </c>
      <c r="E30" s="26">
        <v>245864</v>
      </c>
      <c r="F30" s="26">
        <v>303887</v>
      </c>
    </row>
    <row r="31" spans="1:1" x14ac:dyDescent="0.25">
      <c r="A31" s="33" t="s">
        <v>143</v>
      </c>
    </row>
    <row r="32" spans="1:6" x14ac:dyDescent="0.25">
      <c r="A32" s="4" t="s">
        <v>270</v>
      </c>
      <c r="B32" s="26">
        <v>40000</v>
      </c>
      <c r="C32" s="26">
        <v>49440</v>
      </c>
      <c r="D32" s="26">
        <v>50923</v>
      </c>
      <c r="E32" s="26">
        <v>52451</v>
      </c>
      <c r="F32" s="26">
        <v>54024</v>
      </c>
    </row>
    <row r="33" spans="1:1" x14ac:dyDescent="0.25">
      <c r="A33" s="33" t="s">
        <v>145</v>
      </c>
    </row>
    <row r="34" spans="1:6" x14ac:dyDescent="0.25">
      <c r="A34" s="4" t="s">
        <v>271</v>
      </c>
      <c r="B34" s="26">
        <v>29167</v>
      </c>
      <c r="C34" s="26">
        <v>36050</v>
      </c>
      <c r="D34" s="26">
        <v>37132</v>
      </c>
      <c r="E34" s="26">
        <v>38245</v>
      </c>
      <c r="F34" s="26">
        <v>39393</v>
      </c>
    </row>
    <row r="35" spans="1:6" x14ac:dyDescent="0.25">
      <c r="A35" s="4" t="s">
        <v>272</v>
      </c>
      <c r="B35" s="26">
        <v>20833</v>
      </c>
      <c r="C35" s="26">
        <v>25750</v>
      </c>
      <c r="D35" s="26">
        <v>26523</v>
      </c>
      <c r="E35" s="26">
        <v>27318</v>
      </c>
      <c r="F35" s="26">
        <v>28138</v>
      </c>
    </row>
    <row r="36" spans="1:6" x14ac:dyDescent="0.25">
      <c r="A36" s="4" t="s">
        <v>273</v>
      </c>
      <c r="B36" s="26">
        <v>16667</v>
      </c>
      <c r="C36" s="26">
        <v>20600</v>
      </c>
      <c r="D36" s="26">
        <v>21218</v>
      </c>
      <c r="E36" s="26">
        <v>21855</v>
      </c>
      <c r="F36" s="26">
        <v>22510</v>
      </c>
    </row>
    <row r="37" spans="1:6" x14ac:dyDescent="0.25">
      <c r="A37" s="3" t="s">
        <v>274</v>
      </c>
      <c r="B37" s="31">
        <f>SUM(B34:B36)</f>
        <v>66667</v>
      </c>
      <c r="C37" s="31">
        <f>SUM(C34:C36)</f>
        <v>82400</v>
      </c>
      <c r="D37" s="31">
        <f>SUM(D34:D36)</f>
        <v>84872</v>
      </c>
      <c r="E37" s="31">
        <f>SUM(E34:E36)</f>
        <v>87418</v>
      </c>
      <c r="F37" s="31">
        <f>SUM(F34:F36)</f>
        <v>90041</v>
      </c>
    </row>
    <row r="38" spans="1:6" x14ac:dyDescent="0.25">
      <c r="A38" s="3" t="s">
        <v>275</v>
      </c>
      <c r="B38" s="31">
        <f>B28+B30+B32+B37</f>
        <v>481667</v>
      </c>
      <c r="C38" s="31">
        <f>C28+C30+C32+C37</f>
        <v>822890</v>
      </c>
      <c r="D38" s="31">
        <f>D28+D30+D32+D37</f>
        <v>1079125</v>
      </c>
      <c r="E38" s="31">
        <f>E28+E30+E32+E37</f>
        <v>1347124</v>
      </c>
      <c r="F38" s="31">
        <f>F28+F30+F32+F37</f>
        <v>1627318</v>
      </c>
    </row>
    <row r="40" ht="24" customHeight="1" spans="1:6" x14ac:dyDescent="0.25">
      <c r="A40" s="13" t="s">
        <v>276</v>
      </c>
      <c r="B40" s="13"/>
      <c r="C40" s="13"/>
      <c r="D40" s="13"/>
      <c r="E40" s="13"/>
      <c r="F40" s="13"/>
    </row>
    <row r="41" spans="1:6" x14ac:dyDescent="0.25">
      <c r="A41" s="4" t="s">
        <v>277</v>
      </c>
      <c r="B41" s="26">
        <v>350000</v>
      </c>
      <c r="C41" s="26">
        <v>0</v>
      </c>
      <c r="D41" s="26">
        <v>0</v>
      </c>
      <c r="E41" s="26">
        <v>0</v>
      </c>
      <c r="F41" s="26">
        <v>0</v>
      </c>
    </row>
    <row r="42" spans="1:6" x14ac:dyDescent="0.25">
      <c r="A42" s="4" t="s">
        <v>278</v>
      </c>
      <c r="B42" s="26">
        <v>52266</v>
      </c>
      <c r="C42" s="26">
        <v>52266</v>
      </c>
      <c r="D42" s="26">
        <v>52266</v>
      </c>
      <c r="E42" s="26">
        <v>52266</v>
      </c>
      <c r="F42" s="26">
        <v>52266</v>
      </c>
    </row>
    <row r="43" spans="1:6" x14ac:dyDescent="0.25">
      <c r="A43" s="4" t="s">
        <v>279</v>
      </c>
      <c r="B43" s="26">
        <v>17191</v>
      </c>
      <c r="C43" s="26">
        <v>17191</v>
      </c>
      <c r="D43" s="26">
        <v>17191</v>
      </c>
      <c r="E43" s="26">
        <v>17191</v>
      </c>
      <c r="F43" s="26">
        <v>17191</v>
      </c>
    </row>
    <row r="44" spans="1:6" x14ac:dyDescent="0.25">
      <c r="A44" s="3" t="s">
        <v>280</v>
      </c>
      <c r="B44" s="31">
        <f>SUM(B41:B43)</f>
        <v>419457</v>
      </c>
      <c r="C44" s="31">
        <f>SUM(C41:C43)</f>
        <v>69457</v>
      </c>
      <c r="D44" s="31">
        <f>SUM(D41:D43)</f>
        <v>69457</v>
      </c>
      <c r="E44" s="31">
        <f>SUM(E41:E43)</f>
        <v>69457</v>
      </c>
      <c r="F44" s="31">
        <f>SUM(F41:F43)</f>
        <v>69457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281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spans="1:6" x14ac:dyDescent="0.25">
      <c r="A4" s="3" t="s">
        <v>263</v>
      </c>
      <c r="B4" s="29">
        <f>'Budget Detail'!B10</f>
        <v>3291667</v>
      </c>
      <c r="C4" s="29">
        <f>'Budget Detail'!C10</f>
        <v>5922100</v>
      </c>
      <c r="D4" s="29">
        <f>'Budget Detail'!D10</f>
        <v>7974025</v>
      </c>
      <c r="E4" s="29">
        <f>'Budget Detail'!E10</f>
        <v>10108267</v>
      </c>
      <c r="F4" s="29">
        <f>'Budget Detail'!F10</f>
        <v>12327389</v>
      </c>
    </row>
    <row r="5" spans="1:6" x14ac:dyDescent="0.25">
      <c r="A5" s="3" t="s">
        <v>216</v>
      </c>
      <c r="B5" s="29">
        <f>'Budget Detail'!B21</f>
        <v>550721</v>
      </c>
      <c r="C5" s="29">
        <f>'Budget Detail'!C21</f>
        <v>680691</v>
      </c>
      <c r="D5" s="29">
        <f>'Budget Detail'!D21</f>
        <v>701112</v>
      </c>
      <c r="E5" s="29">
        <f>'Budget Detail'!E21</f>
        <v>722145</v>
      </c>
      <c r="F5" s="29">
        <f>'Budget Detail'!F21</f>
        <v>743809</v>
      </c>
    </row>
    <row r="6" spans="1:6" x14ac:dyDescent="0.25">
      <c r="A6" s="3" t="s">
        <v>275</v>
      </c>
      <c r="B6" s="29">
        <f>'Budget Detail'!B38</f>
        <v>481667</v>
      </c>
      <c r="C6" s="29">
        <f>'Budget Detail'!C38</f>
        <v>822890</v>
      </c>
      <c r="D6" s="29">
        <f>'Budget Detail'!D38</f>
        <v>1079125</v>
      </c>
      <c r="E6" s="29">
        <f>'Budget Detail'!E38</f>
        <v>1347124</v>
      </c>
      <c r="F6" s="29">
        <f>'Budget Detail'!F38</f>
        <v>1627318</v>
      </c>
    </row>
    <row r="7" spans="1:6" x14ac:dyDescent="0.25">
      <c r="A7" s="3" t="s">
        <v>282</v>
      </c>
      <c r="B7" s="29">
        <f>'Budget Detail'!B44</f>
        <v>419457</v>
      </c>
      <c r="C7" s="29">
        <f>'Budget Detail'!C44</f>
        <v>69457</v>
      </c>
      <c r="D7" s="29">
        <f>'Budget Detail'!D44</f>
        <v>69457</v>
      </c>
      <c r="E7" s="29">
        <f>'Budget Detail'!E44</f>
        <v>69457</v>
      </c>
      <c r="F7" s="29">
        <f>'Budget Detail'!F44</f>
        <v>69457</v>
      </c>
    </row>
    <row r="8" spans="1:6" x14ac:dyDescent="0.25">
      <c r="A8" s="3" t="s">
        <v>283</v>
      </c>
      <c r="B8" s="31">
        <f>SUM(B5:B7)</f>
        <v>1451845</v>
      </c>
      <c r="C8" s="31">
        <f>SUM(C5:C7)</f>
        <v>1573038</v>
      </c>
      <c r="D8" s="31">
        <f>SUM(D5:D7)</f>
        <v>1849694</v>
      </c>
      <c r="E8" s="31">
        <f>SUM(E5:E7)</f>
        <v>2138726</v>
      </c>
      <c r="F8" s="31">
        <f>SUM(F5:F7)</f>
        <v>2440585</v>
      </c>
    </row>
    <row r="10" ht="24" customHeight="1" spans="1:6" x14ac:dyDescent="0.25">
      <c r="A10" s="13" t="s">
        <v>284</v>
      </c>
      <c r="B10" s="13"/>
      <c r="C10" s="13"/>
      <c r="D10" s="13"/>
      <c r="E10" s="13"/>
      <c r="F10" s="13"/>
    </row>
    <row r="11" spans="1:6" x14ac:dyDescent="0.25">
      <c r="A11" s="3" t="s">
        <v>285</v>
      </c>
      <c r="B11" s="27">
        <f>B4-B8</f>
        <v>1839822</v>
      </c>
      <c r="C11" s="27">
        <f>C4-C8</f>
        <v>4349062</v>
      </c>
      <c r="D11" s="27">
        <f>D4-D8</f>
        <v>6124331</v>
      </c>
      <c r="E11" s="27">
        <f>E4-E8</f>
        <v>7969541</v>
      </c>
      <c r="F11" s="27">
        <f>F4-F8</f>
        <v>9886805</v>
      </c>
    </row>
    <row r="12" spans="1:6" x14ac:dyDescent="0.25">
      <c r="A12" s="4" t="s">
        <v>286</v>
      </c>
      <c r="B12" s="25">
        <f>IF(B4=0,0,B11/B4)</f>
        <v>0.55893317</v>
      </c>
      <c r="C12" s="25">
        <f>IF(C4=0,0,C11/C4)</f>
        <v>0.73437827</v>
      </c>
      <c r="D12" s="25">
        <f>IF(D4=0,0,D11/D4)</f>
        <v>0.76803504</v>
      </c>
      <c r="E12" s="25">
        <f>IF(E4=0,0,E11/E4)</f>
        <v>0.78841812</v>
      </c>
      <c r="F12" s="25">
        <f>IF(F4=0,0,F11/F4)</f>
        <v>0.80201935</v>
      </c>
    </row>
    <row r="13" spans="1:6" x14ac:dyDescent="0.25">
      <c r="A13" s="4" t="s">
        <v>287</v>
      </c>
      <c r="B13" s="26">
        <v>1839822</v>
      </c>
      <c r="C13" s="26">
        <v>6188883</v>
      </c>
      <c r="D13" s="26">
        <v>12313214</v>
      </c>
      <c r="E13" s="26">
        <v>20282755</v>
      </c>
      <c r="F13" s="26">
        <v>30169560</v>
      </c>
    </row>
    <row r="14" spans="1:6" x14ac:dyDescent="0.25">
      <c r="A14" s="4" t="s">
        <v>240</v>
      </c>
      <c r="B14" s="26">
        <v>16458</v>
      </c>
      <c r="C14" s="26">
        <v>19740</v>
      </c>
      <c r="D14" s="26">
        <v>19935</v>
      </c>
      <c r="E14" s="26">
        <v>20217</v>
      </c>
      <c r="F14" s="26">
        <v>20546</v>
      </c>
    </row>
    <row r="15" spans="1:6" x14ac:dyDescent="0.25">
      <c r="A15" s="4" t="s">
        <v>288</v>
      </c>
      <c r="B15" s="26">
        <v>7259</v>
      </c>
      <c r="C15" s="26">
        <v>5243</v>
      </c>
      <c r="D15" s="26">
        <v>4624</v>
      </c>
      <c r="E15" s="26">
        <v>4277</v>
      </c>
      <c r="F15" s="26">
        <v>4068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FormatPr defaultRowHeight="15" outlineLevelRow="0" outlineLevelCol="0" x14ac:dyDescent="55"/>
  <cols>
    <col min="1" max="1" width="28" customWidth="1"/>
    <col min="2" max="13" width="14" customWidth="1"/>
    <col min="14" max="14" width="16" customWidth="1"/>
  </cols>
  <sheetData>
    <row r="1" spans="1:14" x14ac:dyDescent="0.25">
      <c r="A1" s="11" t="s">
        <v>289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ht="28" customHeight="1" spans="1:14" x14ac:dyDescent="0.25">
      <c r="A2" s="15" t="s">
        <v>17</v>
      </c>
      <c r="B2" s="15" t="s">
        <v>290</v>
      </c>
      <c r="C2" s="15" t="s">
        <v>291</v>
      </c>
      <c r="D2" s="15" t="s">
        <v>292</v>
      </c>
      <c r="E2" s="15" t="s">
        <v>293</v>
      </c>
      <c r="F2" s="15" t="s">
        <v>294</v>
      </c>
      <c r="G2" s="15" t="s">
        <v>295</v>
      </c>
      <c r="H2" s="15" t="s">
        <v>296</v>
      </c>
      <c r="I2" s="15" t="s">
        <v>297</v>
      </c>
      <c r="J2" s="15" t="s">
        <v>298</v>
      </c>
      <c r="K2" s="15" t="s">
        <v>299</v>
      </c>
      <c r="L2" s="15" t="s">
        <v>300</v>
      </c>
      <c r="M2" s="15" t="s">
        <v>301</v>
      </c>
      <c r="N2" s="15" t="s">
        <v>302</v>
      </c>
    </row>
    <row r="3" ht="24" customHeight="1" spans="1:14" x14ac:dyDescent="0.25">
      <c r="A3" s="13" t="s">
        <v>257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x14ac:dyDescent="0.25">
      <c r="A4" s="3" t="s">
        <v>263</v>
      </c>
      <c r="B4" s="31">
        <v>395000</v>
      </c>
      <c r="C4" s="31">
        <v>395000</v>
      </c>
      <c r="D4" s="31">
        <v>395000</v>
      </c>
      <c r="E4" s="31">
        <v>395000</v>
      </c>
      <c r="F4" s="31">
        <v>395000</v>
      </c>
      <c r="G4" s="31">
        <v>395000</v>
      </c>
      <c r="H4" s="31">
        <v>395000</v>
      </c>
      <c r="I4" s="31">
        <v>395000</v>
      </c>
      <c r="J4" s="31">
        <v>395000</v>
      </c>
      <c r="K4" s="31">
        <v>395000</v>
      </c>
      <c r="L4" s="31">
        <v>0</v>
      </c>
      <c r="M4" s="31">
        <v>0</v>
      </c>
      <c r="N4" s="31">
        <f>SUM(B4:M4)</f>
        <v>3950000</v>
      </c>
    </row>
    <row r="6" ht="24" customHeight="1" spans="1:14" x14ac:dyDescent="0.25">
      <c r="A6" s="13" t="s">
        <v>303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x14ac:dyDescent="0.25">
      <c r="A7" s="4" t="s">
        <v>304</v>
      </c>
      <c r="B7" s="26">
        <v>55072</v>
      </c>
      <c r="C7" s="26">
        <v>55072</v>
      </c>
      <c r="D7" s="26">
        <v>55072</v>
      </c>
      <c r="E7" s="26">
        <v>55072</v>
      </c>
      <c r="F7" s="26">
        <v>55072</v>
      </c>
      <c r="G7" s="26">
        <v>55072</v>
      </c>
      <c r="H7" s="26">
        <v>55072</v>
      </c>
      <c r="I7" s="26">
        <v>55072</v>
      </c>
      <c r="J7" s="26">
        <v>55072</v>
      </c>
      <c r="K7" s="26">
        <v>55072</v>
      </c>
      <c r="L7" s="26">
        <v>0</v>
      </c>
      <c r="M7" s="26">
        <v>0</v>
      </c>
      <c r="N7" s="26">
        <f>SUM(B7:M7)</f>
        <v>550721</v>
      </c>
    </row>
    <row r="8" spans="1:14" x14ac:dyDescent="0.25">
      <c r="A8" s="4" t="s">
        <v>305</v>
      </c>
      <c r="B8" s="26">
        <v>48167</v>
      </c>
      <c r="C8" s="26">
        <v>48167</v>
      </c>
      <c r="D8" s="26">
        <v>48167</v>
      </c>
      <c r="E8" s="26">
        <v>48167</v>
      </c>
      <c r="F8" s="26">
        <v>48167</v>
      </c>
      <c r="G8" s="26">
        <v>48167</v>
      </c>
      <c r="H8" s="26">
        <v>48167</v>
      </c>
      <c r="I8" s="26">
        <v>48167</v>
      </c>
      <c r="J8" s="26">
        <v>48167</v>
      </c>
      <c r="K8" s="26">
        <v>48167</v>
      </c>
      <c r="L8" s="26">
        <v>0</v>
      </c>
      <c r="M8" s="26">
        <v>0</v>
      </c>
      <c r="N8" s="26">
        <f>SUM(B8:M8)</f>
        <v>481667</v>
      </c>
    </row>
    <row r="9" spans="1:14" x14ac:dyDescent="0.25">
      <c r="A9" s="4" t="s">
        <v>306</v>
      </c>
      <c r="B9" s="26">
        <v>34955</v>
      </c>
      <c r="C9" s="26">
        <v>34955</v>
      </c>
      <c r="D9" s="26">
        <v>34955</v>
      </c>
      <c r="E9" s="26">
        <v>34955</v>
      </c>
      <c r="F9" s="26">
        <v>34955</v>
      </c>
      <c r="G9" s="26">
        <v>34955</v>
      </c>
      <c r="H9" s="26">
        <v>34955</v>
      </c>
      <c r="I9" s="26">
        <v>34955</v>
      </c>
      <c r="J9" s="26">
        <v>34955</v>
      </c>
      <c r="K9" s="26">
        <v>34955</v>
      </c>
      <c r="L9" s="26">
        <v>34955</v>
      </c>
      <c r="M9" s="26">
        <v>34955</v>
      </c>
      <c r="N9" s="26">
        <f>SUM(B9:M9)</f>
        <v>419457</v>
      </c>
    </row>
    <row r="11" ht="24" customHeight="1" spans="1:14" x14ac:dyDescent="0.25">
      <c r="A11" s="13" t="s">
        <v>307</v>
      </c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x14ac:dyDescent="0.25">
      <c r="A12" s="3" t="s">
        <v>283</v>
      </c>
      <c r="B12" s="29">
        <f>B7+B8+B9</f>
        <v>138194</v>
      </c>
      <c r="C12" s="29">
        <f>C7+C8+C9</f>
        <v>138194</v>
      </c>
      <c r="D12" s="29">
        <f>D7+D8+D9</f>
        <v>138194</v>
      </c>
      <c r="E12" s="29">
        <f>E7+E8+E9</f>
        <v>138194</v>
      </c>
      <c r="F12" s="29">
        <f>F7+F8+F9</f>
        <v>138194</v>
      </c>
      <c r="G12" s="29">
        <f>G7+G8+G9</f>
        <v>138194</v>
      </c>
      <c r="H12" s="29">
        <f>H7+H8+H9</f>
        <v>138194</v>
      </c>
      <c r="I12" s="29">
        <f>I7+I8+I9</f>
        <v>138194</v>
      </c>
      <c r="J12" s="29">
        <f>J7+J8+J9</f>
        <v>138194</v>
      </c>
      <c r="K12" s="29">
        <f>K7+K8+K9</f>
        <v>138194</v>
      </c>
      <c r="L12" s="29">
        <f>L7+L8+L9</f>
        <v>34955</v>
      </c>
      <c r="M12" s="29">
        <f>M7+M8+M9</f>
        <v>34955</v>
      </c>
      <c r="N12" s="29">
        <f>SUM(B12:M12)</f>
        <v>1451850</v>
      </c>
    </row>
    <row r="13" spans="1:14" x14ac:dyDescent="0.25">
      <c r="A13" s="3" t="s">
        <v>308</v>
      </c>
      <c r="B13" s="29">
        <f>B4-B12</f>
        <v>256806</v>
      </c>
      <c r="C13" s="29">
        <f>C4-C12</f>
        <v>256806</v>
      </c>
      <c r="D13" s="29">
        <f>D4-D12</f>
        <v>256806</v>
      </c>
      <c r="E13" s="29">
        <f>E4-E12</f>
        <v>256806</v>
      </c>
      <c r="F13" s="29">
        <f>F4-F12</f>
        <v>256806</v>
      </c>
      <c r="G13" s="29">
        <f>G4-G12</f>
        <v>256806</v>
      </c>
      <c r="H13" s="29">
        <f>H4-H12</f>
        <v>256806</v>
      </c>
      <c r="I13" s="29">
        <f>I4-I12</f>
        <v>256806</v>
      </c>
      <c r="J13" s="29">
        <f>J4-J12</f>
        <v>256806</v>
      </c>
      <c r="K13" s="29">
        <f>K4-K12</f>
        <v>256806</v>
      </c>
      <c r="L13" s="29">
        <f>L4-L12</f>
        <v>-34955</v>
      </c>
      <c r="M13" s="29">
        <f>M4-M12</f>
        <v>-34955</v>
      </c>
      <c r="N13" s="29">
        <f>SUM(B13:M13)</f>
        <v>2498150</v>
      </c>
    </row>
    <row r="14" spans="1:14" x14ac:dyDescent="0.25">
      <c r="A14" s="3" t="s">
        <v>309</v>
      </c>
      <c r="B14" s="34">
        <f>B17+B13</f>
        <v>256806</v>
      </c>
      <c r="C14" s="34">
        <f>B14+C13</f>
        <v>513612</v>
      </c>
      <c r="D14" s="34">
        <f>C14+D13</f>
        <v>770418</v>
      </c>
      <c r="E14" s="34">
        <f>D14+E13</f>
        <v>1027224</v>
      </c>
      <c r="F14" s="34">
        <f>E14+F13</f>
        <v>1284030</v>
      </c>
      <c r="G14" s="34">
        <f>F14+G13</f>
        <v>1540836</v>
      </c>
      <c r="H14" s="34">
        <f>G14+H13</f>
        <v>1797642</v>
      </c>
      <c r="I14" s="34">
        <f>H14+I13</f>
        <v>2054448</v>
      </c>
      <c r="J14" s="34">
        <f>I14+J13</f>
        <v>2311254</v>
      </c>
      <c r="K14" s="34">
        <f>J14+K13</f>
        <v>2568060</v>
      </c>
      <c r="L14" s="34">
        <f>K14+L13</f>
        <v>2533105</v>
      </c>
      <c r="M14" s="34">
        <f>L14+M13</f>
        <v>2498150</v>
      </c>
      <c r="N14" s="27">
        <f>M14</f>
        <v>2498150</v>
      </c>
    </row>
    <row r="16" ht="24" customHeight="1" spans="1:3" x14ac:dyDescent="0.25">
      <c r="A16" s="13" t="s">
        <v>310</v>
      </c>
      <c r="B16" s="13"/>
      <c r="C16" s="13"/>
    </row>
    <row r="17" spans="1:2" x14ac:dyDescent="0.25">
      <c r="A17" s="4" t="s">
        <v>164</v>
      </c>
      <c r="B17" s="17">
        <v>0</v>
      </c>
    </row>
    <row r="18" spans="1:2" x14ac:dyDescent="0.25">
      <c r="A18" s="4" t="s">
        <v>311</v>
      </c>
      <c r="B18" s="34">
        <f>M14</f>
        <v>2498150</v>
      </c>
    </row>
    <row r="19" spans="1:2" x14ac:dyDescent="0.25">
      <c r="A19" s="4" t="s">
        <v>312</v>
      </c>
      <c r="B19" s="26">
        <f>MIN(B14:M14)</f>
        <v>256806</v>
      </c>
    </row>
  </sheetData>
  <mergeCells count="1">
    <mergeCell ref="A1:N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5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313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257</v>
      </c>
      <c r="B4" s="13"/>
      <c r="C4" s="13"/>
      <c r="D4" s="13"/>
      <c r="E4" s="13"/>
      <c r="F4" s="13"/>
    </row>
    <row r="5" spans="1:6" x14ac:dyDescent="0.25">
      <c r="A5" s="35" t="s">
        <v>263</v>
      </c>
      <c r="B5" s="31">
        <v>3291667</v>
      </c>
      <c r="C5" s="31">
        <v>5922100</v>
      </c>
      <c r="D5" s="31">
        <v>7974025</v>
      </c>
      <c r="E5" s="31">
        <v>10108267</v>
      </c>
      <c r="F5" s="31">
        <v>12327389</v>
      </c>
    </row>
    <row r="7" ht="24" customHeight="1" spans="1:6" x14ac:dyDescent="0.25">
      <c r="A7" s="13" t="s">
        <v>303</v>
      </c>
      <c r="B7" s="13"/>
      <c r="C7" s="13"/>
      <c r="D7" s="13"/>
      <c r="E7" s="13"/>
      <c r="F7" s="13"/>
    </row>
    <row r="8" spans="1:6" x14ac:dyDescent="0.25">
      <c r="A8" s="3" t="s">
        <v>304</v>
      </c>
      <c r="B8" s="29">
        <v>550721</v>
      </c>
      <c r="C8" s="29">
        <v>680691</v>
      </c>
      <c r="D8" s="29">
        <v>701112</v>
      </c>
      <c r="E8" s="29">
        <v>722145</v>
      </c>
      <c r="F8" s="29">
        <v>743809</v>
      </c>
    </row>
    <row r="9" spans="1:6" x14ac:dyDescent="0.25">
      <c r="A9" s="3" t="s">
        <v>305</v>
      </c>
      <c r="B9" s="29">
        <v>481667</v>
      </c>
      <c r="C9" s="29">
        <v>822890</v>
      </c>
      <c r="D9" s="29">
        <v>1079125</v>
      </c>
      <c r="E9" s="29">
        <v>1347124</v>
      </c>
      <c r="F9" s="29">
        <v>1627318</v>
      </c>
    </row>
    <row r="10" spans="1:6" x14ac:dyDescent="0.25">
      <c r="A10" s="3" t="s">
        <v>314</v>
      </c>
      <c r="B10" s="29">
        <v>419457</v>
      </c>
      <c r="C10" s="29">
        <v>69457</v>
      </c>
      <c r="D10" s="29">
        <v>69457</v>
      </c>
      <c r="E10" s="29">
        <v>69457</v>
      </c>
      <c r="F10" s="29">
        <v>69457</v>
      </c>
    </row>
    <row r="11" spans="1:6" x14ac:dyDescent="0.25">
      <c r="A11" s="35" t="s">
        <v>283</v>
      </c>
      <c r="B11" s="31">
        <f>SUM(B8:B10)</f>
        <v>1451845</v>
      </c>
      <c r="C11" s="31">
        <f>SUM(C8:C10)</f>
        <v>1573038</v>
      </c>
      <c r="D11" s="31">
        <f>SUM(D8:D10)</f>
        <v>1849694</v>
      </c>
      <c r="E11" s="31">
        <f>SUM(E8:E10)</f>
        <v>2138726</v>
      </c>
      <c r="F11" s="31">
        <f>SUM(F8:F10)</f>
        <v>2440585</v>
      </c>
    </row>
    <row r="13" ht="24" customHeight="1" spans="1:6" x14ac:dyDescent="0.25">
      <c r="A13" s="13" t="s">
        <v>315</v>
      </c>
      <c r="B13" s="13"/>
      <c r="C13" s="13"/>
      <c r="D13" s="13"/>
      <c r="E13" s="13"/>
      <c r="F13" s="13"/>
    </row>
    <row r="14" spans="1:6" x14ac:dyDescent="0.25">
      <c r="A14" s="35" t="s">
        <v>285</v>
      </c>
      <c r="B14" s="27">
        <f>B5-B11</f>
        <v>1839822</v>
      </c>
      <c r="C14" s="27">
        <f>C5-C11</f>
        <v>4349062</v>
      </c>
      <c r="D14" s="27">
        <f>D5-D11</f>
        <v>6124331</v>
      </c>
      <c r="E14" s="27">
        <f>E5-E11</f>
        <v>7969541</v>
      </c>
      <c r="F14" s="27">
        <f>F5-F11</f>
        <v>9886805</v>
      </c>
    </row>
    <row r="15" spans="1:6" x14ac:dyDescent="0.25">
      <c r="A15" s="4" t="s">
        <v>286</v>
      </c>
      <c r="B15" s="25">
        <f>IF(B5=0,0,B14/B5)</f>
        <v>0.55893317</v>
      </c>
      <c r="C15" s="25">
        <f>IF(C5=0,0,C14/C5)</f>
        <v>0.73437827</v>
      </c>
      <c r="D15" s="25">
        <f>IF(D5=0,0,D14/D5)</f>
        <v>0.76803504</v>
      </c>
      <c r="E15" s="25">
        <f>IF(E5=0,0,E14/E5)</f>
        <v>0.78841812</v>
      </c>
      <c r="F15" s="25">
        <f>IF(F5=0,0,F14/F5)</f>
        <v>0.80201935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5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50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316</v>
      </c>
      <c r="B4" s="13"/>
      <c r="C4" s="13"/>
      <c r="D4" s="13"/>
      <c r="E4" s="13"/>
      <c r="F4" s="13"/>
    </row>
    <row r="5" spans="1:5" x14ac:dyDescent="0.25">
      <c r="A5" s="36" t="s">
        <v>317</v>
      </c>
      <c r="B5" s="37" t="s">
        <v>126</v>
      </c>
      <c r="C5" s="38" t="s">
        <v>318</v>
      </c>
      <c r="D5" s="36" t="s">
        <v>319</v>
      </c>
      <c r="E5" s="37" t="s">
        <v>234</v>
      </c>
    </row>
    <row r="6" spans="1:5" x14ac:dyDescent="0.25">
      <c r="A6" s="14" t="s">
        <v>155</v>
      </c>
      <c r="B6" s="17">
        <v>500000</v>
      </c>
      <c r="C6" s="18">
        <v>0.065</v>
      </c>
      <c r="D6" s="14">
        <v>15</v>
      </c>
      <c r="E6" s="26">
        <f>IF(OR(B6=0,D6=0),0,IF(C6=0,B6/D6,-PMT(C6/12,D6*12,B6)*12))</f>
        <v>52266</v>
      </c>
    </row>
    <row r="7" spans="1:5" x14ac:dyDescent="0.25">
      <c r="A7" s="14" t="s">
        <v>157</v>
      </c>
      <c r="B7" s="17">
        <v>75000</v>
      </c>
      <c r="C7" s="18">
        <v>0.055</v>
      </c>
      <c r="D7" s="14">
        <v>5</v>
      </c>
      <c r="E7" s="26">
        <f>IF(OR(B7=0,D7=0),0,IF(C7=0,B7/D7,-PMT(C7/12,D7*12,B7)*12))</f>
        <v>17191</v>
      </c>
    </row>
    <row r="9" ht="24" customHeight="1" spans="1:6" x14ac:dyDescent="0.25">
      <c r="A9" s="13" t="s">
        <v>320</v>
      </c>
      <c r="B9" s="13"/>
      <c r="C9" s="13"/>
      <c r="D9" s="13"/>
      <c r="E9" s="13"/>
      <c r="F9" s="13"/>
    </row>
    <row r="10" spans="1:6" x14ac:dyDescent="0.25">
      <c r="A10" s="4" t="s">
        <v>321</v>
      </c>
      <c r="B10" s="26">
        <f>B6</f>
        <v>500000</v>
      </c>
      <c r="C10" s="26">
        <f>B14</f>
        <v>479634</v>
      </c>
      <c r="D10" s="26">
        <f>C14</f>
        <v>457904</v>
      </c>
      <c r="E10" s="26">
        <f>D14</f>
        <v>434719</v>
      </c>
      <c r="F10" s="26">
        <f>E14</f>
        <v>409980</v>
      </c>
    </row>
    <row r="11" spans="1:6" x14ac:dyDescent="0.25">
      <c r="A11" s="4" t="s">
        <v>322</v>
      </c>
      <c r="B11" s="26">
        <f>IF(OR(D6=0,1&gt;D6*12),0,IF(C6=0,0,-CUMIPMT(C6/12,D6*12,B6,1,12,0)))</f>
        <v>31900</v>
      </c>
      <c r="C11" s="26">
        <f>IF(OR(D6=0,13&gt;D6*12),0,IF(C6=0,0,-CUMIPMT(C6/12,D6*12,B6,13,24,0)))</f>
        <v>30536</v>
      </c>
      <c r="D11" s="26">
        <f>IF(OR(D6=0,25&gt;D6*12),0,IF(C6=0,0,-CUMIPMT(C6/12,D6*12,B6,25,36,0)))</f>
        <v>29081</v>
      </c>
      <c r="E11" s="26">
        <f>IF(OR(D6=0,37&gt;D6*12),0,IF(C6=0,0,-CUMIPMT(C6/12,D6*12,B6,37,48,0)))</f>
        <v>27528</v>
      </c>
      <c r="F11" s="26">
        <f>IF(OR(D6=0,49&gt;D6*12),0,IF(C6=0,0,-CUMIPMT(C6/12,D6*12,B6,49,60,0)))</f>
        <v>25872</v>
      </c>
    </row>
    <row r="12" spans="1:6" x14ac:dyDescent="0.25">
      <c r="A12" s="4" t="s">
        <v>323</v>
      </c>
      <c r="B12" s="26">
        <f>IF(OR(D6=0,1&gt;D6*12),0,IF(C6=0,B6/D6,-CUMPRINC(C6/12,D6*12,B6,1,12,0)))</f>
        <v>20366</v>
      </c>
      <c r="C12" s="26">
        <f>IF(OR(D6=0,13&gt;D6*12),0,IF(C6=0,B6/D6,-CUMPRINC(C6/12,D6*12,B6,13,24,0)))</f>
        <v>21730</v>
      </c>
      <c r="D12" s="26">
        <f>IF(OR(D6=0,25&gt;D6*12),0,IF(C6=0,B6/D6,-CUMPRINC(C6/12,D6*12,B6,25,36,0)))</f>
        <v>23185</v>
      </c>
      <c r="E12" s="26">
        <f>IF(OR(D6=0,37&gt;D6*12),0,IF(C6=0,B6/D6,-CUMPRINC(C6/12,D6*12,B6,37,48,0)))</f>
        <v>24738</v>
      </c>
      <c r="F12" s="26">
        <f>IF(OR(D6=0,49&gt;D6*12),0,IF(C6=0,B6/D6,-CUMPRINC(C6/12,D6*12,B6,49,60,0)))</f>
        <v>26395</v>
      </c>
    </row>
    <row r="13" spans="1:6" x14ac:dyDescent="0.25">
      <c r="A13" s="3" t="s">
        <v>324</v>
      </c>
      <c r="B13" s="29">
        <f>B11+B12</f>
        <v>52266</v>
      </c>
      <c r="C13" s="29">
        <f>C11+C12</f>
        <v>52266</v>
      </c>
      <c r="D13" s="29">
        <f>D11+D12</f>
        <v>52266</v>
      </c>
      <c r="E13" s="29">
        <f>E11+E12</f>
        <v>52266</v>
      </c>
      <c r="F13" s="29">
        <f>F11+F12</f>
        <v>52266</v>
      </c>
    </row>
    <row r="14" spans="1:6" x14ac:dyDescent="0.25">
      <c r="A14" s="3" t="s">
        <v>325</v>
      </c>
      <c r="B14" s="34">
        <f>MAX(0,B10-B12)</f>
        <v>479634</v>
      </c>
      <c r="C14" s="34">
        <f>MAX(0,C10-C12)</f>
        <v>457904</v>
      </c>
      <c r="D14" s="34">
        <f>MAX(0,D10-D12)</f>
        <v>434719</v>
      </c>
      <c r="E14" s="34">
        <f>MAX(0,E10-E12)</f>
        <v>409980</v>
      </c>
      <c r="F14" s="34">
        <f>MAX(0,F10-F12)</f>
        <v>383586</v>
      </c>
    </row>
    <row r="16" ht="24" customHeight="1" spans="1:6" x14ac:dyDescent="0.25">
      <c r="A16" s="13" t="s">
        <v>326</v>
      </c>
      <c r="B16" s="13"/>
      <c r="C16" s="13"/>
      <c r="D16" s="13"/>
      <c r="E16" s="13"/>
      <c r="F16" s="13"/>
    </row>
    <row r="17" spans="1:6" x14ac:dyDescent="0.25">
      <c r="A17" s="4" t="s">
        <v>321</v>
      </c>
      <c r="B17" s="26">
        <f>B7</f>
        <v>75000</v>
      </c>
      <c r="C17" s="26">
        <f>B21</f>
        <v>61599</v>
      </c>
      <c r="D17" s="26">
        <f>C21</f>
        <v>47443</v>
      </c>
      <c r="E17" s="26">
        <f>D21</f>
        <v>32488</v>
      </c>
      <c r="F17" s="26">
        <f>E21</f>
        <v>16690</v>
      </c>
    </row>
    <row r="18" spans="1:6" x14ac:dyDescent="0.25">
      <c r="A18" s="4" t="s">
        <v>322</v>
      </c>
      <c r="B18" s="26">
        <f>IF(OR(D7=0,1&gt;D7*12),0,IF(C7=0,0,-CUMIPMT(C7/12,D7*12,B7,1,12,0)))</f>
        <v>3791</v>
      </c>
      <c r="C18" s="26">
        <f>IF(OR(D7=0,13&gt;D7*12),0,IF(C7=0,0,-CUMIPMT(C7/12,D7*12,B7,13,24,0)))</f>
        <v>3035</v>
      </c>
      <c r="D18" s="26">
        <f>IF(OR(D7=0,25&gt;D7*12),0,IF(C7=0,0,-CUMIPMT(C7/12,D7*12,B7,25,36,0)))</f>
        <v>2236</v>
      </c>
      <c r="E18" s="26">
        <f>IF(OR(D7=0,37&gt;D7*12),0,IF(C7=0,0,-CUMIPMT(C7/12,D7*12,B7,37,48,0)))</f>
        <v>1393</v>
      </c>
      <c r="F18" s="26">
        <f>IF(OR(D7=0,49&gt;D7*12),0,IF(C7=0,0,-CUMIPMT(C7/12,D7*12,B7,49,60,0)))</f>
        <v>501</v>
      </c>
    </row>
    <row r="19" spans="1:6" x14ac:dyDescent="0.25">
      <c r="A19" s="4" t="s">
        <v>323</v>
      </c>
      <c r="B19" s="26">
        <f>IF(OR(D7=0,1&gt;D7*12),0,IF(C7=0,B7/D7,-CUMPRINC(C7/12,D7*12,B7,1,12,0)))</f>
        <v>13401</v>
      </c>
      <c r="C19" s="26">
        <f>IF(OR(D7=0,13&gt;D7*12),0,IF(C7=0,B7/D7,-CUMPRINC(C7/12,D7*12,B7,13,24,0)))</f>
        <v>14156</v>
      </c>
      <c r="D19" s="26">
        <f>IF(OR(D7=0,25&gt;D7*12),0,IF(C7=0,B7/D7,-CUMPRINC(C7/12,D7*12,B7,25,36,0)))</f>
        <v>14955</v>
      </c>
      <c r="E19" s="26">
        <f>IF(OR(D7=0,37&gt;D7*12),0,IF(C7=0,B7/D7,-CUMPRINC(C7/12,D7*12,B7,37,48,0)))</f>
        <v>15799</v>
      </c>
      <c r="F19" s="26">
        <f>IF(OR(D7=0,49&gt;D7*12),0,IF(C7=0,B7/D7,-CUMPRINC(C7/12,D7*12,B7,49,60,0)))</f>
        <v>16690</v>
      </c>
    </row>
    <row r="20" spans="1:6" x14ac:dyDescent="0.25">
      <c r="A20" s="3" t="s">
        <v>324</v>
      </c>
      <c r="B20" s="29">
        <f>B18+B19</f>
        <v>17191</v>
      </c>
      <c r="C20" s="29">
        <f>C18+C19</f>
        <v>17191</v>
      </c>
      <c r="D20" s="29">
        <f>D18+D19</f>
        <v>17191</v>
      </c>
      <c r="E20" s="29">
        <f>E18+E19</f>
        <v>17191</v>
      </c>
      <c r="F20" s="29">
        <f>F18+F19</f>
        <v>17191</v>
      </c>
    </row>
    <row r="21" spans="1:6" x14ac:dyDescent="0.25">
      <c r="A21" s="3" t="s">
        <v>325</v>
      </c>
      <c r="B21" s="34">
        <f>MAX(0,B17-B19)</f>
        <v>61599</v>
      </c>
      <c r="C21" s="34">
        <f>MAX(0,C17-C19)</f>
        <v>47443</v>
      </c>
      <c r="D21" s="34">
        <f>MAX(0,D17-D19)</f>
        <v>32488</v>
      </c>
      <c r="E21" s="34">
        <f>MAX(0,E17-E19)</f>
        <v>16690</v>
      </c>
      <c r="F21" s="34" t="str">
        <f>MAX(0,F17-F19)</f>
        <v>0</v>
      </c>
    </row>
    <row r="23" ht="24" customHeight="1" spans="1:6" x14ac:dyDescent="0.25">
      <c r="A23" s="13" t="s">
        <v>327</v>
      </c>
      <c r="B23" s="13"/>
      <c r="C23" s="13"/>
      <c r="D23" s="13"/>
      <c r="E23" s="13"/>
      <c r="F23" s="13"/>
    </row>
    <row r="24" spans="1:6" x14ac:dyDescent="0.25">
      <c r="A24" s="3" t="s">
        <v>328</v>
      </c>
      <c r="B24" s="31">
        <f>B13+B20</f>
        <v>69457</v>
      </c>
      <c r="C24" s="31">
        <f>C13+C20</f>
        <v>69457</v>
      </c>
      <c r="D24" s="31">
        <f>D13+D20</f>
        <v>69457</v>
      </c>
      <c r="E24" s="31">
        <f>E13+E20</f>
        <v>69457</v>
      </c>
      <c r="F24" s="31">
        <f>F13+F20</f>
        <v>69457</v>
      </c>
    </row>
    <row r="25" spans="1:6" x14ac:dyDescent="0.25">
      <c r="A25" s="3" t="s">
        <v>329</v>
      </c>
      <c r="B25" s="27">
        <f>B14+B21</f>
        <v>541233</v>
      </c>
      <c r="C25" s="27">
        <f>C14+C21</f>
        <v>505347</v>
      </c>
      <c r="D25" s="27">
        <f>D14+D21</f>
        <v>467207</v>
      </c>
      <c r="E25" s="27">
        <f>E14+E21</f>
        <v>426670</v>
      </c>
      <c r="F25" s="27">
        <f>F14+F21</f>
        <v>383586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330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331</v>
      </c>
      <c r="B4" s="13"/>
      <c r="C4" s="13"/>
      <c r="D4" s="13"/>
      <c r="E4" s="13"/>
      <c r="F4" s="13"/>
    </row>
    <row r="5" spans="1:6" x14ac:dyDescent="0.25">
      <c r="A5" s="4" t="s">
        <v>332</v>
      </c>
      <c r="B5" s="39">
        <f>'Monthly Cash Flow Y1'!M14</f>
        <v>2498150</v>
      </c>
      <c r="C5" s="39">
        <f>B5+'5-Year Operating Stmt'!C14</f>
        <v>6847212</v>
      </c>
      <c r="D5" s="39">
        <f>B5+'5-Year Operating Stmt'!C14+'5-Year Operating Stmt'!D14</f>
        <v>12971542</v>
      </c>
      <c r="E5" s="39">
        <f>B5+'5-Year Operating Stmt'!C14+'5-Year Operating Stmt'!D14+'5-Year Operating Stmt'!E14</f>
        <v>20941083</v>
      </c>
      <c r="F5" s="39">
        <f>B5+'5-Year Operating Stmt'!C14+'5-Year Operating Stmt'!D14+'5-Year Operating Stmt'!E14+'5-Year Operating Stmt'!F14</f>
        <v>30827888</v>
      </c>
    </row>
    <row r="6" spans="1:6" x14ac:dyDescent="0.25">
      <c r="A6" s="4" t="s">
        <v>333</v>
      </c>
      <c r="B6" s="26">
        <v>0</v>
      </c>
      <c r="C6" s="26">
        <v>0</v>
      </c>
      <c r="D6" s="26">
        <v>0</v>
      </c>
      <c r="E6" s="26">
        <v>0</v>
      </c>
      <c r="F6" s="26">
        <v>0</v>
      </c>
    </row>
    <row r="7" spans="1:6" x14ac:dyDescent="0.25">
      <c r="A7" s="4" t="s">
        <v>334</v>
      </c>
      <c r="B7" s="26">
        <v>100000</v>
      </c>
      <c r="C7" s="26">
        <v>100000</v>
      </c>
      <c r="D7" s="26">
        <v>100000</v>
      </c>
      <c r="E7" s="26">
        <v>100000</v>
      </c>
      <c r="F7" s="26">
        <v>100000</v>
      </c>
    </row>
    <row r="8" spans="1:6" x14ac:dyDescent="0.25">
      <c r="A8" s="4" t="s">
        <v>335</v>
      </c>
      <c r="B8" s="26">
        <v>0</v>
      </c>
      <c r="C8" s="26">
        <v>0</v>
      </c>
      <c r="D8" s="26">
        <v>0</v>
      </c>
      <c r="E8" s="26">
        <v>0</v>
      </c>
      <c r="F8" s="26">
        <v>0</v>
      </c>
    </row>
    <row r="9" spans="1:6" x14ac:dyDescent="0.25">
      <c r="A9" s="3" t="s">
        <v>336</v>
      </c>
      <c r="B9" s="31">
        <f>SUM(B5:B8)</f>
        <v>2598150</v>
      </c>
      <c r="C9" s="31">
        <f>SUM(C5:C8)</f>
        <v>6947212</v>
      </c>
      <c r="D9" s="31">
        <f>SUM(D5:D8)</f>
        <v>13071542</v>
      </c>
      <c r="E9" s="31">
        <f>SUM(E5:E8)</f>
        <v>21041083</v>
      </c>
      <c r="F9" s="31">
        <f>SUM(F5:F8)</f>
        <v>30927888</v>
      </c>
    </row>
    <row r="11" ht="24" customHeight="1" spans="1:6" x14ac:dyDescent="0.25">
      <c r="A11" s="13" t="s">
        <v>337</v>
      </c>
      <c r="B11" s="13"/>
      <c r="C11" s="13"/>
      <c r="D11" s="13"/>
      <c r="E11" s="13"/>
      <c r="F11" s="13"/>
    </row>
    <row r="12" spans="1:6" x14ac:dyDescent="0.25">
      <c r="A12" s="4" t="s">
        <v>338</v>
      </c>
      <c r="B12" s="26">
        <v>0</v>
      </c>
      <c r="C12" s="26">
        <v>0</v>
      </c>
      <c r="D12" s="26">
        <v>0</v>
      </c>
      <c r="E12" s="26">
        <v>0</v>
      </c>
      <c r="F12" s="26">
        <v>0</v>
      </c>
    </row>
    <row r="13" spans="1:6" x14ac:dyDescent="0.25">
      <c r="A13" s="4" t="s">
        <v>339</v>
      </c>
      <c r="B13" s="26">
        <f>'Debt Schedule'!B25</f>
        <v>541233</v>
      </c>
      <c r="C13" s="26">
        <f>'Debt Schedule'!C25</f>
        <v>505347</v>
      </c>
      <c r="D13" s="26">
        <f>'Debt Schedule'!D25</f>
        <v>467207</v>
      </c>
      <c r="E13" s="26">
        <f>'Debt Schedule'!E25</f>
        <v>426670</v>
      </c>
      <c r="F13" s="26">
        <f>'Debt Schedule'!F25</f>
        <v>383586</v>
      </c>
    </row>
    <row r="14" spans="1:6" x14ac:dyDescent="0.25">
      <c r="A14" s="3" t="s">
        <v>340</v>
      </c>
      <c r="B14" s="31">
        <f>SUM(B12:B13)</f>
        <v>541233</v>
      </c>
      <c r="C14" s="31">
        <f>SUM(C12:C13)</f>
        <v>505347</v>
      </c>
      <c r="D14" s="31">
        <f>SUM(D12:D13)</f>
        <v>467207</v>
      </c>
      <c r="E14" s="31">
        <f>SUM(E12:E13)</f>
        <v>426670</v>
      </c>
      <c r="F14" s="31">
        <f>SUM(F12:F13)</f>
        <v>383586</v>
      </c>
    </row>
    <row r="16" ht="24" customHeight="1" spans="1:6" x14ac:dyDescent="0.25">
      <c r="A16" s="13" t="s">
        <v>341</v>
      </c>
      <c r="B16" s="13"/>
      <c r="C16" s="13"/>
      <c r="D16" s="13"/>
      <c r="E16" s="13"/>
      <c r="F16" s="13"/>
    </row>
    <row r="17" spans="1:6" x14ac:dyDescent="0.25">
      <c r="A17" s="3" t="s">
        <v>342</v>
      </c>
      <c r="B17" s="27">
        <f>B9-B14</f>
        <v>2056917</v>
      </c>
      <c r="C17" s="27">
        <f>C9-C14</f>
        <v>6441865</v>
      </c>
      <c r="D17" s="27">
        <f>D9-D14</f>
        <v>12604335</v>
      </c>
      <c r="E17" s="27">
        <f>E9-E14</f>
        <v>20614413</v>
      </c>
      <c r="F17" s="27">
        <f>F9-F14</f>
        <v>30544302</v>
      </c>
    </row>
    <row r="19" spans="1:6" x14ac:dyDescent="0.25">
      <c r="A19" s="3" t="s">
        <v>343</v>
      </c>
      <c r="B19" s="40" t="str">
        <f>B9-B14-B17</f>
        <v>0</v>
      </c>
      <c r="C19" s="40" t="str">
        <f>C9-C14-C17</f>
        <v>0</v>
      </c>
      <c r="D19" s="40" t="str">
        <f>D9-D14-D17</f>
        <v>0</v>
      </c>
      <c r="E19" s="40" t="str">
        <f>E9-E14-E17</f>
        <v>0</v>
      </c>
      <c r="F19" s="40" t="str">
        <f>F9-F14-F17</f>
        <v>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9"/>
  <sheetFormatPr defaultRowHeight="15" outlineLevelRow="0" outlineLevelCol="0" x14ac:dyDescent="55"/>
  <cols>
    <col min="1" max="1" width="36" customWidth="1"/>
    <col min="2" max="6" width="16" customWidth="1"/>
  </cols>
  <sheetData>
    <row r="1" spans="1:6" x14ac:dyDescent="0.25">
      <c r="A1" s="11" t="s">
        <v>344</v>
      </c>
      <c r="B1" s="11"/>
      <c r="C1" s="11"/>
      <c r="D1" s="11"/>
      <c r="E1" s="11"/>
      <c r="F1" s="11"/>
    </row>
    <row r="3" ht="28" customHeight="1" spans="1:6" x14ac:dyDescent="0.25">
      <c r="A3" s="15" t="s">
        <v>17</v>
      </c>
      <c r="B3" s="15" t="s">
        <v>94</v>
      </c>
      <c r="C3" s="15" t="s">
        <v>95</v>
      </c>
      <c r="D3" s="15" t="s">
        <v>96</v>
      </c>
      <c r="E3" s="15" t="s">
        <v>97</v>
      </c>
      <c r="F3" s="15" t="s">
        <v>98</v>
      </c>
    </row>
    <row r="4" ht="24" customHeight="1" spans="1:6" x14ac:dyDescent="0.25">
      <c r="A4" s="13" t="s">
        <v>345</v>
      </c>
      <c r="B4" s="13"/>
      <c r="C4" s="13"/>
      <c r="D4" s="13"/>
      <c r="E4" s="13"/>
      <c r="F4" s="13"/>
    </row>
    <row r="5" spans="1:6" x14ac:dyDescent="0.25">
      <c r="A5" s="4" t="s">
        <v>346</v>
      </c>
      <c r="B5" s="26">
        <v>3291667</v>
      </c>
      <c r="C5" s="26">
        <v>5922100</v>
      </c>
      <c r="D5" s="26">
        <v>7974025</v>
      </c>
      <c r="E5" s="26">
        <v>10108267</v>
      </c>
      <c r="F5" s="26">
        <v>12327389</v>
      </c>
    </row>
    <row r="6" spans="1:6" x14ac:dyDescent="0.25">
      <c r="A6" s="4" t="s">
        <v>304</v>
      </c>
      <c r="B6" s="26">
        <v>550721</v>
      </c>
      <c r="C6" s="26">
        <v>680691</v>
      </c>
      <c r="D6" s="26">
        <v>701112</v>
      </c>
      <c r="E6" s="26">
        <v>722145</v>
      </c>
      <c r="F6" s="26">
        <v>743809</v>
      </c>
    </row>
    <row r="7" spans="1:6" x14ac:dyDescent="0.25">
      <c r="A7" s="4" t="s">
        <v>305</v>
      </c>
      <c r="B7" s="26">
        <v>481667</v>
      </c>
      <c r="C7" s="26">
        <v>822890</v>
      </c>
      <c r="D7" s="26">
        <v>1079125</v>
      </c>
      <c r="E7" s="26">
        <v>1347124</v>
      </c>
      <c r="F7" s="26">
        <v>1627318</v>
      </c>
    </row>
    <row r="8" spans="1:6" x14ac:dyDescent="0.25">
      <c r="A8" s="3" t="s">
        <v>347</v>
      </c>
      <c r="B8" s="29">
        <f>B5-B6-B7</f>
        <v>2259279</v>
      </c>
      <c r="C8" s="29">
        <f>C5-C6-C7</f>
        <v>4418519</v>
      </c>
      <c r="D8" s="29">
        <f>D5-D6-D7</f>
        <v>6193788</v>
      </c>
      <c r="E8" s="29">
        <f>E5-E6-E7</f>
        <v>8038998</v>
      </c>
      <c r="F8" s="29">
        <f>F5-F6-F7</f>
        <v>9956262</v>
      </c>
    </row>
    <row r="9" spans="1:6" x14ac:dyDescent="0.25">
      <c r="A9" s="4" t="s">
        <v>306</v>
      </c>
      <c r="B9" s="26">
        <v>69457</v>
      </c>
      <c r="C9" s="26">
        <v>69457</v>
      </c>
      <c r="D9" s="26">
        <v>69457</v>
      </c>
      <c r="E9" s="26">
        <v>69457</v>
      </c>
      <c r="F9" s="26">
        <v>69457</v>
      </c>
    </row>
    <row r="10" spans="1:6" x14ac:dyDescent="0.25">
      <c r="A10" s="3" t="s">
        <v>348</v>
      </c>
      <c r="B10" s="41">
        <f>IF(B9=0,"N/A",B8/B9)</f>
        <v>32.53</v>
      </c>
      <c r="C10" s="41">
        <f>IF(C9=0,"N/A",C8/C9)</f>
        <v>63.61</v>
      </c>
      <c r="D10" s="41">
        <f>IF(D9=0,"N/A",D8/D9)</f>
        <v>89.17</v>
      </c>
      <c r="E10" s="41">
        <f>IF(E9=0,"N/A",E8/E9)</f>
        <v>115.74</v>
      </c>
      <c r="F10" s="41">
        <f>IF(F9=0,"N/A",F8/F9)</f>
        <v>143.34</v>
      </c>
    </row>
    <row r="12" ht="24" customHeight="1" spans="1:6" x14ac:dyDescent="0.25">
      <c r="A12" s="13" t="s">
        <v>349</v>
      </c>
      <c r="B12" s="13"/>
      <c r="C12" s="13"/>
      <c r="D12" s="13"/>
      <c r="E12" s="13"/>
      <c r="F12" s="13"/>
    </row>
    <row r="13" spans="1:6" x14ac:dyDescent="0.25">
      <c r="A13" s="4" t="s">
        <v>350</v>
      </c>
      <c r="B13" s="26">
        <v>2498150</v>
      </c>
      <c r="C13" s="26">
        <v>6847212</v>
      </c>
      <c r="D13" s="26">
        <v>12971542</v>
      </c>
      <c r="E13" s="26">
        <v>20941083</v>
      </c>
      <c r="F13" s="26">
        <v>30827888</v>
      </c>
    </row>
    <row r="14" spans="1:6" x14ac:dyDescent="0.25">
      <c r="A14" s="4" t="s">
        <v>351</v>
      </c>
      <c r="B14" s="23">
        <f>IF((B6+B7+B9)=0,0,(B13/(B6+B7+B9))*365)</f>
        <v>828</v>
      </c>
      <c r="C14" s="23">
        <f>IF((C6+C7+C9)=0,0,(C13/(C6+C7+C9))*365)</f>
        <v>1589</v>
      </c>
      <c r="D14" s="23">
        <f>IF((D6+D7+D9)=0,0,(D13/(D6+D7+D9))*365)</f>
        <v>2560</v>
      </c>
      <c r="E14" s="23">
        <f>IF((E6+E7+E9)=0,0,(E13/(E6+E7+E9))*365)</f>
        <v>3574</v>
      </c>
      <c r="F14" s="23">
        <f>IF((F6+F7+F9)=0,0,(F13/(F6+F7+F9))*365)</f>
        <v>4610</v>
      </c>
    </row>
    <row r="15" spans="1:6" x14ac:dyDescent="0.25">
      <c r="A15" s="4" t="s">
        <v>352</v>
      </c>
      <c r="B15" s="30">
        <f>IF((B6+B7+B9)=0,0,B13/((B6+B7+B9)/12))</f>
        <v>27.2</v>
      </c>
      <c r="C15" s="30">
        <f>IF((C6+C7+C9)=0,0,C13/((C6+C7+C9)/12))</f>
        <v>52.2</v>
      </c>
      <c r="D15" s="30">
        <f>IF((D6+D7+D9)=0,0,D13/((D6+D7+D9)/12))</f>
        <v>84.2</v>
      </c>
      <c r="E15" s="30">
        <f>IF((E6+E7+E9)=0,0,E13/((E6+E7+E9)/12))</f>
        <v>117.5</v>
      </c>
      <c r="F15" s="30">
        <f>IF((F6+F7+F9)=0,0,F13/((F6+F7+F9)/12))</f>
        <v>151.6</v>
      </c>
    </row>
    <row r="16" spans="1:6" x14ac:dyDescent="0.25">
      <c r="A16" s="4" t="s">
        <v>202</v>
      </c>
      <c r="B16" s="25">
        <v>0.3333333333333333</v>
      </c>
      <c r="C16" s="25">
        <v>0.5</v>
      </c>
      <c r="D16" s="25">
        <v>0.6666666666666666</v>
      </c>
      <c r="E16" s="25">
        <v>0.8333333333333334</v>
      </c>
      <c r="F16" s="25">
        <v>1</v>
      </c>
    </row>
    <row r="18" ht="24" customHeight="1" spans="1:6" x14ac:dyDescent="0.25">
      <c r="A18" s="13" t="s">
        <v>353</v>
      </c>
      <c r="B18" s="13"/>
      <c r="C18" s="13"/>
      <c r="D18" s="13"/>
      <c r="E18" s="13"/>
      <c r="F18" s="13"/>
    </row>
    <row r="19" spans="1:6" x14ac:dyDescent="0.25">
      <c r="A19" s="4" t="s">
        <v>240</v>
      </c>
      <c r="B19" s="26">
        <v>16458</v>
      </c>
      <c r="C19" s="26">
        <v>19740</v>
      </c>
      <c r="D19" s="26">
        <v>19935</v>
      </c>
      <c r="E19" s="26">
        <v>20217</v>
      </c>
      <c r="F19" s="26">
        <v>20546</v>
      </c>
    </row>
    <row r="20" spans="1:6" x14ac:dyDescent="0.25">
      <c r="A20" s="4" t="s">
        <v>354</v>
      </c>
      <c r="B20" s="26">
        <v>620178</v>
      </c>
      <c r="C20" s="26">
        <v>750148</v>
      </c>
      <c r="D20" s="26">
        <v>770569</v>
      </c>
      <c r="E20" s="26">
        <v>791603</v>
      </c>
      <c r="F20" s="26">
        <v>813267</v>
      </c>
    </row>
    <row r="21" spans="1:6" x14ac:dyDescent="0.25">
      <c r="A21" s="4" t="s">
        <v>355</v>
      </c>
      <c r="B21" s="26">
        <v>2408</v>
      </c>
      <c r="C21" s="26">
        <v>2743</v>
      </c>
      <c r="D21" s="26">
        <v>2698</v>
      </c>
      <c r="E21" s="26">
        <v>2694</v>
      </c>
      <c r="F21" s="26">
        <v>2712</v>
      </c>
    </row>
    <row r="22" spans="1:6" x14ac:dyDescent="0.25">
      <c r="A22" s="3" t="s">
        <v>356</v>
      </c>
      <c r="B22" s="42">
        <v>45</v>
      </c>
      <c r="C22" s="42">
        <v>45</v>
      </c>
      <c r="D22" s="42">
        <v>45</v>
      </c>
      <c r="E22" s="42">
        <v>46</v>
      </c>
      <c r="F22" s="42">
        <v>46</v>
      </c>
    </row>
    <row r="24" ht="24" customHeight="1" spans="1:6" x14ac:dyDescent="0.25">
      <c r="A24" s="13" t="s">
        <v>357</v>
      </c>
      <c r="B24" s="13"/>
      <c r="C24" s="13"/>
      <c r="D24" s="13"/>
      <c r="E24" s="13"/>
      <c r="F24" s="13"/>
    </row>
    <row r="25" spans="1:6" x14ac:dyDescent="0.25">
      <c r="A25" s="4" t="s">
        <v>358</v>
      </c>
      <c r="B25" s="43" t="s">
        <v>359</v>
      </c>
      <c r="C25" s="43" t="s">
        <v>359</v>
      </c>
      <c r="D25" s="43" t="s">
        <v>359</v>
      </c>
      <c r="E25" s="43" t="s">
        <v>359</v>
      </c>
      <c r="F25" s="43" t="s">
        <v>359</v>
      </c>
    </row>
    <row r="26" spans="1:6" x14ac:dyDescent="0.25">
      <c r="A26" s="4" t="s">
        <v>360</v>
      </c>
      <c r="B26" s="43" t="s">
        <v>359</v>
      </c>
      <c r="C26" s="43" t="s">
        <v>359</v>
      </c>
      <c r="D26" s="43" t="s">
        <v>359</v>
      </c>
      <c r="E26" s="43" t="s">
        <v>359</v>
      </c>
      <c r="F26" s="43" t="s">
        <v>359</v>
      </c>
    </row>
    <row r="27" spans="1:6" x14ac:dyDescent="0.25">
      <c r="A27" s="4" t="s">
        <v>361</v>
      </c>
      <c r="B27" s="44" t="s">
        <v>362</v>
      </c>
      <c r="C27" s="44" t="s">
        <v>362</v>
      </c>
      <c r="D27" s="44" t="s">
        <v>362</v>
      </c>
      <c r="E27" s="43" t="s">
        <v>359</v>
      </c>
      <c r="F27" s="43" t="s">
        <v>359</v>
      </c>
    </row>
    <row r="28" spans="1:6" x14ac:dyDescent="0.25">
      <c r="A28" s="4" t="s">
        <v>363</v>
      </c>
      <c r="B28" s="43" t="s">
        <v>359</v>
      </c>
      <c r="C28" s="43" t="s">
        <v>359</v>
      </c>
      <c r="D28" s="43" t="s">
        <v>359</v>
      </c>
      <c r="E28" s="43" t="s">
        <v>359</v>
      </c>
      <c r="F28" s="43" t="s">
        <v>359</v>
      </c>
    </row>
    <row r="29" spans="1:6" x14ac:dyDescent="0.25">
      <c r="A29" s="4" t="s">
        <v>364</v>
      </c>
      <c r="B29" s="43" t="s">
        <v>359</v>
      </c>
      <c r="C29" s="43" t="s">
        <v>359</v>
      </c>
      <c r="D29" s="43" t="s">
        <v>359</v>
      </c>
      <c r="E29" s="43" t="s">
        <v>359</v>
      </c>
      <c r="F29" s="43" t="s">
        <v>359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FormatPr defaultRowHeight="15" outlineLevelRow="0" outlineLevelCol="0" x14ac:dyDescent="55"/>
  <cols>
    <col min="1" max="1" width="36" customWidth="1"/>
    <col min="2" max="2" width="20" customWidth="1"/>
    <col min="3" max="3" width="8" customWidth="1"/>
    <col min="4" max="4" width="36" customWidth="1"/>
    <col min="5" max="5" width="20" customWidth="1"/>
  </cols>
  <sheetData>
    <row r="1" spans="1:5" x14ac:dyDescent="0.25">
      <c r="A1" s="11" t="s">
        <v>56</v>
      </c>
      <c r="B1" s="11"/>
      <c r="C1" s="11"/>
      <c r="D1" s="11"/>
      <c r="E1" s="11"/>
    </row>
    <row r="3" spans="1:5" x14ac:dyDescent="0.25">
      <c r="A3" s="45" t="s">
        <v>365</v>
      </c>
      <c r="B3" s="45" t="s">
        <v>104</v>
      </c>
      <c r="D3" s="45" t="s">
        <v>366</v>
      </c>
      <c r="E3" s="45" t="s">
        <v>104</v>
      </c>
    </row>
    <row r="4" spans="1:5" x14ac:dyDescent="0.25">
      <c r="A4" s="4" t="s">
        <v>155</v>
      </c>
      <c r="B4" s="26">
        <v>500000</v>
      </c>
      <c r="D4" s="4" t="s">
        <v>367</v>
      </c>
      <c r="E4" s="26">
        <v>575000</v>
      </c>
    </row>
    <row r="5" spans="1:2" x14ac:dyDescent="0.25">
      <c r="A5" s="4" t="s">
        <v>157</v>
      </c>
      <c r="B5" s="26">
        <v>75000</v>
      </c>
    </row>
    <row r="7" spans="1:5" x14ac:dyDescent="0.25">
      <c r="A7" s="3" t="s">
        <v>368</v>
      </c>
      <c r="B7" s="27">
        <v>575000</v>
      </c>
      <c r="D7" s="3" t="s">
        <v>369</v>
      </c>
      <c r="E7" s="27">
        <v>575000</v>
      </c>
    </row>
    <row r="8" spans="1:2" x14ac:dyDescent="0.25">
      <c r="A8" s="3" t="s">
        <v>370</v>
      </c>
      <c r="B8" s="40">
        <v>0</v>
      </c>
    </row>
  </sheetData>
  <mergeCells count="1">
    <mergeCell ref="A1:E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1"/>
  <sheetFormatPr defaultRowHeight="15" outlineLevelRow="0" outlineLevelCol="0" x14ac:dyDescent="55"/>
  <cols>
    <col min="1" max="1" width="28" customWidth="1"/>
    <col min="2" max="6" width="16" customWidth="1"/>
  </cols>
  <sheetData>
    <row r="1" spans="1:6" x14ac:dyDescent="0.25">
      <c r="A1" s="11" t="s">
        <v>371</v>
      </c>
      <c r="B1" s="11"/>
      <c r="C1" s="11"/>
      <c r="D1" s="11"/>
      <c r="E1" s="11"/>
      <c r="F1" s="11"/>
    </row>
    <row r="3" ht="24" customHeight="1" spans="1:6" x14ac:dyDescent="0.25">
      <c r="A3" s="13" t="s">
        <v>372</v>
      </c>
      <c r="B3" s="13"/>
      <c r="C3" s="13"/>
      <c r="D3" s="13"/>
      <c r="E3" s="13"/>
      <c r="F3" s="13"/>
    </row>
    <row r="4" spans="1:1" x14ac:dyDescent="0.25">
      <c r="A4" s="12" t="s">
        <v>373</v>
      </c>
    </row>
    <row r="5" ht="28" customHeight="1" spans="1:6" x14ac:dyDescent="0.25">
      <c r="A5" s="15" t="s">
        <v>17</v>
      </c>
      <c r="B5" s="15" t="s">
        <v>94</v>
      </c>
      <c r="C5" s="15" t="s">
        <v>95</v>
      </c>
      <c r="D5" s="15" t="s">
        <v>96</v>
      </c>
      <c r="E5" s="15" t="s">
        <v>97</v>
      </c>
      <c r="F5" s="15" t="s">
        <v>98</v>
      </c>
    </row>
    <row r="6" spans="1:6" x14ac:dyDescent="0.25">
      <c r="A6" s="4" t="s">
        <v>346</v>
      </c>
      <c r="B6" s="26">
        <v>2468750</v>
      </c>
      <c r="C6" s="26">
        <v>4441575</v>
      </c>
      <c r="D6" s="26">
        <v>5980519</v>
      </c>
      <c r="E6" s="26">
        <v>7581200</v>
      </c>
      <c r="F6" s="26">
        <v>9245542</v>
      </c>
    </row>
    <row r="7" spans="1:6" x14ac:dyDescent="0.25">
      <c r="A7" s="4" t="s">
        <v>283</v>
      </c>
      <c r="B7" s="26">
        <v>1046773</v>
      </c>
      <c r="C7" s="26">
        <v>1504969</v>
      </c>
      <c r="D7" s="26">
        <v>1779583</v>
      </c>
      <c r="E7" s="26">
        <v>2066512</v>
      </c>
      <c r="F7" s="26">
        <v>2366204</v>
      </c>
    </row>
    <row r="8" spans="1:6" x14ac:dyDescent="0.25">
      <c r="A8" s="3" t="s">
        <v>285</v>
      </c>
      <c r="B8" s="27">
        <v>1421977</v>
      </c>
      <c r="C8" s="27">
        <v>2936606</v>
      </c>
      <c r="D8" s="27">
        <v>4200936</v>
      </c>
      <c r="E8" s="27">
        <v>5514689</v>
      </c>
      <c r="F8" s="27">
        <v>6879338</v>
      </c>
    </row>
    <row r="9" spans="1:6" x14ac:dyDescent="0.25">
      <c r="A9" s="4" t="s">
        <v>286</v>
      </c>
      <c r="B9" s="25">
        <v>0.5759907222120051</v>
      </c>
      <c r="C9" s="25">
        <v>0.6611631363035758</v>
      </c>
      <c r="D9" s="25">
        <v>0.7024366492417659</v>
      </c>
      <c r="E9" s="25">
        <v>0.7274163000540345</v>
      </c>
      <c r="F9" s="25">
        <v>0.7440708658903075</v>
      </c>
    </row>
    <row r="10" spans="1:6" x14ac:dyDescent="0.25">
      <c r="A10" s="4" t="s">
        <v>348</v>
      </c>
      <c r="B10" s="46">
        <v>21.47</v>
      </c>
      <c r="C10" s="46">
        <v>43.28</v>
      </c>
      <c r="D10" s="46">
        <v>61.48</v>
      </c>
      <c r="E10" s="46">
        <v>80.4</v>
      </c>
      <c r="F10" s="46">
        <v>100.04</v>
      </c>
    </row>
    <row r="11" spans="1:6" x14ac:dyDescent="0.25">
      <c r="A11" s="4" t="s">
        <v>356</v>
      </c>
      <c r="B11" s="23">
        <v>43</v>
      </c>
      <c r="C11" s="23">
        <v>43</v>
      </c>
      <c r="D11" s="23">
        <v>43</v>
      </c>
      <c r="E11" s="23">
        <v>44</v>
      </c>
      <c r="F11" s="23">
        <v>44</v>
      </c>
    </row>
    <row r="13" ht="24" customHeight="1" spans="1:6" x14ac:dyDescent="0.25">
      <c r="A13" s="13" t="s">
        <v>374</v>
      </c>
      <c r="B13" s="13"/>
      <c r="C13" s="13"/>
      <c r="D13" s="13"/>
      <c r="E13" s="13"/>
      <c r="F13" s="13"/>
    </row>
    <row r="14" spans="1:1" x14ac:dyDescent="0.25">
      <c r="A14" s="12" t="s">
        <v>375</v>
      </c>
    </row>
    <row r="15" ht="28" customHeight="1" spans="1:6" x14ac:dyDescent="0.25">
      <c r="A15" s="15" t="s">
        <v>17</v>
      </c>
      <c r="B15" s="15" t="s">
        <v>94</v>
      </c>
      <c r="C15" s="15" t="s">
        <v>95</v>
      </c>
      <c r="D15" s="15" t="s">
        <v>96</v>
      </c>
      <c r="E15" s="15" t="s">
        <v>97</v>
      </c>
      <c r="F15" s="15" t="s">
        <v>98</v>
      </c>
    </row>
    <row r="16" spans="1:6" x14ac:dyDescent="0.25">
      <c r="A16" s="4" t="s">
        <v>346</v>
      </c>
      <c r="B16" s="26">
        <v>2962500</v>
      </c>
      <c r="C16" s="26">
        <v>5329890</v>
      </c>
      <c r="D16" s="26">
        <v>7176623</v>
      </c>
      <c r="E16" s="26">
        <v>9097440</v>
      </c>
      <c r="F16" s="26">
        <v>11094650</v>
      </c>
    </row>
    <row r="17" spans="1:6" x14ac:dyDescent="0.25">
      <c r="A17" s="4" t="s">
        <v>283</v>
      </c>
      <c r="B17" s="26">
        <v>1101845</v>
      </c>
      <c r="C17" s="26">
        <v>1573038</v>
      </c>
      <c r="D17" s="26">
        <v>1849694</v>
      </c>
      <c r="E17" s="26">
        <v>2138726</v>
      </c>
      <c r="F17" s="26">
        <v>2440585</v>
      </c>
    </row>
    <row r="18" spans="1:6" x14ac:dyDescent="0.25">
      <c r="A18" s="3" t="s">
        <v>285</v>
      </c>
      <c r="B18" s="27">
        <v>1860655</v>
      </c>
      <c r="C18" s="27">
        <v>3756852</v>
      </c>
      <c r="D18" s="27">
        <v>5326928</v>
      </c>
      <c r="E18" s="27">
        <v>6958714</v>
      </c>
      <c r="F18" s="27">
        <v>8654066</v>
      </c>
    </row>
    <row r="19" spans="1:6" x14ac:dyDescent="0.25">
      <c r="A19" s="4" t="s">
        <v>286</v>
      </c>
      <c r="B19" s="25">
        <v>0.6280692024059256</v>
      </c>
      <c r="C19" s="25">
        <v>0.7048647462006822</v>
      </c>
      <c r="D19" s="25">
        <v>0.742261158870702</v>
      </c>
      <c r="E19" s="25">
        <v>0.7649090243559867</v>
      </c>
      <c r="F19" s="25">
        <v>0.7800215051204553</v>
      </c>
    </row>
    <row r="20" spans="1:6" x14ac:dyDescent="0.25">
      <c r="A20" s="4" t="s">
        <v>348</v>
      </c>
      <c r="B20" s="46">
        <v>27.79</v>
      </c>
      <c r="C20" s="46">
        <v>55.09</v>
      </c>
      <c r="D20" s="46">
        <v>77.69</v>
      </c>
      <c r="E20" s="46">
        <v>101.19</v>
      </c>
      <c r="F20" s="46">
        <v>125.6</v>
      </c>
    </row>
    <row r="21" spans="1:6" x14ac:dyDescent="0.25">
      <c r="A21" s="4" t="s">
        <v>356</v>
      </c>
      <c r="B21" s="23">
        <v>50</v>
      </c>
      <c r="C21" s="23">
        <v>50</v>
      </c>
      <c r="D21" s="23">
        <v>51</v>
      </c>
      <c r="E21" s="23">
        <v>52</v>
      </c>
      <c r="F21" s="23">
        <v>52</v>
      </c>
    </row>
    <row r="23" ht="24" customHeight="1" spans="1:6" x14ac:dyDescent="0.25">
      <c r="A23" s="13" t="s">
        <v>376</v>
      </c>
      <c r="B23" s="13"/>
      <c r="C23" s="13"/>
      <c r="D23" s="13"/>
      <c r="E23" s="13"/>
      <c r="F23" s="13"/>
    </row>
    <row r="24" spans="1:1" x14ac:dyDescent="0.25">
      <c r="A24" s="12" t="s">
        <v>377</v>
      </c>
    </row>
    <row r="25" ht="28" customHeight="1" spans="1:6" x14ac:dyDescent="0.25">
      <c r="A25" s="15" t="s">
        <v>17</v>
      </c>
      <c r="B25" s="15" t="s">
        <v>94</v>
      </c>
      <c r="C25" s="15" t="s">
        <v>95</v>
      </c>
      <c r="D25" s="15" t="s">
        <v>96</v>
      </c>
      <c r="E25" s="15" t="s">
        <v>97</v>
      </c>
      <c r="F25" s="15" t="s">
        <v>98</v>
      </c>
    </row>
    <row r="26" spans="1:6" x14ac:dyDescent="0.25">
      <c r="A26" s="4" t="s">
        <v>346</v>
      </c>
      <c r="B26" s="26">
        <v>3785417</v>
      </c>
      <c r="C26" s="26">
        <v>6810415</v>
      </c>
      <c r="D26" s="26">
        <v>9170129</v>
      </c>
      <c r="E26" s="26">
        <v>11624507</v>
      </c>
      <c r="F26" s="26">
        <v>14176498</v>
      </c>
    </row>
    <row r="27" spans="1:6" x14ac:dyDescent="0.25">
      <c r="A27" s="4" t="s">
        <v>283</v>
      </c>
      <c r="B27" s="26">
        <v>1179000</v>
      </c>
      <c r="C27" s="26">
        <v>1679780</v>
      </c>
      <c r="D27" s="26">
        <v>1971216</v>
      </c>
      <c r="E27" s="26">
        <v>2275674</v>
      </c>
      <c r="F27" s="26">
        <v>2593630</v>
      </c>
    </row>
    <row r="28" spans="1:6" x14ac:dyDescent="0.25">
      <c r="A28" s="3" t="s">
        <v>285</v>
      </c>
      <c r="B28" s="27">
        <v>2606416</v>
      </c>
      <c r="C28" s="27">
        <v>5130635</v>
      </c>
      <c r="D28" s="27">
        <v>7198913</v>
      </c>
      <c r="E28" s="27">
        <v>9348833</v>
      </c>
      <c r="F28" s="27">
        <v>11582868</v>
      </c>
    </row>
    <row r="29" spans="1:6" x14ac:dyDescent="0.25">
      <c r="A29" s="4" t="s">
        <v>286</v>
      </c>
      <c r="B29" s="25">
        <v>0.688541445141016</v>
      </c>
      <c r="C29" s="25">
        <v>0.7533512960851216</v>
      </c>
      <c r="D29" s="25">
        <v>0.7850394811280653</v>
      </c>
      <c r="E29" s="25">
        <v>0.8042347736721064</v>
      </c>
      <c r="F29" s="25">
        <v>0.8170471901333141</v>
      </c>
    </row>
    <row r="30" spans="1:6" x14ac:dyDescent="0.25">
      <c r="A30" s="4" t="s">
        <v>348</v>
      </c>
      <c r="B30" s="46">
        <v>38.53</v>
      </c>
      <c r="C30" s="46">
        <v>74.87</v>
      </c>
      <c r="D30" s="46">
        <v>104.64</v>
      </c>
      <c r="E30" s="46">
        <v>135.6</v>
      </c>
      <c r="F30" s="46">
        <v>167.76</v>
      </c>
    </row>
    <row r="31" spans="1:6" x14ac:dyDescent="0.25">
      <c r="A31" s="4" t="s">
        <v>356</v>
      </c>
      <c r="B31" s="23">
        <v>48</v>
      </c>
      <c r="C31" s="23">
        <v>48</v>
      </c>
      <c r="D31" s="23">
        <v>49</v>
      </c>
      <c r="E31" s="23">
        <v>49</v>
      </c>
      <c r="F31" s="23">
        <v>50</v>
      </c>
    </row>
  </sheetData>
  <mergeCells count="1">
    <mergeCell ref="A1:F1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FormatPr defaultRowHeight="15" outlineLevelRow="0" outlineLevelCol="0" x14ac:dyDescent="55"/>
  <cols>
    <col min="1" max="1" width="28" customWidth="1"/>
    <col min="2" max="2" width="30" customWidth="1"/>
    <col min="3" max="3" width="4" customWidth="1"/>
    <col min="4" max="8" width="14" customWidth="1"/>
  </cols>
  <sheetData>
    <row r="1" spans="1:8" x14ac:dyDescent="0.25">
      <c r="A1" s="11" t="s">
        <v>378</v>
      </c>
      <c r="B1" s="11"/>
      <c r="C1" s="11"/>
      <c r="D1" s="11"/>
      <c r="E1" s="11"/>
      <c r="F1" s="11"/>
      <c r="G1" s="11"/>
      <c r="H1" s="11"/>
    </row>
    <row r="3" ht="24" customHeight="1" spans="1:2" x14ac:dyDescent="0.25">
      <c r="A3" s="13" t="s">
        <v>89</v>
      </c>
      <c r="B3" s="13"/>
    </row>
    <row r="4" spans="1:2" x14ac:dyDescent="0.25">
      <c r="A4" s="4" t="s">
        <v>2</v>
      </c>
      <c r="B4" s="4" t="s">
        <v>3</v>
      </c>
    </row>
    <row r="5" spans="1:2" x14ac:dyDescent="0.25">
      <c r="A5" s="4" t="s">
        <v>118</v>
      </c>
      <c r="B5" s="4" t="s">
        <v>5</v>
      </c>
    </row>
    <row r="6" spans="1:2" x14ac:dyDescent="0.25">
      <c r="A6" s="4" t="s">
        <v>379</v>
      </c>
      <c r="B6" s="4" t="s">
        <v>7</v>
      </c>
    </row>
    <row r="7" spans="1:2" x14ac:dyDescent="0.25">
      <c r="A7" s="4" t="s">
        <v>14</v>
      </c>
      <c r="B7" s="4" t="s">
        <v>15</v>
      </c>
    </row>
    <row r="8" spans="1:2" x14ac:dyDescent="0.25">
      <c r="A8" s="4" t="s">
        <v>8</v>
      </c>
      <c r="B8" s="4" t="s">
        <v>9</v>
      </c>
    </row>
    <row r="9" spans="1:2" x14ac:dyDescent="0.25">
      <c r="A9" s="4" t="s">
        <v>380</v>
      </c>
      <c r="B9" s="4" t="s">
        <v>17</v>
      </c>
    </row>
    <row r="11" ht="24" customHeight="1" spans="1:8" x14ac:dyDescent="0.25">
      <c r="A11" s="13" t="s">
        <v>381</v>
      </c>
      <c r="B11" s="13"/>
      <c r="C11" s="13"/>
      <c r="D11" s="13"/>
      <c r="E11" s="13"/>
      <c r="F11" s="13"/>
      <c r="G11" s="13"/>
      <c r="H11" s="13"/>
    </row>
    <row r="12" spans="1:8" x14ac:dyDescent="0.25">
      <c r="A12" t="s">
        <v>17</v>
      </c>
      <c r="B12" t="s">
        <v>17</v>
      </c>
      <c r="C12" t="s">
        <v>17</v>
      </c>
      <c r="D12" s="47" t="s">
        <v>94</v>
      </c>
      <c r="E12" s="47" t="s">
        <v>95</v>
      </c>
      <c r="F12" s="47" t="s">
        <v>96</v>
      </c>
      <c r="G12" s="47" t="s">
        <v>97</v>
      </c>
      <c r="H12" s="47" t="s">
        <v>98</v>
      </c>
    </row>
    <row r="13" spans="1:8" x14ac:dyDescent="0.25">
      <c r="A13" s="4" t="s">
        <v>346</v>
      </c>
      <c r="D13" s="26">
        <v>3291667</v>
      </c>
      <c r="E13" s="26">
        <v>5922100</v>
      </c>
      <c r="F13" s="26">
        <v>7974025</v>
      </c>
      <c r="G13" s="26">
        <v>10108267</v>
      </c>
      <c r="H13" s="26">
        <v>12327389</v>
      </c>
    </row>
    <row r="14" spans="1:8" x14ac:dyDescent="0.25">
      <c r="A14" s="4" t="s">
        <v>283</v>
      </c>
      <c r="D14" s="26">
        <v>1101845</v>
      </c>
      <c r="E14" s="26">
        <v>1573038</v>
      </c>
      <c r="F14" s="26">
        <v>1849694</v>
      </c>
      <c r="G14" s="26">
        <v>2138726</v>
      </c>
      <c r="H14" s="26">
        <v>2440585</v>
      </c>
    </row>
    <row r="15" spans="1:8" x14ac:dyDescent="0.25">
      <c r="A15" s="4" t="s">
        <v>285</v>
      </c>
      <c r="D15" s="26">
        <v>1839822</v>
      </c>
      <c r="E15" s="26">
        <v>4349062</v>
      </c>
      <c r="F15" s="26">
        <v>6124331</v>
      </c>
      <c r="G15" s="26">
        <v>7969541</v>
      </c>
      <c r="H15" s="26">
        <v>9886805</v>
      </c>
    </row>
    <row r="16" spans="1:8" x14ac:dyDescent="0.25">
      <c r="A16" s="4" t="s">
        <v>382</v>
      </c>
      <c r="D16" s="26">
        <v>2498150</v>
      </c>
      <c r="E16" s="26">
        <v>6847212</v>
      </c>
      <c r="F16" s="26">
        <v>12971542</v>
      </c>
      <c r="G16" s="26">
        <v>20941083</v>
      </c>
      <c r="H16" s="26">
        <v>30827888</v>
      </c>
    </row>
    <row r="17" spans="1:8" x14ac:dyDescent="0.25">
      <c r="A17" s="4" t="s">
        <v>383</v>
      </c>
      <c r="D17" s="26">
        <v>541233</v>
      </c>
      <c r="E17" s="26">
        <v>505347</v>
      </c>
      <c r="F17" s="26">
        <v>467207</v>
      </c>
      <c r="G17" s="26">
        <v>426670</v>
      </c>
      <c r="H17" s="26">
        <v>383586</v>
      </c>
    </row>
    <row r="19" ht="24" customHeight="1" spans="1:8" x14ac:dyDescent="0.25">
      <c r="A19" s="13" t="s">
        <v>384</v>
      </c>
      <c r="B19" s="13"/>
      <c r="C19" s="13"/>
      <c r="D19" s="13"/>
      <c r="E19" s="13"/>
      <c r="F19" s="13"/>
      <c r="G19" s="13"/>
      <c r="H19" s="13"/>
    </row>
    <row r="20" spans="1:8" x14ac:dyDescent="0.25">
      <c r="A20" t="s">
        <v>17</v>
      </c>
      <c r="B20" t="s">
        <v>17</v>
      </c>
      <c r="C20" t="s">
        <v>17</v>
      </c>
      <c r="D20" s="47" t="s">
        <v>94</v>
      </c>
      <c r="E20" s="47" t="s">
        <v>95</v>
      </c>
      <c r="F20" s="47" t="s">
        <v>96</v>
      </c>
      <c r="G20" s="47" t="s">
        <v>97</v>
      </c>
      <c r="H20" s="47" t="s">
        <v>98</v>
      </c>
    </row>
    <row r="21" spans="1:8" x14ac:dyDescent="0.25">
      <c r="A21" s="4" t="s">
        <v>385</v>
      </c>
      <c r="D21" s="25">
        <v>0.5589331682412824</v>
      </c>
      <c r="E21" s="25">
        <v>0.734378271580614</v>
      </c>
      <c r="F21" s="25">
        <v>0.7680350429836318</v>
      </c>
      <c r="G21" s="25">
        <v>0.7884181219203881</v>
      </c>
      <c r="H21" s="25">
        <v>0.8020193546084098</v>
      </c>
    </row>
    <row r="22" spans="1:8" x14ac:dyDescent="0.25">
      <c r="A22" s="4" t="s">
        <v>348</v>
      </c>
      <c r="D22" s="46">
        <v>32.53</v>
      </c>
      <c r="E22" s="46">
        <v>63.61</v>
      </c>
      <c r="F22" s="46">
        <v>89.17</v>
      </c>
      <c r="G22" s="46">
        <v>115.74</v>
      </c>
      <c r="H22" s="46">
        <v>143.34</v>
      </c>
    </row>
    <row r="23" spans="1:8" x14ac:dyDescent="0.25">
      <c r="A23" s="4" t="s">
        <v>202</v>
      </c>
      <c r="D23" s="25">
        <v>0.3333333333333333</v>
      </c>
      <c r="E23" s="25">
        <v>0.5</v>
      </c>
      <c r="F23" s="25">
        <v>0.6666666666666666</v>
      </c>
      <c r="G23" s="25">
        <v>0.8333333333333334</v>
      </c>
      <c r="H23" s="25">
        <v>1</v>
      </c>
    </row>
    <row r="24" spans="1:8" x14ac:dyDescent="0.25">
      <c r="A24" s="4" t="s">
        <v>386</v>
      </c>
      <c r="D24" s="23">
        <v>200</v>
      </c>
      <c r="E24" s="23">
        <v>300</v>
      </c>
      <c r="F24" s="23">
        <v>400</v>
      </c>
      <c r="G24" s="23">
        <v>500</v>
      </c>
      <c r="H24" s="23">
        <v>600</v>
      </c>
    </row>
    <row r="26" spans="1:8" x14ac:dyDescent="0.25">
      <c r="A26" s="8" t="s">
        <v>387</v>
      </c>
      <c r="B26" s="8"/>
      <c r="C26" s="8"/>
      <c r="D26" s="8"/>
      <c r="E26" s="8"/>
      <c r="F26" s="8"/>
      <c r="G26" s="8"/>
      <c r="H26" s="8"/>
    </row>
  </sheetData>
  <mergeCells count="2">
    <mergeCell ref="A1:H1"/>
    <mergeCell ref="A26:H26"/>
  </mergeCells>
  <pageMargins left="0.5" right="0.5" top="0.75" bottom="0.75" header="0.3" footer="0.3"/>
  <pageSetup orientation="landscape" fitToWidth="1" fitToHeight="0"/>
  <headerFooter>
    <oddFooter>&amp;L&amp;8SchoolStack Budget&amp;C&amp;8Confidential&amp;R&amp;8Page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</vt:lpstr>
      <vt:lpstr>Instructions</vt:lpstr>
      <vt:lpstr>Assumptions</vt:lpstr>
      <vt:lpstr>Program Profile</vt:lpstr>
      <vt:lpstr>Enrollment Drivers</vt:lpstr>
      <vt:lpstr>Tuition &amp; Funding</vt:lpstr>
      <vt:lpstr>Staffing Drivers</vt:lpstr>
      <vt:lpstr>OpEx Drivers</vt:lpstr>
      <vt:lpstr>Capital Stack</vt:lpstr>
      <vt:lpstr>Enrollment Tuition Fcst</vt:lpstr>
      <vt:lpstr>Staffing Costs Fcst</vt:lpstr>
      <vt:lpstr>Budget Detail</vt:lpstr>
      <vt:lpstr>Budget Summary</vt:lpstr>
      <vt:lpstr>Monthly Cash Flow Y1</vt:lpstr>
      <vt:lpstr>5-Year Operating Stmt</vt:lpstr>
      <vt:lpstr>Debt Schedule</vt:lpstr>
      <vt:lpstr>Balance Sheet</vt:lpstr>
      <vt:lpstr>DSCR &amp; Covenants</vt:lpstr>
      <vt:lpstr>Sources &amp; Uses</vt:lpstr>
      <vt:lpstr>Scenarios</vt:lpstr>
      <vt:lpstr>Underwriting Snapshot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SchoolStack Budget</dc:creator>
  <dc:title/>
  <dc:subject/>
  <dc:description/>
  <cp:keywords/>
  <cp:category/>
  <cp:lastModifiedBy>Unknown</cp:lastModifiedBy>
  <dcterms:created xsi:type="dcterms:W3CDTF">2026-03-25T22:36:51Z</dcterms:created>
  <dcterms:modified xsi:type="dcterms:W3CDTF">2026-03-25T22:36:51Z</dcterms:modified>
</cp:coreProperties>
</file>