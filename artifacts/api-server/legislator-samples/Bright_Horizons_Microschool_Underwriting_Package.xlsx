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</sheets>
  <calcPr calcId="171027" fullCalcOnLoad="1"/>
</workbook>
</file>

<file path=xl/sharedStrings.xml><?xml version="1.0" encoding="utf-8"?>
<sst xmlns="http://schemas.openxmlformats.org/spreadsheetml/2006/main" count="605" uniqueCount="333">
  <si>
    <t>SchoolStack Budget</t>
  </si>
  <si>
    <t>5-Year Financial Model &amp; Underwriting Workbook</t>
  </si>
  <si>
    <t>School Name</t>
  </si>
  <si>
    <t>Bright Horizons Microschool</t>
  </si>
  <si>
    <t>School Type</t>
  </si>
  <si>
    <t>Microschool</t>
  </si>
  <si>
    <t>Entity Type</t>
  </si>
  <si>
    <t>LLC (Single Member)</t>
  </si>
  <si>
    <t>State</t>
  </si>
  <si>
    <t>TX</t>
  </si>
  <si>
    <t>Fiscal Year Start</t>
  </si>
  <si>
    <t>Month 7</t>
  </si>
  <si>
    <t>Model Date</t>
  </si>
  <si>
    <t>March 25, 2026</t>
  </si>
  <si>
    <t>Stage</t>
  </si>
  <si>
    <t>Startup / Pre-Opening</t>
  </si>
  <si>
    <t>Funding Profile</t>
  </si>
  <si>
    <t/>
  </si>
  <si>
    <t>Table of Contents</t>
  </si>
  <si>
    <t>1.</t>
  </si>
  <si>
    <t>Cover</t>
  </si>
  <si>
    <t>2.</t>
  </si>
  <si>
    <t>Instructions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</si>
  <si>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</si>
  <si>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</si>
  <si>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</si>
  <si>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</si>
  <si>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</si>
  <si>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</si>
  <si>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</si>
  <si>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</si>
  <si>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</si>
  <si>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</si>
  <si>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</si>
  <si>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</si>
  <si>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</si>
  <si>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</si>
  <si>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</si>
  <si>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</si>
  <si>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</si>
  <si>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</si>
  <si>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</si>
  <si>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</si>
  <si>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</si>
  <si>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</si>
  <si>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</si>
  <si>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</si>
  <si>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</si>
  <si>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</si>
  <si>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</si>
  <si>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</si>
  <si>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</si>
  <si>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</si>
  <si>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</si>
  <si>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</si>
  <si>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</si>
  <si>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</si>
  <si>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</si>
  <si>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</si>
  <si>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</si>
  <si>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</si>
  <si>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CONFIDENTIAL - Prepared by SchoolStack Budget (budget.schoolstack.ai)</t>
  </si>
  <si>
    <t>How to Use This Workbook</t>
  </si>
  <si>
    <t>Cell Color Legend</t>
  </si>
  <si>
    <t>Yellow cells are editable inputs — change these to update your model.</t>
  </si>
  <si>
    <t>White cells contain formulas — do not edit (they recalculate automatically).</t>
  </si>
  <si>
    <t>Green cells are key outputs and summary metrics.</t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</si>
  <si>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</si>
  <si>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</si>
  <si>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</si>
  <si>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</si>
  <si>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</si>
  <si>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</si>
  <si>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18-21: Analysis &amp; underwriting</t>
  </si>
  <si>
    <t>Debt Service Convention</t>
  </si>
  <si>
    <t>operating expense on the 5-Year Operating Statement. This is a standard</t>
  </si>
  <si>
    <t>simplification used in school financial underwriting that ensures internal</t>
  </si>
  <si>
    <t>consistency across all tabs: the Cash Flow, Balance Sheet, and DSCR</t>
  </si>
  <si>
    <t>schedules all reference the same debt service figures. The Debt Schedule</t>
  </si>
  <si>
    <t>tab breaks out interest and principal separately for detailed analysis.</t>
  </si>
  <si>
    <t>Tips</t>
  </si>
  <si>
    <t>Review the Budget Summary for a high-level view.</t>
  </si>
  <si>
    <t>Check DSCR &amp; Covenants for lender readiness.</t>
  </si>
  <si>
    <t>The Underwriting Snapshot provides a one-page summary.</t>
  </si>
  <si>
    <t>Disclaimer</t>
  </si>
  <si>
    <t>a loan commitment, or a guarantee of funding. All projections are based on</t>
  </si>
  <si>
    <t>user-provided assumptions and should be independently verified.</t>
  </si>
  <si>
    <t>Bright Horizons Microschool - Assumptions</t>
  </si>
  <si>
    <t>Yellow cells are editable inputs. All other cells are formulas.</t>
  </si>
  <si>
    <t>SCHOOL PROFILE</t>
  </si>
  <si>
    <t>EIN</t>
  </si>
  <si>
    <t>Fiscal Year Start Month</t>
  </si>
  <si>
    <t>Max Capacity</t>
  </si>
  <si>
    <t>ENROLLMENT</t>
  </si>
  <si>
    <t>Year 1</t>
  </si>
  <si>
    <t>Year 2</t>
  </si>
  <si>
    <t>Year 3</t>
  </si>
  <si>
    <t>Year 4</t>
  </si>
  <si>
    <t>Year 5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</si>
  <si>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</si>
  <si>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</si>
  <si>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</si>
  <si>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</si>
  <si>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</si>
  <si>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</si>
  <si>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</si>
  <si>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Annual Tuition</t>
  </si>
  <si>
    <t>Tuition &amp; Fees</t>
  </si>
  <si>
    <t>Per Student</t>
  </si>
  <si>
    <t>Community Donations</t>
  </si>
  <si>
    <t>Philanthropy</t>
  </si>
  <si>
    <t>Annual Fixed</t>
  </si>
  <si>
    <t>Startup Grant</t>
  </si>
  <si>
    <t>STAFFING</t>
  </si>
  <si>
    <t>Role</t>
  </si>
  <si>
    <t>Type</t>
  </si>
  <si>
    <t>FTE</t>
  </si>
  <si>
    <t>Rate</t>
  </si>
  <si>
    <t>Benefits %</t>
  </si>
  <si>
    <t>Tax %</t>
  </si>
  <si>
    <t>Lead Teacher / Founder</t>
  </si>
  <si>
    <t>Instructional</t>
  </si>
  <si>
    <t>full_time</t>
  </si>
  <si>
    <t>Assistant Teacher</t>
  </si>
  <si>
    <t>part_time</t>
  </si>
  <si>
    <t>Part-Time Aide</t>
  </si>
  <si>
    <t>Student Support</t>
  </si>
  <si>
    <t>OPERATING EXPENSES</t>
  </si>
  <si>
    <t>Curriculum &amp; Materials</t>
  </si>
  <si>
    <t>Instructional / Program</t>
  </si>
  <si>
    <t>Technology &amp; Software</t>
  </si>
  <si>
    <t>Technology</t>
  </si>
  <si>
    <t>General Liability Insurance</t>
  </si>
  <si>
    <t>Administrative / General</t>
  </si>
  <si>
    <t>Marketing &amp; Outreach</t>
  </si>
  <si>
    <t>Utilities</t>
  </si>
  <si>
    <t>Occupancy / Facility</t>
  </si>
  <si>
    <t>Monthly</t>
  </si>
  <si>
    <t>CAPITAL &amp; DEBT</t>
  </si>
  <si>
    <t>Instrument</t>
  </si>
  <si>
    <t>Principal</t>
  </si>
  <si>
    <t>Term (Yrs)</t>
  </si>
  <si>
    <t>Startup Equipment &amp; Furnishing</t>
  </si>
  <si>
    <t>Capital</t>
  </si>
  <si>
    <t>Microschool Microloan</t>
  </si>
  <si>
    <t>Loan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</si>
  <si>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</si>
  <si>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</si>
  <si>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</si>
  <si>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</si>
  <si>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</si>
  <si>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</si>
  <si>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</si>
  <si>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</si>
  <si>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Yes</t>
  </si>
  <si>
    <t>School Model</t>
  </si>
  <si>
    <t>microschool</t>
  </si>
  <si>
    <t>Financial Label Convention</t>
  </si>
  <si>
    <t>For-Profit (Profit &amp; Loss / Equity)</t>
  </si>
  <si>
    <t>Funding Mix</t>
  </si>
  <si>
    <t>7</t>
  </si>
  <si>
    <t>Year 1 Operating Months</t>
  </si>
  <si>
    <t>10</t>
  </si>
  <si>
    <t>Proration Factor</t>
  </si>
  <si>
    <t>83.3%</t>
  </si>
  <si>
    <t>40</t>
  </si>
  <si>
    <t>Accredited</t>
  </si>
  <si>
    <t>No</t>
  </si>
  <si>
    <t>Location</t>
  </si>
  <si>
    <t>, ,</t>
  </si>
  <si>
    <t>Facility</t>
  </si>
  <si>
    <t>Leased</t>
  </si>
  <si>
    <t>TOTAL ENROLLMENT</t>
  </si>
  <si>
    <t>Capacity Utilization</t>
  </si>
  <si>
    <t>Enrollment Growth Rate</t>
  </si>
  <si>
    <t>-</t>
  </si>
  <si>
    <t>Tuition &amp; Funding Drivers</t>
  </si>
  <si>
    <t>REVENUE BY LINE ITEM</t>
  </si>
  <si>
    <t>Annual Tuition (Tuition &amp; Fees)</t>
  </si>
  <si>
    <t>Community Donations (Philanthropy)</t>
  </si>
  <si>
    <t>Startup Grant (Philanthropy)</t>
  </si>
  <si>
    <t>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</si>
  <si>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</si>
  <si>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</si>
  <si>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</si>
  <si>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</si>
  <si>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</si>
  <si>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</si>
  <si>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</si>
  <si>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Curriculum &amp; Materials</t>
  </si>
  <si>
    <t>Total Instructional / Program</t>
  </si>
  <si>
    <t xml:space="preserve">  Technology &amp; Software</t>
  </si>
  <si>
    <t>Total Technology</t>
  </si>
  <si>
    <t xml:space="preserve">  Utilities</t>
  </si>
  <si>
    <t>Total Occupancy / Facility</t>
  </si>
  <si>
    <t xml:space="preserve">  General Liability Insurance</t>
  </si>
  <si>
    <t xml:space="preserve">  Marketing &amp; Outreach</t>
  </si>
  <si>
    <t>Total Administrative / General</t>
  </si>
  <si>
    <t>TOTAL OPERATING EXPENSES</t>
  </si>
  <si>
    <t>Capital Stack &amp; Loan Terms</t>
  </si>
  <si>
    <t>Annual Payment</t>
  </si>
  <si>
    <t>Capital Expense</t>
  </si>
  <si>
    <t>Total Annual Debt Service</t>
  </si>
  <si>
    <t>Total Loan Principal</t>
  </si>
  <si>
    <t>Enrollment &amp; Tuition Forecast</t>
  </si>
  <si>
    <t>REVENUE FORECAST</t>
  </si>
  <si>
    <t>Revenue per Student</t>
  </si>
  <si>
    <t>Staffing Costs Forecast</t>
  </si>
  <si>
    <t xml:space="preserve">  Lead Teacher / Founder</t>
  </si>
  <si>
    <t xml:space="preserve">  Assistant Teacher</t>
  </si>
  <si>
    <t>Total Instructional</t>
  </si>
  <si>
    <t xml:space="preserve">  Part-Time Aide</t>
  </si>
  <si>
    <t>Total Student Support</t>
  </si>
  <si>
    <t>TOTAL PERSONNEL</t>
  </si>
  <si>
    <t>Bright Horizons Microschool - Budget Detail</t>
  </si>
  <si>
    <t>REVENUE</t>
  </si>
  <si>
    <t xml:space="preserve">  Annual Tuition</t>
  </si>
  <si>
    <t xml:space="preserve">  Community Donations</t>
  </si>
  <si>
    <t xml:space="preserve">  Startup Grant</t>
  </si>
  <si>
    <t>Total Revenue</t>
  </si>
  <si>
    <t>PERSONNEL</t>
  </si>
  <si>
    <t xml:space="preserve">    Curriculum &amp; Materials</t>
  </si>
  <si>
    <t xml:space="preserve">    Technology &amp; Software</t>
  </si>
  <si>
    <t xml:space="preserve">    Utilities</t>
  </si>
  <si>
    <t xml:space="preserve">    General Liability Insurance</t>
  </si>
  <si>
    <t xml:space="preserve">    Marketing &amp; Outreach</t>
  </si>
  <si>
    <t xml:space="preserve">  Total Administrative / General</t>
  </si>
  <si>
    <t>Total Operating Expenses</t>
  </si>
  <si>
    <t>CAPITAL &amp; DEBT SERVICE</t>
  </si>
  <si>
    <t xml:space="preserve">  Startup Equipment &amp; Furnishing</t>
  </si>
  <si>
    <t xml:space="preserve">  Microschool Microloan</t>
  </si>
  <si>
    <t>Total Capital &amp; Debt</t>
  </si>
  <si>
    <t>Bright Horizons Microschool - Budget Summary</t>
  </si>
  <si>
    <t>Total Capital &amp; Debt Service</t>
  </si>
  <si>
    <t>Total Expenses</t>
  </si>
  <si>
    <t>KEY METRICS</t>
  </si>
  <si>
    <t>Net Income</t>
  </si>
  <si>
    <t>Net Margin %</t>
  </si>
  <si>
    <t>Cumulative Net Income</t>
  </si>
  <si>
    <t>Cost per Student</t>
  </si>
  <si>
    <t>Bright Horizons Microschool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</si>
  <si>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</si>
  <si>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</si>
  <si>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</si>
  <si>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</si>
  <si>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</si>
  <si>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</si>
  <si>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</si>
  <si>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</si>
  <si>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</si>
  <si>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</si>
  <si>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</si>
  <si>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</si>
  <si>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</si>
  <si>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</si>
  <si>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</si>
  <si>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</si>
  <si>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</si>
  <si>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</si>
  <si>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</si>
  <si>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</si>
  <si>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</si>
  <si>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</si>
  <si>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</si>
  <si>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Bright Horizons Microschool - 5-Year Operating Statement</t>
  </si>
  <si>
    <t>Capital &amp; Debt Service</t>
  </si>
  <si>
    <t>BOTTOM LINE</t>
  </si>
  <si>
    <t>LOAN TERMS</t>
  </si>
  <si>
    <t>Loan Name</t>
  </si>
  <si>
    <t>Annual Rate</t>
  </si>
  <si>
    <t>Term (Years)</t>
  </si>
  <si>
    <t>AMORTIZATION: Microschool Microloan</t>
  </si>
  <si>
    <t>Beginning Balance</t>
  </si>
  <si>
    <t>Interest</t>
  </si>
  <si>
    <t>Principal Payment</t>
  </si>
  <si>
    <t>Total Payment</t>
  </si>
  <si>
    <t>Ending Balance</t>
  </si>
  <si>
    <t>Bright Horizons Microschool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</si>
  <si>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</si>
  <si>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</si>
  <si>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</si>
  <si>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</si>
  <si>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</si>
  <si>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</si>
  <si>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</si>
  <si>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</si>
  <si>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</si>
  <si>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</si>
  <si>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EQUITY</t>
  </si>
  <si>
    <t>Equity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</si>
  <si>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</si>
  <si>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</si>
  <si>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</si>
  <si>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</si>
  <si>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</si>
  <si>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</si>
  <si>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</si>
  <si>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</si>
  <si>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</si>
  <si>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</si>
  <si>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</si>
  <si>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</si>
  <si>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</si>
  <si>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</si>
  <si>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</si>
  <si>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1.25x</t>
  </si>
  <si>
    <t>PASS</t>
  </si>
  <si>
    <t>Positive Net Income</t>
  </si>
  <si>
    <t>Capacity ≥ 50%</t>
  </si>
  <si>
    <t>FAIL</t>
  </si>
  <si>
    <t>Cash Reserve ≥ 2 months</t>
  </si>
  <si>
    <t>Days Cash ≥ 30</t>
  </si>
  <si>
    <t>SOURCES</t>
  </si>
  <si>
    <t>USES</t>
  </si>
  <si>
    <t>Working Capital</t>
  </si>
  <si>
    <t>Total Sources</t>
  </si>
  <si>
    <t>Total Uses</t>
  </si>
  <si>
    <t>Sources - Uses (should = 0)</t>
  </si>
  <si>
    <t>Scenario Analysis</t>
  </si>
  <si>
    <t>CONSERVATIVE (20% FEWER STUDENTS)</t>
  </si>
  <si>
    <t>Enrollment: -20%  |  Revenue: +0%  |  Staffing: +0%  |  Facility: +0%  |  Expenses: +0%</t>
  </si>
  <si>
    <t>GROWTH (10% MORE STUDENTS, 5% TUITION UP)</t>
  </si>
  <si>
    <t>Enrollment: +10%  |  Revenue: +5%  |  Staffing: +0%  |  Facility: +0%  |  Expenses: +0%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</si>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</sst>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15" x14ac:knownFonts="1">
    <font>
      <color theme="1"/>
      <family val="2"/>
      <scheme val="minor"/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328555"/>
      <sz val="11"/>
      <name val="Calibri"/>
    </font>
    <font>
      <b/>
      <color rgb="FFFF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9" fillId="2" borderId="1" xfId="0" applyFont="1" applyFill="1" applyBorder="1"/>
    <xf numFmtId="0" fontId="4" fillId="3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0" fontId="12" fillId="0" borderId="0" xfId="0" applyFont="1"/>
    <xf numFmtId="164" fontId="3" fillId="5" borderId="2" xfId="0" applyNumberFormat="1" applyFont="1" applyFill="1" applyBorder="1"/>
    <xf numFmtId="164" fontId="4" fillId="0" borderId="1" xfId="0" applyNumberFormat="1" applyFont="1" applyBorder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165" fontId="3" fillId="5" borderId="2" xfId="0" applyNumberFormat="1" applyFont="1" applyFill="1" applyBorder="1"/>
    <xf numFmtId="2" fontId="4" fillId="0" borderId="1" xfId="0" applyNumberFormat="1" applyFont="1" applyBorder="1"/>
    <xf numFmtId="165" fontId="3" fillId="0" borderId="1" xfId="0" applyNumberFormat="1" applyFont="1" applyBorder="1"/>
    <xf numFmtId="167" fontId="4" fillId="0" borderId="1" xfId="0" applyNumberFormat="1" applyFont="1" applyBorder="1"/>
    <xf numFmtId="165" fontId="3" fillId="0" borderId="2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5" fontId="3" fillId="5" borderId="1" xfId="0" applyNumberFormat="1" applyFont="1" applyFill="1" applyBorder="1"/>
    <xf numFmtId="0" fontId="3" fillId="0" borderId="2" xfId="0" applyFont="1" applyBorder="1"/>
    <xf numFmtId="0" fontId="9" fillId="0" borderId="1" xfId="0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5" fontId="4" fillId="5" borderId="1" xfId="0" applyNumberFormat="1" applyFont="1" applyFill="1" applyBorder="1"/>
    <xf numFmtId="165" fontId="13" fillId="0" borderId="1" xfId="0" applyNumberFormat="1" applyFont="1" applyBorder="1"/>
    <xf numFmtId="165" fontId="14" fillId="0" borderId="1" xfId="0" applyNumberFormat="1" applyFont="1" applyBorder="1"/>
    <xf numFmtId="168" fontId="3" fillId="5" borderId="1" xfId="0" applyNumberFormat="1" applyFont="1" applyFill="1" applyBorder="1"/>
    <xf numFmtId="164" fontId="3" fillId="5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4" borderId="1" xfId="0" applyFont="1" applyFill="1" applyBorder="1"/>
    <xf numFmtId="168" fontId="4" fillId="0" borderId="1" xfId="0" applyNumberFormat="1" applyFont="1" applyBorder="1"/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ver&apos;!A1" TargetMode="External"/><Relationship Id="rId2" Type="http://schemas.openxmlformats.org/officeDocument/2006/relationships/hyperlink" Target="#&apos;Instructions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2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1" t="s">
        <v>0</v>
      </c>
      <c r="C3" s="1"/>
    </row>
    <row r="5" spans="2:3" x14ac:dyDescent="0.25">
      <c r="B5" s="2" t="s">
        <v>1</v>
      </c>
      <c r="C5" s="2"/>
    </row>
    <row r="8" spans="2:3" x14ac:dyDescent="0.25">
      <c r="B8" s="3" t="s">
        <v>2</v>
      </c>
      <c r="C8" s="4" t="s">
        <v>3</v>
      </c>
    </row>
    <row r="9" spans="2:3" x14ac:dyDescent="0.25">
      <c r="B9" s="3" t="s">
        <v>4</v>
      </c>
      <c r="C9" s="4" t="s">
        <v>5</v>
      </c>
    </row>
    <row r="10" spans="2:3" x14ac:dyDescent="0.25">
      <c r="B10" s="3" t="s">
        <v>6</v>
      </c>
      <c r="C10" s="4" t="s">
        <v>7</v>
      </c>
    </row>
    <row r="11" spans="2:3" x14ac:dyDescent="0.25">
      <c r="B11" s="3" t="s">
        <v>8</v>
      </c>
      <c r="C11" s="4" t="s">
        <v>9</v>
      </c>
    </row>
    <row r="12" spans="2:3" x14ac:dyDescent="0.25">
      <c r="B12" s="3" t="s">
        <v>10</v>
      </c>
      <c r="C12" s="4" t="s">
        <v>11</v>
      </c>
    </row>
    <row r="13" spans="2:3" x14ac:dyDescent="0.25">
      <c r="B13" s="3" t="s">
        <v>12</v>
      </c>
      <c r="C13" s="4" t="s">
        <v>13</v>
      </c>
    </row>
    <row r="14" spans="2:3" x14ac:dyDescent="0.25">
      <c r="B14" s="3" t="s">
        <v>14</v>
      </c>
      <c r="C14" s="4" t="s">
        <v>15</v>
      </c>
    </row>
    <row r="15" spans="2:3" x14ac:dyDescent="0.25">
      <c r="B15" s="3" t="s">
        <v>16</v>
      </c>
      <c r="C15" s="4" t="s">
        <v>17</v>
      </c>
    </row>
    <row r="18" spans="2:3" x14ac:dyDescent="0.25">
      <c r="B18" s="5" t="s">
        <v>18</v>
      </c>
      <c r="C18" s="5"/>
    </row>
    <row r="19" spans="2:3" x14ac:dyDescent="0.25">
      <c r="B19" s="6" t="s">
        <v>19</v>
      </c>
      <c r="C19" s="7" t="s">
        <v>20</v>
      </c>
    </row>
    <row r="20" spans="2:3" x14ac:dyDescent="0.25">
      <c r="B20" s="6" t="s">
        <v>21</v>
      </c>
      <c r="C20" s="7" t="s">
        <v>22</v>
      </c>
    </row>
    <row r="21" spans="2:3" x14ac:dyDescent="0.25">
      <c r="B21" s="6" t="s">
        <v>23</v>
      </c>
      <c r="C21" s="7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6" t="s">
        <v>27</v>
      </c>
      <c r="C23" s="7" t="s">
        <v>28</v>
      </c>
    </row>
    <row r="24" spans="2:3" x14ac:dyDescent="0.25">
      <c r="B24" s="6" t="s">
        <v>29</v>
      </c>
      <c r="C24" s="7" t="s">
        <v>30</v>
      </c>
    </row>
    <row r="25" spans="2:3" x14ac:dyDescent="0.25">
      <c r="B25" s="6" t="s">
        <v>31</v>
      </c>
      <c r="C25" s="7" t="s">
        <v>32</v>
      </c>
    </row>
    <row r="26" spans="2:3" x14ac:dyDescent="0.25">
      <c r="B26" s="6" t="s">
        <v>33</v>
      </c>
      <c r="C26" s="7" t="s">
        <v>34</v>
      </c>
    </row>
    <row r="27" spans="2:3" x14ac:dyDescent="0.25">
      <c r="B27" s="6" t="s">
        <v>35</v>
      </c>
      <c r="C27" s="7" t="s">
        <v>36</v>
      </c>
    </row>
    <row r="28" spans="2:3" x14ac:dyDescent="0.25">
      <c r="B28" s="6" t="s">
        <v>37</v>
      </c>
      <c r="C28" s="7" t="s">
        <v>38</v>
      </c>
    </row>
    <row r="29" spans="2:3" x14ac:dyDescent="0.25">
      <c r="B29" s="6" t="s">
        <v>39</v>
      </c>
      <c r="C29" s="7" t="s">
        <v>40</v>
      </c>
    </row>
    <row r="30" spans="2:3" x14ac:dyDescent="0.25">
      <c r="B30" s="6" t="s">
        <v>41</v>
      </c>
      <c r="C30" s="7" t="s">
        <v>42</v>
      </c>
    </row>
    <row r="31" spans="2:3" x14ac:dyDescent="0.25">
      <c r="B31" s="6" t="s">
        <v>43</v>
      </c>
      <c r="C31" s="7" t="s">
        <v>44</v>
      </c>
    </row>
    <row r="32" spans="2:3" x14ac:dyDescent="0.25">
      <c r="B32" s="6" t="s">
        <v>45</v>
      </c>
      <c r="C32" s="7" t="s">
        <v>46</v>
      </c>
    </row>
    <row r="33" spans="2:3" x14ac:dyDescent="0.25">
      <c r="B33" s="6" t="s">
        <v>47</v>
      </c>
      <c r="C33" s="7" t="s">
        <v>48</v>
      </c>
    </row>
    <row r="34" spans="2:3" x14ac:dyDescent="0.25">
      <c r="B34" s="6" t="s">
        <v>49</v>
      </c>
      <c r="C34" s="7" t="s">
        <v>50</v>
      </c>
    </row>
    <row r="35" spans="2:3" x14ac:dyDescent="0.25">
      <c r="B35" s="6" t="s">
        <v>51</v>
      </c>
      <c r="C35" s="7" t="s">
        <v>52</v>
      </c>
    </row>
    <row r="36" spans="2:3" x14ac:dyDescent="0.25">
      <c r="B36" s="6" t="s">
        <v>53</v>
      </c>
      <c r="C36" s="7" t="s">
        <v>54</v>
      </c>
    </row>
    <row r="37" spans="2:3" x14ac:dyDescent="0.25">
      <c r="B37" s="6" t="s">
        <v>55</v>
      </c>
      <c r="C37" s="7" t="s">
        <v>56</v>
      </c>
    </row>
    <row r="38" spans="2:3" x14ac:dyDescent="0.25">
      <c r="B38" s="6" t="s">
        <v>57</v>
      </c>
      <c r="C38" s="7" t="s">
        <v>58</v>
      </c>
    </row>
    <row r="39" spans="2:3" x14ac:dyDescent="0.25">
      <c r="B39" s="6" t="s">
        <v>59</v>
      </c>
      <c r="C39" s="7" t="s">
        <v>60</v>
      </c>
    </row>
    <row r="42" spans="2:3" x14ac:dyDescent="0.25">
      <c r="B42" s="8" t="s">
        <v>61</v>
      </c>
      <c r="C42" s="8"/>
    </row>
  </sheetData>
  <mergeCells count="4">
    <mergeCell ref="B3:C3"/>
    <mergeCell ref="B5:C5"/>
    <mergeCell ref="B18:C18"/>
    <mergeCell ref="B42:C42"/>
  </mergeCells>
  <hyperlinks>
    <hyperlink ref="C19" r:id="rId1" location="#'Cover'!A1"/>
    <hyperlink ref="C20" r:id="rId2" location="#'Instructions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32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9" t="s">
        <v>62</v>
      </c>
    </row>
    <row r="4" spans="2:2" x14ac:dyDescent="0.25">
      <c r="B4" s="10" t="s">
        <v>63</v>
      </c>
    </row>
    <row r="5" spans="2:2" x14ac:dyDescent="0.25">
      <c r="B5" s="6" t="s">
        <v>64</v>
      </c>
    </row>
    <row r="6" spans="2:2" x14ac:dyDescent="0.25">
      <c r="B6" s="6" t="s">
        <v>65</v>
      </c>
    </row>
    <row r="7" spans="2:2" x14ac:dyDescent="0.25">
      <c r="B7" s="6" t="s">
        <v>66</v>
      </c>
    </row>
    <row r="8" spans="2:2" x14ac:dyDescent="0.25">
      <c r="B8" s="6" t="s">
        <v>17</v>
      </c>
    </row>
    <row r="9" spans="2:2" x14ac:dyDescent="0.25">
      <c r="B9" s="10" t="s">
        <v>67</v>
      </c>
    </row>
    <row r="10" spans="2:2" x14ac:dyDescent="0.25">
      <c r="B10" s="6" t="s">
        <v>68</v>
      </c>
    </row>
    <row r="11" spans="2:2" x14ac:dyDescent="0.25">
      <c r="B11" s="6" t="s">
        <v>17</v>
      </c>
    </row>
    <row r="12" spans="2:2" x14ac:dyDescent="0.25">
      <c r="B12" s="10" t="s">
        <v>69</v>
      </c>
    </row>
    <row r="13" spans="2:2" x14ac:dyDescent="0.25">
      <c r="B13" s="6" t="s">
        <v>70</v>
      </c>
    </row>
    <row r="14" spans="2:2" x14ac:dyDescent="0.25">
      <c r="B14" s="6" t="s">
        <v>71</v>
      </c>
    </row>
    <row r="15" spans="2:2" x14ac:dyDescent="0.25">
      <c r="B15" s="6" t="s">
        <v>72</v>
      </c>
    </row>
    <row r="16" spans="2:2" x14ac:dyDescent="0.25">
      <c r="B16" s="6" t="s">
        <v>73</v>
      </c>
    </row>
    <row r="17" spans="2:2" x14ac:dyDescent="0.25">
      <c r="B17" s="6" t="s">
        <v>17</v>
      </c>
    </row>
    <row r="18" spans="2:2" x14ac:dyDescent="0.25">
      <c r="B18" s="10" t="s">
        <v>74</v>
      </c>
    </row>
    <row r="19" spans="2:2" x14ac:dyDescent="0.25">
      <c r="B19" s="6" t="s">
        <v>75</v>
      </c>
    </row>
    <row r="20" spans="2:2" x14ac:dyDescent="0.25">
      <c r="B20" s="6" t="s">
        <v>76</v>
      </c>
    </row>
    <row r="21" spans="2:2" x14ac:dyDescent="0.25">
      <c r="B21" s="6" t="s">
        <v>77</v>
      </c>
    </row>
    <row r="22" spans="2:2" x14ac:dyDescent="0.25">
      <c r="B22" s="6" t="s">
        <v>78</v>
      </c>
    </row>
    <row r="23" spans="2:2" x14ac:dyDescent="0.25">
      <c r="B23" s="6" t="s">
        <v>79</v>
      </c>
    </row>
    <row r="24" spans="2:2" x14ac:dyDescent="0.25">
      <c r="B24" s="6" t="s">
        <v>17</v>
      </c>
    </row>
    <row r="25" spans="2:2" x14ac:dyDescent="0.25">
      <c r="B25" s="10" t="s">
        <v>80</v>
      </c>
    </row>
    <row r="26" spans="2:2" x14ac:dyDescent="0.25">
      <c r="B26" s="6" t="s">
        <v>81</v>
      </c>
    </row>
    <row r="27" spans="2:2" x14ac:dyDescent="0.25">
      <c r="B27" s="6" t="s">
        <v>82</v>
      </c>
    </row>
    <row r="28" spans="2:2" x14ac:dyDescent="0.25">
      <c r="B28" s="6" t="s">
        <v>83</v>
      </c>
    </row>
    <row r="29" spans="2:2" x14ac:dyDescent="0.25">
      <c r="B29" s="6" t="s">
        <v>17</v>
      </c>
    </row>
    <row r="30" spans="2:2" x14ac:dyDescent="0.25">
      <c r="B30" s="10" t="s">
        <v>84</v>
      </c>
    </row>
    <row r="31" spans="2:2" x14ac:dyDescent="0.25">
      <c r="B31" s="6" t="s">
        <v>85</v>
      </c>
    </row>
    <row r="32" spans="2:2" x14ac:dyDescent="0.25">
      <c r="B32" s="6" t="s">
        <v>86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1" t="s">
        <v>87</v>
      </c>
      <c r="B1" s="11"/>
      <c r="C1" s="11"/>
      <c r="D1" s="11"/>
      <c r="E1" s="11"/>
      <c r="F1" s="11"/>
      <c r="G1" s="11"/>
    </row>
    <row r="2" spans="1:1" x14ac:dyDescent="0.25">
      <c r="A2" s="12" t="s">
        <v>88</v>
      </c>
    </row>
    <row r="4" ht="24" customHeight="1" spans="1:7" x14ac:dyDescent="0.25">
      <c r="A4" s="13" t="s">
        <v>89</v>
      </c>
      <c r="B4" s="13"/>
      <c r="C4" s="13"/>
      <c r="D4" s="13"/>
      <c r="E4" s="13"/>
      <c r="F4" s="13"/>
      <c r="G4" s="13"/>
    </row>
    <row r="5" spans="1:2" x14ac:dyDescent="0.25">
      <c r="A5" s="4" t="s">
        <v>2</v>
      </c>
      <c r="B5" s="14" t="s">
        <v>3</v>
      </c>
    </row>
    <row r="6" spans="1:2" x14ac:dyDescent="0.25">
      <c r="A6" s="4" t="s">
        <v>4</v>
      </c>
      <c r="B6" s="14" t="s">
        <v>5</v>
      </c>
    </row>
    <row r="7" spans="1:2" x14ac:dyDescent="0.25">
      <c r="A7" s="4" t="s">
        <v>6</v>
      </c>
      <c r="B7" s="14" t="s">
        <v>7</v>
      </c>
    </row>
    <row r="8" spans="1:2" x14ac:dyDescent="0.25">
      <c r="A8" s="4" t="s">
        <v>8</v>
      </c>
      <c r="B8" s="14" t="s">
        <v>9</v>
      </c>
    </row>
    <row r="9" spans="1:2" x14ac:dyDescent="0.25">
      <c r="A9" s="4" t="s">
        <v>90</v>
      </c>
      <c r="B9" s="14" t="s">
        <v>17</v>
      </c>
    </row>
    <row r="10" spans="1:2" x14ac:dyDescent="0.25">
      <c r="A10" s="4" t="s">
        <v>14</v>
      </c>
      <c r="B10" s="14" t="s">
        <v>15</v>
      </c>
    </row>
    <row r="11" spans="1:2" x14ac:dyDescent="0.25">
      <c r="A11" s="4" t="s">
        <v>16</v>
      </c>
      <c r="B11" s="14" t="s">
        <v>17</v>
      </c>
    </row>
    <row r="12" spans="1:2" x14ac:dyDescent="0.25">
      <c r="A12" s="4" t="s">
        <v>91</v>
      </c>
      <c r="B12" s="14">
        <v>7</v>
      </c>
    </row>
    <row r="13" spans="1:2" x14ac:dyDescent="0.25">
      <c r="A13" s="4" t="s">
        <v>92</v>
      </c>
      <c r="B13" s="14">
        <v>40</v>
      </c>
    </row>
    <row r="15" ht="24" customHeight="1" spans="1:7" x14ac:dyDescent="0.25">
      <c r="A15" s="13" t="s">
        <v>93</v>
      </c>
      <c r="B15" s="13"/>
      <c r="C15" s="13"/>
      <c r="D15" s="13"/>
      <c r="E15" s="13"/>
      <c r="F15" s="13"/>
      <c r="G15" s="13"/>
    </row>
    <row r="16" ht="28" customHeight="1" spans="1:6" x14ac:dyDescent="0.25">
      <c r="A16" s="15" t="s">
        <v>17</v>
      </c>
      <c r="B16" s="15" t="s">
        <v>94</v>
      </c>
      <c r="C16" s="15" t="s">
        <v>95</v>
      </c>
      <c r="D16" s="15" t="s">
        <v>96</v>
      </c>
      <c r="E16" s="15" t="s">
        <v>97</v>
      </c>
      <c r="F16" s="15" t="s">
        <v>98</v>
      </c>
    </row>
    <row r="17" spans="1:6" x14ac:dyDescent="0.25">
      <c r="A17" s="4" t="s">
        <v>99</v>
      </c>
      <c r="B17" s="16">
        <v>15</v>
      </c>
      <c r="C17" s="16">
        <v>22</v>
      </c>
      <c r="D17" s="16">
        <v>30</v>
      </c>
      <c r="E17" s="16">
        <v>35</v>
      </c>
      <c r="F17" s="16">
        <v>40</v>
      </c>
    </row>
    <row r="19" ht="24" customHeight="1" spans="1:7" x14ac:dyDescent="0.25">
      <c r="A19" s="13" t="s">
        <v>100</v>
      </c>
      <c r="B19" s="13"/>
      <c r="C19" s="13"/>
      <c r="D19" s="13"/>
      <c r="E19" s="13"/>
      <c r="F19" s="13"/>
      <c r="G19" s="13"/>
    </row>
    <row r="20" ht="28" customHeight="1" spans="1:5" x14ac:dyDescent="0.25">
      <c r="A20" s="15" t="s">
        <v>101</v>
      </c>
      <c r="B20" s="15" t="s">
        <v>102</v>
      </c>
      <c r="C20" s="15" t="s">
        <v>103</v>
      </c>
      <c r="D20" s="15" t="s">
        <v>104</v>
      </c>
      <c r="E20" s="15" t="s">
        <v>105</v>
      </c>
    </row>
    <row r="21" spans="1:5" x14ac:dyDescent="0.25">
      <c r="A21" s="4" t="s">
        <v>106</v>
      </c>
      <c r="B21" s="4" t="s">
        <v>107</v>
      </c>
      <c r="C21" s="4" t="s">
        <v>108</v>
      </c>
      <c r="D21" s="17">
        <v>8500</v>
      </c>
      <c r="E21" s="18">
        <v>0.03</v>
      </c>
    </row>
    <row r="22" spans="1:5" x14ac:dyDescent="0.25">
      <c r="A22" s="4" t="s">
        <v>109</v>
      </c>
      <c r="B22" s="4" t="s">
        <v>110</v>
      </c>
      <c r="C22" s="4" t="s">
        <v>111</v>
      </c>
      <c r="D22" s="17">
        <v>25000</v>
      </c>
      <c r="E22" s="18">
        <v>0</v>
      </c>
    </row>
    <row r="23" spans="1:5" x14ac:dyDescent="0.25">
      <c r="A23" s="4" t="s">
        <v>112</v>
      </c>
      <c r="B23" s="4" t="s">
        <v>110</v>
      </c>
      <c r="C23" s="4" t="s">
        <v>111</v>
      </c>
      <c r="D23" s="17">
        <v>15000</v>
      </c>
      <c r="E23" s="18">
        <v>0</v>
      </c>
    </row>
    <row r="25" ht="24" customHeight="1" spans="1:7" x14ac:dyDescent="0.25">
      <c r="A25" s="13" t="s">
        <v>113</v>
      </c>
      <c r="B25" s="13"/>
      <c r="C25" s="13"/>
      <c r="D25" s="13"/>
      <c r="E25" s="13"/>
      <c r="F25" s="13"/>
      <c r="G25" s="13"/>
    </row>
    <row r="26" ht="28" customHeight="1" spans="1:7" x14ac:dyDescent="0.25">
      <c r="A26" s="15" t="s">
        <v>114</v>
      </c>
      <c r="B26" s="15" t="s">
        <v>102</v>
      </c>
      <c r="C26" s="15" t="s">
        <v>115</v>
      </c>
      <c r="D26" s="15" t="s">
        <v>116</v>
      </c>
      <c r="E26" s="15" t="s">
        <v>117</v>
      </c>
      <c r="F26" s="15" t="s">
        <v>118</v>
      </c>
      <c r="G26" s="15" t="s">
        <v>119</v>
      </c>
    </row>
    <row r="27" spans="1:7" x14ac:dyDescent="0.25">
      <c r="A27" s="4" t="s">
        <v>120</v>
      </c>
      <c r="B27" s="4" t="s">
        <v>121</v>
      </c>
      <c r="C27" s="4" t="s">
        <v>122</v>
      </c>
      <c r="D27" s="19">
        <v>1</v>
      </c>
      <c r="E27" s="17">
        <v>52000</v>
      </c>
      <c r="F27" s="18">
        <v>0</v>
      </c>
      <c r="G27" s="18">
        <v>0.0765</v>
      </c>
    </row>
    <row r="28" spans="1:7" x14ac:dyDescent="0.25">
      <c r="A28" s="4" t="s">
        <v>123</v>
      </c>
      <c r="B28" s="4" t="s">
        <v>121</v>
      </c>
      <c r="C28" s="4" t="s">
        <v>124</v>
      </c>
      <c r="D28" s="19">
        <v>0.75</v>
      </c>
      <c r="E28" s="17">
        <v>28000</v>
      </c>
      <c r="F28" s="18">
        <v>0</v>
      </c>
      <c r="G28" s="18">
        <v>0.0765</v>
      </c>
    </row>
    <row r="29" spans="1:7" x14ac:dyDescent="0.25">
      <c r="A29" s="4" t="s">
        <v>125</v>
      </c>
      <c r="B29" s="4" t="s">
        <v>126</v>
      </c>
      <c r="C29" s="4" t="s">
        <v>124</v>
      </c>
      <c r="D29" s="19">
        <v>0.5</v>
      </c>
      <c r="E29" s="17">
        <v>18000</v>
      </c>
      <c r="F29" s="18">
        <v>0</v>
      </c>
      <c r="G29" s="18">
        <v>0.0765</v>
      </c>
    </row>
    <row r="31" ht="24" customHeight="1" spans="1:7" x14ac:dyDescent="0.25">
      <c r="A31" s="13" t="s">
        <v>127</v>
      </c>
      <c r="B31" s="13"/>
      <c r="C31" s="13"/>
      <c r="D31" s="13"/>
      <c r="E31" s="13"/>
      <c r="F31" s="13"/>
      <c r="G31" s="13"/>
    </row>
    <row r="32" ht="28" customHeight="1" spans="1:5" x14ac:dyDescent="0.25">
      <c r="A32" s="15" t="s">
        <v>101</v>
      </c>
      <c r="B32" s="15" t="s">
        <v>102</v>
      </c>
      <c r="C32" s="15" t="s">
        <v>103</v>
      </c>
      <c r="D32" s="15" t="s">
        <v>104</v>
      </c>
      <c r="E32" s="15" t="s">
        <v>105</v>
      </c>
    </row>
    <row r="33" spans="1:5" x14ac:dyDescent="0.25">
      <c r="A33" s="4" t="s">
        <v>128</v>
      </c>
      <c r="B33" s="4" t="s">
        <v>129</v>
      </c>
      <c r="C33" s="4" t="s">
        <v>108</v>
      </c>
      <c r="D33" s="17">
        <v>400</v>
      </c>
      <c r="E33" s="18">
        <v>0.02</v>
      </c>
    </row>
    <row r="34" spans="1:5" x14ac:dyDescent="0.25">
      <c r="A34" s="4" t="s">
        <v>130</v>
      </c>
      <c r="B34" s="4" t="s">
        <v>131</v>
      </c>
      <c r="C34" s="4" t="s">
        <v>111</v>
      </c>
      <c r="D34" s="17">
        <v>3000</v>
      </c>
      <c r="E34" s="18">
        <v>0</v>
      </c>
    </row>
    <row r="35" spans="1:5" x14ac:dyDescent="0.25">
      <c r="A35" s="4" t="s">
        <v>132</v>
      </c>
      <c r="B35" s="4" t="s">
        <v>133</v>
      </c>
      <c r="C35" s="4" t="s">
        <v>111</v>
      </c>
      <c r="D35" s="17">
        <v>2400</v>
      </c>
      <c r="E35" s="18">
        <v>0</v>
      </c>
    </row>
    <row r="36" spans="1:5" x14ac:dyDescent="0.25">
      <c r="A36" s="4" t="s">
        <v>134</v>
      </c>
      <c r="B36" s="4" t="s">
        <v>133</v>
      </c>
      <c r="C36" s="4" t="s">
        <v>111</v>
      </c>
      <c r="D36" s="17">
        <v>2000</v>
      </c>
      <c r="E36" s="18">
        <v>0</v>
      </c>
    </row>
    <row r="37" spans="1:5" x14ac:dyDescent="0.25">
      <c r="A37" s="4" t="s">
        <v>135</v>
      </c>
      <c r="B37" s="4" t="s">
        <v>136</v>
      </c>
      <c r="C37" s="4" t="s">
        <v>137</v>
      </c>
      <c r="D37" s="17">
        <v>350</v>
      </c>
      <c r="E37" s="18">
        <v>0</v>
      </c>
    </row>
    <row r="39" ht="24" customHeight="1" spans="1:7" x14ac:dyDescent="0.25">
      <c r="A39" s="13" t="s">
        <v>138</v>
      </c>
      <c r="B39" s="13"/>
      <c r="C39" s="13"/>
      <c r="D39" s="13"/>
      <c r="E39" s="13"/>
      <c r="F39" s="13"/>
      <c r="G39" s="13"/>
    </row>
    <row r="40" ht="28" customHeight="1" spans="1:5" x14ac:dyDescent="0.25">
      <c r="A40" s="15" t="s">
        <v>139</v>
      </c>
      <c r="B40" s="15" t="s">
        <v>115</v>
      </c>
      <c r="C40" s="15" t="s">
        <v>140</v>
      </c>
      <c r="D40" s="15" t="s">
        <v>117</v>
      </c>
      <c r="E40" s="15" t="s">
        <v>141</v>
      </c>
    </row>
    <row r="41" spans="1:5" x14ac:dyDescent="0.25">
      <c r="A41" s="4" t="s">
        <v>142</v>
      </c>
      <c r="B41" s="4" t="s">
        <v>143</v>
      </c>
      <c r="C41" s="17">
        <v>12000</v>
      </c>
      <c r="D41" s="18">
        <v>0</v>
      </c>
      <c r="E41" s="16">
        <v>0</v>
      </c>
    </row>
    <row r="42" spans="1:5" x14ac:dyDescent="0.25">
      <c r="A42" s="4" t="s">
        <v>144</v>
      </c>
      <c r="B42" s="4" t="s">
        <v>145</v>
      </c>
      <c r="C42" s="17">
        <v>25000</v>
      </c>
      <c r="D42" s="18">
        <v>0.06</v>
      </c>
      <c r="E42" s="16">
        <v>5</v>
      </c>
    </row>
    <row r="44" ht="24" customHeight="1" spans="1:7" x14ac:dyDescent="0.25">
      <c r="A44" s="13" t="s">
        <v>146</v>
      </c>
      <c r="B44" s="13"/>
      <c r="C44" s="13"/>
      <c r="D44" s="13"/>
      <c r="E44" s="13"/>
      <c r="F44" s="13"/>
      <c r="G44" s="13"/>
    </row>
    <row r="45" spans="1:3" x14ac:dyDescent="0.25">
      <c r="A45" s="4" t="s">
        <v>147</v>
      </c>
      <c r="B45" s="18">
        <v>0.03</v>
      </c>
      <c r="C45" s="20" t="s">
        <v>148</v>
      </c>
    </row>
    <row r="46" spans="1:3" x14ac:dyDescent="0.25">
      <c r="A46" s="4" t="s">
        <v>149</v>
      </c>
      <c r="B46" s="18">
        <v>0.03</v>
      </c>
      <c r="C46" s="20" t="s">
        <v>150</v>
      </c>
    </row>
    <row r="47" spans="1:2" x14ac:dyDescent="0.25">
      <c r="A47" s="4" t="s">
        <v>151</v>
      </c>
      <c r="B47" s="19">
        <v>0.8333333333333334</v>
      </c>
    </row>
    <row r="48" spans="1:2" x14ac:dyDescent="0.25">
      <c r="A48" s="4" t="s">
        <v>152</v>
      </c>
      <c r="B48" s="17">
        <v>0</v>
      </c>
    </row>
    <row r="49" spans="1:2" x14ac:dyDescent="0.25">
      <c r="A49" s="4" t="s">
        <v>153</v>
      </c>
      <c r="B49" s="14" t="s">
        <v>154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1" t="s">
        <v>26</v>
      </c>
      <c r="B1" s="11"/>
    </row>
    <row r="3" spans="1:2" x14ac:dyDescent="0.25">
      <c r="A3" s="3" t="s">
        <v>155</v>
      </c>
      <c r="B3" s="4" t="s">
        <v>156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157</v>
      </c>
      <c r="B6" s="4" t="s">
        <v>158</v>
      </c>
    </row>
    <row r="7" spans="1:2" x14ac:dyDescent="0.25">
      <c r="A7" s="3" t="s">
        <v>14</v>
      </c>
      <c r="B7" s="4" t="s">
        <v>15</v>
      </c>
    </row>
    <row r="8" spans="1:2" x14ac:dyDescent="0.25">
      <c r="A8" s="3" t="s">
        <v>159</v>
      </c>
      <c r="B8" s="4" t="s">
        <v>17</v>
      </c>
    </row>
    <row r="9" spans="1:2" x14ac:dyDescent="0.25">
      <c r="A9" s="3" t="s">
        <v>91</v>
      </c>
      <c r="B9" s="4" t="s">
        <v>160</v>
      </c>
    </row>
    <row r="10" spans="1:2" x14ac:dyDescent="0.25">
      <c r="A10" s="3" t="s">
        <v>161</v>
      </c>
      <c r="B10" s="4" t="s">
        <v>162</v>
      </c>
    </row>
    <row r="11" spans="1:2" x14ac:dyDescent="0.25">
      <c r="A11" s="3" t="s">
        <v>163</v>
      </c>
      <c r="B11" s="4" t="s">
        <v>164</v>
      </c>
    </row>
    <row r="12" spans="1:2" x14ac:dyDescent="0.25">
      <c r="A12" s="3" t="s">
        <v>153</v>
      </c>
      <c r="B12" s="4" t="s">
        <v>154</v>
      </c>
    </row>
    <row r="13" spans="1:2" x14ac:dyDescent="0.25">
      <c r="A13" s="3" t="s">
        <v>92</v>
      </c>
      <c r="B13" s="4" t="s">
        <v>165</v>
      </c>
    </row>
    <row r="14" spans="1:2" x14ac:dyDescent="0.25">
      <c r="A14" s="3" t="s">
        <v>166</v>
      </c>
      <c r="B14" s="4" t="s">
        <v>167</v>
      </c>
    </row>
    <row r="15" spans="1:2" x14ac:dyDescent="0.25">
      <c r="A15" s="3" t="s">
        <v>168</v>
      </c>
      <c r="B15" s="4" t="s">
        <v>169</v>
      </c>
    </row>
    <row r="16" spans="1:2" x14ac:dyDescent="0.25">
      <c r="A16" s="3" t="s">
        <v>170</v>
      </c>
      <c r="B16" s="4" t="s">
        <v>171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1" t="s">
        <v>28</v>
      </c>
      <c r="B1" s="11"/>
      <c r="C1" s="11"/>
      <c r="D1" s="11"/>
      <c r="E1" s="11"/>
      <c r="F1" s="11"/>
      <c r="G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5" ht="24" customHeight="1" spans="1:6" x14ac:dyDescent="0.25">
      <c r="A5" s="13" t="s">
        <v>172</v>
      </c>
      <c r="B5" s="13"/>
      <c r="C5" s="13"/>
      <c r="D5" s="13"/>
      <c r="E5" s="13"/>
      <c r="F5" s="13"/>
    </row>
    <row r="6" spans="1:6" x14ac:dyDescent="0.25">
      <c r="A6" s="3" t="s">
        <v>99</v>
      </c>
      <c r="B6" s="21">
        <v>15</v>
      </c>
      <c r="C6" s="21">
        <v>22</v>
      </c>
      <c r="D6" s="21">
        <v>30</v>
      </c>
      <c r="E6" s="21">
        <v>35</v>
      </c>
      <c r="F6" s="21">
        <v>40</v>
      </c>
    </row>
    <row r="7" spans="1:2" x14ac:dyDescent="0.25">
      <c r="A7" s="4" t="s">
        <v>92</v>
      </c>
      <c r="B7" s="22">
        <v>40</v>
      </c>
    </row>
    <row r="8" spans="1:6" x14ac:dyDescent="0.25">
      <c r="A8" s="4" t="s">
        <v>173</v>
      </c>
      <c r="B8" s="23">
        <v>0.375</v>
      </c>
      <c r="C8" s="23">
        <v>0.55</v>
      </c>
      <c r="D8" s="23">
        <v>0.75</v>
      </c>
      <c r="E8" s="23">
        <v>0.875</v>
      </c>
      <c r="F8" s="23">
        <v>1</v>
      </c>
    </row>
    <row r="10" spans="1:6" x14ac:dyDescent="0.25">
      <c r="A10" s="4" t="s">
        <v>174</v>
      </c>
      <c r="B10" s="4" t="s">
        <v>175</v>
      </c>
      <c r="C10" s="24">
        <v>0.4666666666666667</v>
      </c>
      <c r="D10" s="24">
        <v>0.36363636363636365</v>
      </c>
      <c r="E10" s="24">
        <v>0.16666666666666666</v>
      </c>
      <c r="F10" s="24">
        <v>0.14285714285714285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176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177</v>
      </c>
      <c r="B4" s="13"/>
      <c r="C4" s="13"/>
      <c r="D4" s="13"/>
      <c r="E4" s="13"/>
      <c r="F4" s="13"/>
    </row>
    <row r="5" spans="1:6" x14ac:dyDescent="0.25">
      <c r="A5" s="4" t="s">
        <v>178</v>
      </c>
      <c r="B5" s="25">
        <v>127500</v>
      </c>
      <c r="C5" s="25">
        <v>192610</v>
      </c>
      <c r="D5" s="25">
        <v>270530</v>
      </c>
      <c r="E5" s="25">
        <v>325086</v>
      </c>
      <c r="F5" s="25">
        <v>382673</v>
      </c>
    </row>
    <row r="6" spans="1:6" x14ac:dyDescent="0.25">
      <c r="A6" s="4" t="s">
        <v>179</v>
      </c>
      <c r="B6" s="25">
        <v>25000</v>
      </c>
      <c r="C6" s="25">
        <v>25750</v>
      </c>
      <c r="D6" s="25">
        <v>26523</v>
      </c>
      <c r="E6" s="25">
        <v>27318</v>
      </c>
      <c r="F6" s="25">
        <v>28138</v>
      </c>
    </row>
    <row r="7" spans="1:6" x14ac:dyDescent="0.25">
      <c r="A7" s="4" t="s">
        <v>180</v>
      </c>
      <c r="B7" s="25">
        <v>15000</v>
      </c>
      <c r="C7" s="25">
        <v>15450</v>
      </c>
      <c r="D7" s="25">
        <v>15914</v>
      </c>
      <c r="E7" s="25">
        <v>16391</v>
      </c>
      <c r="F7" s="25">
        <v>16883</v>
      </c>
    </row>
    <row r="8" ht="24" customHeight="1" spans="1:6" x14ac:dyDescent="0.25">
      <c r="A8" s="13" t="s">
        <v>181</v>
      </c>
      <c r="B8" s="26">
        <f>SUM(B5:B7)</f>
        <v>167500</v>
      </c>
      <c r="C8" s="26">
        <f>SUM(C5:C7)</f>
        <v>233810</v>
      </c>
      <c r="D8" s="26">
        <f>SUM(D5:D7)</f>
        <v>312966</v>
      </c>
      <c r="E8" s="26">
        <f>SUM(E5:E7)</f>
        <v>368795</v>
      </c>
      <c r="F8" s="26">
        <f>SUM(F5:F7)</f>
        <v>427693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1" t="s">
        <v>32</v>
      </c>
      <c r="B1" s="11"/>
      <c r="C1" s="11"/>
      <c r="D1" s="11"/>
      <c r="E1" s="11"/>
      <c r="F1" s="11"/>
      <c r="G1" s="11"/>
    </row>
    <row r="3" ht="28" customHeight="1" spans="1:7" x14ac:dyDescent="0.25">
      <c r="A3" s="15" t="s">
        <v>114</v>
      </c>
      <c r="B3" s="15" t="s">
        <v>102</v>
      </c>
      <c r="C3" s="15" t="s">
        <v>116</v>
      </c>
      <c r="D3" s="15" t="s">
        <v>182</v>
      </c>
      <c r="E3" s="15" t="s">
        <v>118</v>
      </c>
      <c r="F3" s="15" t="s">
        <v>119</v>
      </c>
      <c r="G3" s="15" t="s">
        <v>183</v>
      </c>
    </row>
    <row r="4" spans="1:7" x14ac:dyDescent="0.25">
      <c r="A4" s="4" t="s">
        <v>120</v>
      </c>
      <c r="B4" s="4" t="s">
        <v>121</v>
      </c>
      <c r="C4" s="27">
        <v>1</v>
      </c>
      <c r="D4" s="25">
        <v>52000</v>
      </c>
      <c r="E4" s="24">
        <v>0</v>
      </c>
      <c r="F4" s="24">
        <v>0.0765</v>
      </c>
      <c r="G4" s="28">
        <v>55978</v>
      </c>
    </row>
    <row r="5" spans="1:7" x14ac:dyDescent="0.25">
      <c r="A5" s="4" t="s">
        <v>123</v>
      </c>
      <c r="B5" s="4" t="s">
        <v>121</v>
      </c>
      <c r="C5" s="27">
        <v>0.75</v>
      </c>
      <c r="D5" s="25">
        <v>28000</v>
      </c>
      <c r="E5" s="24">
        <v>0</v>
      </c>
      <c r="F5" s="24">
        <v>0.0765</v>
      </c>
      <c r="G5" s="28">
        <v>22607</v>
      </c>
    </row>
    <row r="6" spans="1:7" x14ac:dyDescent="0.25">
      <c r="A6" s="4" t="s">
        <v>125</v>
      </c>
      <c r="B6" s="4" t="s">
        <v>126</v>
      </c>
      <c r="C6" s="27">
        <v>0.5</v>
      </c>
      <c r="D6" s="25">
        <v>18000</v>
      </c>
      <c r="E6" s="24">
        <v>0</v>
      </c>
      <c r="F6" s="24">
        <v>0.0765</v>
      </c>
      <c r="G6" s="28">
        <v>9689</v>
      </c>
    </row>
    <row r="8" ht="24" customHeight="1" spans="1:7" x14ac:dyDescent="0.25">
      <c r="A8" s="13" t="s">
        <v>184</v>
      </c>
      <c r="B8" s="13"/>
      <c r="C8" s="13"/>
      <c r="D8" s="13"/>
      <c r="E8" s="13"/>
      <c r="F8" s="13"/>
      <c r="G8" s="13"/>
    </row>
    <row r="9" ht="28" customHeight="1" spans="1:6" x14ac:dyDescent="0.25">
      <c r="A9" s="15" t="s">
        <v>17</v>
      </c>
      <c r="B9" s="15" t="s">
        <v>94</v>
      </c>
      <c r="C9" s="15" t="s">
        <v>95</v>
      </c>
      <c r="D9" s="15" t="s">
        <v>96</v>
      </c>
      <c r="E9" s="15" t="s">
        <v>97</v>
      </c>
      <c r="F9" s="15" t="s">
        <v>98</v>
      </c>
    </row>
    <row r="10" spans="1:6" x14ac:dyDescent="0.25">
      <c r="A10" s="3" t="s">
        <v>185</v>
      </c>
      <c r="B10" s="26">
        <v>73561</v>
      </c>
      <c r="C10" s="26">
        <v>90921</v>
      </c>
      <c r="D10" s="26">
        <v>93649</v>
      </c>
      <c r="E10" s="26">
        <v>96458</v>
      </c>
      <c r="F10" s="26">
        <v>99352</v>
      </c>
    </row>
    <row r="11" spans="1:6" x14ac:dyDescent="0.25">
      <c r="A11" s="4" t="s">
        <v>186</v>
      </c>
      <c r="B11" s="24">
        <v>0.4391691542288558</v>
      </c>
      <c r="C11" s="24">
        <v>0.38886784140969166</v>
      </c>
      <c r="D11" s="24">
        <v>0.2992305084745763</v>
      </c>
      <c r="E11" s="24">
        <v>0.2615496296296296</v>
      </c>
      <c r="F11" s="24">
        <v>0.23229736842105259</v>
      </c>
    </row>
    <row r="12" spans="1:6" x14ac:dyDescent="0.25">
      <c r="A12" s="4" t="s">
        <v>187</v>
      </c>
      <c r="B12" s="29">
        <v>6.7</v>
      </c>
      <c r="C12" s="29">
        <v>9.8</v>
      </c>
      <c r="D12" s="29">
        <v>13.3</v>
      </c>
      <c r="E12" s="29">
        <v>15.6</v>
      </c>
      <c r="F12" s="29">
        <v>17.8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188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129</v>
      </c>
      <c r="B4" s="13"/>
      <c r="C4" s="13"/>
      <c r="D4" s="13"/>
      <c r="E4" s="13"/>
      <c r="F4" s="13"/>
    </row>
    <row r="5" spans="1:6" x14ac:dyDescent="0.25">
      <c r="A5" s="4" t="s">
        <v>189</v>
      </c>
      <c r="B5" s="25">
        <v>6000</v>
      </c>
      <c r="C5" s="25">
        <v>8976</v>
      </c>
      <c r="D5" s="25">
        <v>12485</v>
      </c>
      <c r="E5" s="25">
        <v>14857</v>
      </c>
      <c r="F5" s="25">
        <v>17319</v>
      </c>
    </row>
    <row r="6" spans="1:6" x14ac:dyDescent="0.25">
      <c r="A6" s="3" t="s">
        <v>190</v>
      </c>
      <c r="B6" s="30">
        <f>SUM(B5:B5)</f>
        <v>6000</v>
      </c>
      <c r="C6" s="30">
        <f>SUM(C5:C5)</f>
        <v>8976</v>
      </c>
      <c r="D6" s="30">
        <f>SUM(D5:D5)</f>
        <v>12485</v>
      </c>
      <c r="E6" s="30">
        <f>SUM(E5:E5)</f>
        <v>14857</v>
      </c>
      <c r="F6" s="30">
        <f>SUM(F5:F5)</f>
        <v>17319</v>
      </c>
    </row>
    <row r="7" ht="24" customHeight="1" spans="1:6" x14ac:dyDescent="0.25">
      <c r="A7" s="13" t="s">
        <v>131</v>
      </c>
      <c r="B7" s="13"/>
      <c r="C7" s="13"/>
      <c r="D7" s="13"/>
      <c r="E7" s="13"/>
      <c r="F7" s="13"/>
    </row>
    <row r="8" spans="1:6" x14ac:dyDescent="0.25">
      <c r="A8" s="4" t="s">
        <v>191</v>
      </c>
      <c r="B8" s="25">
        <v>3000</v>
      </c>
      <c r="C8" s="25">
        <v>3090</v>
      </c>
      <c r="D8" s="25">
        <v>3183</v>
      </c>
      <c r="E8" s="25">
        <v>3278</v>
      </c>
      <c r="F8" s="25">
        <v>3377</v>
      </c>
    </row>
    <row r="9" spans="1:6" x14ac:dyDescent="0.25">
      <c r="A9" s="3" t="s">
        <v>192</v>
      </c>
      <c r="B9" s="30">
        <f>SUM(B8:B8)</f>
        <v>3000</v>
      </c>
      <c r="C9" s="30">
        <f>SUM(C8:C8)</f>
        <v>3090</v>
      </c>
      <c r="D9" s="30">
        <f>SUM(D8:D8)</f>
        <v>3183</v>
      </c>
      <c r="E9" s="30">
        <f>SUM(E8:E8)</f>
        <v>3278</v>
      </c>
      <c r="F9" s="30">
        <f>SUM(F8:F8)</f>
        <v>3377</v>
      </c>
    </row>
    <row r="10" ht="24" customHeight="1" spans="1:6" x14ac:dyDescent="0.25">
      <c r="A10" s="13" t="s">
        <v>136</v>
      </c>
      <c r="B10" s="13"/>
      <c r="C10" s="13"/>
      <c r="D10" s="13"/>
      <c r="E10" s="13"/>
      <c r="F10" s="13"/>
    </row>
    <row r="11" spans="1:6" x14ac:dyDescent="0.25">
      <c r="A11" s="4" t="s">
        <v>193</v>
      </c>
      <c r="B11" s="25">
        <v>4200</v>
      </c>
      <c r="C11" s="25">
        <v>4326</v>
      </c>
      <c r="D11" s="25">
        <v>4456</v>
      </c>
      <c r="E11" s="25">
        <v>4589</v>
      </c>
      <c r="F11" s="25">
        <v>4727</v>
      </c>
    </row>
    <row r="12" spans="1:6" x14ac:dyDescent="0.25">
      <c r="A12" s="3" t="s">
        <v>194</v>
      </c>
      <c r="B12" s="30">
        <f>SUM(B11:B11)</f>
        <v>4200</v>
      </c>
      <c r="C12" s="30">
        <f>SUM(C11:C11)</f>
        <v>4326</v>
      </c>
      <c r="D12" s="30">
        <f>SUM(D11:D11)</f>
        <v>4456</v>
      </c>
      <c r="E12" s="30">
        <f>SUM(E11:E11)</f>
        <v>4589</v>
      </c>
      <c r="F12" s="30">
        <f>SUM(F11:F11)</f>
        <v>4727</v>
      </c>
    </row>
    <row r="13" ht="24" customHeight="1" spans="1:6" x14ac:dyDescent="0.25">
      <c r="A13" s="13" t="s">
        <v>133</v>
      </c>
      <c r="B13" s="13"/>
      <c r="C13" s="13"/>
      <c r="D13" s="13"/>
      <c r="E13" s="13"/>
      <c r="F13" s="13"/>
    </row>
    <row r="14" spans="1:6" x14ac:dyDescent="0.25">
      <c r="A14" s="4" t="s">
        <v>195</v>
      </c>
      <c r="B14" s="25">
        <v>2400</v>
      </c>
      <c r="C14" s="25">
        <v>2472</v>
      </c>
      <c r="D14" s="25">
        <v>2546</v>
      </c>
      <c r="E14" s="25">
        <v>2623</v>
      </c>
      <c r="F14" s="25">
        <v>2701</v>
      </c>
    </row>
    <row r="15" spans="1:6" x14ac:dyDescent="0.25">
      <c r="A15" s="4" t="s">
        <v>196</v>
      </c>
      <c r="B15" s="25">
        <v>2000</v>
      </c>
      <c r="C15" s="25">
        <v>2060</v>
      </c>
      <c r="D15" s="25">
        <v>2122</v>
      </c>
      <c r="E15" s="25">
        <v>2185</v>
      </c>
      <c r="F15" s="25">
        <v>2251</v>
      </c>
    </row>
    <row r="16" spans="1:6" x14ac:dyDescent="0.25">
      <c r="A16" s="3" t="s">
        <v>197</v>
      </c>
      <c r="B16" s="30">
        <f>SUM(B14:B15)</f>
        <v>4400</v>
      </c>
      <c r="C16" s="30">
        <f>SUM(C14:C15)</f>
        <v>4532</v>
      </c>
      <c r="D16" s="30">
        <f>SUM(D14:D15)</f>
        <v>4668</v>
      </c>
      <c r="E16" s="30">
        <f>SUM(E14:E15)</f>
        <v>4808</v>
      </c>
      <c r="F16" s="30">
        <f>SUM(F14:F15)</f>
        <v>4952</v>
      </c>
    </row>
    <row r="18" ht="24" customHeight="1" spans="1:6" x14ac:dyDescent="0.25">
      <c r="A18" s="13" t="s">
        <v>198</v>
      </c>
      <c r="B18" s="26">
        <f>B6+B9+B12+B16</f>
        <v>17600</v>
      </c>
      <c r="C18" s="26">
        <f>C6+C9+C12+C16</f>
        <v>20924</v>
      </c>
      <c r="D18" s="26">
        <f>D6+D9+D12+D16</f>
        <v>24791</v>
      </c>
      <c r="E18" s="26">
        <f>E6+E9+E12+E16</f>
        <v>27533</v>
      </c>
      <c r="F18" s="26">
        <f>F6+F9+F12+F16</f>
        <v>30375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1" t="s">
        <v>199</v>
      </c>
      <c r="B1" s="11"/>
      <c r="C1" s="11"/>
      <c r="D1" s="11"/>
      <c r="E1" s="11"/>
      <c r="F1" s="11"/>
    </row>
    <row r="3" ht="28" customHeight="1" spans="1:6" x14ac:dyDescent="0.25">
      <c r="A3" s="15" t="s">
        <v>139</v>
      </c>
      <c r="B3" s="15" t="s">
        <v>115</v>
      </c>
      <c r="C3" s="15" t="s">
        <v>140</v>
      </c>
      <c r="D3" s="15" t="s">
        <v>117</v>
      </c>
      <c r="E3" s="15" t="s">
        <v>141</v>
      </c>
      <c r="F3" s="15" t="s">
        <v>200</v>
      </c>
    </row>
    <row r="4" spans="1:6" x14ac:dyDescent="0.25">
      <c r="A4" s="4" t="s">
        <v>142</v>
      </c>
      <c r="B4" s="4" t="s">
        <v>201</v>
      </c>
      <c r="C4" s="17">
        <v>12000</v>
      </c>
      <c r="D4" s="24">
        <v>0</v>
      </c>
      <c r="E4" s="22">
        <v>0</v>
      </c>
      <c r="F4" s="28">
        <v>12000</v>
      </c>
    </row>
    <row r="5" spans="1:6" x14ac:dyDescent="0.25">
      <c r="A5" s="4" t="s">
        <v>144</v>
      </c>
      <c r="B5" s="4" t="s">
        <v>145</v>
      </c>
      <c r="C5" s="17">
        <v>25000</v>
      </c>
      <c r="D5" s="24">
        <v>0.06</v>
      </c>
      <c r="E5" s="22">
        <v>5</v>
      </c>
      <c r="F5" s="28">
        <v>5800</v>
      </c>
    </row>
    <row r="7" spans="1:6" x14ac:dyDescent="0.25">
      <c r="A7" s="3" t="s">
        <v>202</v>
      </c>
      <c r="F7" s="26">
        <v>5800</v>
      </c>
    </row>
    <row r="8" spans="1:6" x14ac:dyDescent="0.25">
      <c r="A8" s="3" t="s">
        <v>203</v>
      </c>
      <c r="F8" s="30">
        <v>25000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204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spans="1:6" x14ac:dyDescent="0.25">
      <c r="A4" s="3" t="s">
        <v>99</v>
      </c>
      <c r="B4" s="31">
        <v>15</v>
      </c>
      <c r="C4" s="31">
        <v>22</v>
      </c>
      <c r="D4" s="31">
        <v>30</v>
      </c>
      <c r="E4" s="31">
        <v>35</v>
      </c>
      <c r="F4" s="31">
        <v>40</v>
      </c>
    </row>
    <row r="6" ht="24" customHeight="1" spans="1:6" x14ac:dyDescent="0.25">
      <c r="A6" s="13" t="s">
        <v>205</v>
      </c>
      <c r="B6" s="13"/>
      <c r="C6" s="13"/>
      <c r="D6" s="13"/>
      <c r="E6" s="13"/>
      <c r="F6" s="13"/>
    </row>
    <row r="7" spans="1:6" x14ac:dyDescent="0.25">
      <c r="A7" s="4" t="s">
        <v>106</v>
      </c>
      <c r="B7" s="25">
        <v>127500</v>
      </c>
      <c r="C7" s="25">
        <v>192610</v>
      </c>
      <c r="D7" s="25">
        <v>270530</v>
      </c>
      <c r="E7" s="25">
        <v>325086</v>
      </c>
      <c r="F7" s="25">
        <v>382673</v>
      </c>
    </row>
    <row r="8" spans="1:6" x14ac:dyDescent="0.25">
      <c r="A8" s="4" t="s">
        <v>109</v>
      </c>
      <c r="B8" s="25">
        <v>25000</v>
      </c>
      <c r="C8" s="25">
        <v>25750</v>
      </c>
      <c r="D8" s="25">
        <v>26523</v>
      </c>
      <c r="E8" s="25">
        <v>27318</v>
      </c>
      <c r="F8" s="25">
        <v>28138</v>
      </c>
    </row>
    <row r="9" spans="1:6" x14ac:dyDescent="0.25">
      <c r="A9" s="4" t="s">
        <v>112</v>
      </c>
      <c r="B9" s="25">
        <v>15000</v>
      </c>
      <c r="C9" s="25">
        <v>15450</v>
      </c>
      <c r="D9" s="25">
        <v>15914</v>
      </c>
      <c r="E9" s="25">
        <v>16391</v>
      </c>
      <c r="F9" s="25">
        <v>16883</v>
      </c>
    </row>
    <row r="10" ht="24" customHeight="1" spans="1:6" x14ac:dyDescent="0.25">
      <c r="A10" s="13" t="s">
        <v>181</v>
      </c>
      <c r="B10" s="26">
        <f>SUM(B7:B9)</f>
        <v>167500</v>
      </c>
      <c r="C10" s="26">
        <f>SUM(C7:C9)</f>
        <v>233810</v>
      </c>
      <c r="D10" s="26">
        <f>SUM(D7:D9)</f>
        <v>312966</v>
      </c>
      <c r="E10" s="26">
        <f>SUM(E7:E9)</f>
        <v>368795</v>
      </c>
      <c r="F10" s="26">
        <f>SUM(F7:F9)</f>
        <v>427693</v>
      </c>
    </row>
    <row r="12" spans="1:6" x14ac:dyDescent="0.25">
      <c r="A12" s="4" t="s">
        <v>206</v>
      </c>
      <c r="B12" s="25">
        <v>11167</v>
      </c>
      <c r="C12" s="25">
        <v>10628</v>
      </c>
      <c r="D12" s="25">
        <v>10432</v>
      </c>
      <c r="E12" s="25">
        <v>10537</v>
      </c>
      <c r="F12" s="25">
        <v>10692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1" t="s">
        <v>207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121</v>
      </c>
      <c r="B4" s="13"/>
      <c r="C4" s="13"/>
      <c r="D4" s="13"/>
      <c r="E4" s="13"/>
      <c r="F4" s="13"/>
    </row>
    <row r="5" spans="1:6" x14ac:dyDescent="0.25">
      <c r="A5" s="4" t="s">
        <v>208</v>
      </c>
      <c r="B5" s="25">
        <v>46648</v>
      </c>
      <c r="C5" s="25">
        <v>57657</v>
      </c>
      <c r="D5" s="25">
        <v>59387</v>
      </c>
      <c r="E5" s="25">
        <v>61169</v>
      </c>
      <c r="F5" s="25">
        <v>63004</v>
      </c>
    </row>
    <row r="6" spans="1:6" x14ac:dyDescent="0.25">
      <c r="A6" s="4" t="s">
        <v>209</v>
      </c>
      <c r="B6" s="25">
        <v>18839</v>
      </c>
      <c r="C6" s="25">
        <v>23285</v>
      </c>
      <c r="D6" s="25">
        <v>23983</v>
      </c>
      <c r="E6" s="25">
        <v>24703</v>
      </c>
      <c r="F6" s="25">
        <v>25444</v>
      </c>
    </row>
    <row r="7" spans="1:6" x14ac:dyDescent="0.25">
      <c r="A7" s="3" t="s">
        <v>210</v>
      </c>
      <c r="B7" s="30">
        <f>SUM(B5:B6)</f>
        <v>65487</v>
      </c>
      <c r="C7" s="30">
        <f>SUM(C5:C6)</f>
        <v>80942</v>
      </c>
      <c r="D7" s="30">
        <f>SUM(D5:D6)</f>
        <v>83370</v>
      </c>
      <c r="E7" s="30">
        <f>SUM(E5:E6)</f>
        <v>85871</v>
      </c>
      <c r="F7" s="30">
        <f>SUM(F5:F6)</f>
        <v>88448</v>
      </c>
    </row>
    <row r="8" ht="24" customHeight="1" spans="1:6" x14ac:dyDescent="0.25">
      <c r="A8" s="13" t="s">
        <v>126</v>
      </c>
      <c r="B8" s="13"/>
      <c r="C8" s="13"/>
      <c r="D8" s="13"/>
      <c r="E8" s="13"/>
      <c r="F8" s="13"/>
    </row>
    <row r="9" spans="1:6" x14ac:dyDescent="0.25">
      <c r="A9" s="4" t="s">
        <v>211</v>
      </c>
      <c r="B9" s="25">
        <v>8074</v>
      </c>
      <c r="C9" s="25">
        <v>9979</v>
      </c>
      <c r="D9" s="25">
        <v>10279</v>
      </c>
      <c r="E9" s="25">
        <v>10587</v>
      </c>
      <c r="F9" s="25">
        <v>10904</v>
      </c>
    </row>
    <row r="10" spans="1:6" x14ac:dyDescent="0.25">
      <c r="A10" s="3" t="s">
        <v>212</v>
      </c>
      <c r="B10" s="30">
        <f>SUM(B9:B9)</f>
        <v>8074</v>
      </c>
      <c r="C10" s="30">
        <f>SUM(C9:C9)</f>
        <v>9979</v>
      </c>
      <c r="D10" s="30">
        <f>SUM(D9:D9)</f>
        <v>10279</v>
      </c>
      <c r="E10" s="30">
        <f>SUM(E9:E9)</f>
        <v>10587</v>
      </c>
      <c r="F10" s="30">
        <f>SUM(F9:F9)</f>
        <v>10904</v>
      </c>
    </row>
    <row r="12" ht="24" customHeight="1" spans="1:6" x14ac:dyDescent="0.25">
      <c r="A12" s="13" t="s">
        <v>213</v>
      </c>
      <c r="B12" s="26">
        <f>B7+B10</f>
        <v>73561</v>
      </c>
      <c r="C12" s="26">
        <f>C7+C10</f>
        <v>90921</v>
      </c>
      <c r="D12" s="26">
        <f>D7+D10</f>
        <v>93649</v>
      </c>
      <c r="E12" s="26">
        <f>E7+E10</f>
        <v>96458</v>
      </c>
      <c r="F12" s="26">
        <f>F7+F10</f>
        <v>99352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214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215</v>
      </c>
      <c r="B4" s="13"/>
      <c r="C4" s="13"/>
      <c r="D4" s="13"/>
      <c r="E4" s="13"/>
      <c r="F4" s="13"/>
    </row>
    <row r="5" spans="1:6" x14ac:dyDescent="0.25">
      <c r="A5" s="4" t="s">
        <v>216</v>
      </c>
      <c r="B5" s="25">
        <v>106250</v>
      </c>
      <c r="C5" s="25">
        <v>192610</v>
      </c>
      <c r="D5" s="25">
        <v>270530</v>
      </c>
      <c r="E5" s="25">
        <v>325086</v>
      </c>
      <c r="F5" s="25">
        <v>382673</v>
      </c>
    </row>
    <row r="6" spans="1:6" x14ac:dyDescent="0.25">
      <c r="A6" s="4" t="s">
        <v>217</v>
      </c>
      <c r="B6" s="25">
        <v>20833</v>
      </c>
      <c r="C6" s="25">
        <v>25750</v>
      </c>
      <c r="D6" s="25">
        <v>26523</v>
      </c>
      <c r="E6" s="25">
        <v>27318</v>
      </c>
      <c r="F6" s="25">
        <v>28138</v>
      </c>
    </row>
    <row r="7" spans="1:6" x14ac:dyDescent="0.25">
      <c r="A7" s="4" t="s">
        <v>218</v>
      </c>
      <c r="B7" s="25">
        <v>12500</v>
      </c>
      <c r="C7" s="25">
        <v>15450</v>
      </c>
      <c r="D7" s="25">
        <v>15914</v>
      </c>
      <c r="E7" s="25">
        <v>16391</v>
      </c>
      <c r="F7" s="25">
        <v>16883</v>
      </c>
    </row>
    <row r="8" spans="1:6" x14ac:dyDescent="0.25">
      <c r="A8" s="3" t="s">
        <v>219</v>
      </c>
      <c r="B8" s="30">
        <f>SUM(B5:B7)</f>
        <v>139583</v>
      </c>
      <c r="C8" s="30">
        <f>SUM(C5:C7)</f>
        <v>233810</v>
      </c>
      <c r="D8" s="30">
        <f>SUM(D5:D7)</f>
        <v>312966</v>
      </c>
      <c r="E8" s="30">
        <f>SUM(E5:E7)</f>
        <v>368795</v>
      </c>
      <c r="F8" s="30">
        <f>SUM(F5:F7)</f>
        <v>427693</v>
      </c>
    </row>
    <row r="10" ht="24" customHeight="1" spans="1:6" x14ac:dyDescent="0.25">
      <c r="A10" s="13" t="s">
        <v>220</v>
      </c>
      <c r="B10" s="13"/>
      <c r="C10" s="13"/>
      <c r="D10" s="13"/>
      <c r="E10" s="13"/>
      <c r="F10" s="13"/>
    </row>
    <row r="11" spans="1:6" x14ac:dyDescent="0.25">
      <c r="A11" s="4" t="s">
        <v>208</v>
      </c>
      <c r="B11" s="25">
        <v>46648</v>
      </c>
      <c r="C11" s="25">
        <v>57657</v>
      </c>
      <c r="D11" s="25">
        <v>59387</v>
      </c>
      <c r="E11" s="25">
        <v>61169</v>
      </c>
      <c r="F11" s="25">
        <v>63004</v>
      </c>
    </row>
    <row r="12" spans="1:6" x14ac:dyDescent="0.25">
      <c r="A12" s="4" t="s">
        <v>209</v>
      </c>
      <c r="B12" s="25">
        <v>18839</v>
      </c>
      <c r="C12" s="25">
        <v>23285</v>
      </c>
      <c r="D12" s="25">
        <v>23983</v>
      </c>
      <c r="E12" s="25">
        <v>24703</v>
      </c>
      <c r="F12" s="25">
        <v>25444</v>
      </c>
    </row>
    <row r="13" spans="1:6" x14ac:dyDescent="0.25">
      <c r="A13" s="4" t="s">
        <v>211</v>
      </c>
      <c r="B13" s="25">
        <v>8074</v>
      </c>
      <c r="C13" s="25">
        <v>9979</v>
      </c>
      <c r="D13" s="25">
        <v>10279</v>
      </c>
      <c r="E13" s="25">
        <v>10587</v>
      </c>
      <c r="F13" s="25">
        <v>10904</v>
      </c>
    </row>
    <row r="14" spans="1:6" x14ac:dyDescent="0.25">
      <c r="A14" s="3" t="s">
        <v>185</v>
      </c>
      <c r="B14" s="30">
        <f>SUM(B11:B13)</f>
        <v>73561</v>
      </c>
      <c r="C14" s="30">
        <f>SUM(C11:C13)</f>
        <v>90921</v>
      </c>
      <c r="D14" s="30">
        <f>SUM(D11:D13)</f>
        <v>93649</v>
      </c>
      <c r="E14" s="30">
        <f>SUM(E11:E13)</f>
        <v>96458</v>
      </c>
      <c r="F14" s="30">
        <f>SUM(F11:F13)</f>
        <v>99352</v>
      </c>
    </row>
    <row r="16" ht="24" customHeight="1" spans="1:6" x14ac:dyDescent="0.25">
      <c r="A16" s="13" t="s">
        <v>127</v>
      </c>
      <c r="B16" s="13"/>
      <c r="C16" s="13"/>
      <c r="D16" s="13"/>
      <c r="E16" s="13"/>
      <c r="F16" s="13"/>
    </row>
    <row r="17" spans="1:1" x14ac:dyDescent="0.25">
      <c r="A17" s="32" t="s">
        <v>129</v>
      </c>
    </row>
    <row r="18" spans="1:6" x14ac:dyDescent="0.25">
      <c r="A18" s="4" t="s">
        <v>221</v>
      </c>
      <c r="B18" s="25">
        <v>5000</v>
      </c>
      <c r="C18" s="25">
        <v>8976</v>
      </c>
      <c r="D18" s="25">
        <v>12485</v>
      </c>
      <c r="E18" s="25">
        <v>14857</v>
      </c>
      <c r="F18" s="25">
        <v>17319</v>
      </c>
    </row>
    <row r="19" spans="1:1" x14ac:dyDescent="0.25">
      <c r="A19" s="32" t="s">
        <v>131</v>
      </c>
    </row>
    <row r="20" spans="1:6" x14ac:dyDescent="0.25">
      <c r="A20" s="4" t="s">
        <v>222</v>
      </c>
      <c r="B20" s="25">
        <v>2500</v>
      </c>
      <c r="C20" s="25">
        <v>3090</v>
      </c>
      <c r="D20" s="25">
        <v>3183</v>
      </c>
      <c r="E20" s="25">
        <v>3278</v>
      </c>
      <c r="F20" s="25">
        <v>3377</v>
      </c>
    </row>
    <row r="21" spans="1:1" x14ac:dyDescent="0.25">
      <c r="A21" s="32" t="s">
        <v>136</v>
      </c>
    </row>
    <row r="22" spans="1:6" x14ac:dyDescent="0.25">
      <c r="A22" s="4" t="s">
        <v>223</v>
      </c>
      <c r="B22" s="25">
        <v>3500</v>
      </c>
      <c r="C22" s="25">
        <v>4326</v>
      </c>
      <c r="D22" s="25">
        <v>4456</v>
      </c>
      <c r="E22" s="25">
        <v>4589</v>
      </c>
      <c r="F22" s="25">
        <v>4727</v>
      </c>
    </row>
    <row r="23" spans="1:1" x14ac:dyDescent="0.25">
      <c r="A23" s="32" t="s">
        <v>133</v>
      </c>
    </row>
    <row r="24" spans="1:6" x14ac:dyDescent="0.25">
      <c r="A24" s="4" t="s">
        <v>224</v>
      </c>
      <c r="B24" s="25">
        <v>2000</v>
      </c>
      <c r="C24" s="25">
        <v>2472</v>
      </c>
      <c r="D24" s="25">
        <v>2546</v>
      </c>
      <c r="E24" s="25">
        <v>2623</v>
      </c>
      <c r="F24" s="25">
        <v>2701</v>
      </c>
    </row>
    <row r="25" spans="1:6" x14ac:dyDescent="0.25">
      <c r="A25" s="4" t="s">
        <v>225</v>
      </c>
      <c r="B25" s="25">
        <v>1667</v>
      </c>
      <c r="C25" s="25">
        <v>2060</v>
      </c>
      <c r="D25" s="25">
        <v>2122</v>
      </c>
      <c r="E25" s="25">
        <v>2185</v>
      </c>
      <c r="F25" s="25">
        <v>2251</v>
      </c>
    </row>
    <row r="26" spans="1:6" x14ac:dyDescent="0.25">
      <c r="A26" s="3" t="s">
        <v>226</v>
      </c>
      <c r="B26" s="30">
        <f>SUM(B24:B25)</f>
        <v>3667</v>
      </c>
      <c r="C26" s="30">
        <f>SUM(C24:C25)</f>
        <v>4532</v>
      </c>
      <c r="D26" s="30">
        <f>SUM(D24:D25)</f>
        <v>4668</v>
      </c>
      <c r="E26" s="30">
        <f>SUM(E24:E25)</f>
        <v>4808</v>
      </c>
      <c r="F26" s="30">
        <f>SUM(F24:F25)</f>
        <v>4952</v>
      </c>
    </row>
    <row r="27" spans="1:6" x14ac:dyDescent="0.25">
      <c r="A27" s="3" t="s">
        <v>227</v>
      </c>
      <c r="B27" s="30">
        <f>B18+B20+B22+B26</f>
        <v>14667</v>
      </c>
      <c r="C27" s="30">
        <f>C18+C20+C22+C26</f>
        <v>20924</v>
      </c>
      <c r="D27" s="30">
        <f>D18+D20+D22+D26</f>
        <v>24791</v>
      </c>
      <c r="E27" s="30">
        <f>E18+E20+E22+E26</f>
        <v>27533</v>
      </c>
      <c r="F27" s="30">
        <f>F18+F20+F22+F26</f>
        <v>30375</v>
      </c>
    </row>
    <row r="29" ht="24" customHeight="1" spans="1:6" x14ac:dyDescent="0.25">
      <c r="A29" s="13" t="s">
        <v>228</v>
      </c>
      <c r="B29" s="13"/>
      <c r="C29" s="13"/>
      <c r="D29" s="13"/>
      <c r="E29" s="13"/>
      <c r="F29" s="13"/>
    </row>
    <row r="30" spans="1:6" x14ac:dyDescent="0.25">
      <c r="A30" s="4" t="s">
        <v>229</v>
      </c>
      <c r="B30" s="25">
        <v>12000</v>
      </c>
      <c r="C30" s="25">
        <v>0</v>
      </c>
      <c r="D30" s="25">
        <v>0</v>
      </c>
      <c r="E30" s="25">
        <v>0</v>
      </c>
      <c r="F30" s="25">
        <v>0</v>
      </c>
    </row>
    <row r="31" spans="1:6" x14ac:dyDescent="0.25">
      <c r="A31" s="4" t="s">
        <v>230</v>
      </c>
      <c r="B31" s="25">
        <v>5800</v>
      </c>
      <c r="C31" s="25">
        <v>5800</v>
      </c>
      <c r="D31" s="25">
        <v>5800</v>
      </c>
      <c r="E31" s="25">
        <v>5800</v>
      </c>
      <c r="F31" s="25">
        <v>5800</v>
      </c>
    </row>
    <row r="32" spans="1:6" x14ac:dyDescent="0.25">
      <c r="A32" s="3" t="s">
        <v>231</v>
      </c>
      <c r="B32" s="30">
        <f>SUM(B30:B31)</f>
        <v>17800</v>
      </c>
      <c r="C32" s="30">
        <f>SUM(C30:C31)</f>
        <v>5800</v>
      </c>
      <c r="D32" s="30">
        <f>SUM(D30:D31)</f>
        <v>5800</v>
      </c>
      <c r="E32" s="30">
        <f>SUM(E30:E31)</f>
        <v>5800</v>
      </c>
      <c r="F32" s="30">
        <f>SUM(F30:F31)</f>
        <v>5800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232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spans="1:6" x14ac:dyDescent="0.25">
      <c r="A4" s="3" t="s">
        <v>219</v>
      </c>
      <c r="B4" s="28">
        <f>'Budget Detail'!B8</f>
        <v>139583</v>
      </c>
      <c r="C4" s="28">
        <f>'Budget Detail'!C8</f>
        <v>233810</v>
      </c>
      <c r="D4" s="28">
        <f>'Budget Detail'!D8</f>
        <v>312966</v>
      </c>
      <c r="E4" s="28">
        <f>'Budget Detail'!E8</f>
        <v>368795</v>
      </c>
      <c r="F4" s="28">
        <f>'Budget Detail'!F8</f>
        <v>427693</v>
      </c>
    </row>
    <row r="5" spans="1:6" x14ac:dyDescent="0.25">
      <c r="A5" s="3" t="s">
        <v>185</v>
      </c>
      <c r="B5" s="28">
        <f>'Budget Detail'!B14</f>
        <v>73561</v>
      </c>
      <c r="C5" s="28">
        <f>'Budget Detail'!C14</f>
        <v>90921</v>
      </c>
      <c r="D5" s="28">
        <f>'Budget Detail'!D14</f>
        <v>93649</v>
      </c>
      <c r="E5" s="28">
        <f>'Budget Detail'!E14</f>
        <v>96458</v>
      </c>
      <c r="F5" s="28">
        <f>'Budget Detail'!F14</f>
        <v>99352</v>
      </c>
    </row>
    <row r="6" spans="1:6" x14ac:dyDescent="0.25">
      <c r="A6" s="3" t="s">
        <v>227</v>
      </c>
      <c r="B6" s="28">
        <f>'Budget Detail'!B27</f>
        <v>14667</v>
      </c>
      <c r="C6" s="28">
        <f>'Budget Detail'!C27</f>
        <v>20924</v>
      </c>
      <c r="D6" s="28">
        <f>'Budget Detail'!D27</f>
        <v>24791</v>
      </c>
      <c r="E6" s="28">
        <f>'Budget Detail'!E27</f>
        <v>27533</v>
      </c>
      <c r="F6" s="28">
        <f>'Budget Detail'!F27</f>
        <v>30375</v>
      </c>
    </row>
    <row r="7" spans="1:6" x14ac:dyDescent="0.25">
      <c r="A7" s="3" t="s">
        <v>233</v>
      </c>
      <c r="B7" s="28">
        <f>'Budget Detail'!B32</f>
        <v>17800</v>
      </c>
      <c r="C7" s="28">
        <f>'Budget Detail'!C32</f>
        <v>5800</v>
      </c>
      <c r="D7" s="28">
        <f>'Budget Detail'!D32</f>
        <v>5800</v>
      </c>
      <c r="E7" s="28">
        <f>'Budget Detail'!E32</f>
        <v>5800</v>
      </c>
      <c r="F7" s="28">
        <f>'Budget Detail'!F32</f>
        <v>5800</v>
      </c>
    </row>
    <row r="8" spans="1:6" x14ac:dyDescent="0.25">
      <c r="A8" s="3" t="s">
        <v>234</v>
      </c>
      <c r="B8" s="30">
        <f>SUM(B5:B7)</f>
        <v>106027</v>
      </c>
      <c r="C8" s="30">
        <f>SUM(C5:C7)</f>
        <v>117645</v>
      </c>
      <c r="D8" s="30">
        <f>SUM(D5:D7)</f>
        <v>124240</v>
      </c>
      <c r="E8" s="30">
        <f>SUM(E5:E7)</f>
        <v>129791</v>
      </c>
      <c r="F8" s="30">
        <f>SUM(F5:F7)</f>
        <v>135527</v>
      </c>
    </row>
    <row r="10" ht="24" customHeight="1" spans="1:6" x14ac:dyDescent="0.25">
      <c r="A10" s="13" t="s">
        <v>235</v>
      </c>
      <c r="B10" s="13"/>
      <c r="C10" s="13"/>
      <c r="D10" s="13"/>
      <c r="E10" s="13"/>
      <c r="F10" s="13"/>
    </row>
    <row r="11" spans="1:6" x14ac:dyDescent="0.25">
      <c r="A11" s="3" t="s">
        <v>236</v>
      </c>
      <c r="B11" s="26">
        <f>B4-B8</f>
        <v>33556</v>
      </c>
      <c r="C11" s="26">
        <f>C4-C8</f>
        <v>116165</v>
      </c>
      <c r="D11" s="26">
        <f>D4-D8</f>
        <v>188726</v>
      </c>
      <c r="E11" s="26">
        <f>E4-E8</f>
        <v>239005</v>
      </c>
      <c r="F11" s="26">
        <f>F4-F8</f>
        <v>292167</v>
      </c>
    </row>
    <row r="12" spans="1:6" x14ac:dyDescent="0.25">
      <c r="A12" s="4" t="s">
        <v>237</v>
      </c>
      <c r="B12" s="24">
        <f>IF(B4=0,0,B11/B4)</f>
        <v>0.24040114</v>
      </c>
      <c r="C12" s="24">
        <f>IF(C4=0,0,C11/C4)</f>
        <v>0.49683491</v>
      </c>
      <c r="D12" s="24">
        <f>IF(D4=0,0,D11/D4)</f>
        <v>0.60302364</v>
      </c>
      <c r="E12" s="24">
        <f>IF(E4=0,0,E11/E4)</f>
        <v>0.64806858</v>
      </c>
      <c r="F12" s="24">
        <f>IF(F4=0,0,F11/F4)</f>
        <v>0.6831218</v>
      </c>
    </row>
    <row r="13" spans="1:6" x14ac:dyDescent="0.25">
      <c r="A13" s="4" t="s">
        <v>238</v>
      </c>
      <c r="B13" s="25">
        <v>33556</v>
      </c>
      <c r="C13" s="25">
        <v>149721</v>
      </c>
      <c r="D13" s="25">
        <v>338447</v>
      </c>
      <c r="E13" s="25">
        <v>577451</v>
      </c>
      <c r="F13" s="25">
        <v>869618</v>
      </c>
    </row>
    <row r="14" spans="1:6" x14ac:dyDescent="0.25">
      <c r="A14" s="4" t="s">
        <v>206</v>
      </c>
      <c r="B14" s="25">
        <v>9306</v>
      </c>
      <c r="C14" s="25">
        <v>10628</v>
      </c>
      <c r="D14" s="25">
        <v>10432</v>
      </c>
      <c r="E14" s="25">
        <v>10537</v>
      </c>
      <c r="F14" s="25">
        <v>10692</v>
      </c>
    </row>
    <row r="15" spans="1:6" x14ac:dyDescent="0.25">
      <c r="A15" s="4" t="s">
        <v>239</v>
      </c>
      <c r="B15" s="25">
        <v>7068</v>
      </c>
      <c r="C15" s="25">
        <v>5348</v>
      </c>
      <c r="D15" s="25">
        <v>4141</v>
      </c>
      <c r="E15" s="25">
        <v>3708</v>
      </c>
      <c r="F15" s="25">
        <v>3388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1" t="s">
        <v>240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8" customHeight="1" spans="1:14" x14ac:dyDescent="0.25">
      <c r="A2" s="15" t="s">
        <v>17</v>
      </c>
      <c r="B2" s="15" t="s">
        <v>241</v>
      </c>
      <c r="C2" s="15" t="s">
        <v>242</v>
      </c>
      <c r="D2" s="15" t="s">
        <v>243</v>
      </c>
      <c r="E2" s="15" t="s">
        <v>244</v>
      </c>
      <c r="F2" s="15" t="s">
        <v>245</v>
      </c>
      <c r="G2" s="15" t="s">
        <v>246</v>
      </c>
      <c r="H2" s="15" t="s">
        <v>247</v>
      </c>
      <c r="I2" s="15" t="s">
        <v>248</v>
      </c>
      <c r="J2" s="15" t="s">
        <v>249</v>
      </c>
      <c r="K2" s="15" t="s">
        <v>250</v>
      </c>
      <c r="L2" s="15" t="s">
        <v>251</v>
      </c>
      <c r="M2" s="15" t="s">
        <v>252</v>
      </c>
      <c r="N2" s="15" t="s">
        <v>253</v>
      </c>
    </row>
    <row r="3" ht="24" customHeight="1" spans="1:14" x14ac:dyDescent="0.25">
      <c r="A3" s="13" t="s">
        <v>215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3" t="s">
        <v>219</v>
      </c>
      <c r="B4" s="30">
        <v>4000</v>
      </c>
      <c r="C4" s="30">
        <v>16750</v>
      </c>
      <c r="D4" s="30">
        <v>16750</v>
      </c>
      <c r="E4" s="30">
        <v>16750</v>
      </c>
      <c r="F4" s="30">
        <v>16750</v>
      </c>
      <c r="G4" s="30">
        <v>16750</v>
      </c>
      <c r="H4" s="30">
        <v>16750</v>
      </c>
      <c r="I4" s="30">
        <v>16750</v>
      </c>
      <c r="J4" s="30">
        <v>16750</v>
      </c>
      <c r="K4" s="30">
        <v>16750</v>
      </c>
      <c r="L4" s="30">
        <v>12750</v>
      </c>
      <c r="M4" s="30">
        <v>0</v>
      </c>
      <c r="N4" s="30">
        <f>SUM(B4:M4)</f>
        <v>167500</v>
      </c>
    </row>
    <row r="6" ht="24" customHeight="1" spans="1:14" x14ac:dyDescent="0.25">
      <c r="A6" s="13" t="s">
        <v>254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4" t="s">
        <v>255</v>
      </c>
      <c r="B7" s="25">
        <v>7356</v>
      </c>
      <c r="C7" s="25">
        <v>7356</v>
      </c>
      <c r="D7" s="25">
        <v>7356</v>
      </c>
      <c r="E7" s="25">
        <v>7356</v>
      </c>
      <c r="F7" s="25">
        <v>7356</v>
      </c>
      <c r="G7" s="25">
        <v>7356</v>
      </c>
      <c r="H7" s="25">
        <v>7356</v>
      </c>
      <c r="I7" s="25">
        <v>7356</v>
      </c>
      <c r="J7" s="25">
        <v>7356</v>
      </c>
      <c r="K7" s="25">
        <v>7356</v>
      </c>
      <c r="L7" s="25">
        <v>0</v>
      </c>
      <c r="M7" s="25">
        <v>0</v>
      </c>
      <c r="N7" s="25">
        <f>SUM(B7:M7)</f>
        <v>73561</v>
      </c>
    </row>
    <row r="8" spans="1:14" x14ac:dyDescent="0.25">
      <c r="A8" s="4" t="s">
        <v>256</v>
      </c>
      <c r="B8" s="25">
        <v>1467</v>
      </c>
      <c r="C8" s="25">
        <v>1467</v>
      </c>
      <c r="D8" s="25">
        <v>1467</v>
      </c>
      <c r="E8" s="25">
        <v>1467</v>
      </c>
      <c r="F8" s="25">
        <v>1467</v>
      </c>
      <c r="G8" s="25">
        <v>1467</v>
      </c>
      <c r="H8" s="25">
        <v>1467</v>
      </c>
      <c r="I8" s="25">
        <v>1467</v>
      </c>
      <c r="J8" s="25">
        <v>1467</v>
      </c>
      <c r="K8" s="25">
        <v>1467</v>
      </c>
      <c r="L8" s="25">
        <v>0</v>
      </c>
      <c r="M8" s="25">
        <v>0</v>
      </c>
      <c r="N8" s="25">
        <f>SUM(B8:M8)</f>
        <v>14667</v>
      </c>
    </row>
    <row r="9" spans="1:14" x14ac:dyDescent="0.25">
      <c r="A9" s="4" t="s">
        <v>257</v>
      </c>
      <c r="B9" s="25">
        <v>1483</v>
      </c>
      <c r="C9" s="25">
        <v>1483</v>
      </c>
      <c r="D9" s="25">
        <v>1483</v>
      </c>
      <c r="E9" s="25">
        <v>1483</v>
      </c>
      <c r="F9" s="25">
        <v>1483</v>
      </c>
      <c r="G9" s="25">
        <v>1483</v>
      </c>
      <c r="H9" s="25">
        <v>1483</v>
      </c>
      <c r="I9" s="25">
        <v>1483</v>
      </c>
      <c r="J9" s="25">
        <v>1483</v>
      </c>
      <c r="K9" s="25">
        <v>1483</v>
      </c>
      <c r="L9" s="25">
        <v>1483</v>
      </c>
      <c r="M9" s="25">
        <v>1483</v>
      </c>
      <c r="N9" s="25">
        <f>SUM(B9:M9)</f>
        <v>17800</v>
      </c>
    </row>
    <row r="11" ht="24" customHeight="1" spans="1:14" x14ac:dyDescent="0.25">
      <c r="A11" s="13" t="s">
        <v>258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" t="s">
        <v>234</v>
      </c>
      <c r="B12" s="28">
        <f>B7+B8+B9</f>
        <v>10306</v>
      </c>
      <c r="C12" s="28">
        <f>C7+C8+C9</f>
        <v>10306</v>
      </c>
      <c r="D12" s="28">
        <f>D7+D8+D9</f>
        <v>10306</v>
      </c>
      <c r="E12" s="28">
        <f>E7+E8+E9</f>
        <v>10306</v>
      </c>
      <c r="F12" s="28">
        <f>F7+F8+F9</f>
        <v>10306</v>
      </c>
      <c r="G12" s="28">
        <f>G7+G8+G9</f>
        <v>10306</v>
      </c>
      <c r="H12" s="28">
        <f>H7+H8+H9</f>
        <v>10306</v>
      </c>
      <c r="I12" s="28">
        <f>I7+I8+I9</f>
        <v>10306</v>
      </c>
      <c r="J12" s="28">
        <f>J7+J8+J9</f>
        <v>10306</v>
      </c>
      <c r="K12" s="28">
        <f>K7+K8+K9</f>
        <v>10306</v>
      </c>
      <c r="L12" s="28">
        <f>L7+L8+L9</f>
        <v>1483</v>
      </c>
      <c r="M12" s="28">
        <f>M7+M8+M9</f>
        <v>1483</v>
      </c>
      <c r="N12" s="28">
        <f>SUM(B12:M12)</f>
        <v>106026</v>
      </c>
    </row>
    <row r="13" spans="1:14" x14ac:dyDescent="0.25">
      <c r="A13" s="3" t="s">
        <v>259</v>
      </c>
      <c r="B13" s="28">
        <f>B4-B12</f>
        <v>-6306</v>
      </c>
      <c r="C13" s="28">
        <f>C4-C12</f>
        <v>6444</v>
      </c>
      <c r="D13" s="28">
        <f>D4-D12</f>
        <v>6444</v>
      </c>
      <c r="E13" s="28">
        <f>E4-E12</f>
        <v>6444</v>
      </c>
      <c r="F13" s="28">
        <f>F4-F12</f>
        <v>6444</v>
      </c>
      <c r="G13" s="28">
        <f>G4-G12</f>
        <v>6444</v>
      </c>
      <c r="H13" s="28">
        <f>H4-H12</f>
        <v>6444</v>
      </c>
      <c r="I13" s="28">
        <f>I4-I12</f>
        <v>6444</v>
      </c>
      <c r="J13" s="28">
        <f>J4-J12</f>
        <v>6444</v>
      </c>
      <c r="K13" s="28">
        <f>K4-K12</f>
        <v>6444</v>
      </c>
      <c r="L13" s="28">
        <f>L4-L12</f>
        <v>11267</v>
      </c>
      <c r="M13" s="28">
        <f>M4-M12</f>
        <v>-1483</v>
      </c>
      <c r="N13" s="28">
        <f>SUM(B13:M13)</f>
        <v>61474</v>
      </c>
    </row>
    <row r="14" spans="1:14" x14ac:dyDescent="0.25">
      <c r="A14" s="3" t="s">
        <v>260</v>
      </c>
      <c r="B14" s="33">
        <f>B17+B13</f>
        <v>-6306</v>
      </c>
      <c r="C14" s="33">
        <f>B14+C13</f>
        <v>138</v>
      </c>
      <c r="D14" s="33">
        <f>C14+D13</f>
        <v>6582</v>
      </c>
      <c r="E14" s="33">
        <f>D14+E13</f>
        <v>13026</v>
      </c>
      <c r="F14" s="33">
        <f>E14+F13</f>
        <v>19470</v>
      </c>
      <c r="G14" s="33">
        <f>F14+G13</f>
        <v>25914</v>
      </c>
      <c r="H14" s="33">
        <f>G14+H13</f>
        <v>32358</v>
      </c>
      <c r="I14" s="33">
        <f>H14+I13</f>
        <v>38802</v>
      </c>
      <c r="J14" s="33">
        <f>I14+J13</f>
        <v>45246</v>
      </c>
      <c r="K14" s="33">
        <f>J14+K13</f>
        <v>51690</v>
      </c>
      <c r="L14" s="33">
        <f>K14+L13</f>
        <v>62957</v>
      </c>
      <c r="M14" s="33">
        <f>L14+M13</f>
        <v>61474</v>
      </c>
      <c r="N14" s="26">
        <f>M14</f>
        <v>61474</v>
      </c>
    </row>
    <row r="16" ht="24" customHeight="1" spans="1:3" x14ac:dyDescent="0.25">
      <c r="A16" s="13" t="s">
        <v>261</v>
      </c>
      <c r="B16" s="13"/>
      <c r="C16" s="13"/>
    </row>
    <row r="17" spans="1:2" x14ac:dyDescent="0.25">
      <c r="A17" s="4" t="s">
        <v>152</v>
      </c>
      <c r="B17" s="17">
        <v>0</v>
      </c>
    </row>
    <row r="18" spans="1:2" x14ac:dyDescent="0.25">
      <c r="A18" s="4" t="s">
        <v>262</v>
      </c>
      <c r="B18" s="33">
        <f>M14</f>
        <v>61474</v>
      </c>
    </row>
    <row r="19" spans="1:2" x14ac:dyDescent="0.25">
      <c r="A19" s="4" t="s">
        <v>263</v>
      </c>
      <c r="B19" s="25">
        <f>MIN(B14:M14)</f>
        <v>-6306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264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215</v>
      </c>
      <c r="B4" s="13"/>
      <c r="C4" s="13"/>
      <c r="D4" s="13"/>
      <c r="E4" s="13"/>
      <c r="F4" s="13"/>
    </row>
    <row r="5" spans="1:6" x14ac:dyDescent="0.25">
      <c r="A5" s="34" t="s">
        <v>219</v>
      </c>
      <c r="B5" s="30">
        <v>139583</v>
      </c>
      <c r="C5" s="30">
        <v>233810</v>
      </c>
      <c r="D5" s="30">
        <v>312966</v>
      </c>
      <c r="E5" s="30">
        <v>368795</v>
      </c>
      <c r="F5" s="30">
        <v>427693</v>
      </c>
    </row>
    <row r="7" ht="24" customHeight="1" spans="1:6" x14ac:dyDescent="0.25">
      <c r="A7" s="13" t="s">
        <v>254</v>
      </c>
      <c r="B7" s="13"/>
      <c r="C7" s="13"/>
      <c r="D7" s="13"/>
      <c r="E7" s="13"/>
      <c r="F7" s="13"/>
    </row>
    <row r="8" spans="1:6" x14ac:dyDescent="0.25">
      <c r="A8" s="3" t="s">
        <v>255</v>
      </c>
      <c r="B8" s="28">
        <v>73561</v>
      </c>
      <c r="C8" s="28">
        <v>90921</v>
      </c>
      <c r="D8" s="28">
        <v>93649</v>
      </c>
      <c r="E8" s="28">
        <v>96458</v>
      </c>
      <c r="F8" s="28">
        <v>99352</v>
      </c>
    </row>
    <row r="9" spans="1:6" x14ac:dyDescent="0.25">
      <c r="A9" s="3" t="s">
        <v>256</v>
      </c>
      <c r="B9" s="28">
        <v>14667</v>
      </c>
      <c r="C9" s="28">
        <v>20924</v>
      </c>
      <c r="D9" s="28">
        <v>24791</v>
      </c>
      <c r="E9" s="28">
        <v>27533</v>
      </c>
      <c r="F9" s="28">
        <v>30375</v>
      </c>
    </row>
    <row r="10" spans="1:6" x14ac:dyDescent="0.25">
      <c r="A10" s="3" t="s">
        <v>265</v>
      </c>
      <c r="B10" s="28">
        <v>17800</v>
      </c>
      <c r="C10" s="28">
        <v>5800</v>
      </c>
      <c r="D10" s="28">
        <v>5800</v>
      </c>
      <c r="E10" s="28">
        <v>5800</v>
      </c>
      <c r="F10" s="28">
        <v>5800</v>
      </c>
    </row>
    <row r="11" spans="1:6" x14ac:dyDescent="0.25">
      <c r="A11" s="34" t="s">
        <v>234</v>
      </c>
      <c r="B11" s="30">
        <f>SUM(B8:B10)</f>
        <v>106027</v>
      </c>
      <c r="C11" s="30">
        <f>SUM(C8:C10)</f>
        <v>117645</v>
      </c>
      <c r="D11" s="30">
        <f>SUM(D8:D10)</f>
        <v>124240</v>
      </c>
      <c r="E11" s="30">
        <f>SUM(E8:E10)</f>
        <v>129791</v>
      </c>
      <c r="F11" s="30">
        <f>SUM(F8:F10)</f>
        <v>135527</v>
      </c>
    </row>
    <row r="13" ht="24" customHeight="1" spans="1:6" x14ac:dyDescent="0.25">
      <c r="A13" s="13" t="s">
        <v>266</v>
      </c>
      <c r="B13" s="13"/>
      <c r="C13" s="13"/>
      <c r="D13" s="13"/>
      <c r="E13" s="13"/>
      <c r="F13" s="13"/>
    </row>
    <row r="14" spans="1:6" x14ac:dyDescent="0.25">
      <c r="A14" s="34" t="s">
        <v>236</v>
      </c>
      <c r="B14" s="26">
        <f>B5-B11</f>
        <v>33556</v>
      </c>
      <c r="C14" s="26">
        <f>C5-C11</f>
        <v>116165</v>
      </c>
      <c r="D14" s="26">
        <f>D5-D11</f>
        <v>188726</v>
      </c>
      <c r="E14" s="26">
        <f>E5-E11</f>
        <v>239005</v>
      </c>
      <c r="F14" s="26">
        <f>F5-F11</f>
        <v>292167</v>
      </c>
    </row>
    <row r="15" spans="1:6" x14ac:dyDescent="0.25">
      <c r="A15" s="4" t="s">
        <v>237</v>
      </c>
      <c r="B15" s="24">
        <f>IF(B5=0,0,B14/B5)</f>
        <v>0.24040114</v>
      </c>
      <c r="C15" s="24">
        <f>IF(C5=0,0,C14/C5)</f>
        <v>0.49683491</v>
      </c>
      <c r="D15" s="24">
        <f>IF(D5=0,0,D14/D5)</f>
        <v>0.60302364</v>
      </c>
      <c r="E15" s="24">
        <f>IF(E5=0,0,E14/E5)</f>
        <v>0.64806858</v>
      </c>
      <c r="F15" s="24">
        <f>IF(F5=0,0,F14/F5)</f>
        <v>0.6831218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50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267</v>
      </c>
      <c r="B4" s="13"/>
      <c r="C4" s="13"/>
      <c r="D4" s="13"/>
      <c r="E4" s="13"/>
      <c r="F4" s="13"/>
    </row>
    <row r="5" spans="1:5" x14ac:dyDescent="0.25">
      <c r="A5" s="35" t="s">
        <v>268</v>
      </c>
      <c r="B5" s="36" t="s">
        <v>140</v>
      </c>
      <c r="C5" s="37" t="s">
        <v>269</v>
      </c>
      <c r="D5" s="35" t="s">
        <v>270</v>
      </c>
      <c r="E5" s="36" t="s">
        <v>200</v>
      </c>
    </row>
    <row r="6" spans="1:5" x14ac:dyDescent="0.25">
      <c r="A6" s="14" t="s">
        <v>144</v>
      </c>
      <c r="B6" s="17">
        <v>25000</v>
      </c>
      <c r="C6" s="18">
        <v>0.06</v>
      </c>
      <c r="D6" s="14">
        <v>5</v>
      </c>
      <c r="E6" s="25">
        <f>IF(OR(B6=0,D6=0),0,IF(C6=0,B6/D6,-PMT(C6/12,D6*12,B6)*12))</f>
        <v>5800</v>
      </c>
    </row>
    <row r="8" ht="24" customHeight="1" spans="1:6" x14ac:dyDescent="0.25">
      <c r="A8" s="13" t="s">
        <v>271</v>
      </c>
      <c r="B8" s="13"/>
      <c r="C8" s="13"/>
      <c r="D8" s="13"/>
      <c r="E8" s="13"/>
      <c r="F8" s="13"/>
    </row>
    <row r="9" spans="1:6" x14ac:dyDescent="0.25">
      <c r="A9" s="4" t="s">
        <v>272</v>
      </c>
      <c r="B9" s="25">
        <f>B6</f>
        <v>25000</v>
      </c>
      <c r="C9" s="25">
        <f>B13</f>
        <v>20580</v>
      </c>
      <c r="D9" s="25">
        <f>C13</f>
        <v>15887</v>
      </c>
      <c r="E9" s="25">
        <f>D13</f>
        <v>10905</v>
      </c>
      <c r="F9" s="25">
        <f>E13</f>
        <v>5616</v>
      </c>
    </row>
    <row r="10" spans="1:6" x14ac:dyDescent="0.25">
      <c r="A10" s="4" t="s">
        <v>273</v>
      </c>
      <c r="B10" s="25">
        <f>IF(OR(D6=0,1&gt;D6*12),0,IF(C6=0,0,-CUMIPMT(C6/12,D6*12,B6,1,12,0)))</f>
        <v>1380</v>
      </c>
      <c r="C10" s="25">
        <f>IF(OR(D6=0,13&gt;D6*12),0,IF(C6=0,0,-CUMIPMT(C6/12,D6*12,B6,13,24,0)))</f>
        <v>1107</v>
      </c>
      <c r="D10" s="25">
        <f>IF(OR(D6=0,25&gt;D6*12),0,IF(C6=0,0,-CUMIPMT(C6/12,D6*12,B6,25,36,0)))</f>
        <v>818</v>
      </c>
      <c r="E10" s="25">
        <f>IF(OR(D6=0,37&gt;D6*12),0,IF(C6=0,0,-CUMIPMT(C6/12,D6*12,B6,37,48,0)))</f>
        <v>510</v>
      </c>
      <c r="F10" s="25">
        <f>IF(OR(D6=0,49&gt;D6*12),0,IF(C6=0,0,-CUMIPMT(C6/12,D6*12,B6,49,60,0)))</f>
        <v>184</v>
      </c>
    </row>
    <row r="11" spans="1:6" x14ac:dyDescent="0.25">
      <c r="A11" s="4" t="s">
        <v>274</v>
      </c>
      <c r="B11" s="25">
        <f>IF(OR(D6=0,1&gt;D6*12),0,IF(C6=0,B6/D6,-CUMPRINC(C6/12,D6*12,B6,1,12,0)))</f>
        <v>4420</v>
      </c>
      <c r="C11" s="25">
        <f>IF(OR(D6=0,13&gt;D6*12),0,IF(C6=0,B6/D6,-CUMPRINC(C6/12,D6*12,B6,13,24,0)))</f>
        <v>4693</v>
      </c>
      <c r="D11" s="25">
        <f>IF(OR(D6=0,25&gt;D6*12),0,IF(C6=0,B6/D6,-CUMPRINC(C6/12,D6*12,B6,25,36,0)))</f>
        <v>4982</v>
      </c>
      <c r="E11" s="25">
        <f>IF(OR(D6=0,37&gt;D6*12),0,IF(C6=0,B6/D6,-CUMPRINC(C6/12,D6*12,B6,37,48,0)))</f>
        <v>5289</v>
      </c>
      <c r="F11" s="25">
        <f>IF(OR(D6=0,49&gt;D6*12),0,IF(C6=0,B6/D6,-CUMPRINC(C6/12,D6*12,B6,49,60,0)))</f>
        <v>5616</v>
      </c>
    </row>
    <row r="12" spans="1:6" x14ac:dyDescent="0.25">
      <c r="A12" s="3" t="s">
        <v>275</v>
      </c>
      <c r="B12" s="28">
        <f>B10+B11</f>
        <v>5800</v>
      </c>
      <c r="C12" s="28">
        <f>C10+C11</f>
        <v>5800</v>
      </c>
      <c r="D12" s="28">
        <f>D10+D11</f>
        <v>5800</v>
      </c>
      <c r="E12" s="28">
        <f>E10+E11</f>
        <v>5800</v>
      </c>
      <c r="F12" s="28">
        <f>F10+F11</f>
        <v>5800</v>
      </c>
    </row>
    <row r="13" spans="1:6" x14ac:dyDescent="0.25">
      <c r="A13" s="3" t="s">
        <v>276</v>
      </c>
      <c r="B13" s="33">
        <f>MAX(0,B9-B11)</f>
        <v>20580</v>
      </c>
      <c r="C13" s="33">
        <f>MAX(0,C9-C11)</f>
        <v>15887</v>
      </c>
      <c r="D13" s="33">
        <f>MAX(0,D9-D11)</f>
        <v>10905</v>
      </c>
      <c r="E13" s="33">
        <f>MAX(0,E9-E11)</f>
        <v>5616</v>
      </c>
      <c r="F13" s="33" t="str">
        <f>MAX(0,F9-F11)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277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278</v>
      </c>
      <c r="B4" s="13"/>
      <c r="C4" s="13"/>
      <c r="D4" s="13"/>
      <c r="E4" s="13"/>
      <c r="F4" s="13"/>
    </row>
    <row r="5" spans="1:6" x14ac:dyDescent="0.25">
      <c r="A5" s="4" t="s">
        <v>279</v>
      </c>
      <c r="B5" s="38">
        <f>'Monthly Cash Flow Y1'!M14</f>
        <v>61474</v>
      </c>
      <c r="C5" s="38">
        <f>B5+'5-Year Operating Stmt'!C14</f>
        <v>177639</v>
      </c>
      <c r="D5" s="38">
        <f>B5+'5-Year Operating Stmt'!C14+'5-Year Operating Stmt'!D14</f>
        <v>366365</v>
      </c>
      <c r="E5" s="38">
        <f>B5+'5-Year Operating Stmt'!C14+'5-Year Operating Stmt'!D14+'5-Year Operating Stmt'!E14</f>
        <v>605369</v>
      </c>
      <c r="F5" s="38">
        <f>B5+'5-Year Operating Stmt'!C14+'5-Year Operating Stmt'!D14+'5-Year Operating Stmt'!E14+'5-Year Operating Stmt'!F14</f>
        <v>897536</v>
      </c>
    </row>
    <row r="6" spans="1:6" x14ac:dyDescent="0.25">
      <c r="A6" s="4" t="s">
        <v>280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</row>
    <row r="7" spans="1:6" x14ac:dyDescent="0.25">
      <c r="A7" s="4" t="s">
        <v>281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</row>
    <row r="8" spans="1:6" x14ac:dyDescent="0.25">
      <c r="A8" s="4" t="s">
        <v>282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</row>
    <row r="9" spans="1:6" x14ac:dyDescent="0.25">
      <c r="A9" s="3" t="s">
        <v>283</v>
      </c>
      <c r="B9" s="30">
        <f>SUM(B5:B8)</f>
        <v>61474</v>
      </c>
      <c r="C9" s="30">
        <f>SUM(C5:C8)</f>
        <v>177639</v>
      </c>
      <c r="D9" s="30">
        <f>SUM(D5:D8)</f>
        <v>366365</v>
      </c>
      <c r="E9" s="30">
        <f>SUM(E5:E8)</f>
        <v>605369</v>
      </c>
      <c r="F9" s="30">
        <f>SUM(F5:F8)</f>
        <v>897536</v>
      </c>
    </row>
    <row r="11" ht="24" customHeight="1" spans="1:6" x14ac:dyDescent="0.25">
      <c r="A11" s="13" t="s">
        <v>284</v>
      </c>
      <c r="B11" s="13"/>
      <c r="C11" s="13"/>
      <c r="D11" s="13"/>
      <c r="E11" s="13"/>
      <c r="F11" s="13"/>
    </row>
    <row r="12" spans="1:6" x14ac:dyDescent="0.25">
      <c r="A12" s="4" t="s">
        <v>285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</row>
    <row r="13" spans="1:6" x14ac:dyDescent="0.25">
      <c r="A13" s="4" t="s">
        <v>286</v>
      </c>
      <c r="B13" s="25">
        <f>'Debt Schedule'!B13</f>
        <v>20580</v>
      </c>
      <c r="C13" s="25">
        <f>'Debt Schedule'!C13</f>
        <v>15887</v>
      </c>
      <c r="D13" s="25">
        <f>'Debt Schedule'!D13</f>
        <v>10905</v>
      </c>
      <c r="E13" s="25">
        <f>'Debt Schedule'!E13</f>
        <v>5616</v>
      </c>
      <c r="F13" s="25" t="str">
        <f>'Debt Schedule'!F13</f>
        <v>0</v>
      </c>
    </row>
    <row r="14" spans="1:6" x14ac:dyDescent="0.25">
      <c r="A14" s="3" t="s">
        <v>287</v>
      </c>
      <c r="B14" s="30">
        <f>SUM(B12:B13)</f>
        <v>20580</v>
      </c>
      <c r="C14" s="30">
        <f>SUM(C12:C13)</f>
        <v>15887</v>
      </c>
      <c r="D14" s="30">
        <f>SUM(D12:D13)</f>
        <v>10905</v>
      </c>
      <c r="E14" s="30">
        <f>SUM(E12:E13)</f>
        <v>5616</v>
      </c>
      <c r="F14" s="30" t="str">
        <f>SUM(F12:F13)</f>
        <v>0</v>
      </c>
    </row>
    <row r="16" ht="24" customHeight="1" spans="1:6" x14ac:dyDescent="0.25">
      <c r="A16" s="13" t="s">
        <v>288</v>
      </c>
      <c r="B16" s="13"/>
      <c r="C16" s="13"/>
      <c r="D16" s="13"/>
      <c r="E16" s="13"/>
      <c r="F16" s="13"/>
    </row>
    <row r="17" spans="1:6" x14ac:dyDescent="0.25">
      <c r="A17" s="3" t="s">
        <v>289</v>
      </c>
      <c r="B17" s="26">
        <f>B9-B14</f>
        <v>40894</v>
      </c>
      <c r="C17" s="26">
        <f>C9-C14</f>
        <v>161752</v>
      </c>
      <c r="D17" s="26">
        <f>D9-D14</f>
        <v>355459</v>
      </c>
      <c r="E17" s="26">
        <f>E9-E14</f>
        <v>599754</v>
      </c>
      <c r="F17" s="26">
        <f>F9-F14</f>
        <v>897536</v>
      </c>
    </row>
    <row r="19" spans="1:6" x14ac:dyDescent="0.25">
      <c r="A19" s="3" t="s">
        <v>290</v>
      </c>
      <c r="B19" s="39" t="str">
        <f>B9-B14-B17</f>
        <v>0</v>
      </c>
      <c r="C19" s="39" t="str">
        <f>C9-C14-C17</f>
        <v>0</v>
      </c>
      <c r="D19" s="40">
        <f>D9-D14-D17</f>
        <v>1</v>
      </c>
      <c r="E19" s="40">
        <f>E9-E14-E17</f>
        <v>-1</v>
      </c>
      <c r="F19" s="39" t="str">
        <f>F9-F14-F17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291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292</v>
      </c>
      <c r="B4" s="13"/>
      <c r="C4" s="13"/>
      <c r="D4" s="13"/>
      <c r="E4" s="13"/>
      <c r="F4" s="13"/>
    </row>
    <row r="5" spans="1:6" x14ac:dyDescent="0.25">
      <c r="A5" s="4" t="s">
        <v>293</v>
      </c>
      <c r="B5" s="25">
        <v>139583</v>
      </c>
      <c r="C5" s="25">
        <v>233810</v>
      </c>
      <c r="D5" s="25">
        <v>312966</v>
      </c>
      <c r="E5" s="25">
        <v>368795</v>
      </c>
      <c r="F5" s="25">
        <v>427693</v>
      </c>
    </row>
    <row r="6" spans="1:6" x14ac:dyDescent="0.25">
      <c r="A6" s="4" t="s">
        <v>255</v>
      </c>
      <c r="B6" s="25">
        <v>73561</v>
      </c>
      <c r="C6" s="25">
        <v>90921</v>
      </c>
      <c r="D6" s="25">
        <v>93649</v>
      </c>
      <c r="E6" s="25">
        <v>96458</v>
      </c>
      <c r="F6" s="25">
        <v>99352</v>
      </c>
    </row>
    <row r="7" spans="1:6" x14ac:dyDescent="0.25">
      <c r="A7" s="4" t="s">
        <v>256</v>
      </c>
      <c r="B7" s="25">
        <v>14667</v>
      </c>
      <c r="C7" s="25">
        <v>20924</v>
      </c>
      <c r="D7" s="25">
        <v>24791</v>
      </c>
      <c r="E7" s="25">
        <v>27533</v>
      </c>
      <c r="F7" s="25">
        <v>30375</v>
      </c>
    </row>
    <row r="8" spans="1:6" x14ac:dyDescent="0.25">
      <c r="A8" s="3" t="s">
        <v>294</v>
      </c>
      <c r="B8" s="28">
        <f>B5-B6-B7</f>
        <v>51356</v>
      </c>
      <c r="C8" s="28">
        <f>C5-C6-C7</f>
        <v>121965</v>
      </c>
      <c r="D8" s="28">
        <f>D5-D6-D7</f>
        <v>194525</v>
      </c>
      <c r="E8" s="28">
        <f>E5-E6-E7</f>
        <v>244805</v>
      </c>
      <c r="F8" s="28">
        <f>F5-F6-F7</f>
        <v>297966</v>
      </c>
    </row>
    <row r="9" spans="1:6" x14ac:dyDescent="0.25">
      <c r="A9" s="4" t="s">
        <v>257</v>
      </c>
      <c r="B9" s="25">
        <v>5800</v>
      </c>
      <c r="C9" s="25">
        <v>5800</v>
      </c>
      <c r="D9" s="25">
        <v>5800</v>
      </c>
      <c r="E9" s="25">
        <v>5800</v>
      </c>
      <c r="F9" s="25">
        <v>5800</v>
      </c>
    </row>
    <row r="10" spans="1:6" x14ac:dyDescent="0.25">
      <c r="A10" s="3" t="s">
        <v>295</v>
      </c>
      <c r="B10" s="41">
        <f>IF(B9=0,"N/A",B8/B9)</f>
        <v>8.85</v>
      </c>
      <c r="C10" s="41">
        <f>IF(C9=0,"N/A",C8/C9)</f>
        <v>21.03</v>
      </c>
      <c r="D10" s="41">
        <f>IF(D9=0,"N/A",D8/D9)</f>
        <v>33.54</v>
      </c>
      <c r="E10" s="41">
        <f>IF(E9=0,"N/A",E8/E9)</f>
        <v>42.21</v>
      </c>
      <c r="F10" s="41">
        <f>IF(F9=0,"N/A",F8/F9)</f>
        <v>51.37</v>
      </c>
    </row>
    <row r="12" ht="24" customHeight="1" spans="1:6" x14ac:dyDescent="0.25">
      <c r="A12" s="13" t="s">
        <v>296</v>
      </c>
      <c r="B12" s="13"/>
      <c r="C12" s="13"/>
      <c r="D12" s="13"/>
      <c r="E12" s="13"/>
      <c r="F12" s="13"/>
    </row>
    <row r="13" spans="1:6" x14ac:dyDescent="0.25">
      <c r="A13" s="4" t="s">
        <v>297</v>
      </c>
      <c r="B13" s="25">
        <v>61474</v>
      </c>
      <c r="C13" s="25">
        <v>177639</v>
      </c>
      <c r="D13" s="25">
        <v>366365</v>
      </c>
      <c r="E13" s="25">
        <v>605369</v>
      </c>
      <c r="F13" s="25">
        <v>897536</v>
      </c>
    </row>
    <row r="14" spans="1:6" x14ac:dyDescent="0.25">
      <c r="A14" s="4" t="s">
        <v>298</v>
      </c>
      <c r="B14" s="22">
        <f>IF((B6+B7+B9)=0,0,(B13/(B6+B7+B9))*365)</f>
        <v>239</v>
      </c>
      <c r="C14" s="22">
        <f>IF((C6+C7+C9)=0,0,(C13/(C6+C7+C9))*365)</f>
        <v>551</v>
      </c>
      <c r="D14" s="22">
        <f>IF((D6+D7+D9)=0,0,(D13/(D6+D7+D9))*365)</f>
        <v>1076</v>
      </c>
      <c r="E14" s="22">
        <f>IF((E6+E7+E9)=0,0,(E13/(E6+E7+E9))*365)</f>
        <v>1702</v>
      </c>
      <c r="F14" s="22">
        <f>IF((F6+F7+F9)=0,0,(F13/(F6+F7+F9))*365)</f>
        <v>2417</v>
      </c>
    </row>
    <row r="15" spans="1:6" x14ac:dyDescent="0.25">
      <c r="A15" s="4" t="s">
        <v>299</v>
      </c>
      <c r="B15" s="29">
        <f>IF((B6+B7+B9)=0,0,B13/((B6+B7+B9)/12))</f>
        <v>7.8</v>
      </c>
      <c r="C15" s="29">
        <f>IF((C6+C7+C9)=0,0,C13/((C6+C7+C9)/12))</f>
        <v>18.1</v>
      </c>
      <c r="D15" s="29">
        <f>IF((D6+D7+D9)=0,0,D13/((D6+D7+D9)/12))</f>
        <v>35.4</v>
      </c>
      <c r="E15" s="29">
        <f>IF((E6+E7+E9)=0,0,E13/((E6+E7+E9)/12))</f>
        <v>56</v>
      </c>
      <c r="F15" s="29">
        <f>IF((F6+F7+F9)=0,0,F13/((F6+F7+F9)/12))</f>
        <v>79.5</v>
      </c>
    </row>
    <row r="16" spans="1:6" x14ac:dyDescent="0.25">
      <c r="A16" s="4" t="s">
        <v>173</v>
      </c>
      <c r="B16" s="24">
        <v>0.375</v>
      </c>
      <c r="C16" s="24">
        <v>0.55</v>
      </c>
      <c r="D16" s="24">
        <v>0.75</v>
      </c>
      <c r="E16" s="24">
        <v>0.875</v>
      </c>
      <c r="F16" s="24">
        <v>1</v>
      </c>
    </row>
    <row r="18" ht="24" customHeight="1" spans="1:6" x14ac:dyDescent="0.25">
      <c r="A18" s="13" t="s">
        <v>300</v>
      </c>
      <c r="B18" s="13"/>
      <c r="C18" s="13"/>
      <c r="D18" s="13"/>
      <c r="E18" s="13"/>
      <c r="F18" s="13"/>
    </row>
    <row r="19" spans="1:6" x14ac:dyDescent="0.25">
      <c r="A19" s="4" t="s">
        <v>206</v>
      </c>
      <c r="B19" s="25">
        <v>9306</v>
      </c>
      <c r="C19" s="25">
        <v>10628</v>
      </c>
      <c r="D19" s="25">
        <v>10432</v>
      </c>
      <c r="E19" s="25">
        <v>10537</v>
      </c>
      <c r="F19" s="25">
        <v>10692</v>
      </c>
    </row>
    <row r="20" spans="1:6" x14ac:dyDescent="0.25">
      <c r="A20" s="4" t="s">
        <v>301</v>
      </c>
      <c r="B20" s="25">
        <v>79361</v>
      </c>
      <c r="C20" s="25">
        <v>96721</v>
      </c>
      <c r="D20" s="25">
        <v>99449</v>
      </c>
      <c r="E20" s="25">
        <v>102258</v>
      </c>
      <c r="F20" s="25">
        <v>105152</v>
      </c>
    </row>
    <row r="21" spans="1:6" x14ac:dyDescent="0.25">
      <c r="A21" s="4" t="s">
        <v>302</v>
      </c>
      <c r="B21" s="25">
        <v>978</v>
      </c>
      <c r="C21" s="25">
        <v>951</v>
      </c>
      <c r="D21" s="25">
        <v>826</v>
      </c>
      <c r="E21" s="25">
        <v>787</v>
      </c>
      <c r="F21" s="25">
        <v>759</v>
      </c>
    </row>
    <row r="22" spans="1:6" x14ac:dyDescent="0.25">
      <c r="A22" s="3" t="s">
        <v>303</v>
      </c>
      <c r="B22" s="42">
        <v>10</v>
      </c>
      <c r="C22" s="42">
        <v>10</v>
      </c>
      <c r="D22" s="42">
        <v>11</v>
      </c>
      <c r="E22" s="42">
        <v>11</v>
      </c>
      <c r="F22" s="42">
        <v>11</v>
      </c>
    </row>
    <row r="24" ht="24" customHeight="1" spans="1:6" x14ac:dyDescent="0.25">
      <c r="A24" s="13" t="s">
        <v>304</v>
      </c>
      <c r="B24" s="13"/>
      <c r="C24" s="13"/>
      <c r="D24" s="13"/>
      <c r="E24" s="13"/>
      <c r="F24" s="13"/>
    </row>
    <row r="25" spans="1:6" x14ac:dyDescent="0.25">
      <c r="A25" s="4" t="s">
        <v>305</v>
      </c>
      <c r="B25" s="43" t="s">
        <v>306</v>
      </c>
      <c r="C25" s="43" t="s">
        <v>306</v>
      </c>
      <c r="D25" s="43" t="s">
        <v>306</v>
      </c>
      <c r="E25" s="43" t="s">
        <v>306</v>
      </c>
      <c r="F25" s="43" t="s">
        <v>306</v>
      </c>
    </row>
    <row r="26" spans="1:6" x14ac:dyDescent="0.25">
      <c r="A26" s="4" t="s">
        <v>307</v>
      </c>
      <c r="B26" s="43" t="s">
        <v>306</v>
      </c>
      <c r="C26" s="43" t="s">
        <v>306</v>
      </c>
      <c r="D26" s="43" t="s">
        <v>306</v>
      </c>
      <c r="E26" s="43" t="s">
        <v>306</v>
      </c>
      <c r="F26" s="43" t="s">
        <v>306</v>
      </c>
    </row>
    <row r="27" spans="1:6" x14ac:dyDescent="0.25">
      <c r="A27" s="4" t="s">
        <v>308</v>
      </c>
      <c r="B27" s="44" t="s">
        <v>309</v>
      </c>
      <c r="C27" s="43" t="s">
        <v>306</v>
      </c>
      <c r="D27" s="43" t="s">
        <v>306</v>
      </c>
      <c r="E27" s="43" t="s">
        <v>306</v>
      </c>
      <c r="F27" s="43" t="s">
        <v>306</v>
      </c>
    </row>
    <row r="28" spans="1:6" x14ac:dyDescent="0.25">
      <c r="A28" s="4" t="s">
        <v>310</v>
      </c>
      <c r="B28" s="43" t="s">
        <v>306</v>
      </c>
      <c r="C28" s="43" t="s">
        <v>306</v>
      </c>
      <c r="D28" s="43" t="s">
        <v>306</v>
      </c>
      <c r="E28" s="43" t="s">
        <v>306</v>
      </c>
      <c r="F28" s="43" t="s">
        <v>306</v>
      </c>
    </row>
    <row r="29" spans="1:6" x14ac:dyDescent="0.25">
      <c r="A29" s="4" t="s">
        <v>311</v>
      </c>
      <c r="B29" s="43" t="s">
        <v>306</v>
      </c>
      <c r="C29" s="43" t="s">
        <v>306</v>
      </c>
      <c r="D29" s="43" t="s">
        <v>306</v>
      </c>
      <c r="E29" s="43" t="s">
        <v>306</v>
      </c>
      <c r="F29" s="43" t="s">
        <v>306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1" t="s">
        <v>56</v>
      </c>
      <c r="B1" s="11"/>
      <c r="C1" s="11"/>
      <c r="D1" s="11"/>
      <c r="E1" s="11"/>
    </row>
    <row r="3" spans="1:5" x14ac:dyDescent="0.25">
      <c r="A3" s="45" t="s">
        <v>312</v>
      </c>
      <c r="B3" s="45" t="s">
        <v>104</v>
      </c>
      <c r="D3" s="45" t="s">
        <v>313</v>
      </c>
      <c r="E3" s="45" t="s">
        <v>104</v>
      </c>
    </row>
    <row r="4" spans="1:5" x14ac:dyDescent="0.25">
      <c r="A4" s="4" t="s">
        <v>144</v>
      </c>
      <c r="B4" s="25">
        <v>25000</v>
      </c>
      <c r="D4" s="4" t="s">
        <v>314</v>
      </c>
      <c r="E4" s="25">
        <v>25000</v>
      </c>
    </row>
    <row r="6" spans="1:5" x14ac:dyDescent="0.25">
      <c r="A6" s="3" t="s">
        <v>315</v>
      </c>
      <c r="B6" s="26">
        <v>25000</v>
      </c>
      <c r="D6" s="3" t="s">
        <v>316</v>
      </c>
      <c r="E6" s="26">
        <v>25000</v>
      </c>
    </row>
    <row r="7" spans="1:2" x14ac:dyDescent="0.25">
      <c r="A7" s="3" t="s">
        <v>317</v>
      </c>
      <c r="B7" s="39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318</v>
      </c>
      <c r="B1" s="11"/>
      <c r="C1" s="11"/>
      <c r="D1" s="11"/>
      <c r="E1" s="11"/>
      <c r="F1" s="11"/>
    </row>
    <row r="3" ht="24" customHeight="1" spans="1:6" x14ac:dyDescent="0.25">
      <c r="A3" s="13" t="s">
        <v>319</v>
      </c>
      <c r="B3" s="13"/>
      <c r="C3" s="13"/>
      <c r="D3" s="13"/>
      <c r="E3" s="13"/>
      <c r="F3" s="13"/>
    </row>
    <row r="4" spans="1:1" x14ac:dyDescent="0.25">
      <c r="A4" s="12" t="s">
        <v>320</v>
      </c>
    </row>
    <row r="5" ht="28" customHeight="1" spans="1:6" x14ac:dyDescent="0.25">
      <c r="A5" s="15" t="s">
        <v>17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</row>
    <row r="6" spans="1:6" x14ac:dyDescent="0.25">
      <c r="A6" s="4" t="s">
        <v>293</v>
      </c>
      <c r="B6" s="25">
        <v>111667</v>
      </c>
      <c r="C6" s="25">
        <v>187048</v>
      </c>
      <c r="D6" s="25">
        <v>250372</v>
      </c>
      <c r="E6" s="25">
        <v>295036</v>
      </c>
      <c r="F6" s="25">
        <v>342155</v>
      </c>
    </row>
    <row r="7" spans="1:6" x14ac:dyDescent="0.25">
      <c r="A7" s="4" t="s">
        <v>234</v>
      </c>
      <c r="B7" s="25">
        <v>94027</v>
      </c>
      <c r="C7" s="25">
        <v>117645</v>
      </c>
      <c r="D7" s="25">
        <v>124240</v>
      </c>
      <c r="E7" s="25">
        <v>129791</v>
      </c>
      <c r="F7" s="25">
        <v>135527</v>
      </c>
    </row>
    <row r="8" spans="1:6" x14ac:dyDescent="0.25">
      <c r="A8" s="3" t="s">
        <v>236</v>
      </c>
      <c r="B8" s="26">
        <v>17639</v>
      </c>
      <c r="C8" s="26">
        <v>69403</v>
      </c>
      <c r="D8" s="26">
        <v>126132</v>
      </c>
      <c r="E8" s="26">
        <v>165246</v>
      </c>
      <c r="F8" s="26">
        <v>206628</v>
      </c>
    </row>
    <row r="9" spans="1:6" x14ac:dyDescent="0.25">
      <c r="A9" s="4" t="s">
        <v>237</v>
      </c>
      <c r="B9" s="24">
        <v>0.15796411529407337</v>
      </c>
      <c r="C9" s="24">
        <v>0.3710436334051769</v>
      </c>
      <c r="D9" s="24">
        <v>0.5037795453539269</v>
      </c>
      <c r="E9" s="24">
        <v>0.5600857232517786</v>
      </c>
      <c r="F9" s="24">
        <v>0.6039022552691944</v>
      </c>
    </row>
    <row r="10" spans="1:6" x14ac:dyDescent="0.25">
      <c r="A10" s="4" t="s">
        <v>295</v>
      </c>
      <c r="B10" s="46">
        <v>4.04</v>
      </c>
      <c r="C10" s="46">
        <v>12.97</v>
      </c>
      <c r="D10" s="46">
        <v>22.75</v>
      </c>
      <c r="E10" s="46">
        <v>29.49</v>
      </c>
      <c r="F10" s="46">
        <v>36.63</v>
      </c>
    </row>
    <row r="11" spans="1:6" x14ac:dyDescent="0.25">
      <c r="A11" s="4" t="s">
        <v>303</v>
      </c>
      <c r="B11" s="22">
        <v>10</v>
      </c>
      <c r="C11" s="22">
        <v>11</v>
      </c>
      <c r="D11" s="22">
        <v>11</v>
      </c>
      <c r="E11" s="22">
        <v>11</v>
      </c>
      <c r="F11" s="22">
        <v>11</v>
      </c>
    </row>
    <row r="13" ht="24" customHeight="1" spans="1:6" x14ac:dyDescent="0.25">
      <c r="A13" s="13" t="s">
        <v>321</v>
      </c>
      <c r="B13" s="13"/>
      <c r="C13" s="13"/>
      <c r="D13" s="13"/>
      <c r="E13" s="13"/>
      <c r="F13" s="13"/>
    </row>
    <row r="14" spans="1:1" x14ac:dyDescent="0.25">
      <c r="A14" s="12" t="s">
        <v>322</v>
      </c>
    </row>
    <row r="15" ht="28" customHeight="1" spans="1:6" x14ac:dyDescent="0.25">
      <c r="A15" s="15" t="s">
        <v>17</v>
      </c>
      <c r="B15" s="15" t="s">
        <v>94</v>
      </c>
      <c r="C15" s="15" t="s">
        <v>95</v>
      </c>
      <c r="D15" s="15" t="s">
        <v>96</v>
      </c>
      <c r="E15" s="15" t="s">
        <v>97</v>
      </c>
      <c r="F15" s="15" t="s">
        <v>98</v>
      </c>
    </row>
    <row r="16" spans="1:6" x14ac:dyDescent="0.25">
      <c r="A16" s="4" t="s">
        <v>293</v>
      </c>
      <c r="B16" s="25">
        <v>161219</v>
      </c>
      <c r="C16" s="25">
        <v>270051</v>
      </c>
      <c r="D16" s="25">
        <v>361475</v>
      </c>
      <c r="E16" s="25">
        <v>425959</v>
      </c>
      <c r="F16" s="25">
        <v>493986</v>
      </c>
    </row>
    <row r="17" spans="1:6" x14ac:dyDescent="0.25">
      <c r="A17" s="4" t="s">
        <v>234</v>
      </c>
      <c r="B17" s="25">
        <v>94027</v>
      </c>
      <c r="C17" s="25">
        <v>117645</v>
      </c>
      <c r="D17" s="25">
        <v>124240</v>
      </c>
      <c r="E17" s="25">
        <v>129791</v>
      </c>
      <c r="F17" s="25">
        <v>135527</v>
      </c>
    </row>
    <row r="18" spans="1:6" x14ac:dyDescent="0.25">
      <c r="A18" s="3" t="s">
        <v>236</v>
      </c>
      <c r="B18" s="26">
        <v>67191</v>
      </c>
      <c r="C18" s="26">
        <v>152406</v>
      </c>
      <c r="D18" s="26">
        <v>237235</v>
      </c>
      <c r="E18" s="26">
        <v>296168</v>
      </c>
      <c r="F18" s="26">
        <v>358459</v>
      </c>
    </row>
    <row r="19" spans="1:6" x14ac:dyDescent="0.25">
      <c r="A19" s="4" t="s">
        <v>237</v>
      </c>
      <c r="B19" s="24">
        <v>0.41677168158896855</v>
      </c>
      <c r="C19" s="24">
        <v>0.5643592266009884</v>
      </c>
      <c r="D19" s="24">
        <v>0.6562975205914646</v>
      </c>
      <c r="E19" s="24">
        <v>0.6952974706505827</v>
      </c>
      <c r="F19" s="24">
        <v>0.7256465837362386</v>
      </c>
    </row>
    <row r="20" spans="1:6" x14ac:dyDescent="0.25">
      <c r="A20" s="4" t="s">
        <v>295</v>
      </c>
      <c r="B20" s="46">
        <v>12.59</v>
      </c>
      <c r="C20" s="46">
        <v>27.28</v>
      </c>
      <c r="D20" s="46">
        <v>41.9</v>
      </c>
      <c r="E20" s="46">
        <v>52.06</v>
      </c>
      <c r="F20" s="46">
        <v>62.8</v>
      </c>
    </row>
    <row r="21" spans="1:6" x14ac:dyDescent="0.25">
      <c r="A21" s="4" t="s">
        <v>303</v>
      </c>
      <c r="B21" s="22">
        <v>10</v>
      </c>
      <c r="C21" s="22">
        <v>10</v>
      </c>
      <c r="D21" s="22">
        <v>10</v>
      </c>
      <c r="E21" s="22">
        <v>11</v>
      </c>
      <c r="F21" s="22">
        <v>10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1" t="s">
        <v>323</v>
      </c>
      <c r="B1" s="11"/>
      <c r="C1" s="11"/>
      <c r="D1" s="11"/>
      <c r="E1" s="11"/>
      <c r="F1" s="11"/>
      <c r="G1" s="11"/>
      <c r="H1" s="11"/>
    </row>
    <row r="3" ht="24" customHeight="1" spans="1:2" x14ac:dyDescent="0.25">
      <c r="A3" s="13" t="s">
        <v>89</v>
      </c>
      <c r="B3" s="13"/>
    </row>
    <row r="4" spans="1:2" x14ac:dyDescent="0.25">
      <c r="A4" s="4" t="s">
        <v>2</v>
      </c>
      <c r="B4" s="4" t="s">
        <v>3</v>
      </c>
    </row>
    <row r="5" spans="1:2" x14ac:dyDescent="0.25">
      <c r="A5" s="4" t="s">
        <v>115</v>
      </c>
      <c r="B5" s="4" t="s">
        <v>5</v>
      </c>
    </row>
    <row r="6" spans="1:2" x14ac:dyDescent="0.25">
      <c r="A6" s="4" t="s">
        <v>324</v>
      </c>
      <c r="B6" s="4" t="s">
        <v>7</v>
      </c>
    </row>
    <row r="7" spans="1:2" x14ac:dyDescent="0.25">
      <c r="A7" s="4" t="s">
        <v>14</v>
      </c>
      <c r="B7" s="4" t="s">
        <v>15</v>
      </c>
    </row>
    <row r="8" spans="1:2" x14ac:dyDescent="0.25">
      <c r="A8" s="4" t="s">
        <v>8</v>
      </c>
      <c r="B8" s="4" t="s">
        <v>9</v>
      </c>
    </row>
    <row r="9" spans="1:2" x14ac:dyDescent="0.25">
      <c r="A9" s="4" t="s">
        <v>325</v>
      </c>
      <c r="B9" s="4" t="s">
        <v>17</v>
      </c>
    </row>
    <row r="11" ht="24" customHeight="1" spans="1:8" x14ac:dyDescent="0.25">
      <c r="A11" s="13" t="s">
        <v>326</v>
      </c>
      <c r="B11" s="13"/>
      <c r="C11" s="13"/>
      <c r="D11" s="13"/>
      <c r="E11" s="13"/>
      <c r="F11" s="13"/>
      <c r="G11" s="13"/>
      <c r="H11" s="13"/>
    </row>
    <row r="12" spans="1:8" x14ac:dyDescent="0.25">
      <c r="A12" t="s">
        <v>17</v>
      </c>
      <c r="B12" t="s">
        <v>17</v>
      </c>
      <c r="C12" t="s">
        <v>17</v>
      </c>
      <c r="D12" s="47" t="s">
        <v>94</v>
      </c>
      <c r="E12" s="47" t="s">
        <v>95</v>
      </c>
      <c r="F12" s="47" t="s">
        <v>96</v>
      </c>
      <c r="G12" s="47" t="s">
        <v>97</v>
      </c>
      <c r="H12" s="47" t="s">
        <v>98</v>
      </c>
    </row>
    <row r="13" spans="1:8" x14ac:dyDescent="0.25">
      <c r="A13" s="4" t="s">
        <v>293</v>
      </c>
      <c r="D13" s="25">
        <v>139583</v>
      </c>
      <c r="E13" s="25">
        <v>233810</v>
      </c>
      <c r="F13" s="25">
        <v>312966</v>
      </c>
      <c r="G13" s="25">
        <v>368795</v>
      </c>
      <c r="H13" s="25">
        <v>427693</v>
      </c>
    </row>
    <row r="14" spans="1:8" x14ac:dyDescent="0.25">
      <c r="A14" s="4" t="s">
        <v>234</v>
      </c>
      <c r="D14" s="25">
        <v>94027</v>
      </c>
      <c r="E14" s="25">
        <v>117645</v>
      </c>
      <c r="F14" s="25">
        <v>124240</v>
      </c>
      <c r="G14" s="25">
        <v>129791</v>
      </c>
      <c r="H14" s="25">
        <v>135527</v>
      </c>
    </row>
    <row r="15" spans="1:8" x14ac:dyDescent="0.25">
      <c r="A15" s="4" t="s">
        <v>236</v>
      </c>
      <c r="D15" s="25">
        <v>33556</v>
      </c>
      <c r="E15" s="25">
        <v>116165</v>
      </c>
      <c r="F15" s="25">
        <v>188726</v>
      </c>
      <c r="G15" s="25">
        <v>239005</v>
      </c>
      <c r="H15" s="25">
        <v>292167</v>
      </c>
    </row>
    <row r="16" spans="1:8" x14ac:dyDescent="0.25">
      <c r="A16" s="4" t="s">
        <v>327</v>
      </c>
      <c r="D16" s="25">
        <v>61474</v>
      </c>
      <c r="E16" s="25">
        <v>177639</v>
      </c>
      <c r="F16" s="25">
        <v>366365</v>
      </c>
      <c r="G16" s="25">
        <v>605369</v>
      </c>
      <c r="H16" s="25">
        <v>897536</v>
      </c>
    </row>
    <row r="17" spans="1:8" x14ac:dyDescent="0.25">
      <c r="A17" s="4" t="s">
        <v>328</v>
      </c>
      <c r="D17" s="25">
        <v>20580</v>
      </c>
      <c r="E17" s="25">
        <v>15887</v>
      </c>
      <c r="F17" s="25">
        <v>10905</v>
      </c>
      <c r="G17" s="25">
        <v>5616</v>
      </c>
      <c r="H17" s="25">
        <v>0</v>
      </c>
    </row>
    <row r="19" ht="24" customHeight="1" spans="1:8" x14ac:dyDescent="0.25">
      <c r="A19" s="13" t="s">
        <v>329</v>
      </c>
      <c r="B19" s="13"/>
      <c r="C19" s="13"/>
      <c r="D19" s="13"/>
      <c r="E19" s="13"/>
      <c r="F19" s="13"/>
      <c r="G19" s="13"/>
      <c r="H19" s="13"/>
    </row>
    <row r="20" spans="1:8" x14ac:dyDescent="0.25">
      <c r="A20" t="s">
        <v>17</v>
      </c>
      <c r="B20" t="s">
        <v>17</v>
      </c>
      <c r="C20" t="s">
        <v>17</v>
      </c>
      <c r="D20" s="47" t="s">
        <v>94</v>
      </c>
      <c r="E20" s="47" t="s">
        <v>95</v>
      </c>
      <c r="F20" s="47" t="s">
        <v>96</v>
      </c>
      <c r="G20" s="47" t="s">
        <v>97</v>
      </c>
      <c r="H20" s="47" t="s">
        <v>98</v>
      </c>
    </row>
    <row r="21" spans="1:8" x14ac:dyDescent="0.25">
      <c r="A21" s="4" t="s">
        <v>330</v>
      </c>
      <c r="D21" s="24">
        <v>0.2404011429815273</v>
      </c>
      <c r="E21" s="24">
        <v>0.4968349067241415</v>
      </c>
      <c r="F21" s="24">
        <v>0.6030236362831415</v>
      </c>
      <c r="G21" s="24">
        <v>0.648068578601423</v>
      </c>
      <c r="H21" s="24">
        <v>0.6831218042153556</v>
      </c>
    </row>
    <row r="22" spans="1:8" x14ac:dyDescent="0.25">
      <c r="A22" s="4" t="s">
        <v>295</v>
      </c>
      <c r="D22" s="46">
        <v>8.85</v>
      </c>
      <c r="E22" s="46">
        <v>21.03</v>
      </c>
      <c r="F22" s="46">
        <v>33.54</v>
      </c>
      <c r="G22" s="46">
        <v>42.21</v>
      </c>
      <c r="H22" s="46">
        <v>51.37</v>
      </c>
    </row>
    <row r="23" spans="1:8" x14ac:dyDescent="0.25">
      <c r="A23" s="4" t="s">
        <v>173</v>
      </c>
      <c r="D23" s="24">
        <v>0.375</v>
      </c>
      <c r="E23" s="24">
        <v>0.55</v>
      </c>
      <c r="F23" s="24">
        <v>0.75</v>
      </c>
      <c r="G23" s="24">
        <v>0.875</v>
      </c>
      <c r="H23" s="24">
        <v>1</v>
      </c>
    </row>
    <row r="24" spans="1:8" x14ac:dyDescent="0.25">
      <c r="A24" s="4" t="s">
        <v>331</v>
      </c>
      <c r="D24" s="22">
        <v>15</v>
      </c>
      <c r="E24" s="22">
        <v>22</v>
      </c>
      <c r="F24" s="22">
        <v>30</v>
      </c>
      <c r="G24" s="22">
        <v>35</v>
      </c>
      <c r="H24" s="22">
        <v>40</v>
      </c>
    </row>
    <row r="26" spans="1:8" x14ac:dyDescent="0.25">
      <c r="A26" s="8" t="s">
        <v>332</v>
      </c>
      <c r="B26" s="8"/>
      <c r="C26" s="8"/>
      <c r="D26" s="8"/>
      <c r="E26" s="8"/>
      <c r="F26" s="8"/>
      <c r="G26" s="8"/>
      <c r="H26" s="8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Instructions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2026-03-25T22:36:51Z</dcterms:created>
  <dcterms:modified xsi:type="dcterms:W3CDTF">2026-03-25T22:36:51Z</dcterms:modified>
</cp:coreProperties>
</file>