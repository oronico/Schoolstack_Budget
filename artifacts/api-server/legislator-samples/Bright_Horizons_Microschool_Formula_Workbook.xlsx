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  <sheet sheetId="8" name="Consultant Notes" state="visible" r:id="rId12"/>
  </sheets>
  <definedNames>
    <definedName name="_xlnm.Print_Area" localSheetId="1">'Assumptions'!$A1:$B30</definedName>
    <definedName name="_xlnm.Print_Titles" localSheetId="1">'Assumptions'!$1:$1</definedName>
    <definedName name="_xlnm.Print_Area" localSheetId="2">'Revenue Schedule'!$A1:$F11</definedName>
    <definedName name="_xlnm.Print_Titles" localSheetId="2">'Revenue Schedule'!$1:$1</definedName>
    <definedName name="_xlnm.Print_Area" localSheetId="3">'Staffing &amp; Personnel'!$A1:$H22</definedName>
    <definedName name="_xlnm.Print_Titles" localSheetId="3">'Staffing &amp; Personnel'!$1:$1</definedName>
    <definedName name="_xlnm.Print_Area" localSheetId="4">'Operating Expenses'!$A1:$F17</definedName>
    <definedName name="_xlnm.Print_Titles" localSheetId="4">'Operating Expenses'!$1:$1</definedName>
    <definedName name="_xlnm.Print_Area" localSheetId="5">'Capital &amp; Debt'!$A1:$F5</definedName>
    <definedName name="_xlnm.Print_Titles" localSheetId="5">'Capital &amp; Debt'!$1:$1</definedName>
    <definedName name="_xlnm.Print_Area" localSheetId="6">'Financial Model'!$A1:$F9</definedName>
    <definedName name="_xlnm.Print_Titles" localSheetId="6">'Financial Model'!$1:$1</definedName>
    <definedName name="_xlnm.Print_Area" localSheetId="7">'Summary'!$A1:$F42</definedName>
    <definedName name="_xlnm.Print_Titles" localSheetId="7">'Summary'!$1:$1</definedName>
    <definedName name="_xlnm.Print_Area" localSheetId="8">'Consultant Notes'!$A1:$B19</definedName>
    <definedName name="_xlnm.Print_Titles" localSheetId="8">'Consultant Notes'!$1:$1</definedName>
  </definedNames>
  <calcPr calcId="171027" fullCalcOnLoad="1"/>
</workbook>
</file>

<file path=xl/sharedStrings.xml><?xml version="1.0" encoding="utf-8"?>
<sst xmlns="http://schemas.openxmlformats.org/spreadsheetml/2006/main" count="237" uniqueCount="164">
  <si>
    <t>SchoolStack Budget</t>
  </si>
  <si>
    <t>5-Year Financial Model</t>
  </si>
  <si>
    <t>Prepared for</t>
  </si>
  <si>
    <t>Bright Horizons Microschool</t>
  </si>
  <si>
    <t>Microschool  •  LLC - Single Member  •  TX</t>
  </si>
  <si>
    <t>Date Prepared</t>
  </si>
  <si>
    <t>March 25,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</si>
  <si>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</si>
  <si>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</si>
  <si>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</si>
  <si>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</si>
  <si>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</si>
  <si>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</si>
  <si>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Lender Readiness</t>
  </si>
  <si>
    <t>Strong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</si>
  <si>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</si>
  <si>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</si>
  <si>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</si>
  <si>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</si>
  <si>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</si>
  <si>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</si>
  <si>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</si>
  <si>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</si>
  <si>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Consultant Notes</t>
  </si>
  <si>
    <t>Generated by SchoolStack Budget  •  budget.schoolstack.ai</t>
  </si>
  <si>
    <t>SchoolStack Budget - Assumptions</t>
  </si>
  <si>
    <t>SCHOOL INFORMATION</t>
  </si>
  <si>
    <t>School Name</t>
  </si>
  <si>
    <t>State</t>
  </si>
  <si>
    <t>TX</t>
  </si>
  <si>
    <t>School Type</t>
  </si>
  <si>
    <t>Microschool</t>
  </si>
  <si>
    <t>Entity Type</t>
  </si>
  <si>
    <t>LLC - Single Member</t>
  </si>
  <si>
    <t>School Stage</t>
  </si>
  <si>
    <t>New School</t>
  </si>
  <si>
    <t>Opening Year</t>
  </si>
  <si>
    <t>Current Students</t>
  </si>
  <si>
    <t>Max Student Capacity</t>
  </si>
  <si>
    <t>Fiscal Year Start</t>
  </si>
  <si>
    <t>July</t>
  </si>
  <si>
    <t>Year 1 Operating Months</t>
  </si>
  <si>
    <t>Location Secured</t>
  </si>
  <si>
    <t>Yes</t>
  </si>
  <si>
    <t>Facility Ownership</t>
  </si>
  <si>
    <t>Rented / Leased</t>
  </si>
  <si>
    <t>Monthly Rent</t>
  </si>
  <si>
    <t>$2,500</t>
  </si>
  <si>
    <t>Annual Rent Escalation</t>
  </si>
  <si>
    <t>3%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</si>
  <si>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</si>
  <si>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</si>
  <si>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</si>
  <si>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</si>
  <si>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</si>
  <si>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</si>
  <si>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</si>
  <si>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</si>
  <si>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</si>
  <si>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</si>
  <si>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</si>
  <si>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</si>
  <si>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</si>
  <si>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</si>
  <si>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</si>
  <si>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</si>
  <si>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</si>
  <si>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</si>
  <si>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</si>
  <si>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TUITION &amp; STUDENT FEES</t>
  </si>
  <si>
    <t>Annual Tuition</t>
  </si>
  <si>
    <t>Total TUITION &amp; STUDENT FEES</t>
  </si>
  <si>
    <t>PHILANTHROPY</t>
  </si>
  <si>
    <t>Community Donations</t>
  </si>
  <si>
    <t>Startup Grant</t>
  </si>
  <si>
    <t>Total PHILANTHROPY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</si>
  <si>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</si>
  <si>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</si>
  <si>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</si>
  <si>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</si>
  <si>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</si>
  <si>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</si>
  <si>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</si>
  <si>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</si>
  <si>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</si>
  <si>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</si>
  <si>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Lead Teacher / Founder</t>
  </si>
  <si>
    <t>Instructional</t>
  </si>
  <si>
    <t>Full-Time</t>
  </si>
  <si>
    <t>Assistant Teacher</t>
  </si>
  <si>
    <t>Part-Time</t>
  </si>
  <si>
    <t>Part-Time Aide</t>
  </si>
  <si>
    <t>Student Support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</si>
  <si>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</si>
  <si>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</si>
  <si>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</si>
  <si>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</si>
  <si>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</si>
  <si>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</si>
  <si>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</si>
  <si>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</si>
  <si>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</si>
  <si>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</si>
  <si>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</si>
  <si>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</si>
  <si>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</si>
  <si>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</si>
  <si>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Curriculum &amp; Materials</t>
  </si>
  <si>
    <t>Total INSTRUCTIONAL</t>
  </si>
  <si>
    <t>TECHNOLOGY</t>
  </si>
  <si>
    <t>Technology &amp; Software</t>
  </si>
  <si>
    <t>Total TECHNOLOGY</t>
  </si>
  <si>
    <t>OCCUPANCY / FACILITY</t>
  </si>
  <si>
    <t>Utilities</t>
  </si>
  <si>
    <t>Total OCCUPANCY</t>
  </si>
  <si>
    <t>ADMINISTRATIVE / GENERAL</t>
  </si>
  <si>
    <t>General Liability Insurance</t>
  </si>
  <si>
    <t>Marketing &amp; Outreach</t>
  </si>
  <si>
    <t>Total ADMINISTRATIVE</t>
  </si>
  <si>
    <t>TOTAL OPERATING EXPENSES</t>
  </si>
  <si>
    <t>CAPITAL EXPENDITURES &amp; DEBT SERVICE</t>
  </si>
  <si>
    <t>Startup Equipment &amp; Furnishing</t>
  </si>
  <si>
    <t>Microschool Microloan</t>
  </si>
  <si>
    <t>TOTAL CAPITAL &amp; DEBT</t>
  </si>
  <si>
    <t>Total Revenue</t>
  </si>
  <si>
    <t>Personnel Costs</t>
  </si>
  <si>
    <t>Total Expenses</t>
  </si>
  <si>
    <t>Profit</t>
  </si>
  <si>
    <t>Cumulative Profit</t>
  </si>
  <si>
    <t>Financial Model Summary</t>
  </si>
  <si>
    <t>Prepared by SchoolStack Budget</t>
  </si>
  <si>
    <t>40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</si>
  <si>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</si>
  <si>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</si>
  <si>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</si>
  <si>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</si>
  <si>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</si>
  <si>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</si>
  <si>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</si>
  <si>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Profit Margin %</t>
  </si>
  <si>
    <t>REVENUE MIX TREND</t>
  </si>
  <si>
    <t>Tuition &amp; Fees %</t>
  </si>
  <si>
    <t>Public Funding %</t>
  </si>
  <si>
    <t>Philanthropy %</t>
  </si>
  <si>
    <t>LENDER READINESS ASSESSMENT</t>
  </si>
  <si>
    <t>Readiness Status</t>
  </si>
  <si>
    <t>Assessment</t>
  </si>
  <si>
    <t>This model demonstrates strong financial fundamentals: a clear path to profit, controlled costs, a sustainable revenue mix, and adequate debt coverage. Your projections are grounded and achievable.</t>
  </si>
  <si>
    <t>Biggest Strength</t>
  </si>
  <si>
    <t>Strong Year 5 profit</t>
  </si>
  <si>
    <t>Biggest Risk</t>
  </si>
  <si>
    <t>No major red flags detected, so continue refining assumptions as you gather real data.</t>
  </si>
  <si>
    <t>SchoolStack Budget - Consultant Notes</t>
  </si>
  <si>
    <t>EXECUTIVE SUMMARY</t>
  </si>
  <si>
    <t>Bright Horizons Microschool projects $392,673 in Year 5 revenue with a 61.1% profit margin. The model tells a strong financial story with 8 of 10 key metrics in healthy range, a great foundation for your mission.</t>
  </si>
  <si>
    <t>LENDER READINESS</t>
  </si>
  <si>
    <t>Status</t>
  </si>
  <si>
    <t>RECOMMENDATIONS</t>
  </si>
  <si>
    <t>[MEDIUM] Build a Cash Reserve</t>
  </si>
  <si>
    <t>Even with healthy projections, aim to build 3–6 months of operating expenses as a reserve fund. This gives you a safety net for unexpected expenses and keeps your school financially resilient.</t>
  </si>
  <si>
    <t>[MEDIUM] Stress-Test Your Enrollment Assumptions</t>
  </si>
  <si>
    <t>Model what happens if enrollment comes in 20% below plan. Understanding your downside scenario helps you prepare contingency plans.</t>
  </si>
  <si>
    <t>[LOW] Document Your Growth Strategy</t>
  </si>
  <si>
    <t>Great projections are backed by a clear plan. Document your marketing strategy, enrollment pipeline, and community outreach, as this is the roadmap that turns your numbers into reality.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</si>
</sst>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</numFmts>
  <fonts count="17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b/>
      <color rgb="FF16A34A"/>
      <sz val="14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0" xfId="0" applyFont="1"/>
    <xf numFmtId="0" fontId="11" fillId="0" borderId="2" xfId="0" applyFont="1" applyBorder="1"/>
    <xf numFmtId="0" fontId="0" fillId="0" borderId="2" xfId="0" applyBorder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8" fillId="0" borderId="0" xfId="0" applyFont="1"/>
    <xf numFmtId="167" fontId="8" fillId="0" borderId="0" xfId="0" applyNumberFormat="1" applyFont="1"/>
    <xf numFmtId="165" fontId="8" fillId="0" borderId="0" xfId="0" applyNumberFormat="1" applyFont="1"/>
    <xf numFmtId="2" fontId="8" fillId="0" borderId="0" xfId="0" applyNumberFormat="1" applyFont="1"/>
    <xf numFmtId="0" fontId="14" fillId="4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15" fillId="0" borderId="0" xfId="0" applyFont="1"/>
    <xf numFmtId="0" fontId="16" fillId="0" borderId="0" xfId="0" applyFont="1"/>
    <xf numFmtId="165" fontId="7" fillId="0" borderId="2" xfId="0" applyNumberFormat="1" applyFont="1" applyBorder="1"/>
    <xf numFmtId="164" fontId="9" fillId="3" borderId="3" xfId="0" applyNumberFormat="1" applyFont="1" applyFill="1" applyBorder="1"/>
    <xf numFmtId="0" fontId="9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Relationship Id="rId8" Type="http://schemas.openxmlformats.org/officeDocument/2006/relationships/hyperlink" Target="#&apos;Consultant Note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9" t="s">
        <v>25</v>
      </c>
      <c r="B1" s="19"/>
    </row>
    <row r="3" ht="24" customHeight="1" spans="1:2" x14ac:dyDescent="0.25">
      <c r="A3" s="8" t="s">
        <v>26</v>
      </c>
      <c r="B3" s="8"/>
    </row>
    <row r="4" spans="1:2" x14ac:dyDescent="0.25">
      <c r="A4" s="20" t="s">
        <v>27</v>
      </c>
      <c r="B4" s="21" t="s">
        <v>3</v>
      </c>
    </row>
    <row r="5" spans="1:2" x14ac:dyDescent="0.25">
      <c r="A5" s="20" t="s">
        <v>28</v>
      </c>
      <c r="B5" s="21" t="s">
        <v>29</v>
      </c>
    </row>
    <row r="6" spans="1:2" x14ac:dyDescent="0.25">
      <c r="A6" s="20" t="s">
        <v>30</v>
      </c>
      <c r="B6" s="21" t="s">
        <v>31</v>
      </c>
    </row>
    <row r="7" spans="1:2" x14ac:dyDescent="0.25">
      <c r="A7" s="20" t="s">
        <v>32</v>
      </c>
      <c r="B7" s="21" t="s">
        <v>33</v>
      </c>
    </row>
    <row r="8" spans="1:2" x14ac:dyDescent="0.25">
      <c r="A8" s="20" t="s">
        <v>34</v>
      </c>
      <c r="B8" s="21" t="s">
        <v>35</v>
      </c>
    </row>
    <row r="9" spans="1:2" x14ac:dyDescent="0.25">
      <c r="A9" s="20" t="s">
        <v>36</v>
      </c>
      <c r="B9" s="21">
        <v>0</v>
      </c>
    </row>
    <row r="10" spans="1:2" x14ac:dyDescent="0.25">
      <c r="A10" s="20" t="s">
        <v>37</v>
      </c>
      <c r="B10" s="21">
        <v>0</v>
      </c>
    </row>
    <row r="11" spans="1:2" x14ac:dyDescent="0.25">
      <c r="A11" s="20" t="s">
        <v>38</v>
      </c>
      <c r="B11" s="21">
        <v>40</v>
      </c>
    </row>
    <row r="12" spans="1:2" x14ac:dyDescent="0.25">
      <c r="A12" s="20" t="s">
        <v>39</v>
      </c>
      <c r="B12" s="21" t="s">
        <v>40</v>
      </c>
    </row>
    <row r="13" spans="1:2" x14ac:dyDescent="0.25">
      <c r="A13" s="20" t="s">
        <v>41</v>
      </c>
      <c r="B13" s="21">
        <v>10</v>
      </c>
    </row>
    <row r="14" spans="1:2" x14ac:dyDescent="0.25">
      <c r="A14" s="20" t="s">
        <v>42</v>
      </c>
      <c r="B14" s="21" t="s">
        <v>43</v>
      </c>
    </row>
    <row r="15" spans="1:2" x14ac:dyDescent="0.25">
      <c r="A15" s="20" t="s">
        <v>44</v>
      </c>
      <c r="B15" s="21" t="s">
        <v>45</v>
      </c>
    </row>
    <row r="16" spans="1:2" x14ac:dyDescent="0.25">
      <c r="A16" s="20" t="s">
        <v>46</v>
      </c>
      <c r="B16" s="21" t="s">
        <v>47</v>
      </c>
    </row>
    <row r="17" spans="1:2" x14ac:dyDescent="0.25">
      <c r="A17" s="20" t="s">
        <v>48</v>
      </c>
      <c r="B17" s="21" t="s">
        <v>49</v>
      </c>
    </row>
    <row r="19" ht="24" customHeight="1" spans="1:2" x14ac:dyDescent="0.25">
      <c r="A19" s="8" t="s">
        <v>50</v>
      </c>
      <c r="B19" s="8"/>
    </row>
    <row r="20" spans="1:2" x14ac:dyDescent="0.25">
      <c r="A20" s="20" t="s">
        <v>51</v>
      </c>
      <c r="B20" s="22">
        <v>15</v>
      </c>
    </row>
    <row r="21" spans="1:2" x14ac:dyDescent="0.25">
      <c r="A21" s="20" t="s">
        <v>52</v>
      </c>
      <c r="B21" s="22">
        <v>22</v>
      </c>
    </row>
    <row r="22" spans="1:2" x14ac:dyDescent="0.25">
      <c r="A22" s="20" t="s">
        <v>53</v>
      </c>
      <c r="B22" s="22">
        <v>30</v>
      </c>
    </row>
    <row r="23" spans="1:2" x14ac:dyDescent="0.25">
      <c r="A23" s="20" t="s">
        <v>54</v>
      </c>
      <c r="B23" s="22">
        <v>35</v>
      </c>
    </row>
    <row r="24" spans="1:2" x14ac:dyDescent="0.25">
      <c r="A24" s="20" t="s">
        <v>55</v>
      </c>
      <c r="B24" s="22">
        <v>40</v>
      </c>
    </row>
    <row r="26" ht="24" customHeight="1" spans="1:2" x14ac:dyDescent="0.25">
      <c r="A26" s="8" t="s">
        <v>56</v>
      </c>
      <c r="B26" s="8"/>
    </row>
    <row r="27" spans="1:2" x14ac:dyDescent="0.25">
      <c r="A27" s="20" t="s">
        <v>57</v>
      </c>
      <c r="B27" s="23">
        <v>0</v>
      </c>
    </row>
    <row r="28" spans="1:2" x14ac:dyDescent="0.25">
      <c r="A28" s="20" t="s">
        <v>58</v>
      </c>
      <c r="B28" s="23">
        <v>0</v>
      </c>
    </row>
    <row r="29" spans="1:2" x14ac:dyDescent="0.25">
      <c r="A29" s="20" t="s">
        <v>59</v>
      </c>
      <c r="B29" s="24">
        <v>0.8333333333333334</v>
      </c>
    </row>
    <row r="30" spans="1:2" x14ac:dyDescent="0.25">
      <c r="A30" s="20" t="s">
        <v>60</v>
      </c>
      <c r="B30" s="21" t="s">
        <v>61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68</v>
      </c>
      <c r="B2" s="26">
        <f>Assumptions!B20</f>
        <v>15</v>
      </c>
      <c r="C2" s="26">
        <f>Assumptions!B21</f>
        <v>22</v>
      </c>
      <c r="D2" s="26">
        <f>Assumptions!B22</f>
        <v>30</v>
      </c>
      <c r="E2" s="26">
        <f>Assumptions!B23</f>
        <v>35</v>
      </c>
      <c r="F2" s="26">
        <f>Assumptions!B24</f>
        <v>40</v>
      </c>
    </row>
    <row r="3" ht="24" customHeight="1" spans="1:6" x14ac:dyDescent="0.25">
      <c r="A3" s="8" t="s">
        <v>69</v>
      </c>
      <c r="B3" s="8"/>
      <c r="C3" s="8"/>
      <c r="D3" s="8"/>
      <c r="E3" s="8"/>
      <c r="F3" s="8"/>
    </row>
    <row r="4" spans="1:6" x14ac:dyDescent="0.25">
      <c r="A4" s="20" t="s">
        <v>70</v>
      </c>
      <c r="B4" s="27">
        <f>8500*Assumptions!B20</f>
        <v>127500</v>
      </c>
      <c r="C4" s="27">
        <f>8500*Assumptions!B21</f>
        <v>187000</v>
      </c>
      <c r="D4" s="27">
        <f>8500*Assumptions!B22</f>
        <v>255000</v>
      </c>
      <c r="E4" s="27">
        <f>8500*Assumptions!B23</f>
        <v>297500</v>
      </c>
      <c r="F4" s="27">
        <f>8500*Assumptions!B24</f>
        <v>340000</v>
      </c>
    </row>
    <row r="5" ht="24" customHeight="1" spans="1:6" x14ac:dyDescent="0.25">
      <c r="A5" s="8" t="s">
        <v>71</v>
      </c>
      <c r="B5" s="28">
        <f>SUM(B4:B4)</f>
        <v>127500</v>
      </c>
      <c r="C5" s="28">
        <f>SUM(C4:C4)</f>
        <v>187000</v>
      </c>
      <c r="D5" s="28">
        <f>SUM(D4:D4)</f>
        <v>255000</v>
      </c>
      <c r="E5" s="28">
        <f>SUM(E4:E4)</f>
        <v>297500</v>
      </c>
      <c r="F5" s="28">
        <f>SUM(F4:F4)</f>
        <v>340000</v>
      </c>
    </row>
    <row r="6" ht="24" customHeight="1" spans="1:6" x14ac:dyDescent="0.25">
      <c r="A6" s="8" t="s">
        <v>72</v>
      </c>
      <c r="B6" s="8"/>
      <c r="C6" s="8"/>
      <c r="D6" s="8"/>
      <c r="E6" s="8"/>
      <c r="F6" s="8"/>
    </row>
    <row r="7" spans="1:6" x14ac:dyDescent="0.25">
      <c r="A7" s="20" t="s">
        <v>73</v>
      </c>
      <c r="B7" s="27">
        <v>25000</v>
      </c>
      <c r="C7" s="27">
        <v>20000</v>
      </c>
      <c r="D7" s="27">
        <v>15000</v>
      </c>
      <c r="E7" s="27">
        <v>12000</v>
      </c>
      <c r="F7" s="27">
        <v>10000</v>
      </c>
    </row>
    <row r="8" spans="1:6" x14ac:dyDescent="0.25">
      <c r="A8" s="20" t="s">
        <v>74</v>
      </c>
      <c r="B8" s="27">
        <v>15000</v>
      </c>
      <c r="C8" s="27">
        <v>10000</v>
      </c>
      <c r="D8" s="27">
        <v>5000</v>
      </c>
      <c r="E8" s="27">
        <v>0</v>
      </c>
      <c r="F8" s="27">
        <v>0</v>
      </c>
    </row>
    <row r="9" ht="24" customHeight="1" spans="1:6" x14ac:dyDescent="0.25">
      <c r="A9" s="8" t="s">
        <v>75</v>
      </c>
      <c r="B9" s="28">
        <f>SUM(B7:B8)</f>
        <v>25000</v>
      </c>
      <c r="C9" s="28">
        <f>SUM(C7:C8)</f>
        <v>20000</v>
      </c>
      <c r="D9" s="28">
        <f>SUM(D7:D8)</f>
        <v>15000</v>
      </c>
      <c r="E9" s="28">
        <f>SUM(E7:E8)</f>
        <v>12000</v>
      </c>
      <c r="F9" s="28">
        <f>SUM(F7:F8)</f>
        <v>10000</v>
      </c>
    </row>
    <row r="11" ht="24" customHeight="1" spans="1:6" x14ac:dyDescent="0.25">
      <c r="A11" s="8" t="s">
        <v>76</v>
      </c>
      <c r="B11" s="28">
        <f>B5+B9</f>
        <v>167500</v>
      </c>
      <c r="C11" s="28">
        <f>C5+C9</f>
        <v>217000</v>
      </c>
      <c r="D11" s="28">
        <f>D5+D9</f>
        <v>275000</v>
      </c>
      <c r="E11" s="28">
        <f>E5+E9</f>
        <v>309500</v>
      </c>
      <c r="F11" s="28">
        <f>F5+F9</f>
        <v>350000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9" t="s">
        <v>77</v>
      </c>
      <c r="B1" s="19"/>
      <c r="C1" s="19"/>
      <c r="D1" s="19"/>
      <c r="E1" s="19"/>
      <c r="F1" s="19"/>
      <c r="G1" s="19"/>
      <c r="H1" s="19"/>
    </row>
    <row r="3" ht="28" customHeight="1" spans="1:8" x14ac:dyDescent="0.25">
      <c r="A3" s="25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5" t="s">
        <v>85</v>
      </c>
    </row>
    <row r="4" spans="1:8" x14ac:dyDescent="0.25">
      <c r="A4" s="20" t="s">
        <v>86</v>
      </c>
      <c r="B4" s="20" t="s">
        <v>87</v>
      </c>
      <c r="C4" s="20" t="s">
        <v>88</v>
      </c>
      <c r="D4" s="29">
        <v>1</v>
      </c>
      <c r="E4" s="30">
        <v>52000</v>
      </c>
      <c r="F4" s="31">
        <v>0</v>
      </c>
      <c r="G4" s="31">
        <v>0.0765</v>
      </c>
      <c r="H4" s="32">
        <v>55978</v>
      </c>
    </row>
    <row r="5" spans="1:8" x14ac:dyDescent="0.25">
      <c r="A5" s="20" t="s">
        <v>89</v>
      </c>
      <c r="B5" s="20" t="s">
        <v>87</v>
      </c>
      <c r="C5" s="20" t="s">
        <v>90</v>
      </c>
      <c r="D5" s="29">
        <v>0.75</v>
      </c>
      <c r="E5" s="30">
        <v>28000</v>
      </c>
      <c r="F5" s="31">
        <v>0</v>
      </c>
      <c r="G5" s="31">
        <v>0.0765</v>
      </c>
      <c r="H5" s="32">
        <v>22606.5</v>
      </c>
    </row>
    <row r="6" spans="1:8" x14ac:dyDescent="0.25">
      <c r="A6" s="20" t="s">
        <v>91</v>
      </c>
      <c r="B6" s="20" t="s">
        <v>92</v>
      </c>
      <c r="C6" s="20" t="s">
        <v>90</v>
      </c>
      <c r="D6" s="29">
        <v>0.5</v>
      </c>
      <c r="E6" s="30">
        <v>18000</v>
      </c>
      <c r="F6" s="31">
        <v>0</v>
      </c>
      <c r="G6" s="31">
        <v>0.0765</v>
      </c>
      <c r="H6" s="32">
        <v>9688.5</v>
      </c>
    </row>
    <row r="8" ht="24" customHeight="1" spans="1:8" x14ac:dyDescent="0.25">
      <c r="A8" s="8" t="s">
        <v>93</v>
      </c>
      <c r="B8" s="8"/>
      <c r="C8" s="8"/>
      <c r="D8" s="8"/>
      <c r="E8" s="8"/>
      <c r="F8" s="8"/>
      <c r="G8" s="8"/>
      <c r="H8" s="8"/>
    </row>
    <row r="9" spans="1:2" x14ac:dyDescent="0.25">
      <c r="A9" s="20" t="s">
        <v>94</v>
      </c>
      <c r="B9" s="21">
        <v>3</v>
      </c>
    </row>
    <row r="10" spans="1:2" x14ac:dyDescent="0.25">
      <c r="A10" s="20" t="s">
        <v>95</v>
      </c>
      <c r="B10" s="21">
        <v>2.3</v>
      </c>
    </row>
    <row r="11" spans="1:2" x14ac:dyDescent="0.25">
      <c r="A11" s="20" t="s">
        <v>96</v>
      </c>
      <c r="B11" s="30">
        <v>82000</v>
      </c>
    </row>
    <row r="12" spans="1:2" x14ac:dyDescent="0.25">
      <c r="A12" s="20" t="s">
        <v>97</v>
      </c>
      <c r="B12" s="30">
        <v>0</v>
      </c>
    </row>
    <row r="13" spans="1:2" x14ac:dyDescent="0.25">
      <c r="A13" s="20" t="s">
        <v>98</v>
      </c>
      <c r="B13" s="30">
        <v>6273</v>
      </c>
    </row>
    <row r="14" spans="1:2" x14ac:dyDescent="0.25">
      <c r="A14" s="20" t="s">
        <v>99</v>
      </c>
      <c r="B14" s="30">
        <v>0</v>
      </c>
    </row>
    <row r="15" spans="1:2" x14ac:dyDescent="0.25">
      <c r="A15" s="21" t="s">
        <v>100</v>
      </c>
      <c r="B15" s="32">
        <v>88273</v>
      </c>
    </row>
    <row r="17" ht="24" customHeight="1" spans="1:6" x14ac:dyDescent="0.25">
      <c r="A17" s="8" t="s">
        <v>101</v>
      </c>
      <c r="B17" s="8"/>
      <c r="C17" s="8"/>
      <c r="D17" s="8"/>
      <c r="E17" s="8"/>
      <c r="F17" s="8"/>
    </row>
    <row r="18" ht="28" customHeight="1" spans="1:6" x14ac:dyDescent="0.25">
      <c r="A18" s="25" t="s">
        <v>62</v>
      </c>
      <c r="B18" s="25" t="s">
        <v>63</v>
      </c>
      <c r="C18" s="25" t="s">
        <v>64</v>
      </c>
      <c r="D18" s="25" t="s">
        <v>65</v>
      </c>
      <c r="E18" s="25" t="s">
        <v>66</v>
      </c>
      <c r="F18" s="25" t="s">
        <v>67</v>
      </c>
    </row>
    <row r="19" spans="1:6" x14ac:dyDescent="0.25">
      <c r="A19" s="20" t="s">
        <v>102</v>
      </c>
      <c r="B19" s="27">
        <v>88273</v>
      </c>
      <c r="C19" s="27">
        <v>88273</v>
      </c>
      <c r="D19" s="27">
        <v>88273</v>
      </c>
      <c r="E19" s="27">
        <v>88273</v>
      </c>
      <c r="F19" s="27">
        <v>88273</v>
      </c>
    </row>
    <row r="20" spans="1:6" x14ac:dyDescent="0.25">
      <c r="A20" s="20" t="s">
        <v>103</v>
      </c>
      <c r="B20" s="33">
        <f>(1+Assumptions!B27)^0</f>
        <v>1</v>
      </c>
      <c r="C20" s="33">
        <f>(1+Assumptions!B27)^1</f>
        <v>1</v>
      </c>
      <c r="D20" s="33">
        <f>(1+Assumptions!B27)^2</f>
        <v>1</v>
      </c>
      <c r="E20" s="33">
        <f>(1+Assumptions!B27)^3</f>
        <v>1</v>
      </c>
      <c r="F20" s="33">
        <f>(1+Assumptions!B27)^4</f>
        <v>1</v>
      </c>
    </row>
    <row r="21" spans="1:6" x14ac:dyDescent="0.25">
      <c r="A21" s="20" t="s">
        <v>104</v>
      </c>
      <c r="B21" s="34">
        <f>Assumptions!B29</f>
        <v>0.8333333333333334</v>
      </c>
      <c r="C21" s="34">
        <v>1</v>
      </c>
      <c r="D21" s="34">
        <v>1</v>
      </c>
      <c r="E21" s="34">
        <v>1</v>
      </c>
      <c r="F21" s="34">
        <v>1</v>
      </c>
    </row>
    <row r="22" ht="24" customHeight="1" spans="1:6" x14ac:dyDescent="0.25">
      <c r="A22" s="8" t="s">
        <v>105</v>
      </c>
      <c r="B22" s="28">
        <f>B19*B20*B21</f>
        <v>73561</v>
      </c>
      <c r="C22" s="28">
        <f>C19*C20*C21</f>
        <v>88273</v>
      </c>
      <c r="D22" s="28">
        <f>D19*D20*D21</f>
        <v>88273</v>
      </c>
      <c r="E22" s="28">
        <f>E19*E20*E21</f>
        <v>88273</v>
      </c>
      <c r="F22" s="28">
        <f>F19*F20*F21</f>
        <v>88273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68</v>
      </c>
      <c r="B2" s="26">
        <f>Assumptions!B20</f>
        <v>15</v>
      </c>
      <c r="C2" s="26">
        <f>Assumptions!B21</f>
        <v>22</v>
      </c>
      <c r="D2" s="26">
        <f>Assumptions!B22</f>
        <v>30</v>
      </c>
      <c r="E2" s="26">
        <f>Assumptions!B23</f>
        <v>35</v>
      </c>
      <c r="F2" s="26">
        <f>Assumptions!B24</f>
        <v>40</v>
      </c>
    </row>
    <row r="3" ht="24" customHeight="1" spans="1:6" x14ac:dyDescent="0.25">
      <c r="A3" s="8" t="s">
        <v>106</v>
      </c>
      <c r="B3" s="8"/>
      <c r="C3" s="8"/>
      <c r="D3" s="8"/>
      <c r="E3" s="8"/>
      <c r="F3" s="8"/>
    </row>
    <row r="4" spans="1:6" x14ac:dyDescent="0.25">
      <c r="A4" s="20" t="s">
        <v>107</v>
      </c>
      <c r="B4" s="27">
        <f>400*Assumptions!B20</f>
        <v>6000</v>
      </c>
      <c r="C4" s="27">
        <f>400*Assumptions!B21</f>
        <v>8800</v>
      </c>
      <c r="D4" s="27">
        <f>400*Assumptions!B22</f>
        <v>12000</v>
      </c>
      <c r="E4" s="27">
        <f>400*Assumptions!B23</f>
        <v>14000</v>
      </c>
      <c r="F4" s="27">
        <f>400*Assumptions!B24</f>
        <v>16000</v>
      </c>
    </row>
    <row r="5" ht="24" customHeight="1" spans="1:6" x14ac:dyDescent="0.25">
      <c r="A5" s="8" t="s">
        <v>108</v>
      </c>
      <c r="B5" s="28">
        <f>SUM(B4:B4)</f>
        <v>6000</v>
      </c>
      <c r="C5" s="28">
        <f>SUM(C4:C4)</f>
        <v>8800</v>
      </c>
      <c r="D5" s="28">
        <f>SUM(D4:D4)</f>
        <v>12000</v>
      </c>
      <c r="E5" s="28">
        <f>SUM(E4:E4)</f>
        <v>14000</v>
      </c>
      <c r="F5" s="28">
        <f>SUM(F4:F4)</f>
        <v>16000</v>
      </c>
    </row>
    <row r="6" ht="24" customHeight="1" spans="1:6" x14ac:dyDescent="0.25">
      <c r="A6" s="8" t="s">
        <v>109</v>
      </c>
      <c r="B6" s="8"/>
      <c r="C6" s="8"/>
      <c r="D6" s="8"/>
      <c r="E6" s="8"/>
      <c r="F6" s="8"/>
    </row>
    <row r="7" spans="1:6" x14ac:dyDescent="0.25">
      <c r="A7" s="20" t="s">
        <v>110</v>
      </c>
      <c r="B7" s="27">
        <v>3000</v>
      </c>
      <c r="C7" s="27">
        <v>3200</v>
      </c>
      <c r="D7" s="27">
        <v>3400</v>
      </c>
      <c r="E7" s="27">
        <v>3600</v>
      </c>
      <c r="F7" s="27">
        <v>3800</v>
      </c>
    </row>
    <row r="8" ht="24" customHeight="1" spans="1:6" x14ac:dyDescent="0.25">
      <c r="A8" s="8" t="s">
        <v>111</v>
      </c>
      <c r="B8" s="28">
        <f>SUM(B7:B7)</f>
        <v>3000</v>
      </c>
      <c r="C8" s="28">
        <f>SUM(C7:C7)</f>
        <v>3200</v>
      </c>
      <c r="D8" s="28">
        <f>SUM(D7:D7)</f>
        <v>3400</v>
      </c>
      <c r="E8" s="28">
        <f>SUM(E7:E7)</f>
        <v>3600</v>
      </c>
      <c r="F8" s="28">
        <f>SUM(F7:F7)</f>
        <v>3800</v>
      </c>
    </row>
    <row r="9" ht="24" customHeight="1" spans="1:6" x14ac:dyDescent="0.25">
      <c r="A9" s="8" t="s">
        <v>112</v>
      </c>
      <c r="B9" s="8"/>
      <c r="C9" s="8"/>
      <c r="D9" s="8"/>
      <c r="E9" s="8"/>
      <c r="F9" s="8"/>
    </row>
    <row r="10" spans="1:6" x14ac:dyDescent="0.25">
      <c r="A10" s="20" t="s">
        <v>113</v>
      </c>
      <c r="B10" s="27">
        <f>350*12</f>
        <v>4200</v>
      </c>
      <c r="C10" s="27">
        <f>370*12</f>
        <v>4440</v>
      </c>
      <c r="D10" s="27">
        <f>390*12</f>
        <v>4680</v>
      </c>
      <c r="E10" s="27">
        <f>410*12</f>
        <v>4920</v>
      </c>
      <c r="F10" s="27">
        <f>430*12</f>
        <v>5160</v>
      </c>
    </row>
    <row r="11" ht="24" customHeight="1" spans="1:6" x14ac:dyDescent="0.25">
      <c r="A11" s="8" t="s">
        <v>114</v>
      </c>
      <c r="B11" s="28">
        <f>SUM(B10:B10)</f>
        <v>4200</v>
      </c>
      <c r="C11" s="28">
        <f>SUM(C10:C10)</f>
        <v>4440</v>
      </c>
      <c r="D11" s="28">
        <f>SUM(D10:D10)</f>
        <v>4680</v>
      </c>
      <c r="E11" s="28">
        <f>SUM(E10:E10)</f>
        <v>4920</v>
      </c>
      <c r="F11" s="28">
        <f>SUM(F10:F10)</f>
        <v>5160</v>
      </c>
    </row>
    <row r="12" ht="24" customHeight="1" spans="1:6" x14ac:dyDescent="0.25">
      <c r="A12" s="8" t="s">
        <v>115</v>
      </c>
      <c r="B12" s="8"/>
      <c r="C12" s="8"/>
      <c r="D12" s="8"/>
      <c r="E12" s="8"/>
      <c r="F12" s="8"/>
    </row>
    <row r="13" spans="1:6" x14ac:dyDescent="0.25">
      <c r="A13" s="20" t="s">
        <v>116</v>
      </c>
      <c r="B13" s="27">
        <v>2400</v>
      </c>
      <c r="C13" s="27">
        <v>2500</v>
      </c>
      <c r="D13" s="27">
        <v>2600</v>
      </c>
      <c r="E13" s="27">
        <v>2700</v>
      </c>
      <c r="F13" s="27">
        <v>2800</v>
      </c>
    </row>
    <row r="14" spans="1:6" x14ac:dyDescent="0.25">
      <c r="A14" s="20" t="s">
        <v>117</v>
      </c>
      <c r="B14" s="27">
        <v>2000</v>
      </c>
      <c r="C14" s="27">
        <v>1500</v>
      </c>
      <c r="D14" s="27">
        <v>1200</v>
      </c>
      <c r="E14" s="27">
        <v>1000</v>
      </c>
      <c r="F14" s="27">
        <v>800</v>
      </c>
    </row>
    <row r="15" ht="24" customHeight="1" spans="1:6" x14ac:dyDescent="0.25">
      <c r="A15" s="8" t="s">
        <v>118</v>
      </c>
      <c r="B15" s="28">
        <f>SUM(B13:B14)</f>
        <v>4400</v>
      </c>
      <c r="C15" s="28">
        <f>SUM(C13:C14)</f>
        <v>4000</v>
      </c>
      <c r="D15" s="28">
        <f>SUM(D13:D14)</f>
        <v>3800</v>
      </c>
      <c r="E15" s="28">
        <f>SUM(E13:E14)</f>
        <v>3700</v>
      </c>
      <c r="F15" s="28">
        <f>SUM(F13:F14)</f>
        <v>3600</v>
      </c>
    </row>
    <row r="17" ht="24" customHeight="1" spans="1:6" x14ac:dyDescent="0.25">
      <c r="A17" s="8" t="s">
        <v>119</v>
      </c>
      <c r="B17" s="28">
        <f>B5+B8+B11+B15</f>
        <v>17600</v>
      </c>
      <c r="C17" s="28">
        <f>C5+C8+C11+C15</f>
        <v>20440</v>
      </c>
      <c r="D17" s="28">
        <f>D5+D8+D11+D15</f>
        <v>23880</v>
      </c>
      <c r="E17" s="28">
        <f>E5+E8+E11+E15</f>
        <v>26220</v>
      </c>
      <c r="F17" s="28">
        <f>F5+F8+F11+F15</f>
        <v>28560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ht="24" customHeight="1" spans="1:6" x14ac:dyDescent="0.25">
      <c r="A2" s="8" t="s">
        <v>120</v>
      </c>
      <c r="B2" s="8"/>
      <c r="C2" s="8"/>
      <c r="D2" s="8"/>
      <c r="E2" s="8"/>
      <c r="F2" s="8"/>
    </row>
    <row r="3" spans="1:6" x14ac:dyDescent="0.25">
      <c r="A3" s="20" t="s">
        <v>121</v>
      </c>
      <c r="B3" s="27">
        <v>12000</v>
      </c>
      <c r="C3" s="27">
        <v>0</v>
      </c>
      <c r="D3" s="27">
        <v>0</v>
      </c>
      <c r="E3" s="27">
        <v>0</v>
      </c>
      <c r="F3" s="27">
        <v>0</v>
      </c>
    </row>
    <row r="4" spans="1:6" x14ac:dyDescent="0.25">
      <c r="A4" s="20" t="s">
        <v>122</v>
      </c>
      <c r="B4" s="27">
        <v>5799.840458828482</v>
      </c>
      <c r="C4" s="27">
        <v>5799.840458828482</v>
      </c>
      <c r="D4" s="27">
        <v>5799.840458828482</v>
      </c>
      <c r="E4" s="27">
        <v>5799.840458828482</v>
      </c>
      <c r="F4" s="27">
        <v>5799.840458828482</v>
      </c>
    </row>
    <row r="5" ht="24" customHeight="1" spans="1:6" x14ac:dyDescent="0.25">
      <c r="A5" s="8" t="s">
        <v>123</v>
      </c>
      <c r="B5" s="28">
        <f>SUM(B3:B4)</f>
        <v>17800</v>
      </c>
      <c r="C5" s="28">
        <f>SUM(C3:C4)</f>
        <v>5800</v>
      </c>
      <c r="D5" s="28">
        <f>SUM(D3:D4)</f>
        <v>5800</v>
      </c>
      <c r="E5" s="28">
        <f>SUM(E3:E4)</f>
        <v>5800</v>
      </c>
      <c r="F5" s="28">
        <f>SUM(F3:F4)</f>
        <v>5800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5" t="s">
        <v>1</v>
      </c>
      <c r="B1" s="25" t="s">
        <v>63</v>
      </c>
      <c r="C1" s="25" t="s">
        <v>64</v>
      </c>
      <c r="D1" s="25" t="s">
        <v>65</v>
      </c>
      <c r="E1" s="25" t="s">
        <v>66</v>
      </c>
      <c r="F1" s="25" t="s">
        <v>67</v>
      </c>
    </row>
    <row r="2" spans="1:6" x14ac:dyDescent="0.25">
      <c r="A2" s="20" t="s">
        <v>124</v>
      </c>
      <c r="B2" s="27">
        <f>'Revenue Schedule'!B11</f>
        <v>167500</v>
      </c>
      <c r="C2" s="27">
        <f>'Revenue Schedule'!C11</f>
        <v>217000</v>
      </c>
      <c r="D2" s="27">
        <f>'Revenue Schedule'!D11</f>
        <v>275000</v>
      </c>
      <c r="E2" s="27">
        <f>'Revenue Schedule'!E11</f>
        <v>309500</v>
      </c>
      <c r="F2" s="27">
        <f>'Revenue Schedule'!F11</f>
        <v>350000</v>
      </c>
    </row>
    <row r="3" spans="1:6" x14ac:dyDescent="0.25">
      <c r="A3" s="20" t="s">
        <v>125</v>
      </c>
      <c r="B3" s="27">
        <f>'Staffing &amp; Personnel'!B22</f>
        <v>73561</v>
      </c>
      <c r="C3" s="27">
        <f>'Staffing &amp; Personnel'!C22</f>
        <v>88273</v>
      </c>
      <c r="D3" s="27">
        <f>'Staffing &amp; Personnel'!D22</f>
        <v>88273</v>
      </c>
      <c r="E3" s="27">
        <f>'Staffing &amp; Personnel'!E22</f>
        <v>88273</v>
      </c>
      <c r="F3" s="27">
        <f>'Staffing &amp; Personnel'!F22</f>
        <v>88273</v>
      </c>
    </row>
    <row r="4" spans="1:6" x14ac:dyDescent="0.25">
      <c r="A4" s="20" t="s">
        <v>19</v>
      </c>
      <c r="B4" s="27">
        <f>'Operating Expenses'!B17</f>
        <v>17600</v>
      </c>
      <c r="C4" s="27">
        <f>'Operating Expenses'!C17</f>
        <v>20440</v>
      </c>
      <c r="D4" s="27">
        <f>'Operating Expenses'!D17</f>
        <v>23880</v>
      </c>
      <c r="E4" s="27">
        <f>'Operating Expenses'!E17</f>
        <v>26220</v>
      </c>
      <c r="F4" s="27">
        <f>'Operating Expenses'!F17</f>
        <v>28560</v>
      </c>
    </row>
    <row r="5" spans="1:6" x14ac:dyDescent="0.25">
      <c r="A5" s="20" t="s">
        <v>20</v>
      </c>
      <c r="B5" s="27">
        <f>'Capital &amp; Debt'!B5</f>
        <v>17800</v>
      </c>
      <c r="C5" s="27">
        <f>'Capital &amp; Debt'!C5</f>
        <v>5800</v>
      </c>
      <c r="D5" s="27">
        <f>'Capital &amp; Debt'!D5</f>
        <v>5800</v>
      </c>
      <c r="E5" s="27">
        <f>'Capital &amp; Debt'!E5</f>
        <v>5800</v>
      </c>
      <c r="F5" s="27">
        <f>'Capital &amp; Debt'!F5</f>
        <v>5800</v>
      </c>
    </row>
    <row r="6" ht="24" customHeight="1" spans="1:6" x14ac:dyDescent="0.25">
      <c r="A6" s="8" t="s">
        <v>126</v>
      </c>
      <c r="B6" s="28">
        <f>B3+B4+B5</f>
        <v>108961</v>
      </c>
      <c r="C6" s="28">
        <f>C3+C4+C5</f>
        <v>114513</v>
      </c>
      <c r="D6" s="28">
        <f>D3+D4+D5</f>
        <v>117953</v>
      </c>
      <c r="E6" s="28">
        <f>E3+E4+E5</f>
        <v>120293</v>
      </c>
      <c r="F6" s="28">
        <f>F3+F4+F5</f>
        <v>122633</v>
      </c>
    </row>
    <row r="7" ht="24" customHeight="1" spans="1:6" x14ac:dyDescent="0.25">
      <c r="A7" s="8" t="s">
        <v>127</v>
      </c>
      <c r="B7" s="28">
        <f>B2-B6</f>
        <v>58539</v>
      </c>
      <c r="C7" s="28">
        <f>C2-C6</f>
        <v>102487</v>
      </c>
      <c r="D7" s="28">
        <f>D2-D6</f>
        <v>157047</v>
      </c>
      <c r="E7" s="28">
        <f>E2-E6</f>
        <v>189207</v>
      </c>
      <c r="F7" s="28">
        <f>F2-F6</f>
        <v>227367</v>
      </c>
    </row>
    <row r="8" spans="1:6" x14ac:dyDescent="0.25">
      <c r="A8" s="20" t="s">
        <v>128</v>
      </c>
      <c r="B8" s="27">
        <f>B7</f>
        <v>58539</v>
      </c>
      <c r="C8" s="27">
        <f>B8+C7</f>
        <v>161026</v>
      </c>
      <c r="D8" s="27">
        <f>C8+D7</f>
        <v>318073</v>
      </c>
      <c r="E8" s="27">
        <f>D8+E7</f>
        <v>507280</v>
      </c>
      <c r="F8" s="27">
        <f>E8+F7</f>
        <v>734647</v>
      </c>
    </row>
    <row r="9" spans="1:6" x14ac:dyDescent="0.25">
      <c r="A9" s="20" t="s">
        <v>11</v>
      </c>
      <c r="B9" s="35">
        <f>IF(B6=0,0,IF(B8&gt;0,B8/(B6/12),0))</f>
        <v>6.446967263516304</v>
      </c>
      <c r="C9" s="35">
        <f>IF(C6=0,0,IF(C8&gt;0,C8/(C6/12),0))</f>
        <v>16.874171491446386</v>
      </c>
      <c r="D9" s="35">
        <f>IF(D6=0,0,IF(D8&gt;0,D8/(D6/12),0))</f>
        <v>32.35929565165787</v>
      </c>
      <c r="E9" s="35">
        <f>IF(E6=0,0,IF(E8&gt;0,E8/(E6/12),0))</f>
        <v>50.60444082365558</v>
      </c>
      <c r="F9" s="35">
        <f>IF(F6=0,0,IF(F8&gt;0,F8/(F6/12),0))</f>
        <v>71.88737126222144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36" t="s">
        <v>129</v>
      </c>
      <c r="B1" s="36"/>
      <c r="C1" s="36"/>
      <c r="D1" s="36"/>
      <c r="E1" s="36"/>
      <c r="F1" s="36"/>
    </row>
    <row r="2" spans="1:1" x14ac:dyDescent="0.25">
      <c r="A2" s="37" t="s">
        <v>130</v>
      </c>
    </row>
    <row r="4" ht="24" customHeight="1" spans="1:6" x14ac:dyDescent="0.25">
      <c r="A4" s="8" t="s">
        <v>26</v>
      </c>
      <c r="B4" s="8"/>
      <c r="C4" s="8"/>
      <c r="D4" s="8"/>
      <c r="E4" s="8"/>
      <c r="F4" s="8"/>
    </row>
    <row r="5" spans="1:2" x14ac:dyDescent="0.25">
      <c r="A5" s="20" t="s">
        <v>27</v>
      </c>
      <c r="B5" s="21" t="s">
        <v>3</v>
      </c>
    </row>
    <row r="6" spans="1:2" x14ac:dyDescent="0.25">
      <c r="A6" s="20" t="s">
        <v>30</v>
      </c>
      <c r="B6" s="21" t="s">
        <v>31</v>
      </c>
    </row>
    <row r="7" spans="1:2" x14ac:dyDescent="0.25">
      <c r="A7" s="20" t="s">
        <v>32</v>
      </c>
      <c r="B7" s="21" t="s">
        <v>33</v>
      </c>
    </row>
    <row r="8" spans="1:2" x14ac:dyDescent="0.25">
      <c r="A8" s="20" t="s">
        <v>34</v>
      </c>
      <c r="B8" s="21" t="s">
        <v>35</v>
      </c>
    </row>
    <row r="9" spans="1:2" x14ac:dyDescent="0.25">
      <c r="A9" s="20" t="s">
        <v>28</v>
      </c>
      <c r="B9" s="21" t="s">
        <v>29</v>
      </c>
    </row>
    <row r="10" spans="1:2" x14ac:dyDescent="0.25">
      <c r="A10" s="20" t="s">
        <v>39</v>
      </c>
      <c r="B10" s="21" t="s">
        <v>40</v>
      </c>
    </row>
    <row r="11" spans="1:2" x14ac:dyDescent="0.25">
      <c r="A11" s="20" t="s">
        <v>38</v>
      </c>
      <c r="B11" s="21" t="s">
        <v>131</v>
      </c>
    </row>
    <row r="13" ht="24" customHeight="1" spans="1:6" x14ac:dyDescent="0.25">
      <c r="A13" s="8" t="s">
        <v>132</v>
      </c>
      <c r="B13" s="8"/>
      <c r="C13" s="8"/>
      <c r="D13" s="8"/>
      <c r="E13" s="8"/>
      <c r="F13" s="8"/>
    </row>
    <row r="14" ht="28" customHeight="1" spans="1:6" x14ac:dyDescent="0.25">
      <c r="A14" s="25" t="s">
        <v>62</v>
      </c>
      <c r="B14" s="25" t="s">
        <v>63</v>
      </c>
      <c r="C14" s="25" t="s">
        <v>64</v>
      </c>
      <c r="D14" s="25" t="s">
        <v>65</v>
      </c>
      <c r="E14" s="25" t="s">
        <v>66</v>
      </c>
      <c r="F14" s="25" t="s">
        <v>67</v>
      </c>
    </row>
    <row r="15" spans="1:6" x14ac:dyDescent="0.25">
      <c r="A15" s="20" t="s">
        <v>68</v>
      </c>
      <c r="B15" s="26">
        <f>'Revenue Schedule'!B2</f>
        <v>15</v>
      </c>
      <c r="C15" s="26">
        <f>'Revenue Schedule'!C2</f>
        <v>22</v>
      </c>
      <c r="D15" s="26">
        <f>'Revenue Schedule'!D2</f>
        <v>30</v>
      </c>
      <c r="E15" s="26">
        <f>'Revenue Schedule'!E2</f>
        <v>35</v>
      </c>
      <c r="F15" s="26">
        <f>'Revenue Schedule'!F2</f>
        <v>40</v>
      </c>
    </row>
    <row r="16" spans="1:6" x14ac:dyDescent="0.25">
      <c r="A16" s="20" t="s">
        <v>133</v>
      </c>
      <c r="B16" s="9" t="s">
        <v>134</v>
      </c>
      <c r="C16" s="38">
        <f>IF(B15=0,0,(C15-B15)/B15)</f>
        <v>0.4666666666666667</v>
      </c>
      <c r="D16" s="38">
        <f>IF(C15=0,0,(D15-C15)/C15)</f>
        <v>0.36363636363636365</v>
      </c>
      <c r="E16" s="38">
        <f>IF(D15=0,0,(E15-D15)/D15)</f>
        <v>0.16666666666666666</v>
      </c>
      <c r="F16" s="38">
        <f>IF(E15=0,0,(F15-E15)/E15)</f>
        <v>0.14285714285714285</v>
      </c>
    </row>
    <row r="18" ht="28" customHeight="1" spans="1:6" x14ac:dyDescent="0.25">
      <c r="A18" s="25" t="s">
        <v>62</v>
      </c>
      <c r="B18" s="25" t="s">
        <v>63</v>
      </c>
      <c r="C18" s="25" t="s">
        <v>64</v>
      </c>
      <c r="D18" s="25" t="s">
        <v>65</v>
      </c>
      <c r="E18" s="25" t="s">
        <v>66</v>
      </c>
      <c r="F18" s="25" t="s">
        <v>67</v>
      </c>
    </row>
    <row r="19" spans="1:6" x14ac:dyDescent="0.25">
      <c r="A19" s="20" t="s">
        <v>124</v>
      </c>
      <c r="B19" s="27">
        <f>'Financial Model'!B2</f>
        <v>167500</v>
      </c>
      <c r="C19" s="27">
        <f>'Financial Model'!C2</f>
        <v>217000</v>
      </c>
      <c r="D19" s="27">
        <f>'Financial Model'!D2</f>
        <v>275000</v>
      </c>
      <c r="E19" s="27">
        <f>'Financial Model'!E2</f>
        <v>309500</v>
      </c>
      <c r="F19" s="27">
        <f>'Financial Model'!F2</f>
        <v>350000</v>
      </c>
    </row>
    <row r="20" spans="1:6" x14ac:dyDescent="0.25">
      <c r="A20" s="20" t="s">
        <v>125</v>
      </c>
      <c r="B20" s="27">
        <f>'Financial Model'!B3</f>
        <v>73561</v>
      </c>
      <c r="C20" s="27">
        <f>'Financial Model'!C3</f>
        <v>88273</v>
      </c>
      <c r="D20" s="27">
        <f>'Financial Model'!D3</f>
        <v>88273</v>
      </c>
      <c r="E20" s="27">
        <f>'Financial Model'!E3</f>
        <v>88273</v>
      </c>
      <c r="F20" s="27">
        <f>'Financial Model'!F3</f>
        <v>88273</v>
      </c>
    </row>
    <row r="21" spans="1:6" x14ac:dyDescent="0.25">
      <c r="A21" s="20" t="s">
        <v>19</v>
      </c>
      <c r="B21" s="27">
        <f>'Financial Model'!B4</f>
        <v>17600</v>
      </c>
      <c r="C21" s="27">
        <f>'Financial Model'!C4</f>
        <v>20440</v>
      </c>
      <c r="D21" s="27">
        <f>'Financial Model'!D4</f>
        <v>23880</v>
      </c>
      <c r="E21" s="27">
        <f>'Financial Model'!E4</f>
        <v>26220</v>
      </c>
      <c r="F21" s="27">
        <f>'Financial Model'!F4</f>
        <v>28560</v>
      </c>
    </row>
    <row r="22" ht="24" customHeight="1" spans="1:6" x14ac:dyDescent="0.25">
      <c r="A22" s="8" t="s">
        <v>126</v>
      </c>
      <c r="B22" s="28">
        <f>'Financial Model'!B6</f>
        <v>108961</v>
      </c>
      <c r="C22" s="28">
        <f>'Financial Model'!C6</f>
        <v>114513</v>
      </c>
      <c r="D22" s="28">
        <f>'Financial Model'!D6</f>
        <v>117953</v>
      </c>
      <c r="E22" s="28">
        <f>'Financial Model'!E6</f>
        <v>120293</v>
      </c>
      <c r="F22" s="28">
        <f>'Financial Model'!F6</f>
        <v>122633</v>
      </c>
    </row>
    <row r="23" spans="1:6" x14ac:dyDescent="0.25">
      <c r="A23" s="21" t="s">
        <v>127</v>
      </c>
      <c r="B23" s="39">
        <f>'Financial Model'!B7</f>
        <v>58539</v>
      </c>
      <c r="C23" s="39">
        <f>'Financial Model'!C7</f>
        <v>102487</v>
      </c>
      <c r="D23" s="39">
        <f>'Financial Model'!D7</f>
        <v>157047</v>
      </c>
      <c r="E23" s="39">
        <f>'Financial Model'!E7</f>
        <v>189207</v>
      </c>
      <c r="F23" s="39">
        <f>'Financial Model'!F7</f>
        <v>227367</v>
      </c>
    </row>
    <row r="24" spans="1:6" x14ac:dyDescent="0.25">
      <c r="A24" s="20" t="s">
        <v>128</v>
      </c>
      <c r="B24" s="27">
        <f>'Financial Model'!B8</f>
        <v>58539</v>
      </c>
      <c r="C24" s="27">
        <f>'Financial Model'!C8</f>
        <v>161026</v>
      </c>
      <c r="D24" s="27">
        <f>'Financial Model'!D8</f>
        <v>318073</v>
      </c>
      <c r="E24" s="27">
        <f>'Financial Model'!E8</f>
        <v>507280</v>
      </c>
      <c r="F24" s="27">
        <f>'Financial Model'!F8</f>
        <v>734647</v>
      </c>
    </row>
    <row r="25" spans="1:6" x14ac:dyDescent="0.25">
      <c r="A25" s="21" t="s">
        <v>11</v>
      </c>
      <c r="B25" s="13">
        <f>'Financial Model'!B9</f>
        <v>6.446967263516304</v>
      </c>
      <c r="C25" s="13">
        <f>'Financial Model'!C9</f>
        <v>16.874171491446386</v>
      </c>
      <c r="D25" s="13">
        <f>'Financial Model'!D9</f>
        <v>32.35929565165787</v>
      </c>
      <c r="E25" s="13">
        <f>'Financial Model'!E9</f>
        <v>50.60444082365558</v>
      </c>
      <c r="F25" s="13">
        <f>'Financial Model'!F9</f>
        <v>71.88737126222144</v>
      </c>
    </row>
    <row r="27" ht="24" customHeight="1" spans="1:6" x14ac:dyDescent="0.25">
      <c r="A27" s="8" t="s">
        <v>135</v>
      </c>
      <c r="B27" s="8"/>
      <c r="C27" s="8"/>
      <c r="D27" s="8"/>
      <c r="E27" s="8"/>
      <c r="F27" s="8"/>
    </row>
    <row r="28" spans="1:6" x14ac:dyDescent="0.25">
      <c r="A28" s="20" t="s">
        <v>136</v>
      </c>
      <c r="B28" s="27">
        <f>IF('Revenue Schedule'!B2=0,0,B19/'Revenue Schedule'!B2)</f>
        <v>11166.666666666666</v>
      </c>
      <c r="C28" s="27">
        <f>IF('Revenue Schedule'!C2=0,0,C19/'Revenue Schedule'!C2)</f>
        <v>9863.636363636364</v>
      </c>
      <c r="D28" s="27">
        <f>IF('Revenue Schedule'!D2=0,0,D19/'Revenue Schedule'!D2)</f>
        <v>9166.666666666666</v>
      </c>
      <c r="E28" s="27">
        <f>IF('Revenue Schedule'!E2=0,0,E19/'Revenue Schedule'!E2)</f>
        <v>8842.857142857143</v>
      </c>
      <c r="F28" s="27">
        <f>IF('Revenue Schedule'!F2=0,0,F19/'Revenue Schedule'!F2)</f>
        <v>8750</v>
      </c>
    </row>
    <row r="29" spans="1:6" x14ac:dyDescent="0.25">
      <c r="A29" s="20" t="s">
        <v>137</v>
      </c>
      <c r="B29" s="38">
        <f>IF(B19=0,0,'Financial Model'!B3/B19)</f>
        <v>0.4391701492537313</v>
      </c>
      <c r="C29" s="38">
        <f>IF(C19=0,0,'Financial Model'!C3/C19)</f>
        <v>0.40678801843317974</v>
      </c>
      <c r="D29" s="38">
        <f>IF(D19=0,0,'Financial Model'!D3/D19)</f>
        <v>0.32099272727272726</v>
      </c>
      <c r="E29" s="38">
        <f>IF(E19=0,0,'Financial Model'!E3/E19)</f>
        <v>0.2852116316639742</v>
      </c>
      <c r="F29" s="38">
        <f>IF(F19=0,0,'Financial Model'!F3/F19)</f>
        <v>0.25220857142857145</v>
      </c>
    </row>
    <row r="30" spans="1:6" x14ac:dyDescent="0.25">
      <c r="A30" s="20" t="s">
        <v>138</v>
      </c>
      <c r="B30" s="38">
        <f>IF(B19=0,0,'Financial Model'!B4/B19)</f>
        <v>0.10507462686567164</v>
      </c>
      <c r="C30" s="38">
        <f>IF(C19=0,0,'Financial Model'!C4/C19)</f>
        <v>0.09419354838709677</v>
      </c>
      <c r="D30" s="38">
        <f>IF(D19=0,0,'Financial Model'!D4/D19)</f>
        <v>0.08683636363636364</v>
      </c>
      <c r="E30" s="38">
        <f>IF(E19=0,0,'Financial Model'!E4/E19)</f>
        <v>0.0847172859450727</v>
      </c>
      <c r="F30" s="38">
        <f>IF(F19=0,0,'Financial Model'!F4/F19)</f>
        <v>0.0816</v>
      </c>
    </row>
    <row r="31" spans="1:6" x14ac:dyDescent="0.25">
      <c r="A31" s="21" t="s">
        <v>139</v>
      </c>
      <c r="B31" s="12">
        <f>IF(B19=0,0,B23/B19)</f>
        <v>0.3494865671641791</v>
      </c>
      <c r="C31" s="12">
        <f>IF(C19=0,0,C23/C19)</f>
        <v>0.4722903225806452</v>
      </c>
      <c r="D31" s="12">
        <f>IF(D19=0,0,D23/D19)</f>
        <v>0.57108</v>
      </c>
      <c r="E31" s="12">
        <f>IF(E19=0,0,E23/E19)</f>
        <v>0.6113311793214863</v>
      </c>
      <c r="F31" s="12">
        <f>IF(F19=0,0,F23/F19)</f>
        <v>0.64962</v>
      </c>
    </row>
    <row r="33" ht="24" customHeight="1" spans="1:6" x14ac:dyDescent="0.25">
      <c r="A33" s="8" t="s">
        <v>140</v>
      </c>
      <c r="B33" s="8"/>
      <c r="C33" s="8"/>
      <c r="D33" s="8"/>
      <c r="E33" s="8"/>
      <c r="F33" s="8"/>
    </row>
    <row r="34" spans="1:6" x14ac:dyDescent="0.25">
      <c r="A34" s="20" t="s">
        <v>141</v>
      </c>
      <c r="B34" s="38">
        <v>0.7611940298507462</v>
      </c>
      <c r="C34" s="38">
        <v>0.8617511520737328</v>
      </c>
      <c r="D34" s="38">
        <v>0.9272727272727272</v>
      </c>
      <c r="E34" s="38">
        <v>0.9612277867528272</v>
      </c>
      <c r="F34" s="38">
        <v>0.9714285714285714</v>
      </c>
    </row>
    <row r="35" spans="1:6" x14ac:dyDescent="0.25">
      <c r="A35" s="20" t="s">
        <v>142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</row>
    <row r="36" spans="1:6" x14ac:dyDescent="0.25">
      <c r="A36" s="20" t="s">
        <v>143</v>
      </c>
      <c r="B36" s="38">
        <v>0.23880597014925373</v>
      </c>
      <c r="C36" s="38">
        <v>0.1382488479262673</v>
      </c>
      <c r="D36" s="38">
        <v>0.07272727272727272</v>
      </c>
      <c r="E36" s="38">
        <v>0.03877221324717286</v>
      </c>
      <c r="F36" s="38">
        <v>0.02857142857142857</v>
      </c>
    </row>
    <row r="38" ht="24" customHeight="1" spans="1:6" x14ac:dyDescent="0.25">
      <c r="A38" s="8" t="s">
        <v>144</v>
      </c>
      <c r="B38" s="8"/>
      <c r="C38" s="8"/>
      <c r="D38" s="8"/>
      <c r="E38" s="8"/>
      <c r="F38" s="8"/>
    </row>
    <row r="39" spans="1:2" x14ac:dyDescent="0.25">
      <c r="A39" s="20" t="s">
        <v>145</v>
      </c>
      <c r="B39" s="40" t="s">
        <v>14</v>
      </c>
    </row>
    <row r="40" ht="30" customHeight="1" spans="1:6" s="41" customFormat="1" x14ac:dyDescent="0.25">
      <c r="A40" s="42" t="s">
        <v>146</v>
      </c>
      <c r="B40" s="42" t="s">
        <v>147</v>
      </c>
      <c r="C40" s="42"/>
      <c r="D40" s="42"/>
      <c r="E40" s="42"/>
      <c r="F40" s="42"/>
    </row>
    <row r="41" spans="1:6" x14ac:dyDescent="0.25">
      <c r="A41" s="20" t="s">
        <v>148</v>
      </c>
      <c r="B41" s="21" t="s">
        <v>149</v>
      </c>
      <c r="C41" s="21"/>
      <c r="D41" s="21"/>
      <c r="E41" s="21"/>
      <c r="F41" s="21"/>
    </row>
    <row r="42" spans="1:6" x14ac:dyDescent="0.25">
      <c r="A42" s="20" t="s">
        <v>150</v>
      </c>
      <c r="B42" s="21" t="s">
        <v>151</v>
      </c>
      <c r="C42" s="21"/>
      <c r="D42" s="21"/>
      <c r="E42" s="21"/>
      <c r="F42" s="21"/>
    </row>
  </sheetData>
  <mergeCells count="4">
    <mergeCell ref="A1:F1"/>
    <mergeCell ref="B40:F40"/>
    <mergeCell ref="B41:F41"/>
    <mergeCell ref="B42:F4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5" customWidth="1"/>
    <col min="2" max="2" width="80" customWidth="1"/>
  </cols>
  <sheetData>
    <row r="1" ht="32" customHeight="1" spans="1:2" x14ac:dyDescent="0.25">
      <c r="A1" s="19" t="s">
        <v>152</v>
      </c>
      <c r="B1" s="19"/>
    </row>
    <row r="3" ht="24" customHeight="1" spans="1:2" x14ac:dyDescent="0.25">
      <c r="A3" s="8" t="s">
        <v>153</v>
      </c>
      <c r="B3" s="8"/>
    </row>
    <row r="4" ht="40" customHeight="1" spans="1:2" s="41" customFormat="1" x14ac:dyDescent="0.25">
      <c r="A4" s="42" t="s">
        <v>154</v>
      </c>
      <c r="B4" s="42"/>
    </row>
    <row r="6" ht="24" customHeight="1" spans="1:2" x14ac:dyDescent="0.25">
      <c r="A6" s="8" t="s">
        <v>155</v>
      </c>
      <c r="B6" s="8"/>
    </row>
    <row r="7" spans="1:2" x14ac:dyDescent="0.25">
      <c r="A7" s="20" t="s">
        <v>156</v>
      </c>
      <c r="B7" s="21" t="s">
        <v>14</v>
      </c>
    </row>
    <row r="8" ht="30" customHeight="1" spans="1:2" s="41" customFormat="1" x14ac:dyDescent="0.25">
      <c r="A8" s="42" t="s">
        <v>146</v>
      </c>
      <c r="B8" s="42" t="s">
        <v>147</v>
      </c>
    </row>
    <row r="10" spans="1:2" x14ac:dyDescent="0.25">
      <c r="A10" s="20" t="s">
        <v>148</v>
      </c>
      <c r="B10" s="21" t="s">
        <v>149</v>
      </c>
    </row>
    <row r="11" spans="1:2" x14ac:dyDescent="0.25">
      <c r="A11" s="20" t="s">
        <v>150</v>
      </c>
      <c r="B11" s="21" t="s">
        <v>151</v>
      </c>
    </row>
    <row r="13" ht="24" customHeight="1" spans="1:2" x14ac:dyDescent="0.25">
      <c r="A13" s="8" t="s">
        <v>157</v>
      </c>
      <c r="B13" s="8"/>
    </row>
    <row r="14" spans="1:1" x14ac:dyDescent="0.25">
      <c r="A14" s="21" t="s">
        <v>158</v>
      </c>
    </row>
    <row r="15" ht="40" customHeight="1" spans="1:2" s="41" customFormat="1" x14ac:dyDescent="0.25">
      <c r="A15" s="42" t="s">
        <v>159</v>
      </c>
      <c r="B15" s="42"/>
    </row>
    <row r="16" spans="1:1" x14ac:dyDescent="0.25">
      <c r="A16" s="21" t="s">
        <v>160</v>
      </c>
    </row>
    <row r="17" ht="40" customHeight="1" spans="1:2" s="41" customFormat="1" x14ac:dyDescent="0.25">
      <c r="A17" s="42" t="s">
        <v>161</v>
      </c>
      <c r="B17" s="42"/>
    </row>
    <row r="18" spans="1:1" x14ac:dyDescent="0.25">
      <c r="A18" s="21" t="s">
        <v>162</v>
      </c>
    </row>
    <row r="19" ht="40" customHeight="1" spans="1:2" s="41" customFormat="1" x14ac:dyDescent="0.25">
      <c r="A19" s="42" t="s">
        <v>163</v>
      </c>
      <c r="B19" s="42"/>
    </row>
  </sheetData>
  <mergeCells count="5">
    <mergeCell ref="A1:B1"/>
    <mergeCell ref="A4:B4"/>
    <mergeCell ref="A15:B15"/>
    <mergeCell ref="A17:B17"/>
    <mergeCell ref="A19:B19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Microschool&amp;R&amp;8&amp;IConsultant Notes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6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350000</v>
      </c>
    </row>
    <row r="17" spans="2:3" x14ac:dyDescent="0.25">
      <c r="B17" s="9" t="s">
        <v>9</v>
      </c>
      <c r="C17" s="11">
        <v>227367</v>
      </c>
    </row>
    <row r="18" spans="2:3" x14ac:dyDescent="0.25">
      <c r="B18" s="9" t="s">
        <v>10</v>
      </c>
      <c r="C18" s="12">
        <v>0.64962</v>
      </c>
    </row>
    <row r="19" spans="2:3" x14ac:dyDescent="0.25">
      <c r="B19" s="9" t="s">
        <v>11</v>
      </c>
      <c r="C19" s="13">
        <v>71.88737126222144</v>
      </c>
    </row>
    <row r="20" spans="2:3" x14ac:dyDescent="0.25">
      <c r="B20" s="9" t="s">
        <v>12</v>
      </c>
      <c r="C20" s="14">
        <v>40</v>
      </c>
    </row>
    <row r="22" spans="2:3" x14ac:dyDescent="0.25">
      <c r="B22" s="4" t="s">
        <v>13</v>
      </c>
      <c r="C22" s="15" t="s">
        <v>14</v>
      </c>
    </row>
    <row r="25" ht="24" customHeight="1" spans="2:3" x14ac:dyDescent="0.25">
      <c r="B25" s="8" t="s">
        <v>15</v>
      </c>
      <c r="C25" s="8"/>
    </row>
    <row r="26" spans="2:3" x14ac:dyDescent="0.25">
      <c r="B26" s="16" t="s">
        <v>16</v>
      </c>
      <c r="C26" s="17"/>
    </row>
    <row r="27" spans="2:3" x14ac:dyDescent="0.25">
      <c r="B27" s="16" t="s">
        <v>17</v>
      </c>
      <c r="C27" s="17"/>
    </row>
    <row r="28" spans="2:3" x14ac:dyDescent="0.25">
      <c r="B28" s="16" t="s">
        <v>18</v>
      </c>
      <c r="C28" s="17"/>
    </row>
    <row r="29" spans="2:3" x14ac:dyDescent="0.25">
      <c r="B29" s="16" t="s">
        <v>19</v>
      </c>
      <c r="C29" s="17"/>
    </row>
    <row r="30" spans="2:3" x14ac:dyDescent="0.25">
      <c r="B30" s="16" t="s">
        <v>20</v>
      </c>
      <c r="C30" s="17"/>
    </row>
    <row r="31" spans="2:3" x14ac:dyDescent="0.25">
      <c r="B31" s="16" t="s">
        <v>21</v>
      </c>
      <c r="C31" s="17"/>
    </row>
    <row r="32" spans="2:3" x14ac:dyDescent="0.25">
      <c r="B32" s="16" t="s">
        <v>22</v>
      </c>
      <c r="C32" s="17"/>
    </row>
    <row r="33" spans="2:3" x14ac:dyDescent="0.25">
      <c r="B33" s="16" t="s">
        <v>23</v>
      </c>
      <c r="C33" s="17"/>
    </row>
    <row r="36" spans="2:3" x14ac:dyDescent="0.25">
      <c r="B36" s="18" t="s">
        <v>24</v>
      </c>
      <c r="C36" s="18"/>
    </row>
  </sheetData>
  <mergeCells count="5">
    <mergeCell ref="B3:C3"/>
    <mergeCell ref="B4:C4"/>
    <mergeCell ref="B9:C9"/>
    <mergeCell ref="B10:C10"/>
    <mergeCell ref="B36:C36"/>
  </mergeCells>
  <hyperlinks>
    <hyperlink ref="B26" r:id="rId1" location="#'Assumptions'!A1"/>
    <hyperlink ref="B27" r:id="rId2" location="#'Revenue Schedule'!A1"/>
    <hyperlink ref="B28" r:id="rId3" location="#'Staffing &amp; Personnel'!A1"/>
    <hyperlink ref="B29" r:id="rId4" location="#'Operating Expenses'!A1"/>
    <hyperlink ref="B30" r:id="rId5" location="#'Capital &amp; Debt'!A1"/>
    <hyperlink ref="B31" r:id="rId6" location="#'Financial Model'!A1"/>
    <hyperlink ref="B32" r:id="rId7" location="#'Summary'!A1"/>
    <hyperlink ref="B33" r:id="rId8" location="#'Consultant Notes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  <vt:lpstr>Consultant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2026-03-25T22:36:50Z</dcterms:created>
  <dcterms:modified xsi:type="dcterms:W3CDTF">2026-03-25T22:36:50Z</dcterms:modified>
</cp:coreProperties>
</file>